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Courts" sheetId="2" r:id="rId6"/>
    <sheet state="visible" name="Checkin" sheetId="3" r:id="rId7"/>
    <sheet state="visible" name="Waitlist" sheetId="4" r:id="rId8"/>
    <sheet state="visible" name="122824" sheetId="5" r:id="rId9"/>
    <sheet state="visible" name="122124" sheetId="6" r:id="rId10"/>
    <sheet state="visible" name="121424" sheetId="7" r:id="rId11"/>
    <sheet state="visible" name="120724" sheetId="8" r:id="rId12"/>
    <sheet state="visible" name="113024" sheetId="9" r:id="rId13"/>
    <sheet state="visible" name="112324" sheetId="10" r:id="rId14"/>
    <sheet state="visible" name="111624" sheetId="11" r:id="rId15"/>
    <sheet state="visible" name="110924" sheetId="12" r:id="rId16"/>
    <sheet state="visible" name="110224" sheetId="13" r:id="rId17"/>
    <sheet state="visible" name="102624" sheetId="14" r:id="rId18"/>
    <sheet state="visible" name="101924" sheetId="15" r:id="rId19"/>
    <sheet state="visible" name="101224" sheetId="16" r:id="rId20"/>
    <sheet state="visible" name="100524" sheetId="17" r:id="rId21"/>
    <sheet state="visible" name="092824" sheetId="18" r:id="rId22"/>
    <sheet state="visible" name="092124" sheetId="19" r:id="rId23"/>
    <sheet state="visible" name="091424" sheetId="20" r:id="rId24"/>
    <sheet state="visible" name="090724" sheetId="21" r:id="rId25"/>
    <sheet state="visible" name="083124" sheetId="22" r:id="rId26"/>
    <sheet state="visible" name="082424" sheetId="23" r:id="rId27"/>
    <sheet state="visible" name="081724" sheetId="24" r:id="rId28"/>
    <sheet state="visible" name="081024" sheetId="25" r:id="rId29"/>
    <sheet state="visible" name="080324" sheetId="26" r:id="rId30"/>
    <sheet state="visible" name="072724" sheetId="27" r:id="rId31"/>
    <sheet state="visible" name="072024" sheetId="28" r:id="rId32"/>
    <sheet state="visible" name="071324" sheetId="29" r:id="rId33"/>
    <sheet state="visible" name="070624" sheetId="30" r:id="rId34"/>
    <sheet state="visible" name="070124" sheetId="31" r:id="rId35"/>
  </sheets>
  <definedNames/>
  <calcPr/>
</workbook>
</file>

<file path=xl/sharedStrings.xml><?xml version="1.0" encoding="utf-8"?>
<sst xmlns="http://schemas.openxmlformats.org/spreadsheetml/2006/main" count="8980" uniqueCount="174">
  <si>
    <t xml:space="preserve">Court # </t>
  </si>
  <si>
    <t>Name of the Player</t>
  </si>
  <si>
    <t>Games Won</t>
  </si>
  <si>
    <t>Name</t>
  </si>
  <si>
    <t>Sets Won</t>
  </si>
  <si>
    <t>Check In</t>
  </si>
  <si>
    <t>Set 1</t>
  </si>
  <si>
    <t>Set 2</t>
  </si>
  <si>
    <t>Set 3</t>
  </si>
  <si>
    <t>Total Games won</t>
  </si>
  <si>
    <t xml:space="preserve">Check in </t>
  </si>
  <si>
    <t>Sit Outs</t>
  </si>
  <si>
    <t>Sets Validations</t>
  </si>
  <si>
    <t>Sl.No</t>
  </si>
  <si>
    <t>Playing</t>
  </si>
  <si>
    <t>Out</t>
  </si>
  <si>
    <t>Out-Can Play</t>
  </si>
  <si>
    <t>To Respond</t>
  </si>
  <si>
    <t>Sitouts</t>
  </si>
  <si>
    <t>Playing-Can Sit</t>
  </si>
  <si>
    <t>Previous sitouts</t>
  </si>
  <si>
    <t xml:space="preserve">Here is the link to add new players to the waitlist. </t>
  </si>
  <si>
    <t>tinyurl.com/UTCWaitList</t>
  </si>
  <si>
    <t xml:space="preserve">Standings as of </t>
  </si>
  <si>
    <t>Number of Weeks Played</t>
  </si>
  <si>
    <t>Beginning of week</t>
  </si>
  <si>
    <t>Current Week Scores</t>
  </si>
  <si>
    <t>End of week</t>
  </si>
  <si>
    <t>Jul-Dec 2024</t>
  </si>
  <si>
    <t>Jan-Jun 2025</t>
  </si>
  <si>
    <t>Ranking</t>
  </si>
  <si>
    <t>Name of Player</t>
  </si>
  <si>
    <t>Games Won / Match</t>
  </si>
  <si>
    <t>Check IN</t>
  </si>
  <si>
    <t>Alejandro Mejia</t>
  </si>
  <si>
    <t>Court #</t>
  </si>
  <si>
    <t>Set 0</t>
  </si>
  <si>
    <t>Waiver</t>
  </si>
  <si>
    <t>Fee</t>
  </si>
  <si>
    <t>Sit outs</t>
  </si>
  <si>
    <t>No Shows</t>
  </si>
  <si>
    <t>Absent</t>
  </si>
  <si>
    <t>Positions Gained/Lost</t>
  </si>
  <si>
    <t>Adrian Tay</t>
  </si>
  <si>
    <t xml:space="preserve">  N</t>
  </si>
  <si>
    <t>Skip Court 3</t>
  </si>
  <si>
    <t>Jimmy Awolesi</t>
  </si>
  <si>
    <t>Y</t>
  </si>
  <si>
    <t>Skip Court 4</t>
  </si>
  <si>
    <t>Tony Wong</t>
  </si>
  <si>
    <t>Last update</t>
  </si>
  <si>
    <t>Vinaya Kajla</t>
  </si>
  <si>
    <t>Out/Can Play</t>
  </si>
  <si>
    <t>X</t>
  </si>
  <si>
    <t>Suleman Alidina</t>
  </si>
  <si>
    <t>Ash Nikravan</t>
  </si>
  <si>
    <t>Susanta Mishra</t>
  </si>
  <si>
    <t>David Shin</t>
  </si>
  <si>
    <t>TBD</t>
  </si>
  <si>
    <t>David Tam</t>
  </si>
  <si>
    <t>Total</t>
  </si>
  <si>
    <t>Tom Le</t>
  </si>
  <si>
    <t>Check out-can play</t>
  </si>
  <si>
    <t>Pulkit Mathur</t>
  </si>
  <si>
    <t>Kingsley Kuo</t>
  </si>
  <si>
    <t>Scott Li</t>
  </si>
  <si>
    <t xml:space="preserve">Vamsi Lolla </t>
  </si>
  <si>
    <t>Sitouts Needed</t>
  </si>
  <si>
    <t>Rajasekar Ramasamy</t>
  </si>
  <si>
    <t>Anish Kumar</t>
  </si>
  <si>
    <t>Vacations</t>
  </si>
  <si>
    <t>Ted Shen</t>
  </si>
  <si>
    <t>Peter Homsey</t>
  </si>
  <si>
    <t>Manuel Rivera</t>
  </si>
  <si>
    <t>Jose Ortiz</t>
  </si>
  <si>
    <t>Tony Lin</t>
  </si>
  <si>
    <t>Chinna Ponnaganti</t>
  </si>
  <si>
    <t>Injured/Recovering</t>
  </si>
  <si>
    <t>Frank Moon</t>
  </si>
  <si>
    <t>Mauricio Palacios</t>
  </si>
  <si>
    <t>Joyce Zhu</t>
  </si>
  <si>
    <t>Balaji Alahari</t>
  </si>
  <si>
    <t>Lam Bui</t>
  </si>
  <si>
    <t>Pavan Akkimsetty</t>
  </si>
  <si>
    <t>Herman Au</t>
  </si>
  <si>
    <t>James Phan</t>
  </si>
  <si>
    <t>Joe Luzzi</t>
  </si>
  <si>
    <t>Arun Mallikarjuna</t>
  </si>
  <si>
    <t>N</t>
  </si>
  <si>
    <t>Robert Chang</t>
  </si>
  <si>
    <t>Matthew Huang</t>
  </si>
  <si>
    <t>Jonathan Phan</t>
  </si>
  <si>
    <t>Christopher Li</t>
  </si>
  <si>
    <t>Alex Hou</t>
  </si>
  <si>
    <t>Troy Wong</t>
  </si>
  <si>
    <t>Cid Macaraeg</t>
  </si>
  <si>
    <t>Erik Hoeckmann</t>
  </si>
  <si>
    <t>Sanjaye Elayattu</t>
  </si>
  <si>
    <t>Sean Chang</t>
  </si>
  <si>
    <t>Jim Miao</t>
  </si>
  <si>
    <t>Luis Hsu</t>
  </si>
  <si>
    <t>Ramesh Bandaru</t>
  </si>
  <si>
    <t xml:space="preserve">Elayaraja Thangaraj </t>
  </si>
  <si>
    <t>Lloyd Sagar</t>
  </si>
  <si>
    <t>Wayne Liu</t>
  </si>
  <si>
    <t>Oscar Bonilla</t>
  </si>
  <si>
    <t>Sai Dilip Ponnaganti</t>
  </si>
  <si>
    <t>Kumar Palakeel</t>
  </si>
  <si>
    <t>Vinz Solano</t>
  </si>
  <si>
    <t>Peter Cheng</t>
  </si>
  <si>
    <t>Andrew Wen</t>
  </si>
  <si>
    <t>Trish Newlin</t>
  </si>
  <si>
    <t>Sandy Weyant</t>
  </si>
  <si>
    <t>Nicole Ni</t>
  </si>
  <si>
    <t>Coco Yan</t>
  </si>
  <si>
    <t>Eric Tan</t>
  </si>
  <si>
    <t>Saravanan Veerapandian</t>
  </si>
  <si>
    <t xml:space="preserve">Santosh Sundaresan </t>
  </si>
  <si>
    <t>Rajesh Dorairaj</t>
  </si>
  <si>
    <t>Trinath Goteti</t>
  </si>
  <si>
    <t>Naveen Raj</t>
  </si>
  <si>
    <t>Leigh-Anh Nguyen</t>
  </si>
  <si>
    <t>Vishnu Amarnath</t>
  </si>
  <si>
    <t>Manish Anand</t>
  </si>
  <si>
    <t>Nohely Mejia</t>
  </si>
  <si>
    <t>Eric Pan</t>
  </si>
  <si>
    <t>Amit Patel</t>
  </si>
  <si>
    <t xml:space="preserve"> </t>
  </si>
  <si>
    <t>Renewed</t>
  </si>
  <si>
    <t>Top Scores</t>
  </si>
  <si>
    <t>Games</t>
  </si>
  <si>
    <t>Sets</t>
  </si>
  <si>
    <t>Not Renewing</t>
  </si>
  <si>
    <t>To Renew</t>
  </si>
  <si>
    <t>* Jimmy Awolesi paid for Jan-Dec 2025</t>
  </si>
  <si>
    <t>Top 10 Movements (UP)</t>
  </si>
  <si>
    <t>Positions Moved</t>
  </si>
  <si>
    <t>Position Last week</t>
  </si>
  <si>
    <t>Position This week</t>
  </si>
  <si>
    <t>Points this week</t>
  </si>
  <si>
    <t>Court</t>
  </si>
  <si>
    <t xml:space="preserve">Cross Check </t>
  </si>
  <si>
    <t>Top 10 Movements (Down)</t>
  </si>
  <si>
    <t>Positions</t>
  </si>
  <si>
    <t>Renewals for January - June 2025</t>
  </si>
  <si>
    <t>Members Renewed</t>
  </si>
  <si>
    <t>Members to Renew</t>
  </si>
  <si>
    <t>Members Not Renewing</t>
  </si>
  <si>
    <t>New Members Joined/invited*</t>
  </si>
  <si>
    <t>Allen Zhang</t>
  </si>
  <si>
    <t>Ethan Gu</t>
  </si>
  <si>
    <t>Basudev Thoppai Vidyasankar</t>
  </si>
  <si>
    <t>Hongyuan Wen</t>
  </si>
  <si>
    <t>Tyler Leong</t>
  </si>
  <si>
    <t>Vicki Martinet</t>
  </si>
  <si>
    <t>Barathi Sundaram</t>
  </si>
  <si>
    <t>Alan Sung</t>
  </si>
  <si>
    <t>Hubert J Sung</t>
  </si>
  <si>
    <t>Tina Hanson</t>
  </si>
  <si>
    <t>Hubert J Sung*</t>
  </si>
  <si>
    <t>* invited</t>
  </si>
  <si>
    <t>Alan Sung*</t>
  </si>
  <si>
    <t>Vicki Martinet*</t>
  </si>
  <si>
    <t>Paid</t>
  </si>
  <si>
    <t>To Pay</t>
  </si>
  <si>
    <t>Scores for this week</t>
  </si>
  <si>
    <t>Absentees</t>
  </si>
  <si>
    <t>Members to renew</t>
  </si>
  <si>
    <t>Members Leaving</t>
  </si>
  <si>
    <t>Jan-Jul 2024</t>
  </si>
  <si>
    <t>Last week</t>
  </si>
  <si>
    <t>This week</t>
  </si>
  <si>
    <t>Points</t>
  </si>
  <si>
    <t>Top 10 Movements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</si>
</sst>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&quot;/&quot;dd&quot;/&quot;yy"/>
    <numFmt numFmtId="166" formatCode="0;-0;;@"/>
    <numFmt numFmtId="167" formatCode="m/d/yyyy h:mm:ss"/>
    <numFmt numFmtId="168" formatCode="mmm d"/>
    <numFmt numFmtId="169" formatCode="mmmm d, yyyy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u/>
      <color rgb="FF0000FF"/>
    </font>
    <font>
      <sz val="14.0"/>
      <color rgb="FF001D35"/>
      <name val="Monospace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/>
    <font>
      <sz val="14.0"/>
      <color theme="1"/>
      <name val="Arial"/>
      <scheme val="minor"/>
    </font>
    <font>
      <sz val="14.0"/>
      <color theme="1"/>
      <name val="Arial"/>
    </font>
    <font>
      <sz val="9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</font>
    <font>
      <b/>
      <sz val="12.0"/>
      <color rgb="FF1F1F1F"/>
      <name val="&quot;Google Sans Text&quot;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5EDFF"/>
        <bgColor rgb="FFE5ED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2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readingOrder="0"/>
    </xf>
    <xf borderId="0" fillId="3" fontId="3" numFmtId="164" xfId="0" applyAlignment="1" applyFill="1" applyFont="1" applyNumberFormat="1">
      <alignment horizontal="center" readingOrder="0"/>
    </xf>
    <xf borderId="0" fillId="3" fontId="4" numFmtId="0" xfId="0" applyAlignment="1" applyFill="1" applyFont="1">
      <alignment horizontal="right" readingOrder="0"/>
    </xf>
    <xf borderId="0" fillId="0" fontId="5" numFmtId="0" xfId="0" applyAlignment="1" applyFont="1">
      <alignment readingOrder="0"/>
    </xf>
    <xf borderId="0" fillId="4" fontId="6" numFmtId="0" xfId="0" applyFill="1" applyFont="1"/>
    <xf borderId="0" fillId="0" fontId="2" numFmtId="0" xfId="0" applyFont="1"/>
    <xf borderId="0" fillId="3" fontId="7" numFmtId="0" xfId="0" applyAlignment="1" applyFill="1" applyFont="1">
      <alignment readingOrder="0"/>
    </xf>
    <xf borderId="0" fillId="3" fontId="7" numFmtId="0" xfId="0" applyAlignment="1" applyFill="1" applyFont="1">
      <alignment horizontal="center" readingOrder="0"/>
    </xf>
    <xf borderId="0" fillId="5" fontId="2" numFmtId="165" xfId="0" applyFill="1" applyFont="1" applyNumberFormat="1"/>
    <xf borderId="2" fillId="3" fontId="8" numFmtId="0" xfId="0" applyAlignment="1" applyBorder="1" applyFill="1" applyFont="1">
      <alignment horizontal="center" readingOrder="0" shrinkToFit="0" wrapText="1"/>
    </xf>
    <xf borderId="3" fillId="0" fontId="9" numFmtId="0" xfId="0" applyBorder="1" applyFont="1"/>
    <xf borderId="4" fillId="0" fontId="9" numFmtId="0" xfId="0" applyBorder="1" applyFont="1"/>
    <xf borderId="2" fillId="3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1" fillId="6" fontId="10" numFmtId="0" xfId="0" applyAlignment="1" applyBorder="1" applyFill="1" applyFont="1">
      <alignment horizontal="center" readingOrder="0"/>
    </xf>
    <xf borderId="1" fillId="6" fontId="10" numFmtId="0" xfId="0" applyAlignment="1" applyBorder="1" applyFill="1" applyFont="1">
      <alignment readingOrder="0"/>
    </xf>
    <xf borderId="1" fillId="7" fontId="10" numFmtId="0" xfId="0" applyAlignment="1" applyBorder="1" applyFill="1" applyFont="1">
      <alignment horizontal="center" readingOrder="0" shrinkToFit="0" wrapText="1"/>
    </xf>
    <xf borderId="1" fillId="6" fontId="10" numFmtId="0" xfId="0" applyAlignment="1" applyBorder="1" applyFill="1" applyFont="1">
      <alignment horizontal="center" readingOrder="0" shrinkToFit="0" wrapText="1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vertical="bottom"/>
    </xf>
    <xf borderId="1" fillId="7" fontId="10" numFmtId="3" xfId="0" applyAlignment="1" applyBorder="1" applyFill="1" applyFont="1" applyNumberFormat="1">
      <alignment horizontal="center" readingOrder="0"/>
    </xf>
    <xf borderId="1" fillId="8" fontId="2" numFmtId="0" xfId="0" applyAlignment="1" applyBorder="1" applyFill="1" applyFont="1">
      <alignment readingOrder="0"/>
    </xf>
    <xf borderId="1" fillId="8" fontId="2" numFmtId="0" xfId="0" applyBorder="1" applyFill="1" applyFont="1"/>
    <xf borderId="1" fillId="7" fontId="10" numFmtId="4" xfId="0" applyAlignment="1" applyBorder="1" applyFill="1" applyFont="1" applyNumberFormat="1">
      <alignment horizontal="center" readingOrder="0"/>
    </xf>
    <xf borderId="1" fillId="9" fontId="2" numFmtId="0" xfId="0" applyAlignment="1" applyBorder="1" applyFill="1" applyFont="1">
      <alignment readingOrder="0"/>
    </xf>
    <xf borderId="1" fillId="6" fontId="10" numFmtId="166" xfId="0" applyAlignment="1" applyBorder="1" applyFill="1" applyFont="1" applyNumberFormat="1">
      <alignment horizontal="center" readingOrder="0"/>
    </xf>
    <xf borderId="1" fillId="9" fontId="2" numFmtId="167" xfId="0" applyBorder="1" applyFill="1" applyFont="1" applyNumberFormat="1"/>
    <xf borderId="1" fillId="10" fontId="10" numFmtId="166" xfId="0" applyAlignment="1" applyBorder="1" applyFill="1" applyFont="1" applyNumberFormat="1">
      <alignment horizontal="center" readingOrder="0"/>
    </xf>
    <xf borderId="1" fillId="7" fontId="10" numFmtId="166" xfId="0" applyAlignment="1" applyBorder="1" applyFill="1" applyFont="1" applyNumberFormat="1">
      <alignment horizontal="center" readingOrder="0"/>
    </xf>
    <xf borderId="0" fillId="11" fontId="2" numFmtId="0" xfId="0" applyFill="1" applyFont="1"/>
    <xf borderId="1" fillId="3" fontId="10" numFmtId="166" xfId="0" applyAlignment="1" applyBorder="1" applyFill="1" applyFont="1" applyNumberFormat="1">
      <alignment horizontal="center" readingOrder="0"/>
    </xf>
    <xf borderId="1" fillId="7" fontId="10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center"/>
    </xf>
    <xf borderId="0" fillId="5" fontId="2" numFmtId="0" xfId="0" applyAlignment="1" applyFill="1" applyFont="1">
      <alignment readingOrder="0"/>
    </xf>
    <xf borderId="1" fillId="7" fontId="10" numFmtId="3" xfId="0" applyAlignment="1" applyBorder="1" applyFill="1" applyFont="1" applyNumberFormat="1">
      <alignment horizontal="center"/>
    </xf>
    <xf borderId="1" fillId="0" fontId="2" numFmtId="168" xfId="0" applyBorder="1" applyFont="1" applyNumberFormat="1"/>
    <xf borderId="1" fillId="0" fontId="2" numFmtId="0" xfId="0" applyBorder="1" applyFon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 vertical="bottom"/>
    </xf>
    <xf borderId="1" fillId="0" fontId="2" numFmtId="168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12" fontId="2" numFmtId="0" xfId="0" applyAlignment="1" applyBorder="1" applyFill="1" applyFont="1">
      <alignment readingOrder="0"/>
    </xf>
    <xf borderId="1" fillId="12" fontId="2" numFmtId="0" xfId="0" applyBorder="1" applyFill="1" applyFont="1"/>
    <xf borderId="1" fillId="0" fontId="11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" fillId="0" fontId="10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0" fillId="0" fontId="12" numFmtId="0" xfId="0" applyFont="1"/>
    <xf borderId="2" fillId="0" fontId="2" numFmtId="0" xfId="0" applyAlignment="1" applyBorder="1" applyFont="1">
      <alignment readingOrder="0"/>
    </xf>
    <xf borderId="1" fillId="3" fontId="11" numFmtId="0" xfId="0" applyAlignment="1" applyBorder="1" applyFill="1" applyFont="1">
      <alignment readingOrder="0" vertical="bottom"/>
    </xf>
    <xf borderId="1" fillId="3" fontId="11" numFmtId="0" xfId="0" applyAlignment="1" applyBorder="1" applyFill="1" applyFont="1">
      <alignment horizontal="center" readingOrder="0" vertical="bottom"/>
    </xf>
    <xf borderId="1" fillId="0" fontId="11" numFmtId="166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right"/>
    </xf>
    <xf borderId="1" fillId="3" fontId="11" numFmtId="0" xfId="0" applyAlignment="1" applyBorder="1" applyFill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readingOrder="0" shrinkToFit="0" vertical="bottom" wrapText="1"/>
    </xf>
    <xf borderId="1" fillId="3" fontId="14" numFmtId="0" xfId="0" applyAlignment="1" applyBorder="1" applyFill="1" applyFont="1">
      <alignment readingOrder="0" shrinkToFit="0" vertical="bottom" wrapText="1"/>
    </xf>
    <xf borderId="1" fillId="3" fontId="1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0" fontId="11" numFmtId="166" xfId="0" applyAlignment="1" applyBorder="1" applyFont="1" applyNumberFormat="1">
      <alignment readingOrder="0" vertical="bottom"/>
    </xf>
    <xf borderId="2" fillId="6" fontId="11" numFmtId="0" xfId="0" applyAlignment="1" applyBorder="1" applyFill="1" applyFont="1">
      <alignment horizontal="center" readingOrder="0" vertical="bottom"/>
    </xf>
    <xf borderId="2" fillId="3" fontId="11" numFmtId="0" xfId="0" applyAlignment="1" applyBorder="1" applyFill="1" applyFont="1">
      <alignment readingOrder="0" vertical="bottom"/>
    </xf>
    <xf borderId="2" fillId="3" fontId="11" numFmtId="0" xfId="0" applyAlignment="1" applyBorder="1" applyFill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2" fillId="0" fontId="11" numFmtId="0" xfId="0" applyAlignment="1" applyBorder="1" applyFont="1">
      <alignment readingOrder="0"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readingOrder="0" vertical="bottom"/>
    </xf>
    <xf borderId="2" fillId="9" fontId="11" numFmtId="0" xfId="0" applyAlignment="1" applyBorder="1" applyFill="1" applyFont="1">
      <alignment readingOrder="0" vertical="bottom"/>
    </xf>
    <xf borderId="2" fillId="0" fontId="2" numFmtId="0" xfId="0" applyBorder="1" applyFont="1"/>
    <xf borderId="0" fillId="3" fontId="3" numFmtId="169" xfId="0" applyAlignment="1" applyFill="1" applyFont="1" applyNumberFormat="1">
      <alignment horizontal="center" readingOrder="0"/>
    </xf>
    <xf borderId="1" fillId="0" fontId="11" numFmtId="0" xfId="0" applyBorder="1" applyFont="1"/>
    <xf borderId="1" fillId="0" fontId="11" numFmtId="0" xfId="0" applyAlignment="1" applyBorder="1" applyFont="1">
      <alignment horizontal="center"/>
    </xf>
    <xf borderId="1" fillId="8" fontId="11" numFmtId="0" xfId="0" applyBorder="1" applyFill="1" applyFont="1"/>
    <xf borderId="1" fillId="8" fontId="11" numFmtId="0" xfId="0" applyAlignment="1" applyBorder="1" applyFill="1" applyFont="1">
      <alignment horizontal="center"/>
    </xf>
    <xf borderId="1" fillId="0" fontId="11" numFmtId="166" xfId="0" applyAlignment="1" applyBorder="1" applyFont="1" applyNumberFormat="1">
      <alignment horizontal="center"/>
    </xf>
    <xf borderId="1" fillId="0" fontId="11" numFmtId="3" xfId="0" applyAlignment="1" applyBorder="1" applyFont="1" applyNumberFormat="1">
      <alignment horizontal="center"/>
    </xf>
    <xf borderId="1" fillId="0" fontId="11" numFmtId="166" xfId="0" applyBorder="1" applyFont="1" applyNumberFormat="1"/>
    <xf borderId="1" fillId="0" fontId="11" numFmtId="3" xfId="0" applyBorder="1" applyFont="1" applyNumberFormat="1"/>
    <xf borderId="1" fillId="2" fontId="11" numFmtId="0" xfId="0" applyAlignment="1" applyBorder="1" applyFill="1" applyFont="1">
      <alignment readingOrder="0"/>
    </xf>
    <xf borderId="2" fillId="10" fontId="3" numFmtId="0" xfId="0" applyAlignment="1" applyBorder="1" applyFill="1" applyFont="1">
      <alignment horizontal="center" readingOrder="0" vertical="center"/>
    </xf>
    <xf borderId="0" fillId="0" fontId="2" numFmtId="166" xfId="0" applyAlignment="1" applyFont="1" applyNumberFormat="1">
      <alignment horizontal="center"/>
    </xf>
    <xf borderId="0" fillId="13" fontId="15" numFmtId="0" xfId="0" applyAlignment="1" applyFill="1" applyFont="1">
      <alignment horizontal="left" readingOrder="0"/>
    </xf>
    <xf borderId="1" fillId="3" fontId="11" numFmtId="0" xfId="0" applyAlignment="1" applyBorder="1" applyFill="1" applyFont="1">
      <alignment readingOrder="0" shrinkToFit="0" vertical="bottom" wrapText="1"/>
    </xf>
    <xf borderId="1" fillId="8" fontId="11" numFmtId="3" xfId="0" applyAlignment="1" applyBorder="1" applyFill="1" applyFont="1" applyNumberFormat="1">
      <alignment horizontal="center"/>
    </xf>
    <xf borderId="1" fillId="8" fontId="11" numFmtId="166" xfId="0" applyAlignment="1" applyBorder="1" applyFill="1" applyFont="1" applyNumberFormat="1">
      <alignment horizontal="center"/>
    </xf>
    <xf borderId="1" fillId="8" fontId="11" numFmtId="166" xfId="0" applyBorder="1" applyFill="1" applyFont="1" applyNumberFormat="1"/>
    <xf borderId="1" fillId="8" fontId="11" numFmtId="3" xfId="0" applyBorder="1" applyFill="1" applyFont="1" applyNumberForma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 of 11/16/2024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'112324'!$B$5:$B$69</c:f>
            </c:numRef>
          </c:xVal>
          <c:yVal>
            <c:numRef>
              <c:f>'112324'!$C$5:$C$69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514224"/>
        <c:axId val="105527277"/>
      </c:scatterChart>
      <c:valAx>
        <c:axId val="14635142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11/16/2024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27277"/>
      </c:valAx>
      <c:valAx>
        <c:axId val="105527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5142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276225</xdr:colOff>
      <xdr:row>91</xdr:row>
      <xdr:rowOff>342900</xdr:rowOff>
    </xdr:from>
    <xdr:ext cx="9439275" cy="5829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UTCWaitLis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13">
        <v>45654.0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26.0</v>
      </c>
      <c r="E2" s="11"/>
      <c r="F2" s="11"/>
      <c r="AB2" s="20" t="str">
        <f>text(C1,"mm/dd/yy")</f>
        <v>12/28/24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32">
        <v>401.0</v>
      </c>
      <c r="D5" s="32">
        <v>47.0</v>
      </c>
      <c r="E5" s="35">
        <f t="shared" ref="E5:E69" si="2">(C5-(U5*9)-(S5*13))/($D$2-U5-S5)</f>
        <v>17.83333333</v>
      </c>
      <c r="F5" s="37">
        <f>if(isna(VLOOKUP(B5,Checkin!A:B,2,false)),0,VLOOKUP(B5,Checkin!A:B,2,false))</f>
        <v>0</v>
      </c>
      <c r="G5" s="39">
        <f>if(OR($F5=1, $F5=2),VLOOKUP($B5,Courts!$B$2:$K$50,10,false),0)</f>
        <v>0</v>
      </c>
      <c r="H5" s="40">
        <f t="shared" ref="H5:H69" si="3">IF(OR(F5=3,F5=4),9,IF(F5=5,13,0))</f>
        <v>0</v>
      </c>
      <c r="I5" s="39">
        <f>if(OR($F5=1, $F5=2),VLOOKUP($B5,Courts!$B$2:$J$50,5,false),0)</f>
        <v>0</v>
      </c>
      <c r="J5" s="39">
        <f>if(OR($F5=1, $F5=2),VLOOKUP($B5,Courts!$B$2:$J$50,6,false),0)</f>
        <v>0</v>
      </c>
      <c r="K5" s="39">
        <f>if(OR($F5=1, $F5=2),VLOOKUP($B5,Courts!$B$2:$J$50,7,false),0)</f>
        <v>0</v>
      </c>
      <c r="L5" s="42">
        <f t="shared" ref="L5:L69" si="4">H5+I5+J5+K5</f>
        <v>0</v>
      </c>
      <c r="M5" s="39">
        <f>if(OR($F5=1, $F5=2),VLOOKUP($B5,Courts!$B$2:$J$50,9,false),0)</f>
        <v>0</v>
      </c>
      <c r="N5" s="32">
        <f t="shared" ref="N5:O5" si="1">C5+L5</f>
        <v>401</v>
      </c>
      <c r="O5" s="32">
        <f t="shared" si="1"/>
        <v>47</v>
      </c>
      <c r="P5" s="43" t="s">
        <v>53</v>
      </c>
      <c r="Q5" s="43" t="s">
        <v>53</v>
      </c>
      <c r="R5" s="43" t="s">
        <v>53</v>
      </c>
      <c r="S5" s="39">
        <f t="shared" ref="S5:S69" si="6">if(H5=13,1,0)+VLOOKUP(B5,indirect($AB$2&amp;"!B:T"),18,false)</f>
        <v>2</v>
      </c>
      <c r="T5" s="39"/>
      <c r="U5" s="39">
        <f t="shared" ref="U5:U69" si="7">if(H5=9,1,0)+VLOOKUP(B5,indirect($AB$2&amp;"!B:U"),20,false)</f>
        <v>6</v>
      </c>
      <c r="V5" s="39">
        <f t="shared" ref="V5:V65" si="8">VLOOKUP(B5,indirect($AB$2&amp;"!B$5:w$70"),22,false)-A5</f>
        <v>0</v>
      </c>
      <c r="W5" s="30">
        <v>1.0</v>
      </c>
    </row>
    <row r="6">
      <c r="A6" s="30">
        <f t="shared" ref="A6:A69" si="9">A5+1</f>
        <v>2</v>
      </c>
      <c r="B6" s="31" t="s">
        <v>57</v>
      </c>
      <c r="C6" s="32">
        <v>354.0</v>
      </c>
      <c r="D6" s="32">
        <v>30.0</v>
      </c>
      <c r="E6" s="35">
        <f t="shared" si="2"/>
        <v>15</v>
      </c>
      <c r="F6" s="37">
        <f>if(isna(VLOOKUP(B6,Checkin!A:B,2,false)),0,VLOOKUP(B6,Checkin!A:B,2,false))</f>
        <v>0</v>
      </c>
      <c r="G6" s="39">
        <f>if(OR($F6=1, $F6=2),VLOOKUP($B6,Courts!$B$2:$K$50,10,false),0)</f>
        <v>0</v>
      </c>
      <c r="H6" s="40">
        <f t="shared" si="3"/>
        <v>0</v>
      </c>
      <c r="I6" s="39">
        <f>if(OR($F6=1, $F6=2),VLOOKUP($B6,Courts!$B$2:$J$50,5,false),0)</f>
        <v>0</v>
      </c>
      <c r="J6" s="39">
        <f>if(OR($F6=1, $F6=2),VLOOKUP($B6,Courts!$B$2:$J$50,6,false),0)</f>
        <v>0</v>
      </c>
      <c r="K6" s="39">
        <f>if(OR($F6=1, $F6=2),VLOOKUP($B6,Courts!$B$2:$J$50,7,false),0)</f>
        <v>0</v>
      </c>
      <c r="L6" s="42">
        <f t="shared" si="4"/>
        <v>0</v>
      </c>
      <c r="M6" s="39">
        <f>if(OR($F6=1, $F6=2),VLOOKUP($B6,Courts!$B$2:$J$50,9,false),0)</f>
        <v>0</v>
      </c>
      <c r="N6" s="32">
        <f t="shared" ref="N6:O6" si="5">C6+L6</f>
        <v>354</v>
      </c>
      <c r="O6" s="32">
        <f t="shared" si="5"/>
        <v>30</v>
      </c>
      <c r="P6" s="43" t="s">
        <v>53</v>
      </c>
      <c r="Q6" s="43" t="s">
        <v>53</v>
      </c>
      <c r="R6" s="43" t="s">
        <v>53</v>
      </c>
      <c r="S6" s="39">
        <f t="shared" si="6"/>
        <v>3</v>
      </c>
      <c r="T6" s="39"/>
      <c r="U6" s="39">
        <f t="shared" si="7"/>
        <v>5</v>
      </c>
      <c r="V6" s="39">
        <f t="shared" si="8"/>
        <v>0</v>
      </c>
      <c r="W6" s="30">
        <f t="shared" ref="W6:W69" si="11">W5+1</f>
        <v>2</v>
      </c>
    </row>
    <row r="7">
      <c r="A7" s="30">
        <f t="shared" si="9"/>
        <v>3</v>
      </c>
      <c r="B7" s="31" t="s">
        <v>61</v>
      </c>
      <c r="C7" s="32">
        <v>350.0</v>
      </c>
      <c r="D7" s="32">
        <v>34.0</v>
      </c>
      <c r="E7" s="35">
        <f t="shared" si="2"/>
        <v>15.10526316</v>
      </c>
      <c r="F7" s="37">
        <f>if(isna(VLOOKUP(B7,Checkin!A:B,2,false)),0,VLOOKUP(B7,Checkin!A:B,2,false))</f>
        <v>0</v>
      </c>
      <c r="G7" s="39">
        <f>if(OR($F7=1, $F7=2),VLOOKUP($B7,Courts!$B$2:$K$50,10,false),0)</f>
        <v>0</v>
      </c>
      <c r="H7" s="40">
        <f t="shared" si="3"/>
        <v>0</v>
      </c>
      <c r="I7" s="39">
        <f>if(OR($F7=1, $F7=2),VLOOKUP($B7,Courts!$B$2:$J$50,5,false),0)</f>
        <v>0</v>
      </c>
      <c r="J7" s="39">
        <f>if(OR($F7=1, $F7=2),VLOOKUP($B7,Courts!$B$2:$J$50,6,false),0)</f>
        <v>0</v>
      </c>
      <c r="K7" s="39">
        <f>if(OR($F7=1, $F7=2),VLOOKUP($B7,Courts!$B$2:$J$50,7,false),0)</f>
        <v>0</v>
      </c>
      <c r="L7" s="42">
        <f t="shared" si="4"/>
        <v>0</v>
      </c>
      <c r="M7" s="39">
        <f>if(OR($F7=1, $F7=2),VLOOKUP($B7,Courts!$B$2:$J$50,9,false),0)</f>
        <v>0</v>
      </c>
      <c r="N7" s="32">
        <f t="shared" ref="N7:O7" si="10">C7+L7</f>
        <v>350</v>
      </c>
      <c r="O7" s="32">
        <f t="shared" si="10"/>
        <v>34</v>
      </c>
      <c r="P7" s="43" t="s">
        <v>53</v>
      </c>
      <c r="Q7" s="43" t="s">
        <v>53</v>
      </c>
      <c r="R7" s="43" t="s">
        <v>53</v>
      </c>
      <c r="S7" s="39">
        <f t="shared" si="6"/>
        <v>0</v>
      </c>
      <c r="T7" s="39"/>
      <c r="U7" s="39">
        <f t="shared" si="7"/>
        <v>7</v>
      </c>
      <c r="V7" s="39">
        <f t="shared" si="8"/>
        <v>0</v>
      </c>
      <c r="W7" s="30">
        <f t="shared" si="11"/>
        <v>3</v>
      </c>
    </row>
    <row r="8">
      <c r="A8" s="30">
        <f t="shared" si="9"/>
        <v>4</v>
      </c>
      <c r="B8" s="31" t="s">
        <v>63</v>
      </c>
      <c r="C8" s="32">
        <v>346.0</v>
      </c>
      <c r="D8" s="32">
        <v>32.0</v>
      </c>
      <c r="E8" s="35">
        <f t="shared" si="2"/>
        <v>17.66666667</v>
      </c>
      <c r="F8" s="37">
        <f>if(isna(VLOOKUP(B8,Checkin!A:B,2,false)),0,VLOOKUP(B8,Checkin!A:B,2,false))</f>
        <v>0</v>
      </c>
      <c r="G8" s="39">
        <f>if(OR($F8=1, $F8=2),VLOOKUP($B8,Courts!$B$2:$K$50,10,false),0)</f>
        <v>0</v>
      </c>
      <c r="H8" s="40">
        <f t="shared" si="3"/>
        <v>0</v>
      </c>
      <c r="I8" s="39">
        <f>if(OR($F8=1, $F8=2),VLOOKUP($B8,Courts!$B$2:$J$50,5,false),0)</f>
        <v>0</v>
      </c>
      <c r="J8" s="39">
        <f>if(OR($F8=1, $F8=2),VLOOKUP($B8,Courts!$B$2:$J$50,6,false),0)</f>
        <v>0</v>
      </c>
      <c r="K8" s="39">
        <f>if(OR($F8=1, $F8=2),VLOOKUP($B8,Courts!$B$2:$J$50,7,false),0)</f>
        <v>0</v>
      </c>
      <c r="L8" s="42">
        <f t="shared" si="4"/>
        <v>0</v>
      </c>
      <c r="M8" s="39">
        <f>if(OR($F8=1, $F8=2),VLOOKUP($B8,Courts!$B$2:$J$50,9,false),0)</f>
        <v>0</v>
      </c>
      <c r="N8" s="32">
        <f t="shared" ref="N8:O8" si="12">C8+L8</f>
        <v>346</v>
      </c>
      <c r="O8" s="32">
        <f t="shared" si="12"/>
        <v>32</v>
      </c>
      <c r="P8" s="43" t="s">
        <v>53</v>
      </c>
      <c r="Q8" s="43" t="s">
        <v>53</v>
      </c>
      <c r="R8" s="43" t="s">
        <v>53</v>
      </c>
      <c r="S8" s="39">
        <f t="shared" si="6"/>
        <v>2</v>
      </c>
      <c r="T8" s="39"/>
      <c r="U8" s="39">
        <f t="shared" si="7"/>
        <v>12</v>
      </c>
      <c r="V8" s="39">
        <f t="shared" si="8"/>
        <v>5</v>
      </c>
      <c r="W8" s="30">
        <f t="shared" si="11"/>
        <v>4</v>
      </c>
    </row>
    <row r="9">
      <c r="A9" s="30">
        <f t="shared" si="9"/>
        <v>5</v>
      </c>
      <c r="B9" s="31" t="s">
        <v>71</v>
      </c>
      <c r="C9" s="32">
        <v>345.0</v>
      </c>
      <c r="D9" s="32">
        <v>32.0</v>
      </c>
      <c r="E9" s="35">
        <f t="shared" si="2"/>
        <v>13.65217391</v>
      </c>
      <c r="F9" s="37">
        <f>if(isna(VLOOKUP(B9,Checkin!A:B,2,false)),0,VLOOKUP(B9,Checkin!A:B,2,false))</f>
        <v>0</v>
      </c>
      <c r="G9" s="39">
        <f>if(OR($F9=1, $F9=2),VLOOKUP($B9,Courts!$B$2:$K$50,10,false),0)</f>
        <v>0</v>
      </c>
      <c r="H9" s="40">
        <f t="shared" si="3"/>
        <v>0</v>
      </c>
      <c r="I9" s="39">
        <f>if(OR($F9=1, $F9=2),VLOOKUP($B9,Courts!$B$2:$J$50,5,false),0)</f>
        <v>0</v>
      </c>
      <c r="J9" s="39">
        <f>if(OR($F9=1, $F9=2),VLOOKUP($B9,Courts!$B$2:$J$50,6,false),0)</f>
        <v>0</v>
      </c>
      <c r="K9" s="39">
        <f>if(OR($F9=1, $F9=2),VLOOKUP($B9,Courts!$B$2:$J$50,7,false),0)</f>
        <v>0</v>
      </c>
      <c r="L9" s="42">
        <f t="shared" si="4"/>
        <v>0</v>
      </c>
      <c r="M9" s="39">
        <f>if(OR($F9=1, $F9=2),VLOOKUP($B9,Courts!$B$2:$J$50,9,false),0)</f>
        <v>0</v>
      </c>
      <c r="N9" s="32">
        <f t="shared" ref="N9:O9" si="13">C9+L9</f>
        <v>345</v>
      </c>
      <c r="O9" s="32">
        <f t="shared" si="13"/>
        <v>32</v>
      </c>
      <c r="P9" s="43" t="s">
        <v>53</v>
      </c>
      <c r="Q9" s="43" t="s">
        <v>53</v>
      </c>
      <c r="R9" s="43" t="s">
        <v>53</v>
      </c>
      <c r="S9" s="39">
        <f t="shared" si="6"/>
        <v>1</v>
      </c>
      <c r="T9" s="39"/>
      <c r="U9" s="39">
        <f t="shared" si="7"/>
        <v>2</v>
      </c>
      <c r="V9" s="39">
        <f t="shared" si="8"/>
        <v>-1</v>
      </c>
      <c r="W9" s="30">
        <f t="shared" si="11"/>
        <v>5</v>
      </c>
    </row>
    <row r="10">
      <c r="A10" s="30">
        <f t="shared" si="9"/>
        <v>6</v>
      </c>
      <c r="B10" s="51" t="s">
        <v>54</v>
      </c>
      <c r="C10" s="32">
        <v>342.0</v>
      </c>
      <c r="D10" s="32">
        <v>32.0</v>
      </c>
      <c r="E10" s="35">
        <f t="shared" si="2"/>
        <v>14.2</v>
      </c>
      <c r="F10" s="37">
        <f>if(isna(VLOOKUP(B10,Checkin!A:B,2,false)),0,VLOOKUP(B10,Checkin!A:B,2,false))</f>
        <v>0</v>
      </c>
      <c r="G10" s="39">
        <f>if(OR($F10=1, $F10=2),VLOOKUP($B10,Courts!$B$2:$K$50,10,false),0)</f>
        <v>0</v>
      </c>
      <c r="H10" s="40">
        <f t="shared" si="3"/>
        <v>0</v>
      </c>
      <c r="I10" s="39">
        <f>if(OR($F10=1, $F10=2),VLOOKUP($B10,Courts!$B$2:$J$50,5,false),0)</f>
        <v>0</v>
      </c>
      <c r="J10" s="39">
        <f>if(OR($F10=1, $F10=2),VLOOKUP($B10,Courts!$B$2:$J$50,6,false),0)</f>
        <v>0</v>
      </c>
      <c r="K10" s="39">
        <f>if(OR($F10=1, $F10=2),VLOOKUP($B10,Courts!$B$2:$J$50,7,false),0)</f>
        <v>0</v>
      </c>
      <c r="L10" s="42">
        <f t="shared" si="4"/>
        <v>0</v>
      </c>
      <c r="M10" s="39">
        <f>if(OR($F10=1, $F10=2),VLOOKUP($B10,Courts!$B$2:$J$50,9,false),0)</f>
        <v>0</v>
      </c>
      <c r="N10" s="32">
        <f t="shared" ref="N10:O10" si="14">C10+L10</f>
        <v>342</v>
      </c>
      <c r="O10" s="32">
        <f t="shared" si="14"/>
        <v>32</v>
      </c>
      <c r="P10" s="43" t="s">
        <v>53</v>
      </c>
      <c r="Q10" s="43" t="s">
        <v>53</v>
      </c>
      <c r="R10" s="43" t="s">
        <v>53</v>
      </c>
      <c r="S10" s="39">
        <f t="shared" si="6"/>
        <v>1</v>
      </c>
      <c r="T10" s="39"/>
      <c r="U10" s="39">
        <f t="shared" si="7"/>
        <v>5</v>
      </c>
      <c r="V10" s="39">
        <f t="shared" si="8"/>
        <v>2</v>
      </c>
      <c r="W10" s="30">
        <f t="shared" si="11"/>
        <v>6</v>
      </c>
    </row>
    <row r="11">
      <c r="A11" s="30">
        <f t="shared" si="9"/>
        <v>7</v>
      </c>
      <c r="B11" s="56" t="s">
        <v>65</v>
      </c>
      <c r="C11" s="32">
        <v>340.0</v>
      </c>
      <c r="D11" s="32">
        <v>25.0</v>
      </c>
      <c r="E11" s="35">
        <f t="shared" si="2"/>
        <v>14.1</v>
      </c>
      <c r="F11" s="37">
        <f>if(isna(VLOOKUP(B11,Checkin!A:B,2,false)),0,VLOOKUP(B11,Checkin!A:B,2,false))</f>
        <v>0</v>
      </c>
      <c r="G11" s="39">
        <f>if(OR($F11=1, $F11=2),VLOOKUP($B11,Courts!$B$2:$K$50,10,false),0)</f>
        <v>0</v>
      </c>
      <c r="H11" s="40">
        <f t="shared" si="3"/>
        <v>0</v>
      </c>
      <c r="I11" s="39">
        <f>if(OR($F11=1, $F11=2),VLOOKUP($B11,Courts!$B$2:$J$50,5,false),0)</f>
        <v>0</v>
      </c>
      <c r="J11" s="39">
        <f>if(OR($F11=1, $F11=2),VLOOKUP($B11,Courts!$B$2:$J$50,6,false),0)</f>
        <v>0</v>
      </c>
      <c r="K11" s="39">
        <f>if(OR($F11=1, $F11=2),VLOOKUP($B11,Courts!$B$2:$J$50,7,false),0)</f>
        <v>0</v>
      </c>
      <c r="L11" s="42">
        <f t="shared" si="4"/>
        <v>0</v>
      </c>
      <c r="M11" s="39">
        <f>if(OR($F11=1, $F11=2),VLOOKUP($B11,Courts!$B$2:$J$50,9,false),0)</f>
        <v>0</v>
      </c>
      <c r="N11" s="32">
        <f t="shared" ref="N11:O11" si="15">C11+L11</f>
        <v>340</v>
      </c>
      <c r="O11" s="32">
        <f t="shared" si="15"/>
        <v>25</v>
      </c>
      <c r="P11" s="43" t="s">
        <v>53</v>
      </c>
      <c r="Q11" s="43" t="s">
        <v>53</v>
      </c>
      <c r="R11" s="43" t="s">
        <v>53</v>
      </c>
      <c r="S11" s="39">
        <f t="shared" si="6"/>
        <v>1</v>
      </c>
      <c r="T11" s="39"/>
      <c r="U11" s="39">
        <f t="shared" si="7"/>
        <v>5</v>
      </c>
      <c r="V11" s="39">
        <f t="shared" si="8"/>
        <v>-1</v>
      </c>
      <c r="W11" s="30">
        <f t="shared" si="11"/>
        <v>7</v>
      </c>
    </row>
    <row r="12">
      <c r="A12" s="30">
        <f t="shared" si="9"/>
        <v>8</v>
      </c>
      <c r="B12" s="51" t="s">
        <v>78</v>
      </c>
      <c r="C12" s="32">
        <v>338.0</v>
      </c>
      <c r="D12" s="32">
        <v>31.0</v>
      </c>
      <c r="E12" s="35">
        <f t="shared" si="2"/>
        <v>13.33333333</v>
      </c>
      <c r="F12" s="37">
        <f>if(isna(VLOOKUP(B12,Checkin!A:B,2,false)),0,VLOOKUP(B12,Checkin!A:B,2,false))</f>
        <v>0</v>
      </c>
      <c r="G12" s="39">
        <f>if(OR($F12=1, $F12=2),VLOOKUP($B12,Courts!$B$2:$K$50,10,false),0)</f>
        <v>0</v>
      </c>
      <c r="H12" s="40">
        <f t="shared" si="3"/>
        <v>0</v>
      </c>
      <c r="I12" s="39">
        <f>if(OR($F12=1, $F12=2),VLOOKUP($B12,Courts!$B$2:$J$50,5,false),0)</f>
        <v>0</v>
      </c>
      <c r="J12" s="39">
        <f>if(OR($F12=1, $F12=2),VLOOKUP($B12,Courts!$B$2:$J$50,6,false),0)</f>
        <v>0</v>
      </c>
      <c r="K12" s="39">
        <f>if(OR($F12=1, $F12=2),VLOOKUP($B12,Courts!$B$2:$J$50,7,false),0)</f>
        <v>0</v>
      </c>
      <c r="L12" s="42">
        <f t="shared" si="4"/>
        <v>0</v>
      </c>
      <c r="M12" s="39">
        <f>if(OR($F12=1, $F12=2),VLOOKUP($B12,Courts!$B$2:$J$50,9,false),0)</f>
        <v>0</v>
      </c>
      <c r="N12" s="32">
        <f t="shared" ref="N12:O12" si="16">C12+L12</f>
        <v>338</v>
      </c>
      <c r="O12" s="32">
        <f t="shared" si="16"/>
        <v>31</v>
      </c>
      <c r="P12" s="43" t="s">
        <v>53</v>
      </c>
      <c r="Q12" s="43" t="s">
        <v>53</v>
      </c>
      <c r="R12" s="43" t="s">
        <v>53</v>
      </c>
      <c r="S12" s="39">
        <f t="shared" si="6"/>
        <v>0</v>
      </c>
      <c r="T12" s="39"/>
      <c r="U12" s="39">
        <f t="shared" si="7"/>
        <v>2</v>
      </c>
      <c r="V12" s="39">
        <f t="shared" si="8"/>
        <v>-3</v>
      </c>
      <c r="W12" s="30">
        <f t="shared" si="11"/>
        <v>8</v>
      </c>
    </row>
    <row r="13">
      <c r="A13" s="30">
        <f t="shared" si="9"/>
        <v>9</v>
      </c>
      <c r="B13" s="31" t="s">
        <v>82</v>
      </c>
      <c r="C13" s="32">
        <v>336.0</v>
      </c>
      <c r="D13" s="32">
        <v>27.0</v>
      </c>
      <c r="E13" s="35">
        <f t="shared" si="2"/>
        <v>16.23076923</v>
      </c>
      <c r="F13" s="37">
        <f>if(isna(VLOOKUP(B13,Checkin!A:B,2,false)),0,VLOOKUP(B13,Checkin!A:B,2,false))</f>
        <v>0</v>
      </c>
      <c r="G13" s="39">
        <f>if(OR($F13=1, $F13=2),VLOOKUP($B13,Courts!$B$2:$K$50,10,false),0)</f>
        <v>0</v>
      </c>
      <c r="H13" s="40">
        <f t="shared" si="3"/>
        <v>0</v>
      </c>
      <c r="I13" s="39">
        <f>if(OR($F13=1, $F13=2),VLOOKUP($B13,Courts!$B$2:$J$50,5,false),0)</f>
        <v>0</v>
      </c>
      <c r="J13" s="39">
        <f>if(OR($F13=1, $F13=2),VLOOKUP($B13,Courts!$B$2:$J$50,6,false),0)</f>
        <v>0</v>
      </c>
      <c r="K13" s="39">
        <f>if(OR($F13=1, $F13=2),VLOOKUP($B13,Courts!$B$2:$J$50,7,false),0)</f>
        <v>0</v>
      </c>
      <c r="L13" s="42">
        <f t="shared" si="4"/>
        <v>0</v>
      </c>
      <c r="M13" s="39">
        <f>if(OR($F13=1, $F13=2),VLOOKUP($B13,Courts!$B$2:$J$50,9,false),0)</f>
        <v>0</v>
      </c>
      <c r="N13" s="32">
        <f t="shared" ref="N13:O13" si="17">C13+L13</f>
        <v>336</v>
      </c>
      <c r="O13" s="32">
        <f t="shared" si="17"/>
        <v>27</v>
      </c>
      <c r="P13" s="43" t="s">
        <v>53</v>
      </c>
      <c r="Q13" s="43" t="s">
        <v>53</v>
      </c>
      <c r="R13" s="43" t="s">
        <v>53</v>
      </c>
      <c r="S13" s="39">
        <f t="shared" si="6"/>
        <v>2</v>
      </c>
      <c r="T13" s="39"/>
      <c r="U13" s="39">
        <f t="shared" si="7"/>
        <v>11</v>
      </c>
      <c r="V13" s="39">
        <f t="shared" si="8"/>
        <v>-2</v>
      </c>
      <c r="W13" s="30">
        <f t="shared" si="11"/>
        <v>9</v>
      </c>
    </row>
    <row r="14">
      <c r="A14" s="30">
        <f t="shared" si="9"/>
        <v>10</v>
      </c>
      <c r="B14" s="51" t="s">
        <v>85</v>
      </c>
      <c r="C14" s="32">
        <v>335.0</v>
      </c>
      <c r="D14" s="32">
        <v>26.0</v>
      </c>
      <c r="E14" s="35">
        <f t="shared" si="2"/>
        <v>17.45454545</v>
      </c>
      <c r="F14" s="37">
        <f>if(isna(VLOOKUP(B14,Checkin!A:B,2,false)),0,VLOOKUP(B14,Checkin!A:B,2,false))</f>
        <v>0</v>
      </c>
      <c r="G14" s="39">
        <f>if(OR($F14=1, $F14=2),VLOOKUP($B14,Courts!$B$2:$K$50,10,false),0)</f>
        <v>0</v>
      </c>
      <c r="H14" s="40">
        <f t="shared" si="3"/>
        <v>0</v>
      </c>
      <c r="I14" s="39">
        <f>if(OR($F14=1, $F14=2),VLOOKUP($B14,Courts!$B$2:$J$50,5,false),0)</f>
        <v>0</v>
      </c>
      <c r="J14" s="39">
        <f>if(OR($F14=1, $F14=2),VLOOKUP($B14,Courts!$B$2:$J$50,6,false),0)</f>
        <v>0</v>
      </c>
      <c r="K14" s="39">
        <f>if(OR($F14=1, $F14=2),VLOOKUP($B14,Courts!$B$2:$J$50,7,false),0)</f>
        <v>0</v>
      </c>
      <c r="L14" s="42">
        <f t="shared" si="4"/>
        <v>0</v>
      </c>
      <c r="M14" s="39">
        <f>if(OR($F14=1, $F14=2),VLOOKUP($B14,Courts!$B$2:$J$50,9,false),0)</f>
        <v>0</v>
      </c>
      <c r="N14" s="32">
        <f t="shared" ref="N14:O14" si="18">C14+L14</f>
        <v>335</v>
      </c>
      <c r="O14" s="32">
        <f t="shared" si="18"/>
        <v>26</v>
      </c>
      <c r="P14" s="43" t="s">
        <v>53</v>
      </c>
      <c r="Q14" s="43" t="s">
        <v>53</v>
      </c>
      <c r="R14" s="43" t="s">
        <v>53</v>
      </c>
      <c r="S14" s="39">
        <f t="shared" si="6"/>
        <v>2</v>
      </c>
      <c r="T14" s="39"/>
      <c r="U14" s="39">
        <f t="shared" si="7"/>
        <v>13</v>
      </c>
      <c r="V14" s="39">
        <f t="shared" si="8"/>
        <v>3</v>
      </c>
      <c r="W14" s="30">
        <f t="shared" si="11"/>
        <v>10</v>
      </c>
    </row>
    <row r="15">
      <c r="A15" s="30">
        <f t="shared" si="9"/>
        <v>11</v>
      </c>
      <c r="B15" s="51" t="s">
        <v>84</v>
      </c>
      <c r="C15" s="32">
        <v>335.0</v>
      </c>
      <c r="D15" s="32">
        <v>22.0</v>
      </c>
      <c r="E15" s="35">
        <f t="shared" si="2"/>
        <v>13.23809524</v>
      </c>
      <c r="F15" s="37">
        <f>if(isna(VLOOKUP(B15,Checkin!A:B,2,false)),0,VLOOKUP(B15,Checkin!A:B,2,false))</f>
        <v>0</v>
      </c>
      <c r="G15" s="39">
        <f>if(OR($F15=1, $F15=2),VLOOKUP($B15,Courts!$B$2:$K$50,10,false),0)</f>
        <v>0</v>
      </c>
      <c r="H15" s="40">
        <f t="shared" si="3"/>
        <v>0</v>
      </c>
      <c r="I15" s="39">
        <f>if(OR($F15=1, $F15=2),VLOOKUP($B15,Courts!$B$2:$J$50,5,false),0)</f>
        <v>0</v>
      </c>
      <c r="J15" s="39">
        <f>if(OR($F15=1, $F15=2),VLOOKUP($B15,Courts!$B$2:$J$50,6,false),0)</f>
        <v>0</v>
      </c>
      <c r="K15" s="39">
        <f>if(OR($F15=1, $F15=2),VLOOKUP($B15,Courts!$B$2:$J$50,7,false),0)</f>
        <v>0</v>
      </c>
      <c r="L15" s="42">
        <f t="shared" si="4"/>
        <v>0</v>
      </c>
      <c r="M15" s="39">
        <f>if(OR($F15=1, $F15=2),VLOOKUP($B15,Courts!$B$2:$J$50,9,false),0)</f>
        <v>0</v>
      </c>
      <c r="N15" s="32">
        <f t="shared" ref="N15:O15" si="19">C15+L15</f>
        <v>335</v>
      </c>
      <c r="O15" s="32">
        <f t="shared" si="19"/>
        <v>22</v>
      </c>
      <c r="P15" s="43" t="s">
        <v>53</v>
      </c>
      <c r="Q15" s="43" t="s">
        <v>53</v>
      </c>
      <c r="R15" s="43" t="s">
        <v>53</v>
      </c>
      <c r="S15" s="39">
        <f t="shared" si="6"/>
        <v>3</v>
      </c>
      <c r="T15" s="39"/>
      <c r="U15" s="39">
        <f t="shared" si="7"/>
        <v>2</v>
      </c>
      <c r="V15" s="39">
        <f t="shared" si="8"/>
        <v>1</v>
      </c>
      <c r="W15" s="30">
        <f t="shared" si="11"/>
        <v>11</v>
      </c>
    </row>
    <row r="16">
      <c r="A16" s="30">
        <f t="shared" si="9"/>
        <v>12</v>
      </c>
      <c r="B16" s="31" t="s">
        <v>34</v>
      </c>
      <c r="C16" s="32">
        <v>334.0</v>
      </c>
      <c r="D16" s="32">
        <v>34.0</v>
      </c>
      <c r="E16" s="35">
        <f t="shared" si="2"/>
        <v>14.26315789</v>
      </c>
      <c r="F16" s="37">
        <f>if(isna(VLOOKUP(B16,Checkin!A:B,2,false)),0,VLOOKUP(B16,Checkin!A:B,2,false))</f>
        <v>0</v>
      </c>
      <c r="G16" s="39">
        <f>if(OR($F16=1, $F16=2),VLOOKUP($B16,Courts!$B$2:$K$50,10,false),0)</f>
        <v>0</v>
      </c>
      <c r="H16" s="40">
        <f t="shared" si="3"/>
        <v>0</v>
      </c>
      <c r="I16" s="39">
        <f>if(OR($F16=1, $F16=2),VLOOKUP($B16,Courts!$B$2:$J$50,5,false),0)</f>
        <v>0</v>
      </c>
      <c r="J16" s="39">
        <f>if(OR($F16=1, $F16=2),VLOOKUP($B16,Courts!$B$2:$J$50,6,false),0)</f>
        <v>0</v>
      </c>
      <c r="K16" s="39">
        <f>if(OR($F16=1, $F16=2),VLOOKUP($B16,Courts!$B$2:$J$50,7,false),0)</f>
        <v>0</v>
      </c>
      <c r="L16" s="42">
        <f t="shared" si="4"/>
        <v>0</v>
      </c>
      <c r="M16" s="39">
        <f>if(OR($F16=1, $F16=2),VLOOKUP($B16,Courts!$B$2:$J$50,9,false),0)</f>
        <v>0</v>
      </c>
      <c r="N16" s="32">
        <f t="shared" ref="N16:O16" si="20">C16+L16</f>
        <v>334</v>
      </c>
      <c r="O16" s="32">
        <f t="shared" si="20"/>
        <v>34</v>
      </c>
      <c r="P16" s="43" t="s">
        <v>53</v>
      </c>
      <c r="Q16" s="43" t="s">
        <v>53</v>
      </c>
      <c r="R16" s="43" t="s">
        <v>53</v>
      </c>
      <c r="S16" s="39">
        <f t="shared" si="6"/>
        <v>0</v>
      </c>
      <c r="T16" s="39"/>
      <c r="U16" s="39">
        <f t="shared" si="7"/>
        <v>7</v>
      </c>
      <c r="V16" s="39">
        <f t="shared" si="8"/>
        <v>-2</v>
      </c>
      <c r="W16" s="30">
        <f t="shared" si="11"/>
        <v>12</v>
      </c>
    </row>
    <row r="17">
      <c r="A17" s="30">
        <f t="shared" si="9"/>
        <v>13</v>
      </c>
      <c r="B17" s="31" t="s">
        <v>83</v>
      </c>
      <c r="C17" s="32">
        <v>333.0</v>
      </c>
      <c r="D17" s="32">
        <v>26.0</v>
      </c>
      <c r="E17" s="35">
        <f t="shared" si="2"/>
        <v>15.1875</v>
      </c>
      <c r="F17" s="37">
        <f>if(isna(VLOOKUP(B17,Checkin!A:B,2,false)),0,VLOOKUP(B17,Checkin!A:B,2,false))</f>
        <v>0</v>
      </c>
      <c r="G17" s="39">
        <f>if(OR($F17=1, $F17=2),VLOOKUP($B17,Courts!$B$2:$K$50,10,false),0)</f>
        <v>0</v>
      </c>
      <c r="H17" s="40">
        <f t="shared" si="3"/>
        <v>0</v>
      </c>
      <c r="I17" s="39">
        <f>if(OR($F17=1, $F17=2),VLOOKUP($B17,Courts!$B$2:$J$50,5,false),0)</f>
        <v>0</v>
      </c>
      <c r="J17" s="39">
        <f>if(OR($F17=1, $F17=2),VLOOKUP($B17,Courts!$B$2:$J$50,6,false),0)</f>
        <v>0</v>
      </c>
      <c r="K17" s="39">
        <f>if(OR($F17=1, $F17=2),VLOOKUP($B17,Courts!$B$2:$J$50,7,false),0)</f>
        <v>0</v>
      </c>
      <c r="L17" s="42">
        <f t="shared" si="4"/>
        <v>0</v>
      </c>
      <c r="M17" s="39">
        <f>if(OR($F17=1, $F17=2),VLOOKUP($B17,Courts!$B$2:$J$50,9,false),0)</f>
        <v>0</v>
      </c>
      <c r="N17" s="32">
        <f t="shared" ref="N17:O17" si="21">C17+L17</f>
        <v>333</v>
      </c>
      <c r="O17" s="32">
        <f t="shared" si="21"/>
        <v>26</v>
      </c>
      <c r="P17" s="43" t="s">
        <v>53</v>
      </c>
      <c r="Q17" s="43" t="s">
        <v>53</v>
      </c>
      <c r="R17" s="43" t="s">
        <v>53</v>
      </c>
      <c r="S17" s="39">
        <f t="shared" si="6"/>
        <v>0</v>
      </c>
      <c r="T17" s="39"/>
      <c r="U17" s="39">
        <f t="shared" si="7"/>
        <v>10</v>
      </c>
      <c r="V17" s="39">
        <f t="shared" si="8"/>
        <v>-2</v>
      </c>
      <c r="W17" s="30">
        <f t="shared" si="11"/>
        <v>13</v>
      </c>
    </row>
    <row r="18">
      <c r="A18" s="30">
        <f t="shared" si="9"/>
        <v>14</v>
      </c>
      <c r="B18" s="31" t="s">
        <v>86</v>
      </c>
      <c r="C18" s="32">
        <v>331.0</v>
      </c>
      <c r="D18" s="32">
        <v>23.0</v>
      </c>
      <c r="E18" s="35">
        <f t="shared" si="2"/>
        <v>13.05</v>
      </c>
      <c r="F18" s="37">
        <f>if(isna(VLOOKUP(B18,Checkin!A:B,2,false)),0,VLOOKUP(B18,Checkin!A:B,2,false))</f>
        <v>0</v>
      </c>
      <c r="G18" s="39">
        <f>if(OR($F18=1, $F18=2),VLOOKUP($B18,Courts!$B$2:$K$50,10,false),0)</f>
        <v>0</v>
      </c>
      <c r="H18" s="40">
        <f t="shared" si="3"/>
        <v>0</v>
      </c>
      <c r="I18" s="39">
        <f>if(OR($F18=1, $F18=2),VLOOKUP($B18,Courts!$B$2:$J$50,5,false),0)</f>
        <v>0</v>
      </c>
      <c r="J18" s="39">
        <f>if(OR($F18=1, $F18=2),VLOOKUP($B18,Courts!$B$2:$J$50,6,false),0)</f>
        <v>0</v>
      </c>
      <c r="K18" s="39">
        <f>if(OR($F18=1, $F18=2),VLOOKUP($B18,Courts!$B$2:$J$50,7,false),0)</f>
        <v>0</v>
      </c>
      <c r="L18" s="42">
        <f t="shared" si="4"/>
        <v>0</v>
      </c>
      <c r="M18" s="39">
        <f>if(OR($F18=1, $F18=2),VLOOKUP($B18,Courts!$B$2:$J$50,9,false),0)</f>
        <v>0</v>
      </c>
      <c r="N18" s="32">
        <f t="shared" ref="N18:O18" si="22">C18+L18</f>
        <v>331</v>
      </c>
      <c r="O18" s="32">
        <f t="shared" si="22"/>
        <v>23</v>
      </c>
      <c r="P18" s="43" t="s">
        <v>53</v>
      </c>
      <c r="Q18" s="43" t="s">
        <v>53</v>
      </c>
      <c r="R18" s="43" t="s">
        <v>53</v>
      </c>
      <c r="S18" s="39">
        <f t="shared" si="6"/>
        <v>4</v>
      </c>
      <c r="T18" s="39"/>
      <c r="U18" s="39">
        <f t="shared" si="7"/>
        <v>2</v>
      </c>
      <c r="V18" s="39">
        <f t="shared" si="8"/>
        <v>0</v>
      </c>
      <c r="W18" s="30">
        <f t="shared" si="11"/>
        <v>14</v>
      </c>
    </row>
    <row r="19">
      <c r="A19" s="30">
        <f t="shared" si="9"/>
        <v>15</v>
      </c>
      <c r="B19" s="31" t="s">
        <v>89</v>
      </c>
      <c r="C19" s="32">
        <v>329.0</v>
      </c>
      <c r="D19" s="32">
        <v>24.0</v>
      </c>
      <c r="E19" s="35">
        <f t="shared" si="2"/>
        <v>17.33333333</v>
      </c>
      <c r="F19" s="37">
        <f>if(isna(VLOOKUP(B19,Checkin!A:B,2,false)),0,VLOOKUP(B19,Checkin!A:B,2,false))</f>
        <v>0</v>
      </c>
      <c r="G19" s="39">
        <f>if(OR($F19=1, $F19=2),VLOOKUP($B19,Courts!$B$2:$K$50,10,false),0)</f>
        <v>0</v>
      </c>
      <c r="H19" s="40">
        <f t="shared" si="3"/>
        <v>0</v>
      </c>
      <c r="I19" s="39">
        <f>if(OR($F19=1, $F19=2),VLOOKUP($B19,Courts!$B$2:$J$50,5,false),0)</f>
        <v>0</v>
      </c>
      <c r="J19" s="39">
        <f>if(OR($F19=1, $F19=2),VLOOKUP($B19,Courts!$B$2:$J$50,6,false),0)</f>
        <v>0</v>
      </c>
      <c r="K19" s="39">
        <f>if(OR($F19=1, $F19=2),VLOOKUP($B19,Courts!$B$2:$J$50,7,false),0)</f>
        <v>0</v>
      </c>
      <c r="L19" s="42">
        <f t="shared" si="4"/>
        <v>0</v>
      </c>
      <c r="M19" s="39">
        <f>if(OR($F19=1, $F19=2),VLOOKUP($B19,Courts!$B$2:$J$50,9,false),0)</f>
        <v>0</v>
      </c>
      <c r="N19" s="32">
        <f t="shared" ref="N19:O19" si="23">C19+L19</f>
        <v>329</v>
      </c>
      <c r="O19" s="32">
        <f t="shared" si="23"/>
        <v>24</v>
      </c>
      <c r="P19" s="43" t="s">
        <v>53</v>
      </c>
      <c r="Q19" s="43" t="s">
        <v>53</v>
      </c>
      <c r="R19" s="43" t="s">
        <v>53</v>
      </c>
      <c r="S19" s="39">
        <f t="shared" si="6"/>
        <v>5</v>
      </c>
      <c r="T19" s="39"/>
      <c r="U19" s="39">
        <f t="shared" si="7"/>
        <v>12</v>
      </c>
      <c r="V19" s="39">
        <f t="shared" si="8"/>
        <v>2</v>
      </c>
      <c r="W19" s="30">
        <f t="shared" si="11"/>
        <v>15</v>
      </c>
    </row>
    <row r="20">
      <c r="A20" s="30">
        <f t="shared" si="9"/>
        <v>16</v>
      </c>
      <c r="B20" s="51" t="s">
        <v>87</v>
      </c>
      <c r="C20" s="32">
        <v>322.0</v>
      </c>
      <c r="D20" s="32">
        <v>25.0</v>
      </c>
      <c r="E20" s="35">
        <f t="shared" si="2"/>
        <v>13.23529412</v>
      </c>
      <c r="F20" s="37">
        <f>if(isna(VLOOKUP(B20,Checkin!A:B,2,false)),0,VLOOKUP(B20,Checkin!A:B,2,false))</f>
        <v>0</v>
      </c>
      <c r="G20" s="39">
        <f>if(OR($F20=1, $F20=2),VLOOKUP($B20,Courts!$B$2:$K$50,10,false),0)</f>
        <v>0</v>
      </c>
      <c r="H20" s="40">
        <f t="shared" si="3"/>
        <v>0</v>
      </c>
      <c r="I20" s="39">
        <f>if(OR($F20=1, $F20=2),VLOOKUP($B20,Courts!$B$2:$J$50,5,false),0)</f>
        <v>0</v>
      </c>
      <c r="J20" s="39">
        <f>if(OR($F20=1, $F20=2),VLOOKUP($B20,Courts!$B$2:$J$50,6,false),0)</f>
        <v>0</v>
      </c>
      <c r="K20" s="39">
        <f>if(OR($F20=1, $F20=2),VLOOKUP($B20,Courts!$B$2:$J$50,7,false),0)</f>
        <v>0</v>
      </c>
      <c r="L20" s="42">
        <f t="shared" si="4"/>
        <v>0</v>
      </c>
      <c r="M20" s="39">
        <f>if(OR($F20=1, $F20=2),VLOOKUP($B20,Courts!$B$2:$J$50,9,false),0)</f>
        <v>0</v>
      </c>
      <c r="N20" s="32">
        <f t="shared" ref="N20:O20" si="24">C20+L20</f>
        <v>322</v>
      </c>
      <c r="O20" s="32">
        <f t="shared" si="24"/>
        <v>25</v>
      </c>
      <c r="P20" s="43" t="s">
        <v>53</v>
      </c>
      <c r="Q20" s="43" t="s">
        <v>53</v>
      </c>
      <c r="R20" s="43" t="s">
        <v>88</v>
      </c>
      <c r="S20" s="39">
        <f t="shared" si="6"/>
        <v>4</v>
      </c>
      <c r="T20" s="39"/>
      <c r="U20" s="39">
        <f t="shared" si="7"/>
        <v>5</v>
      </c>
      <c r="V20" s="39">
        <f t="shared" si="8"/>
        <v>-1</v>
      </c>
      <c r="W20" s="30">
        <f t="shared" si="11"/>
        <v>16</v>
      </c>
    </row>
    <row r="21">
      <c r="A21" s="30">
        <f t="shared" si="9"/>
        <v>17</v>
      </c>
      <c r="B21" s="31" t="s">
        <v>68</v>
      </c>
      <c r="C21" s="32">
        <v>321.0</v>
      </c>
      <c r="D21" s="32">
        <v>24.0</v>
      </c>
      <c r="E21" s="35">
        <f t="shared" si="2"/>
        <v>13.38888889</v>
      </c>
      <c r="F21" s="37">
        <f>if(isna(VLOOKUP(B21,Checkin!A:B,2,false)),0,VLOOKUP(B21,Checkin!A:B,2,false))</f>
        <v>0</v>
      </c>
      <c r="G21" s="39">
        <f>if(OR($F21=1, $F21=2),VLOOKUP($B21,Courts!$B$2:$K$50,10,false),0)</f>
        <v>0</v>
      </c>
      <c r="H21" s="40">
        <f t="shared" si="3"/>
        <v>0</v>
      </c>
      <c r="I21" s="39">
        <f>if(OR($F21=1, $F21=2),VLOOKUP($B21,Courts!$B$2:$J$50,5,false),0)</f>
        <v>0</v>
      </c>
      <c r="J21" s="39">
        <f>if(OR($F21=1, $F21=2),VLOOKUP($B21,Courts!$B$2:$J$50,6,false),0)</f>
        <v>0</v>
      </c>
      <c r="K21" s="39">
        <f>if(OR($F21=1, $F21=2),VLOOKUP($B21,Courts!$B$2:$J$50,7,false),0)</f>
        <v>0</v>
      </c>
      <c r="L21" s="42">
        <f t="shared" si="4"/>
        <v>0</v>
      </c>
      <c r="M21" s="39">
        <f>if(OR($F21=1, $F21=2),VLOOKUP($B21,Courts!$B$2:$J$50,9,false),0)</f>
        <v>0</v>
      </c>
      <c r="N21" s="32">
        <f t="shared" ref="N21:O21" si="25">C21+L21</f>
        <v>321</v>
      </c>
      <c r="O21" s="32">
        <f t="shared" si="25"/>
        <v>24</v>
      </c>
      <c r="P21" s="43" t="s">
        <v>53</v>
      </c>
      <c r="Q21" s="43" t="s">
        <v>53</v>
      </c>
      <c r="R21" s="43" t="s">
        <v>53</v>
      </c>
      <c r="S21" s="39">
        <f t="shared" si="6"/>
        <v>2</v>
      </c>
      <c r="T21" s="39"/>
      <c r="U21" s="39">
        <f t="shared" si="7"/>
        <v>6</v>
      </c>
      <c r="V21" s="39">
        <f t="shared" si="8"/>
        <v>-1</v>
      </c>
      <c r="W21" s="30">
        <f t="shared" si="11"/>
        <v>17</v>
      </c>
    </row>
    <row r="22">
      <c r="A22" s="30">
        <f t="shared" si="9"/>
        <v>18</v>
      </c>
      <c r="B22" s="31" t="s">
        <v>90</v>
      </c>
      <c r="C22" s="32">
        <v>318.0</v>
      </c>
      <c r="D22" s="32">
        <v>20.0</v>
      </c>
      <c r="E22" s="35">
        <f t="shared" si="2"/>
        <v>14.53846154</v>
      </c>
      <c r="F22" s="37">
        <f>if(isna(VLOOKUP(B22,Checkin!A:B,2,false)),0,VLOOKUP(B22,Checkin!A:B,2,false))</f>
        <v>0</v>
      </c>
      <c r="G22" s="39">
        <f>if(OR($F22=1, $F22=2),VLOOKUP($B22,Courts!$B$2:$K$50,10,false),0)</f>
        <v>0</v>
      </c>
      <c r="H22" s="40">
        <f t="shared" si="3"/>
        <v>0</v>
      </c>
      <c r="I22" s="39">
        <f>if(OR($F22=1, $F22=2),VLOOKUP($B22,Courts!$B$2:$J$50,5,false),0)</f>
        <v>0</v>
      </c>
      <c r="J22" s="39">
        <f>if(OR($F22=1, $F22=2),VLOOKUP($B22,Courts!$B$2:$J$50,6,false),0)</f>
        <v>0</v>
      </c>
      <c r="K22" s="39">
        <f>if(OR($F22=1, $F22=2),VLOOKUP($B22,Courts!$B$2:$J$50,7,false),0)</f>
        <v>0</v>
      </c>
      <c r="L22" s="42">
        <f t="shared" si="4"/>
        <v>0</v>
      </c>
      <c r="M22" s="39">
        <f>if(OR($F22=1, $F22=2),VLOOKUP($B22,Courts!$B$2:$J$50,9,false),0)</f>
        <v>0</v>
      </c>
      <c r="N22" s="32">
        <f t="shared" ref="N22:O22" si="26">C22+L22</f>
        <v>318</v>
      </c>
      <c r="O22" s="32">
        <f t="shared" si="26"/>
        <v>20</v>
      </c>
      <c r="P22" s="43" t="s">
        <v>53</v>
      </c>
      <c r="Q22" s="43" t="s">
        <v>53</v>
      </c>
      <c r="R22" s="43" t="s">
        <v>53</v>
      </c>
      <c r="S22" s="39">
        <f t="shared" si="6"/>
        <v>3</v>
      </c>
      <c r="T22" s="39"/>
      <c r="U22" s="39">
        <f t="shared" si="7"/>
        <v>10</v>
      </c>
      <c r="V22" s="39">
        <f t="shared" si="8"/>
        <v>0</v>
      </c>
      <c r="W22" s="30">
        <f t="shared" si="11"/>
        <v>18</v>
      </c>
    </row>
    <row r="23">
      <c r="A23" s="30">
        <f t="shared" si="9"/>
        <v>19</v>
      </c>
      <c r="B23" s="31" t="s">
        <v>91</v>
      </c>
      <c r="C23" s="32">
        <v>317.0</v>
      </c>
      <c r="D23" s="32">
        <v>25.0</v>
      </c>
      <c r="E23" s="35">
        <f t="shared" si="2"/>
        <v>13.9375</v>
      </c>
      <c r="F23" s="37">
        <f>if(isna(VLOOKUP(B23,Checkin!A:B,2,false)),0,VLOOKUP(B23,Checkin!A:B,2,false))</f>
        <v>0</v>
      </c>
      <c r="G23" s="39">
        <f>if(OR($F23=1, $F23=2),VLOOKUP($B23,Courts!$B$2:$K$50,10,false),0)</f>
        <v>0</v>
      </c>
      <c r="H23" s="40">
        <f t="shared" si="3"/>
        <v>0</v>
      </c>
      <c r="I23" s="39">
        <f>if(OR($F23=1, $F23=2),VLOOKUP($B23,Courts!$B$2:$J$50,5,false),0)</f>
        <v>0</v>
      </c>
      <c r="J23" s="39">
        <f>if(OR($F23=1, $F23=2),VLOOKUP($B23,Courts!$B$2:$J$50,6,false),0)</f>
        <v>0</v>
      </c>
      <c r="K23" s="39">
        <f>if(OR($F23=1, $F23=2),VLOOKUP($B23,Courts!$B$2:$J$50,7,false),0)</f>
        <v>0</v>
      </c>
      <c r="L23" s="42">
        <f t="shared" si="4"/>
        <v>0</v>
      </c>
      <c r="M23" s="39">
        <f>if(OR($F23=1, $F23=2),VLOOKUP($B23,Courts!$B$2:$J$50,9,false),0)</f>
        <v>0</v>
      </c>
      <c r="N23" s="32">
        <f t="shared" ref="N23:O23" si="27">C23+L23</f>
        <v>317</v>
      </c>
      <c r="O23" s="32">
        <f t="shared" si="27"/>
        <v>25</v>
      </c>
      <c r="P23" s="43" t="s">
        <v>53</v>
      </c>
      <c r="Q23" s="43" t="s">
        <v>53</v>
      </c>
      <c r="R23" s="43" t="s">
        <v>53</v>
      </c>
      <c r="S23" s="39">
        <f t="shared" si="6"/>
        <v>1</v>
      </c>
      <c r="T23" s="39"/>
      <c r="U23" s="39">
        <f t="shared" si="7"/>
        <v>9</v>
      </c>
      <c r="V23" s="39">
        <f t="shared" si="8"/>
        <v>0</v>
      </c>
      <c r="W23" s="30">
        <f t="shared" si="11"/>
        <v>19</v>
      </c>
    </row>
    <row r="24">
      <c r="A24" s="30">
        <f t="shared" si="9"/>
        <v>20</v>
      </c>
      <c r="B24" s="51" t="s">
        <v>92</v>
      </c>
      <c r="C24" s="32">
        <v>316.0</v>
      </c>
      <c r="D24" s="32">
        <v>23.0</v>
      </c>
      <c r="E24" s="35">
        <f t="shared" si="2"/>
        <v>16.8</v>
      </c>
      <c r="F24" s="37">
        <f>if(isna(VLOOKUP(B24,Checkin!A:B,2,false)),0,VLOOKUP(B24,Checkin!A:B,2,false))</f>
        <v>0</v>
      </c>
      <c r="G24" s="39">
        <f>if(OR($F24=1, $F24=2),VLOOKUP($B24,Courts!$B$2:$K$50,10,false),0)</f>
        <v>0</v>
      </c>
      <c r="H24" s="40">
        <f t="shared" si="3"/>
        <v>0</v>
      </c>
      <c r="I24" s="39">
        <f>if(OR($F24=1, $F24=2),VLOOKUP($B24,Courts!$B$2:$J$50,5,false),0)</f>
        <v>0</v>
      </c>
      <c r="J24" s="39">
        <f>if(OR($F24=1, $F24=2),VLOOKUP($B24,Courts!$B$2:$J$50,6,false),0)</f>
        <v>0</v>
      </c>
      <c r="K24" s="39">
        <f>if(OR($F24=1, $F24=2),VLOOKUP($B24,Courts!$B$2:$J$50,7,false),0)</f>
        <v>0</v>
      </c>
      <c r="L24" s="42">
        <f t="shared" si="4"/>
        <v>0</v>
      </c>
      <c r="M24" s="39">
        <f>if(OR($F24=1, $F24=2),VLOOKUP($B24,Courts!$B$2:$J$50,9,false),0)</f>
        <v>0</v>
      </c>
      <c r="N24" s="32">
        <f t="shared" ref="N24:O24" si="28">C24+L24</f>
        <v>316</v>
      </c>
      <c r="O24" s="32">
        <f t="shared" si="28"/>
        <v>23</v>
      </c>
      <c r="P24" s="43" t="s">
        <v>53</v>
      </c>
      <c r="Q24" s="43" t="s">
        <v>53</v>
      </c>
      <c r="R24" s="43" t="s">
        <v>88</v>
      </c>
      <c r="S24" s="39">
        <f t="shared" si="6"/>
        <v>1</v>
      </c>
      <c r="T24" s="39"/>
      <c r="U24" s="39">
        <f t="shared" si="7"/>
        <v>15</v>
      </c>
      <c r="V24" s="39">
        <f t="shared" si="8"/>
        <v>0</v>
      </c>
      <c r="W24" s="30">
        <f t="shared" si="11"/>
        <v>20</v>
      </c>
    </row>
    <row r="25">
      <c r="A25" s="30">
        <f t="shared" si="9"/>
        <v>21</v>
      </c>
      <c r="B25" s="31" t="s">
        <v>98</v>
      </c>
      <c r="C25" s="32">
        <v>315.0</v>
      </c>
      <c r="D25" s="32">
        <v>23.0</v>
      </c>
      <c r="E25" s="35">
        <f t="shared" si="2"/>
        <v>13.86666667</v>
      </c>
      <c r="F25" s="37">
        <f>if(isna(VLOOKUP(B25,Checkin!A:B,2,false)),0,VLOOKUP(B25,Checkin!A:B,2,false))</f>
        <v>0</v>
      </c>
      <c r="G25" s="39">
        <f>if(OR($F25=1, $F25=2),VLOOKUP($B25,Courts!$B$2:$K$50,10,false),0)</f>
        <v>0</v>
      </c>
      <c r="H25" s="40">
        <f t="shared" si="3"/>
        <v>0</v>
      </c>
      <c r="I25" s="39">
        <f>if(OR($F25=1, $F25=2),VLOOKUP($B25,Courts!$B$2:$J$50,5,false),0)</f>
        <v>0</v>
      </c>
      <c r="J25" s="39">
        <f>if(OR($F25=1, $F25=2),VLOOKUP($B25,Courts!$B$2:$J$50,6,false),0)</f>
        <v>0</v>
      </c>
      <c r="K25" s="39">
        <f>if(OR($F25=1, $F25=2),VLOOKUP($B25,Courts!$B$2:$J$50,7,false),0)</f>
        <v>0</v>
      </c>
      <c r="L25" s="42">
        <f t="shared" si="4"/>
        <v>0</v>
      </c>
      <c r="M25" s="39">
        <f>if(OR($F25=1, $F25=2),VLOOKUP($B25,Courts!$B$2:$J$50,9,false),0)</f>
        <v>0</v>
      </c>
      <c r="N25" s="32">
        <f t="shared" ref="N25:O25" si="29">C25+L25</f>
        <v>315</v>
      </c>
      <c r="O25" s="32">
        <f t="shared" si="29"/>
        <v>23</v>
      </c>
      <c r="P25" s="43" t="s">
        <v>53</v>
      </c>
      <c r="Q25" s="43" t="s">
        <v>53</v>
      </c>
      <c r="R25" s="43" t="s">
        <v>53</v>
      </c>
      <c r="S25" s="39">
        <f t="shared" si="6"/>
        <v>2</v>
      </c>
      <c r="T25" s="39"/>
      <c r="U25" s="39">
        <f t="shared" si="7"/>
        <v>9</v>
      </c>
      <c r="V25" s="39">
        <f t="shared" si="8"/>
        <v>6</v>
      </c>
      <c r="W25" s="30">
        <f t="shared" si="11"/>
        <v>21</v>
      </c>
    </row>
    <row r="26">
      <c r="A26" s="30">
        <f t="shared" si="9"/>
        <v>22</v>
      </c>
      <c r="B26" s="51" t="s">
        <v>76</v>
      </c>
      <c r="C26" s="32">
        <v>313.0</v>
      </c>
      <c r="D26" s="32">
        <v>29.0</v>
      </c>
      <c r="E26" s="35">
        <f t="shared" si="2"/>
        <v>13.38888889</v>
      </c>
      <c r="F26" s="37">
        <f>if(isna(VLOOKUP(B26,Checkin!A:B,2,false)),0,VLOOKUP(B26,Checkin!A:B,2,false))</f>
        <v>0</v>
      </c>
      <c r="G26" s="39">
        <f>if(OR($F26=1, $F26=2),VLOOKUP($B26,Courts!$B$2:$K$50,10,false),0)</f>
        <v>0</v>
      </c>
      <c r="H26" s="40">
        <f t="shared" si="3"/>
        <v>0</v>
      </c>
      <c r="I26" s="39">
        <f>if(OR($F26=1, $F26=2),VLOOKUP($B26,Courts!$B$2:$J$50,5,false),0)</f>
        <v>0</v>
      </c>
      <c r="J26" s="39">
        <f>if(OR($F26=1, $F26=2),VLOOKUP($B26,Courts!$B$2:$J$50,6,false),0)</f>
        <v>0</v>
      </c>
      <c r="K26" s="39">
        <f>if(OR($F26=1, $F26=2),VLOOKUP($B26,Courts!$B$2:$J$50,7,false),0)</f>
        <v>0</v>
      </c>
      <c r="L26" s="42">
        <f t="shared" si="4"/>
        <v>0</v>
      </c>
      <c r="M26" s="39">
        <f>if(OR($F26=1, $F26=2),VLOOKUP($B26,Courts!$B$2:$J$50,9,false),0)</f>
        <v>0</v>
      </c>
      <c r="N26" s="32">
        <f t="shared" ref="N26:O26" si="30">C26+L26</f>
        <v>313</v>
      </c>
      <c r="O26" s="32">
        <f t="shared" si="30"/>
        <v>29</v>
      </c>
      <c r="P26" s="43" t="s">
        <v>53</v>
      </c>
      <c r="Q26" s="43" t="s">
        <v>53</v>
      </c>
      <c r="R26" s="43" t="s">
        <v>53</v>
      </c>
      <c r="S26" s="39">
        <f t="shared" si="6"/>
        <v>0</v>
      </c>
      <c r="T26" s="39"/>
      <c r="U26" s="39">
        <f t="shared" si="7"/>
        <v>8</v>
      </c>
      <c r="V26" s="39">
        <f t="shared" si="8"/>
        <v>-1</v>
      </c>
      <c r="W26" s="30">
        <f t="shared" si="11"/>
        <v>22</v>
      </c>
    </row>
    <row r="27">
      <c r="A27" s="30">
        <f t="shared" si="9"/>
        <v>23</v>
      </c>
      <c r="B27" s="31" t="s">
        <v>97</v>
      </c>
      <c r="C27" s="32">
        <v>311.0</v>
      </c>
      <c r="D27" s="32">
        <v>21.0</v>
      </c>
      <c r="E27" s="35">
        <f t="shared" si="2"/>
        <v>13.92857143</v>
      </c>
      <c r="F27" s="37">
        <f>if(isna(VLOOKUP(B27,Checkin!A:B,2,false)),0,VLOOKUP(B27,Checkin!A:B,2,false))</f>
        <v>0</v>
      </c>
      <c r="G27" s="39">
        <f>if(OR($F27=1, $F27=2),VLOOKUP($B27,Courts!$B$2:$K$50,10,false),0)</f>
        <v>0</v>
      </c>
      <c r="H27" s="40">
        <f t="shared" si="3"/>
        <v>0</v>
      </c>
      <c r="I27" s="39">
        <f>if(OR($F27=1, $F27=2),VLOOKUP($B27,Courts!$B$2:$J$50,5,false),0)</f>
        <v>0</v>
      </c>
      <c r="J27" s="39">
        <f>if(OR($F27=1, $F27=2),VLOOKUP($B27,Courts!$B$2:$J$50,6,false),0)</f>
        <v>0</v>
      </c>
      <c r="K27" s="39">
        <f>if(OR($F27=1, $F27=2),VLOOKUP($B27,Courts!$B$2:$J$50,7,false),0)</f>
        <v>0</v>
      </c>
      <c r="L27" s="42">
        <f t="shared" si="4"/>
        <v>0</v>
      </c>
      <c r="M27" s="39">
        <f>if(OR($F27=1, $F27=2),VLOOKUP($B27,Courts!$B$2:$J$50,9,false),0)</f>
        <v>0</v>
      </c>
      <c r="N27" s="32">
        <f t="shared" ref="N27:O27" si="31">C27+L27</f>
        <v>311</v>
      </c>
      <c r="O27" s="32">
        <f t="shared" si="31"/>
        <v>21</v>
      </c>
      <c r="P27" s="43" t="s">
        <v>53</v>
      </c>
      <c r="Q27" s="43" t="s">
        <v>53</v>
      </c>
      <c r="R27" s="43" t="s">
        <v>53</v>
      </c>
      <c r="S27" s="39">
        <f t="shared" si="6"/>
        <v>2</v>
      </c>
      <c r="T27" s="39"/>
      <c r="U27" s="39">
        <f t="shared" si="7"/>
        <v>10</v>
      </c>
      <c r="V27" s="39">
        <f t="shared" si="8"/>
        <v>3</v>
      </c>
      <c r="W27" s="30">
        <f t="shared" si="11"/>
        <v>23</v>
      </c>
    </row>
    <row r="28">
      <c r="A28" s="30">
        <f t="shared" si="9"/>
        <v>24</v>
      </c>
      <c r="B28" s="51" t="s">
        <v>94</v>
      </c>
      <c r="C28" s="32">
        <v>311.0</v>
      </c>
      <c r="D28" s="32">
        <v>18.0</v>
      </c>
      <c r="E28" s="35">
        <f t="shared" si="2"/>
        <v>14.75</v>
      </c>
      <c r="F28" s="37">
        <f>if(isna(VLOOKUP(B28,Checkin!A:B,2,false)),0,VLOOKUP(B28,Checkin!A:B,2,false))</f>
        <v>0</v>
      </c>
      <c r="G28" s="39">
        <f>if(OR($F28=1, $F28=2),VLOOKUP($B28,Courts!$B$2:$K$50,10,false),0)</f>
        <v>0</v>
      </c>
      <c r="H28" s="40">
        <f t="shared" si="3"/>
        <v>0</v>
      </c>
      <c r="I28" s="39">
        <f>if(OR($F28=1, $F28=2),VLOOKUP($B28,Courts!$B$2:$J$50,5,false),0)</f>
        <v>0</v>
      </c>
      <c r="J28" s="39">
        <f>if(OR($F28=1, $F28=2),VLOOKUP($B28,Courts!$B$2:$J$50,6,false),0)</f>
        <v>0</v>
      </c>
      <c r="K28" s="39">
        <f>if(OR($F28=1, $F28=2),VLOOKUP($B28,Courts!$B$2:$J$50,7,false),0)</f>
        <v>0</v>
      </c>
      <c r="L28" s="42">
        <f t="shared" si="4"/>
        <v>0</v>
      </c>
      <c r="M28" s="39">
        <f>if(OR($F28=1, $F28=2),VLOOKUP($B28,Courts!$B$2:$J$50,9,false),0)</f>
        <v>0</v>
      </c>
      <c r="N28" s="32">
        <f t="shared" ref="N28:O28" si="32">C28+L28</f>
        <v>311</v>
      </c>
      <c r="O28" s="32">
        <f t="shared" si="32"/>
        <v>18</v>
      </c>
      <c r="P28" s="43" t="s">
        <v>53</v>
      </c>
      <c r="Q28" s="43" t="s">
        <v>53</v>
      </c>
      <c r="R28" s="43" t="s">
        <v>53</v>
      </c>
      <c r="S28" s="39">
        <f t="shared" si="6"/>
        <v>2</v>
      </c>
      <c r="T28" s="39"/>
      <c r="U28" s="39">
        <f t="shared" si="7"/>
        <v>12</v>
      </c>
      <c r="V28" s="39">
        <f t="shared" si="8"/>
        <v>-1</v>
      </c>
      <c r="W28" s="30">
        <f t="shared" si="11"/>
        <v>24</v>
      </c>
    </row>
    <row r="29">
      <c r="A29" s="30">
        <f t="shared" si="9"/>
        <v>25</v>
      </c>
      <c r="B29" s="51" t="s">
        <v>95</v>
      </c>
      <c r="C29" s="32">
        <v>309.0</v>
      </c>
      <c r="D29" s="32">
        <v>22.0</v>
      </c>
      <c r="E29" s="35">
        <f t="shared" si="2"/>
        <v>15.45454545</v>
      </c>
      <c r="F29" s="37">
        <f>if(isna(VLOOKUP(B29,Checkin!A:B,2,false)),0,VLOOKUP(B29,Checkin!A:B,2,false))</f>
        <v>0</v>
      </c>
      <c r="G29" s="39">
        <f>if(OR($F29=1, $F29=2),VLOOKUP($B29,Courts!$B$2:$K$50,10,false),0)</f>
        <v>0</v>
      </c>
      <c r="H29" s="40">
        <f t="shared" si="3"/>
        <v>0</v>
      </c>
      <c r="I29" s="39">
        <f>if(OR($F29=1, $F29=2),VLOOKUP($B29,Courts!$B$2:$J$50,5,false),0)</f>
        <v>0</v>
      </c>
      <c r="J29" s="39">
        <f>if(OR($F29=1, $F29=2),VLOOKUP($B29,Courts!$B$2:$J$50,6,false),0)</f>
        <v>0</v>
      </c>
      <c r="K29" s="39">
        <f>if(OR($F29=1, $F29=2),VLOOKUP($B29,Courts!$B$2:$J$50,7,false),0)</f>
        <v>0</v>
      </c>
      <c r="L29" s="42">
        <f t="shared" si="4"/>
        <v>0</v>
      </c>
      <c r="M29" s="39">
        <f>if(OR($F29=1, $F29=2),VLOOKUP($B29,Courts!$B$2:$J$50,9,false),0)</f>
        <v>0</v>
      </c>
      <c r="N29" s="32">
        <f t="shared" ref="N29:O29" si="33">C29+L29</f>
        <v>309</v>
      </c>
      <c r="O29" s="32">
        <f t="shared" si="33"/>
        <v>22</v>
      </c>
      <c r="P29" s="43" t="s">
        <v>53</v>
      </c>
      <c r="Q29" s="43" t="s">
        <v>53</v>
      </c>
      <c r="R29" s="43" t="s">
        <v>53</v>
      </c>
      <c r="S29" s="39">
        <f t="shared" si="6"/>
        <v>1</v>
      </c>
      <c r="T29" s="39"/>
      <c r="U29" s="39">
        <f t="shared" si="7"/>
        <v>14</v>
      </c>
      <c r="V29" s="39">
        <f t="shared" si="8"/>
        <v>-1</v>
      </c>
      <c r="W29" s="30">
        <f t="shared" si="11"/>
        <v>25</v>
      </c>
    </row>
    <row r="30">
      <c r="A30" s="30">
        <f t="shared" si="9"/>
        <v>26</v>
      </c>
      <c r="B30" s="51" t="s">
        <v>93</v>
      </c>
      <c r="C30" s="32">
        <v>308.0</v>
      </c>
      <c r="D30" s="32">
        <v>25.0</v>
      </c>
      <c r="E30" s="35">
        <f t="shared" si="2"/>
        <v>12.08333333</v>
      </c>
      <c r="F30" s="37">
        <f>if(isna(VLOOKUP(B30,Checkin!A:B,2,false)),0,VLOOKUP(B30,Checkin!A:B,2,false))</f>
        <v>0</v>
      </c>
      <c r="G30" s="39">
        <f>if(OR($F30=1, $F30=2),VLOOKUP($B30,Courts!$B$2:$K$50,10,false),0)</f>
        <v>0</v>
      </c>
      <c r="H30" s="40">
        <f t="shared" si="3"/>
        <v>0</v>
      </c>
      <c r="I30" s="39">
        <f>if(OR($F30=1, $F30=2),VLOOKUP($B30,Courts!$B$2:$J$50,5,false),0)</f>
        <v>0</v>
      </c>
      <c r="J30" s="39">
        <f>if(OR($F30=1, $F30=2),VLOOKUP($B30,Courts!$B$2:$J$50,6,false),0)</f>
        <v>0</v>
      </c>
      <c r="K30" s="39">
        <f>if(OR($F30=1, $F30=2),VLOOKUP($B30,Courts!$B$2:$J$50,7,false),0)</f>
        <v>0</v>
      </c>
      <c r="L30" s="42">
        <f t="shared" si="4"/>
        <v>0</v>
      </c>
      <c r="M30" s="39">
        <f>if(OR($F30=1, $F30=2),VLOOKUP($B30,Courts!$B$2:$J$50,9,false),0)</f>
        <v>0</v>
      </c>
      <c r="N30" s="32">
        <f t="shared" ref="N30:O30" si="34">C30+L30</f>
        <v>308</v>
      </c>
      <c r="O30" s="32">
        <f t="shared" si="34"/>
        <v>25</v>
      </c>
      <c r="P30" s="43" t="s">
        <v>53</v>
      </c>
      <c r="Q30" s="43" t="s">
        <v>53</v>
      </c>
      <c r="R30" s="43" t="s">
        <v>53</v>
      </c>
      <c r="S30" s="39">
        <f t="shared" si="6"/>
        <v>0</v>
      </c>
      <c r="T30" s="39"/>
      <c r="U30" s="39">
        <f t="shared" si="7"/>
        <v>2</v>
      </c>
      <c r="V30" s="39">
        <f t="shared" si="8"/>
        <v>-4</v>
      </c>
      <c r="W30" s="30">
        <f t="shared" si="11"/>
        <v>26</v>
      </c>
    </row>
    <row r="31">
      <c r="A31" s="30">
        <f t="shared" si="9"/>
        <v>27</v>
      </c>
      <c r="B31" s="51" t="s">
        <v>99</v>
      </c>
      <c r="C31" s="32">
        <v>308.0</v>
      </c>
      <c r="D31" s="32">
        <v>22.0</v>
      </c>
      <c r="E31" s="35">
        <f t="shared" si="2"/>
        <v>12.5</v>
      </c>
      <c r="F31" s="37">
        <f>if(isna(VLOOKUP(B31,Checkin!A:B,2,false)),0,VLOOKUP(B31,Checkin!A:B,2,false))</f>
        <v>0</v>
      </c>
      <c r="G31" s="39">
        <f>if(OR($F31=1, $F31=2),VLOOKUP($B31,Courts!$B$2:$K$50,10,false),0)</f>
        <v>0</v>
      </c>
      <c r="H31" s="40">
        <f t="shared" si="3"/>
        <v>0</v>
      </c>
      <c r="I31" s="39">
        <f>if(OR($F31=1, $F31=2),VLOOKUP($B31,Courts!$B$2:$J$50,5,false),0)</f>
        <v>0</v>
      </c>
      <c r="J31" s="39">
        <f>if(OR($F31=1, $F31=2),VLOOKUP($B31,Courts!$B$2:$J$50,6,false),0)</f>
        <v>0</v>
      </c>
      <c r="K31" s="39">
        <f>if(OR($F31=1, $F31=2),VLOOKUP($B31,Courts!$B$2:$J$50,7,false),0)</f>
        <v>0</v>
      </c>
      <c r="L31" s="42">
        <f t="shared" si="4"/>
        <v>0</v>
      </c>
      <c r="M31" s="39">
        <f>if(OR($F31=1, $F31=2),VLOOKUP($B31,Courts!$B$2:$J$50,9,false),0)</f>
        <v>0</v>
      </c>
      <c r="N31" s="32">
        <f t="shared" ref="N31:O31" si="35">C31+L31</f>
        <v>308</v>
      </c>
      <c r="O31" s="32">
        <f t="shared" si="35"/>
        <v>22</v>
      </c>
      <c r="P31" s="43" t="s">
        <v>53</v>
      </c>
      <c r="Q31" s="43" t="s">
        <v>53</v>
      </c>
      <c r="R31" s="43" t="s">
        <v>53</v>
      </c>
      <c r="S31" s="39">
        <f t="shared" si="6"/>
        <v>1</v>
      </c>
      <c r="T31" s="39"/>
      <c r="U31" s="39">
        <f t="shared" si="7"/>
        <v>5</v>
      </c>
      <c r="V31" s="39">
        <f t="shared" si="8"/>
        <v>1</v>
      </c>
      <c r="W31" s="30">
        <f t="shared" si="11"/>
        <v>27</v>
      </c>
    </row>
    <row r="32">
      <c r="A32" s="30">
        <f t="shared" si="9"/>
        <v>28</v>
      </c>
      <c r="B32" s="56" t="s">
        <v>101</v>
      </c>
      <c r="C32" s="32">
        <v>308.0</v>
      </c>
      <c r="D32" s="32">
        <v>20.0</v>
      </c>
      <c r="E32" s="35">
        <f t="shared" si="2"/>
        <v>13.35294118</v>
      </c>
      <c r="F32" s="37">
        <f>if(isna(VLOOKUP(B32,Checkin!A:B,2,false)),0,VLOOKUP(B32,Checkin!A:B,2,false))</f>
        <v>0</v>
      </c>
      <c r="G32" s="39">
        <f>if(OR($F32=1, $F32=2),VLOOKUP($B32,Courts!$B$2:$K$50,10,false),0)</f>
        <v>0</v>
      </c>
      <c r="H32" s="40">
        <f t="shared" si="3"/>
        <v>0</v>
      </c>
      <c r="I32" s="39">
        <f>if(OR($F32=1, $F32=2),VLOOKUP($B32,Courts!$B$2:$J$50,5,false),0)</f>
        <v>0</v>
      </c>
      <c r="J32" s="39">
        <f>if(OR($F32=1, $F32=2),VLOOKUP($B32,Courts!$B$2:$J$50,6,false),0)</f>
        <v>0</v>
      </c>
      <c r="K32" s="39">
        <f>if(OR($F32=1, $F32=2),VLOOKUP($B32,Courts!$B$2:$J$50,7,false),0)</f>
        <v>0</v>
      </c>
      <c r="L32" s="42">
        <f t="shared" si="4"/>
        <v>0</v>
      </c>
      <c r="M32" s="39">
        <f>if(OR($F32=1, $F32=2),VLOOKUP($B32,Courts!$B$2:$J$50,9,false),0)</f>
        <v>0</v>
      </c>
      <c r="N32" s="32">
        <f t="shared" ref="N32:O32" si="36">C32+L32</f>
        <v>308</v>
      </c>
      <c r="O32" s="32">
        <f t="shared" si="36"/>
        <v>20</v>
      </c>
      <c r="P32" s="43" t="s">
        <v>53</v>
      </c>
      <c r="Q32" s="43" t="s">
        <v>53</v>
      </c>
      <c r="R32" s="43" t="s">
        <v>53</v>
      </c>
      <c r="S32" s="39">
        <f t="shared" si="6"/>
        <v>0</v>
      </c>
      <c r="T32" s="39"/>
      <c r="U32" s="39">
        <f t="shared" si="7"/>
        <v>9</v>
      </c>
      <c r="V32" s="39">
        <f t="shared" si="8"/>
        <v>2</v>
      </c>
      <c r="W32" s="30">
        <f t="shared" si="11"/>
        <v>28</v>
      </c>
    </row>
    <row r="33">
      <c r="A33" s="30">
        <f t="shared" si="9"/>
        <v>29</v>
      </c>
      <c r="B33" s="31" t="s">
        <v>96</v>
      </c>
      <c r="C33" s="32">
        <v>307.0</v>
      </c>
      <c r="D33" s="32">
        <v>24.0</v>
      </c>
      <c r="E33" s="35">
        <f t="shared" si="2"/>
        <v>13.33333333</v>
      </c>
      <c r="F33" s="37">
        <f>if(isna(VLOOKUP(B33,Checkin!A:B,2,false)),0,VLOOKUP(B33,Checkin!A:B,2,false))</f>
        <v>0</v>
      </c>
      <c r="G33" s="39">
        <f>if(OR($F33=1, $F33=2),VLOOKUP($B33,Courts!$B$2:$K$50,10,false),0)</f>
        <v>0</v>
      </c>
      <c r="H33" s="40">
        <f t="shared" si="3"/>
        <v>0</v>
      </c>
      <c r="I33" s="39">
        <f>if(OR($F33=1, $F33=2),VLOOKUP($B33,Courts!$B$2:$J$50,5,false),0)</f>
        <v>0</v>
      </c>
      <c r="J33" s="39">
        <f>if(OR($F33=1, $F33=2),VLOOKUP($B33,Courts!$B$2:$J$50,6,false),0)</f>
        <v>0</v>
      </c>
      <c r="K33" s="39">
        <f>if(OR($F33=1, $F33=2),VLOOKUP($B33,Courts!$B$2:$J$50,7,false),0)</f>
        <v>0</v>
      </c>
      <c r="L33" s="42">
        <f t="shared" si="4"/>
        <v>0</v>
      </c>
      <c r="M33" s="39">
        <f>if(OR($F33=1, $F33=2),VLOOKUP($B33,Courts!$B$2:$J$50,9,false),0)</f>
        <v>0</v>
      </c>
      <c r="N33" s="32">
        <f t="shared" ref="N33:O33" si="37">C33+L33</f>
        <v>307</v>
      </c>
      <c r="O33" s="32">
        <f t="shared" si="37"/>
        <v>24</v>
      </c>
      <c r="P33" s="43" t="s">
        <v>53</v>
      </c>
      <c r="Q33" s="43" t="s">
        <v>53</v>
      </c>
      <c r="R33" s="43" t="s">
        <v>53</v>
      </c>
      <c r="S33" s="39">
        <f t="shared" si="6"/>
        <v>2</v>
      </c>
      <c r="T33" s="39"/>
      <c r="U33" s="39">
        <f t="shared" si="7"/>
        <v>9</v>
      </c>
      <c r="V33" s="39">
        <f t="shared" si="8"/>
        <v>-4</v>
      </c>
      <c r="W33" s="30">
        <f t="shared" si="11"/>
        <v>29</v>
      </c>
    </row>
    <row r="34">
      <c r="A34" s="30">
        <f t="shared" si="9"/>
        <v>30</v>
      </c>
      <c r="B34" s="51" t="s">
        <v>100</v>
      </c>
      <c r="C34" s="32">
        <v>305.0</v>
      </c>
      <c r="D34" s="32">
        <v>19.0</v>
      </c>
      <c r="E34" s="35">
        <f t="shared" si="2"/>
        <v>14.72727273</v>
      </c>
      <c r="F34" s="37">
        <f>if(isna(VLOOKUP(B34,Checkin!A:B,2,false)),0,VLOOKUP(B34,Checkin!A:B,2,false))</f>
        <v>0</v>
      </c>
      <c r="G34" s="39">
        <f>if(OR($F34=1, $F34=2),VLOOKUP($B34,Courts!$B$2:$K$50,10,false),0)</f>
        <v>0</v>
      </c>
      <c r="H34" s="40">
        <f t="shared" si="3"/>
        <v>0</v>
      </c>
      <c r="I34" s="39">
        <f>if(OR($F34=1, $F34=2),VLOOKUP($B34,Courts!$B$2:$J$50,5,false),0)</f>
        <v>0</v>
      </c>
      <c r="J34" s="39">
        <f>if(OR($F34=1, $F34=2),VLOOKUP($B34,Courts!$B$2:$J$50,6,false),0)</f>
        <v>0</v>
      </c>
      <c r="K34" s="39">
        <f>if(OR($F34=1, $F34=2),VLOOKUP($B34,Courts!$B$2:$J$50,7,false),0)</f>
        <v>0</v>
      </c>
      <c r="L34" s="42">
        <f t="shared" si="4"/>
        <v>0</v>
      </c>
      <c r="M34" s="39">
        <f>if(OR($F34=1, $F34=2),VLOOKUP($B34,Courts!$B$2:$J$50,9,false),0)</f>
        <v>0</v>
      </c>
      <c r="N34" s="32">
        <f t="shared" ref="N34:O34" si="38">C34+L34</f>
        <v>305</v>
      </c>
      <c r="O34" s="32">
        <f t="shared" si="38"/>
        <v>19</v>
      </c>
      <c r="P34" s="43" t="s">
        <v>53</v>
      </c>
      <c r="Q34" s="43" t="s">
        <v>53</v>
      </c>
      <c r="R34" s="43" t="s">
        <v>53</v>
      </c>
      <c r="S34" s="39">
        <f t="shared" si="6"/>
        <v>2</v>
      </c>
      <c r="T34" s="39"/>
      <c r="U34" s="39">
        <f t="shared" si="7"/>
        <v>13</v>
      </c>
      <c r="V34" s="39">
        <f t="shared" si="8"/>
        <v>-1</v>
      </c>
      <c r="W34" s="30">
        <f t="shared" si="11"/>
        <v>30</v>
      </c>
    </row>
    <row r="35">
      <c r="A35" s="30">
        <f t="shared" si="9"/>
        <v>31</v>
      </c>
      <c r="B35" s="31" t="s">
        <v>79</v>
      </c>
      <c r="C35" s="32">
        <v>303.0</v>
      </c>
      <c r="D35" s="32">
        <v>22.0</v>
      </c>
      <c r="E35" s="35">
        <f t="shared" si="2"/>
        <v>13.75</v>
      </c>
      <c r="F35" s="37">
        <f>if(isna(VLOOKUP(B35,Checkin!A:B,2,false)),0,VLOOKUP(B35,Checkin!A:B,2,false))</f>
        <v>0</v>
      </c>
      <c r="G35" s="39">
        <f>if(OR($F35=1, $F35=2),VLOOKUP($B35,Courts!$B$2:$K$50,10,false),0)</f>
        <v>0</v>
      </c>
      <c r="H35" s="40">
        <f t="shared" si="3"/>
        <v>0</v>
      </c>
      <c r="I35" s="39">
        <f>if(OR($F35=1, $F35=2),VLOOKUP($B35,Courts!$B$2:$J$50,5,false),0)</f>
        <v>0</v>
      </c>
      <c r="J35" s="39">
        <f>if(OR($F35=1, $F35=2),VLOOKUP($B35,Courts!$B$2:$J$50,6,false),0)</f>
        <v>0</v>
      </c>
      <c r="K35" s="39">
        <f>if(OR($F35=1, $F35=2),VLOOKUP($B35,Courts!$B$2:$J$50,7,false),0)</f>
        <v>0</v>
      </c>
      <c r="L35" s="42">
        <f t="shared" si="4"/>
        <v>0</v>
      </c>
      <c r="M35" s="39">
        <f>if(OR($F35=1, $F35=2),VLOOKUP($B35,Courts!$B$2:$J$50,9,false),0)</f>
        <v>0</v>
      </c>
      <c r="N35" s="32">
        <f t="shared" ref="N35:O35" si="39">C35+L35</f>
        <v>303</v>
      </c>
      <c r="O35" s="32">
        <f t="shared" si="39"/>
        <v>22</v>
      </c>
      <c r="P35" s="43" t="s">
        <v>53</v>
      </c>
      <c r="Q35" s="43" t="s">
        <v>53</v>
      </c>
      <c r="R35" s="43" t="s">
        <v>53</v>
      </c>
      <c r="S35" s="39">
        <f t="shared" si="6"/>
        <v>3</v>
      </c>
      <c r="T35" s="39"/>
      <c r="U35" s="39">
        <f t="shared" si="7"/>
        <v>11</v>
      </c>
      <c r="V35" s="39">
        <f t="shared" si="8"/>
        <v>0</v>
      </c>
      <c r="W35" s="30">
        <f t="shared" si="11"/>
        <v>31</v>
      </c>
    </row>
    <row r="36">
      <c r="A36" s="30">
        <f t="shared" si="9"/>
        <v>32</v>
      </c>
      <c r="B36" s="51" t="s">
        <v>104</v>
      </c>
      <c r="C36" s="32">
        <v>300.0</v>
      </c>
      <c r="D36" s="32">
        <v>25.0</v>
      </c>
      <c r="E36" s="35">
        <f t="shared" si="2"/>
        <v>12.47368421</v>
      </c>
      <c r="F36" s="37">
        <f>if(isna(VLOOKUP(B36,Checkin!A:B,2,false)),0,VLOOKUP(B36,Checkin!A:B,2,false))</f>
        <v>0</v>
      </c>
      <c r="G36" s="39">
        <f>if(OR($F36=1, $F36=2),VLOOKUP($B36,Courts!$B$2:$K$50,10,false),0)</f>
        <v>0</v>
      </c>
      <c r="H36" s="40">
        <f t="shared" si="3"/>
        <v>0</v>
      </c>
      <c r="I36" s="39">
        <f>if(OR($F36=1, $F36=2),VLOOKUP($B36,Courts!$B$2:$J$50,5,false),0)</f>
        <v>0</v>
      </c>
      <c r="J36" s="39">
        <f>if(OR($F36=1, $F36=2),VLOOKUP($B36,Courts!$B$2:$J$50,6,false),0)</f>
        <v>0</v>
      </c>
      <c r="K36" s="39">
        <f>if(OR($F36=1, $F36=2),VLOOKUP($B36,Courts!$B$2:$J$50,7,false),0)</f>
        <v>0</v>
      </c>
      <c r="L36" s="42">
        <f t="shared" si="4"/>
        <v>0</v>
      </c>
      <c r="M36" s="39">
        <f>if(OR($F36=1, $F36=2),VLOOKUP($B36,Courts!$B$2:$J$50,9,false),0)</f>
        <v>0</v>
      </c>
      <c r="N36" s="32">
        <f t="shared" ref="N36:O36" si="40">C36+L36</f>
        <v>300</v>
      </c>
      <c r="O36" s="32">
        <f t="shared" si="40"/>
        <v>25</v>
      </c>
      <c r="P36" s="43" t="s">
        <v>53</v>
      </c>
      <c r="Q36" s="43" t="s">
        <v>53</v>
      </c>
      <c r="R36" s="43" t="s">
        <v>53</v>
      </c>
      <c r="S36" s="39">
        <f t="shared" si="6"/>
        <v>0</v>
      </c>
      <c r="T36" s="39"/>
      <c r="U36" s="39">
        <f t="shared" si="7"/>
        <v>7</v>
      </c>
      <c r="V36" s="39">
        <f t="shared" si="8"/>
        <v>2</v>
      </c>
      <c r="W36" s="30">
        <f t="shared" si="11"/>
        <v>32</v>
      </c>
    </row>
    <row r="37">
      <c r="A37" s="30">
        <f t="shared" si="9"/>
        <v>33</v>
      </c>
      <c r="B37" s="51" t="s">
        <v>102</v>
      </c>
      <c r="C37" s="32">
        <v>298.0</v>
      </c>
      <c r="D37" s="32">
        <v>17.0</v>
      </c>
      <c r="E37" s="35">
        <f t="shared" si="2"/>
        <v>14.6</v>
      </c>
      <c r="F37" s="37">
        <f>if(isna(VLOOKUP(B37,Checkin!A:B,2,false)),0,VLOOKUP(B37,Checkin!A:B,2,false))</f>
        <v>0</v>
      </c>
      <c r="G37" s="39">
        <f>if(OR($F37=1, $F37=2),VLOOKUP($B37,Courts!$B$2:$K$50,10,false),0)</f>
        <v>0</v>
      </c>
      <c r="H37" s="40">
        <f t="shared" si="3"/>
        <v>0</v>
      </c>
      <c r="I37" s="39">
        <f>if(OR($F37=1, $F37=2),VLOOKUP($B37,Courts!$B$2:$J$50,5,false),0)</f>
        <v>0</v>
      </c>
      <c r="J37" s="39">
        <f>if(OR($F37=1, $F37=2),VLOOKUP($B37,Courts!$B$2:$J$50,6,false),0)</f>
        <v>0</v>
      </c>
      <c r="K37" s="39">
        <f>if(OR($F37=1, $F37=2),VLOOKUP($B37,Courts!$B$2:$J$50,7,false),0)</f>
        <v>0</v>
      </c>
      <c r="L37" s="42">
        <f t="shared" si="4"/>
        <v>0</v>
      </c>
      <c r="M37" s="39">
        <f>if(OR($F37=1, $F37=2),VLOOKUP($B37,Courts!$B$2:$J$50,9,false),0)</f>
        <v>0</v>
      </c>
      <c r="N37" s="32">
        <f t="shared" ref="N37:O37" si="41">C37+L37</f>
        <v>298</v>
      </c>
      <c r="O37" s="32">
        <f t="shared" si="41"/>
        <v>17</v>
      </c>
      <c r="P37" s="43" t="s">
        <v>53</v>
      </c>
      <c r="Q37" s="43" t="s">
        <v>53</v>
      </c>
      <c r="R37" s="43" t="s">
        <v>53</v>
      </c>
      <c r="S37" s="39">
        <f t="shared" si="6"/>
        <v>2</v>
      </c>
      <c r="T37" s="39"/>
      <c r="U37" s="39">
        <f t="shared" si="7"/>
        <v>14</v>
      </c>
      <c r="V37" s="39">
        <f t="shared" si="8"/>
        <v>-1</v>
      </c>
      <c r="W37" s="30">
        <f t="shared" si="11"/>
        <v>33</v>
      </c>
    </row>
    <row r="38">
      <c r="A38" s="30">
        <f t="shared" si="9"/>
        <v>34</v>
      </c>
      <c r="B38" s="51" t="s">
        <v>103</v>
      </c>
      <c r="C38" s="32">
        <v>294.0</v>
      </c>
      <c r="D38" s="32">
        <v>18.0</v>
      </c>
      <c r="E38" s="35">
        <f t="shared" si="2"/>
        <v>14.2</v>
      </c>
      <c r="F38" s="37">
        <f>if(isna(VLOOKUP(B38,Checkin!A:B,2,false)),0,VLOOKUP(B38,Checkin!A:B,2,false))</f>
        <v>0</v>
      </c>
      <c r="G38" s="39">
        <f>if(OR($F38=1, $F38=2),VLOOKUP($B38,Courts!$B$2:$K$50,10,false),0)</f>
        <v>0</v>
      </c>
      <c r="H38" s="40">
        <f t="shared" si="3"/>
        <v>0</v>
      </c>
      <c r="I38" s="39">
        <f>if(OR($F38=1, $F38=2),VLOOKUP($B38,Courts!$B$2:$J$50,5,false),0)</f>
        <v>0</v>
      </c>
      <c r="J38" s="39">
        <f>if(OR($F38=1, $F38=2),VLOOKUP($B38,Courts!$B$2:$J$50,6,false),0)</f>
        <v>0</v>
      </c>
      <c r="K38" s="39">
        <f>if(OR($F38=1, $F38=2),VLOOKUP($B38,Courts!$B$2:$J$50,7,false),0)</f>
        <v>0</v>
      </c>
      <c r="L38" s="42">
        <f t="shared" si="4"/>
        <v>0</v>
      </c>
      <c r="M38" s="39">
        <f>if(OR($F38=1, $F38=2),VLOOKUP($B38,Courts!$B$2:$J$50,9,false),0)</f>
        <v>0</v>
      </c>
      <c r="N38" s="32">
        <f t="shared" ref="N38:O38" si="42">C38+L38</f>
        <v>294</v>
      </c>
      <c r="O38" s="32">
        <f t="shared" si="42"/>
        <v>18</v>
      </c>
      <c r="P38" s="43" t="s">
        <v>53</v>
      </c>
      <c r="Q38" s="43" t="s">
        <v>53</v>
      </c>
      <c r="R38" s="43" t="s">
        <v>53</v>
      </c>
      <c r="S38" s="39">
        <f t="shared" si="6"/>
        <v>2</v>
      </c>
      <c r="T38" s="39"/>
      <c r="U38" s="39">
        <f t="shared" si="7"/>
        <v>14</v>
      </c>
      <c r="V38" s="39">
        <f t="shared" si="8"/>
        <v>-1</v>
      </c>
      <c r="W38" s="30">
        <f t="shared" si="11"/>
        <v>34</v>
      </c>
    </row>
    <row r="39">
      <c r="A39" s="30">
        <f t="shared" si="9"/>
        <v>35</v>
      </c>
      <c r="B39" s="31" t="s">
        <v>46</v>
      </c>
      <c r="C39" s="32">
        <v>292.0</v>
      </c>
      <c r="D39" s="32">
        <v>22.0</v>
      </c>
      <c r="E39" s="35">
        <f t="shared" si="2"/>
        <v>12.05263158</v>
      </c>
      <c r="F39" s="37">
        <f>if(isna(VLOOKUP(B39,Checkin!A:B,2,false)),0,VLOOKUP(B39,Checkin!A:B,2,false))</f>
        <v>0</v>
      </c>
      <c r="G39" s="39">
        <f>if(OR($F39=1, $F39=2),VLOOKUP($B39,Courts!$B$2:$K$50,10,false),0)</f>
        <v>0</v>
      </c>
      <c r="H39" s="40">
        <f t="shared" si="3"/>
        <v>0</v>
      </c>
      <c r="I39" s="39">
        <f>if(OR($F39=1, $F39=2),VLOOKUP($B39,Courts!$B$2:$J$50,5,false),0)</f>
        <v>0</v>
      </c>
      <c r="J39" s="39">
        <f>if(OR($F39=1, $F39=2),VLOOKUP($B39,Courts!$B$2:$J$50,6,false),0)</f>
        <v>0</v>
      </c>
      <c r="K39" s="39">
        <f>if(OR($F39=1, $F39=2),VLOOKUP($B39,Courts!$B$2:$J$50,7,false),0)</f>
        <v>0</v>
      </c>
      <c r="L39" s="42">
        <f t="shared" si="4"/>
        <v>0</v>
      </c>
      <c r="M39" s="39">
        <f>if(OR($F39=1, $F39=2),VLOOKUP($B39,Courts!$B$2:$J$50,9,false),0)</f>
        <v>0</v>
      </c>
      <c r="N39" s="32">
        <f t="shared" ref="N39:O39" si="43">C39+L39</f>
        <v>292</v>
      </c>
      <c r="O39" s="32">
        <f t="shared" si="43"/>
        <v>22</v>
      </c>
      <c r="P39" s="43" t="s">
        <v>53</v>
      </c>
      <c r="Q39" s="43" t="s">
        <v>53</v>
      </c>
      <c r="R39" s="43" t="s">
        <v>53</v>
      </c>
      <c r="S39" s="39">
        <f t="shared" si="6"/>
        <v>0</v>
      </c>
      <c r="T39" s="39"/>
      <c r="U39" s="39">
        <f t="shared" si="7"/>
        <v>7</v>
      </c>
      <c r="V39" s="39">
        <f t="shared" si="8"/>
        <v>2</v>
      </c>
      <c r="W39" s="30">
        <f t="shared" si="11"/>
        <v>35</v>
      </c>
    </row>
    <row r="40">
      <c r="A40" s="30">
        <f t="shared" si="9"/>
        <v>36</v>
      </c>
      <c r="B40" s="31" t="s">
        <v>105</v>
      </c>
      <c r="C40" s="32">
        <v>291.0</v>
      </c>
      <c r="D40" s="32">
        <v>11.0</v>
      </c>
      <c r="E40" s="35">
        <f t="shared" si="2"/>
        <v>13.9</v>
      </c>
      <c r="F40" s="37">
        <f>if(isna(VLOOKUP(B40,Checkin!A:B,2,false)),0,VLOOKUP(B40,Checkin!A:B,2,false))</f>
        <v>0</v>
      </c>
      <c r="G40" s="39">
        <f>if(OR($F40=1, $F40=2),VLOOKUP($B40,Courts!$B$2:$K$50,10,false),0)</f>
        <v>0</v>
      </c>
      <c r="H40" s="40">
        <f t="shared" si="3"/>
        <v>0</v>
      </c>
      <c r="I40" s="39">
        <f>if(OR($F40=1, $F40=2),VLOOKUP($B40,Courts!$B$2:$J$50,5,false),0)</f>
        <v>0</v>
      </c>
      <c r="J40" s="39">
        <f>if(OR($F40=1, $F40=2),VLOOKUP($B40,Courts!$B$2:$J$50,6,false),0)</f>
        <v>0</v>
      </c>
      <c r="K40" s="39">
        <f>if(OR($F40=1, $F40=2),VLOOKUP($B40,Courts!$B$2:$J$50,7,false),0)</f>
        <v>0</v>
      </c>
      <c r="L40" s="42">
        <f t="shared" si="4"/>
        <v>0</v>
      </c>
      <c r="M40" s="39">
        <f>if(OR($F40=1, $F40=2),VLOOKUP($B40,Courts!$B$2:$J$50,9,false),0)</f>
        <v>0</v>
      </c>
      <c r="N40" s="32">
        <f t="shared" ref="N40:O40" si="44">C40+L40</f>
        <v>291</v>
      </c>
      <c r="O40" s="32">
        <f t="shared" si="44"/>
        <v>11</v>
      </c>
      <c r="P40" s="43" t="s">
        <v>53</v>
      </c>
      <c r="Q40" s="43" t="s">
        <v>53</v>
      </c>
      <c r="R40" s="43" t="s">
        <v>53</v>
      </c>
      <c r="S40" s="39">
        <f t="shared" si="6"/>
        <v>2</v>
      </c>
      <c r="T40" s="39"/>
      <c r="U40" s="39">
        <f t="shared" si="7"/>
        <v>14</v>
      </c>
      <c r="V40" s="39">
        <f t="shared" si="8"/>
        <v>-1</v>
      </c>
      <c r="W40" s="30">
        <f t="shared" si="11"/>
        <v>36</v>
      </c>
    </row>
    <row r="41">
      <c r="A41" s="30">
        <f t="shared" si="9"/>
        <v>37</v>
      </c>
      <c r="B41" s="31" t="s">
        <v>73</v>
      </c>
      <c r="C41" s="32">
        <v>290.0</v>
      </c>
      <c r="D41" s="32">
        <v>16.0</v>
      </c>
      <c r="E41" s="35">
        <f t="shared" si="2"/>
        <v>12.66666667</v>
      </c>
      <c r="F41" s="37">
        <f>if(isna(VLOOKUP(B41,Checkin!A:B,2,false)),0,VLOOKUP(B41,Checkin!A:B,2,false))</f>
        <v>0</v>
      </c>
      <c r="G41" s="39">
        <f>if(OR($F41=1, $F41=2),VLOOKUP($B41,Courts!$B$2:$K$50,10,false),0)</f>
        <v>0</v>
      </c>
      <c r="H41" s="40">
        <f t="shared" si="3"/>
        <v>0</v>
      </c>
      <c r="I41" s="39">
        <f>if(OR($F41=1, $F41=2),VLOOKUP($B41,Courts!$B$2:$J$50,5,false),0)</f>
        <v>0</v>
      </c>
      <c r="J41" s="39">
        <f>if(OR($F41=1, $F41=2),VLOOKUP($B41,Courts!$B$2:$J$50,6,false),0)</f>
        <v>0</v>
      </c>
      <c r="K41" s="39">
        <f>if(OR($F41=1, $F41=2),VLOOKUP($B41,Courts!$B$2:$J$50,7,false),0)</f>
        <v>0</v>
      </c>
      <c r="L41" s="42">
        <f t="shared" si="4"/>
        <v>0</v>
      </c>
      <c r="M41" s="39">
        <f>if(OR($F41=1, $F41=2),VLOOKUP($B41,Courts!$B$2:$J$50,9,false),0)</f>
        <v>0</v>
      </c>
      <c r="N41" s="32">
        <f t="shared" ref="N41:O41" si="45">C41+L41</f>
        <v>290</v>
      </c>
      <c r="O41" s="32">
        <f t="shared" si="45"/>
        <v>16</v>
      </c>
      <c r="P41" s="43" t="s">
        <v>53</v>
      </c>
      <c r="Q41" s="43" t="s">
        <v>53</v>
      </c>
      <c r="R41" s="43" t="s">
        <v>53</v>
      </c>
      <c r="S41" s="39">
        <f t="shared" si="6"/>
        <v>3</v>
      </c>
      <c r="T41" s="39"/>
      <c r="U41" s="39">
        <f t="shared" si="7"/>
        <v>11</v>
      </c>
      <c r="V41" s="39">
        <f t="shared" si="8"/>
        <v>-1</v>
      </c>
      <c r="W41" s="30">
        <f t="shared" si="11"/>
        <v>37</v>
      </c>
    </row>
    <row r="42">
      <c r="A42" s="30">
        <f t="shared" si="9"/>
        <v>38</v>
      </c>
      <c r="B42" s="51" t="s">
        <v>112</v>
      </c>
      <c r="C42" s="32">
        <v>286.0</v>
      </c>
      <c r="D42" s="32">
        <v>20.0</v>
      </c>
      <c r="E42" s="35">
        <f t="shared" si="2"/>
        <v>12.71428571</v>
      </c>
      <c r="F42" s="37">
        <f>if(isna(VLOOKUP(B42,Checkin!A:B,2,false)),0,VLOOKUP(B42,Checkin!A:B,2,false))</f>
        <v>0</v>
      </c>
      <c r="G42" s="39">
        <f>if(OR($F42=1, $F42=2),VLOOKUP($B42,Courts!$B$2:$K$50,10,false),0)</f>
        <v>0</v>
      </c>
      <c r="H42" s="40">
        <f t="shared" si="3"/>
        <v>0</v>
      </c>
      <c r="I42" s="39">
        <f>if(OR($F42=1, $F42=2),VLOOKUP($B42,Courts!$B$2:$J$50,5,false),0)</f>
        <v>0</v>
      </c>
      <c r="J42" s="39">
        <f>if(OR($F42=1, $F42=2),VLOOKUP($B42,Courts!$B$2:$J$50,6,false),0)</f>
        <v>0</v>
      </c>
      <c r="K42" s="39">
        <f>if(OR($F42=1, $F42=2),VLOOKUP($B42,Courts!$B$2:$J$50,7,false),0)</f>
        <v>0</v>
      </c>
      <c r="L42" s="42">
        <f t="shared" si="4"/>
        <v>0</v>
      </c>
      <c r="M42" s="39">
        <f>if(OR($F42=1, $F42=2),VLOOKUP($B42,Courts!$B$2:$J$50,9,false),0)</f>
        <v>0</v>
      </c>
      <c r="N42" s="32">
        <f t="shared" ref="N42:O42" si="46">C42+L42</f>
        <v>286</v>
      </c>
      <c r="O42" s="32">
        <f t="shared" si="46"/>
        <v>20</v>
      </c>
      <c r="P42" s="43" t="s">
        <v>53</v>
      </c>
      <c r="Q42" s="43" t="s">
        <v>53</v>
      </c>
      <c r="R42" s="43" t="s">
        <v>53</v>
      </c>
      <c r="S42" s="39">
        <f t="shared" si="6"/>
        <v>0</v>
      </c>
      <c r="T42" s="39"/>
      <c r="U42" s="39">
        <f t="shared" si="7"/>
        <v>12</v>
      </c>
      <c r="V42" s="39">
        <f t="shared" si="8"/>
        <v>7</v>
      </c>
      <c r="W42" s="30">
        <f t="shared" si="11"/>
        <v>38</v>
      </c>
    </row>
    <row r="43">
      <c r="A43" s="30">
        <f t="shared" si="9"/>
        <v>39</v>
      </c>
      <c r="B43" s="31" t="s">
        <v>106</v>
      </c>
      <c r="C43" s="32">
        <v>285.0</v>
      </c>
      <c r="D43" s="32">
        <v>15.0</v>
      </c>
      <c r="E43" s="35">
        <f t="shared" si="2"/>
        <v>16.28571429</v>
      </c>
      <c r="F43" s="37">
        <f>if(isna(VLOOKUP(B43,Checkin!A:B,2,false)),0,VLOOKUP(B43,Checkin!A:B,2,false))</f>
        <v>0</v>
      </c>
      <c r="G43" s="39">
        <f>if(OR($F43=1, $F43=2),VLOOKUP($B43,Courts!$B$2:$K$50,10,false),0)</f>
        <v>0</v>
      </c>
      <c r="H43" s="40">
        <f t="shared" si="3"/>
        <v>0</v>
      </c>
      <c r="I43" s="39">
        <f>if(OR($F43=1, $F43=2),VLOOKUP($B43,Courts!$B$2:$J$50,5,false),0)</f>
        <v>0</v>
      </c>
      <c r="J43" s="39">
        <f>if(OR($F43=1, $F43=2),VLOOKUP($B43,Courts!$B$2:$J$50,6,false),0)</f>
        <v>0</v>
      </c>
      <c r="K43" s="39">
        <f>if(OR($F43=1, $F43=2),VLOOKUP($B43,Courts!$B$2:$J$50,7,false),0)</f>
        <v>0</v>
      </c>
      <c r="L43" s="42">
        <f t="shared" si="4"/>
        <v>0</v>
      </c>
      <c r="M43" s="39">
        <f>if(OR($F43=1, $F43=2),VLOOKUP($B43,Courts!$B$2:$J$50,9,false),0)</f>
        <v>0</v>
      </c>
      <c r="N43" s="32">
        <f t="shared" ref="N43:O43" si="47">C43+L43</f>
        <v>285</v>
      </c>
      <c r="O43" s="32">
        <f t="shared" si="47"/>
        <v>15</v>
      </c>
      <c r="P43" s="43" t="s">
        <v>53</v>
      </c>
      <c r="Q43" s="43" t="s">
        <v>53</v>
      </c>
      <c r="R43" s="43" t="s">
        <v>88</v>
      </c>
      <c r="S43" s="39">
        <f t="shared" si="6"/>
        <v>0</v>
      </c>
      <c r="T43" s="39"/>
      <c r="U43" s="39">
        <f t="shared" si="7"/>
        <v>19</v>
      </c>
      <c r="V43" s="39">
        <f t="shared" si="8"/>
        <v>-1</v>
      </c>
      <c r="W43" s="30">
        <f t="shared" si="11"/>
        <v>39</v>
      </c>
    </row>
    <row r="44">
      <c r="A44" s="30">
        <f t="shared" si="9"/>
        <v>40</v>
      </c>
      <c r="B44" s="56" t="s">
        <v>107</v>
      </c>
      <c r="C44" s="32">
        <v>284.0</v>
      </c>
      <c r="D44" s="32">
        <v>23.0</v>
      </c>
      <c r="E44" s="35">
        <f t="shared" si="2"/>
        <v>11.38095238</v>
      </c>
      <c r="F44" s="37">
        <f>if(isna(VLOOKUP(B44,Checkin!A:B,2,false)),0,VLOOKUP(B44,Checkin!A:B,2,false))</f>
        <v>0</v>
      </c>
      <c r="G44" s="39">
        <f>if(OR($F44=1, $F44=2),VLOOKUP($B44,Courts!$B$2:$K$50,10,false),0)</f>
        <v>0</v>
      </c>
      <c r="H44" s="40">
        <f t="shared" si="3"/>
        <v>0</v>
      </c>
      <c r="I44" s="39">
        <f>if(OR($F44=1, $F44=2),VLOOKUP($B44,Courts!$B$2:$J$50,5,false),0)</f>
        <v>0</v>
      </c>
      <c r="J44" s="39">
        <f>if(OR($F44=1, $F44=2),VLOOKUP($B44,Courts!$B$2:$J$50,6,false),0)</f>
        <v>0</v>
      </c>
      <c r="K44" s="39">
        <f>if(OR($F44=1, $F44=2),VLOOKUP($B44,Courts!$B$2:$J$50,7,false),0)</f>
        <v>0</v>
      </c>
      <c r="L44" s="42">
        <f t="shared" si="4"/>
        <v>0</v>
      </c>
      <c r="M44" s="39">
        <f>if(OR($F44=1, $F44=2),VLOOKUP($B44,Courts!$B$2:$J$50,9,false),0)</f>
        <v>0</v>
      </c>
      <c r="N44" s="32">
        <f t="shared" ref="N44:O44" si="48">C44+L44</f>
        <v>284</v>
      </c>
      <c r="O44" s="32">
        <f t="shared" si="48"/>
        <v>23</v>
      </c>
      <c r="P44" s="43" t="s">
        <v>53</v>
      </c>
      <c r="Q44" s="43" t="s">
        <v>53</v>
      </c>
      <c r="R44" s="43" t="s">
        <v>53</v>
      </c>
      <c r="S44" s="39">
        <f t="shared" si="6"/>
        <v>0</v>
      </c>
      <c r="T44" s="39"/>
      <c r="U44" s="39">
        <f t="shared" si="7"/>
        <v>5</v>
      </c>
      <c r="V44" s="39">
        <f t="shared" si="8"/>
        <v>-1</v>
      </c>
      <c r="W44" s="30">
        <f t="shared" si="11"/>
        <v>40</v>
      </c>
    </row>
    <row r="45">
      <c r="A45" s="30">
        <f t="shared" si="9"/>
        <v>41</v>
      </c>
      <c r="B45" s="78" t="s">
        <v>108</v>
      </c>
      <c r="C45" s="32">
        <v>282.0</v>
      </c>
      <c r="D45" s="32">
        <v>13.0</v>
      </c>
      <c r="E45" s="35">
        <f t="shared" si="2"/>
        <v>15.66666667</v>
      </c>
      <c r="F45" s="37">
        <f>if(isna(VLOOKUP(B45,Checkin!A:B,2,false)),0,VLOOKUP(B45,Checkin!A:B,2,false))</f>
        <v>0</v>
      </c>
      <c r="G45" s="39">
        <f>if(OR($F45=1, $F45=2),VLOOKUP($B45,Courts!$B$2:$K$50,10,false),0)</f>
        <v>0</v>
      </c>
      <c r="H45" s="40">
        <f t="shared" si="3"/>
        <v>0</v>
      </c>
      <c r="I45" s="39">
        <f>if(OR($F45=1, $F45=2),VLOOKUP($B45,Courts!$B$2:$J$50,5,false),0)</f>
        <v>0</v>
      </c>
      <c r="J45" s="39">
        <f>if(OR($F45=1, $F45=2),VLOOKUP($B45,Courts!$B$2:$J$50,6,false),0)</f>
        <v>0</v>
      </c>
      <c r="K45" s="39">
        <f>if(OR($F45=1, $F45=2),VLOOKUP($B45,Courts!$B$2:$J$50,7,false),0)</f>
        <v>0</v>
      </c>
      <c r="L45" s="42">
        <f t="shared" si="4"/>
        <v>0</v>
      </c>
      <c r="M45" s="39">
        <f>if(OR($F45=1, $F45=2),VLOOKUP($B45,Courts!$B$2:$J$50,9,false),0)</f>
        <v>0</v>
      </c>
      <c r="N45" s="32">
        <f t="shared" ref="N45:O45" si="49">C45+L45</f>
        <v>282</v>
      </c>
      <c r="O45" s="32">
        <f t="shared" si="49"/>
        <v>13</v>
      </c>
      <c r="P45" s="43" t="s">
        <v>53</v>
      </c>
      <c r="Q45" s="43" t="s">
        <v>53</v>
      </c>
      <c r="R45" s="43" t="s">
        <v>88</v>
      </c>
      <c r="S45" s="39">
        <f t="shared" si="6"/>
        <v>2</v>
      </c>
      <c r="T45" s="39"/>
      <c r="U45" s="39">
        <f t="shared" si="7"/>
        <v>18</v>
      </c>
      <c r="V45" s="39">
        <f t="shared" si="8"/>
        <v>-1</v>
      </c>
      <c r="W45" s="30">
        <f t="shared" si="11"/>
        <v>41</v>
      </c>
    </row>
    <row r="46">
      <c r="A46" s="30">
        <f t="shared" si="9"/>
        <v>42</v>
      </c>
      <c r="B46" s="56" t="s">
        <v>110</v>
      </c>
      <c r="C46" s="32">
        <v>281.0</v>
      </c>
      <c r="D46" s="32">
        <v>14.0</v>
      </c>
      <c r="E46" s="35">
        <f t="shared" si="2"/>
        <v>11.38461538</v>
      </c>
      <c r="F46" s="37">
        <f>if(isna(VLOOKUP(B46,Checkin!A:B,2,false)),0,VLOOKUP(B46,Checkin!A:B,2,false))</f>
        <v>0</v>
      </c>
      <c r="G46" s="39">
        <f>if(OR($F46=1, $F46=2),VLOOKUP($B46,Courts!$B$2:$K$50,10,false),0)</f>
        <v>0</v>
      </c>
      <c r="H46" s="40">
        <f t="shared" si="3"/>
        <v>0</v>
      </c>
      <c r="I46" s="39">
        <f>if(OR($F46=1, $F46=2),VLOOKUP($B46,Courts!$B$2:$J$50,5,false),0)</f>
        <v>0</v>
      </c>
      <c r="J46" s="39">
        <f>if(OR($F46=1, $F46=2),VLOOKUP($B46,Courts!$B$2:$J$50,6,false),0)</f>
        <v>0</v>
      </c>
      <c r="K46" s="39">
        <f>if(OR($F46=1, $F46=2),VLOOKUP($B46,Courts!$B$2:$J$50,7,false),0)</f>
        <v>0</v>
      </c>
      <c r="L46" s="42">
        <f t="shared" si="4"/>
        <v>0</v>
      </c>
      <c r="M46" s="39">
        <f>if(OR($F46=1, $F46=2),VLOOKUP($B46,Courts!$B$2:$J$50,9,false),0)</f>
        <v>0</v>
      </c>
      <c r="N46" s="32">
        <f t="shared" ref="N46:O46" si="50">C46+L46</f>
        <v>281</v>
      </c>
      <c r="O46" s="32">
        <f t="shared" si="50"/>
        <v>14</v>
      </c>
      <c r="P46" s="43" t="s">
        <v>53</v>
      </c>
      <c r="Q46" s="43" t="s">
        <v>53</v>
      </c>
      <c r="R46" s="43" t="s">
        <v>53</v>
      </c>
      <c r="S46" s="39">
        <f t="shared" si="6"/>
        <v>4</v>
      </c>
      <c r="T46" s="39"/>
      <c r="U46" s="39">
        <f t="shared" si="7"/>
        <v>9</v>
      </c>
      <c r="V46" s="39">
        <f t="shared" si="8"/>
        <v>0</v>
      </c>
      <c r="W46" s="30">
        <f t="shared" si="11"/>
        <v>42</v>
      </c>
    </row>
    <row r="47">
      <c r="A47" s="30">
        <f t="shared" si="9"/>
        <v>43</v>
      </c>
      <c r="B47" s="51" t="s">
        <v>113</v>
      </c>
      <c r="C47" s="32">
        <v>280.0</v>
      </c>
      <c r="D47" s="32">
        <v>16.0</v>
      </c>
      <c r="E47" s="35">
        <f t="shared" si="2"/>
        <v>11</v>
      </c>
      <c r="F47" s="37">
        <f>if(isna(VLOOKUP(B47,Checkin!A:B,2,false)),0,VLOOKUP(B47,Checkin!A:B,2,false))</f>
        <v>0</v>
      </c>
      <c r="G47" s="39">
        <f>if(OR($F47=1, $F47=2),VLOOKUP($B47,Courts!$B$2:$K$50,10,false),0)</f>
        <v>0</v>
      </c>
      <c r="H47" s="40">
        <f t="shared" si="3"/>
        <v>0</v>
      </c>
      <c r="I47" s="39">
        <f>if(OR($F47=1, $F47=2),VLOOKUP($B47,Courts!$B$2:$J$50,5,false),0)</f>
        <v>0</v>
      </c>
      <c r="J47" s="39">
        <f>if(OR($F47=1, $F47=2),VLOOKUP($B47,Courts!$B$2:$J$50,6,false),0)</f>
        <v>0</v>
      </c>
      <c r="K47" s="39">
        <f>if(OR($F47=1, $F47=2),VLOOKUP($B47,Courts!$B$2:$J$50,7,false),0)</f>
        <v>0</v>
      </c>
      <c r="L47" s="42">
        <f t="shared" si="4"/>
        <v>0</v>
      </c>
      <c r="M47" s="39">
        <f>if(OR($F47=1, $F47=2),VLOOKUP($B47,Courts!$B$2:$J$50,9,false),0)</f>
        <v>0</v>
      </c>
      <c r="N47" s="32">
        <f t="shared" ref="N47:O47" si="51">C47+L47</f>
        <v>280</v>
      </c>
      <c r="O47" s="32">
        <f t="shared" si="51"/>
        <v>16</v>
      </c>
      <c r="P47" s="43" t="s">
        <v>53</v>
      </c>
      <c r="Q47" s="43" t="s">
        <v>53</v>
      </c>
      <c r="R47" s="43" t="s">
        <v>53</v>
      </c>
      <c r="S47" s="39">
        <f t="shared" si="6"/>
        <v>3</v>
      </c>
      <c r="T47" s="39"/>
      <c r="U47" s="39">
        <f t="shared" si="7"/>
        <v>6</v>
      </c>
      <c r="V47" s="39">
        <f t="shared" si="8"/>
        <v>3</v>
      </c>
      <c r="W47" s="30">
        <f t="shared" si="11"/>
        <v>43</v>
      </c>
    </row>
    <row r="48">
      <c r="A48" s="30">
        <f t="shared" si="9"/>
        <v>44</v>
      </c>
      <c r="B48" s="51" t="s">
        <v>111</v>
      </c>
      <c r="C48" s="32">
        <v>280.0</v>
      </c>
      <c r="D48" s="32">
        <v>14.0</v>
      </c>
      <c r="E48" s="35">
        <f t="shared" si="2"/>
        <v>12.83333333</v>
      </c>
      <c r="F48" s="37">
        <f>if(isna(VLOOKUP(B48,Checkin!A:B,2,false)),0,VLOOKUP(B48,Checkin!A:B,2,false))</f>
        <v>0</v>
      </c>
      <c r="G48" s="39">
        <f>if(OR($F48=1, $F48=2),VLOOKUP($B48,Courts!$B$2:$K$50,10,false),0)</f>
        <v>0</v>
      </c>
      <c r="H48" s="40">
        <f t="shared" si="3"/>
        <v>0</v>
      </c>
      <c r="I48" s="39">
        <f>if(OR($F48=1, $F48=2),VLOOKUP($B48,Courts!$B$2:$J$50,5,false),0)</f>
        <v>0</v>
      </c>
      <c r="J48" s="39">
        <f>if(OR($F48=1, $F48=2),VLOOKUP($B48,Courts!$B$2:$J$50,6,false),0)</f>
        <v>0</v>
      </c>
      <c r="K48" s="39">
        <f>if(OR($F48=1, $F48=2),VLOOKUP($B48,Courts!$B$2:$J$50,7,false),0)</f>
        <v>0</v>
      </c>
      <c r="L48" s="42">
        <f t="shared" si="4"/>
        <v>0</v>
      </c>
      <c r="M48" s="39">
        <f>if(OR($F48=1, $F48=2),VLOOKUP($B48,Courts!$B$2:$J$50,9,false),0)</f>
        <v>0</v>
      </c>
      <c r="N48" s="32">
        <f t="shared" ref="N48:O48" si="52">C48+L48</f>
        <v>280</v>
      </c>
      <c r="O48" s="32">
        <f t="shared" si="52"/>
        <v>14</v>
      </c>
      <c r="P48" s="43" t="s">
        <v>53</v>
      </c>
      <c r="Q48" s="43" t="s">
        <v>53</v>
      </c>
      <c r="R48" s="43" t="s">
        <v>53</v>
      </c>
      <c r="S48" s="39">
        <f t="shared" si="6"/>
        <v>0</v>
      </c>
      <c r="T48" s="39"/>
      <c r="U48" s="39">
        <f t="shared" si="7"/>
        <v>14</v>
      </c>
      <c r="V48" s="39">
        <f t="shared" si="8"/>
        <v>0</v>
      </c>
      <c r="W48" s="30">
        <f t="shared" si="11"/>
        <v>44</v>
      </c>
    </row>
    <row r="49">
      <c r="A49" s="30">
        <f t="shared" si="9"/>
        <v>45</v>
      </c>
      <c r="B49" s="31" t="s">
        <v>109</v>
      </c>
      <c r="C49" s="32">
        <v>280.0</v>
      </c>
      <c r="D49" s="32">
        <v>9.0</v>
      </c>
      <c r="E49" s="35">
        <f t="shared" si="2"/>
        <v>16.5</v>
      </c>
      <c r="F49" s="37">
        <f>if(isna(VLOOKUP(B49,Checkin!A:B,2,false)),0,VLOOKUP(B49,Checkin!A:B,2,false))</f>
        <v>0</v>
      </c>
      <c r="G49" s="39">
        <f>if(OR($F49=1, $F49=2),VLOOKUP($B49,Courts!$B$2:$K$50,10,false),0)</f>
        <v>0</v>
      </c>
      <c r="H49" s="40">
        <f t="shared" si="3"/>
        <v>0</v>
      </c>
      <c r="I49" s="39">
        <f>if(OR($F49=1, $F49=2),VLOOKUP($B49,Courts!$B$2:$J$50,5,false),0)</f>
        <v>0</v>
      </c>
      <c r="J49" s="39">
        <f>if(OR($F49=1, $F49=2),VLOOKUP($B49,Courts!$B$2:$J$50,6,false),0)</f>
        <v>0</v>
      </c>
      <c r="K49" s="39">
        <f>if(OR($F49=1, $F49=2),VLOOKUP($B49,Courts!$B$2:$J$50,7,false),0)</f>
        <v>0</v>
      </c>
      <c r="L49" s="42">
        <f t="shared" si="4"/>
        <v>0</v>
      </c>
      <c r="M49" s="39">
        <f>if(OR($F49=1, $F49=2),VLOOKUP($B49,Courts!$B$2:$J$50,9,false),0)</f>
        <v>0</v>
      </c>
      <c r="N49" s="32">
        <f t="shared" ref="N49:O49" si="53">C49+L49</f>
        <v>280</v>
      </c>
      <c r="O49" s="32">
        <f t="shared" si="53"/>
        <v>9</v>
      </c>
      <c r="P49" s="43" t="s">
        <v>53</v>
      </c>
      <c r="Q49" s="43" t="s">
        <v>53</v>
      </c>
      <c r="R49" s="43" t="s">
        <v>88</v>
      </c>
      <c r="S49" s="39">
        <f t="shared" si="6"/>
        <v>4</v>
      </c>
      <c r="T49" s="39"/>
      <c r="U49" s="39">
        <f t="shared" si="7"/>
        <v>18</v>
      </c>
      <c r="V49" s="39">
        <f t="shared" si="8"/>
        <v>-4</v>
      </c>
      <c r="W49" s="30">
        <f t="shared" si="11"/>
        <v>45</v>
      </c>
    </row>
    <row r="50">
      <c r="A50" s="30">
        <f t="shared" si="9"/>
        <v>46</v>
      </c>
      <c r="B50" s="31" t="s">
        <v>56</v>
      </c>
      <c r="C50" s="32">
        <v>279.0</v>
      </c>
      <c r="D50" s="32">
        <v>11.0</v>
      </c>
      <c r="E50" s="35">
        <f t="shared" si="2"/>
        <v>16.4</v>
      </c>
      <c r="F50" s="37">
        <f>if(isna(VLOOKUP(B50,Checkin!A:B,2,false)),0,VLOOKUP(B50,Checkin!A:B,2,false))</f>
        <v>0</v>
      </c>
      <c r="G50" s="39">
        <f>if(OR($F50=1, $F50=2),VLOOKUP($B50,Courts!$B$2:$K$50,10,false),0)</f>
        <v>0</v>
      </c>
      <c r="H50" s="40">
        <f t="shared" si="3"/>
        <v>0</v>
      </c>
      <c r="I50" s="39">
        <f>if(OR($F50=1, $F50=2),VLOOKUP($B50,Courts!$B$2:$J$50,5,false),0)</f>
        <v>0</v>
      </c>
      <c r="J50" s="39">
        <f>if(OR($F50=1, $F50=2),VLOOKUP($B50,Courts!$B$2:$J$50,6,false),0)</f>
        <v>0</v>
      </c>
      <c r="K50" s="39">
        <f>if(OR($F50=1, $F50=2),VLOOKUP($B50,Courts!$B$2:$J$50,7,false),0)</f>
        <v>0</v>
      </c>
      <c r="L50" s="42">
        <f t="shared" si="4"/>
        <v>0</v>
      </c>
      <c r="M50" s="39">
        <f>if(OR($F50=1, $F50=2),VLOOKUP($B50,Courts!$B$2:$J$50,9,false),0)</f>
        <v>0</v>
      </c>
      <c r="N50" s="32">
        <f t="shared" ref="N50:O50" si="54">C50+L50</f>
        <v>279</v>
      </c>
      <c r="O50" s="32">
        <f t="shared" si="54"/>
        <v>11</v>
      </c>
      <c r="P50" s="43" t="s">
        <v>53</v>
      </c>
      <c r="Q50" s="43" t="s">
        <v>53</v>
      </c>
      <c r="R50" s="43" t="s">
        <v>53</v>
      </c>
      <c r="S50" s="39">
        <f t="shared" si="6"/>
        <v>2</v>
      </c>
      <c r="T50" s="39"/>
      <c r="U50" s="39">
        <f t="shared" si="7"/>
        <v>19</v>
      </c>
      <c r="V50" s="39">
        <f t="shared" si="8"/>
        <v>-3</v>
      </c>
      <c r="W50" s="30">
        <f t="shared" si="11"/>
        <v>46</v>
      </c>
    </row>
    <row r="51">
      <c r="A51" s="30">
        <f t="shared" si="9"/>
        <v>47</v>
      </c>
      <c r="B51" s="51" t="s">
        <v>114</v>
      </c>
      <c r="C51" s="32">
        <v>270.0</v>
      </c>
      <c r="D51" s="32">
        <v>13.0</v>
      </c>
      <c r="E51" s="35">
        <f t="shared" si="2"/>
        <v>11.54545455</v>
      </c>
      <c r="F51" s="37">
        <f>if(isna(VLOOKUP(B51,Checkin!A:B,2,false)),0,VLOOKUP(B51,Checkin!A:B,2,false))</f>
        <v>0</v>
      </c>
      <c r="G51" s="39">
        <f>if(OR($F51=1, $F51=2),VLOOKUP($B51,Courts!$B$2:$K$50,10,false),0)</f>
        <v>0</v>
      </c>
      <c r="H51" s="40">
        <f t="shared" si="3"/>
        <v>0</v>
      </c>
      <c r="I51" s="39">
        <f>if(OR($F51=1, $F51=2),VLOOKUP($B51,Courts!$B$2:$J$50,5,false),0)</f>
        <v>0</v>
      </c>
      <c r="J51" s="39">
        <f>if(OR($F51=1, $F51=2),VLOOKUP($B51,Courts!$B$2:$J$50,6,false),0)</f>
        <v>0</v>
      </c>
      <c r="K51" s="39">
        <f>if(OR($F51=1, $F51=2),VLOOKUP($B51,Courts!$B$2:$J$50,7,false),0)</f>
        <v>0</v>
      </c>
      <c r="L51" s="42">
        <f t="shared" si="4"/>
        <v>0</v>
      </c>
      <c r="M51" s="39">
        <f>if(OR($F51=1, $F51=2),VLOOKUP($B51,Courts!$B$2:$J$50,9,false),0)</f>
        <v>0</v>
      </c>
      <c r="N51" s="32">
        <f t="shared" ref="N51:O51" si="55">C51+L51</f>
        <v>270</v>
      </c>
      <c r="O51" s="32">
        <f t="shared" si="55"/>
        <v>13</v>
      </c>
      <c r="P51" s="43" t="s">
        <v>53</v>
      </c>
      <c r="Q51" s="43" t="s">
        <v>53</v>
      </c>
      <c r="R51" s="43" t="s">
        <v>53</v>
      </c>
      <c r="S51" s="39">
        <f t="shared" si="6"/>
        <v>2</v>
      </c>
      <c r="T51" s="39"/>
      <c r="U51" s="39">
        <f t="shared" si="7"/>
        <v>13</v>
      </c>
      <c r="V51" s="39">
        <f t="shared" si="8"/>
        <v>0</v>
      </c>
      <c r="W51" s="30">
        <f t="shared" si="11"/>
        <v>47</v>
      </c>
    </row>
    <row r="52">
      <c r="A52" s="30">
        <f t="shared" si="9"/>
        <v>48</v>
      </c>
      <c r="B52" s="56" t="s">
        <v>115</v>
      </c>
      <c r="C52" s="32">
        <v>268.0</v>
      </c>
      <c r="D52" s="32">
        <v>16.0</v>
      </c>
      <c r="E52" s="35">
        <f t="shared" si="2"/>
        <v>11</v>
      </c>
      <c r="F52" s="37">
        <f>if(isna(VLOOKUP(B52,Checkin!A:B,2,false)),0,VLOOKUP(B52,Checkin!A:B,2,false))</f>
        <v>0</v>
      </c>
      <c r="G52" s="39">
        <f>if(OR($F52=1, $F52=2),VLOOKUP($B52,Courts!$B$2:$K$50,10,false),0)</f>
        <v>0</v>
      </c>
      <c r="H52" s="40">
        <f t="shared" si="3"/>
        <v>0</v>
      </c>
      <c r="I52" s="39">
        <f>if(OR($F52=1, $F52=2),VLOOKUP($B52,Courts!$B$2:$J$50,5,false),0)</f>
        <v>0</v>
      </c>
      <c r="J52" s="39">
        <f>if(OR($F52=1, $F52=2),VLOOKUP($B52,Courts!$B$2:$J$50,6,false),0)</f>
        <v>0</v>
      </c>
      <c r="K52" s="39">
        <f>if(OR($F52=1, $F52=2),VLOOKUP($B52,Courts!$B$2:$J$50,7,false),0)</f>
        <v>0</v>
      </c>
      <c r="L52" s="42">
        <f t="shared" si="4"/>
        <v>0</v>
      </c>
      <c r="M52" s="39">
        <f>if(OR($F52=1, $F52=2),VLOOKUP($B52,Courts!$B$2:$J$50,9,false),0)</f>
        <v>0</v>
      </c>
      <c r="N52" s="32">
        <f t="shared" ref="N52:O52" si="56">C52+L52</f>
        <v>268</v>
      </c>
      <c r="O52" s="32">
        <f t="shared" si="56"/>
        <v>16</v>
      </c>
      <c r="P52" s="43" t="s">
        <v>53</v>
      </c>
      <c r="Q52" s="43" t="s">
        <v>53</v>
      </c>
      <c r="R52" s="43" t="s">
        <v>53</v>
      </c>
      <c r="S52" s="39">
        <f t="shared" si="6"/>
        <v>0</v>
      </c>
      <c r="T52" s="39"/>
      <c r="U52" s="39">
        <f t="shared" si="7"/>
        <v>9</v>
      </c>
      <c r="V52" s="39">
        <f t="shared" si="8"/>
        <v>0</v>
      </c>
      <c r="W52" s="30">
        <f t="shared" si="11"/>
        <v>48</v>
      </c>
    </row>
    <row r="53">
      <c r="A53" s="30">
        <f t="shared" si="9"/>
        <v>49</v>
      </c>
      <c r="B53" s="51" t="s">
        <v>116</v>
      </c>
      <c r="C53" s="32">
        <v>268.0</v>
      </c>
      <c r="D53" s="32">
        <v>15.0</v>
      </c>
      <c r="E53" s="35">
        <f t="shared" si="2"/>
        <v>10.875</v>
      </c>
      <c r="F53" s="37">
        <f>if(isna(VLOOKUP(B53,Checkin!A:B,2,false)),0,VLOOKUP(B53,Checkin!A:B,2,false))</f>
        <v>0</v>
      </c>
      <c r="G53" s="39">
        <f>if(OR($F53=1, $F53=2),VLOOKUP($B53,Courts!$B$2:$K$50,10,false),0)</f>
        <v>0</v>
      </c>
      <c r="H53" s="40">
        <f t="shared" si="3"/>
        <v>0</v>
      </c>
      <c r="I53" s="39">
        <f>if(OR($F53=1, $F53=2),VLOOKUP($B53,Courts!$B$2:$J$50,5,false),0)</f>
        <v>0</v>
      </c>
      <c r="J53" s="39">
        <f>if(OR($F53=1, $F53=2),VLOOKUP($B53,Courts!$B$2:$J$50,6,false),0)</f>
        <v>0</v>
      </c>
      <c r="K53" s="39">
        <f>if(OR($F53=1, $F53=2),VLOOKUP($B53,Courts!$B$2:$J$50,7,false),0)</f>
        <v>0</v>
      </c>
      <c r="L53" s="42">
        <f t="shared" si="4"/>
        <v>0</v>
      </c>
      <c r="M53" s="39">
        <f>if(OR($F53=1, $F53=2),VLOOKUP($B53,Courts!$B$2:$J$50,9,false),0)</f>
        <v>0</v>
      </c>
      <c r="N53" s="32">
        <f t="shared" ref="N53:O53" si="57">C53+L53</f>
        <v>268</v>
      </c>
      <c r="O53" s="32">
        <f t="shared" si="57"/>
        <v>15</v>
      </c>
      <c r="P53" s="43" t="s">
        <v>53</v>
      </c>
      <c r="Q53" s="43" t="s">
        <v>53</v>
      </c>
      <c r="R53" s="43" t="s">
        <v>53</v>
      </c>
      <c r="S53" s="39">
        <f t="shared" si="6"/>
        <v>1</v>
      </c>
      <c r="T53" s="39"/>
      <c r="U53" s="39">
        <f t="shared" si="7"/>
        <v>9</v>
      </c>
      <c r="V53" s="39">
        <f t="shared" si="8"/>
        <v>0</v>
      </c>
      <c r="W53" s="30">
        <f t="shared" si="11"/>
        <v>49</v>
      </c>
    </row>
    <row r="54">
      <c r="A54" s="30">
        <f t="shared" si="9"/>
        <v>50</v>
      </c>
      <c r="B54" s="31" t="s">
        <v>117</v>
      </c>
      <c r="C54" s="32">
        <v>267.0</v>
      </c>
      <c r="D54" s="32">
        <v>7.0</v>
      </c>
      <c r="E54" s="35">
        <f t="shared" si="2"/>
        <v>15.25</v>
      </c>
      <c r="F54" s="37">
        <f>if(isna(VLOOKUP(B54,Checkin!A:B,2,false)),0,VLOOKUP(B54,Checkin!A:B,2,false))</f>
        <v>0</v>
      </c>
      <c r="G54" s="39">
        <f>if(OR($F54=1, $F54=2),VLOOKUP($B54,Courts!$B$2:$K$50,10,false),0)</f>
        <v>0</v>
      </c>
      <c r="H54" s="40">
        <f t="shared" si="3"/>
        <v>0</v>
      </c>
      <c r="I54" s="39">
        <f>if(OR($F54=1, $F54=2),VLOOKUP($B54,Courts!$B$2:$J$50,5,false),0)</f>
        <v>0</v>
      </c>
      <c r="J54" s="39">
        <f>if(OR($F54=1, $F54=2),VLOOKUP($B54,Courts!$B$2:$J$50,6,false),0)</f>
        <v>0</v>
      </c>
      <c r="K54" s="39">
        <f>if(OR($F54=1, $F54=2),VLOOKUP($B54,Courts!$B$2:$J$50,7,false),0)</f>
        <v>0</v>
      </c>
      <c r="L54" s="42">
        <f t="shared" si="4"/>
        <v>0</v>
      </c>
      <c r="M54" s="39">
        <f>if(OR($F54=1, $F54=2),VLOOKUP($B54,Courts!$B$2:$J$50,9,false),0)</f>
        <v>0</v>
      </c>
      <c r="N54" s="32">
        <f t="shared" ref="N54:O54" si="58">C54+L54</f>
        <v>267</v>
      </c>
      <c r="O54" s="32">
        <f t="shared" si="58"/>
        <v>7</v>
      </c>
      <c r="P54" s="43" t="s">
        <v>53</v>
      </c>
      <c r="Q54" s="43" t="s">
        <v>53</v>
      </c>
      <c r="R54" s="43" t="s">
        <v>53</v>
      </c>
      <c r="S54" s="39">
        <f t="shared" si="6"/>
        <v>2</v>
      </c>
      <c r="T54" s="39"/>
      <c r="U54" s="39">
        <f t="shared" si="7"/>
        <v>20</v>
      </c>
      <c r="V54" s="39">
        <f t="shared" si="8"/>
        <v>0</v>
      </c>
      <c r="W54" s="30">
        <f t="shared" si="11"/>
        <v>50</v>
      </c>
    </row>
    <row r="55">
      <c r="A55" s="30">
        <f t="shared" si="9"/>
        <v>51</v>
      </c>
      <c r="B55" s="51" t="s">
        <v>118</v>
      </c>
      <c r="C55" s="32">
        <v>266.0</v>
      </c>
      <c r="D55" s="32">
        <v>13.0</v>
      </c>
      <c r="E55" s="35">
        <f t="shared" si="2"/>
        <v>11.66666667</v>
      </c>
      <c r="F55" s="37">
        <f>if(isna(VLOOKUP(B55,Checkin!A:B,2,false)),0,VLOOKUP(B55,Checkin!A:B,2,false))</f>
        <v>0</v>
      </c>
      <c r="G55" s="39">
        <f>if(OR($F55=1, $F55=2),VLOOKUP($B55,Courts!$B$2:$K$50,10,false),0)</f>
        <v>0</v>
      </c>
      <c r="H55" s="40">
        <f t="shared" si="3"/>
        <v>0</v>
      </c>
      <c r="I55" s="39">
        <f>if(OR($F55=1, $F55=2),VLOOKUP($B55,Courts!$B$2:$J$50,5,false),0)</f>
        <v>0</v>
      </c>
      <c r="J55" s="39">
        <f>if(OR($F55=1, $F55=2),VLOOKUP($B55,Courts!$B$2:$J$50,6,false),0)</f>
        <v>0</v>
      </c>
      <c r="K55" s="39">
        <f>if(OR($F55=1, $F55=2),VLOOKUP($B55,Courts!$B$2:$J$50,7,false),0)</f>
        <v>0</v>
      </c>
      <c r="L55" s="42">
        <f t="shared" si="4"/>
        <v>0</v>
      </c>
      <c r="M55" s="39">
        <f>if(OR($F55=1, $F55=2),VLOOKUP($B55,Courts!$B$2:$J$50,9,false),0)</f>
        <v>0</v>
      </c>
      <c r="N55" s="32">
        <f t="shared" ref="N55:O55" si="59">C55+L55</f>
        <v>266</v>
      </c>
      <c r="O55" s="32">
        <f t="shared" si="59"/>
        <v>13</v>
      </c>
      <c r="P55" s="43" t="s">
        <v>53</v>
      </c>
      <c r="Q55" s="43" t="s">
        <v>53</v>
      </c>
      <c r="R55" s="43" t="s">
        <v>53</v>
      </c>
      <c r="S55" s="39">
        <f t="shared" si="6"/>
        <v>0</v>
      </c>
      <c r="T55" s="39"/>
      <c r="U55" s="39">
        <f t="shared" si="7"/>
        <v>14</v>
      </c>
      <c r="V55" s="39">
        <f t="shared" si="8"/>
        <v>0</v>
      </c>
      <c r="W55" s="30">
        <f t="shared" si="11"/>
        <v>51</v>
      </c>
    </row>
    <row r="56">
      <c r="A56" s="30">
        <f t="shared" si="9"/>
        <v>52</v>
      </c>
      <c r="B56" s="56" t="s">
        <v>51</v>
      </c>
      <c r="C56" s="32">
        <v>263.0</v>
      </c>
      <c r="D56" s="32">
        <v>13.0</v>
      </c>
      <c r="E56" s="35">
        <f t="shared" si="2"/>
        <v>11.27272727</v>
      </c>
      <c r="F56" s="37">
        <f>if(isna(VLOOKUP(B56,Checkin!A:B,2,false)),0,VLOOKUP(B56,Checkin!A:B,2,false))</f>
        <v>0</v>
      </c>
      <c r="G56" s="39">
        <f>if(OR($F56=1, $F56=2),VLOOKUP($B56,Courts!$B$2:$K$50,10,false),0)</f>
        <v>0</v>
      </c>
      <c r="H56" s="40">
        <f t="shared" si="3"/>
        <v>0</v>
      </c>
      <c r="I56" s="39">
        <f>if(OR($F56=1, $F56=2),VLOOKUP($B56,Courts!$B$2:$J$50,5,false),0)</f>
        <v>0</v>
      </c>
      <c r="J56" s="39">
        <f>if(OR($F56=1, $F56=2),VLOOKUP($B56,Courts!$B$2:$J$50,6,false),0)</f>
        <v>0</v>
      </c>
      <c r="K56" s="39">
        <f>if(OR($F56=1, $F56=2),VLOOKUP($B56,Courts!$B$2:$J$50,7,false),0)</f>
        <v>0</v>
      </c>
      <c r="L56" s="42">
        <f t="shared" si="4"/>
        <v>0</v>
      </c>
      <c r="M56" s="39">
        <f>if(OR($F56=1, $F56=2),VLOOKUP($B56,Courts!$B$2:$J$50,9,false),0)</f>
        <v>0</v>
      </c>
      <c r="N56" s="32">
        <f t="shared" ref="N56:O56" si="60">C56+L56</f>
        <v>263</v>
      </c>
      <c r="O56" s="32">
        <f t="shared" si="60"/>
        <v>13</v>
      </c>
      <c r="P56" s="43" t="s">
        <v>53</v>
      </c>
      <c r="Q56" s="43" t="s">
        <v>53</v>
      </c>
      <c r="R56" s="43" t="s">
        <v>53</v>
      </c>
      <c r="S56" s="39">
        <f t="shared" si="6"/>
        <v>1</v>
      </c>
      <c r="T56" s="39"/>
      <c r="U56" s="39">
        <f t="shared" si="7"/>
        <v>14</v>
      </c>
      <c r="V56" s="39">
        <f t="shared" si="8"/>
        <v>3</v>
      </c>
      <c r="W56" s="30">
        <f t="shared" si="11"/>
        <v>52</v>
      </c>
    </row>
    <row r="57">
      <c r="A57" s="30">
        <f t="shared" si="9"/>
        <v>53</v>
      </c>
      <c r="B57" s="31" t="s">
        <v>119</v>
      </c>
      <c r="C57" s="32">
        <v>263.0</v>
      </c>
      <c r="D57" s="32">
        <v>9.0</v>
      </c>
      <c r="E57" s="35">
        <f t="shared" si="2"/>
        <v>15.25</v>
      </c>
      <c r="F57" s="37">
        <f>if(isna(VLOOKUP(B57,Checkin!A:B,2,false)),0,VLOOKUP(B57,Checkin!A:B,2,false))</f>
        <v>0</v>
      </c>
      <c r="G57" s="39">
        <f>if(OR($F57=1, $F57=2),VLOOKUP($B57,Courts!$B$2:$K$50,10,false),0)</f>
        <v>0</v>
      </c>
      <c r="H57" s="40">
        <f t="shared" si="3"/>
        <v>0</v>
      </c>
      <c r="I57" s="39">
        <f>if(OR($F57=1, $F57=2),VLOOKUP($B57,Courts!$B$2:$J$50,5,false),0)</f>
        <v>0</v>
      </c>
      <c r="J57" s="39">
        <f>if(OR($F57=1, $F57=2),VLOOKUP($B57,Courts!$B$2:$J$50,6,false),0)</f>
        <v>0</v>
      </c>
      <c r="K57" s="39">
        <f>if(OR($F57=1, $F57=2),VLOOKUP($B57,Courts!$B$2:$J$50,7,false),0)</f>
        <v>0</v>
      </c>
      <c r="L57" s="42">
        <f t="shared" si="4"/>
        <v>0</v>
      </c>
      <c r="M57" s="39">
        <f>if(OR($F57=1, $F57=2),VLOOKUP($B57,Courts!$B$2:$J$50,9,false),0)</f>
        <v>0</v>
      </c>
      <c r="N57" s="32">
        <f t="shared" ref="N57:O57" si="61">C57+L57</f>
        <v>263</v>
      </c>
      <c r="O57" s="32">
        <f t="shared" si="61"/>
        <v>9</v>
      </c>
      <c r="P57" s="43" t="s">
        <v>53</v>
      </c>
      <c r="Q57" s="43" t="s">
        <v>53</v>
      </c>
      <c r="R57" s="43" t="s">
        <v>53</v>
      </c>
      <c r="S57" s="39">
        <f t="shared" si="6"/>
        <v>1</v>
      </c>
      <c r="T57" s="39"/>
      <c r="U57" s="39">
        <f t="shared" si="7"/>
        <v>21</v>
      </c>
      <c r="V57" s="39">
        <f t="shared" si="8"/>
        <v>-1</v>
      </c>
      <c r="W57" s="30">
        <f t="shared" si="11"/>
        <v>53</v>
      </c>
    </row>
    <row r="58">
      <c r="A58" s="30">
        <f t="shared" si="9"/>
        <v>54</v>
      </c>
      <c r="B58" s="31" t="s">
        <v>81</v>
      </c>
      <c r="C58" s="32">
        <v>262.0</v>
      </c>
      <c r="D58" s="32">
        <v>7.0</v>
      </c>
      <c r="E58" s="35">
        <f t="shared" si="2"/>
        <v>13</v>
      </c>
      <c r="F58" s="37">
        <f>if(isna(VLOOKUP(B58,Checkin!A:B,2,false)),0,VLOOKUP(B58,Checkin!A:B,2,false))</f>
        <v>0</v>
      </c>
      <c r="G58" s="39">
        <f>if(OR($F58=1, $F58=2),VLOOKUP($B58,Courts!$B$2:$K$50,10,false),0)</f>
        <v>0</v>
      </c>
      <c r="H58" s="40">
        <f t="shared" si="3"/>
        <v>0</v>
      </c>
      <c r="I58" s="39">
        <f>if(OR($F58=1, $F58=2),VLOOKUP($B58,Courts!$B$2:$J$50,5,false),0)</f>
        <v>0</v>
      </c>
      <c r="J58" s="39">
        <f>if(OR($F58=1, $F58=2),VLOOKUP($B58,Courts!$B$2:$J$50,6,false),0)</f>
        <v>0</v>
      </c>
      <c r="K58" s="39">
        <f>if(OR($F58=1, $F58=2),VLOOKUP($B58,Courts!$B$2:$J$50,7,false),0)</f>
        <v>0</v>
      </c>
      <c r="L58" s="42">
        <f t="shared" si="4"/>
        <v>0</v>
      </c>
      <c r="M58" s="39">
        <f>if(OR($F58=1, $F58=2),VLOOKUP($B58,Courts!$B$2:$J$50,9,false),0)</f>
        <v>0</v>
      </c>
      <c r="N58" s="32">
        <f t="shared" ref="N58:O58" si="62">C58+L58</f>
        <v>262</v>
      </c>
      <c r="O58" s="32">
        <f t="shared" si="62"/>
        <v>7</v>
      </c>
      <c r="P58" s="43" t="s">
        <v>53</v>
      </c>
      <c r="Q58" s="43" t="s">
        <v>53</v>
      </c>
      <c r="R58" s="43" t="s">
        <v>53</v>
      </c>
      <c r="S58" s="39">
        <f t="shared" si="6"/>
        <v>2</v>
      </c>
      <c r="T58" s="39"/>
      <c r="U58" s="39">
        <f t="shared" si="7"/>
        <v>19</v>
      </c>
      <c r="V58" s="39">
        <f t="shared" si="8"/>
        <v>-1</v>
      </c>
      <c r="W58" s="30">
        <f t="shared" si="11"/>
        <v>54</v>
      </c>
    </row>
    <row r="59">
      <c r="A59" s="30">
        <f t="shared" si="9"/>
        <v>55</v>
      </c>
      <c r="B59" s="51" t="s">
        <v>75</v>
      </c>
      <c r="C59" s="32">
        <v>262.0</v>
      </c>
      <c r="D59" s="32">
        <v>6.0</v>
      </c>
      <c r="E59" s="35">
        <f t="shared" si="2"/>
        <v>19</v>
      </c>
      <c r="F59" s="37">
        <f>if(isna(VLOOKUP(B59,Checkin!A:B,2,false)),0,VLOOKUP(B59,Checkin!A:B,2,false))</f>
        <v>0</v>
      </c>
      <c r="G59" s="39">
        <f>if(OR($F59=1, $F59=2),VLOOKUP($B59,Courts!$B$2:$K$50,10,false),0)</f>
        <v>0</v>
      </c>
      <c r="H59" s="40">
        <f t="shared" si="3"/>
        <v>0</v>
      </c>
      <c r="I59" s="39">
        <f>if(OR($F59=1, $F59=2),VLOOKUP($B59,Courts!$B$2:$J$50,5,false),0)</f>
        <v>0</v>
      </c>
      <c r="J59" s="39">
        <f>if(OR($F59=1, $F59=2),VLOOKUP($B59,Courts!$B$2:$J$50,6,false),0)</f>
        <v>0</v>
      </c>
      <c r="K59" s="39">
        <f>if(OR($F59=1, $F59=2),VLOOKUP($B59,Courts!$B$2:$J$50,7,false),0)</f>
        <v>0</v>
      </c>
      <c r="L59" s="42">
        <f t="shared" si="4"/>
        <v>0</v>
      </c>
      <c r="M59" s="39">
        <f>if(OR($F59=1, $F59=2),VLOOKUP($B59,Courts!$B$2:$J$50,9,false),0)</f>
        <v>0</v>
      </c>
      <c r="N59" s="32">
        <f t="shared" ref="N59:O59" si="63">C59+L59</f>
        <v>262</v>
      </c>
      <c r="O59" s="32">
        <f t="shared" si="63"/>
        <v>6</v>
      </c>
      <c r="P59" s="43" t="s">
        <v>53</v>
      </c>
      <c r="Q59" s="43" t="s">
        <v>53</v>
      </c>
      <c r="R59" s="43" t="s">
        <v>88</v>
      </c>
      <c r="S59" s="39">
        <f t="shared" si="6"/>
        <v>2</v>
      </c>
      <c r="T59" s="39"/>
      <c r="U59" s="39">
        <f t="shared" si="7"/>
        <v>22</v>
      </c>
      <c r="V59" s="39">
        <f t="shared" si="8"/>
        <v>-1</v>
      </c>
      <c r="W59" s="30">
        <f t="shared" si="11"/>
        <v>55</v>
      </c>
    </row>
    <row r="60">
      <c r="A60" s="30">
        <f t="shared" si="9"/>
        <v>56</v>
      </c>
      <c r="B60" s="31" t="s">
        <v>120</v>
      </c>
      <c r="C60" s="32">
        <v>260.0</v>
      </c>
      <c r="D60" s="32">
        <v>6.0</v>
      </c>
      <c r="E60" s="35">
        <f t="shared" si="2"/>
        <v>13.4</v>
      </c>
      <c r="F60" s="37">
        <f>if(isna(VLOOKUP(B60,Checkin!A:B,2,false)),0,VLOOKUP(B60,Checkin!A:B,2,false))</f>
        <v>0</v>
      </c>
      <c r="G60" s="39">
        <f>if(OR($F60=1, $F60=2),VLOOKUP($B60,Courts!$B$2:$K$50,10,false),0)</f>
        <v>0</v>
      </c>
      <c r="H60" s="40">
        <f t="shared" si="3"/>
        <v>0</v>
      </c>
      <c r="I60" s="39">
        <f>if(OR($F60=1, $F60=2),VLOOKUP($B60,Courts!$B$2:$J$50,5,false),0)</f>
        <v>0</v>
      </c>
      <c r="J60" s="39">
        <f>if(OR($F60=1, $F60=2),VLOOKUP($B60,Courts!$B$2:$J$50,6,false),0)</f>
        <v>0</v>
      </c>
      <c r="K60" s="39">
        <f>if(OR($F60=1, $F60=2),VLOOKUP($B60,Courts!$B$2:$J$50,7,false),0)</f>
        <v>0</v>
      </c>
      <c r="L60" s="42">
        <f t="shared" si="4"/>
        <v>0</v>
      </c>
      <c r="M60" s="39">
        <f>if(OR($F60=1, $F60=2),VLOOKUP($B60,Courts!$B$2:$J$50,9,false),0)</f>
        <v>0</v>
      </c>
      <c r="N60" s="32">
        <f t="shared" ref="N60:O60" si="64">C60+L60</f>
        <v>260</v>
      </c>
      <c r="O60" s="32">
        <f t="shared" si="64"/>
        <v>6</v>
      </c>
      <c r="P60" s="43" t="s">
        <v>53</v>
      </c>
      <c r="Q60" s="43" t="s">
        <v>53</v>
      </c>
      <c r="R60" s="43" t="s">
        <v>53</v>
      </c>
      <c r="S60" s="39">
        <f t="shared" si="6"/>
        <v>1</v>
      </c>
      <c r="T60" s="39"/>
      <c r="U60" s="39">
        <f t="shared" si="7"/>
        <v>20</v>
      </c>
      <c r="V60" s="39">
        <f t="shared" si="8"/>
        <v>0</v>
      </c>
      <c r="W60" s="30">
        <f t="shared" si="11"/>
        <v>56</v>
      </c>
    </row>
    <row r="61">
      <c r="A61" s="30">
        <f t="shared" si="9"/>
        <v>57</v>
      </c>
      <c r="B61" s="51" t="s">
        <v>121</v>
      </c>
      <c r="C61" s="32">
        <v>252.0</v>
      </c>
      <c r="D61" s="32">
        <v>8.0</v>
      </c>
      <c r="E61" s="35">
        <f t="shared" si="2"/>
        <v>12</v>
      </c>
      <c r="F61" s="37">
        <f>if(isna(VLOOKUP(B61,Checkin!A:B,2,false)),0,VLOOKUP(B61,Checkin!A:B,2,false))</f>
        <v>0</v>
      </c>
      <c r="G61" s="39">
        <f>if(OR($F61=1, $F61=2),VLOOKUP($B61,Courts!$B$2:$K$50,10,false),0)</f>
        <v>0</v>
      </c>
      <c r="H61" s="40">
        <f t="shared" si="3"/>
        <v>0</v>
      </c>
      <c r="I61" s="39">
        <f>if(OR($F61=1, $F61=2),VLOOKUP($B61,Courts!$B$2:$J$50,5,false),0)</f>
        <v>0</v>
      </c>
      <c r="J61" s="39">
        <f>if(OR($F61=1, $F61=2),VLOOKUP($B61,Courts!$B$2:$J$50,6,false),0)</f>
        <v>0</v>
      </c>
      <c r="K61" s="39">
        <f>if(OR($F61=1, $F61=2),VLOOKUP($B61,Courts!$B$2:$J$50,7,false),0)</f>
        <v>0</v>
      </c>
      <c r="L61" s="42">
        <f t="shared" si="4"/>
        <v>0</v>
      </c>
      <c r="M61" s="39">
        <f>if(OR($F61=1, $F61=2),VLOOKUP($B61,Courts!$B$2:$J$50,9,false),0)</f>
        <v>0</v>
      </c>
      <c r="N61" s="32">
        <f t="shared" ref="N61:O61" si="65">C61+L61</f>
        <v>252</v>
      </c>
      <c r="O61" s="32">
        <f t="shared" si="65"/>
        <v>8</v>
      </c>
      <c r="P61" s="43" t="s">
        <v>53</v>
      </c>
      <c r="Q61" s="43" t="s">
        <v>53</v>
      </c>
      <c r="R61" s="43" t="s">
        <v>53</v>
      </c>
      <c r="S61" s="39">
        <f t="shared" si="6"/>
        <v>0</v>
      </c>
      <c r="T61" s="39"/>
      <c r="U61" s="39">
        <f t="shared" si="7"/>
        <v>20</v>
      </c>
      <c r="V61" s="39">
        <f t="shared" si="8"/>
        <v>0</v>
      </c>
      <c r="W61" s="30">
        <f t="shared" si="11"/>
        <v>57</v>
      </c>
    </row>
    <row r="62">
      <c r="A62" s="30">
        <f t="shared" si="9"/>
        <v>58</v>
      </c>
      <c r="B62" s="56" t="s">
        <v>122</v>
      </c>
      <c r="C62" s="32">
        <v>247.0</v>
      </c>
      <c r="D62" s="32">
        <v>3.0</v>
      </c>
      <c r="E62" s="35">
        <f t="shared" si="2"/>
        <v>11.25</v>
      </c>
      <c r="F62" s="37">
        <f>if(isna(VLOOKUP(B62,Checkin!A:B,2,false)),0,VLOOKUP(B62,Checkin!A:B,2,false))</f>
        <v>0</v>
      </c>
      <c r="G62" s="39">
        <f>if(OR($F62=1, $F62=2),VLOOKUP($B62,Courts!$B$2:$K$50,10,false),0)</f>
        <v>0</v>
      </c>
      <c r="H62" s="40">
        <f t="shared" si="3"/>
        <v>0</v>
      </c>
      <c r="I62" s="39">
        <f>if(OR($F62=1, $F62=2),VLOOKUP($B62,Courts!$B$2:$J$50,5,false),0)</f>
        <v>0</v>
      </c>
      <c r="J62" s="39">
        <f>if(OR($F62=1, $F62=2),VLOOKUP($B62,Courts!$B$2:$J$50,6,false),0)</f>
        <v>0</v>
      </c>
      <c r="K62" s="39">
        <f>if(OR($F62=1, $F62=2),VLOOKUP($B62,Courts!$B$2:$J$50,7,false),0)</f>
        <v>0</v>
      </c>
      <c r="L62" s="42">
        <f t="shared" si="4"/>
        <v>0</v>
      </c>
      <c r="M62" s="39">
        <f>if(OR($F62=1, $F62=2),VLOOKUP($B62,Courts!$B$2:$J$50,9,false),0)</f>
        <v>0</v>
      </c>
      <c r="N62" s="32">
        <f t="shared" ref="N62:O62" si="66">C62+L62</f>
        <v>247</v>
      </c>
      <c r="O62" s="32">
        <f t="shared" si="66"/>
        <v>3</v>
      </c>
      <c r="P62" s="43" t="s">
        <v>53</v>
      </c>
      <c r="Q62" s="43" t="s">
        <v>53</v>
      </c>
      <c r="R62" s="43" t="s">
        <v>53</v>
      </c>
      <c r="S62" s="39">
        <f t="shared" si="6"/>
        <v>1</v>
      </c>
      <c r="T62" s="39"/>
      <c r="U62" s="39">
        <f t="shared" si="7"/>
        <v>21</v>
      </c>
      <c r="V62" s="39">
        <f t="shared" si="8"/>
        <v>0</v>
      </c>
      <c r="W62" s="30">
        <f t="shared" si="11"/>
        <v>58</v>
      </c>
    </row>
    <row r="63">
      <c r="A63" s="30">
        <f t="shared" si="9"/>
        <v>59</v>
      </c>
      <c r="B63" s="31" t="s">
        <v>123</v>
      </c>
      <c r="C63" s="32">
        <v>246.0</v>
      </c>
      <c r="D63" s="32">
        <v>5.0</v>
      </c>
      <c r="E63" s="35">
        <f t="shared" si="2"/>
        <v>15</v>
      </c>
      <c r="F63" s="37">
        <f>if(isna(VLOOKUP(B63,Checkin!A:B,2,false)),0,VLOOKUP(B63,Checkin!A:B,2,false))</f>
        <v>0</v>
      </c>
      <c r="G63" s="39">
        <f>if(OR($F63=1, $F63=2),VLOOKUP($B63,Courts!$B$2:$K$50,10,false),0)</f>
        <v>0</v>
      </c>
      <c r="H63" s="40">
        <f t="shared" si="3"/>
        <v>0</v>
      </c>
      <c r="I63" s="39">
        <f>if(OR($F63=1, $F63=2),VLOOKUP($B63,Courts!$B$2:$J$50,5,false),0)</f>
        <v>0</v>
      </c>
      <c r="J63" s="39">
        <f>if(OR($F63=1, $F63=2),VLOOKUP($B63,Courts!$B$2:$J$50,6,false),0)</f>
        <v>0</v>
      </c>
      <c r="K63" s="39">
        <f>if(OR($F63=1, $F63=2),VLOOKUP($B63,Courts!$B$2:$J$50,7,false),0)</f>
        <v>0</v>
      </c>
      <c r="L63" s="42">
        <f t="shared" si="4"/>
        <v>0</v>
      </c>
      <c r="M63" s="39">
        <f>if(OR($F63=1, $F63=2),VLOOKUP($B63,Courts!$B$2:$J$50,9,false),0)</f>
        <v>0</v>
      </c>
      <c r="N63" s="32">
        <f t="shared" ref="N63:O63" si="67">C63+L63</f>
        <v>246</v>
      </c>
      <c r="O63" s="32">
        <f t="shared" si="67"/>
        <v>5</v>
      </c>
      <c r="P63" s="43" t="s">
        <v>53</v>
      </c>
      <c r="Q63" s="43" t="s">
        <v>53</v>
      </c>
      <c r="R63" s="43" t="s">
        <v>53</v>
      </c>
      <c r="S63" s="39">
        <f t="shared" si="6"/>
        <v>0</v>
      </c>
      <c r="T63" s="39"/>
      <c r="U63" s="39">
        <f t="shared" si="7"/>
        <v>24</v>
      </c>
      <c r="V63" s="39">
        <f t="shared" si="8"/>
        <v>0</v>
      </c>
      <c r="W63" s="30">
        <f t="shared" si="11"/>
        <v>59</v>
      </c>
    </row>
    <row r="64">
      <c r="A64" s="30">
        <f t="shared" si="9"/>
        <v>60</v>
      </c>
      <c r="B64" s="31" t="s">
        <v>124</v>
      </c>
      <c r="C64" s="32">
        <v>243.0</v>
      </c>
      <c r="D64" s="32">
        <v>4.0</v>
      </c>
      <c r="E64" s="35">
        <f t="shared" si="2"/>
        <v>10.66666667</v>
      </c>
      <c r="F64" s="37">
        <f>if(isna(VLOOKUP(B64,Checkin!A:B,2,false)),0,VLOOKUP(B64,Checkin!A:B,2,false))</f>
        <v>0</v>
      </c>
      <c r="G64" s="39">
        <f>if(OR($F64=1, $F64=2),VLOOKUP($B64,Courts!$B$2:$K$50,10,false),0)</f>
        <v>0</v>
      </c>
      <c r="H64" s="40">
        <f t="shared" si="3"/>
        <v>0</v>
      </c>
      <c r="I64" s="39">
        <f>if(OR($F64=1, $F64=2),VLOOKUP($B64,Courts!$B$2:$J$50,5,false),0)</f>
        <v>0</v>
      </c>
      <c r="J64" s="39">
        <f>if(OR($F64=1, $F64=2),VLOOKUP($B64,Courts!$B$2:$J$50,6,false),0)</f>
        <v>0</v>
      </c>
      <c r="K64" s="39">
        <f>if(OR($F64=1, $F64=2),VLOOKUP($B64,Courts!$B$2:$J$50,7,false),0)</f>
        <v>0</v>
      </c>
      <c r="L64" s="42">
        <f t="shared" si="4"/>
        <v>0</v>
      </c>
      <c r="M64" s="39">
        <f>if(OR($F64=1, $F64=2),VLOOKUP($B64,Courts!$B$2:$J$50,9,false),0)</f>
        <v>0</v>
      </c>
      <c r="N64" s="32">
        <f t="shared" ref="N64:O64" si="68">C64+L64</f>
        <v>243</v>
      </c>
      <c r="O64" s="32">
        <f t="shared" si="68"/>
        <v>4</v>
      </c>
      <c r="P64" s="43" t="s">
        <v>53</v>
      </c>
      <c r="Q64" s="43" t="s">
        <v>53</v>
      </c>
      <c r="R64" s="43" t="s">
        <v>88</v>
      </c>
      <c r="S64" s="39">
        <f t="shared" si="6"/>
        <v>1</v>
      </c>
      <c r="T64" s="39"/>
      <c r="U64" s="39">
        <f t="shared" si="7"/>
        <v>22</v>
      </c>
      <c r="V64" s="39">
        <f t="shared" si="8"/>
        <v>0</v>
      </c>
      <c r="W64" s="30">
        <f t="shared" si="11"/>
        <v>60</v>
      </c>
    </row>
    <row r="65">
      <c r="A65" s="30">
        <f t="shared" si="9"/>
        <v>61</v>
      </c>
      <c r="B65" s="31" t="s">
        <v>125</v>
      </c>
      <c r="C65" s="32">
        <v>243.0</v>
      </c>
      <c r="D65" s="32">
        <v>3.0</v>
      </c>
      <c r="E65" s="35">
        <f t="shared" si="2"/>
        <v>18</v>
      </c>
      <c r="F65" s="37">
        <f>if(isna(VLOOKUP(B65,Checkin!A:B,2,false)),0,VLOOKUP(B65,Checkin!A:B,2,false))</f>
        <v>0</v>
      </c>
      <c r="G65" s="39">
        <f>if(OR($F65=1, $F65=2),VLOOKUP($B65,Courts!$B$2:$K$50,10,false),0)</f>
        <v>0</v>
      </c>
      <c r="H65" s="40">
        <f t="shared" si="3"/>
        <v>0</v>
      </c>
      <c r="I65" s="39">
        <f>if(OR($F65=1, $F65=2),VLOOKUP($B65,Courts!$B$2:$J$50,5,false),0)</f>
        <v>0</v>
      </c>
      <c r="J65" s="39">
        <f>if(OR($F65=1, $F65=2),VLOOKUP($B65,Courts!$B$2:$J$50,6,false),0)</f>
        <v>0</v>
      </c>
      <c r="K65" s="39">
        <f>if(OR($F65=1, $F65=2),VLOOKUP($B65,Courts!$B$2:$J$50,7,false),0)</f>
        <v>0</v>
      </c>
      <c r="L65" s="42">
        <f t="shared" si="4"/>
        <v>0</v>
      </c>
      <c r="M65" s="39">
        <f>if(OR($F65=1, $F65=2),VLOOKUP($B65,Courts!$B$2:$J$50,9,false),0)</f>
        <v>0</v>
      </c>
      <c r="N65" s="32">
        <f t="shared" ref="N65:O65" si="69">C65+L65</f>
        <v>243</v>
      </c>
      <c r="O65" s="32">
        <f t="shared" si="69"/>
        <v>3</v>
      </c>
      <c r="P65" s="43" t="s">
        <v>53</v>
      </c>
      <c r="Q65" s="43" t="s">
        <v>53</v>
      </c>
      <c r="R65" s="43" t="s">
        <v>53</v>
      </c>
      <c r="S65" s="39">
        <f t="shared" si="6"/>
        <v>0</v>
      </c>
      <c r="T65" s="39"/>
      <c r="U65" s="39">
        <f t="shared" si="7"/>
        <v>25</v>
      </c>
      <c r="V65" s="39">
        <f t="shared" si="8"/>
        <v>0</v>
      </c>
      <c r="W65" s="30">
        <f t="shared" si="11"/>
        <v>61</v>
      </c>
    </row>
    <row r="66">
      <c r="A66" s="30">
        <f t="shared" si="9"/>
        <v>62</v>
      </c>
      <c r="B66" s="31" t="s">
        <v>72</v>
      </c>
      <c r="C66" s="32">
        <v>238.0</v>
      </c>
      <c r="D66" s="32">
        <v>0.0</v>
      </c>
      <c r="E66" s="35">
        <f t="shared" si="2"/>
        <v>9</v>
      </c>
      <c r="F66" s="37">
        <f>if(isna(VLOOKUP(B66,Checkin!A:B,2,false)),0,VLOOKUP(B66,Checkin!A:B,2,false))</f>
        <v>0</v>
      </c>
      <c r="G66" s="39"/>
      <c r="H66" s="40">
        <f t="shared" si="3"/>
        <v>0</v>
      </c>
      <c r="I66" s="39"/>
      <c r="J66" s="39"/>
      <c r="K66" s="39"/>
      <c r="L66" s="42">
        <f t="shared" si="4"/>
        <v>0</v>
      </c>
      <c r="M66" s="39"/>
      <c r="N66" s="32">
        <f t="shared" ref="N66:O66" si="70">C66+L66</f>
        <v>238</v>
      </c>
      <c r="O66" s="32">
        <f t="shared" si="70"/>
        <v>0</v>
      </c>
      <c r="P66" s="43" t="s">
        <v>53</v>
      </c>
      <c r="Q66" s="43" t="s">
        <v>53</v>
      </c>
      <c r="R66" s="43" t="s">
        <v>88</v>
      </c>
      <c r="S66" s="39">
        <f t="shared" si="6"/>
        <v>1</v>
      </c>
      <c r="T66" s="39"/>
      <c r="U66" s="39">
        <f t="shared" si="7"/>
        <v>23</v>
      </c>
      <c r="V66" s="39"/>
      <c r="W66" s="30">
        <f t="shared" si="11"/>
        <v>62</v>
      </c>
    </row>
    <row r="67">
      <c r="A67" s="30">
        <f t="shared" si="9"/>
        <v>63</v>
      </c>
      <c r="B67" s="31" t="s">
        <v>126</v>
      </c>
      <c r="C67" s="32">
        <v>238.0</v>
      </c>
      <c r="D67" s="32">
        <v>0.0</v>
      </c>
      <c r="E67" s="35">
        <f t="shared" si="2"/>
        <v>9</v>
      </c>
      <c r="F67" s="37">
        <f>if(isna(VLOOKUP(B67,Checkin!A:B,2,false)),0,VLOOKUP(B67,Checkin!A:B,2,false))</f>
        <v>0</v>
      </c>
      <c r="G67" s="39">
        <f>if(OR($F67=1, $F67=2),VLOOKUP($B67,Courts!$B$2:$K$50,10,false),0)</f>
        <v>0</v>
      </c>
      <c r="H67" s="40">
        <f t="shared" si="3"/>
        <v>0</v>
      </c>
      <c r="I67" s="39">
        <f>if(OR($F67=1, $F67=2),VLOOKUP($B67,Courts!$B$2:$J$50,5,false),0)</f>
        <v>0</v>
      </c>
      <c r="J67" s="39">
        <f>if(OR($F67=1, $F67=2),VLOOKUP($B67,Courts!$B$2:$J$50,6,false),0)</f>
        <v>0</v>
      </c>
      <c r="K67" s="39">
        <f>if(OR($F67=1, $F67=2),VLOOKUP($B67,Courts!$B$2:$J$50,7,false),0)</f>
        <v>0</v>
      </c>
      <c r="L67" s="42">
        <f t="shared" si="4"/>
        <v>0</v>
      </c>
      <c r="M67" s="39">
        <f>if(OR($F67=1, $F67=2),VLOOKUP($B67,Courts!$B$2:$J$50,9,false),0)</f>
        <v>0</v>
      </c>
      <c r="N67" s="32">
        <f t="shared" ref="N67:O67" si="71">C67+L67</f>
        <v>238</v>
      </c>
      <c r="O67" s="32">
        <f t="shared" si="71"/>
        <v>0</v>
      </c>
      <c r="P67" s="43" t="s">
        <v>53</v>
      </c>
      <c r="Q67" s="43" t="s">
        <v>53</v>
      </c>
      <c r="R67" s="43" t="s">
        <v>88</v>
      </c>
      <c r="S67" s="39">
        <f t="shared" si="6"/>
        <v>1</v>
      </c>
      <c r="T67" s="39"/>
      <c r="U67" s="39">
        <f t="shared" si="7"/>
        <v>24</v>
      </c>
      <c r="V67" s="39">
        <f t="shared" ref="V67:V69" si="73">VLOOKUP(B67,indirect($AB$2&amp;"!B$5:w$70"),22,false)-A67</f>
        <v>0</v>
      </c>
      <c r="W67" s="30">
        <f t="shared" si="11"/>
        <v>63</v>
      </c>
    </row>
    <row r="68">
      <c r="A68" s="30">
        <f t="shared" si="9"/>
        <v>64</v>
      </c>
      <c r="B68" s="51" t="s">
        <v>80</v>
      </c>
      <c r="C68" s="32">
        <v>228.0</v>
      </c>
      <c r="D68" s="32">
        <v>11.0</v>
      </c>
      <c r="E68" s="35">
        <f t="shared" si="2"/>
        <v>8.625</v>
      </c>
      <c r="F68" s="37">
        <f>if(isna(VLOOKUP(B68,Checkin!A:B,2,false)),0,VLOOKUP(B68,Checkin!A:B,2,false))</f>
        <v>0</v>
      </c>
      <c r="G68" s="39">
        <f>if(OR($F68=1, $F68=2),VLOOKUP($B68,Courts!$B$2:$K$50,10,false),0)</f>
        <v>0</v>
      </c>
      <c r="H68" s="40">
        <f t="shared" si="3"/>
        <v>0</v>
      </c>
      <c r="I68" s="39">
        <f>if(OR($F68=1, $F68=2),VLOOKUP($B68,Courts!$B$2:$J$50,5,false),0)</f>
        <v>0</v>
      </c>
      <c r="J68" s="39">
        <f>if(OR($F68=1, $F68=2),VLOOKUP($B68,Courts!$B$2:$J$50,6,false),0)</f>
        <v>0</v>
      </c>
      <c r="K68" s="39">
        <f>if(OR($F68=1, $F68=2),VLOOKUP($B68,Courts!$B$2:$J$50,7,false),0)</f>
        <v>0</v>
      </c>
      <c r="L68" s="42">
        <f t="shared" si="4"/>
        <v>0</v>
      </c>
      <c r="M68" s="39">
        <f>if(OR($F68=1, $F68=2),VLOOKUP($B68,Courts!$B$2:$J$50,9,false),0)</f>
        <v>0</v>
      </c>
      <c r="N68" s="32">
        <f t="shared" ref="N68:O68" si="72">C68+L68</f>
        <v>228</v>
      </c>
      <c r="O68" s="32">
        <f t="shared" si="72"/>
        <v>11</v>
      </c>
      <c r="P68" s="43" t="s">
        <v>53</v>
      </c>
      <c r="Q68" s="43" t="s">
        <v>53</v>
      </c>
      <c r="R68" s="43" t="s">
        <v>53</v>
      </c>
      <c r="S68" s="39">
        <f t="shared" si="6"/>
        <v>0</v>
      </c>
      <c r="T68" s="39"/>
      <c r="U68" s="39">
        <f t="shared" si="7"/>
        <v>10</v>
      </c>
      <c r="V68" s="39">
        <f t="shared" si="73"/>
        <v>0</v>
      </c>
      <c r="W68" s="30">
        <f t="shared" si="11"/>
        <v>64</v>
      </c>
    </row>
    <row r="69">
      <c r="A69" s="30">
        <f t="shared" si="9"/>
        <v>65</v>
      </c>
      <c r="B69" s="51" t="s">
        <v>74</v>
      </c>
      <c r="C69" s="32">
        <v>225.0</v>
      </c>
      <c r="D69" s="32">
        <v>0.0</v>
      </c>
      <c r="E69" s="35" t="str">
        <f t="shared" si="2"/>
        <v>#DIV/0!</v>
      </c>
      <c r="F69" s="37">
        <f>if(isna(VLOOKUP(B69,Checkin!A:B,2,false)),0,VLOOKUP(B69,Checkin!A:B,2,false))</f>
        <v>0</v>
      </c>
      <c r="G69" s="39">
        <f>if(OR($F69=1, $F69=2),VLOOKUP($B69,Courts!$B$2:$K$50,10,false),0)</f>
        <v>0</v>
      </c>
      <c r="H69" s="40">
        <f t="shared" si="3"/>
        <v>0</v>
      </c>
      <c r="I69" s="39">
        <f>if(OR($F69=1, $F69=2),VLOOKUP($B69,Courts!$B$2:$J$50,5,false),0)</f>
        <v>0</v>
      </c>
      <c r="J69" s="39">
        <f>if(OR($F69=1, $F69=2),VLOOKUP($B69,Courts!$B$2:$J$50,6,false),0)</f>
        <v>0</v>
      </c>
      <c r="K69" s="39">
        <f>if(OR($F69=1, $F69=2),VLOOKUP($B69,Courts!$B$2:$J$50,7,false),0)</f>
        <v>0</v>
      </c>
      <c r="L69" s="42">
        <f t="shared" si="4"/>
        <v>0</v>
      </c>
      <c r="M69" s="39">
        <f>if(OR($F69=1, $F69=2),VLOOKUP($B69,Courts!$B$2:$J$50,9,false),0)</f>
        <v>0</v>
      </c>
      <c r="N69" s="32">
        <f t="shared" ref="N69:O69" si="74">C69+L69</f>
        <v>225</v>
      </c>
      <c r="O69" s="32">
        <f t="shared" si="74"/>
        <v>0</v>
      </c>
      <c r="P69" s="43" t="s">
        <v>53</v>
      </c>
      <c r="Q69" s="43" t="s">
        <v>53</v>
      </c>
      <c r="R69" s="43" t="s">
        <v>88</v>
      </c>
      <c r="S69" s="39">
        <f t="shared" si="6"/>
        <v>0</v>
      </c>
      <c r="T69" s="39"/>
      <c r="U69" s="39">
        <f t="shared" si="7"/>
        <v>26</v>
      </c>
      <c r="V69" s="39">
        <f t="shared" si="73"/>
        <v>0</v>
      </c>
      <c r="W69" s="30">
        <f t="shared" si="11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10"/>
    </row>
    <row r="73">
      <c r="A73" s="11"/>
      <c r="C73" s="11"/>
      <c r="D73" s="11"/>
      <c r="E73" s="11"/>
      <c r="F73" s="11"/>
      <c r="P73" s="10"/>
    </row>
    <row r="74">
      <c r="A74" s="11"/>
      <c r="C74" s="11"/>
      <c r="D74" s="11"/>
      <c r="K74" s="49"/>
      <c r="L74" s="59"/>
      <c r="M74" s="60"/>
      <c r="P74" s="10"/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61" t="s">
        <v>128</v>
      </c>
      <c r="Q77" s="23"/>
      <c r="R77" s="8">
        <f>COUNTIF(R5:R69,"X")</f>
        <v>55</v>
      </c>
    </row>
    <row r="78">
      <c r="A78" s="11"/>
      <c r="B78" s="62" t="s">
        <v>129</v>
      </c>
      <c r="C78" s="63" t="s">
        <v>130</v>
      </c>
      <c r="D78" s="63" t="s">
        <v>131</v>
      </c>
      <c r="E78" s="63" t="s">
        <v>0</v>
      </c>
      <c r="K78" s="49"/>
      <c r="L78" s="59"/>
      <c r="M78" s="60"/>
      <c r="P78" s="7" t="s">
        <v>132</v>
      </c>
      <c r="Q78" s="8"/>
      <c r="R78" s="8">
        <f>countif(R5:R69,"N")</f>
        <v>10</v>
      </c>
    </row>
    <row r="79">
      <c r="A79" s="11"/>
      <c r="B79" s="51" t="str">
        <f>IFERROR(__xludf.DUMMYFUNCTION("QUERY(B5:M69,""Select B, L, M, G where L &gt;= 18 order by L desc,M desc"",0)"),"#N/A")</f>
        <v>#N/A</v>
      </c>
      <c r="C79" s="75"/>
      <c r="D79" s="75"/>
      <c r="E79" s="64"/>
      <c r="F79" s="11"/>
      <c r="L79" s="59"/>
      <c r="M79" s="60"/>
      <c r="P79" s="61" t="s">
        <v>133</v>
      </c>
      <c r="Q79" s="23"/>
      <c r="R79" s="8">
        <f>countif(R5:R69,"")</f>
        <v>0</v>
      </c>
    </row>
    <row r="80">
      <c r="A80" s="11"/>
      <c r="B80" s="51"/>
      <c r="C80" s="75"/>
      <c r="D80" s="75"/>
      <c r="E80" s="64"/>
      <c r="F80" s="11"/>
      <c r="M80" s="65"/>
      <c r="P80" s="61" t="s">
        <v>60</v>
      </c>
      <c r="Q80" s="23"/>
      <c r="R80" s="8">
        <f>sum(R77:R79)</f>
        <v>65</v>
      </c>
    </row>
    <row r="81">
      <c r="A81" s="11"/>
      <c r="B81" s="51"/>
      <c r="C81" s="75"/>
      <c r="D81" s="75"/>
      <c r="E81" s="64"/>
      <c r="F81" s="11"/>
    </row>
    <row r="82">
      <c r="A82" s="11"/>
      <c r="B82" s="51"/>
      <c r="C82" s="75"/>
      <c r="D82" s="75"/>
      <c r="E82" s="64"/>
      <c r="F82" s="11"/>
      <c r="P82" s="10" t="s">
        <v>134</v>
      </c>
    </row>
    <row r="83">
      <c r="A83" s="11"/>
      <c r="B83" s="51"/>
      <c r="C83" s="64"/>
      <c r="D83" s="64"/>
      <c r="E83" s="64"/>
      <c r="F83" s="11"/>
      <c r="L83" s="10"/>
    </row>
    <row r="84">
      <c r="A84" s="11"/>
      <c r="B84" s="51"/>
      <c r="C84" s="64"/>
      <c r="D84" s="64"/>
      <c r="E84" s="64"/>
      <c r="F84" s="11"/>
      <c r="L84" s="10"/>
    </row>
    <row r="85">
      <c r="A85" s="11"/>
      <c r="B85" s="51"/>
      <c r="C85" s="64"/>
      <c r="D85" s="64"/>
      <c r="E85" s="64"/>
      <c r="F85" s="11"/>
      <c r="L85" s="10"/>
    </row>
    <row r="86">
      <c r="A86" s="11"/>
      <c r="B86" s="51"/>
      <c r="C86" s="64"/>
      <c r="D86" s="64"/>
      <c r="E86" s="64"/>
      <c r="F86" s="11"/>
      <c r="L86" s="10"/>
    </row>
    <row r="87">
      <c r="A87" s="11"/>
      <c r="B87" s="51"/>
      <c r="C87" s="64"/>
      <c r="D87" s="64"/>
      <c r="E87" s="64"/>
      <c r="F87" s="11"/>
    </row>
    <row r="88">
      <c r="A88" s="11"/>
      <c r="B88" s="51"/>
      <c r="C88" s="64"/>
      <c r="D88" s="64"/>
      <c r="E88" s="64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10"")"),"Sandy Weyant")</f>
        <v>Sandy Weyant</v>
      </c>
      <c r="C93" s="64">
        <f>IFERROR(__xludf.DUMMYFUNCTION("""COMPUTED_VALUE"""),7.0)</f>
        <v>7</v>
      </c>
      <c r="D93" s="64">
        <f t="shared" ref="D93:D102" si="75">VLOOKUP(B93,indirect($AB$2&amp;"!B$5:w$70"),22, false)</f>
        <v>45</v>
      </c>
      <c r="E93" s="64">
        <f t="shared" ref="E93:E102" si="76">VLOOKUP(B93,B$5:W$69,22, false)</f>
        <v>38</v>
      </c>
      <c r="F93" s="64">
        <f t="shared" ref="F93:F102" si="77">VLOOKUP(B93,indirect($AB$2&amp;"!B$5:U$70"),11, false)</f>
        <v>18</v>
      </c>
      <c r="G93" s="64">
        <f t="shared" ref="G93:G102" si="78">VLOOKUP(B93,indirect($AB$2&amp;"!B$5:U$70"),6, false)</f>
        <v>7</v>
      </c>
      <c r="L93" s="64" t="str">
        <f t="shared" ref="L93:L102" si="79">if(D93-E93=C93,"ok","Error")</f>
        <v>ok</v>
      </c>
    </row>
    <row r="94">
      <c r="A94" s="11"/>
      <c r="B94" s="51" t="str">
        <f>IFERROR(__xludf.DUMMYFUNCTION("""COMPUTED_VALUE"""),"Sean Chang")</f>
        <v>Sean Chang</v>
      </c>
      <c r="C94" s="64">
        <f>IFERROR(__xludf.DUMMYFUNCTION("""COMPUTED_VALUE"""),6.0)</f>
        <v>6</v>
      </c>
      <c r="D94" s="64">
        <f t="shared" si="75"/>
        <v>27</v>
      </c>
      <c r="E94" s="64">
        <f t="shared" si="76"/>
        <v>21</v>
      </c>
      <c r="F94" s="64">
        <f t="shared" si="77"/>
        <v>18</v>
      </c>
      <c r="G94" s="64">
        <f t="shared" si="78"/>
        <v>5</v>
      </c>
      <c r="L94" s="64" t="str">
        <f t="shared" si="79"/>
        <v>ok</v>
      </c>
    </row>
    <row r="95">
      <c r="A95" s="11"/>
      <c r="B95" s="51" t="str">
        <f>IFERROR(__xludf.DUMMYFUNCTION("""COMPUTED_VALUE"""),"Pulkit Mathur")</f>
        <v>Pulkit Mathur</v>
      </c>
      <c r="C95" s="64">
        <f>IFERROR(__xludf.DUMMYFUNCTION("""COMPUTED_VALUE"""),5.0)</f>
        <v>5</v>
      </c>
      <c r="D95" s="64">
        <f t="shared" si="75"/>
        <v>9</v>
      </c>
      <c r="E95" s="64">
        <f t="shared" si="76"/>
        <v>4</v>
      </c>
      <c r="F95" s="64">
        <f t="shared" si="77"/>
        <v>20</v>
      </c>
      <c r="G95" s="64">
        <f t="shared" si="78"/>
        <v>2</v>
      </c>
      <c r="L95" s="64" t="str">
        <f t="shared" si="79"/>
        <v>ok</v>
      </c>
      <c r="Q95" s="70"/>
    </row>
    <row r="96">
      <c r="A96" s="11"/>
      <c r="B96" s="51" t="str">
        <f>IFERROR(__xludf.DUMMYFUNCTION("""COMPUTED_VALUE"""),"James Phan")</f>
        <v>James Phan</v>
      </c>
      <c r="C96" s="64">
        <f>IFERROR(__xludf.DUMMYFUNCTION("""COMPUTED_VALUE"""),3.0)</f>
        <v>3</v>
      </c>
      <c r="D96" s="64">
        <f t="shared" si="75"/>
        <v>13</v>
      </c>
      <c r="E96" s="64">
        <f t="shared" si="76"/>
        <v>10</v>
      </c>
      <c r="F96" s="64">
        <f t="shared" si="77"/>
        <v>13</v>
      </c>
      <c r="G96" s="64">
        <f t="shared" si="78"/>
        <v>0</v>
      </c>
      <c r="L96" s="64" t="str">
        <f t="shared" si="79"/>
        <v>ok</v>
      </c>
    </row>
    <row r="97">
      <c r="A97" s="11"/>
      <c r="B97" s="51" t="str">
        <f>IFERROR(__xludf.DUMMYFUNCTION("""COMPUTED_VALUE"""),"Sanjaye Elayattu")</f>
        <v>Sanjaye Elayattu</v>
      </c>
      <c r="C97" s="64">
        <f>IFERROR(__xludf.DUMMYFUNCTION("""COMPUTED_VALUE"""),3.0)</f>
        <v>3</v>
      </c>
      <c r="D97" s="64">
        <f t="shared" si="75"/>
        <v>26</v>
      </c>
      <c r="E97" s="64">
        <f t="shared" si="76"/>
        <v>23</v>
      </c>
      <c r="F97" s="64">
        <f t="shared" si="77"/>
        <v>13</v>
      </c>
      <c r="G97" s="64">
        <f t="shared" si="78"/>
        <v>0</v>
      </c>
      <c r="L97" s="64" t="str">
        <f t="shared" si="79"/>
        <v>ok</v>
      </c>
    </row>
    <row r="98">
      <c r="A98" s="11"/>
      <c r="B98" s="51" t="str">
        <f>IFERROR(__xludf.DUMMYFUNCTION("""COMPUTED_VALUE"""),"Nicole Ni")</f>
        <v>Nicole Ni</v>
      </c>
      <c r="C98" s="64">
        <f>IFERROR(__xludf.DUMMYFUNCTION("""COMPUTED_VALUE"""),3.0)</f>
        <v>3</v>
      </c>
      <c r="D98" s="64">
        <f t="shared" si="75"/>
        <v>46</v>
      </c>
      <c r="E98" s="64">
        <f t="shared" si="76"/>
        <v>43</v>
      </c>
      <c r="F98" s="64">
        <f t="shared" si="77"/>
        <v>13</v>
      </c>
      <c r="G98" s="64">
        <f t="shared" si="78"/>
        <v>7</v>
      </c>
      <c r="L98" s="64" t="str">
        <f t="shared" si="79"/>
        <v>ok</v>
      </c>
    </row>
    <row r="99">
      <c r="A99" s="11"/>
      <c r="B99" s="51" t="str">
        <f>IFERROR(__xludf.DUMMYFUNCTION("""COMPUTED_VALUE"""),"Vinaya Kajla")</f>
        <v>Vinaya Kajla</v>
      </c>
      <c r="C99" s="64">
        <f>IFERROR(__xludf.DUMMYFUNCTION("""COMPUTED_VALUE"""),3.0)</f>
        <v>3</v>
      </c>
      <c r="D99" s="64">
        <f t="shared" si="75"/>
        <v>55</v>
      </c>
      <c r="E99" s="64">
        <f t="shared" si="76"/>
        <v>52</v>
      </c>
      <c r="F99" s="64">
        <f t="shared" si="77"/>
        <v>11</v>
      </c>
      <c r="G99" s="64">
        <f t="shared" si="78"/>
        <v>7</v>
      </c>
      <c r="L99" s="64" t="str">
        <f t="shared" si="79"/>
        <v>ok</v>
      </c>
    </row>
    <row r="100">
      <c r="A100" s="11"/>
      <c r="B100" s="51" t="str">
        <f>IFERROR(__xludf.DUMMYFUNCTION("""COMPUTED_VALUE"""),"Suleman Alidina")</f>
        <v>Suleman Alidina</v>
      </c>
      <c r="C100" s="64">
        <f>IFERROR(__xludf.DUMMYFUNCTION("""COMPUTED_VALUE"""),2.0)</f>
        <v>2</v>
      </c>
      <c r="D100" s="64">
        <f t="shared" si="75"/>
        <v>8</v>
      </c>
      <c r="E100" s="64">
        <f t="shared" si="76"/>
        <v>6</v>
      </c>
      <c r="F100" s="64">
        <f t="shared" si="77"/>
        <v>16</v>
      </c>
      <c r="G100" s="64">
        <f t="shared" si="78"/>
        <v>2</v>
      </c>
      <c r="L100" s="64" t="str">
        <f t="shared" si="79"/>
        <v>ok</v>
      </c>
    </row>
    <row r="101">
      <c r="A101" s="11"/>
      <c r="B101" s="51" t="str">
        <f>IFERROR(__xludf.DUMMYFUNCTION("""COMPUTED_VALUE"""),"Robert Chang")</f>
        <v>Robert Chang</v>
      </c>
      <c r="C101" s="64">
        <f>IFERROR(__xludf.DUMMYFUNCTION("""COMPUTED_VALUE"""),2.0)</f>
        <v>2</v>
      </c>
      <c r="D101" s="64">
        <f t="shared" si="75"/>
        <v>17</v>
      </c>
      <c r="E101" s="64">
        <f t="shared" si="76"/>
        <v>15</v>
      </c>
      <c r="F101" s="64">
        <f t="shared" si="77"/>
        <v>18</v>
      </c>
      <c r="G101" s="64">
        <f t="shared" si="78"/>
        <v>3</v>
      </c>
      <c r="L101" s="64" t="str">
        <f t="shared" si="79"/>
        <v>ok</v>
      </c>
    </row>
    <row r="102">
      <c r="A102" s="11"/>
      <c r="B102" s="51" t="str">
        <f>IFERROR(__xludf.DUMMYFUNCTION("""COMPUTED_VALUE"""),"Ramesh Bandaru")</f>
        <v>Ramesh Bandaru</v>
      </c>
      <c r="C102" s="64">
        <f>IFERROR(__xludf.DUMMYFUNCTION("""COMPUTED_VALUE"""),2.0)</f>
        <v>2</v>
      </c>
      <c r="D102" s="64">
        <f t="shared" si="75"/>
        <v>30</v>
      </c>
      <c r="E102" s="64">
        <f t="shared" si="76"/>
        <v>28</v>
      </c>
      <c r="F102" s="64">
        <f t="shared" si="77"/>
        <v>13</v>
      </c>
      <c r="G102" s="64">
        <f t="shared" si="78"/>
        <v>5</v>
      </c>
      <c r="L102" s="64" t="str">
        <f t="shared" si="79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10"")"),"Peter Homsey")</f>
        <v>Peter Homsey</v>
      </c>
      <c r="C106" s="64"/>
      <c r="D106" s="64">
        <f t="shared" ref="D106:D115" si="80">VLOOKUP(B106,indirect($AB$2&amp;"!B$5:w$70"),22, false)</f>
        <v>62</v>
      </c>
      <c r="E106" s="64">
        <f t="shared" ref="E106:E115" si="81">VLOOKUP(B106,B$5:W$69,22, false)</f>
        <v>62</v>
      </c>
      <c r="F106" s="64">
        <f t="shared" ref="F106:F115" si="82">VLOOKUP(B106,indirect($AB$2&amp;"!B$5:U$70"),11, false)</f>
        <v>9</v>
      </c>
      <c r="G106" s="64" t="str">
        <f t="shared" ref="G106:G115" si="83">VLOOKUP(B106,indirect($AB$2&amp;"!B$5:U$70"),6, false)</f>
        <v/>
      </c>
      <c r="L106" s="64" t="str">
        <f t="shared" ref="L106:L115" si="84">if(D106-E106=C106,"ok","Error")</f>
        <v>ok</v>
      </c>
    </row>
    <row r="107">
      <c r="A107" s="11"/>
      <c r="B107" s="51" t="str">
        <f>IFERROR(__xludf.DUMMYFUNCTION("""COMPUTED_VALUE"""),"Alex Hou")</f>
        <v>Alex Hou</v>
      </c>
      <c r="C107" s="64">
        <f>IFERROR(__xludf.DUMMYFUNCTION("""COMPUTED_VALUE"""),-4.0)</f>
        <v>-4</v>
      </c>
      <c r="D107" s="64">
        <f t="shared" si="80"/>
        <v>22</v>
      </c>
      <c r="E107" s="64">
        <f t="shared" si="81"/>
        <v>26</v>
      </c>
      <c r="F107" s="64">
        <f t="shared" si="82"/>
        <v>6</v>
      </c>
      <c r="G107" s="64">
        <f t="shared" si="83"/>
        <v>3</v>
      </c>
      <c r="L107" s="64" t="str">
        <f t="shared" si="84"/>
        <v>ok</v>
      </c>
    </row>
    <row r="108">
      <c r="A108" s="11"/>
      <c r="B108" s="51" t="str">
        <f>IFERROR(__xludf.DUMMYFUNCTION("""COMPUTED_VALUE"""),"Erik Hoeckmann")</f>
        <v>Erik Hoeckmann</v>
      </c>
      <c r="C108" s="64">
        <f>IFERROR(__xludf.DUMMYFUNCTION("""COMPUTED_VALUE"""),-4.0)</f>
        <v>-4</v>
      </c>
      <c r="D108" s="64">
        <f t="shared" si="80"/>
        <v>25</v>
      </c>
      <c r="E108" s="64">
        <f t="shared" si="81"/>
        <v>29</v>
      </c>
      <c r="F108" s="64">
        <f t="shared" si="82"/>
        <v>9</v>
      </c>
      <c r="G108" s="64">
        <f t="shared" si="83"/>
        <v>3</v>
      </c>
      <c r="L108" s="64" t="str">
        <f t="shared" si="84"/>
        <v>ok</v>
      </c>
    </row>
    <row r="109">
      <c r="A109" s="11"/>
      <c r="B109" s="51" t="str">
        <f>IFERROR(__xludf.DUMMYFUNCTION("""COMPUTED_VALUE"""),"Peter Cheng")</f>
        <v>Peter Cheng</v>
      </c>
      <c r="C109" s="64">
        <f>IFERROR(__xludf.DUMMYFUNCTION("""COMPUTED_VALUE"""),-4.0)</f>
        <v>-4</v>
      </c>
      <c r="D109" s="64">
        <f t="shared" si="80"/>
        <v>41</v>
      </c>
      <c r="E109" s="64">
        <f t="shared" si="81"/>
        <v>45</v>
      </c>
      <c r="F109" s="64">
        <f t="shared" si="82"/>
        <v>9</v>
      </c>
      <c r="G109" s="64">
        <f t="shared" si="83"/>
        <v>0</v>
      </c>
      <c r="L109" s="64" t="str">
        <f t="shared" si="84"/>
        <v>ok</v>
      </c>
    </row>
    <row r="110">
      <c r="A110" s="11"/>
      <c r="B110" s="51" t="str">
        <f>IFERROR(__xludf.DUMMYFUNCTION("""COMPUTED_VALUE"""),"Frank Moon")</f>
        <v>Frank Moon</v>
      </c>
      <c r="C110" s="64">
        <f>IFERROR(__xludf.DUMMYFUNCTION("""COMPUTED_VALUE"""),-3.0)</f>
        <v>-3</v>
      </c>
      <c r="D110" s="64">
        <f t="shared" si="80"/>
        <v>5</v>
      </c>
      <c r="E110" s="64">
        <f t="shared" si="81"/>
        <v>8</v>
      </c>
      <c r="F110" s="64">
        <f t="shared" si="82"/>
        <v>9</v>
      </c>
      <c r="G110" s="64">
        <f t="shared" si="83"/>
        <v>0</v>
      </c>
      <c r="L110" s="64" t="str">
        <f t="shared" si="84"/>
        <v>ok</v>
      </c>
    </row>
    <row r="111">
      <c r="A111" s="11"/>
      <c r="B111" s="51" t="str">
        <f>IFERROR(__xludf.DUMMYFUNCTION("""COMPUTED_VALUE"""),"Susanta Mishra")</f>
        <v>Susanta Mishra</v>
      </c>
      <c r="C111" s="64">
        <f>IFERROR(__xludf.DUMMYFUNCTION("""COMPUTED_VALUE"""),-3.0)</f>
        <v>-3</v>
      </c>
      <c r="D111" s="64">
        <f t="shared" si="80"/>
        <v>43</v>
      </c>
      <c r="E111" s="64">
        <f t="shared" si="81"/>
        <v>46</v>
      </c>
      <c r="F111" s="64">
        <f t="shared" si="82"/>
        <v>9</v>
      </c>
      <c r="G111" s="64">
        <f t="shared" si="83"/>
        <v>0</v>
      </c>
      <c r="L111" s="64" t="str">
        <f t="shared" si="84"/>
        <v>ok</v>
      </c>
    </row>
    <row r="112">
      <c r="A112" s="11"/>
      <c r="B112" s="51" t="str">
        <f>IFERROR(__xludf.DUMMYFUNCTION("""COMPUTED_VALUE"""),"Lam Bui")</f>
        <v>Lam Bui</v>
      </c>
      <c r="C112" s="64">
        <f>IFERROR(__xludf.DUMMYFUNCTION("""COMPUTED_VALUE"""),-2.0)</f>
        <v>-2</v>
      </c>
      <c r="D112" s="64">
        <f t="shared" si="80"/>
        <v>7</v>
      </c>
      <c r="E112" s="64">
        <f t="shared" si="81"/>
        <v>9</v>
      </c>
      <c r="F112" s="64">
        <f t="shared" si="82"/>
        <v>9</v>
      </c>
      <c r="G112" s="64">
        <f t="shared" si="83"/>
        <v>0</v>
      </c>
      <c r="L112" s="64" t="str">
        <f t="shared" si="84"/>
        <v>ok</v>
      </c>
    </row>
    <row r="113">
      <c r="A113" s="11"/>
      <c r="B113" s="51" t="str">
        <f>IFERROR(__xludf.DUMMYFUNCTION("""COMPUTED_VALUE"""),"Alejandro Mejia")</f>
        <v>Alejandro Mejia</v>
      </c>
      <c r="C113" s="64">
        <f>IFERROR(__xludf.DUMMYFUNCTION("""COMPUTED_VALUE"""),-2.0)</f>
        <v>-2</v>
      </c>
      <c r="D113" s="64">
        <f t="shared" si="80"/>
        <v>10</v>
      </c>
      <c r="E113" s="64">
        <f t="shared" si="81"/>
        <v>12</v>
      </c>
      <c r="F113" s="64">
        <f t="shared" si="82"/>
        <v>9</v>
      </c>
      <c r="G113" s="64">
        <f t="shared" si="83"/>
        <v>0</v>
      </c>
      <c r="L113" s="64" t="str">
        <f t="shared" si="84"/>
        <v>ok</v>
      </c>
    </row>
    <row r="114">
      <c r="A114" s="11"/>
      <c r="B114" s="51" t="str">
        <f>IFERROR(__xludf.DUMMYFUNCTION("""COMPUTED_VALUE"""),"Pavan Akkimsetty")</f>
        <v>Pavan Akkimsetty</v>
      </c>
      <c r="C114" s="64">
        <f>IFERROR(__xludf.DUMMYFUNCTION("""COMPUTED_VALUE"""),-2.0)</f>
        <v>-2</v>
      </c>
      <c r="D114" s="64">
        <f t="shared" si="80"/>
        <v>11</v>
      </c>
      <c r="E114" s="64">
        <f t="shared" si="81"/>
        <v>13</v>
      </c>
      <c r="F114" s="64">
        <f t="shared" si="82"/>
        <v>9</v>
      </c>
      <c r="G114" s="64">
        <f t="shared" si="83"/>
        <v>0</v>
      </c>
      <c r="L114" s="64" t="str">
        <f t="shared" si="84"/>
        <v>ok</v>
      </c>
    </row>
    <row r="115">
      <c r="A115" s="11"/>
      <c r="B115" s="51" t="str">
        <f>IFERROR(__xludf.DUMMYFUNCTION("""COMPUTED_VALUE"""),"Ted Shen")</f>
        <v>Ted Shen</v>
      </c>
      <c r="C115" s="64">
        <f>IFERROR(__xludf.DUMMYFUNCTION("""COMPUTED_VALUE"""),-1.0)</f>
        <v>-1</v>
      </c>
      <c r="D115" s="64">
        <f t="shared" si="80"/>
        <v>4</v>
      </c>
      <c r="E115" s="64">
        <f t="shared" si="81"/>
        <v>5</v>
      </c>
      <c r="F115" s="64">
        <f t="shared" si="82"/>
        <v>14</v>
      </c>
      <c r="G115" s="64">
        <f t="shared" si="83"/>
        <v>1</v>
      </c>
      <c r="L115" s="64" t="str">
        <f t="shared" si="84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72" t="s">
        <v>144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3"/>
    </row>
    <row r="122">
      <c r="A122" s="53"/>
      <c r="B122" s="62" t="s">
        <v>145</v>
      </c>
      <c r="C122" s="73" t="s">
        <v>146</v>
      </c>
      <c r="D122" s="22"/>
      <c r="E122" s="23"/>
      <c r="F122" s="73" t="s">
        <v>147</v>
      </c>
      <c r="G122" s="22"/>
      <c r="H122" s="23"/>
      <c r="I122" s="74" t="s">
        <v>148</v>
      </c>
      <c r="J122" s="22"/>
      <c r="K122" s="22"/>
      <c r="L122" s="22"/>
      <c r="M122" s="23"/>
    </row>
    <row r="123">
      <c r="A123" s="75">
        <v>1.0</v>
      </c>
      <c r="B123" s="51" t="str">
        <f>IFERROR(__xludf.DUMMYFUNCTION("query(B5:V69,""select B where R = 'X' order by B asc"")"),"Adrian Tay")</f>
        <v>Adrian Tay</v>
      </c>
      <c r="C123" s="76" t="str">
        <f>IFERROR(__xludf.DUMMYFUNCTION("query(B5:V69,""select B where R = '' order by B asc"")"),"#N/A")</f>
        <v>#N/A</v>
      </c>
      <c r="D123" s="22"/>
      <c r="E123" s="23"/>
      <c r="F123" s="76" t="str">
        <f>IFERROR(__xludf.DUMMYFUNCTION("query(B5:V69,""select B where R = 'N' order by B asc"")"),"Amit Patel")</f>
        <v>Amit Patel</v>
      </c>
      <c r="G123" s="22"/>
      <c r="H123" s="23"/>
      <c r="I123" s="79" t="s">
        <v>149</v>
      </c>
      <c r="J123" s="22"/>
      <c r="K123" s="22"/>
      <c r="L123" s="22"/>
      <c r="M123" s="23"/>
    </row>
    <row r="124">
      <c r="A124" s="75">
        <f t="shared" ref="A124:A182" si="85">A123+1</f>
        <v>2</v>
      </c>
      <c r="B124" s="51" t="str">
        <f>IFERROR(__xludf.DUMMYFUNCTION("""COMPUTED_VALUE"""),"Alejandro Mejia")</f>
        <v>Alejandro Mejia</v>
      </c>
      <c r="C124" s="76"/>
      <c r="D124" s="22"/>
      <c r="E124" s="23"/>
      <c r="F124" s="76" t="str">
        <f>IFERROR(__xludf.DUMMYFUNCTION("""COMPUTED_VALUE"""),"Arun Mallikarjuna")</f>
        <v>Arun Mallikarjuna</v>
      </c>
      <c r="G124" s="22"/>
      <c r="H124" s="23"/>
      <c r="I124" s="79" t="s">
        <v>150</v>
      </c>
      <c r="J124" s="22"/>
      <c r="K124" s="22"/>
      <c r="L124" s="22"/>
      <c r="M124" s="23"/>
    </row>
    <row r="125">
      <c r="A125" s="75">
        <f t="shared" si="85"/>
        <v>3</v>
      </c>
      <c r="B125" s="51" t="str">
        <f>IFERROR(__xludf.DUMMYFUNCTION("""COMPUTED_VALUE"""),"Alex Hou")</f>
        <v>Alex Hou</v>
      </c>
      <c r="C125" s="76"/>
      <c r="D125" s="22"/>
      <c r="E125" s="23"/>
      <c r="F125" s="76" t="str">
        <f>IFERROR(__xludf.DUMMYFUNCTION("""COMPUTED_VALUE"""),"Christopher Li")</f>
        <v>Christopher Li</v>
      </c>
      <c r="G125" s="22"/>
      <c r="H125" s="23"/>
      <c r="I125" s="79" t="s">
        <v>151</v>
      </c>
      <c r="J125" s="22"/>
      <c r="K125" s="22"/>
      <c r="L125" s="22"/>
      <c r="M125" s="23"/>
    </row>
    <row r="126">
      <c r="A126" s="75">
        <f t="shared" si="85"/>
        <v>4</v>
      </c>
      <c r="B126" s="51" t="str">
        <f>IFERROR(__xludf.DUMMYFUNCTION("""COMPUTED_VALUE"""),"Andrew Wen")</f>
        <v>Andrew Wen</v>
      </c>
      <c r="C126" s="76"/>
      <c r="D126" s="22"/>
      <c r="E126" s="23"/>
      <c r="F126" s="76" t="str">
        <f>IFERROR(__xludf.DUMMYFUNCTION("""COMPUTED_VALUE"""),"Jose Ortiz")</f>
        <v>Jose Ortiz</v>
      </c>
      <c r="G126" s="22"/>
      <c r="H126" s="23"/>
      <c r="I126" s="79" t="s">
        <v>152</v>
      </c>
      <c r="J126" s="22"/>
      <c r="K126" s="22"/>
      <c r="L126" s="22"/>
      <c r="M126" s="23"/>
    </row>
    <row r="127">
      <c r="A127" s="75">
        <f t="shared" si="85"/>
        <v>5</v>
      </c>
      <c r="B127" s="51" t="str">
        <f>IFERROR(__xludf.DUMMYFUNCTION("""COMPUTED_VALUE"""),"Balaji Alahari")</f>
        <v>Balaji Alahari</v>
      </c>
      <c r="C127" s="76"/>
      <c r="D127" s="22"/>
      <c r="E127" s="23"/>
      <c r="F127" s="76" t="str">
        <f>IFERROR(__xludf.DUMMYFUNCTION("""COMPUTED_VALUE"""),"Nohely Mejia")</f>
        <v>Nohely Mejia</v>
      </c>
      <c r="G127" s="22"/>
      <c r="H127" s="23"/>
      <c r="I127" s="79" t="s">
        <v>153</v>
      </c>
      <c r="J127" s="22"/>
      <c r="K127" s="22"/>
      <c r="L127" s="22"/>
      <c r="M127" s="23"/>
    </row>
    <row r="128">
      <c r="A128" s="75">
        <f t="shared" si="85"/>
        <v>6</v>
      </c>
      <c r="B128" s="51" t="str">
        <f>IFERROR(__xludf.DUMMYFUNCTION("""COMPUTED_VALUE"""),"Chinna Ponnaganti")</f>
        <v>Chinna Ponnaganti</v>
      </c>
      <c r="C128" s="76"/>
      <c r="D128" s="22"/>
      <c r="E128" s="23"/>
      <c r="F128" s="76" t="str">
        <f>IFERROR(__xludf.DUMMYFUNCTION("""COMPUTED_VALUE"""),"Peter Cheng")</f>
        <v>Peter Cheng</v>
      </c>
      <c r="G128" s="22"/>
      <c r="H128" s="23"/>
      <c r="I128" s="79" t="s">
        <v>154</v>
      </c>
      <c r="J128" s="22"/>
      <c r="K128" s="22"/>
      <c r="L128" s="22"/>
      <c r="M128" s="23"/>
    </row>
    <row r="129">
      <c r="A129" s="75">
        <f t="shared" si="85"/>
        <v>7</v>
      </c>
      <c r="B129" s="51" t="str">
        <f>IFERROR(__xludf.DUMMYFUNCTION("""COMPUTED_VALUE"""),"Cid Macaraeg")</f>
        <v>Cid Macaraeg</v>
      </c>
      <c r="C129" s="76"/>
      <c r="D129" s="22"/>
      <c r="E129" s="23"/>
      <c r="F129" s="76" t="str">
        <f>IFERROR(__xludf.DUMMYFUNCTION("""COMPUTED_VALUE"""),"Peter Homsey")</f>
        <v>Peter Homsey</v>
      </c>
      <c r="G129" s="22"/>
      <c r="H129" s="23"/>
      <c r="I129" s="79" t="s">
        <v>155</v>
      </c>
      <c r="J129" s="22"/>
      <c r="K129" s="22"/>
      <c r="L129" s="22"/>
      <c r="M129" s="23"/>
    </row>
    <row r="130">
      <c r="A130" s="75">
        <f t="shared" si="85"/>
        <v>8</v>
      </c>
      <c r="B130" s="51" t="str">
        <f>IFERROR(__xludf.DUMMYFUNCTION("""COMPUTED_VALUE"""),"Coco Yan")</f>
        <v>Coco Yan</v>
      </c>
      <c r="C130" s="76"/>
      <c r="D130" s="22"/>
      <c r="E130" s="23"/>
      <c r="F130" s="76" t="str">
        <f>IFERROR(__xludf.DUMMYFUNCTION("""COMPUTED_VALUE"""),"Sai Dilip Ponnaganti")</f>
        <v>Sai Dilip Ponnaganti</v>
      </c>
      <c r="G130" s="22"/>
      <c r="H130" s="23"/>
      <c r="I130" s="79" t="s">
        <v>156</v>
      </c>
      <c r="J130" s="22"/>
      <c r="K130" s="22"/>
      <c r="L130" s="22"/>
      <c r="M130" s="23"/>
    </row>
    <row r="131">
      <c r="A131" s="75">
        <f t="shared" si="85"/>
        <v>9</v>
      </c>
      <c r="B131" s="51" t="str">
        <f>IFERROR(__xludf.DUMMYFUNCTION("""COMPUTED_VALUE"""),"David Shin")</f>
        <v>David Shin</v>
      </c>
      <c r="C131" s="76"/>
      <c r="D131" s="22"/>
      <c r="E131" s="23"/>
      <c r="F131" s="76" t="str">
        <f>IFERROR(__xludf.DUMMYFUNCTION("""COMPUTED_VALUE"""),"Tony Lin")</f>
        <v>Tony Lin</v>
      </c>
      <c r="G131" s="22"/>
      <c r="H131" s="23"/>
      <c r="I131" s="79" t="s">
        <v>157</v>
      </c>
      <c r="J131" s="22"/>
      <c r="K131" s="22"/>
      <c r="L131" s="22"/>
      <c r="M131" s="23"/>
    </row>
    <row r="132">
      <c r="A132" s="75">
        <f t="shared" si="85"/>
        <v>10</v>
      </c>
      <c r="B132" s="51" t="str">
        <f>IFERROR(__xludf.DUMMYFUNCTION("""COMPUTED_VALUE"""),"Elayaraja Thangaraj ")</f>
        <v>Elayaraja Thangaraj </v>
      </c>
      <c r="C132" s="76"/>
      <c r="D132" s="22"/>
      <c r="E132" s="23"/>
      <c r="F132" s="76" t="str">
        <f>IFERROR(__xludf.DUMMYFUNCTION("""COMPUTED_VALUE"""),"Vinz Solano")</f>
        <v>Vinz Solano</v>
      </c>
      <c r="G132" s="22"/>
      <c r="H132" s="23"/>
      <c r="I132" s="79" t="s">
        <v>158</v>
      </c>
      <c r="J132" s="22"/>
      <c r="K132" s="22"/>
      <c r="L132" s="22"/>
      <c r="M132" s="23"/>
    </row>
    <row r="133">
      <c r="A133" s="75">
        <f t="shared" si="85"/>
        <v>11</v>
      </c>
      <c r="B133" s="51" t="str">
        <f>IFERROR(__xludf.DUMMYFUNCTION("""COMPUTED_VALUE"""),"Eric Pan")</f>
        <v>Eric Pan</v>
      </c>
      <c r="C133" s="76"/>
      <c r="D133" s="22"/>
      <c r="E133" s="23"/>
      <c r="F133" s="76"/>
      <c r="G133" s="22"/>
      <c r="H133" s="23"/>
      <c r="I133" s="76"/>
      <c r="J133" s="22"/>
      <c r="K133" s="22"/>
      <c r="L133" s="22"/>
      <c r="M133" s="23"/>
    </row>
    <row r="134">
      <c r="A134" s="75">
        <f t="shared" si="85"/>
        <v>12</v>
      </c>
      <c r="B134" s="51" t="str">
        <f>IFERROR(__xludf.DUMMYFUNCTION("""COMPUTED_VALUE"""),"Eric Tan")</f>
        <v>Eric Tan</v>
      </c>
      <c r="C134" s="76"/>
      <c r="D134" s="22"/>
      <c r="E134" s="23"/>
      <c r="F134" s="76"/>
      <c r="G134" s="22"/>
      <c r="H134" s="23"/>
      <c r="I134" s="76"/>
      <c r="J134" s="22"/>
      <c r="K134" s="22"/>
      <c r="L134" s="22"/>
      <c r="M134" s="23"/>
    </row>
    <row r="135">
      <c r="A135" s="75">
        <f t="shared" si="85"/>
        <v>13</v>
      </c>
      <c r="B135" s="51" t="str">
        <f>IFERROR(__xludf.DUMMYFUNCTION("""COMPUTED_VALUE"""),"Erik Hoeckmann")</f>
        <v>Erik Hoeckmann</v>
      </c>
      <c r="C135" s="76"/>
      <c r="D135" s="22"/>
      <c r="E135" s="23"/>
      <c r="F135" s="76"/>
      <c r="G135" s="22"/>
      <c r="H135" s="23"/>
      <c r="I135" s="76"/>
      <c r="J135" s="22"/>
      <c r="K135" s="22"/>
      <c r="L135" s="22"/>
      <c r="M135" s="23"/>
    </row>
    <row r="136">
      <c r="A136" s="75">
        <f t="shared" si="85"/>
        <v>14</v>
      </c>
      <c r="B136" s="51" t="str">
        <f>IFERROR(__xludf.DUMMYFUNCTION("""COMPUTED_VALUE"""),"Frank Moon")</f>
        <v>Frank Moon</v>
      </c>
      <c r="C136" s="76"/>
      <c r="D136" s="22"/>
      <c r="E136" s="23"/>
      <c r="F136" s="76"/>
      <c r="G136" s="22"/>
      <c r="H136" s="23"/>
      <c r="I136" s="76"/>
      <c r="J136" s="22"/>
      <c r="K136" s="22"/>
      <c r="L136" s="22"/>
      <c r="M136" s="23"/>
    </row>
    <row r="137">
      <c r="A137" s="75">
        <f t="shared" si="85"/>
        <v>15</v>
      </c>
      <c r="B137" s="51" t="str">
        <f>IFERROR(__xludf.DUMMYFUNCTION("""COMPUTED_VALUE"""),"Herman Au")</f>
        <v>Herman Au</v>
      </c>
      <c r="C137" s="76"/>
      <c r="D137" s="22"/>
      <c r="E137" s="23"/>
      <c r="F137" s="76"/>
      <c r="G137" s="22"/>
      <c r="H137" s="23"/>
      <c r="I137" s="76"/>
      <c r="J137" s="22"/>
      <c r="K137" s="22"/>
      <c r="L137" s="22"/>
      <c r="M137" s="23"/>
    </row>
    <row r="138">
      <c r="A138" s="75">
        <f t="shared" si="85"/>
        <v>16</v>
      </c>
      <c r="B138" s="51" t="str">
        <f>IFERROR(__xludf.DUMMYFUNCTION("""COMPUTED_VALUE"""),"James Phan")</f>
        <v>James Phan</v>
      </c>
      <c r="C138" s="76"/>
      <c r="D138" s="22"/>
      <c r="E138" s="23"/>
      <c r="F138" s="76"/>
      <c r="G138" s="22"/>
      <c r="H138" s="23"/>
    </row>
    <row r="139">
      <c r="A139" s="75">
        <f t="shared" si="85"/>
        <v>17</v>
      </c>
      <c r="B139" s="51" t="str">
        <f>IFERROR(__xludf.DUMMYFUNCTION("""COMPUTED_VALUE"""),"Jim Miao")</f>
        <v>Jim Miao</v>
      </c>
      <c r="C139" s="76"/>
      <c r="D139" s="22"/>
      <c r="E139" s="23"/>
      <c r="F139" s="76"/>
      <c r="G139" s="22"/>
      <c r="H139" s="23"/>
    </row>
    <row r="140">
      <c r="A140" s="75">
        <f t="shared" si="85"/>
        <v>18</v>
      </c>
      <c r="B140" s="51" t="str">
        <f>IFERROR(__xludf.DUMMYFUNCTION("""COMPUTED_VALUE"""),"Jimmy Awolesi")</f>
        <v>Jimmy Awolesi</v>
      </c>
      <c r="C140" s="76"/>
      <c r="D140" s="22"/>
      <c r="E140" s="23"/>
      <c r="F140" s="76"/>
      <c r="G140" s="22"/>
      <c r="H140" s="23"/>
    </row>
    <row r="141">
      <c r="A141" s="75">
        <f t="shared" si="85"/>
        <v>19</v>
      </c>
      <c r="B141" s="51" t="str">
        <f>IFERROR(__xludf.DUMMYFUNCTION("""COMPUTED_VALUE"""),"Joe Luzzi")</f>
        <v>Joe Luzzi</v>
      </c>
      <c r="C141" s="76"/>
      <c r="D141" s="22"/>
      <c r="E141" s="23"/>
      <c r="F141" s="76"/>
      <c r="G141" s="22"/>
      <c r="H141" s="23"/>
    </row>
    <row r="142">
      <c r="A142" s="75">
        <f t="shared" si="85"/>
        <v>20</v>
      </c>
      <c r="B142" s="51" t="str">
        <f>IFERROR(__xludf.DUMMYFUNCTION("""COMPUTED_VALUE"""),"Jonathan Phan")</f>
        <v>Jonathan Phan</v>
      </c>
      <c r="C142" s="76"/>
      <c r="D142" s="22"/>
      <c r="E142" s="23"/>
      <c r="F142" s="76"/>
      <c r="G142" s="22"/>
      <c r="H142" s="23"/>
    </row>
    <row r="143">
      <c r="A143" s="75">
        <f t="shared" si="85"/>
        <v>21</v>
      </c>
      <c r="B143" s="51" t="str">
        <f>IFERROR(__xludf.DUMMYFUNCTION("""COMPUTED_VALUE"""),"Joyce Zhu")</f>
        <v>Joyce Zhu</v>
      </c>
      <c r="C143" s="76"/>
      <c r="D143" s="22"/>
      <c r="E143" s="23"/>
      <c r="F143" s="76"/>
      <c r="G143" s="22"/>
      <c r="H143" s="23"/>
    </row>
    <row r="144">
      <c r="A144" s="75">
        <f t="shared" si="85"/>
        <v>22</v>
      </c>
      <c r="B144" s="51" t="str">
        <f>IFERROR(__xludf.DUMMYFUNCTION("""COMPUTED_VALUE"""),"Kumar Palakeel")</f>
        <v>Kumar Palakeel</v>
      </c>
      <c r="C144" s="76"/>
      <c r="D144" s="22"/>
      <c r="E144" s="23"/>
      <c r="F144" s="76"/>
      <c r="G144" s="22"/>
      <c r="H144" s="23"/>
    </row>
    <row r="145">
      <c r="A145" s="75">
        <f t="shared" si="85"/>
        <v>23</v>
      </c>
      <c r="B145" s="51" t="str">
        <f>IFERROR(__xludf.DUMMYFUNCTION("""COMPUTED_VALUE"""),"Lam Bui")</f>
        <v>Lam Bui</v>
      </c>
      <c r="C145" s="76"/>
      <c r="D145" s="22"/>
      <c r="E145" s="23"/>
      <c r="F145" s="76"/>
      <c r="G145" s="22"/>
      <c r="H145" s="23"/>
    </row>
    <row r="146">
      <c r="A146" s="75">
        <f t="shared" si="85"/>
        <v>24</v>
      </c>
      <c r="B146" s="51" t="str">
        <f>IFERROR(__xludf.DUMMYFUNCTION("""COMPUTED_VALUE"""),"Leigh-Anh Nguyen")</f>
        <v>Leigh-Anh Nguyen</v>
      </c>
      <c r="C146" s="76"/>
      <c r="D146" s="22"/>
      <c r="E146" s="23"/>
      <c r="F146" s="76"/>
      <c r="G146" s="22"/>
      <c r="H146" s="23"/>
    </row>
    <row r="147">
      <c r="A147" s="75">
        <f t="shared" si="85"/>
        <v>25</v>
      </c>
      <c r="B147" s="51" t="str">
        <f>IFERROR(__xludf.DUMMYFUNCTION("""COMPUTED_VALUE"""),"Lloyd Sagar")</f>
        <v>Lloyd Sagar</v>
      </c>
      <c r="C147" s="76"/>
      <c r="D147" s="22"/>
      <c r="E147" s="23"/>
      <c r="F147" s="76"/>
      <c r="G147" s="22"/>
      <c r="H147" s="23"/>
    </row>
    <row r="148">
      <c r="A148" s="75">
        <f t="shared" si="85"/>
        <v>26</v>
      </c>
      <c r="B148" s="51" t="str">
        <f>IFERROR(__xludf.DUMMYFUNCTION("""COMPUTED_VALUE"""),"Luis Hsu")</f>
        <v>Luis Hsu</v>
      </c>
      <c r="C148" s="76"/>
      <c r="D148" s="22"/>
      <c r="E148" s="23"/>
      <c r="F148" s="76"/>
      <c r="G148" s="22"/>
      <c r="H148" s="23"/>
    </row>
    <row r="149">
      <c r="A149" s="75">
        <f t="shared" si="85"/>
        <v>27</v>
      </c>
      <c r="B149" s="51" t="str">
        <f>IFERROR(__xludf.DUMMYFUNCTION("""COMPUTED_VALUE"""),"Manish Anand")</f>
        <v>Manish Anand</v>
      </c>
      <c r="C149" s="76"/>
      <c r="D149" s="22"/>
      <c r="E149" s="23"/>
      <c r="F149" s="76"/>
      <c r="G149" s="22"/>
      <c r="H149" s="23"/>
    </row>
    <row r="150">
      <c r="A150" s="75">
        <f t="shared" si="85"/>
        <v>28</v>
      </c>
      <c r="B150" s="51" t="str">
        <f>IFERROR(__xludf.DUMMYFUNCTION("""COMPUTED_VALUE"""),"Manuel Rivera")</f>
        <v>Manuel Rivera</v>
      </c>
      <c r="C150" s="76"/>
      <c r="D150" s="22"/>
      <c r="E150" s="23"/>
      <c r="F150" s="76"/>
      <c r="G150" s="22"/>
      <c r="H150" s="23"/>
    </row>
    <row r="151">
      <c r="A151" s="75">
        <f t="shared" si="85"/>
        <v>29</v>
      </c>
      <c r="B151" s="51" t="str">
        <f>IFERROR(__xludf.DUMMYFUNCTION("""COMPUTED_VALUE"""),"Matthew Huang")</f>
        <v>Matthew Huang</v>
      </c>
      <c r="C151" s="76"/>
      <c r="D151" s="22"/>
      <c r="E151" s="23"/>
      <c r="F151" s="76"/>
      <c r="G151" s="22"/>
      <c r="H151" s="23"/>
    </row>
    <row r="152">
      <c r="A152" s="75">
        <f t="shared" si="85"/>
        <v>30</v>
      </c>
      <c r="B152" s="51" t="str">
        <f>IFERROR(__xludf.DUMMYFUNCTION("""COMPUTED_VALUE"""),"Mauricio Palacios")</f>
        <v>Mauricio Palacios</v>
      </c>
      <c r="C152" s="76"/>
      <c r="D152" s="22"/>
      <c r="E152" s="23"/>
      <c r="F152" s="76"/>
      <c r="G152" s="22"/>
      <c r="H152" s="23"/>
    </row>
    <row r="153">
      <c r="A153" s="75">
        <f t="shared" si="85"/>
        <v>31</v>
      </c>
      <c r="B153" s="51" t="str">
        <f>IFERROR(__xludf.DUMMYFUNCTION("""COMPUTED_VALUE"""),"Naveen Raj")</f>
        <v>Naveen Raj</v>
      </c>
      <c r="C153" s="76"/>
      <c r="D153" s="22"/>
      <c r="E153" s="23"/>
      <c r="F153" s="76"/>
      <c r="G153" s="22"/>
      <c r="H153" s="23"/>
    </row>
    <row r="154">
      <c r="A154" s="75">
        <f t="shared" si="85"/>
        <v>32</v>
      </c>
      <c r="B154" s="51" t="str">
        <f>IFERROR(__xludf.DUMMYFUNCTION("""COMPUTED_VALUE"""),"Nicole Ni")</f>
        <v>Nicole Ni</v>
      </c>
      <c r="C154" s="76"/>
      <c r="D154" s="22"/>
      <c r="E154" s="23"/>
      <c r="F154" s="76"/>
      <c r="G154" s="22"/>
      <c r="H154" s="23"/>
    </row>
    <row r="155">
      <c r="A155" s="75">
        <f t="shared" si="85"/>
        <v>33</v>
      </c>
      <c r="B155" s="51" t="str">
        <f>IFERROR(__xludf.DUMMYFUNCTION("""COMPUTED_VALUE"""),"Oscar Bonilla")</f>
        <v>Oscar Bonilla</v>
      </c>
      <c r="C155" s="76"/>
      <c r="D155" s="22"/>
      <c r="E155" s="23"/>
      <c r="F155" s="76"/>
      <c r="G155" s="22"/>
      <c r="H155" s="23"/>
    </row>
    <row r="156">
      <c r="A156" s="75">
        <f t="shared" si="85"/>
        <v>34</v>
      </c>
      <c r="B156" s="51" t="str">
        <f>IFERROR(__xludf.DUMMYFUNCTION("""COMPUTED_VALUE"""),"Pavan Akkimsetty")</f>
        <v>Pavan Akkimsetty</v>
      </c>
      <c r="C156" s="76"/>
      <c r="D156" s="22"/>
      <c r="E156" s="23"/>
      <c r="F156" s="76"/>
      <c r="G156" s="22"/>
      <c r="H156" s="23"/>
    </row>
    <row r="157">
      <c r="A157" s="75">
        <f t="shared" si="85"/>
        <v>35</v>
      </c>
      <c r="B157" s="51" t="str">
        <f>IFERROR(__xludf.DUMMYFUNCTION("""COMPUTED_VALUE"""),"Pulkit Mathur")</f>
        <v>Pulkit Mathur</v>
      </c>
      <c r="C157" s="76"/>
      <c r="D157" s="22"/>
      <c r="E157" s="23"/>
      <c r="F157" s="76"/>
      <c r="G157" s="22"/>
      <c r="H157" s="23"/>
    </row>
    <row r="158">
      <c r="A158" s="75">
        <f t="shared" si="85"/>
        <v>36</v>
      </c>
      <c r="B158" s="51" t="str">
        <f>IFERROR(__xludf.DUMMYFUNCTION("""COMPUTED_VALUE"""),"Rajasekar Ramasamy")</f>
        <v>Rajasekar Ramasamy</v>
      </c>
      <c r="C158" s="76"/>
      <c r="D158" s="22"/>
      <c r="E158" s="23"/>
      <c r="F158" s="76"/>
      <c r="G158" s="22"/>
      <c r="H158" s="23"/>
    </row>
    <row r="159">
      <c r="A159" s="75">
        <f t="shared" si="85"/>
        <v>37</v>
      </c>
      <c r="B159" s="51" t="str">
        <f>IFERROR(__xludf.DUMMYFUNCTION("""COMPUTED_VALUE"""),"Rajesh Dorairaj")</f>
        <v>Rajesh Dorairaj</v>
      </c>
      <c r="C159" s="76"/>
      <c r="D159" s="22"/>
      <c r="E159" s="23"/>
      <c r="F159" s="76"/>
      <c r="G159" s="22"/>
      <c r="H159" s="23"/>
    </row>
    <row r="160">
      <c r="A160" s="75">
        <f t="shared" si="85"/>
        <v>38</v>
      </c>
      <c r="B160" s="51" t="str">
        <f>IFERROR(__xludf.DUMMYFUNCTION("""COMPUTED_VALUE"""),"Ramesh Bandaru")</f>
        <v>Ramesh Bandaru</v>
      </c>
      <c r="C160" s="76"/>
      <c r="D160" s="22"/>
      <c r="E160" s="23"/>
      <c r="F160" s="76"/>
      <c r="G160" s="22"/>
      <c r="H160" s="23"/>
    </row>
    <row r="161">
      <c r="A161" s="75">
        <f t="shared" si="85"/>
        <v>39</v>
      </c>
      <c r="B161" s="51" t="str">
        <f>IFERROR(__xludf.DUMMYFUNCTION("""COMPUTED_VALUE"""),"Robert Chang")</f>
        <v>Robert Chang</v>
      </c>
      <c r="C161" s="76"/>
      <c r="D161" s="22"/>
      <c r="E161" s="23"/>
      <c r="F161" s="76"/>
      <c r="G161" s="22"/>
      <c r="H161" s="23"/>
    </row>
    <row r="162">
      <c r="A162" s="75">
        <f t="shared" si="85"/>
        <v>40</v>
      </c>
      <c r="B162" s="51" t="str">
        <f>IFERROR(__xludf.DUMMYFUNCTION("""COMPUTED_VALUE"""),"Sandy Weyant")</f>
        <v>Sandy Weyant</v>
      </c>
      <c r="C162" s="76"/>
      <c r="D162" s="22"/>
      <c r="E162" s="23"/>
      <c r="F162" s="76"/>
      <c r="G162" s="22"/>
      <c r="H162" s="23"/>
    </row>
    <row r="163">
      <c r="A163" s="75">
        <f t="shared" si="85"/>
        <v>41</v>
      </c>
      <c r="B163" s="51" t="str">
        <f>IFERROR(__xludf.DUMMYFUNCTION("""COMPUTED_VALUE"""),"Sanjaye Elayattu")</f>
        <v>Sanjaye Elayattu</v>
      </c>
      <c r="C163" s="76"/>
      <c r="D163" s="22"/>
      <c r="E163" s="23"/>
      <c r="F163" s="76"/>
      <c r="G163" s="22"/>
      <c r="H163" s="23"/>
    </row>
    <row r="164">
      <c r="A164" s="75">
        <f t="shared" si="85"/>
        <v>42</v>
      </c>
      <c r="B164" s="51" t="str">
        <f>IFERROR(__xludf.DUMMYFUNCTION("""COMPUTED_VALUE"""),"Santosh Sundaresan ")</f>
        <v>Santosh Sundaresan </v>
      </c>
      <c r="C164" s="76"/>
      <c r="D164" s="22"/>
      <c r="E164" s="23"/>
      <c r="F164" s="76"/>
      <c r="G164" s="22"/>
      <c r="H164" s="23"/>
    </row>
    <row r="165">
      <c r="A165" s="75">
        <f t="shared" si="85"/>
        <v>43</v>
      </c>
      <c r="B165" s="51" t="str">
        <f>IFERROR(__xludf.DUMMYFUNCTION("""COMPUTED_VALUE"""),"Saravanan Veerapandian")</f>
        <v>Saravanan Veerapandian</v>
      </c>
      <c r="C165" s="76"/>
      <c r="D165" s="22"/>
      <c r="E165" s="23"/>
      <c r="F165" s="76"/>
      <c r="G165" s="22"/>
      <c r="H165" s="23"/>
    </row>
    <row r="166">
      <c r="A166" s="75">
        <f t="shared" si="85"/>
        <v>44</v>
      </c>
      <c r="B166" s="51" t="str">
        <f>IFERROR(__xludf.DUMMYFUNCTION("""COMPUTED_VALUE"""),"Scott Li")</f>
        <v>Scott Li</v>
      </c>
      <c r="C166" s="76"/>
      <c r="D166" s="22"/>
      <c r="E166" s="23"/>
      <c r="F166" s="76"/>
      <c r="G166" s="22"/>
      <c r="H166" s="23"/>
    </row>
    <row r="167">
      <c r="A167" s="75">
        <f t="shared" si="85"/>
        <v>45</v>
      </c>
      <c r="B167" s="51" t="str">
        <f>IFERROR(__xludf.DUMMYFUNCTION("""COMPUTED_VALUE"""),"Sean Chang")</f>
        <v>Sean Chang</v>
      </c>
      <c r="C167" s="76"/>
      <c r="D167" s="22"/>
      <c r="E167" s="23"/>
      <c r="F167" s="76"/>
      <c r="G167" s="22"/>
      <c r="H167" s="23"/>
    </row>
    <row r="168">
      <c r="A168" s="75">
        <f t="shared" si="85"/>
        <v>46</v>
      </c>
      <c r="B168" s="51" t="str">
        <f>IFERROR(__xludf.DUMMYFUNCTION("""COMPUTED_VALUE"""),"Suleman Alidina")</f>
        <v>Suleman Alidina</v>
      </c>
      <c r="C168" s="76"/>
      <c r="D168" s="22"/>
      <c r="E168" s="23"/>
      <c r="F168" s="76"/>
      <c r="G168" s="22"/>
      <c r="H168" s="23"/>
    </row>
    <row r="169">
      <c r="A169" s="75">
        <f t="shared" si="85"/>
        <v>47</v>
      </c>
      <c r="B169" s="51" t="str">
        <f>IFERROR(__xludf.DUMMYFUNCTION("""COMPUTED_VALUE"""),"Susanta Mishra")</f>
        <v>Susanta Mishra</v>
      </c>
      <c r="C169" s="76"/>
      <c r="D169" s="22"/>
      <c r="E169" s="23"/>
      <c r="F169" s="76"/>
      <c r="G169" s="22"/>
      <c r="H169" s="23"/>
    </row>
    <row r="170">
      <c r="A170" s="75">
        <f t="shared" si="85"/>
        <v>48</v>
      </c>
      <c r="B170" s="51" t="str">
        <f>IFERROR(__xludf.DUMMYFUNCTION("""COMPUTED_VALUE"""),"Ted Shen")</f>
        <v>Ted Shen</v>
      </c>
      <c r="C170" s="76"/>
      <c r="D170" s="22"/>
      <c r="E170" s="23"/>
      <c r="F170" s="76"/>
      <c r="G170" s="22"/>
      <c r="H170" s="23"/>
    </row>
    <row r="171">
      <c r="A171" s="75">
        <f t="shared" si="85"/>
        <v>49</v>
      </c>
      <c r="B171" s="51" t="str">
        <f>IFERROR(__xludf.DUMMYFUNCTION("""COMPUTED_VALUE"""),"Tom Le")</f>
        <v>Tom Le</v>
      </c>
      <c r="C171" s="76"/>
      <c r="D171" s="22"/>
      <c r="E171" s="23"/>
      <c r="F171" s="76"/>
      <c r="G171" s="22"/>
      <c r="H171" s="23"/>
    </row>
    <row r="172">
      <c r="A172" s="75">
        <f t="shared" si="85"/>
        <v>50</v>
      </c>
      <c r="B172" s="51" t="str">
        <f>IFERROR(__xludf.DUMMYFUNCTION("""COMPUTED_VALUE"""),"Trinath Goteti")</f>
        <v>Trinath Goteti</v>
      </c>
      <c r="C172" s="76"/>
      <c r="D172" s="22"/>
      <c r="E172" s="23"/>
      <c r="F172" s="76"/>
      <c r="G172" s="22"/>
      <c r="H172" s="23"/>
    </row>
    <row r="173">
      <c r="A173" s="75">
        <f t="shared" si="85"/>
        <v>51</v>
      </c>
      <c r="B173" s="51" t="str">
        <f>IFERROR(__xludf.DUMMYFUNCTION("""COMPUTED_VALUE"""),"Trish Newlin")</f>
        <v>Trish Newlin</v>
      </c>
      <c r="C173" s="76"/>
      <c r="D173" s="22"/>
      <c r="E173" s="23"/>
      <c r="F173" s="76"/>
      <c r="G173" s="22"/>
      <c r="H173" s="23"/>
    </row>
    <row r="174">
      <c r="A174" s="75">
        <f t="shared" si="85"/>
        <v>52</v>
      </c>
      <c r="B174" s="51" t="str">
        <f>IFERROR(__xludf.DUMMYFUNCTION("""COMPUTED_VALUE"""),"Troy Wong")</f>
        <v>Troy Wong</v>
      </c>
      <c r="C174" s="76"/>
      <c r="D174" s="22"/>
      <c r="E174" s="23"/>
      <c r="F174" s="76"/>
      <c r="G174" s="22"/>
      <c r="H174" s="23"/>
    </row>
    <row r="175">
      <c r="A175" s="75">
        <f t="shared" si="85"/>
        <v>53</v>
      </c>
      <c r="B175" s="51" t="str">
        <f>IFERROR(__xludf.DUMMYFUNCTION("""COMPUTED_VALUE"""),"Vinaya Kajla")</f>
        <v>Vinaya Kajla</v>
      </c>
      <c r="C175" s="76"/>
      <c r="D175" s="22"/>
      <c r="E175" s="23"/>
      <c r="F175" s="76"/>
      <c r="G175" s="22"/>
      <c r="H175" s="23"/>
    </row>
    <row r="176">
      <c r="A176" s="75">
        <f t="shared" si="85"/>
        <v>54</v>
      </c>
      <c r="B176" s="51" t="str">
        <f>IFERROR(__xludf.DUMMYFUNCTION("""COMPUTED_VALUE"""),"Vishnu Amarnath")</f>
        <v>Vishnu Amarnath</v>
      </c>
      <c r="C176" s="76"/>
      <c r="D176" s="22"/>
      <c r="E176" s="23"/>
      <c r="F176" s="76"/>
      <c r="G176" s="22"/>
      <c r="H176" s="23"/>
    </row>
    <row r="177">
      <c r="A177" s="75">
        <f t="shared" si="85"/>
        <v>55</v>
      </c>
      <c r="B177" s="51" t="str">
        <f>IFERROR(__xludf.DUMMYFUNCTION("""COMPUTED_VALUE"""),"Wayne Liu")</f>
        <v>Wayne Liu</v>
      </c>
      <c r="C177" s="76"/>
      <c r="D177" s="22"/>
      <c r="E177" s="23"/>
      <c r="F177" s="76"/>
      <c r="G177" s="22"/>
      <c r="H177" s="23"/>
    </row>
    <row r="178">
      <c r="A178" s="75">
        <f t="shared" si="85"/>
        <v>56</v>
      </c>
      <c r="B178" s="51"/>
      <c r="C178" s="76"/>
      <c r="D178" s="22"/>
      <c r="E178" s="23"/>
      <c r="F178" s="76"/>
      <c r="G178" s="22"/>
      <c r="H178" s="23"/>
    </row>
    <row r="179">
      <c r="A179" s="75">
        <f t="shared" si="85"/>
        <v>57</v>
      </c>
      <c r="B179" s="51"/>
      <c r="C179" s="76"/>
      <c r="D179" s="22"/>
      <c r="E179" s="23"/>
      <c r="F179" s="76"/>
      <c r="G179" s="22"/>
      <c r="H179" s="23"/>
    </row>
    <row r="180">
      <c r="A180" s="75">
        <f t="shared" si="85"/>
        <v>58</v>
      </c>
      <c r="B180" s="51"/>
      <c r="C180" s="76"/>
      <c r="D180" s="22"/>
      <c r="E180" s="23"/>
      <c r="F180" s="76"/>
      <c r="G180" s="22"/>
      <c r="H180" s="23"/>
    </row>
    <row r="181">
      <c r="A181" s="75">
        <f t="shared" si="85"/>
        <v>59</v>
      </c>
      <c r="B181" s="51"/>
      <c r="C181" s="76"/>
      <c r="D181" s="22"/>
      <c r="E181" s="23"/>
      <c r="F181" s="76"/>
      <c r="G181" s="22"/>
      <c r="H181" s="23"/>
    </row>
    <row r="182">
      <c r="A182" s="75">
        <f t="shared" si="85"/>
        <v>60</v>
      </c>
      <c r="B182" s="51"/>
      <c r="C182" s="76"/>
      <c r="D182" s="22"/>
      <c r="E182" s="23"/>
      <c r="F182" s="76"/>
      <c r="G182" s="22"/>
      <c r="H182" s="23"/>
    </row>
    <row r="183">
      <c r="A183" s="11"/>
      <c r="C183" s="11"/>
      <c r="D183" s="11"/>
      <c r="E183" s="11"/>
      <c r="F183" s="11"/>
    </row>
    <row r="184">
      <c r="A184" s="11"/>
      <c r="C184" s="11"/>
      <c r="D184" s="11"/>
      <c r="E184" s="11"/>
      <c r="F184" s="11"/>
    </row>
    <row r="185">
      <c r="A185" s="11"/>
      <c r="C185" s="11"/>
      <c r="D185" s="11"/>
      <c r="E185" s="11"/>
      <c r="F185" s="11"/>
    </row>
    <row r="186">
      <c r="A186" s="11"/>
      <c r="C186" s="11"/>
      <c r="D186" s="11"/>
      <c r="E186" s="11"/>
      <c r="F186" s="11"/>
    </row>
    <row r="187">
      <c r="A187" s="11"/>
      <c r="C187" s="11"/>
      <c r="D187" s="11"/>
      <c r="E187" s="11"/>
      <c r="F187" s="11"/>
    </row>
    <row r="188">
      <c r="A188" s="11"/>
      <c r="C188" s="11"/>
      <c r="D188" s="11"/>
      <c r="E188" s="11"/>
      <c r="F188" s="11"/>
    </row>
    <row r="189">
      <c r="A189" s="11"/>
      <c r="C189" s="11"/>
      <c r="D189" s="11"/>
      <c r="E189" s="11"/>
      <c r="F189" s="11"/>
    </row>
    <row r="190">
      <c r="A190" s="11"/>
      <c r="C190" s="11"/>
      <c r="D190" s="11"/>
      <c r="E190" s="11"/>
      <c r="F190" s="11"/>
    </row>
    <row r="191">
      <c r="A191" s="11"/>
      <c r="C191" s="11"/>
      <c r="D191" s="11"/>
      <c r="E191" s="11"/>
      <c r="F191" s="11"/>
    </row>
    <row r="192">
      <c r="A192" s="11"/>
      <c r="C192" s="11"/>
      <c r="D192" s="11"/>
      <c r="E192" s="11"/>
      <c r="F192" s="11"/>
    </row>
    <row r="193">
      <c r="A193" s="11"/>
      <c r="C193" s="11"/>
      <c r="D193" s="11"/>
      <c r="E193" s="11"/>
      <c r="F193" s="11"/>
    </row>
    <row r="194">
      <c r="A194" s="11"/>
      <c r="C194" s="11"/>
      <c r="D194" s="11"/>
      <c r="E194" s="11"/>
      <c r="F194" s="11"/>
    </row>
    <row r="195">
      <c r="A195" s="11"/>
      <c r="C195" s="11"/>
      <c r="D195" s="11"/>
      <c r="E195" s="11"/>
      <c r="F195" s="11"/>
    </row>
    <row r="196">
      <c r="A196" s="11"/>
      <c r="C196" s="11"/>
      <c r="D196" s="11"/>
      <c r="E196" s="11"/>
      <c r="F196" s="11"/>
    </row>
    <row r="197">
      <c r="A197" s="11"/>
      <c r="C197" s="11"/>
      <c r="D197" s="11"/>
      <c r="E197" s="11"/>
      <c r="F197" s="11"/>
    </row>
    <row r="198">
      <c r="A198" s="11"/>
      <c r="C198" s="11"/>
      <c r="D198" s="11"/>
      <c r="E198" s="11"/>
      <c r="F198" s="11"/>
    </row>
    <row r="199">
      <c r="A199" s="11"/>
      <c r="C199" s="11"/>
      <c r="D199" s="11"/>
      <c r="E199" s="11"/>
      <c r="F199" s="11"/>
    </row>
    <row r="200">
      <c r="A200" s="11"/>
      <c r="C200" s="11"/>
      <c r="D200" s="11"/>
      <c r="E200" s="11"/>
      <c r="F200" s="11"/>
    </row>
    <row r="201">
      <c r="A201" s="11"/>
      <c r="C201" s="11"/>
      <c r="D201" s="11"/>
      <c r="E201" s="11"/>
      <c r="F201" s="11"/>
    </row>
    <row r="202">
      <c r="A202" s="11"/>
      <c r="C202" s="11"/>
      <c r="D202" s="11"/>
      <c r="E202" s="11"/>
      <c r="F202" s="11"/>
    </row>
    <row r="203">
      <c r="A203" s="11"/>
      <c r="C203" s="11"/>
      <c r="D203" s="11"/>
      <c r="E203" s="11"/>
      <c r="F203" s="11"/>
    </row>
    <row r="204">
      <c r="A204" s="11"/>
      <c r="C204" s="11"/>
      <c r="D204" s="11"/>
      <c r="E204" s="11"/>
      <c r="F204" s="11"/>
    </row>
    <row r="205">
      <c r="A205" s="11"/>
      <c r="C205" s="11"/>
      <c r="D205" s="11"/>
      <c r="E205" s="11"/>
      <c r="F205" s="11"/>
    </row>
    <row r="206">
      <c r="A206" s="11"/>
      <c r="C206" s="11"/>
      <c r="D206" s="11"/>
      <c r="E206" s="11"/>
      <c r="F206" s="11"/>
    </row>
    <row r="207">
      <c r="A207" s="11"/>
      <c r="C207" s="11"/>
      <c r="D207" s="11"/>
      <c r="E207" s="11"/>
      <c r="F207" s="11"/>
    </row>
    <row r="208">
      <c r="A208" s="11"/>
      <c r="C208" s="11"/>
      <c r="D208" s="11"/>
      <c r="E208" s="11"/>
      <c r="F208" s="11"/>
    </row>
    <row r="209">
      <c r="A209" s="11"/>
      <c r="C209" s="11"/>
      <c r="D209" s="11"/>
      <c r="E209" s="11"/>
      <c r="F209" s="11"/>
    </row>
    <row r="210">
      <c r="A210" s="11"/>
      <c r="C210" s="11"/>
      <c r="D210" s="11"/>
      <c r="E210" s="11"/>
      <c r="F210" s="11"/>
    </row>
    <row r="211">
      <c r="A211" s="11"/>
      <c r="C211" s="11"/>
      <c r="D211" s="11"/>
      <c r="E211" s="11"/>
      <c r="F211" s="11"/>
    </row>
    <row r="212">
      <c r="A212" s="11"/>
      <c r="C212" s="11"/>
      <c r="D212" s="11"/>
      <c r="E212" s="11"/>
      <c r="F212" s="11"/>
    </row>
    <row r="213">
      <c r="A213" s="11"/>
      <c r="C213" s="11"/>
      <c r="D213" s="11"/>
      <c r="E213" s="11"/>
      <c r="F213" s="11"/>
    </row>
    <row r="214">
      <c r="A214" s="11"/>
      <c r="C214" s="11"/>
      <c r="D214" s="11"/>
      <c r="E214" s="11"/>
      <c r="F214" s="11"/>
    </row>
    <row r="215">
      <c r="A215" s="11"/>
      <c r="C215" s="11"/>
      <c r="D215" s="11"/>
      <c r="E215" s="11"/>
      <c r="F215" s="11"/>
    </row>
    <row r="216">
      <c r="A216" s="11"/>
      <c r="C216" s="11"/>
      <c r="D216" s="11"/>
      <c r="E216" s="11"/>
      <c r="F216" s="11"/>
    </row>
    <row r="217">
      <c r="A217" s="11"/>
      <c r="C217" s="11"/>
      <c r="D217" s="11"/>
      <c r="E217" s="11"/>
      <c r="F217" s="11"/>
    </row>
    <row r="218">
      <c r="A218" s="11"/>
      <c r="C218" s="11"/>
      <c r="D218" s="11"/>
      <c r="E218" s="11"/>
      <c r="F218" s="11"/>
    </row>
    <row r="219">
      <c r="A219" s="11"/>
      <c r="C219" s="11"/>
      <c r="D219" s="11"/>
      <c r="E219" s="11"/>
      <c r="F219" s="11"/>
    </row>
    <row r="220">
      <c r="A220" s="11"/>
      <c r="C220" s="11"/>
      <c r="D220" s="11"/>
      <c r="E220" s="11"/>
      <c r="F220" s="11"/>
    </row>
    <row r="221">
      <c r="A221" s="11"/>
      <c r="C221" s="11"/>
      <c r="D221" s="11"/>
      <c r="E221" s="11"/>
      <c r="F221" s="11"/>
    </row>
    <row r="222">
      <c r="A222" s="11"/>
      <c r="C222" s="11"/>
      <c r="D222" s="11"/>
      <c r="E222" s="11"/>
      <c r="F222" s="11"/>
    </row>
    <row r="223">
      <c r="A223" s="11"/>
      <c r="C223" s="11"/>
      <c r="D223" s="11"/>
      <c r="E223" s="11"/>
      <c r="F223" s="11"/>
    </row>
    <row r="224">
      <c r="A224" s="11"/>
      <c r="C224" s="11"/>
      <c r="D224" s="11"/>
      <c r="E224" s="11"/>
      <c r="F224" s="11"/>
    </row>
    <row r="225">
      <c r="A225" s="11"/>
      <c r="C225" s="11"/>
      <c r="D225" s="11"/>
      <c r="E225" s="11"/>
      <c r="F225" s="11"/>
    </row>
    <row r="226">
      <c r="A226" s="11"/>
      <c r="C226" s="11"/>
      <c r="D226" s="11"/>
      <c r="E226" s="11"/>
      <c r="F226" s="11"/>
    </row>
    <row r="227">
      <c r="A227" s="11"/>
      <c r="C227" s="11"/>
      <c r="D227" s="11"/>
      <c r="E227" s="11"/>
      <c r="F227" s="11"/>
    </row>
    <row r="228">
      <c r="A228" s="11"/>
      <c r="C228" s="11"/>
      <c r="D228" s="11"/>
      <c r="E228" s="11"/>
      <c r="F228" s="11"/>
    </row>
    <row r="229">
      <c r="A229" s="11"/>
      <c r="C229" s="11"/>
      <c r="D229" s="11"/>
      <c r="E229" s="11"/>
      <c r="F229" s="11"/>
    </row>
    <row r="230">
      <c r="A230" s="11"/>
      <c r="C230" s="11"/>
      <c r="D230" s="11"/>
      <c r="E230" s="11"/>
      <c r="F230" s="11"/>
    </row>
    <row r="231">
      <c r="A231" s="11"/>
      <c r="C231" s="11"/>
      <c r="D231" s="11"/>
      <c r="E231" s="11"/>
      <c r="F231" s="11"/>
    </row>
    <row r="232">
      <c r="A232" s="11"/>
      <c r="C232" s="11"/>
      <c r="D232" s="11"/>
      <c r="E232" s="11"/>
      <c r="F232" s="11"/>
    </row>
    <row r="233">
      <c r="A233" s="11"/>
      <c r="C233" s="11"/>
      <c r="D233" s="11"/>
      <c r="E233" s="11"/>
      <c r="F233" s="11"/>
    </row>
    <row r="234">
      <c r="A234" s="11"/>
      <c r="C234" s="11"/>
      <c r="D234" s="11"/>
      <c r="E234" s="11"/>
      <c r="F234" s="11"/>
    </row>
    <row r="235">
      <c r="A235" s="11"/>
      <c r="C235" s="11"/>
      <c r="D235" s="11"/>
      <c r="E235" s="11"/>
      <c r="F235" s="11"/>
    </row>
    <row r="236">
      <c r="A236" s="11"/>
      <c r="C236" s="11"/>
      <c r="D236" s="11"/>
      <c r="E236" s="11"/>
      <c r="F236" s="11"/>
    </row>
    <row r="237">
      <c r="A237" s="11"/>
      <c r="C237" s="11"/>
      <c r="D237" s="11"/>
      <c r="E237" s="11"/>
      <c r="F237" s="11"/>
    </row>
    <row r="238">
      <c r="A238" s="11"/>
      <c r="C238" s="11"/>
      <c r="D238" s="11"/>
      <c r="E238" s="11"/>
      <c r="F238" s="11"/>
    </row>
    <row r="239">
      <c r="A239" s="11"/>
      <c r="C239" s="11"/>
      <c r="D239" s="11"/>
      <c r="E239" s="11"/>
      <c r="F239" s="11"/>
    </row>
    <row r="240">
      <c r="A240" s="11"/>
      <c r="C240" s="11"/>
      <c r="D240" s="11"/>
      <c r="E240" s="11"/>
      <c r="F240" s="11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11"/>
      <c r="C261" s="11"/>
      <c r="D261" s="11"/>
      <c r="E261" s="11"/>
      <c r="F261" s="11"/>
    </row>
    <row r="262">
      <c r="A262" s="11"/>
      <c r="C262" s="11"/>
      <c r="D262" s="11"/>
      <c r="E262" s="11"/>
      <c r="F262" s="11"/>
    </row>
    <row r="263">
      <c r="A263" s="11"/>
      <c r="C263" s="11"/>
      <c r="D263" s="11"/>
      <c r="E263" s="11"/>
      <c r="F263" s="11"/>
    </row>
    <row r="264">
      <c r="A264" s="11"/>
      <c r="C264" s="11"/>
      <c r="D264" s="11"/>
      <c r="E264" s="11"/>
      <c r="F264" s="11"/>
    </row>
    <row r="265">
      <c r="A265" s="11"/>
      <c r="C265" s="11"/>
      <c r="D265" s="11"/>
      <c r="E265" s="11"/>
      <c r="F265" s="11"/>
    </row>
    <row r="266">
      <c r="A266" s="11"/>
      <c r="C266" s="11"/>
      <c r="D266" s="11"/>
      <c r="E266" s="11"/>
      <c r="F266" s="11"/>
    </row>
    <row r="267">
      <c r="A267" s="11"/>
      <c r="C267" s="11"/>
      <c r="D267" s="11"/>
      <c r="E267" s="11"/>
      <c r="F267" s="11"/>
    </row>
    <row r="268">
      <c r="A268" s="11"/>
      <c r="C268" s="11"/>
      <c r="D268" s="11"/>
      <c r="E268" s="11"/>
      <c r="F268" s="11"/>
    </row>
    <row r="269">
      <c r="A269" s="11"/>
      <c r="C269" s="11"/>
      <c r="D269" s="11"/>
      <c r="E269" s="11"/>
      <c r="F269" s="11"/>
    </row>
    <row r="270">
      <c r="A270" s="11"/>
      <c r="C270" s="11"/>
      <c r="D270" s="11"/>
      <c r="E270" s="11"/>
      <c r="F270" s="11"/>
    </row>
    <row r="271">
      <c r="A271" s="11"/>
      <c r="C271" s="11"/>
      <c r="D271" s="11"/>
      <c r="E271" s="11"/>
      <c r="F271" s="11"/>
    </row>
    <row r="272">
      <c r="A272" s="11"/>
      <c r="C272" s="11"/>
      <c r="D272" s="11"/>
      <c r="E272" s="11"/>
      <c r="F272" s="11"/>
    </row>
    <row r="273">
      <c r="A273" s="11"/>
      <c r="C273" s="11"/>
      <c r="D273" s="11"/>
      <c r="E273" s="11"/>
      <c r="F273" s="11"/>
    </row>
    <row r="274">
      <c r="A274" s="11"/>
      <c r="C274" s="11"/>
      <c r="D274" s="11"/>
      <c r="E274" s="11"/>
      <c r="F274" s="11"/>
    </row>
    <row r="275">
      <c r="A275" s="11"/>
      <c r="C275" s="11"/>
      <c r="D275" s="11"/>
      <c r="E275" s="11"/>
      <c r="F275" s="11"/>
    </row>
    <row r="276">
      <c r="A276" s="11"/>
      <c r="C276" s="11"/>
      <c r="D276" s="11"/>
      <c r="E276" s="11"/>
      <c r="F276" s="11"/>
    </row>
    <row r="277">
      <c r="A277" s="11"/>
      <c r="C277" s="11"/>
      <c r="D277" s="11"/>
      <c r="E277" s="11"/>
      <c r="F277" s="11"/>
    </row>
    <row r="278">
      <c r="A278" s="11"/>
      <c r="C278" s="11"/>
      <c r="D278" s="11"/>
      <c r="E278" s="11"/>
      <c r="F278" s="11"/>
    </row>
    <row r="279">
      <c r="A279" s="11"/>
      <c r="C279" s="11"/>
      <c r="D279" s="11"/>
      <c r="E279" s="11"/>
      <c r="F279" s="11"/>
    </row>
    <row r="280">
      <c r="A280" s="11"/>
      <c r="C280" s="11"/>
      <c r="D280" s="11"/>
      <c r="E280" s="11"/>
      <c r="F280" s="11"/>
    </row>
    <row r="281">
      <c r="A281" s="11"/>
      <c r="C281" s="11"/>
      <c r="D281" s="11"/>
      <c r="E281" s="11"/>
      <c r="F281" s="11"/>
    </row>
    <row r="282">
      <c r="A282" s="11"/>
      <c r="C282" s="11"/>
      <c r="D282" s="11"/>
      <c r="E282" s="11"/>
      <c r="F282" s="11"/>
    </row>
    <row r="283">
      <c r="A283" s="11"/>
      <c r="C283" s="11"/>
      <c r="D283" s="11"/>
      <c r="E283" s="11"/>
      <c r="F283" s="11"/>
    </row>
    <row r="284">
      <c r="A284" s="11"/>
      <c r="C284" s="11"/>
      <c r="D284" s="11"/>
      <c r="E284" s="11"/>
      <c r="F284" s="11"/>
    </row>
    <row r="285">
      <c r="A285" s="11"/>
      <c r="C285" s="11"/>
      <c r="D285" s="11"/>
      <c r="E285" s="11"/>
      <c r="F285" s="11"/>
    </row>
    <row r="286">
      <c r="A286" s="11"/>
      <c r="C286" s="11"/>
      <c r="D286" s="11"/>
      <c r="E286" s="11"/>
      <c r="F286" s="11"/>
    </row>
    <row r="287">
      <c r="A287" s="11"/>
      <c r="C287" s="11"/>
      <c r="D287" s="11"/>
      <c r="E287" s="11"/>
      <c r="F287" s="11"/>
    </row>
    <row r="288">
      <c r="A288" s="11"/>
      <c r="C288" s="11"/>
      <c r="D288" s="11"/>
      <c r="E288" s="11"/>
      <c r="F288" s="11"/>
    </row>
    <row r="289">
      <c r="A289" s="11"/>
      <c r="C289" s="11"/>
      <c r="D289" s="11"/>
      <c r="E289" s="11"/>
      <c r="F289" s="11"/>
    </row>
    <row r="290">
      <c r="A290" s="11"/>
      <c r="C290" s="11"/>
      <c r="D290" s="11"/>
      <c r="E290" s="11"/>
      <c r="F290" s="11"/>
    </row>
    <row r="291">
      <c r="A291" s="11"/>
      <c r="C291" s="11"/>
      <c r="D291" s="11"/>
      <c r="E291" s="11"/>
      <c r="F291" s="11"/>
    </row>
    <row r="292">
      <c r="A292" s="11"/>
      <c r="C292" s="11"/>
      <c r="D292" s="11"/>
      <c r="E292" s="11"/>
      <c r="F292" s="11"/>
    </row>
    <row r="293">
      <c r="A293" s="11"/>
      <c r="C293" s="11"/>
      <c r="D293" s="11"/>
      <c r="E293" s="11"/>
      <c r="F293" s="11"/>
    </row>
    <row r="294">
      <c r="A294" s="11"/>
      <c r="C294" s="11"/>
      <c r="D294" s="11"/>
      <c r="E294" s="11"/>
      <c r="F294" s="11"/>
    </row>
    <row r="295">
      <c r="A295" s="11"/>
      <c r="C295" s="11"/>
      <c r="D295" s="11"/>
      <c r="E295" s="11"/>
      <c r="F295" s="11"/>
    </row>
    <row r="296">
      <c r="A296" s="11"/>
      <c r="C296" s="11"/>
      <c r="D296" s="11"/>
      <c r="E296" s="11"/>
      <c r="F296" s="11"/>
    </row>
    <row r="297">
      <c r="A297" s="11"/>
      <c r="C297" s="11"/>
      <c r="D297" s="11"/>
      <c r="E297" s="11"/>
      <c r="F297" s="11"/>
    </row>
    <row r="298">
      <c r="A298" s="11"/>
      <c r="C298" s="11"/>
      <c r="D298" s="11"/>
      <c r="E298" s="11"/>
      <c r="F298" s="11"/>
    </row>
    <row r="299">
      <c r="A299" s="11"/>
      <c r="C299" s="11"/>
      <c r="D299" s="11"/>
      <c r="E299" s="11"/>
      <c r="F299" s="11"/>
    </row>
    <row r="300">
      <c r="A300" s="11"/>
      <c r="C300" s="11"/>
      <c r="D300" s="11"/>
      <c r="E300" s="11"/>
      <c r="F300" s="11"/>
    </row>
    <row r="301">
      <c r="A301" s="11"/>
      <c r="C301" s="11"/>
      <c r="D301" s="11"/>
      <c r="E301" s="11"/>
      <c r="F301" s="11"/>
    </row>
    <row r="302">
      <c r="A302" s="11"/>
      <c r="C302" s="11"/>
      <c r="D302" s="11"/>
      <c r="E302" s="11"/>
      <c r="F302" s="11"/>
    </row>
    <row r="303">
      <c r="A303" s="11"/>
      <c r="C303" s="11"/>
      <c r="D303" s="11"/>
      <c r="E303" s="11"/>
      <c r="F303" s="11"/>
    </row>
    <row r="304">
      <c r="A304" s="11"/>
      <c r="C304" s="11"/>
      <c r="D304" s="11"/>
      <c r="E304" s="11"/>
      <c r="F304" s="11"/>
    </row>
    <row r="305">
      <c r="A305" s="11"/>
      <c r="C305" s="11"/>
      <c r="D305" s="11"/>
      <c r="E305" s="11"/>
      <c r="F305" s="11"/>
    </row>
    <row r="306">
      <c r="A306" s="11"/>
      <c r="C306" s="11"/>
      <c r="D306" s="11"/>
      <c r="E306" s="11"/>
      <c r="F306" s="11"/>
    </row>
    <row r="307">
      <c r="A307" s="11"/>
      <c r="C307" s="11"/>
      <c r="D307" s="11"/>
      <c r="E307" s="11"/>
      <c r="F307" s="11"/>
    </row>
    <row r="308">
      <c r="A308" s="11"/>
      <c r="C308" s="11"/>
      <c r="D308" s="11"/>
      <c r="E308" s="11"/>
      <c r="F308" s="11"/>
    </row>
    <row r="309">
      <c r="A309" s="11"/>
      <c r="C309" s="11"/>
      <c r="D309" s="11"/>
      <c r="E309" s="11"/>
      <c r="F309" s="11"/>
    </row>
    <row r="310">
      <c r="A310" s="11"/>
      <c r="C310" s="11"/>
      <c r="D310" s="11"/>
      <c r="E310" s="11"/>
      <c r="F310" s="11"/>
    </row>
    <row r="311">
      <c r="A311" s="11"/>
      <c r="C311" s="11"/>
      <c r="D311" s="11"/>
      <c r="E311" s="11"/>
      <c r="F311" s="11"/>
    </row>
    <row r="312">
      <c r="A312" s="11"/>
      <c r="C312" s="11"/>
      <c r="D312" s="11"/>
      <c r="E312" s="11"/>
      <c r="F312" s="11"/>
    </row>
    <row r="313">
      <c r="A313" s="11"/>
      <c r="C313" s="11"/>
      <c r="D313" s="11"/>
      <c r="E313" s="11"/>
      <c r="F313" s="11"/>
    </row>
    <row r="314">
      <c r="A314" s="11"/>
      <c r="C314" s="11"/>
      <c r="D314" s="11"/>
      <c r="E314" s="11"/>
      <c r="F314" s="11"/>
    </row>
    <row r="315">
      <c r="A315" s="11"/>
      <c r="C315" s="11"/>
      <c r="D315" s="11"/>
      <c r="E315" s="11"/>
      <c r="F315" s="11"/>
    </row>
    <row r="316">
      <c r="A316" s="11"/>
      <c r="C316" s="11"/>
      <c r="D316" s="11"/>
      <c r="E316" s="11"/>
      <c r="F316" s="11"/>
    </row>
    <row r="317">
      <c r="A317" s="11"/>
      <c r="C317" s="11"/>
      <c r="D317" s="11"/>
      <c r="E317" s="11"/>
      <c r="F317" s="11"/>
    </row>
    <row r="318">
      <c r="A318" s="11"/>
      <c r="C318" s="11"/>
      <c r="D318" s="11"/>
      <c r="E318" s="11"/>
      <c r="F318" s="11"/>
    </row>
    <row r="319">
      <c r="A319" s="11"/>
      <c r="C319" s="11"/>
      <c r="D319" s="11"/>
      <c r="E319" s="11"/>
      <c r="F319" s="11"/>
    </row>
    <row r="320">
      <c r="A320" s="11"/>
      <c r="C320" s="11"/>
      <c r="D320" s="11"/>
      <c r="E320" s="11"/>
      <c r="F320" s="11"/>
    </row>
    <row r="321">
      <c r="A321" s="11"/>
      <c r="C321" s="11"/>
      <c r="D321" s="11"/>
      <c r="E321" s="11"/>
      <c r="F321" s="11"/>
    </row>
    <row r="322">
      <c r="A322" s="11"/>
      <c r="C322" s="11"/>
      <c r="D322" s="11"/>
      <c r="E322" s="11"/>
      <c r="F322" s="11"/>
    </row>
    <row r="323">
      <c r="A323" s="11"/>
      <c r="C323" s="11"/>
      <c r="D323" s="11"/>
      <c r="E323" s="11"/>
      <c r="F323" s="11"/>
    </row>
    <row r="324">
      <c r="A324" s="11"/>
      <c r="C324" s="11"/>
      <c r="D324" s="11"/>
      <c r="E324" s="11"/>
      <c r="F324" s="11"/>
    </row>
    <row r="325">
      <c r="A325" s="11"/>
      <c r="C325" s="11"/>
      <c r="D325" s="11"/>
      <c r="E325" s="11"/>
      <c r="F325" s="11"/>
    </row>
    <row r="326">
      <c r="A326" s="11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C343" s="11"/>
      <c r="D343" s="11"/>
      <c r="E343" s="11"/>
      <c r="F343" s="11"/>
    </row>
    <row r="344">
      <c r="A344" s="11"/>
      <c r="C344" s="11"/>
      <c r="D344" s="11"/>
      <c r="E344" s="11"/>
      <c r="F344" s="11"/>
    </row>
    <row r="345">
      <c r="A345" s="11"/>
      <c r="C345" s="11"/>
      <c r="D345" s="11"/>
      <c r="E345" s="11"/>
      <c r="F345" s="11"/>
    </row>
    <row r="346">
      <c r="A346" s="11"/>
      <c r="C346" s="11"/>
      <c r="D346" s="11"/>
      <c r="E346" s="11"/>
      <c r="F346" s="11"/>
    </row>
    <row r="347">
      <c r="A347" s="11"/>
      <c r="C347" s="11"/>
      <c r="D347" s="11"/>
      <c r="E347" s="11"/>
      <c r="F347" s="11"/>
    </row>
    <row r="348">
      <c r="A348" s="11"/>
      <c r="C348" s="11"/>
      <c r="D348" s="11"/>
      <c r="E348" s="11"/>
      <c r="F348" s="11"/>
    </row>
    <row r="349">
      <c r="A349" s="11"/>
      <c r="C349" s="11"/>
      <c r="D349" s="11"/>
      <c r="E349" s="11"/>
      <c r="F349" s="11"/>
    </row>
    <row r="350">
      <c r="A350" s="11"/>
      <c r="C350" s="11"/>
      <c r="D350" s="11"/>
      <c r="E350" s="11"/>
      <c r="F350" s="11"/>
    </row>
    <row r="351">
      <c r="A351" s="11"/>
      <c r="C351" s="11"/>
      <c r="D351" s="11"/>
      <c r="E351" s="11"/>
      <c r="F351" s="11"/>
    </row>
    <row r="352">
      <c r="A352" s="11"/>
      <c r="C352" s="11"/>
      <c r="D352" s="11"/>
      <c r="E352" s="11"/>
      <c r="F352" s="11"/>
    </row>
    <row r="353">
      <c r="A353" s="11"/>
      <c r="C353" s="11"/>
      <c r="D353" s="11"/>
      <c r="E353" s="11"/>
      <c r="F353" s="11"/>
    </row>
    <row r="354">
      <c r="A354" s="11"/>
      <c r="C354" s="11"/>
      <c r="D354" s="11"/>
      <c r="E354" s="11"/>
      <c r="F354" s="11"/>
    </row>
    <row r="355">
      <c r="A355" s="11"/>
      <c r="C355" s="11"/>
      <c r="D355" s="11"/>
      <c r="E355" s="11"/>
      <c r="F355" s="11"/>
    </row>
    <row r="356">
      <c r="A356" s="11"/>
      <c r="C356" s="11"/>
      <c r="D356" s="11"/>
      <c r="E356" s="11"/>
      <c r="F356" s="11"/>
    </row>
    <row r="357">
      <c r="A357" s="11"/>
      <c r="C357" s="11"/>
      <c r="D357" s="11"/>
      <c r="E357" s="11"/>
      <c r="F357" s="11"/>
    </row>
    <row r="358">
      <c r="A358" s="11"/>
      <c r="C358" s="11"/>
      <c r="D358" s="11"/>
      <c r="E358" s="11"/>
      <c r="F358" s="11"/>
    </row>
    <row r="359">
      <c r="A359" s="11"/>
      <c r="C359" s="11"/>
      <c r="D359" s="11"/>
      <c r="E359" s="11"/>
      <c r="F359" s="11"/>
    </row>
    <row r="360">
      <c r="A360" s="11"/>
      <c r="C360" s="11"/>
      <c r="D360" s="11"/>
      <c r="E360" s="11"/>
      <c r="F360" s="11"/>
    </row>
    <row r="361">
      <c r="A361" s="11"/>
      <c r="C361" s="11"/>
      <c r="D361" s="11"/>
      <c r="E361" s="11"/>
      <c r="F361" s="11"/>
    </row>
    <row r="362">
      <c r="A362" s="11"/>
      <c r="C362" s="11"/>
      <c r="D362" s="11"/>
      <c r="E362" s="11"/>
      <c r="F362" s="11"/>
    </row>
    <row r="363">
      <c r="A363" s="11"/>
      <c r="C363" s="11"/>
      <c r="D363" s="11"/>
      <c r="E363" s="11"/>
      <c r="F363" s="11"/>
    </row>
    <row r="364">
      <c r="A364" s="11"/>
      <c r="C364" s="11"/>
      <c r="D364" s="11"/>
      <c r="E364" s="11"/>
      <c r="F364" s="11"/>
    </row>
    <row r="365">
      <c r="A365" s="11"/>
      <c r="C365" s="11"/>
      <c r="D365" s="11"/>
      <c r="E365" s="11"/>
      <c r="F365" s="11"/>
    </row>
    <row r="366">
      <c r="A366" s="11"/>
      <c r="C366" s="11"/>
      <c r="D366" s="11"/>
      <c r="E366" s="11"/>
      <c r="F366" s="11"/>
    </row>
    <row r="367">
      <c r="A367" s="11"/>
      <c r="C367" s="11"/>
      <c r="D367" s="11"/>
      <c r="E367" s="11"/>
      <c r="F367" s="11"/>
    </row>
    <row r="368">
      <c r="A368" s="11"/>
      <c r="C368" s="11"/>
      <c r="D368" s="11"/>
      <c r="E368" s="11"/>
      <c r="F368" s="11"/>
    </row>
    <row r="369">
      <c r="A369" s="11"/>
      <c r="C369" s="11"/>
      <c r="D369" s="11"/>
      <c r="E369" s="11"/>
      <c r="F369" s="11"/>
    </row>
    <row r="370">
      <c r="A370" s="11"/>
      <c r="C370" s="11"/>
      <c r="D370" s="11"/>
      <c r="E370" s="11"/>
      <c r="F370" s="11"/>
    </row>
    <row r="371">
      <c r="A371" s="11"/>
      <c r="C371" s="11"/>
      <c r="D371" s="11"/>
      <c r="E371" s="11"/>
      <c r="F371" s="11"/>
    </row>
    <row r="372">
      <c r="A372" s="11"/>
      <c r="C372" s="11"/>
      <c r="D372" s="11"/>
      <c r="E372" s="11"/>
      <c r="F372" s="11"/>
    </row>
    <row r="373">
      <c r="A373" s="11"/>
      <c r="C373" s="11"/>
      <c r="D373" s="11"/>
      <c r="E373" s="11"/>
      <c r="F373" s="11"/>
    </row>
    <row r="374">
      <c r="A374" s="11"/>
      <c r="C374" s="11"/>
      <c r="D374" s="11"/>
      <c r="E374" s="11"/>
      <c r="F374" s="11"/>
    </row>
    <row r="375">
      <c r="A375" s="11"/>
      <c r="C375" s="11"/>
      <c r="D375" s="11"/>
      <c r="E375" s="11"/>
      <c r="F375" s="11"/>
    </row>
    <row r="376">
      <c r="A376" s="11"/>
      <c r="C376" s="11"/>
      <c r="D376" s="11"/>
      <c r="E376" s="11"/>
      <c r="F376" s="11"/>
    </row>
    <row r="377">
      <c r="A377" s="11"/>
      <c r="C377" s="11"/>
      <c r="D377" s="11"/>
      <c r="E377" s="11"/>
      <c r="F377" s="11"/>
    </row>
    <row r="378">
      <c r="A378" s="11"/>
      <c r="C378" s="11"/>
      <c r="D378" s="11"/>
      <c r="E378" s="11"/>
      <c r="F378" s="11"/>
    </row>
    <row r="379">
      <c r="A379" s="11"/>
      <c r="C379" s="11"/>
      <c r="D379" s="11"/>
      <c r="E379" s="11"/>
      <c r="F379" s="11"/>
    </row>
    <row r="380">
      <c r="A380" s="11"/>
      <c r="C380" s="11"/>
      <c r="D380" s="11"/>
      <c r="E380" s="11"/>
      <c r="F380" s="11"/>
    </row>
    <row r="381">
      <c r="A381" s="11"/>
      <c r="C381" s="11"/>
      <c r="D381" s="11"/>
      <c r="E381" s="11"/>
      <c r="F381" s="11"/>
    </row>
    <row r="382">
      <c r="A382" s="11"/>
      <c r="C382" s="11"/>
      <c r="D382" s="11"/>
      <c r="E382" s="11"/>
      <c r="F382" s="11"/>
    </row>
    <row r="383">
      <c r="A383" s="11"/>
      <c r="C383" s="11"/>
      <c r="D383" s="11"/>
      <c r="E383" s="11"/>
      <c r="F383" s="11"/>
    </row>
    <row r="384">
      <c r="A384" s="11"/>
      <c r="C384" s="11"/>
      <c r="D384" s="11"/>
      <c r="E384" s="11"/>
      <c r="F384" s="11"/>
    </row>
    <row r="385">
      <c r="A385" s="11"/>
      <c r="C385" s="11"/>
      <c r="D385" s="11"/>
      <c r="E385" s="11"/>
      <c r="F385" s="11"/>
    </row>
    <row r="386">
      <c r="A386" s="11"/>
      <c r="C386" s="11"/>
      <c r="D386" s="11"/>
      <c r="E386" s="11"/>
      <c r="F386" s="11"/>
    </row>
    <row r="387">
      <c r="A387" s="11"/>
      <c r="C387" s="11"/>
      <c r="D387" s="11"/>
      <c r="E387" s="11"/>
      <c r="F387" s="11"/>
    </row>
    <row r="388">
      <c r="A388" s="11"/>
      <c r="C388" s="11"/>
      <c r="D388" s="11"/>
      <c r="E388" s="11"/>
      <c r="F388" s="11"/>
    </row>
    <row r="389">
      <c r="A389" s="11"/>
      <c r="C389" s="11"/>
      <c r="D389" s="11"/>
      <c r="E389" s="11"/>
      <c r="F389" s="11"/>
    </row>
    <row r="390">
      <c r="A390" s="11"/>
      <c r="C390" s="11"/>
      <c r="D390" s="11"/>
      <c r="E390" s="11"/>
      <c r="F390" s="11"/>
    </row>
    <row r="391">
      <c r="A391" s="11"/>
      <c r="C391" s="11"/>
      <c r="D391" s="11"/>
      <c r="E391" s="11"/>
      <c r="F391" s="11"/>
    </row>
    <row r="392">
      <c r="A392" s="11"/>
      <c r="C392" s="11"/>
      <c r="D392" s="11"/>
      <c r="E392" s="11"/>
      <c r="F392" s="11"/>
    </row>
    <row r="393">
      <c r="A393" s="11"/>
      <c r="C393" s="11"/>
      <c r="D393" s="11"/>
      <c r="E393" s="11"/>
      <c r="F393" s="11"/>
    </row>
    <row r="394">
      <c r="A394" s="11"/>
      <c r="C394" s="11"/>
      <c r="D394" s="11"/>
      <c r="E394" s="11"/>
      <c r="F394" s="11"/>
    </row>
    <row r="395">
      <c r="A395" s="11"/>
      <c r="C395" s="11"/>
      <c r="D395" s="11"/>
      <c r="E395" s="11"/>
      <c r="F395" s="11"/>
    </row>
    <row r="396">
      <c r="A396" s="11"/>
      <c r="C396" s="11"/>
      <c r="D396" s="11"/>
      <c r="E396" s="11"/>
      <c r="F396" s="11"/>
    </row>
    <row r="397">
      <c r="A397" s="11"/>
      <c r="C397" s="11"/>
      <c r="D397" s="11"/>
      <c r="E397" s="11"/>
      <c r="F397" s="11"/>
    </row>
    <row r="398">
      <c r="A398" s="11"/>
      <c r="C398" s="11"/>
      <c r="D398" s="11"/>
      <c r="E398" s="11"/>
      <c r="F398" s="11"/>
    </row>
    <row r="399">
      <c r="A399" s="11"/>
      <c r="C399" s="11"/>
      <c r="D399" s="11"/>
      <c r="E399" s="11"/>
      <c r="F399" s="11"/>
    </row>
    <row r="400">
      <c r="A400" s="11"/>
      <c r="C400" s="11"/>
      <c r="D400" s="11"/>
      <c r="E400" s="11"/>
      <c r="F400" s="11"/>
    </row>
    <row r="401">
      <c r="A401" s="11"/>
      <c r="C401" s="11"/>
      <c r="D401" s="11"/>
      <c r="E401" s="11"/>
      <c r="F401" s="11"/>
    </row>
    <row r="402">
      <c r="A402" s="11"/>
      <c r="C402" s="11"/>
      <c r="D402" s="11"/>
      <c r="E402" s="11"/>
      <c r="F402" s="11"/>
    </row>
    <row r="403">
      <c r="A403" s="11"/>
      <c r="C403" s="11"/>
      <c r="D403" s="11"/>
      <c r="E403" s="11"/>
      <c r="F403" s="11"/>
    </row>
    <row r="404">
      <c r="A404" s="11"/>
      <c r="C404" s="11"/>
      <c r="D404" s="11"/>
      <c r="E404" s="11"/>
      <c r="F404" s="11"/>
    </row>
    <row r="405">
      <c r="A405" s="11"/>
      <c r="C405" s="11"/>
      <c r="D405" s="11"/>
      <c r="E405" s="11"/>
      <c r="F405" s="11"/>
    </row>
    <row r="406">
      <c r="A406" s="11"/>
      <c r="C406" s="11"/>
      <c r="D406" s="11"/>
      <c r="E406" s="11"/>
      <c r="F406" s="11"/>
    </row>
    <row r="407">
      <c r="A407" s="11"/>
      <c r="C407" s="11"/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</sheetData>
  <mergeCells count="149"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F137:H137"/>
    <mergeCell ref="I137:M137"/>
    <mergeCell ref="C135:E135"/>
    <mergeCell ref="F135:H135"/>
    <mergeCell ref="I135:M135"/>
    <mergeCell ref="C136:E136"/>
    <mergeCell ref="F136:H136"/>
    <mergeCell ref="I136:M136"/>
    <mergeCell ref="C137:E137"/>
    <mergeCell ref="C1:F1"/>
    <mergeCell ref="I1:K1"/>
    <mergeCell ref="L1:M1"/>
    <mergeCell ref="B2:C2"/>
    <mergeCell ref="C3:E3"/>
    <mergeCell ref="F3:M3"/>
    <mergeCell ref="N3:O3"/>
    <mergeCell ref="P77:Q77"/>
    <mergeCell ref="P79:Q79"/>
    <mergeCell ref="P80:Q80"/>
    <mergeCell ref="A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42:H142"/>
    <mergeCell ref="F143:H143"/>
    <mergeCell ref="F164:H164"/>
    <mergeCell ref="F165:H165"/>
    <mergeCell ref="F157:H157"/>
    <mergeCell ref="F158:H158"/>
    <mergeCell ref="F159:H159"/>
    <mergeCell ref="F160:H160"/>
    <mergeCell ref="F161:H161"/>
    <mergeCell ref="F162:H162"/>
    <mergeCell ref="F163:H163"/>
    <mergeCell ref="C168:E168"/>
    <mergeCell ref="F168:H168"/>
    <mergeCell ref="C169:E169"/>
    <mergeCell ref="F169:H169"/>
    <mergeCell ref="C170:E170"/>
    <mergeCell ref="F170:H170"/>
    <mergeCell ref="F171:H171"/>
    <mergeCell ref="C178:E178"/>
    <mergeCell ref="C179:E179"/>
    <mergeCell ref="C180:E180"/>
    <mergeCell ref="C181:E181"/>
    <mergeCell ref="C182:E182"/>
    <mergeCell ref="C171:E171"/>
    <mergeCell ref="C172:E172"/>
    <mergeCell ref="C173:E173"/>
    <mergeCell ref="C174:E174"/>
    <mergeCell ref="C175:E175"/>
    <mergeCell ref="C176:E176"/>
    <mergeCell ref="C177:E177"/>
    <mergeCell ref="F179:H179"/>
    <mergeCell ref="F180:H180"/>
    <mergeCell ref="F181:H181"/>
    <mergeCell ref="F182:H182"/>
    <mergeCell ref="F172:H172"/>
    <mergeCell ref="F173:H173"/>
    <mergeCell ref="F174:H174"/>
    <mergeCell ref="F175:H175"/>
    <mergeCell ref="F176:H176"/>
    <mergeCell ref="F177:H177"/>
    <mergeCell ref="F178:H178"/>
    <mergeCell ref="C138:E138"/>
    <mergeCell ref="F138:H138"/>
    <mergeCell ref="C139:E139"/>
    <mergeCell ref="F139:H139"/>
    <mergeCell ref="C140:E140"/>
    <mergeCell ref="F140:H140"/>
    <mergeCell ref="F141:H141"/>
    <mergeCell ref="C141:E141"/>
    <mergeCell ref="C142:E142"/>
    <mergeCell ref="C143:E143"/>
    <mergeCell ref="C144:E144"/>
    <mergeCell ref="F144:H144"/>
    <mergeCell ref="C145:E145"/>
    <mergeCell ref="F145:H145"/>
    <mergeCell ref="C146:E146"/>
    <mergeCell ref="F146:H146"/>
    <mergeCell ref="C147:E147"/>
    <mergeCell ref="F147:H147"/>
    <mergeCell ref="C148:E148"/>
    <mergeCell ref="F148:H148"/>
    <mergeCell ref="F149:H149"/>
    <mergeCell ref="C149:E149"/>
    <mergeCell ref="C150:E150"/>
    <mergeCell ref="C151:E151"/>
    <mergeCell ref="C152:E152"/>
    <mergeCell ref="C153:E153"/>
    <mergeCell ref="C154:E154"/>
    <mergeCell ref="C155:E155"/>
    <mergeCell ref="F150:H150"/>
    <mergeCell ref="F151:H151"/>
    <mergeCell ref="F152:H152"/>
    <mergeCell ref="F153:H153"/>
    <mergeCell ref="F154:H154"/>
    <mergeCell ref="F155:H155"/>
    <mergeCell ref="F156:H156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F166:H166"/>
    <mergeCell ref="C167:E167"/>
    <mergeCell ref="F167:H167"/>
  </mergeCells>
  <conditionalFormatting sqref="L5:L69">
    <cfRule type="expression" dxfId="1" priority="1">
      <formula> L5&gt;=18</formula>
    </cfRule>
  </conditionalFormatting>
  <conditionalFormatting sqref="C10 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9.75"/>
    <col customWidth="1" min="3" max="3" width="6.63"/>
    <col customWidth="1" min="4" max="4" width="5.13"/>
    <col customWidth="1" min="5" max="5" width="6.0"/>
    <col customWidth="1" min="6" max="8" width="5.0"/>
    <col customWidth="1" min="9" max="9" width="6.5"/>
    <col customWidth="1" min="10" max="10" width="6.13"/>
    <col customWidth="1" min="11" max="11" width="7.25"/>
    <col customWidth="1" min="16" max="16" width="5.13"/>
    <col customWidth="1" min="18" max="18" width="13.0"/>
  </cols>
  <sheetData>
    <row r="1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4</v>
      </c>
      <c r="K1" s="1" t="s">
        <v>0</v>
      </c>
      <c r="M1" s="4" t="s">
        <v>6</v>
      </c>
      <c r="N1" s="4" t="s">
        <v>7</v>
      </c>
      <c r="O1" s="4" t="s">
        <v>7</v>
      </c>
      <c r="P1" s="4"/>
      <c r="Q1" s="4" t="s">
        <v>12</v>
      </c>
      <c r="T1" s="4" t="s">
        <v>6</v>
      </c>
      <c r="U1" s="4" t="s">
        <v>7</v>
      </c>
      <c r="V1" s="4" t="s">
        <v>7</v>
      </c>
    </row>
    <row r="2">
      <c r="A2" s="7">
        <v>1.0</v>
      </c>
      <c r="B2" s="8" t="str">
        <f>IFERROR(__xludf.DUMMYFUNCTION("QUERY(Current!B5:F69,""Select B, C, D, F where F = 1 or F = 2 "",0)"),"#N/A")</f>
        <v>#N/A</v>
      </c>
      <c r="C2" s="8"/>
      <c r="D2" s="8"/>
      <c r="E2" s="8"/>
      <c r="F2" s="7"/>
      <c r="G2" s="7"/>
      <c r="H2" s="7"/>
      <c r="I2" s="7">
        <f t="shared" ref="I2:I46" si="3">sum(F2:H2)</f>
        <v>0</v>
      </c>
      <c r="J2" s="7"/>
      <c r="K2" s="7">
        <f t="shared" ref="K2:K33" si="4">A2</f>
        <v>1</v>
      </c>
      <c r="M2" s="17" t="str">
        <f t="shared" ref="M2:O2" si="1">if(COUNTIF(T2:T4,"Good")=2,"Good","Error")</f>
        <v>Error</v>
      </c>
      <c r="N2" s="17" t="str">
        <f t="shared" si="1"/>
        <v>Error</v>
      </c>
      <c r="O2" s="17" t="str">
        <f t="shared" si="1"/>
        <v>Error</v>
      </c>
      <c r="Q2" s="17">
        <f>sum(J2:J5)</f>
        <v>0</v>
      </c>
      <c r="R2" s="17" t="str">
        <f>if(Q2=0,"",if(Q2=6,"Good","ERROR"))</f>
        <v/>
      </c>
      <c r="T2" s="17" t="str">
        <f t="shared" ref="T2:V2" si="2">if(isna(VLOOKUP(F2,F3:F5,1,false)),"Error","Good")</f>
        <v>Error</v>
      </c>
      <c r="U2" s="17" t="str">
        <f t="shared" si="2"/>
        <v>Error</v>
      </c>
      <c r="V2" s="17" t="str">
        <f t="shared" si="2"/>
        <v>Error</v>
      </c>
    </row>
    <row r="3">
      <c r="A3" s="7">
        <v>1.0</v>
      </c>
      <c r="B3" s="8"/>
      <c r="C3" s="8"/>
      <c r="D3" s="8"/>
      <c r="E3" s="8"/>
      <c r="F3" s="7"/>
      <c r="G3" s="7"/>
      <c r="H3" s="7"/>
      <c r="I3" s="7">
        <f t="shared" si="3"/>
        <v>0</v>
      </c>
      <c r="J3" s="7"/>
      <c r="K3" s="7">
        <f t="shared" si="4"/>
        <v>1</v>
      </c>
      <c r="T3" s="17" t="str">
        <f t="shared" ref="T3:V3" si="5">if(isna(VLOOKUP(F3,F4:F5,1,false)),"Error","Good")</f>
        <v>Error</v>
      </c>
      <c r="U3" s="17" t="str">
        <f t="shared" si="5"/>
        <v>Error</v>
      </c>
      <c r="V3" s="17" t="str">
        <f t="shared" si="5"/>
        <v>Error</v>
      </c>
      <c r="AB3" s="17" t="s">
        <v>34</v>
      </c>
    </row>
    <row r="4">
      <c r="A4" s="7">
        <v>1.0</v>
      </c>
      <c r="B4" s="8"/>
      <c r="C4" s="8"/>
      <c r="D4" s="8"/>
      <c r="E4" s="8"/>
      <c r="F4" s="7"/>
      <c r="G4" s="7"/>
      <c r="H4" s="7"/>
      <c r="I4" s="7">
        <f t="shared" si="3"/>
        <v>0</v>
      </c>
      <c r="J4" s="7"/>
      <c r="K4" s="7">
        <f t="shared" si="4"/>
        <v>1</v>
      </c>
      <c r="T4" s="17" t="str">
        <f t="shared" ref="T4:V4" si="6">if(F4=F5,"Good")</f>
        <v>Good</v>
      </c>
      <c r="U4" s="17" t="str">
        <f t="shared" si="6"/>
        <v>Good</v>
      </c>
      <c r="V4" s="17" t="str">
        <f t="shared" si="6"/>
        <v>Good</v>
      </c>
      <c r="W4" s="10" t="s">
        <v>44</v>
      </c>
      <c r="X4" s="10" t="s">
        <v>45</v>
      </c>
      <c r="AB4" s="17" t="s">
        <v>46</v>
      </c>
    </row>
    <row r="5">
      <c r="A5" s="7">
        <v>1.0</v>
      </c>
      <c r="B5" s="8"/>
      <c r="C5" s="8"/>
      <c r="D5" s="8"/>
      <c r="E5" s="8"/>
      <c r="F5" s="7"/>
      <c r="G5" s="7"/>
      <c r="H5" s="7"/>
      <c r="I5" s="7">
        <f t="shared" si="3"/>
        <v>0</v>
      </c>
      <c r="J5" s="7"/>
      <c r="K5" s="7">
        <f t="shared" si="4"/>
        <v>1</v>
      </c>
      <c r="W5" s="10" t="s">
        <v>47</v>
      </c>
      <c r="X5" s="10" t="s">
        <v>48</v>
      </c>
      <c r="AB5" s="17" t="s">
        <v>49</v>
      </c>
    </row>
    <row r="6">
      <c r="A6" s="33">
        <v>2.0</v>
      </c>
      <c r="B6" s="34"/>
      <c r="C6" s="34"/>
      <c r="D6" s="34"/>
      <c r="E6" s="34"/>
      <c r="F6" s="33"/>
      <c r="G6" s="33"/>
      <c r="H6" s="33"/>
      <c r="I6" s="33">
        <f t="shared" si="3"/>
        <v>0</v>
      </c>
      <c r="J6" s="33"/>
      <c r="K6" s="33">
        <f t="shared" si="4"/>
        <v>2</v>
      </c>
      <c r="M6" s="17" t="str">
        <f t="shared" ref="M6:O6" si="7">if(COUNTIF(T6:T8,"Good")=2,"Good","Error")</f>
        <v>Error</v>
      </c>
      <c r="N6" s="17" t="str">
        <f t="shared" si="7"/>
        <v>Error</v>
      </c>
      <c r="O6" s="17" t="str">
        <f t="shared" si="7"/>
        <v>Error</v>
      </c>
      <c r="Q6" s="17">
        <f>sum(J6:J9)</f>
        <v>0</v>
      </c>
      <c r="R6" s="17" t="str">
        <f>if(Q6=0,"",if(Q6=6,"Good","ERROR"))</f>
        <v/>
      </c>
      <c r="T6" s="17" t="str">
        <f t="shared" ref="T6:V6" si="8">if(isna(VLOOKUP(F6,F7:F9,1,false)),"Error","Good")</f>
        <v>Error</v>
      </c>
      <c r="U6" s="17" t="str">
        <f t="shared" si="8"/>
        <v>Error</v>
      </c>
      <c r="V6" s="17" t="str">
        <f t="shared" si="8"/>
        <v>Error</v>
      </c>
      <c r="AB6" s="17" t="s">
        <v>51</v>
      </c>
    </row>
    <row r="7">
      <c r="A7" s="33">
        <v>2.0</v>
      </c>
      <c r="B7" s="34"/>
      <c r="C7" s="34"/>
      <c r="D7" s="34"/>
      <c r="E7" s="34"/>
      <c r="F7" s="33"/>
      <c r="G7" s="33"/>
      <c r="H7" s="33"/>
      <c r="I7" s="33">
        <f t="shared" si="3"/>
        <v>0</v>
      </c>
      <c r="J7" s="33"/>
      <c r="K7" s="33">
        <f t="shared" si="4"/>
        <v>2</v>
      </c>
      <c r="T7" s="17" t="str">
        <f t="shared" ref="T7:V7" si="9">if(isna(VLOOKUP(F7,F8:F9,1,false)),"Error","Good")</f>
        <v>Error</v>
      </c>
      <c r="U7" s="17" t="str">
        <f t="shared" si="9"/>
        <v>Error</v>
      </c>
      <c r="V7" s="17" t="str">
        <f t="shared" si="9"/>
        <v>Error</v>
      </c>
    </row>
    <row r="8">
      <c r="A8" s="33">
        <v>2.0</v>
      </c>
      <c r="B8" s="34"/>
      <c r="C8" s="34"/>
      <c r="D8" s="34"/>
      <c r="E8" s="34"/>
      <c r="F8" s="33"/>
      <c r="G8" s="33"/>
      <c r="H8" s="33"/>
      <c r="I8" s="33">
        <f t="shared" si="3"/>
        <v>0</v>
      </c>
      <c r="J8" s="33"/>
      <c r="K8" s="33">
        <f t="shared" si="4"/>
        <v>2</v>
      </c>
      <c r="L8" s="41"/>
      <c r="T8" s="17" t="str">
        <f t="shared" ref="T8:V8" si="10">if(F8=F9,"Good")</f>
        <v>Good</v>
      </c>
      <c r="U8" s="17" t="str">
        <f t="shared" si="10"/>
        <v>Good</v>
      </c>
      <c r="V8" s="17" t="str">
        <f t="shared" si="10"/>
        <v>Good</v>
      </c>
    </row>
    <row r="9">
      <c r="A9" s="33">
        <v>2.0</v>
      </c>
      <c r="B9" s="34"/>
      <c r="C9" s="34"/>
      <c r="D9" s="34"/>
      <c r="E9" s="34"/>
      <c r="F9" s="33"/>
      <c r="G9" s="33"/>
      <c r="H9" s="33"/>
      <c r="I9" s="33">
        <f t="shared" si="3"/>
        <v>0</v>
      </c>
      <c r="J9" s="33"/>
      <c r="K9" s="33">
        <f t="shared" si="4"/>
        <v>2</v>
      </c>
      <c r="L9" s="41"/>
    </row>
    <row r="10">
      <c r="A10" s="7">
        <f>if(W4="Y",A9+3,A9+1)</f>
        <v>3</v>
      </c>
      <c r="B10" s="8"/>
      <c r="C10" s="8"/>
      <c r="D10" s="8"/>
      <c r="E10" s="8"/>
      <c r="F10" s="7"/>
      <c r="G10" s="7"/>
      <c r="H10" s="7"/>
      <c r="I10" s="7">
        <f t="shared" si="3"/>
        <v>0</v>
      </c>
      <c r="J10" s="7"/>
      <c r="K10" s="7">
        <f t="shared" si="4"/>
        <v>3</v>
      </c>
      <c r="M10" s="17" t="str">
        <f t="shared" ref="M10:O10" si="11">if(COUNTIF(T10:T12,"Good")=2,"Good","Error")</f>
        <v>Error</v>
      </c>
      <c r="N10" s="17" t="str">
        <f t="shared" si="11"/>
        <v>Error</v>
      </c>
      <c r="O10" s="17" t="str">
        <f t="shared" si="11"/>
        <v>Error</v>
      </c>
      <c r="Q10" s="17">
        <f>sum(J10:J13)</f>
        <v>0</v>
      </c>
      <c r="R10" s="17" t="str">
        <f>if(Q10=0,"",if(Q10=6,"Good","ERROR"))</f>
        <v/>
      </c>
      <c r="T10" s="17" t="str">
        <f t="shared" ref="T10:V10" si="12">if(isna(VLOOKUP(F10,F11:F13,1,false)),"Error","Good")</f>
        <v>Error</v>
      </c>
      <c r="U10" s="17" t="str">
        <f t="shared" si="12"/>
        <v>Error</v>
      </c>
      <c r="V10" s="17" t="str">
        <f t="shared" si="12"/>
        <v>Error</v>
      </c>
    </row>
    <row r="11">
      <c r="A11" s="7">
        <f t="shared" ref="A11:A13" si="14">A10</f>
        <v>3</v>
      </c>
      <c r="B11" s="8"/>
      <c r="C11" s="8"/>
      <c r="D11" s="8"/>
      <c r="E11" s="8"/>
      <c r="F11" s="7"/>
      <c r="G11" s="7"/>
      <c r="H11" s="7"/>
      <c r="I11" s="7">
        <f t="shared" si="3"/>
        <v>0</v>
      </c>
      <c r="J11" s="7"/>
      <c r="K11" s="7">
        <f t="shared" si="4"/>
        <v>3</v>
      </c>
      <c r="T11" s="17" t="str">
        <f t="shared" ref="T11:V11" si="13">if(isna(VLOOKUP(F11,F12:F13,1,false)),"Error","Good")</f>
        <v>Error</v>
      </c>
      <c r="U11" s="17" t="str">
        <f t="shared" si="13"/>
        <v>Error</v>
      </c>
      <c r="V11" s="17" t="str">
        <f t="shared" si="13"/>
        <v>Error</v>
      </c>
      <c r="AB11" s="17" t="s">
        <v>54</v>
      </c>
    </row>
    <row r="12">
      <c r="A12" s="7">
        <f t="shared" si="14"/>
        <v>3</v>
      </c>
      <c r="B12" s="8"/>
      <c r="C12" s="8"/>
      <c r="D12" s="8"/>
      <c r="E12" s="8"/>
      <c r="F12" s="7"/>
      <c r="G12" s="7"/>
      <c r="H12" s="7"/>
      <c r="I12" s="7">
        <f t="shared" si="3"/>
        <v>0</v>
      </c>
      <c r="J12" s="7"/>
      <c r="K12" s="7">
        <f t="shared" si="4"/>
        <v>3</v>
      </c>
      <c r="T12" s="17" t="str">
        <f t="shared" ref="T12:V12" si="15">if(F12=F13,"Good")</f>
        <v>Good</v>
      </c>
      <c r="U12" s="17" t="str">
        <f t="shared" si="15"/>
        <v>Good</v>
      </c>
      <c r="V12" s="17" t="str">
        <f t="shared" si="15"/>
        <v>Good</v>
      </c>
      <c r="AB12" s="17" t="s">
        <v>55</v>
      </c>
    </row>
    <row r="13">
      <c r="A13" s="7">
        <f t="shared" si="14"/>
        <v>3</v>
      </c>
      <c r="B13" s="8"/>
      <c r="C13" s="8"/>
      <c r="D13" s="8"/>
      <c r="E13" s="8"/>
      <c r="F13" s="7"/>
      <c r="G13" s="7"/>
      <c r="H13" s="7"/>
      <c r="I13" s="7">
        <f t="shared" si="3"/>
        <v>0</v>
      </c>
      <c r="J13" s="7"/>
      <c r="K13" s="7">
        <f t="shared" si="4"/>
        <v>3</v>
      </c>
      <c r="AB13" s="17" t="s">
        <v>56</v>
      </c>
    </row>
    <row r="14">
      <c r="A14" s="33">
        <f>if(W5="Y",A13+2,A13+1)</f>
        <v>5</v>
      </c>
      <c r="B14" s="34"/>
      <c r="C14" s="34"/>
      <c r="D14" s="34"/>
      <c r="E14" s="34"/>
      <c r="F14" s="33"/>
      <c r="G14" s="33"/>
      <c r="H14" s="33"/>
      <c r="I14" s="33">
        <f t="shared" si="3"/>
        <v>0</v>
      </c>
      <c r="J14" s="33"/>
      <c r="K14" s="33">
        <f t="shared" si="4"/>
        <v>5</v>
      </c>
      <c r="M14" s="17" t="str">
        <f t="shared" ref="M14:O14" si="16">if(COUNTIF(T14:T16,"Good")=2,"Good","Error")</f>
        <v>Error</v>
      </c>
      <c r="N14" s="17" t="str">
        <f t="shared" si="16"/>
        <v>Error</v>
      </c>
      <c r="O14" s="17" t="str">
        <f t="shared" si="16"/>
        <v>Error</v>
      </c>
      <c r="Q14" s="17">
        <f>sum(J14:J17)</f>
        <v>0</v>
      </c>
      <c r="R14" s="17" t="str">
        <f>if(Q14=0,"",if(Q14=6,"Good","ERROR"))</f>
        <v/>
      </c>
      <c r="T14" s="17" t="str">
        <f t="shared" ref="T14:V14" si="17">if(isna(VLOOKUP(F14,F15:F17,1,false)),"Error","Good")</f>
        <v>Error</v>
      </c>
      <c r="U14" s="17" t="str">
        <f t="shared" si="17"/>
        <v>Error</v>
      </c>
      <c r="V14" s="17" t="str">
        <f t="shared" si="17"/>
        <v>Error</v>
      </c>
      <c r="AB14" s="17" t="s">
        <v>59</v>
      </c>
    </row>
    <row r="15">
      <c r="A15" s="33">
        <f t="shared" ref="A15:A17" si="19">A14</f>
        <v>5</v>
      </c>
      <c r="B15" s="34"/>
      <c r="C15" s="34"/>
      <c r="D15" s="34"/>
      <c r="E15" s="34"/>
      <c r="F15" s="33"/>
      <c r="G15" s="33"/>
      <c r="H15" s="33"/>
      <c r="I15" s="33">
        <f t="shared" si="3"/>
        <v>0</v>
      </c>
      <c r="J15" s="33"/>
      <c r="K15" s="33">
        <f t="shared" si="4"/>
        <v>5</v>
      </c>
      <c r="S15" s="44"/>
      <c r="T15" s="17" t="str">
        <f t="shared" ref="T15:V15" si="18">if(isna(VLOOKUP(F15,F16:F17,1,false)),"Error","Good")</f>
        <v>Error</v>
      </c>
      <c r="U15" s="17" t="str">
        <f t="shared" si="18"/>
        <v>Error</v>
      </c>
      <c r="V15" s="17" t="str">
        <f t="shared" si="18"/>
        <v>Error</v>
      </c>
    </row>
    <row r="16">
      <c r="A16" s="33">
        <f t="shared" si="19"/>
        <v>5</v>
      </c>
      <c r="B16" s="34"/>
      <c r="C16" s="34"/>
      <c r="D16" s="34"/>
      <c r="E16" s="34"/>
      <c r="F16" s="33"/>
      <c r="G16" s="33"/>
      <c r="H16" s="33"/>
      <c r="I16" s="33">
        <f t="shared" si="3"/>
        <v>0</v>
      </c>
      <c r="J16" s="33"/>
      <c r="K16" s="33">
        <f t="shared" si="4"/>
        <v>5</v>
      </c>
      <c r="T16" s="17" t="str">
        <f t="shared" ref="T16:V16" si="20">if(F16=F17,"Good")</f>
        <v>Good</v>
      </c>
      <c r="U16" s="17" t="str">
        <f t="shared" si="20"/>
        <v>Good</v>
      </c>
      <c r="V16" s="17" t="str">
        <f t="shared" si="20"/>
        <v>Good</v>
      </c>
    </row>
    <row r="17">
      <c r="A17" s="33">
        <f t="shared" si="19"/>
        <v>5</v>
      </c>
      <c r="B17" s="34"/>
      <c r="C17" s="34"/>
      <c r="D17" s="34"/>
      <c r="E17" s="34"/>
      <c r="F17" s="33"/>
      <c r="G17" s="33"/>
      <c r="H17" s="33"/>
      <c r="I17" s="33">
        <f t="shared" si="3"/>
        <v>0</v>
      </c>
      <c r="J17" s="33"/>
      <c r="K17" s="33">
        <f t="shared" si="4"/>
        <v>5</v>
      </c>
    </row>
    <row r="18">
      <c r="A18" s="7">
        <f>A17+1</f>
        <v>6</v>
      </c>
      <c r="B18" s="8"/>
      <c r="C18" s="8"/>
      <c r="D18" s="8"/>
      <c r="E18" s="8"/>
      <c r="F18" s="7"/>
      <c r="G18" s="7"/>
      <c r="H18" s="7"/>
      <c r="I18" s="7">
        <f t="shared" si="3"/>
        <v>0</v>
      </c>
      <c r="J18" s="7"/>
      <c r="K18" s="7">
        <f t="shared" si="4"/>
        <v>6</v>
      </c>
      <c r="M18" s="17" t="str">
        <f t="shared" ref="M18:O18" si="21">if(COUNTIF(T18:T20,"Good")=2,"Good","Error")</f>
        <v>Error</v>
      </c>
      <c r="N18" s="17" t="str">
        <f t="shared" si="21"/>
        <v>Error</v>
      </c>
      <c r="O18" s="17" t="str">
        <f t="shared" si="21"/>
        <v>Error</v>
      </c>
      <c r="Q18" s="17">
        <f>sum(J18:J21)</f>
        <v>0</v>
      </c>
      <c r="R18" s="17" t="str">
        <f>if(Q18=0,"",if(Q18=6,"Good","ERROR"))</f>
        <v/>
      </c>
      <c r="T18" s="17" t="str">
        <f t="shared" ref="T18:V18" si="22">if(isna(VLOOKUP(F18,F19:F21,1,false)),"Error","Good")</f>
        <v>Error</v>
      </c>
      <c r="U18" s="17" t="str">
        <f t="shared" si="22"/>
        <v>Error</v>
      </c>
      <c r="V18" s="17" t="str">
        <f t="shared" si="22"/>
        <v>Error</v>
      </c>
      <c r="AB18" s="17" t="s">
        <v>63</v>
      </c>
    </row>
    <row r="19">
      <c r="A19" s="7">
        <f t="shared" ref="A19:A21" si="24">A18</f>
        <v>6</v>
      </c>
      <c r="B19" s="8"/>
      <c r="C19" s="8"/>
      <c r="D19" s="8"/>
      <c r="E19" s="8"/>
      <c r="F19" s="7"/>
      <c r="G19" s="7"/>
      <c r="H19" s="7"/>
      <c r="I19" s="7">
        <f t="shared" si="3"/>
        <v>0</v>
      </c>
      <c r="J19" s="7"/>
      <c r="K19" s="7">
        <f t="shared" si="4"/>
        <v>6</v>
      </c>
      <c r="T19" s="17" t="str">
        <f t="shared" ref="T19:V19" si="23">if(isna(VLOOKUP(F19,F20:F21,1,false)),"Error","Good")</f>
        <v>Error</v>
      </c>
      <c r="U19" s="17" t="str">
        <f t="shared" si="23"/>
        <v>Error</v>
      </c>
      <c r="V19" s="17" t="str">
        <f t="shared" si="23"/>
        <v>Error</v>
      </c>
      <c r="AB19" s="17" t="s">
        <v>64</v>
      </c>
    </row>
    <row r="20">
      <c r="A20" s="7">
        <f t="shared" si="24"/>
        <v>6</v>
      </c>
      <c r="B20" s="8"/>
      <c r="C20" s="8"/>
      <c r="D20" s="8"/>
      <c r="E20" s="8"/>
      <c r="F20" s="7"/>
      <c r="G20" s="7"/>
      <c r="H20" s="7"/>
      <c r="I20" s="7">
        <f t="shared" si="3"/>
        <v>0</v>
      </c>
      <c r="J20" s="7"/>
      <c r="K20" s="7">
        <f t="shared" si="4"/>
        <v>6</v>
      </c>
      <c r="T20" s="17" t="str">
        <f t="shared" ref="T20:V20" si="25">if(F20=F21,"Good")</f>
        <v>Good</v>
      </c>
      <c r="U20" s="17" t="str">
        <f t="shared" si="25"/>
        <v>Good</v>
      </c>
      <c r="V20" s="17" t="str">
        <f t="shared" si="25"/>
        <v>Good</v>
      </c>
      <c r="AB20" s="17" t="s">
        <v>65</v>
      </c>
    </row>
    <row r="21">
      <c r="A21" s="7">
        <f t="shared" si="24"/>
        <v>6</v>
      </c>
      <c r="B21" s="8"/>
      <c r="C21" s="8"/>
      <c r="D21" s="8"/>
      <c r="E21" s="8"/>
      <c r="F21" s="7"/>
      <c r="G21" s="7"/>
      <c r="H21" s="7"/>
      <c r="I21" s="7">
        <f t="shared" si="3"/>
        <v>0</v>
      </c>
      <c r="J21" s="7"/>
      <c r="K21" s="7">
        <f t="shared" si="4"/>
        <v>6</v>
      </c>
      <c r="AB21" s="17" t="s">
        <v>66</v>
      </c>
    </row>
    <row r="22">
      <c r="A22" s="33">
        <f>A21+1</f>
        <v>7</v>
      </c>
      <c r="B22" s="34"/>
      <c r="C22" s="34"/>
      <c r="D22" s="34"/>
      <c r="E22" s="34"/>
      <c r="F22" s="33"/>
      <c r="G22" s="33"/>
      <c r="H22" s="33"/>
      <c r="I22" s="33">
        <f t="shared" si="3"/>
        <v>0</v>
      </c>
      <c r="J22" s="33"/>
      <c r="K22" s="33">
        <f t="shared" si="4"/>
        <v>7</v>
      </c>
      <c r="M22" s="17" t="str">
        <f t="shared" ref="M22:O22" si="26">if(COUNTIF(T22:T24,"Good")=2,"Good","Error")</f>
        <v>Error</v>
      </c>
      <c r="N22" s="17" t="str">
        <f t="shared" si="26"/>
        <v>Error</v>
      </c>
      <c r="O22" s="17" t="str">
        <f t="shared" si="26"/>
        <v>Error</v>
      </c>
      <c r="Q22" s="17">
        <f>sum(J22:J25)</f>
        <v>0</v>
      </c>
      <c r="R22" s="17" t="str">
        <f>if(Q22=0,"",if(Q22=6,"Good","ERROR"))</f>
        <v/>
      </c>
      <c r="T22" s="17" t="str">
        <f t="shared" ref="T22:V22" si="27">if(isna(VLOOKUP(F22,F23:F25,1,false)),"Error","Good")</f>
        <v>Error</v>
      </c>
      <c r="U22" s="17" t="str">
        <f t="shared" si="27"/>
        <v>Error</v>
      </c>
      <c r="V22" s="17" t="str">
        <f t="shared" si="27"/>
        <v>Error</v>
      </c>
    </row>
    <row r="23">
      <c r="A23" s="33">
        <f t="shared" ref="A23:A25" si="29">A22</f>
        <v>7</v>
      </c>
      <c r="B23" s="34"/>
      <c r="C23" s="34"/>
      <c r="D23" s="34"/>
      <c r="E23" s="34"/>
      <c r="F23" s="33"/>
      <c r="G23" s="33"/>
      <c r="H23" s="33"/>
      <c r="I23" s="33">
        <f t="shared" si="3"/>
        <v>0</v>
      </c>
      <c r="J23" s="33"/>
      <c r="K23" s="33">
        <f t="shared" si="4"/>
        <v>7</v>
      </c>
      <c r="T23" s="17" t="str">
        <f t="shared" ref="T23:V23" si="28">if(isna(VLOOKUP(F23,F24:F25,1,false)),"Error","Good")</f>
        <v>Error</v>
      </c>
      <c r="U23" s="17" t="str">
        <f t="shared" si="28"/>
        <v>Error</v>
      </c>
      <c r="V23" s="17" t="str">
        <f t="shared" si="28"/>
        <v>Error</v>
      </c>
    </row>
    <row r="24">
      <c r="A24" s="33">
        <f t="shared" si="29"/>
        <v>7</v>
      </c>
      <c r="B24" s="34"/>
      <c r="C24" s="34"/>
      <c r="D24" s="34"/>
      <c r="E24" s="34"/>
      <c r="F24" s="33"/>
      <c r="G24" s="33"/>
      <c r="H24" s="33"/>
      <c r="I24" s="33">
        <f t="shared" si="3"/>
        <v>0</v>
      </c>
      <c r="J24" s="33"/>
      <c r="K24" s="33">
        <f t="shared" si="4"/>
        <v>7</v>
      </c>
      <c r="T24" s="17" t="str">
        <f t="shared" ref="T24:V24" si="30">if(F24=F25,"Good")</f>
        <v>Good</v>
      </c>
      <c r="U24" s="17" t="str">
        <f t="shared" si="30"/>
        <v>Good</v>
      </c>
      <c r="V24" s="17" t="str">
        <f t="shared" si="30"/>
        <v>Good</v>
      </c>
      <c r="AB24" s="17" t="s">
        <v>68</v>
      </c>
    </row>
    <row r="25">
      <c r="A25" s="33">
        <f t="shared" si="29"/>
        <v>7</v>
      </c>
      <c r="B25" s="34"/>
      <c r="C25" s="34"/>
      <c r="D25" s="34"/>
      <c r="E25" s="34"/>
      <c r="F25" s="33"/>
      <c r="G25" s="33"/>
      <c r="H25" s="33"/>
      <c r="I25" s="33">
        <f t="shared" si="3"/>
        <v>0</v>
      </c>
      <c r="J25" s="33"/>
      <c r="K25" s="33">
        <f t="shared" si="4"/>
        <v>7</v>
      </c>
      <c r="AB25" s="17" t="s">
        <v>69</v>
      </c>
    </row>
    <row r="26">
      <c r="A26" s="7">
        <f>A25+1</f>
        <v>8</v>
      </c>
      <c r="B26" s="8"/>
      <c r="C26" s="8"/>
      <c r="D26" s="8"/>
      <c r="E26" s="8"/>
      <c r="F26" s="7"/>
      <c r="G26" s="7"/>
      <c r="H26" s="7"/>
      <c r="I26" s="7">
        <f t="shared" si="3"/>
        <v>0</v>
      </c>
      <c r="J26" s="7"/>
      <c r="K26" s="7">
        <f t="shared" si="4"/>
        <v>8</v>
      </c>
      <c r="M26" s="17" t="str">
        <f t="shared" ref="M26:O26" si="31">if(COUNTIF(T26:T28,"Good")=2,"Good","Error")</f>
        <v>Error</v>
      </c>
      <c r="N26" s="17" t="str">
        <f t="shared" si="31"/>
        <v>Error</v>
      </c>
      <c r="O26" s="17" t="str">
        <f t="shared" si="31"/>
        <v>Error</v>
      </c>
      <c r="Q26" s="17">
        <f>sum(J26:J29)</f>
        <v>0</v>
      </c>
      <c r="R26" s="17" t="str">
        <f>if(Q26=0,"",if(Q26=6,"Good","ERROR"))</f>
        <v/>
      </c>
      <c r="T26" s="17" t="str">
        <f t="shared" ref="T26:V26" si="32">if(isna(VLOOKUP(F26,F27:F29,1,false)),"Error","Good")</f>
        <v>Error</v>
      </c>
      <c r="U26" s="17" t="str">
        <f t="shared" si="32"/>
        <v>Error</v>
      </c>
      <c r="V26" s="17" t="str">
        <f t="shared" si="32"/>
        <v>Error</v>
      </c>
      <c r="AB26" s="17" t="s">
        <v>73</v>
      </c>
    </row>
    <row r="27">
      <c r="A27" s="7">
        <f t="shared" ref="A27:A29" si="34">A26</f>
        <v>8</v>
      </c>
      <c r="B27" s="8"/>
      <c r="C27" s="8"/>
      <c r="D27" s="8"/>
      <c r="E27" s="8"/>
      <c r="F27" s="7"/>
      <c r="G27" s="7"/>
      <c r="H27" s="7"/>
      <c r="I27" s="7">
        <f t="shared" si="3"/>
        <v>0</v>
      </c>
      <c r="J27" s="7"/>
      <c r="K27" s="7">
        <f t="shared" si="4"/>
        <v>8</v>
      </c>
      <c r="T27" s="17" t="str">
        <f t="shared" ref="T27:V27" si="33">if(isna(VLOOKUP(F27,F28:F29,1,false)),"Error","Good")</f>
        <v>Error</v>
      </c>
      <c r="U27" s="17" t="str">
        <f t="shared" si="33"/>
        <v>Error</v>
      </c>
      <c r="V27" s="17" t="str">
        <f t="shared" si="33"/>
        <v>Error</v>
      </c>
      <c r="AB27" s="17" t="s">
        <v>71</v>
      </c>
    </row>
    <row r="28">
      <c r="A28" s="7">
        <f t="shared" si="34"/>
        <v>8</v>
      </c>
      <c r="B28" s="8"/>
      <c r="C28" s="8"/>
      <c r="D28" s="8"/>
      <c r="E28" s="8"/>
      <c r="F28" s="7"/>
      <c r="G28" s="7"/>
      <c r="H28" s="7"/>
      <c r="I28" s="7">
        <f t="shared" si="3"/>
        <v>0</v>
      </c>
      <c r="J28" s="7"/>
      <c r="K28" s="7">
        <f t="shared" si="4"/>
        <v>8</v>
      </c>
      <c r="T28" s="17" t="str">
        <f t="shared" ref="T28:V28" si="35">if(F28=F29,"Good")</f>
        <v>Good</v>
      </c>
      <c r="U28" s="17" t="str">
        <f t="shared" si="35"/>
        <v>Good</v>
      </c>
      <c r="V28" s="17" t="str">
        <f t="shared" si="35"/>
        <v>Good</v>
      </c>
    </row>
    <row r="29">
      <c r="A29" s="7">
        <f t="shared" si="34"/>
        <v>8</v>
      </c>
      <c r="B29" s="8"/>
      <c r="C29" s="8"/>
      <c r="D29" s="8"/>
      <c r="E29" s="8"/>
      <c r="F29" s="7"/>
      <c r="G29" s="7"/>
      <c r="H29" s="7"/>
      <c r="I29" s="7">
        <f t="shared" si="3"/>
        <v>0</v>
      </c>
      <c r="J29" s="7"/>
      <c r="K29" s="7">
        <f t="shared" si="4"/>
        <v>8</v>
      </c>
    </row>
    <row r="30">
      <c r="A30" s="33">
        <f>A29+1</f>
        <v>9</v>
      </c>
      <c r="B30" s="34"/>
      <c r="C30" s="34"/>
      <c r="D30" s="34"/>
      <c r="E30" s="34"/>
      <c r="F30" s="33"/>
      <c r="G30" s="33"/>
      <c r="H30" s="33"/>
      <c r="I30" s="33">
        <f t="shared" si="3"/>
        <v>0</v>
      </c>
      <c r="J30" s="33"/>
      <c r="K30" s="33">
        <f t="shared" si="4"/>
        <v>9</v>
      </c>
      <c r="M30" s="17" t="str">
        <f t="shared" ref="M30:O30" si="36">if(COUNTIF(T30:T32,"Good")=2,"Good","Error")</f>
        <v>Error</v>
      </c>
      <c r="N30" s="17" t="str">
        <f t="shared" si="36"/>
        <v>Error</v>
      </c>
      <c r="O30" s="17" t="str">
        <f t="shared" si="36"/>
        <v>Error</v>
      </c>
      <c r="Q30" s="17">
        <f>sum(J30:J33)</f>
        <v>0</v>
      </c>
      <c r="R30" s="17" t="str">
        <f>if(Q30=0,"",if(Q30=6,"Good","ERROR"))</f>
        <v/>
      </c>
      <c r="T30" s="17" t="str">
        <f t="shared" ref="T30:V30" si="37">if(isna(VLOOKUP(F30,F31:F33,1,false)),"Error","Good")</f>
        <v>Error</v>
      </c>
      <c r="U30" s="17" t="str">
        <f t="shared" si="37"/>
        <v>Error</v>
      </c>
      <c r="V30" s="17" t="str">
        <f t="shared" si="37"/>
        <v>Error</v>
      </c>
    </row>
    <row r="31">
      <c r="A31" s="33">
        <f t="shared" ref="A31:A33" si="39">A30</f>
        <v>9</v>
      </c>
      <c r="B31" s="34"/>
      <c r="C31" s="34"/>
      <c r="D31" s="34"/>
      <c r="E31" s="34"/>
      <c r="F31" s="33"/>
      <c r="G31" s="33"/>
      <c r="H31" s="33"/>
      <c r="I31" s="33">
        <f t="shared" si="3"/>
        <v>0</v>
      </c>
      <c r="J31" s="33"/>
      <c r="K31" s="33">
        <f t="shared" si="4"/>
        <v>9</v>
      </c>
      <c r="T31" s="17" t="str">
        <f t="shared" ref="T31:V31" si="38">if(isna(VLOOKUP(F31,F32:F33,1,false)),"Error","Good")</f>
        <v>Error</v>
      </c>
      <c r="U31" s="17" t="str">
        <f t="shared" si="38"/>
        <v>Error</v>
      </c>
      <c r="V31" s="17" t="str">
        <f t="shared" si="38"/>
        <v>Error</v>
      </c>
    </row>
    <row r="32">
      <c r="A32" s="33">
        <f t="shared" si="39"/>
        <v>9</v>
      </c>
      <c r="B32" s="34"/>
      <c r="C32" s="34"/>
      <c r="D32" s="34"/>
      <c r="E32" s="34"/>
      <c r="F32" s="33"/>
      <c r="G32" s="33"/>
      <c r="H32" s="33"/>
      <c r="I32" s="33">
        <f t="shared" si="3"/>
        <v>0</v>
      </c>
      <c r="J32" s="33"/>
      <c r="K32" s="33">
        <f t="shared" si="4"/>
        <v>9</v>
      </c>
      <c r="T32" s="17" t="str">
        <f t="shared" ref="T32:V32" si="40">if(F32=F33,"Good")</f>
        <v>Good</v>
      </c>
      <c r="U32" s="17" t="str">
        <f t="shared" si="40"/>
        <v>Good</v>
      </c>
      <c r="V32" s="17" t="str">
        <f t="shared" si="40"/>
        <v>Good</v>
      </c>
    </row>
    <row r="33">
      <c r="A33" s="33">
        <f t="shared" si="39"/>
        <v>9</v>
      </c>
      <c r="B33" s="34"/>
      <c r="C33" s="34"/>
      <c r="D33" s="34"/>
      <c r="E33" s="34"/>
      <c r="F33" s="33"/>
      <c r="G33" s="33"/>
      <c r="H33" s="33"/>
      <c r="I33" s="33">
        <f t="shared" si="3"/>
        <v>0</v>
      </c>
      <c r="J33" s="33"/>
      <c r="K33" s="33">
        <f t="shared" si="4"/>
        <v>9</v>
      </c>
      <c r="AB33" s="17" t="s">
        <v>76</v>
      </c>
    </row>
    <row r="34">
      <c r="A34" s="54">
        <v>99.0</v>
      </c>
      <c r="B34" s="55"/>
      <c r="C34" s="55"/>
      <c r="D34" s="55"/>
      <c r="E34" s="55"/>
      <c r="F34" s="55"/>
      <c r="G34" s="55"/>
      <c r="H34" s="55"/>
      <c r="I34" s="55">
        <f t="shared" si="3"/>
        <v>0</v>
      </c>
      <c r="J34" s="55"/>
      <c r="K34" s="54">
        <v>99.0</v>
      </c>
      <c r="AB34" s="17" t="s">
        <v>79</v>
      </c>
    </row>
    <row r="35">
      <c r="A35" s="54">
        <v>99.0</v>
      </c>
      <c r="B35" s="55"/>
      <c r="C35" s="55"/>
      <c r="D35" s="55"/>
      <c r="E35" s="55"/>
      <c r="F35" s="55"/>
      <c r="G35" s="55"/>
      <c r="H35" s="55"/>
      <c r="I35" s="55">
        <f t="shared" si="3"/>
        <v>0</v>
      </c>
      <c r="J35" s="55"/>
      <c r="K35" s="54">
        <v>99.0</v>
      </c>
      <c r="AB35" s="17" t="s">
        <v>80</v>
      </c>
    </row>
    <row r="36">
      <c r="A36" s="54">
        <v>99.0</v>
      </c>
      <c r="B36" s="55"/>
      <c r="C36" s="55"/>
      <c r="D36" s="55"/>
      <c r="E36" s="55"/>
      <c r="F36" s="55"/>
      <c r="G36" s="55"/>
      <c r="H36" s="55"/>
      <c r="I36" s="55">
        <f t="shared" si="3"/>
        <v>0</v>
      </c>
      <c r="J36" s="55"/>
      <c r="K36" s="54">
        <v>99.0</v>
      </c>
      <c r="AB36" s="17" t="s">
        <v>81</v>
      </c>
    </row>
    <row r="37">
      <c r="A37" s="54">
        <v>99.0</v>
      </c>
      <c r="B37" s="55"/>
      <c r="C37" s="55"/>
      <c r="D37" s="55"/>
      <c r="E37" s="55"/>
      <c r="F37" s="55"/>
      <c r="G37" s="55"/>
      <c r="H37" s="55"/>
      <c r="I37" s="55">
        <f t="shared" si="3"/>
        <v>0</v>
      </c>
      <c r="J37" s="55"/>
      <c r="K37" s="54">
        <v>99.0</v>
      </c>
    </row>
    <row r="38">
      <c r="A38" s="54">
        <v>99.0</v>
      </c>
      <c r="B38" s="55"/>
      <c r="C38" s="55"/>
      <c r="D38" s="55"/>
      <c r="E38" s="55"/>
      <c r="F38" s="55"/>
      <c r="G38" s="55"/>
      <c r="H38" s="55"/>
      <c r="I38" s="55">
        <f t="shared" si="3"/>
        <v>0</v>
      </c>
      <c r="J38" s="55"/>
      <c r="K38" s="54">
        <v>99.0</v>
      </c>
    </row>
    <row r="39">
      <c r="A39" s="54">
        <v>99.0</v>
      </c>
      <c r="B39" s="55"/>
      <c r="C39" s="55"/>
      <c r="D39" s="55"/>
      <c r="E39" s="55"/>
      <c r="F39" s="55"/>
      <c r="G39" s="55"/>
      <c r="H39" s="55"/>
      <c r="I39" s="55">
        <f t="shared" si="3"/>
        <v>0</v>
      </c>
      <c r="J39" s="55"/>
      <c r="K39" s="54">
        <v>99.0</v>
      </c>
    </row>
    <row r="40">
      <c r="A40" s="54">
        <v>99.0</v>
      </c>
      <c r="B40" s="55"/>
      <c r="C40" s="55"/>
      <c r="D40" s="55"/>
      <c r="E40" s="55"/>
      <c r="F40" s="55"/>
      <c r="G40" s="55"/>
      <c r="H40" s="55"/>
      <c r="I40" s="55">
        <f t="shared" si="3"/>
        <v>0</v>
      </c>
      <c r="J40" s="55"/>
      <c r="K40" s="54">
        <v>99.0</v>
      </c>
    </row>
    <row r="41">
      <c r="A41" s="54">
        <v>99.0</v>
      </c>
      <c r="B41" s="55"/>
      <c r="C41" s="55"/>
      <c r="D41" s="55"/>
      <c r="E41" s="55"/>
      <c r="F41" s="55"/>
      <c r="G41" s="55"/>
      <c r="H41" s="55"/>
      <c r="I41" s="55">
        <f t="shared" si="3"/>
        <v>0</v>
      </c>
      <c r="J41" s="55"/>
      <c r="K41" s="54">
        <v>99.0</v>
      </c>
    </row>
    <row r="42">
      <c r="A42" s="54">
        <v>99.0</v>
      </c>
      <c r="B42" s="55"/>
      <c r="C42" s="55"/>
      <c r="D42" s="55"/>
      <c r="E42" s="55"/>
      <c r="F42" s="55"/>
      <c r="G42" s="55"/>
      <c r="H42" s="55"/>
      <c r="I42" s="55">
        <f t="shared" si="3"/>
        <v>0</v>
      </c>
      <c r="J42" s="55"/>
      <c r="K42" s="54">
        <v>99.0</v>
      </c>
    </row>
    <row r="43">
      <c r="A43" s="54">
        <v>99.0</v>
      </c>
      <c r="B43" s="55"/>
      <c r="C43" s="55"/>
      <c r="D43" s="55"/>
      <c r="E43" s="55"/>
      <c r="F43" s="55"/>
      <c r="G43" s="55"/>
      <c r="H43" s="55"/>
      <c r="I43" s="55">
        <f t="shared" si="3"/>
        <v>0</v>
      </c>
      <c r="J43" s="55"/>
      <c r="K43" s="54">
        <v>99.0</v>
      </c>
    </row>
    <row r="44">
      <c r="A44" s="54">
        <v>99.0</v>
      </c>
      <c r="B44" s="55"/>
      <c r="C44" s="55"/>
      <c r="D44" s="55"/>
      <c r="E44" s="55"/>
      <c r="F44" s="55"/>
      <c r="G44" s="55"/>
      <c r="H44" s="55"/>
      <c r="I44" s="55">
        <f t="shared" si="3"/>
        <v>0</v>
      </c>
      <c r="J44" s="55"/>
      <c r="K44" s="54">
        <v>99.0</v>
      </c>
    </row>
    <row r="45">
      <c r="A45" s="54">
        <v>99.0</v>
      </c>
      <c r="B45" s="55"/>
      <c r="C45" s="55"/>
      <c r="D45" s="55"/>
      <c r="E45" s="55"/>
      <c r="F45" s="55"/>
      <c r="G45" s="55"/>
      <c r="H45" s="55"/>
      <c r="I45" s="55">
        <f t="shared" si="3"/>
        <v>0</v>
      </c>
      <c r="J45" s="55"/>
      <c r="K45" s="54">
        <v>99.0</v>
      </c>
    </row>
    <row r="46">
      <c r="A46" s="54">
        <v>99.0</v>
      </c>
      <c r="B46" s="55"/>
      <c r="C46" s="55"/>
      <c r="D46" s="55"/>
      <c r="E46" s="55"/>
      <c r="F46" s="55"/>
      <c r="G46" s="55"/>
      <c r="H46" s="55"/>
      <c r="I46" s="55">
        <f t="shared" si="3"/>
        <v>0</v>
      </c>
      <c r="J46" s="55"/>
      <c r="K46" s="54">
        <v>99.0</v>
      </c>
    </row>
  </sheetData>
  <mergeCells count="1">
    <mergeCell ref="Q1:R1"/>
  </mergeCells>
  <conditionalFormatting sqref="M2:O2 R2 M6:O6 R6 M10:O10 R10 M14:O15 R14 M18:O18 R18 M22:O22 R22 M26:O26 R26 M30:O30 R30">
    <cfRule type="containsText" dxfId="0" priority="1" operator="containsText" text="ERROR">
      <formula>NOT(ISERROR(SEARCH(("ERROR"),(M2))))</formula>
    </cfRule>
  </conditionalFormatting>
  <dataValidations>
    <dataValidation type="list" allowBlank="1" showErrorMessage="1" sqref="W4:W5">
      <formula1>"Y,  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.38"/>
    <col customWidth="1" min="3" max="4" width="8.88"/>
    <col customWidth="1" min="5" max="5" width="5.13"/>
    <col customWidth="1" min="6" max="6" width="22.13"/>
    <col customWidth="1" min="7" max="7" width="18.25"/>
    <col customWidth="1" min="8" max="8" width="16.0"/>
    <col customWidth="1" min="9" max="9" width="19.75"/>
    <col customWidth="1" min="10" max="10" width="17.25"/>
    <col customWidth="1" min="11" max="11" width="17.38"/>
    <col customWidth="1" min="12" max="12" width="8.5"/>
    <col customWidth="1" min="13" max="13" width="5.75"/>
    <col customWidth="1" min="14" max="14" width="6.0"/>
    <col customWidth="1" min="15" max="15" width="16.0"/>
    <col customWidth="1" min="16" max="16" width="14.88"/>
    <col customWidth="1" min="17" max="17" width="13.5"/>
  </cols>
  <sheetData>
    <row r="1">
      <c r="A1" s="3" t="s">
        <v>3</v>
      </c>
      <c r="B1" s="3" t="s">
        <v>10</v>
      </c>
      <c r="C1" s="3" t="s">
        <v>11</v>
      </c>
      <c r="E1" s="6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9" t="s">
        <v>19</v>
      </c>
      <c r="L1" s="9" t="s">
        <v>20</v>
      </c>
      <c r="M1" s="9" t="s">
        <v>11</v>
      </c>
    </row>
    <row r="2">
      <c r="A2" s="8" t="str">
        <f>IFERROR(__xludf.DUMMYFUNCTION("IMPORTRANGE(""1uZFF2o7rrfB0YZtASdZnP52Ef50ZinvtOPb1Tbuq8J4"",""CheckIn!C1:D99"")"),"#REF!")</f>
        <v>#REF!</v>
      </c>
      <c r="B2" s="8"/>
      <c r="C2" s="8" t="str">
        <f>VLOOKUP(A2,Current!B:S,18,false)</f>
        <v>#REF!</v>
      </c>
      <c r="E2" s="7">
        <v>1.0</v>
      </c>
      <c r="F2" s="8" t="str">
        <f>IFERROR(__xludf.DUMMYFUNCTION("QUERY(A2:B99, ""Select A  where B = 1   order by A"")"),"#N/A")</f>
        <v>#N/A</v>
      </c>
      <c r="G2" s="8" t="str">
        <f>IFERROR(__xludf.DUMMYFUNCTION("QUERY($A2:$B99, ""Select A where B = 3 order by A"")"),"#N/A")</f>
        <v>#N/A</v>
      </c>
      <c r="H2" s="8" t="str">
        <f>IFERROR(__xludf.DUMMYFUNCTION("QUERY($A2:$B99, ""Select A where B = 4"")"),"#N/A")</f>
        <v>#N/A</v>
      </c>
      <c r="I2" s="8" t="str">
        <f>IFERROR(__xludf.DUMMYFUNCTION("QUERY(Current!B5:F69, ""Select B  where F = 0 order by B"")"),"Adrian Tay")</f>
        <v>Adrian Tay</v>
      </c>
      <c r="J2" s="8" t="str">
        <f>IFERROR(__xludf.DUMMYFUNCTION("QUERY(A2:C99, ""Select A  where B = 5 order by C"")"),"#N/A")</f>
        <v>#N/A</v>
      </c>
      <c r="K2" s="8" t="str">
        <f>IFERROR(__xludf.DUMMYFUNCTION("QUERY($A2:$C99, ""Select A,C where B = 2 order by C"")"),"#N/A")</f>
        <v>#N/A</v>
      </c>
      <c r="L2" s="8"/>
      <c r="M2" s="8" t="str">
        <f>if(P19&gt;0,1,"")</f>
        <v/>
      </c>
    </row>
    <row r="3">
      <c r="A3" s="8"/>
      <c r="B3" s="8"/>
      <c r="C3" s="8" t="str">
        <f>VLOOKUP(A3,Current!B:S,18,false)</f>
        <v>#N/A</v>
      </c>
      <c r="E3" s="8">
        <f t="shared" ref="E3:E67" si="1">E2+1</f>
        <v>2</v>
      </c>
      <c r="F3" s="8"/>
      <c r="G3" s="8"/>
      <c r="I3" s="8" t="str">
        <f>IFERROR(__xludf.DUMMYFUNCTION("""COMPUTED_VALUE"""),"Alejandro Mejia")</f>
        <v>Alejandro Mejia</v>
      </c>
      <c r="J3" s="8"/>
      <c r="K3" s="8"/>
      <c r="L3" s="8"/>
      <c r="M3" s="8" t="str">
        <f t="shared" ref="M3:M22" si="2">if(AND(M2&gt;0, counta($K$2:K3)&lt;=$P$19),M2+1,"")</f>
        <v/>
      </c>
    </row>
    <row r="4">
      <c r="A4" s="8"/>
      <c r="B4" s="8"/>
      <c r="C4" s="8" t="str">
        <f>VLOOKUP(A4,Current!B:S,18,false)</f>
        <v>#N/A</v>
      </c>
      <c r="E4" s="8">
        <f t="shared" si="1"/>
        <v>3</v>
      </c>
      <c r="F4" s="8"/>
      <c r="G4" s="8"/>
      <c r="H4" s="8"/>
      <c r="I4" s="8" t="str">
        <f>IFERROR(__xludf.DUMMYFUNCTION("""COMPUTED_VALUE"""),"Alex Hou")</f>
        <v>Alex Hou</v>
      </c>
      <c r="J4" s="8"/>
      <c r="K4" s="8"/>
      <c r="L4" s="8"/>
      <c r="M4" s="8" t="str">
        <f t="shared" si="2"/>
        <v/>
      </c>
      <c r="O4" s="36" t="s">
        <v>50</v>
      </c>
      <c r="P4" s="38">
        <f>now()</f>
        <v>46311.70943</v>
      </c>
    </row>
    <row r="5">
      <c r="A5" s="8"/>
      <c r="B5" s="8"/>
      <c r="C5" s="8" t="str">
        <f>VLOOKUP(A5,Current!B:S,18,false)</f>
        <v>#N/A</v>
      </c>
      <c r="E5" s="8">
        <f t="shared" si="1"/>
        <v>4</v>
      </c>
      <c r="F5" s="8"/>
      <c r="G5" s="8"/>
      <c r="H5" s="8"/>
      <c r="I5" s="8" t="str">
        <f>IFERROR(__xludf.DUMMYFUNCTION("""COMPUTED_VALUE"""),"Amit Patel")</f>
        <v>Amit Patel</v>
      </c>
      <c r="J5" s="8"/>
      <c r="K5" s="8"/>
      <c r="L5" s="8"/>
      <c r="M5" s="8" t="str">
        <f t="shared" si="2"/>
        <v/>
      </c>
    </row>
    <row r="6">
      <c r="A6" s="8"/>
      <c r="B6" s="8"/>
      <c r="C6" s="8" t="str">
        <f>VLOOKUP(A6,Current!B:S,18,false)</f>
        <v>#N/A</v>
      </c>
      <c r="E6" s="8">
        <f t="shared" si="1"/>
        <v>5</v>
      </c>
      <c r="F6" s="8"/>
      <c r="G6" s="8"/>
      <c r="H6" s="8"/>
      <c r="I6" s="8" t="str">
        <f>IFERROR(__xludf.DUMMYFUNCTION("""COMPUTED_VALUE"""),"Andrew Wen")</f>
        <v>Andrew Wen</v>
      </c>
      <c r="J6" s="8"/>
      <c r="K6" s="8"/>
      <c r="L6" s="8"/>
      <c r="M6" s="8" t="str">
        <f t="shared" si="2"/>
        <v/>
      </c>
      <c r="O6" s="7" t="s">
        <v>14</v>
      </c>
      <c r="P6" s="8">
        <f>if(isna(F2),0,COUNTA(F$2:F$58))</f>
        <v>0</v>
      </c>
    </row>
    <row r="7">
      <c r="A7" s="8"/>
      <c r="B7" s="8"/>
      <c r="C7" s="8" t="str">
        <f>VLOOKUP(A7,Current!B:S,18,false)</f>
        <v>#N/A</v>
      </c>
      <c r="E7" s="8">
        <f t="shared" si="1"/>
        <v>6</v>
      </c>
      <c r="F7" s="8"/>
      <c r="G7" s="8"/>
      <c r="H7" s="8"/>
      <c r="I7" s="8" t="str">
        <f>IFERROR(__xludf.DUMMYFUNCTION("""COMPUTED_VALUE"""),"Arun Mallikarjuna")</f>
        <v>Arun Mallikarjuna</v>
      </c>
      <c r="J7" s="8"/>
      <c r="K7" s="8"/>
      <c r="L7" s="8"/>
      <c r="M7" s="8" t="str">
        <f t="shared" si="2"/>
        <v/>
      </c>
      <c r="O7" s="7" t="s">
        <v>19</v>
      </c>
      <c r="P7" s="8">
        <f>if(isna(K2),0,COUNTA(K2:K99))</f>
        <v>0</v>
      </c>
    </row>
    <row r="8">
      <c r="A8" s="8"/>
      <c r="B8" s="8"/>
      <c r="C8" s="8" t="str">
        <f>VLOOKUP(A8,Current!B:S,18,false)</f>
        <v>#N/A</v>
      </c>
      <c r="E8" s="8">
        <f t="shared" si="1"/>
        <v>7</v>
      </c>
      <c r="F8" s="8"/>
      <c r="G8" s="8"/>
      <c r="H8" s="8"/>
      <c r="I8" s="8" t="str">
        <f>IFERROR(__xludf.DUMMYFUNCTION("""COMPUTED_VALUE"""),"Balaji Alahari")</f>
        <v>Balaji Alahari</v>
      </c>
      <c r="J8" s="8"/>
      <c r="K8" s="8"/>
      <c r="L8" s="8"/>
      <c r="M8" s="8" t="str">
        <f t="shared" si="2"/>
        <v/>
      </c>
      <c r="O8" s="7" t="s">
        <v>52</v>
      </c>
      <c r="P8" s="8">
        <f>if(isna(H2),0,COUNTA(H$2:H$58))</f>
        <v>0</v>
      </c>
    </row>
    <row r="9">
      <c r="A9" s="8"/>
      <c r="B9" s="8"/>
      <c r="C9" s="8" t="str">
        <f>VLOOKUP(A9,Current!B:S,18,false)</f>
        <v>#N/A</v>
      </c>
      <c r="E9" s="8">
        <f t="shared" si="1"/>
        <v>8</v>
      </c>
      <c r="F9" s="8"/>
      <c r="G9" s="8"/>
      <c r="H9" s="8"/>
      <c r="I9" s="8" t="str">
        <f>IFERROR(__xludf.DUMMYFUNCTION("""COMPUTED_VALUE"""),"Chinna Ponnaganti")</f>
        <v>Chinna Ponnaganti</v>
      </c>
      <c r="J9" s="8"/>
      <c r="K9" s="8"/>
      <c r="L9" s="8"/>
      <c r="M9" s="8" t="str">
        <f t="shared" si="2"/>
        <v/>
      </c>
      <c r="O9" s="7" t="s">
        <v>15</v>
      </c>
      <c r="P9" s="8">
        <f>if(isna(G2),0,COUNTA(G$2:G$58))</f>
        <v>0</v>
      </c>
    </row>
    <row r="10">
      <c r="A10" s="8"/>
      <c r="B10" s="8"/>
      <c r="C10" s="8" t="str">
        <f>VLOOKUP(A10,Current!B:S,18,false)</f>
        <v>#N/A</v>
      </c>
      <c r="E10" s="8">
        <f t="shared" si="1"/>
        <v>9</v>
      </c>
      <c r="F10" s="8"/>
      <c r="G10" s="8"/>
      <c r="H10" s="8"/>
      <c r="I10" s="8" t="str">
        <f>IFERROR(__xludf.DUMMYFUNCTION("""COMPUTED_VALUE"""),"Christopher Li")</f>
        <v>Christopher Li</v>
      </c>
      <c r="J10" s="8"/>
      <c r="K10" s="8"/>
      <c r="L10" s="8"/>
      <c r="M10" s="8" t="str">
        <f t="shared" si="2"/>
        <v/>
      </c>
      <c r="O10" s="7" t="s">
        <v>18</v>
      </c>
      <c r="P10" s="8">
        <f>if(isna(J2),0,COUNTA(J$2:J$29))</f>
        <v>0</v>
      </c>
    </row>
    <row r="11">
      <c r="A11" s="8"/>
      <c r="B11" s="8"/>
      <c r="C11" s="8" t="str">
        <f>VLOOKUP(A11,Current!B:S,18,false)</f>
        <v>#N/A</v>
      </c>
      <c r="E11" s="8">
        <f t="shared" si="1"/>
        <v>10</v>
      </c>
      <c r="F11" s="8"/>
      <c r="G11" s="8"/>
      <c r="H11" s="8"/>
      <c r="I11" s="8" t="str">
        <f>IFERROR(__xludf.DUMMYFUNCTION("""COMPUTED_VALUE"""),"Cid Macaraeg")</f>
        <v>Cid Macaraeg</v>
      </c>
      <c r="J11" s="8"/>
      <c r="K11" s="8"/>
      <c r="L11" s="8"/>
      <c r="M11" s="8" t="str">
        <f t="shared" si="2"/>
        <v/>
      </c>
      <c r="O11" s="7" t="s">
        <v>58</v>
      </c>
      <c r="P11" s="8">
        <f>if(isna(I2),0,COUNTA(I$2:I$99))</f>
        <v>65</v>
      </c>
    </row>
    <row r="12">
      <c r="A12" s="8"/>
      <c r="B12" s="8"/>
      <c r="C12" s="8" t="str">
        <f>VLOOKUP(A12,Current!B:S,18,false)</f>
        <v>#N/A</v>
      </c>
      <c r="E12" s="8">
        <f t="shared" si="1"/>
        <v>11</v>
      </c>
      <c r="F12" s="8"/>
      <c r="G12" s="8"/>
      <c r="H12" s="8"/>
      <c r="I12" s="8" t="str">
        <f>IFERROR(__xludf.DUMMYFUNCTION("""COMPUTED_VALUE"""),"Coco Yan")</f>
        <v>Coco Yan</v>
      </c>
      <c r="J12" s="8"/>
      <c r="K12" s="8"/>
      <c r="L12" s="8"/>
      <c r="M12" s="8" t="str">
        <f t="shared" si="2"/>
        <v/>
      </c>
      <c r="O12" s="7" t="s">
        <v>60</v>
      </c>
      <c r="P12" s="8">
        <f>sum(P6:P11)</f>
        <v>65</v>
      </c>
    </row>
    <row r="13">
      <c r="A13" s="8"/>
      <c r="B13" s="8"/>
      <c r="C13" s="8" t="str">
        <f>VLOOKUP(A13,Current!B:S,18,false)</f>
        <v>#N/A</v>
      </c>
      <c r="E13" s="8">
        <f t="shared" si="1"/>
        <v>12</v>
      </c>
      <c r="F13" s="8"/>
      <c r="G13" s="8"/>
      <c r="H13" s="8"/>
      <c r="I13" s="8" t="str">
        <f>IFERROR(__xludf.DUMMYFUNCTION("""COMPUTED_VALUE"""),"David Shin")</f>
        <v>David Shin</v>
      </c>
      <c r="J13" s="8"/>
      <c r="K13" s="8"/>
      <c r="L13" s="8"/>
      <c r="M13" s="8" t="str">
        <f t="shared" si="2"/>
        <v/>
      </c>
    </row>
    <row r="14">
      <c r="A14" s="8"/>
      <c r="B14" s="8"/>
      <c r="C14" s="8" t="str">
        <f>VLOOKUP(A14,Current!B:S,18,false)</f>
        <v>#N/A</v>
      </c>
      <c r="E14" s="8">
        <f t="shared" si="1"/>
        <v>13</v>
      </c>
      <c r="F14" s="8"/>
      <c r="G14" s="8"/>
      <c r="H14" s="8"/>
      <c r="I14" s="8" t="str">
        <f>IFERROR(__xludf.DUMMYFUNCTION("""COMPUTED_VALUE"""),"Elayaraja Thangaraj ")</f>
        <v>Elayaraja Thangaraj </v>
      </c>
      <c r="J14" s="8"/>
      <c r="K14" s="8"/>
      <c r="L14" s="8"/>
      <c r="M14" s="8" t="str">
        <f t="shared" si="2"/>
        <v/>
      </c>
      <c r="O14" s="7" t="s">
        <v>14</v>
      </c>
      <c r="P14" s="8">
        <f>sum(P6:P7)</f>
        <v>0</v>
      </c>
      <c r="Q14" s="45" t="s">
        <v>62</v>
      </c>
    </row>
    <row r="15">
      <c r="A15" s="8"/>
      <c r="B15" s="8"/>
      <c r="C15" s="8" t="str">
        <f>VLOOKUP(A15,Current!B:S,18,false)</f>
        <v>#N/A</v>
      </c>
      <c r="E15" s="8">
        <f t="shared" si="1"/>
        <v>14</v>
      </c>
      <c r="F15" s="8"/>
      <c r="G15" s="8"/>
      <c r="H15" s="8"/>
      <c r="I15" s="8" t="str">
        <f>IFERROR(__xludf.DUMMYFUNCTION("""COMPUTED_VALUE"""),"Eric Pan")</f>
        <v>Eric Pan</v>
      </c>
      <c r="J15" s="8"/>
      <c r="K15" s="8"/>
      <c r="L15" s="8"/>
      <c r="M15" s="8" t="str">
        <f t="shared" si="2"/>
        <v/>
      </c>
      <c r="O15" s="7" t="s">
        <v>15</v>
      </c>
      <c r="P15" s="8">
        <f>P9+P8</f>
        <v>0</v>
      </c>
    </row>
    <row r="16">
      <c r="A16" s="8"/>
      <c r="B16" s="8"/>
      <c r="C16" s="8" t="str">
        <f>VLOOKUP(A16,Current!B:S,18,false)</f>
        <v>#N/A</v>
      </c>
      <c r="E16" s="8">
        <f t="shared" si="1"/>
        <v>15</v>
      </c>
      <c r="F16" s="8"/>
      <c r="G16" s="8"/>
      <c r="H16" s="8"/>
      <c r="I16" s="8" t="str">
        <f>IFERROR(__xludf.DUMMYFUNCTION("""COMPUTED_VALUE"""),"Eric Tan")</f>
        <v>Eric Tan</v>
      </c>
      <c r="J16" s="8"/>
      <c r="K16" s="8"/>
      <c r="L16" s="8"/>
      <c r="M16" s="8" t="str">
        <f t="shared" si="2"/>
        <v/>
      </c>
      <c r="O16" s="7" t="s">
        <v>58</v>
      </c>
      <c r="P16" s="8">
        <f>P11</f>
        <v>65</v>
      </c>
    </row>
    <row r="17">
      <c r="A17" s="7"/>
      <c r="B17" s="8"/>
      <c r="C17" s="8" t="str">
        <f>VLOOKUP(A17,Current!B:S,18,false)</f>
        <v>#N/A</v>
      </c>
      <c r="E17" s="8">
        <f t="shared" si="1"/>
        <v>16</v>
      </c>
      <c r="F17" s="8"/>
      <c r="G17" s="8"/>
      <c r="H17" s="8"/>
      <c r="I17" s="8" t="str">
        <f>IFERROR(__xludf.DUMMYFUNCTION("""COMPUTED_VALUE"""),"Erik Hoeckmann")</f>
        <v>Erik Hoeckmann</v>
      </c>
      <c r="J17" s="8"/>
      <c r="K17" s="8"/>
      <c r="L17" s="8"/>
      <c r="M17" s="8" t="str">
        <f t="shared" si="2"/>
        <v/>
      </c>
      <c r="O17" s="7" t="s">
        <v>60</v>
      </c>
      <c r="P17" s="8">
        <f>sum(P14:P16)</f>
        <v>65</v>
      </c>
    </row>
    <row r="18">
      <c r="A18" s="8"/>
      <c r="B18" s="8"/>
      <c r="C18" s="8" t="str">
        <f>VLOOKUP(A18,Current!B:S,18,false)</f>
        <v>#N/A</v>
      </c>
      <c r="E18" s="8">
        <f t="shared" si="1"/>
        <v>17</v>
      </c>
      <c r="F18" s="8"/>
      <c r="G18" s="8"/>
      <c r="H18" s="8"/>
      <c r="I18" s="8" t="str">
        <f>IFERROR(__xludf.DUMMYFUNCTION("""COMPUTED_VALUE"""),"Frank Moon")</f>
        <v>Frank Moon</v>
      </c>
      <c r="J18" s="8"/>
      <c r="K18" s="8"/>
      <c r="L18" s="8"/>
      <c r="M18" s="8" t="str">
        <f t="shared" si="2"/>
        <v/>
      </c>
    </row>
    <row r="19">
      <c r="A19" s="8"/>
      <c r="B19" s="8"/>
      <c r="C19" s="8" t="str">
        <f>VLOOKUP(A19,Current!B:S,18,false)</f>
        <v>#N/A</v>
      </c>
      <c r="E19" s="8">
        <f t="shared" si="1"/>
        <v>18</v>
      </c>
      <c r="F19" s="8"/>
      <c r="G19" s="8"/>
      <c r="H19" s="8"/>
      <c r="I19" s="8" t="str">
        <f>IFERROR(__xludf.DUMMYFUNCTION("""COMPUTED_VALUE"""),"Herman Au")</f>
        <v>Herman Au</v>
      </c>
      <c r="J19" s="8"/>
      <c r="K19" s="8"/>
      <c r="L19" s="8"/>
      <c r="M19" s="8" t="str">
        <f t="shared" si="2"/>
        <v/>
      </c>
      <c r="O19" s="7" t="s">
        <v>67</v>
      </c>
      <c r="P19" s="8">
        <f>IF((P14-32) &gt; 0,(P14-32),0)</f>
        <v>0</v>
      </c>
    </row>
    <row r="20">
      <c r="A20" s="8"/>
      <c r="B20" s="8"/>
      <c r="C20" s="8" t="str">
        <f>VLOOKUP(A20,Current!B:S,18,false)</f>
        <v>#N/A</v>
      </c>
      <c r="E20" s="8">
        <f t="shared" si="1"/>
        <v>19</v>
      </c>
      <c r="F20" s="8"/>
      <c r="G20" s="8"/>
      <c r="H20" s="8"/>
      <c r="I20" s="8" t="str">
        <f>IFERROR(__xludf.DUMMYFUNCTION("""COMPUTED_VALUE"""),"James Phan")</f>
        <v>James Phan</v>
      </c>
      <c r="J20" s="8"/>
      <c r="K20" s="8"/>
      <c r="L20" s="8"/>
      <c r="M20" s="8" t="str">
        <f t="shared" si="2"/>
        <v/>
      </c>
    </row>
    <row r="21">
      <c r="A21" s="8"/>
      <c r="B21" s="8"/>
      <c r="C21" s="8" t="str">
        <f>VLOOKUP(A21,Current!B:S,18,false)</f>
        <v>#N/A</v>
      </c>
      <c r="E21" s="8">
        <f t="shared" si="1"/>
        <v>20</v>
      </c>
      <c r="F21" s="8"/>
      <c r="G21" s="8"/>
      <c r="H21" s="8"/>
      <c r="I21" s="8" t="str">
        <f>IFERROR(__xludf.DUMMYFUNCTION("""COMPUTED_VALUE"""),"Jim Miao")</f>
        <v>Jim Miao</v>
      </c>
      <c r="J21" s="8"/>
      <c r="K21" s="8"/>
      <c r="L21" s="8"/>
      <c r="M21" s="8" t="str">
        <f t="shared" si="2"/>
        <v/>
      </c>
      <c r="O21" s="45" t="s">
        <v>70</v>
      </c>
      <c r="P21" s="8"/>
    </row>
    <row r="22">
      <c r="A22" s="8"/>
      <c r="B22" s="8"/>
      <c r="C22" s="8" t="str">
        <f>VLOOKUP(A22,Current!B:S,18,false)</f>
        <v>#N/A</v>
      </c>
      <c r="E22" s="8">
        <f t="shared" si="1"/>
        <v>21</v>
      </c>
      <c r="F22" s="8"/>
      <c r="G22" s="8"/>
      <c r="H22" s="8"/>
      <c r="I22" s="8" t="str">
        <f>IFERROR(__xludf.DUMMYFUNCTION("""COMPUTED_VALUE"""),"Jimmy Awolesi")</f>
        <v>Jimmy Awolesi</v>
      </c>
      <c r="J22" s="8"/>
      <c r="K22" s="8"/>
      <c r="L22" s="8"/>
      <c r="M22" s="8" t="str">
        <f t="shared" si="2"/>
        <v/>
      </c>
      <c r="O22" s="8" t="s">
        <v>72</v>
      </c>
      <c r="P22" s="7">
        <v>6.464581349E9</v>
      </c>
    </row>
    <row r="23">
      <c r="A23" s="8"/>
      <c r="B23" s="8"/>
      <c r="C23" s="8" t="str">
        <f>VLOOKUP(A23,Current!B:S,18,false)</f>
        <v>#N/A</v>
      </c>
      <c r="E23" s="8">
        <f t="shared" si="1"/>
        <v>22</v>
      </c>
      <c r="F23" s="8"/>
      <c r="G23" s="8"/>
      <c r="H23" s="8"/>
      <c r="I23" s="8" t="str">
        <f>IFERROR(__xludf.DUMMYFUNCTION("""COMPUTED_VALUE"""),"Joe Luzzi")</f>
        <v>Joe Luzzi</v>
      </c>
      <c r="J23" s="8"/>
      <c r="K23" s="8"/>
      <c r="L23" s="17" t="str">
        <f>if(K23&lt;&gt;"",VLOOKUP(K23,Current!B:S,17,false),"")</f>
        <v/>
      </c>
      <c r="M23" s="10"/>
      <c r="O23" s="8" t="s">
        <v>74</v>
      </c>
      <c r="P23" s="47">
        <v>6.268263665E9</v>
      </c>
    </row>
    <row r="24">
      <c r="A24" s="8"/>
      <c r="B24" s="8"/>
      <c r="C24" s="8" t="str">
        <f>VLOOKUP(A24,Current!B:S,18,false)</f>
        <v>#N/A</v>
      </c>
      <c r="E24" s="8">
        <f t="shared" si="1"/>
        <v>23</v>
      </c>
      <c r="F24" s="8"/>
      <c r="G24" s="8"/>
      <c r="H24" s="8"/>
      <c r="I24" s="8" t="str">
        <f>IFERROR(__xludf.DUMMYFUNCTION("""COMPUTED_VALUE"""),"Jonathan Phan")</f>
        <v>Jonathan Phan</v>
      </c>
      <c r="J24" s="8"/>
      <c r="K24" s="48"/>
      <c r="L24" s="49"/>
      <c r="O24" s="8" t="s">
        <v>75</v>
      </c>
      <c r="P24" s="48">
        <v>9.092638257E9</v>
      </c>
    </row>
    <row r="25">
      <c r="A25" s="8"/>
      <c r="B25" s="8"/>
      <c r="C25" s="8" t="str">
        <f>VLOOKUP(A25,Current!B:S,18,false)</f>
        <v>#N/A</v>
      </c>
      <c r="E25" s="8">
        <f t="shared" si="1"/>
        <v>24</v>
      </c>
      <c r="F25" s="8"/>
      <c r="G25" s="8"/>
      <c r="H25" s="8"/>
      <c r="I25" s="8" t="str">
        <f>IFERROR(__xludf.DUMMYFUNCTION("""COMPUTED_VALUE"""),"Jose Ortiz")</f>
        <v>Jose Ortiz</v>
      </c>
      <c r="J25" s="8"/>
      <c r="K25" s="8"/>
      <c r="O25" s="8"/>
      <c r="P25" s="50"/>
    </row>
    <row r="26">
      <c r="A26" s="8"/>
      <c r="B26" s="8"/>
      <c r="C26" s="8" t="str">
        <f>VLOOKUP(A26,Current!B:S,18,false)</f>
        <v>#N/A</v>
      </c>
      <c r="E26" s="8">
        <f t="shared" si="1"/>
        <v>25</v>
      </c>
      <c r="F26" s="8"/>
      <c r="G26" s="8"/>
      <c r="H26" s="8"/>
      <c r="I26" s="8" t="str">
        <f>IFERROR(__xludf.DUMMYFUNCTION("""COMPUTED_VALUE"""),"Joyce Zhu")</f>
        <v>Joyce Zhu</v>
      </c>
      <c r="J26" s="8"/>
      <c r="K26" s="8"/>
      <c r="O26" s="8"/>
      <c r="P26" s="52"/>
    </row>
    <row r="27">
      <c r="A27" s="8"/>
      <c r="B27" s="8"/>
      <c r="C27" s="8" t="str">
        <f>VLOOKUP(A27,Current!B:S,18,false)</f>
        <v>#N/A</v>
      </c>
      <c r="E27" s="8">
        <f t="shared" si="1"/>
        <v>26</v>
      </c>
      <c r="F27" s="8"/>
      <c r="G27" s="8"/>
      <c r="H27" s="8"/>
      <c r="I27" s="8" t="str">
        <f>IFERROR(__xludf.DUMMYFUNCTION("""COMPUTED_VALUE"""),"Kumar Palakeel")</f>
        <v>Kumar Palakeel</v>
      </c>
      <c r="J27" s="8"/>
      <c r="K27" s="8"/>
      <c r="O27" s="8"/>
      <c r="P27" s="53"/>
    </row>
    <row r="28">
      <c r="A28" s="8"/>
      <c r="B28" s="8"/>
      <c r="C28" s="8" t="str">
        <f>VLOOKUP(A28,Current!B:S,18,false)</f>
        <v>#N/A</v>
      </c>
      <c r="E28" s="8">
        <f t="shared" si="1"/>
        <v>27</v>
      </c>
      <c r="F28" s="8"/>
      <c r="G28" s="8"/>
      <c r="H28" s="8"/>
      <c r="I28" s="8" t="str">
        <f>IFERROR(__xludf.DUMMYFUNCTION("""COMPUTED_VALUE"""),"Lam Bui")</f>
        <v>Lam Bui</v>
      </c>
      <c r="J28" s="8"/>
      <c r="K28" s="8"/>
    </row>
    <row r="29">
      <c r="A29" s="8"/>
      <c r="B29" s="8"/>
      <c r="C29" s="8" t="str">
        <f>VLOOKUP(A29,Current!B:S,18,false)</f>
        <v>#N/A</v>
      </c>
      <c r="E29" s="8">
        <f t="shared" si="1"/>
        <v>28</v>
      </c>
      <c r="F29" s="8"/>
      <c r="G29" s="8"/>
      <c r="H29" s="8"/>
      <c r="I29" s="8" t="str">
        <f>IFERROR(__xludf.DUMMYFUNCTION("""COMPUTED_VALUE"""),"Leigh-Anh Nguyen")</f>
        <v>Leigh-Anh Nguyen</v>
      </c>
      <c r="J29" s="8"/>
      <c r="K29" s="8"/>
      <c r="O29" s="45" t="s">
        <v>77</v>
      </c>
    </row>
    <row r="30">
      <c r="A30" s="8"/>
      <c r="B30" s="8"/>
      <c r="C30" s="8" t="str">
        <f>VLOOKUP(A30,Current!B:S,18,false)</f>
        <v>#N/A</v>
      </c>
      <c r="E30" s="8">
        <f t="shared" si="1"/>
        <v>29</v>
      </c>
      <c r="F30" s="8"/>
      <c r="G30" s="8"/>
      <c r="H30" s="8"/>
      <c r="I30" s="8" t="str">
        <f>IFERROR(__xludf.DUMMYFUNCTION("""COMPUTED_VALUE"""),"Lloyd Sagar")</f>
        <v>Lloyd Sagar</v>
      </c>
      <c r="J30" s="8"/>
      <c r="K30" s="8"/>
      <c r="O30" s="7"/>
      <c r="P30" s="8"/>
    </row>
    <row r="31">
      <c r="A31" s="8"/>
      <c r="B31" s="8"/>
      <c r="C31" s="8" t="str">
        <f>VLOOKUP(A31,Current!B:S,18,false)</f>
        <v>#N/A</v>
      </c>
      <c r="E31" s="8">
        <f t="shared" si="1"/>
        <v>30</v>
      </c>
      <c r="F31" s="8"/>
      <c r="G31" s="8"/>
      <c r="H31" s="8"/>
      <c r="I31" s="8" t="str">
        <f>IFERROR(__xludf.DUMMYFUNCTION("""COMPUTED_VALUE"""),"Luis Hsu")</f>
        <v>Luis Hsu</v>
      </c>
      <c r="J31" s="8"/>
      <c r="K31" s="8"/>
      <c r="O31" s="8"/>
      <c r="P31" s="8"/>
    </row>
    <row r="32">
      <c r="A32" s="8"/>
      <c r="B32" s="8"/>
      <c r="C32" s="8" t="str">
        <f>VLOOKUP(A32,Current!B:S,18,false)</f>
        <v>#N/A</v>
      </c>
      <c r="E32" s="8">
        <f t="shared" si="1"/>
        <v>31</v>
      </c>
      <c r="F32" s="8"/>
      <c r="G32" s="8"/>
      <c r="H32" s="8"/>
      <c r="I32" s="8" t="str">
        <f>IFERROR(__xludf.DUMMYFUNCTION("""COMPUTED_VALUE"""),"Manish Anand")</f>
        <v>Manish Anand</v>
      </c>
      <c r="J32" s="8"/>
      <c r="K32" s="8"/>
      <c r="O32" s="8"/>
      <c r="P32" s="8"/>
    </row>
    <row r="33">
      <c r="A33" s="8"/>
      <c r="B33" s="8"/>
      <c r="C33" s="8" t="str">
        <f>VLOOKUP(A33,Current!B:S,18,false)</f>
        <v>#N/A</v>
      </c>
      <c r="E33" s="8">
        <f t="shared" si="1"/>
        <v>32</v>
      </c>
      <c r="F33" s="8"/>
      <c r="G33" s="8"/>
      <c r="H33" s="8"/>
      <c r="I33" s="8" t="str">
        <f>IFERROR(__xludf.DUMMYFUNCTION("""COMPUTED_VALUE"""),"Manuel Rivera")</f>
        <v>Manuel Rivera</v>
      </c>
      <c r="J33" s="8"/>
      <c r="K33" s="8"/>
      <c r="O33" s="8"/>
      <c r="P33" s="8"/>
    </row>
    <row r="34">
      <c r="A34" s="8"/>
      <c r="B34" s="8"/>
      <c r="C34" s="8" t="str">
        <f>VLOOKUP(A34,Current!B:S,18,false)</f>
        <v>#N/A</v>
      </c>
      <c r="E34" s="8">
        <f t="shared" si="1"/>
        <v>33</v>
      </c>
      <c r="F34" s="8"/>
      <c r="G34" s="8"/>
      <c r="H34" s="8"/>
      <c r="I34" s="8" t="str">
        <f>IFERROR(__xludf.DUMMYFUNCTION("""COMPUTED_VALUE"""),"Matthew Huang")</f>
        <v>Matthew Huang</v>
      </c>
      <c r="J34" s="8"/>
      <c r="K34" s="8"/>
      <c r="O34" s="8"/>
      <c r="P34" s="8"/>
    </row>
    <row r="35">
      <c r="A35" s="8"/>
      <c r="B35" s="8"/>
      <c r="C35" s="8" t="str">
        <f>VLOOKUP(A35,Current!B:S,18,false)</f>
        <v>#N/A</v>
      </c>
      <c r="E35" s="8">
        <f t="shared" si="1"/>
        <v>34</v>
      </c>
      <c r="F35" s="8"/>
      <c r="G35" s="8"/>
      <c r="H35" s="8"/>
      <c r="I35" s="8" t="str">
        <f>IFERROR(__xludf.DUMMYFUNCTION("""COMPUTED_VALUE"""),"Mauricio Palacios")</f>
        <v>Mauricio Palacios</v>
      </c>
      <c r="J35" s="8"/>
      <c r="K35" s="8"/>
    </row>
    <row r="36">
      <c r="A36" s="8"/>
      <c r="B36" s="8"/>
      <c r="C36" s="8" t="str">
        <f>VLOOKUP(A36,Current!B:S,18,false)</f>
        <v>#N/A</v>
      </c>
      <c r="E36" s="8">
        <f t="shared" si="1"/>
        <v>35</v>
      </c>
      <c r="F36" s="8"/>
      <c r="G36" s="8"/>
      <c r="H36" s="8"/>
      <c r="I36" s="8" t="str">
        <f>IFERROR(__xludf.DUMMYFUNCTION("""COMPUTED_VALUE"""),"Naveen Raj")</f>
        <v>Naveen Raj</v>
      </c>
      <c r="J36" s="8"/>
      <c r="K36" s="8"/>
    </row>
    <row r="37">
      <c r="A37" s="8"/>
      <c r="B37" s="8"/>
      <c r="C37" s="8" t="str">
        <f>VLOOKUP(A37,Current!B:S,18,false)</f>
        <v>#N/A</v>
      </c>
      <c r="E37" s="8">
        <f t="shared" si="1"/>
        <v>36</v>
      </c>
      <c r="F37" s="8"/>
      <c r="G37" s="8"/>
      <c r="H37" s="8"/>
      <c r="I37" s="8" t="str">
        <f>IFERROR(__xludf.DUMMYFUNCTION("""COMPUTED_VALUE"""),"Nicole Ni")</f>
        <v>Nicole Ni</v>
      </c>
      <c r="J37" s="8"/>
      <c r="K37" s="8"/>
    </row>
    <row r="38">
      <c r="A38" s="8"/>
      <c r="B38" s="8"/>
      <c r="C38" s="8" t="str">
        <f>VLOOKUP(A38,Current!B:S,18,false)</f>
        <v>#N/A</v>
      </c>
      <c r="E38" s="8">
        <f t="shared" si="1"/>
        <v>37</v>
      </c>
      <c r="F38" s="8"/>
      <c r="G38" s="8"/>
      <c r="H38" s="8"/>
      <c r="I38" s="8" t="str">
        <f>IFERROR(__xludf.DUMMYFUNCTION("""COMPUTED_VALUE"""),"Nohely Mejia")</f>
        <v>Nohely Mejia</v>
      </c>
      <c r="J38" s="8"/>
      <c r="K38" s="8"/>
    </row>
    <row r="39">
      <c r="A39" s="8"/>
      <c r="B39" s="8"/>
      <c r="C39" s="8" t="str">
        <f>VLOOKUP(A39,Current!B:S,18,false)</f>
        <v>#N/A</v>
      </c>
      <c r="E39" s="8">
        <f t="shared" si="1"/>
        <v>38</v>
      </c>
      <c r="F39" s="8"/>
      <c r="G39" s="8"/>
      <c r="H39" s="8"/>
      <c r="I39" s="8" t="str">
        <f>IFERROR(__xludf.DUMMYFUNCTION("""COMPUTED_VALUE"""),"Oscar Bonilla")</f>
        <v>Oscar Bonilla</v>
      </c>
      <c r="J39" s="8"/>
      <c r="K39" s="8"/>
    </row>
    <row r="40">
      <c r="A40" s="8"/>
      <c r="B40" s="8"/>
      <c r="C40" s="8" t="str">
        <f>VLOOKUP(A40,Current!B:S,18,false)</f>
        <v>#N/A</v>
      </c>
      <c r="E40" s="8">
        <f t="shared" si="1"/>
        <v>39</v>
      </c>
      <c r="F40" s="8"/>
      <c r="G40" s="8"/>
      <c r="H40" s="8"/>
      <c r="I40" s="8" t="str">
        <f>IFERROR(__xludf.DUMMYFUNCTION("""COMPUTED_VALUE"""),"Pavan Akkimsetty")</f>
        <v>Pavan Akkimsetty</v>
      </c>
      <c r="J40" s="8"/>
      <c r="K40" s="8"/>
    </row>
    <row r="41">
      <c r="A41" s="8"/>
      <c r="B41" s="8"/>
      <c r="C41" s="8" t="str">
        <f>VLOOKUP(A41,Current!B:S,18,false)</f>
        <v>#N/A</v>
      </c>
      <c r="E41" s="8">
        <f t="shared" si="1"/>
        <v>40</v>
      </c>
      <c r="F41" s="8"/>
      <c r="G41" s="8"/>
      <c r="H41" s="8"/>
      <c r="I41" s="8" t="str">
        <f>IFERROR(__xludf.DUMMYFUNCTION("""COMPUTED_VALUE"""),"Peter Cheng")</f>
        <v>Peter Cheng</v>
      </c>
      <c r="J41" s="8"/>
      <c r="K41" s="8"/>
    </row>
    <row r="42">
      <c r="A42" s="8"/>
      <c r="B42" s="8"/>
      <c r="C42" s="8" t="str">
        <f>VLOOKUP(A42,Current!B:S,18,false)</f>
        <v>#N/A</v>
      </c>
      <c r="E42" s="8">
        <f t="shared" si="1"/>
        <v>41</v>
      </c>
      <c r="F42" s="8"/>
      <c r="G42" s="8"/>
      <c r="H42" s="8"/>
      <c r="I42" s="8" t="str">
        <f>IFERROR(__xludf.DUMMYFUNCTION("""COMPUTED_VALUE"""),"Peter Homsey")</f>
        <v>Peter Homsey</v>
      </c>
      <c r="J42" s="8"/>
      <c r="K42" s="8"/>
    </row>
    <row r="43">
      <c r="A43" s="8"/>
      <c r="B43" s="8"/>
      <c r="C43" s="8" t="str">
        <f>VLOOKUP(A43,Current!B:S,18,false)</f>
        <v>#N/A</v>
      </c>
      <c r="E43" s="8">
        <f t="shared" si="1"/>
        <v>42</v>
      </c>
      <c r="F43" s="8"/>
      <c r="G43" s="8"/>
      <c r="H43" s="8"/>
      <c r="I43" s="8" t="str">
        <f>IFERROR(__xludf.DUMMYFUNCTION("""COMPUTED_VALUE"""),"Pulkit Mathur")</f>
        <v>Pulkit Mathur</v>
      </c>
      <c r="J43" s="8"/>
      <c r="K43" s="8"/>
    </row>
    <row r="44">
      <c r="A44" s="8"/>
      <c r="B44" s="8"/>
      <c r="C44" s="8" t="str">
        <f>VLOOKUP(A44,Current!B:S,18,false)</f>
        <v>#N/A</v>
      </c>
      <c r="E44" s="8">
        <f t="shared" si="1"/>
        <v>43</v>
      </c>
      <c r="F44" s="8"/>
      <c r="G44" s="8"/>
      <c r="H44" s="8"/>
      <c r="I44" s="8" t="str">
        <f>IFERROR(__xludf.DUMMYFUNCTION("""COMPUTED_VALUE"""),"Rajasekar Ramasamy")</f>
        <v>Rajasekar Ramasamy</v>
      </c>
      <c r="J44" s="8"/>
      <c r="K44" s="8"/>
    </row>
    <row r="45">
      <c r="A45" s="8"/>
      <c r="B45" s="8"/>
      <c r="C45" s="8" t="str">
        <f>VLOOKUP(A45,Current!B:S,18,false)</f>
        <v>#N/A</v>
      </c>
      <c r="E45" s="8">
        <f t="shared" si="1"/>
        <v>44</v>
      </c>
      <c r="F45" s="8"/>
      <c r="G45" s="8"/>
      <c r="H45" s="8"/>
      <c r="I45" s="8" t="str">
        <f>IFERROR(__xludf.DUMMYFUNCTION("""COMPUTED_VALUE"""),"Rajesh Dorairaj")</f>
        <v>Rajesh Dorairaj</v>
      </c>
      <c r="J45" s="8"/>
      <c r="K45" s="8"/>
    </row>
    <row r="46">
      <c r="A46" s="8"/>
      <c r="B46" s="8"/>
      <c r="C46" s="8" t="str">
        <f>VLOOKUP(A46,Current!B:S,18,false)</f>
        <v>#N/A</v>
      </c>
      <c r="E46" s="8">
        <f t="shared" si="1"/>
        <v>45</v>
      </c>
      <c r="F46" s="8"/>
      <c r="G46" s="8"/>
      <c r="H46" s="8"/>
      <c r="I46" s="8" t="str">
        <f>IFERROR(__xludf.DUMMYFUNCTION("""COMPUTED_VALUE"""),"Ramesh Bandaru")</f>
        <v>Ramesh Bandaru</v>
      </c>
      <c r="J46" s="8"/>
      <c r="K46" s="8"/>
    </row>
    <row r="47">
      <c r="A47" s="8"/>
      <c r="B47" s="8"/>
      <c r="C47" s="8" t="str">
        <f>VLOOKUP(A47,Current!B:S,18,false)</f>
        <v>#N/A</v>
      </c>
      <c r="E47" s="8">
        <f t="shared" si="1"/>
        <v>46</v>
      </c>
      <c r="F47" s="8"/>
      <c r="G47" s="8"/>
      <c r="H47" s="8"/>
      <c r="I47" s="8" t="str">
        <f>IFERROR(__xludf.DUMMYFUNCTION("""COMPUTED_VALUE"""),"Robert Chang")</f>
        <v>Robert Chang</v>
      </c>
      <c r="J47" s="8"/>
      <c r="K47" s="8"/>
    </row>
    <row r="48">
      <c r="A48" s="8"/>
      <c r="B48" s="8"/>
      <c r="C48" s="8" t="str">
        <f>VLOOKUP(A48,Current!B:S,18,false)</f>
        <v>#N/A</v>
      </c>
      <c r="E48" s="8">
        <f t="shared" si="1"/>
        <v>47</v>
      </c>
      <c r="F48" s="8"/>
      <c r="G48" s="8"/>
      <c r="H48" s="8"/>
      <c r="I48" s="8" t="str">
        <f>IFERROR(__xludf.DUMMYFUNCTION("""COMPUTED_VALUE"""),"Sai Dilip Ponnaganti")</f>
        <v>Sai Dilip Ponnaganti</v>
      </c>
      <c r="J48" s="8"/>
      <c r="K48" s="8"/>
    </row>
    <row r="49">
      <c r="A49" s="8"/>
      <c r="B49" s="8"/>
      <c r="C49" s="8" t="str">
        <f>VLOOKUP(A49,Current!B:S,18,false)</f>
        <v>#N/A</v>
      </c>
      <c r="E49" s="8">
        <f t="shared" si="1"/>
        <v>48</v>
      </c>
      <c r="F49" s="8"/>
      <c r="G49" s="8"/>
      <c r="H49" s="8"/>
      <c r="I49" s="8" t="str">
        <f>IFERROR(__xludf.DUMMYFUNCTION("""COMPUTED_VALUE"""),"Sandy Weyant")</f>
        <v>Sandy Weyant</v>
      </c>
      <c r="J49" s="8"/>
      <c r="K49" s="8"/>
    </row>
    <row r="50">
      <c r="A50" s="8"/>
      <c r="B50" s="8"/>
      <c r="C50" s="8" t="str">
        <f>VLOOKUP(A50,Current!B:S,18,false)</f>
        <v>#N/A</v>
      </c>
      <c r="E50" s="8">
        <f t="shared" si="1"/>
        <v>49</v>
      </c>
      <c r="F50" s="8"/>
      <c r="G50" s="8"/>
      <c r="H50" s="8"/>
      <c r="I50" s="8" t="str">
        <f>IFERROR(__xludf.DUMMYFUNCTION("""COMPUTED_VALUE"""),"Sanjaye Elayattu")</f>
        <v>Sanjaye Elayattu</v>
      </c>
      <c r="J50" s="8"/>
      <c r="K50" s="8"/>
    </row>
    <row r="51">
      <c r="A51" s="8"/>
      <c r="B51" s="8"/>
      <c r="C51" s="8" t="str">
        <f>VLOOKUP(A51,Current!B:S,18,false)</f>
        <v>#N/A</v>
      </c>
      <c r="E51" s="8">
        <f t="shared" si="1"/>
        <v>50</v>
      </c>
      <c r="F51" s="8"/>
      <c r="G51" s="8"/>
      <c r="H51" s="8"/>
      <c r="I51" s="8" t="str">
        <f>IFERROR(__xludf.DUMMYFUNCTION("""COMPUTED_VALUE"""),"Santosh Sundaresan ")</f>
        <v>Santosh Sundaresan </v>
      </c>
      <c r="J51" s="8"/>
      <c r="K51" s="8"/>
    </row>
    <row r="52">
      <c r="A52" s="8"/>
      <c r="B52" s="8"/>
      <c r="C52" s="8" t="str">
        <f>VLOOKUP(A52,Current!B:S,18,false)</f>
        <v>#N/A</v>
      </c>
      <c r="E52" s="8">
        <f t="shared" si="1"/>
        <v>51</v>
      </c>
      <c r="F52" s="8"/>
      <c r="G52" s="8"/>
      <c r="H52" s="8"/>
      <c r="I52" s="8" t="str">
        <f>IFERROR(__xludf.DUMMYFUNCTION("""COMPUTED_VALUE"""),"Saravanan Veerapandian")</f>
        <v>Saravanan Veerapandian</v>
      </c>
      <c r="J52" s="8"/>
      <c r="K52" s="8"/>
    </row>
    <row r="53">
      <c r="A53" s="8"/>
      <c r="B53" s="8"/>
      <c r="C53" s="8" t="str">
        <f>VLOOKUP(A53,Current!B:S,18,false)</f>
        <v>#N/A</v>
      </c>
      <c r="E53" s="8">
        <f t="shared" si="1"/>
        <v>52</v>
      </c>
      <c r="F53" s="8"/>
      <c r="G53" s="8"/>
      <c r="H53" s="8"/>
      <c r="I53" s="8" t="str">
        <f>IFERROR(__xludf.DUMMYFUNCTION("""COMPUTED_VALUE"""),"Scott Li")</f>
        <v>Scott Li</v>
      </c>
      <c r="J53" s="8"/>
      <c r="K53" s="8"/>
    </row>
    <row r="54">
      <c r="A54" s="8"/>
      <c r="B54" s="8"/>
      <c r="C54" s="8" t="str">
        <f>VLOOKUP(A54,Current!B:S,18,false)</f>
        <v>#N/A</v>
      </c>
      <c r="E54" s="8">
        <f t="shared" si="1"/>
        <v>53</v>
      </c>
      <c r="F54" s="8"/>
      <c r="G54" s="8"/>
      <c r="H54" s="8"/>
      <c r="I54" s="8" t="str">
        <f>IFERROR(__xludf.DUMMYFUNCTION("""COMPUTED_VALUE"""),"Sean Chang")</f>
        <v>Sean Chang</v>
      </c>
      <c r="J54" s="8"/>
      <c r="K54" s="8"/>
    </row>
    <row r="55">
      <c r="A55" s="8"/>
      <c r="B55" s="8"/>
      <c r="C55" s="8" t="str">
        <f>VLOOKUP(A55,Current!B:S,18,false)</f>
        <v>#N/A</v>
      </c>
      <c r="E55" s="8">
        <f t="shared" si="1"/>
        <v>54</v>
      </c>
      <c r="F55" s="8"/>
      <c r="G55" s="8"/>
      <c r="H55" s="8"/>
      <c r="I55" s="8" t="str">
        <f>IFERROR(__xludf.DUMMYFUNCTION("""COMPUTED_VALUE"""),"Suleman Alidina")</f>
        <v>Suleman Alidina</v>
      </c>
      <c r="J55" s="8"/>
      <c r="K55" s="8"/>
    </row>
    <row r="56">
      <c r="A56" s="8"/>
      <c r="B56" s="8"/>
      <c r="C56" s="8" t="str">
        <f>VLOOKUP(A56,Current!B:S,18,false)</f>
        <v>#N/A</v>
      </c>
      <c r="E56" s="8">
        <f t="shared" si="1"/>
        <v>55</v>
      </c>
      <c r="F56" s="8"/>
      <c r="G56" s="8"/>
      <c r="H56" s="8"/>
      <c r="I56" s="8" t="str">
        <f>IFERROR(__xludf.DUMMYFUNCTION("""COMPUTED_VALUE"""),"Susanta Mishra")</f>
        <v>Susanta Mishra</v>
      </c>
      <c r="J56" s="8"/>
      <c r="K56" s="8"/>
    </row>
    <row r="57">
      <c r="A57" s="8"/>
      <c r="B57" s="8"/>
      <c r="C57" s="8" t="str">
        <f>VLOOKUP(A57,Current!B:S,18,false)</f>
        <v>#N/A</v>
      </c>
      <c r="E57" s="8">
        <f t="shared" si="1"/>
        <v>56</v>
      </c>
      <c r="F57" s="8"/>
      <c r="G57" s="8"/>
      <c r="H57" s="8"/>
      <c r="I57" s="8" t="str">
        <f>IFERROR(__xludf.DUMMYFUNCTION("""COMPUTED_VALUE"""),"Ted Shen")</f>
        <v>Ted Shen</v>
      </c>
      <c r="J57" s="8"/>
      <c r="K57" s="8"/>
    </row>
    <row r="58">
      <c r="A58" s="8"/>
      <c r="B58" s="8"/>
      <c r="C58" s="8" t="str">
        <f>VLOOKUP(A58,Current!B:S,18,false)</f>
        <v>#N/A</v>
      </c>
      <c r="E58" s="8">
        <f t="shared" si="1"/>
        <v>57</v>
      </c>
      <c r="F58" s="8"/>
      <c r="G58" s="8"/>
      <c r="H58" s="8"/>
      <c r="I58" s="8" t="str">
        <f>IFERROR(__xludf.DUMMYFUNCTION("""COMPUTED_VALUE"""),"Tom Le")</f>
        <v>Tom Le</v>
      </c>
      <c r="J58" s="8"/>
      <c r="K58" s="8"/>
    </row>
    <row r="59">
      <c r="A59" s="8"/>
      <c r="B59" s="8"/>
      <c r="C59" s="8" t="str">
        <f>VLOOKUP(A59,Current!B:S,18,false)</f>
        <v>#N/A</v>
      </c>
      <c r="E59" s="8">
        <f t="shared" si="1"/>
        <v>58</v>
      </c>
      <c r="F59" s="8"/>
      <c r="G59" s="8"/>
      <c r="H59" s="8"/>
      <c r="I59" s="8" t="str">
        <f>IFERROR(__xludf.DUMMYFUNCTION("""COMPUTED_VALUE"""),"Tony Lin")</f>
        <v>Tony Lin</v>
      </c>
      <c r="J59" s="8"/>
      <c r="K59" s="8"/>
    </row>
    <row r="60">
      <c r="A60" s="8"/>
      <c r="B60" s="8"/>
      <c r="C60" s="8" t="str">
        <f>VLOOKUP(A60,Current!B:S,18,false)</f>
        <v>#N/A</v>
      </c>
      <c r="E60" s="8">
        <f t="shared" si="1"/>
        <v>59</v>
      </c>
      <c r="F60" s="8"/>
      <c r="G60" s="8"/>
      <c r="H60" s="8"/>
      <c r="I60" s="8" t="str">
        <f>IFERROR(__xludf.DUMMYFUNCTION("""COMPUTED_VALUE"""),"Trinath Goteti")</f>
        <v>Trinath Goteti</v>
      </c>
      <c r="J60" s="8"/>
      <c r="K60" s="8"/>
    </row>
    <row r="61">
      <c r="A61" s="8"/>
      <c r="B61" s="8"/>
      <c r="C61" s="8" t="str">
        <f>VLOOKUP(A61,Current!B:S,18,false)</f>
        <v>#N/A</v>
      </c>
      <c r="E61" s="8">
        <f t="shared" si="1"/>
        <v>60</v>
      </c>
      <c r="F61" s="8"/>
      <c r="G61" s="8"/>
      <c r="H61" s="8"/>
      <c r="I61" s="8" t="str">
        <f>IFERROR(__xludf.DUMMYFUNCTION("""COMPUTED_VALUE"""),"Trish Newlin")</f>
        <v>Trish Newlin</v>
      </c>
      <c r="J61" s="8"/>
      <c r="K61" s="8"/>
    </row>
    <row r="62">
      <c r="A62" s="8"/>
      <c r="B62" s="8"/>
      <c r="C62" s="8" t="str">
        <f>VLOOKUP(A62,Current!B:S,18,false)</f>
        <v>#N/A</v>
      </c>
      <c r="E62" s="8">
        <f t="shared" si="1"/>
        <v>61</v>
      </c>
      <c r="F62" s="8"/>
      <c r="G62" s="8"/>
      <c r="H62" s="8"/>
      <c r="I62" s="8" t="str">
        <f>IFERROR(__xludf.DUMMYFUNCTION("""COMPUTED_VALUE"""),"Troy Wong")</f>
        <v>Troy Wong</v>
      </c>
      <c r="J62" s="8"/>
      <c r="K62" s="8"/>
    </row>
    <row r="63">
      <c r="A63" s="8"/>
      <c r="B63" s="8"/>
      <c r="C63" s="8" t="str">
        <f>VLOOKUP(A63,Current!B:S,18,false)</f>
        <v>#N/A</v>
      </c>
      <c r="E63" s="8">
        <f t="shared" si="1"/>
        <v>62</v>
      </c>
      <c r="F63" s="8"/>
      <c r="G63" s="8"/>
      <c r="H63" s="8"/>
      <c r="I63" s="8" t="str">
        <f>IFERROR(__xludf.DUMMYFUNCTION("""COMPUTED_VALUE"""),"Vinaya Kajla")</f>
        <v>Vinaya Kajla</v>
      </c>
      <c r="J63" s="8"/>
      <c r="K63" s="8"/>
    </row>
    <row r="64">
      <c r="A64" s="8"/>
      <c r="B64" s="8"/>
      <c r="C64" s="8" t="str">
        <f>VLOOKUP(A64,Current!B:S,18,false)</f>
        <v>#N/A</v>
      </c>
      <c r="E64" s="8">
        <f t="shared" si="1"/>
        <v>63</v>
      </c>
      <c r="F64" s="8"/>
      <c r="G64" s="8"/>
      <c r="H64" s="8"/>
      <c r="I64" s="8" t="str">
        <f>IFERROR(__xludf.DUMMYFUNCTION("""COMPUTED_VALUE"""),"Vinz Solano")</f>
        <v>Vinz Solano</v>
      </c>
      <c r="J64" s="8"/>
      <c r="K64" s="8"/>
    </row>
    <row r="65">
      <c r="A65" s="8"/>
      <c r="B65" s="8"/>
      <c r="C65" s="8" t="str">
        <f>VLOOKUP(A65,Current!B:S,18,false)</f>
        <v>#N/A</v>
      </c>
      <c r="E65" s="8">
        <f t="shared" si="1"/>
        <v>64</v>
      </c>
      <c r="F65" s="8"/>
      <c r="G65" s="8"/>
      <c r="H65" s="8"/>
      <c r="I65" s="8" t="str">
        <f>IFERROR(__xludf.DUMMYFUNCTION("""COMPUTED_VALUE"""),"Vishnu Amarnath")</f>
        <v>Vishnu Amarnath</v>
      </c>
      <c r="J65" s="8"/>
      <c r="K65" s="8"/>
    </row>
    <row r="66">
      <c r="A66" s="8"/>
      <c r="B66" s="8"/>
      <c r="C66" s="8" t="str">
        <f>VLOOKUP(A66,Current!B:S,18,false)</f>
        <v>#N/A</v>
      </c>
      <c r="E66" s="8">
        <f t="shared" si="1"/>
        <v>65</v>
      </c>
      <c r="F66" s="8"/>
      <c r="G66" s="8"/>
      <c r="H66" s="8"/>
      <c r="I66" s="8" t="str">
        <f>IFERROR(__xludf.DUMMYFUNCTION("""COMPUTED_VALUE"""),"Wayne Liu")</f>
        <v>Wayne Liu</v>
      </c>
      <c r="J66" s="8"/>
      <c r="K66" s="8"/>
    </row>
    <row r="67">
      <c r="A67" s="8"/>
      <c r="B67" s="8"/>
      <c r="C67" s="8" t="str">
        <f>VLOOKUP(A67,Current!B:S,18,false)</f>
        <v>#N/A</v>
      </c>
      <c r="E67" s="8">
        <f t="shared" si="1"/>
        <v>66</v>
      </c>
      <c r="F67" s="8"/>
      <c r="G67" s="8"/>
      <c r="H67" s="8"/>
      <c r="I67" s="8"/>
      <c r="J67" s="8"/>
      <c r="K67" s="8"/>
    </row>
  </sheetData>
  <conditionalFormatting sqref="P8">
    <cfRule type="expression" dxfId="1" priority="1">
      <formula>W11 = 1</formula>
    </cfRule>
  </conditionalFormatting>
  <conditionalFormatting sqref="K2">
    <cfRule type="expression" dxfId="1" priority="2">
      <formula>M2&lt;&gt;""</formula>
    </cfRule>
  </conditionalFormatting>
  <conditionalFormatting sqref="K3">
    <cfRule type="expression" dxfId="1" priority="3">
      <formula>M3&lt;&gt;""</formula>
    </cfRule>
  </conditionalFormatting>
  <conditionalFormatting sqref="K4">
    <cfRule type="expression" dxfId="1" priority="4">
      <formula>M4&lt;&gt;""</formula>
    </cfRule>
  </conditionalFormatting>
  <conditionalFormatting sqref="K5">
    <cfRule type="expression" dxfId="1" priority="5">
      <formula>M5&lt;&gt;""</formula>
    </cfRule>
  </conditionalFormatting>
  <conditionalFormatting sqref="K6">
    <cfRule type="expression" dxfId="1" priority="6">
      <formula>M6&lt;&gt;""</formula>
    </cfRule>
  </conditionalFormatting>
  <conditionalFormatting sqref="K7">
    <cfRule type="expression" dxfId="1" priority="7">
      <formula>M7&lt;&gt;""</formula>
    </cfRule>
  </conditionalFormatting>
  <conditionalFormatting sqref="K8">
    <cfRule type="expression" dxfId="1" priority="8">
      <formula>M8&lt;&gt;""</formula>
    </cfRule>
  </conditionalFormatting>
  <conditionalFormatting sqref="K9">
    <cfRule type="expression" dxfId="1" priority="9">
      <formula>M9&lt;&gt;""</formula>
    </cfRule>
  </conditionalFormatting>
  <conditionalFormatting sqref="K10">
    <cfRule type="expression" dxfId="1" priority="10">
      <formula>M10&lt;&gt;""</formula>
    </cfRule>
  </conditionalFormatting>
  <conditionalFormatting sqref="K11">
    <cfRule type="expression" dxfId="1" priority="11">
      <formula>M11&lt;&gt;""</formula>
    </cfRule>
  </conditionalFormatting>
  <conditionalFormatting sqref="K12">
    <cfRule type="expression" dxfId="1" priority="12">
      <formula>M12&lt;&gt;""</formula>
    </cfRule>
  </conditionalFormatting>
  <conditionalFormatting sqref="K13">
    <cfRule type="expression" dxfId="1" priority="13">
      <formula>M13&lt;&gt;""</formula>
    </cfRule>
  </conditionalFormatting>
  <conditionalFormatting sqref="K14">
    <cfRule type="expression" dxfId="1" priority="14">
      <formula>M14&lt;&gt;""</formula>
    </cfRule>
  </conditionalFormatting>
  <conditionalFormatting sqref="K15">
    <cfRule type="expression" dxfId="2" priority="15">
      <formula>M15&lt;&gt;""</formula>
    </cfRule>
  </conditionalFormatting>
  <conditionalFormatting sqref="K16">
    <cfRule type="expression" dxfId="1" priority="16">
      <formula>M16&lt;&gt;""</formula>
    </cfRule>
  </conditionalFormatting>
  <conditionalFormatting sqref="K17">
    <cfRule type="expression" dxfId="1" priority="17">
      <formula>M17&lt;&gt;""</formula>
    </cfRule>
  </conditionalFormatting>
  <conditionalFormatting sqref="K18">
    <cfRule type="expression" dxfId="1" priority="18">
      <formula>M18&lt;&gt;""</formula>
    </cfRule>
  </conditionalFormatting>
  <conditionalFormatting sqref="K19">
    <cfRule type="expression" dxfId="1" priority="19">
      <formula>M19&lt;&gt;""</formula>
    </cfRule>
  </conditionalFormatting>
  <conditionalFormatting sqref="K20">
    <cfRule type="expression" dxfId="1" priority="20">
      <formula>M20&lt;&gt;""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4" width="15.88"/>
  </cols>
  <sheetData>
    <row r="1">
      <c r="A1" s="5" t="str">
        <f>IFERROR(__xludf.DUMMYFUNCTION("IMPORTRANGE(""1vk67ABbS4TvdE0gnpv39mwReeTC8qhP2vyc266Yeuy8"",""Waitlist!A1:D99"")"),"#REF!")</f>
        <v>#REF!</v>
      </c>
      <c r="B1" s="1"/>
      <c r="C1" s="1"/>
      <c r="D1" s="1"/>
    </row>
    <row r="2">
      <c r="A2" s="8"/>
      <c r="B2" s="8"/>
      <c r="C2" s="8"/>
      <c r="D2" s="8"/>
    </row>
    <row r="3">
      <c r="A3" s="8"/>
      <c r="B3" s="8"/>
      <c r="C3" s="8"/>
      <c r="D3" s="8"/>
    </row>
    <row r="4">
      <c r="A4" s="8"/>
      <c r="B4" s="8"/>
      <c r="C4" s="8"/>
      <c r="D4" s="8"/>
      <c r="G4" s="10" t="s">
        <v>21</v>
      </c>
    </row>
    <row r="5">
      <c r="A5" s="8"/>
      <c r="B5" s="8"/>
      <c r="C5" s="8"/>
      <c r="D5" s="8"/>
      <c r="G5" s="15" t="s">
        <v>22</v>
      </c>
    </row>
    <row r="6">
      <c r="A6" s="8"/>
      <c r="B6" s="8"/>
      <c r="C6" s="8"/>
      <c r="D6" s="8"/>
    </row>
    <row r="7">
      <c r="A7" s="8"/>
      <c r="B7" s="8"/>
      <c r="C7" s="8"/>
      <c r="D7" s="8"/>
    </row>
    <row r="8">
      <c r="A8" s="8"/>
      <c r="B8" s="8"/>
      <c r="C8" s="8"/>
      <c r="D8" s="8"/>
    </row>
    <row r="9">
      <c r="A9" s="8"/>
      <c r="B9" s="8"/>
      <c r="C9" s="8"/>
      <c r="D9" s="8"/>
    </row>
    <row r="10">
      <c r="A10" s="8"/>
      <c r="B10" s="8"/>
      <c r="C10" s="8"/>
      <c r="D10" s="8"/>
    </row>
    <row r="11">
      <c r="A11" s="8"/>
      <c r="B11" s="8"/>
      <c r="C11" s="8"/>
      <c r="D11" s="8"/>
    </row>
    <row r="12">
      <c r="A12" s="8"/>
      <c r="B12" s="8"/>
      <c r="C12" s="8"/>
      <c r="D12" s="8"/>
    </row>
    <row r="13">
      <c r="A13" s="8"/>
      <c r="B13" s="8"/>
      <c r="C13" s="8"/>
      <c r="D13" s="8"/>
    </row>
    <row r="14">
      <c r="A14" s="8"/>
      <c r="B14" s="8"/>
      <c r="C14" s="8"/>
      <c r="D14" s="8"/>
    </row>
    <row r="15">
      <c r="A15" s="8"/>
      <c r="B15" s="8"/>
      <c r="C15" s="8"/>
      <c r="D15" s="8"/>
    </row>
    <row r="16">
      <c r="A16" s="8"/>
      <c r="B16" s="8"/>
      <c r="C16" s="8"/>
      <c r="D16" s="8"/>
    </row>
    <row r="17">
      <c r="A17" s="8"/>
      <c r="B17" s="8"/>
      <c r="C17" s="8"/>
      <c r="D17" s="8"/>
    </row>
    <row r="18">
      <c r="A18" s="8"/>
      <c r="B18" s="8"/>
      <c r="C18" s="8"/>
      <c r="D18" s="8"/>
    </row>
    <row r="19">
      <c r="A19" s="8"/>
      <c r="B19" s="8"/>
      <c r="C19" s="8"/>
      <c r="D19" s="8"/>
    </row>
    <row r="20">
      <c r="A20" s="8"/>
      <c r="B20" s="8"/>
      <c r="C20" s="8"/>
      <c r="D20" s="8"/>
    </row>
    <row r="21">
      <c r="A21" s="8"/>
      <c r="B21" s="8"/>
      <c r="C21" s="8"/>
      <c r="D21" s="8"/>
    </row>
    <row r="22">
      <c r="A22" s="8"/>
      <c r="B22" s="8"/>
      <c r="C22" s="8"/>
      <c r="D22" s="8"/>
    </row>
    <row r="23">
      <c r="A23" s="8"/>
      <c r="B23" s="8"/>
      <c r="C23" s="8"/>
      <c r="D23" s="8"/>
    </row>
    <row r="24">
      <c r="A24" s="8"/>
      <c r="B24" s="8"/>
      <c r="C24" s="8"/>
      <c r="D24" s="8"/>
    </row>
    <row r="25">
      <c r="A25" s="8"/>
      <c r="B25" s="8"/>
      <c r="C25" s="8"/>
      <c r="D25" s="8"/>
    </row>
    <row r="26">
      <c r="A26" s="8"/>
      <c r="B26" s="8"/>
      <c r="C26" s="8"/>
      <c r="D26" s="8"/>
    </row>
  </sheetData>
  <hyperlinks>
    <hyperlink r:id="rId1" ref="G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13">
        <v>45654.0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26.0</v>
      </c>
      <c r="E2" s="11"/>
      <c r="F2" s="11"/>
      <c r="AB2" s="20" t="str">
        <f>text(C1-7,"mm/dd/yy")</f>
        <v>12/21/24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46">
        <v>392.0</v>
      </c>
      <c r="D5" s="46">
        <v>47.0</v>
      </c>
      <c r="E5" s="35">
        <f t="shared" ref="E5:E69" si="2">(C5-(U5*9)-(S5*13))/($D$2-U5-S5)</f>
        <v>17.33333333</v>
      </c>
      <c r="F5" s="37">
        <v>4.0</v>
      </c>
      <c r="G5" s="39">
        <v>0.0</v>
      </c>
      <c r="H5" s="40">
        <v>9.0</v>
      </c>
      <c r="I5" s="39">
        <v>0.0</v>
      </c>
      <c r="J5" s="39">
        <v>0.0</v>
      </c>
      <c r="K5" s="39">
        <v>0.0</v>
      </c>
      <c r="L5" s="42">
        <v>9.0</v>
      </c>
      <c r="M5" s="39">
        <v>0.0</v>
      </c>
      <c r="N5" s="32">
        <f t="shared" ref="N5:O5" si="1">C5+L5</f>
        <v>401</v>
      </c>
      <c r="O5" s="32">
        <f t="shared" si="1"/>
        <v>47</v>
      </c>
      <c r="P5" s="43" t="s">
        <v>53</v>
      </c>
      <c r="Q5" s="43" t="s">
        <v>53</v>
      </c>
      <c r="R5" s="43" t="s">
        <v>53</v>
      </c>
      <c r="S5" s="39">
        <f t="shared" ref="S5:S69" si="4">if(H5=13,1,0)+VLOOKUP(B5,indirect($AB$2&amp;"!B:T"),18,false)</f>
        <v>2</v>
      </c>
      <c r="T5" s="39"/>
      <c r="U5" s="39">
        <f t="shared" ref="U5:U69" si="5">if(H5=9,1,0)+VLOOKUP(B5,indirect($AB$2&amp;"!B:U"),20,false)</f>
        <v>6</v>
      </c>
      <c r="V5" s="39">
        <f t="shared" ref="V5:V65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31" t="s">
        <v>57</v>
      </c>
      <c r="C6" s="46">
        <v>336.0</v>
      </c>
      <c r="D6" s="46">
        <v>28.0</v>
      </c>
      <c r="E6" s="35">
        <f t="shared" si="2"/>
        <v>14</v>
      </c>
      <c r="F6" s="37">
        <v>1.0</v>
      </c>
      <c r="G6" s="39">
        <v>1.0</v>
      </c>
      <c r="H6" s="40">
        <v>0.0</v>
      </c>
      <c r="I6" s="39">
        <v>6.0</v>
      </c>
      <c r="J6" s="39">
        <v>5.0</v>
      </c>
      <c r="K6" s="39">
        <v>7.0</v>
      </c>
      <c r="L6" s="42">
        <v>18.0</v>
      </c>
      <c r="M6" s="39">
        <v>2.0</v>
      </c>
      <c r="N6" s="32">
        <f t="shared" ref="N6:O6" si="3">C6+L6</f>
        <v>354</v>
      </c>
      <c r="O6" s="32">
        <f t="shared" si="3"/>
        <v>30</v>
      </c>
      <c r="P6" s="43" t="s">
        <v>53</v>
      </c>
      <c r="Q6" s="43" t="s">
        <v>53</v>
      </c>
      <c r="R6" s="43" t="s">
        <v>53</v>
      </c>
      <c r="S6" s="39">
        <f t="shared" si="4"/>
        <v>3</v>
      </c>
      <c r="T6" s="39"/>
      <c r="U6" s="39">
        <f t="shared" si="5"/>
        <v>5</v>
      </c>
      <c r="V6" s="39">
        <f t="shared" si="6"/>
        <v>1</v>
      </c>
      <c r="W6" s="30">
        <f t="shared" ref="W6:W69" si="9">W5+1</f>
        <v>2</v>
      </c>
    </row>
    <row r="7">
      <c r="A7" s="30">
        <f t="shared" si="7"/>
        <v>3</v>
      </c>
      <c r="B7" s="31" t="s">
        <v>61</v>
      </c>
      <c r="C7" s="46">
        <v>331.0</v>
      </c>
      <c r="D7" s="46">
        <v>32.0</v>
      </c>
      <c r="E7" s="35">
        <f t="shared" si="2"/>
        <v>14.10526316</v>
      </c>
      <c r="F7" s="37">
        <v>1.0</v>
      </c>
      <c r="G7" s="39">
        <v>1.0</v>
      </c>
      <c r="H7" s="40">
        <v>0.0</v>
      </c>
      <c r="I7" s="39">
        <v>6.0</v>
      </c>
      <c r="J7" s="39">
        <v>7.0</v>
      </c>
      <c r="K7" s="39">
        <v>6.0</v>
      </c>
      <c r="L7" s="42">
        <v>19.0</v>
      </c>
      <c r="M7" s="39">
        <v>2.0</v>
      </c>
      <c r="N7" s="32">
        <f t="shared" ref="N7:O7" si="8">C7+L7</f>
        <v>350</v>
      </c>
      <c r="O7" s="32">
        <f t="shared" si="8"/>
        <v>34</v>
      </c>
      <c r="P7" s="43" t="s">
        <v>53</v>
      </c>
      <c r="Q7" s="43" t="s">
        <v>53</v>
      </c>
      <c r="R7" s="43" t="s">
        <v>53</v>
      </c>
      <c r="S7" s="39">
        <f t="shared" si="4"/>
        <v>0</v>
      </c>
      <c r="T7" s="39"/>
      <c r="U7" s="39">
        <f t="shared" si="5"/>
        <v>7</v>
      </c>
      <c r="V7" s="39">
        <f t="shared" si="6"/>
        <v>1</v>
      </c>
      <c r="W7" s="30">
        <f t="shared" si="9"/>
        <v>3</v>
      </c>
    </row>
    <row r="8">
      <c r="A8" s="30">
        <f t="shared" si="7"/>
        <v>4</v>
      </c>
      <c r="B8" s="31" t="s">
        <v>71</v>
      </c>
      <c r="C8" s="46">
        <v>331.0</v>
      </c>
      <c r="D8" s="46">
        <v>30.0</v>
      </c>
      <c r="E8" s="35">
        <f t="shared" si="2"/>
        <v>13.04347826</v>
      </c>
      <c r="F8" s="37">
        <v>1.0</v>
      </c>
      <c r="G8" s="39">
        <v>1.0</v>
      </c>
      <c r="H8" s="40">
        <v>0.0</v>
      </c>
      <c r="I8" s="39">
        <v>0.0</v>
      </c>
      <c r="J8" s="39">
        <v>7.0</v>
      </c>
      <c r="K8" s="39">
        <v>7.0</v>
      </c>
      <c r="L8" s="42">
        <v>14.0</v>
      </c>
      <c r="M8" s="39">
        <v>2.0</v>
      </c>
      <c r="N8" s="32">
        <f t="shared" ref="N8:O8" si="10">C8+L8</f>
        <v>345</v>
      </c>
      <c r="O8" s="32">
        <f t="shared" si="10"/>
        <v>32</v>
      </c>
      <c r="P8" s="43" t="s">
        <v>53</v>
      </c>
      <c r="Q8" s="43" t="s">
        <v>53</v>
      </c>
      <c r="R8" s="43" t="s">
        <v>53</v>
      </c>
      <c r="S8" s="39">
        <f t="shared" si="4"/>
        <v>1</v>
      </c>
      <c r="T8" s="39"/>
      <c r="U8" s="39">
        <f t="shared" si="5"/>
        <v>2</v>
      </c>
      <c r="V8" s="39">
        <f t="shared" si="6"/>
        <v>6</v>
      </c>
      <c r="W8" s="30">
        <f t="shared" si="9"/>
        <v>4</v>
      </c>
    </row>
    <row r="9">
      <c r="A9" s="30">
        <f t="shared" si="7"/>
        <v>5</v>
      </c>
      <c r="B9" s="51" t="s">
        <v>78</v>
      </c>
      <c r="C9" s="46">
        <v>329.0</v>
      </c>
      <c r="D9" s="46">
        <v>31.0</v>
      </c>
      <c r="E9" s="35">
        <f t="shared" si="2"/>
        <v>12.95833333</v>
      </c>
      <c r="F9" s="37">
        <v>3.0</v>
      </c>
      <c r="G9" s="39">
        <v>0.0</v>
      </c>
      <c r="H9" s="40">
        <v>9.0</v>
      </c>
      <c r="I9" s="39">
        <v>0.0</v>
      </c>
      <c r="J9" s="39">
        <v>0.0</v>
      </c>
      <c r="K9" s="39">
        <v>0.0</v>
      </c>
      <c r="L9" s="42">
        <v>9.0</v>
      </c>
      <c r="M9" s="39">
        <v>0.0</v>
      </c>
      <c r="N9" s="32">
        <f t="shared" ref="N9:O9" si="11">C9+L9</f>
        <v>338</v>
      </c>
      <c r="O9" s="32">
        <f t="shared" si="11"/>
        <v>31</v>
      </c>
      <c r="P9" s="43" t="s">
        <v>53</v>
      </c>
      <c r="Q9" s="43" t="s">
        <v>53</v>
      </c>
      <c r="R9" s="43" t="s">
        <v>53</v>
      </c>
      <c r="S9" s="39">
        <f t="shared" si="4"/>
        <v>0</v>
      </c>
      <c r="T9" s="39"/>
      <c r="U9" s="39">
        <f t="shared" si="5"/>
        <v>2</v>
      </c>
      <c r="V9" s="39">
        <f t="shared" si="6"/>
        <v>0</v>
      </c>
      <c r="W9" s="30">
        <f t="shared" si="9"/>
        <v>5</v>
      </c>
    </row>
    <row r="10">
      <c r="A10" s="30">
        <f t="shared" si="7"/>
        <v>6</v>
      </c>
      <c r="B10" s="56" t="s">
        <v>65</v>
      </c>
      <c r="C10" s="46">
        <v>329.0</v>
      </c>
      <c r="D10" s="46">
        <v>25.0</v>
      </c>
      <c r="E10" s="35">
        <f t="shared" si="2"/>
        <v>13.55</v>
      </c>
      <c r="F10" s="37">
        <v>1.0</v>
      </c>
      <c r="G10" s="39">
        <v>1.0</v>
      </c>
      <c r="H10" s="40">
        <v>0.0</v>
      </c>
      <c r="I10" s="39">
        <v>0.0</v>
      </c>
      <c r="J10" s="39">
        <v>5.0</v>
      </c>
      <c r="K10" s="39">
        <v>6.0</v>
      </c>
      <c r="L10" s="42">
        <v>11.0</v>
      </c>
      <c r="M10" s="39">
        <v>0.0</v>
      </c>
      <c r="N10" s="32">
        <f t="shared" ref="N10:O10" si="12">C10+L10</f>
        <v>340</v>
      </c>
      <c r="O10" s="32">
        <f t="shared" si="12"/>
        <v>25</v>
      </c>
      <c r="P10" s="43" t="s">
        <v>53</v>
      </c>
      <c r="Q10" s="43" t="s">
        <v>53</v>
      </c>
      <c r="R10" s="43" t="s">
        <v>53</v>
      </c>
      <c r="S10" s="39">
        <f t="shared" si="4"/>
        <v>1</v>
      </c>
      <c r="T10" s="39"/>
      <c r="U10" s="39">
        <f t="shared" si="5"/>
        <v>5</v>
      </c>
      <c r="V10" s="39">
        <f t="shared" si="6"/>
        <v>0</v>
      </c>
      <c r="W10" s="30">
        <f t="shared" si="9"/>
        <v>6</v>
      </c>
    </row>
    <row r="11">
      <c r="A11" s="30">
        <f t="shared" si="7"/>
        <v>7</v>
      </c>
      <c r="B11" s="31" t="s">
        <v>82</v>
      </c>
      <c r="C11" s="46">
        <v>327.0</v>
      </c>
      <c r="D11" s="46">
        <v>27.0</v>
      </c>
      <c r="E11" s="35">
        <f t="shared" si="2"/>
        <v>15.53846154</v>
      </c>
      <c r="F11" s="37">
        <v>3.0</v>
      </c>
      <c r="G11" s="39">
        <v>0.0</v>
      </c>
      <c r="H11" s="40">
        <v>9.0</v>
      </c>
      <c r="I11" s="39">
        <v>0.0</v>
      </c>
      <c r="J11" s="39">
        <v>0.0</v>
      </c>
      <c r="K11" s="39">
        <v>0.0</v>
      </c>
      <c r="L11" s="42">
        <v>9.0</v>
      </c>
      <c r="M11" s="39">
        <v>0.0</v>
      </c>
      <c r="N11" s="32">
        <f t="shared" ref="N11:O11" si="13">C11+L11</f>
        <v>336</v>
      </c>
      <c r="O11" s="32">
        <f t="shared" si="13"/>
        <v>27</v>
      </c>
      <c r="P11" s="43" t="s">
        <v>53</v>
      </c>
      <c r="Q11" s="43" t="s">
        <v>53</v>
      </c>
      <c r="R11" s="43" t="s">
        <v>53</v>
      </c>
      <c r="S11" s="39">
        <f t="shared" si="4"/>
        <v>2</v>
      </c>
      <c r="T11" s="39"/>
      <c r="U11" s="39">
        <f t="shared" si="5"/>
        <v>11</v>
      </c>
      <c r="V11" s="39">
        <f t="shared" si="6"/>
        <v>-5</v>
      </c>
      <c r="W11" s="30">
        <f t="shared" si="9"/>
        <v>7</v>
      </c>
    </row>
    <row r="12">
      <c r="A12" s="30">
        <f t="shared" si="7"/>
        <v>8</v>
      </c>
      <c r="B12" s="51" t="s">
        <v>54</v>
      </c>
      <c r="C12" s="46">
        <v>326.0</v>
      </c>
      <c r="D12" s="46">
        <v>31.0</v>
      </c>
      <c r="E12" s="35">
        <f t="shared" si="2"/>
        <v>13.4</v>
      </c>
      <c r="F12" s="37">
        <v>1.0</v>
      </c>
      <c r="G12" s="39">
        <v>2.0</v>
      </c>
      <c r="H12" s="40">
        <v>0.0</v>
      </c>
      <c r="I12" s="39">
        <v>5.0</v>
      </c>
      <c r="J12" s="39">
        <v>6.0</v>
      </c>
      <c r="K12" s="39">
        <v>5.0</v>
      </c>
      <c r="L12" s="42">
        <v>16.0</v>
      </c>
      <c r="M12" s="39">
        <v>1.0</v>
      </c>
      <c r="N12" s="32">
        <f t="shared" ref="N12:O12" si="14">C12+L12</f>
        <v>342</v>
      </c>
      <c r="O12" s="32">
        <f t="shared" si="14"/>
        <v>32</v>
      </c>
      <c r="P12" s="43" t="s">
        <v>53</v>
      </c>
      <c r="Q12" s="43" t="s">
        <v>53</v>
      </c>
      <c r="R12" s="43" t="s">
        <v>53</v>
      </c>
      <c r="S12" s="39">
        <f t="shared" si="4"/>
        <v>1</v>
      </c>
      <c r="T12" s="39"/>
      <c r="U12" s="39">
        <f t="shared" si="5"/>
        <v>5</v>
      </c>
      <c r="V12" s="39">
        <f t="shared" si="6"/>
        <v>-1</v>
      </c>
      <c r="W12" s="30">
        <f t="shared" si="9"/>
        <v>8</v>
      </c>
    </row>
    <row r="13">
      <c r="A13" s="30">
        <f t="shared" si="7"/>
        <v>9</v>
      </c>
      <c r="B13" s="31" t="s">
        <v>63</v>
      </c>
      <c r="C13" s="46">
        <v>326.0</v>
      </c>
      <c r="D13" s="46">
        <v>29.0</v>
      </c>
      <c r="E13" s="35">
        <f t="shared" si="2"/>
        <v>16</v>
      </c>
      <c r="F13" s="37">
        <v>1.0</v>
      </c>
      <c r="G13" s="39">
        <v>2.0</v>
      </c>
      <c r="H13" s="40">
        <v>0.0</v>
      </c>
      <c r="I13" s="39">
        <v>7.0</v>
      </c>
      <c r="J13" s="39">
        <v>6.0</v>
      </c>
      <c r="K13" s="39">
        <v>7.0</v>
      </c>
      <c r="L13" s="42">
        <v>20.0</v>
      </c>
      <c r="M13" s="39">
        <v>3.0</v>
      </c>
      <c r="N13" s="32">
        <f t="shared" ref="N13:O13" si="15">C13+L13</f>
        <v>346</v>
      </c>
      <c r="O13" s="32">
        <f t="shared" si="15"/>
        <v>32</v>
      </c>
      <c r="P13" s="43" t="s">
        <v>53</v>
      </c>
      <c r="Q13" s="43" t="s">
        <v>53</v>
      </c>
      <c r="R13" s="43" t="s">
        <v>53</v>
      </c>
      <c r="S13" s="39">
        <f t="shared" si="4"/>
        <v>2</v>
      </c>
      <c r="T13" s="39"/>
      <c r="U13" s="39">
        <f t="shared" si="5"/>
        <v>12</v>
      </c>
      <c r="V13" s="39">
        <f t="shared" si="6"/>
        <v>4</v>
      </c>
      <c r="W13" s="30">
        <f t="shared" si="9"/>
        <v>9</v>
      </c>
    </row>
    <row r="14">
      <c r="A14" s="30">
        <f t="shared" si="7"/>
        <v>10</v>
      </c>
      <c r="B14" s="31" t="s">
        <v>34</v>
      </c>
      <c r="C14" s="46">
        <v>325.0</v>
      </c>
      <c r="D14" s="46">
        <v>34.0</v>
      </c>
      <c r="E14" s="35">
        <f t="shared" si="2"/>
        <v>13.78947368</v>
      </c>
      <c r="F14" s="37">
        <v>3.0</v>
      </c>
      <c r="G14" s="39">
        <v>0.0</v>
      </c>
      <c r="H14" s="40">
        <v>9.0</v>
      </c>
      <c r="I14" s="39">
        <v>0.0</v>
      </c>
      <c r="J14" s="39">
        <v>0.0</v>
      </c>
      <c r="K14" s="39">
        <v>0.0</v>
      </c>
      <c r="L14" s="42">
        <v>9.0</v>
      </c>
      <c r="M14" s="39">
        <v>0.0</v>
      </c>
      <c r="N14" s="32">
        <f t="shared" ref="N14:O14" si="16">C14+L14</f>
        <v>334</v>
      </c>
      <c r="O14" s="32">
        <f t="shared" si="16"/>
        <v>34</v>
      </c>
      <c r="P14" s="43" t="s">
        <v>53</v>
      </c>
      <c r="Q14" s="43" t="s">
        <v>53</v>
      </c>
      <c r="R14" s="43" t="s">
        <v>53</v>
      </c>
      <c r="S14" s="39">
        <f t="shared" si="4"/>
        <v>0</v>
      </c>
      <c r="T14" s="39"/>
      <c r="U14" s="39">
        <f t="shared" si="5"/>
        <v>7</v>
      </c>
      <c r="V14" s="39">
        <f t="shared" si="6"/>
        <v>-1</v>
      </c>
      <c r="W14" s="30">
        <f t="shared" si="9"/>
        <v>10</v>
      </c>
    </row>
    <row r="15">
      <c r="A15" s="30">
        <f t="shared" si="7"/>
        <v>11</v>
      </c>
      <c r="B15" s="31" t="s">
        <v>83</v>
      </c>
      <c r="C15" s="46">
        <v>324.0</v>
      </c>
      <c r="D15" s="46">
        <v>26.0</v>
      </c>
      <c r="E15" s="35">
        <f t="shared" si="2"/>
        <v>14.625</v>
      </c>
      <c r="F15" s="37">
        <v>3.0</v>
      </c>
      <c r="G15" s="39">
        <v>0.0</v>
      </c>
      <c r="H15" s="40">
        <v>9.0</v>
      </c>
      <c r="I15" s="39">
        <v>0.0</v>
      </c>
      <c r="J15" s="39">
        <v>0.0</v>
      </c>
      <c r="K15" s="39">
        <v>0.0</v>
      </c>
      <c r="L15" s="42">
        <v>9.0</v>
      </c>
      <c r="M15" s="39">
        <v>0.0</v>
      </c>
      <c r="N15" s="32">
        <f t="shared" ref="N15:O15" si="17">C15+L15</f>
        <v>333</v>
      </c>
      <c r="O15" s="32">
        <f t="shared" si="17"/>
        <v>26</v>
      </c>
      <c r="P15" s="43" t="s">
        <v>53</v>
      </c>
      <c r="Q15" s="43" t="s">
        <v>53</v>
      </c>
      <c r="R15" s="43" t="s">
        <v>53</v>
      </c>
      <c r="S15" s="39">
        <f t="shared" si="4"/>
        <v>0</v>
      </c>
      <c r="T15" s="39"/>
      <c r="U15" s="39">
        <f t="shared" si="5"/>
        <v>10</v>
      </c>
      <c r="V15" s="39">
        <f t="shared" si="6"/>
        <v>1</v>
      </c>
      <c r="W15" s="30">
        <f t="shared" si="9"/>
        <v>11</v>
      </c>
    </row>
    <row r="16">
      <c r="A16" s="30">
        <f t="shared" si="7"/>
        <v>12</v>
      </c>
      <c r="B16" s="51" t="s">
        <v>84</v>
      </c>
      <c r="C16" s="46">
        <v>323.0</v>
      </c>
      <c r="D16" s="46">
        <v>21.0</v>
      </c>
      <c r="E16" s="35">
        <f t="shared" si="2"/>
        <v>12.66666667</v>
      </c>
      <c r="F16" s="37">
        <v>2.0</v>
      </c>
      <c r="G16" s="39">
        <v>2.0</v>
      </c>
      <c r="H16" s="40">
        <v>0.0</v>
      </c>
      <c r="I16" s="39">
        <v>5.0</v>
      </c>
      <c r="J16" s="39">
        <v>0.0</v>
      </c>
      <c r="K16" s="39">
        <v>7.0</v>
      </c>
      <c r="L16" s="42">
        <v>12.0</v>
      </c>
      <c r="M16" s="39">
        <v>1.0</v>
      </c>
      <c r="N16" s="32">
        <f t="shared" ref="N16:O16" si="18">C16+L16</f>
        <v>335</v>
      </c>
      <c r="O16" s="32">
        <f t="shared" si="18"/>
        <v>22</v>
      </c>
      <c r="P16" s="43" t="s">
        <v>53</v>
      </c>
      <c r="Q16" s="43" t="s">
        <v>53</v>
      </c>
      <c r="R16" s="43" t="s">
        <v>53</v>
      </c>
      <c r="S16" s="39">
        <f t="shared" si="4"/>
        <v>3</v>
      </c>
      <c r="T16" s="39"/>
      <c r="U16" s="39">
        <f t="shared" si="5"/>
        <v>2</v>
      </c>
      <c r="V16" s="39">
        <f t="shared" si="6"/>
        <v>-1</v>
      </c>
      <c r="W16" s="30">
        <f t="shared" si="9"/>
        <v>12</v>
      </c>
    </row>
    <row r="17">
      <c r="A17" s="30">
        <f t="shared" si="7"/>
        <v>13</v>
      </c>
      <c r="B17" s="51" t="s">
        <v>85</v>
      </c>
      <c r="C17" s="46">
        <v>322.0</v>
      </c>
      <c r="D17" s="46">
        <v>26.0</v>
      </c>
      <c r="E17" s="35">
        <f t="shared" si="2"/>
        <v>16.27272727</v>
      </c>
      <c r="F17" s="37">
        <v>5.0</v>
      </c>
      <c r="G17" s="39">
        <v>0.0</v>
      </c>
      <c r="H17" s="40">
        <v>13.0</v>
      </c>
      <c r="I17" s="39">
        <v>0.0</v>
      </c>
      <c r="J17" s="39">
        <v>0.0</v>
      </c>
      <c r="K17" s="39">
        <v>0.0</v>
      </c>
      <c r="L17" s="42">
        <v>13.0</v>
      </c>
      <c r="M17" s="39">
        <v>0.0</v>
      </c>
      <c r="N17" s="32">
        <f t="shared" ref="N17:O17" si="19">C17+L17</f>
        <v>335</v>
      </c>
      <c r="O17" s="32">
        <f t="shared" si="19"/>
        <v>26</v>
      </c>
      <c r="P17" s="43" t="s">
        <v>53</v>
      </c>
      <c r="Q17" s="43" t="s">
        <v>53</v>
      </c>
      <c r="R17" s="43" t="s">
        <v>53</v>
      </c>
      <c r="S17" s="39">
        <f t="shared" si="4"/>
        <v>2</v>
      </c>
      <c r="T17" s="39"/>
      <c r="U17" s="39">
        <f t="shared" si="5"/>
        <v>13</v>
      </c>
      <c r="V17" s="39">
        <f t="shared" si="6"/>
        <v>-5</v>
      </c>
      <c r="W17" s="30">
        <f t="shared" si="9"/>
        <v>13</v>
      </c>
    </row>
    <row r="18">
      <c r="A18" s="30">
        <f t="shared" si="7"/>
        <v>14</v>
      </c>
      <c r="B18" s="31" t="s">
        <v>86</v>
      </c>
      <c r="C18" s="46">
        <v>319.0</v>
      </c>
      <c r="D18" s="46">
        <v>22.0</v>
      </c>
      <c r="E18" s="35">
        <f t="shared" si="2"/>
        <v>12.45</v>
      </c>
      <c r="F18" s="37">
        <v>2.0</v>
      </c>
      <c r="G18" s="39">
        <v>2.0</v>
      </c>
      <c r="H18" s="40">
        <v>0.0</v>
      </c>
      <c r="I18" s="39">
        <v>7.0</v>
      </c>
      <c r="J18" s="39">
        <v>0.0</v>
      </c>
      <c r="K18" s="39">
        <v>5.0</v>
      </c>
      <c r="L18" s="42">
        <v>12.0</v>
      </c>
      <c r="M18" s="39">
        <v>1.0</v>
      </c>
      <c r="N18" s="32">
        <f t="shared" ref="N18:O18" si="20">C18+L18</f>
        <v>331</v>
      </c>
      <c r="O18" s="32">
        <f t="shared" si="20"/>
        <v>23</v>
      </c>
      <c r="P18" s="43" t="s">
        <v>53</v>
      </c>
      <c r="Q18" s="43" t="s">
        <v>53</v>
      </c>
      <c r="R18" s="43" t="s">
        <v>53</v>
      </c>
      <c r="S18" s="39">
        <f t="shared" si="4"/>
        <v>4</v>
      </c>
      <c r="T18" s="39"/>
      <c r="U18" s="39">
        <f t="shared" si="5"/>
        <v>2</v>
      </c>
      <c r="V18" s="39">
        <f t="shared" si="6"/>
        <v>0</v>
      </c>
      <c r="W18" s="30">
        <f t="shared" si="9"/>
        <v>14</v>
      </c>
    </row>
    <row r="19">
      <c r="A19" s="30">
        <f t="shared" si="7"/>
        <v>15</v>
      </c>
      <c r="B19" s="51" t="s">
        <v>87</v>
      </c>
      <c r="C19" s="46">
        <v>313.0</v>
      </c>
      <c r="D19" s="46">
        <v>25.0</v>
      </c>
      <c r="E19" s="35">
        <f t="shared" si="2"/>
        <v>12.70588235</v>
      </c>
      <c r="F19" s="37">
        <v>3.0</v>
      </c>
      <c r="G19" s="39">
        <v>0.0</v>
      </c>
      <c r="H19" s="40">
        <v>9.0</v>
      </c>
      <c r="I19" s="39">
        <v>0.0</v>
      </c>
      <c r="J19" s="39">
        <v>0.0</v>
      </c>
      <c r="K19" s="39">
        <v>0.0</v>
      </c>
      <c r="L19" s="42">
        <v>9.0</v>
      </c>
      <c r="M19" s="39">
        <v>0.0</v>
      </c>
      <c r="N19" s="32">
        <f t="shared" ref="N19:O19" si="21">C19+L19</f>
        <v>322</v>
      </c>
      <c r="O19" s="32">
        <f t="shared" si="21"/>
        <v>25</v>
      </c>
      <c r="P19" s="43" t="s">
        <v>53</v>
      </c>
      <c r="Q19" s="43" t="s">
        <v>53</v>
      </c>
      <c r="R19" s="43" t="s">
        <v>88</v>
      </c>
      <c r="S19" s="39">
        <f t="shared" si="4"/>
        <v>4</v>
      </c>
      <c r="T19" s="39"/>
      <c r="U19" s="39">
        <f t="shared" si="5"/>
        <v>5</v>
      </c>
      <c r="V19" s="39">
        <f t="shared" si="6"/>
        <v>0</v>
      </c>
      <c r="W19" s="30">
        <f t="shared" si="9"/>
        <v>15</v>
      </c>
    </row>
    <row r="20">
      <c r="A20" s="30">
        <f t="shared" si="7"/>
        <v>16</v>
      </c>
      <c r="B20" s="31" t="s">
        <v>68</v>
      </c>
      <c r="C20" s="46">
        <v>312.0</v>
      </c>
      <c r="D20" s="46">
        <v>24.0</v>
      </c>
      <c r="E20" s="35">
        <f t="shared" si="2"/>
        <v>12.88888889</v>
      </c>
      <c r="F20" s="37">
        <v>3.0</v>
      </c>
      <c r="G20" s="39">
        <v>0.0</v>
      </c>
      <c r="H20" s="40">
        <v>9.0</v>
      </c>
      <c r="I20" s="39">
        <v>0.0</v>
      </c>
      <c r="J20" s="39">
        <v>0.0</v>
      </c>
      <c r="K20" s="39">
        <v>0.0</v>
      </c>
      <c r="L20" s="42">
        <v>9.0</v>
      </c>
      <c r="M20" s="39">
        <v>0.0</v>
      </c>
      <c r="N20" s="32">
        <f t="shared" ref="N20:O20" si="22">C20+L20</f>
        <v>321</v>
      </c>
      <c r="O20" s="32">
        <f t="shared" si="22"/>
        <v>24</v>
      </c>
      <c r="P20" s="43" t="s">
        <v>53</v>
      </c>
      <c r="Q20" s="43" t="s">
        <v>53</v>
      </c>
      <c r="R20" s="43" t="s">
        <v>53</v>
      </c>
      <c r="S20" s="39">
        <f t="shared" si="4"/>
        <v>2</v>
      </c>
      <c r="T20" s="39"/>
      <c r="U20" s="39">
        <f t="shared" si="5"/>
        <v>6</v>
      </c>
      <c r="V20" s="39">
        <f t="shared" si="6"/>
        <v>0</v>
      </c>
      <c r="W20" s="30">
        <f t="shared" si="9"/>
        <v>16</v>
      </c>
    </row>
    <row r="21">
      <c r="A21" s="30">
        <f t="shared" si="7"/>
        <v>17</v>
      </c>
      <c r="B21" s="31" t="s">
        <v>89</v>
      </c>
      <c r="C21" s="46">
        <v>311.0</v>
      </c>
      <c r="D21" s="46">
        <v>21.0</v>
      </c>
      <c r="E21" s="35">
        <f t="shared" si="2"/>
        <v>15.33333333</v>
      </c>
      <c r="F21" s="37">
        <v>2.0</v>
      </c>
      <c r="G21" s="39">
        <v>3.0</v>
      </c>
      <c r="H21" s="40">
        <v>0.0</v>
      </c>
      <c r="I21" s="39">
        <v>6.0</v>
      </c>
      <c r="J21" s="39">
        <v>6.0</v>
      </c>
      <c r="K21" s="39">
        <v>6.0</v>
      </c>
      <c r="L21" s="42">
        <v>18.0</v>
      </c>
      <c r="M21" s="39">
        <v>3.0</v>
      </c>
      <c r="N21" s="32">
        <f t="shared" ref="N21:O21" si="23">C21+L21</f>
        <v>329</v>
      </c>
      <c r="O21" s="32">
        <f t="shared" si="23"/>
        <v>24</v>
      </c>
      <c r="P21" s="43" t="s">
        <v>53</v>
      </c>
      <c r="Q21" s="43" t="s">
        <v>53</v>
      </c>
      <c r="R21" s="43" t="s">
        <v>53</v>
      </c>
      <c r="S21" s="39">
        <f t="shared" si="4"/>
        <v>5</v>
      </c>
      <c r="T21" s="39"/>
      <c r="U21" s="39">
        <f t="shared" si="5"/>
        <v>12</v>
      </c>
      <c r="V21" s="39">
        <f t="shared" si="6"/>
        <v>4</v>
      </c>
      <c r="W21" s="30">
        <f t="shared" si="9"/>
        <v>17</v>
      </c>
    </row>
    <row r="22">
      <c r="A22" s="30">
        <f t="shared" si="7"/>
        <v>18</v>
      </c>
      <c r="B22" s="31" t="s">
        <v>90</v>
      </c>
      <c r="C22" s="46">
        <v>309.0</v>
      </c>
      <c r="D22" s="46">
        <v>20.0</v>
      </c>
      <c r="E22" s="35">
        <f t="shared" si="2"/>
        <v>13.84615385</v>
      </c>
      <c r="F22" s="37">
        <v>3.0</v>
      </c>
      <c r="G22" s="39">
        <v>0.0</v>
      </c>
      <c r="H22" s="40">
        <v>9.0</v>
      </c>
      <c r="I22" s="39">
        <v>0.0</v>
      </c>
      <c r="J22" s="39">
        <v>0.0</v>
      </c>
      <c r="K22" s="39">
        <v>0.0</v>
      </c>
      <c r="L22" s="42">
        <v>9.0</v>
      </c>
      <c r="M22" s="39">
        <v>0.0</v>
      </c>
      <c r="N22" s="32">
        <f t="shared" ref="N22:O22" si="24">C22+L22</f>
        <v>318</v>
      </c>
      <c r="O22" s="32">
        <f t="shared" si="24"/>
        <v>20</v>
      </c>
      <c r="P22" s="43" t="s">
        <v>53</v>
      </c>
      <c r="Q22" s="43" t="s">
        <v>53</v>
      </c>
      <c r="R22" s="43" t="s">
        <v>53</v>
      </c>
      <c r="S22" s="39">
        <f t="shared" si="4"/>
        <v>3</v>
      </c>
      <c r="T22" s="39"/>
      <c r="U22" s="39">
        <f t="shared" si="5"/>
        <v>10</v>
      </c>
      <c r="V22" s="39">
        <f t="shared" si="6"/>
        <v>-1</v>
      </c>
      <c r="W22" s="30">
        <f t="shared" si="9"/>
        <v>18</v>
      </c>
    </row>
    <row r="23">
      <c r="A23" s="30">
        <f t="shared" si="7"/>
        <v>19</v>
      </c>
      <c r="B23" s="31" t="s">
        <v>91</v>
      </c>
      <c r="C23" s="46">
        <v>308.0</v>
      </c>
      <c r="D23" s="46">
        <v>25.0</v>
      </c>
      <c r="E23" s="35">
        <f t="shared" si="2"/>
        <v>13.375</v>
      </c>
      <c r="F23" s="37">
        <v>3.0</v>
      </c>
      <c r="G23" s="39">
        <v>0.0</v>
      </c>
      <c r="H23" s="40">
        <v>9.0</v>
      </c>
      <c r="I23" s="39">
        <v>0.0</v>
      </c>
      <c r="J23" s="39">
        <v>0.0</v>
      </c>
      <c r="K23" s="39">
        <v>0.0</v>
      </c>
      <c r="L23" s="42">
        <v>9.0</v>
      </c>
      <c r="M23" s="39">
        <v>0.0</v>
      </c>
      <c r="N23" s="32">
        <f t="shared" ref="N23:O23" si="25">C23+L23</f>
        <v>317</v>
      </c>
      <c r="O23" s="32">
        <f t="shared" si="25"/>
        <v>25</v>
      </c>
      <c r="P23" s="43" t="s">
        <v>53</v>
      </c>
      <c r="Q23" s="43" t="s">
        <v>53</v>
      </c>
      <c r="R23" s="43" t="s">
        <v>53</v>
      </c>
      <c r="S23" s="39">
        <f t="shared" si="4"/>
        <v>1</v>
      </c>
      <c r="T23" s="39"/>
      <c r="U23" s="39">
        <f t="shared" si="5"/>
        <v>9</v>
      </c>
      <c r="V23" s="39">
        <f t="shared" si="6"/>
        <v>-1</v>
      </c>
      <c r="W23" s="30">
        <f t="shared" si="9"/>
        <v>19</v>
      </c>
    </row>
    <row r="24">
      <c r="A24" s="30">
        <f t="shared" si="7"/>
        <v>20</v>
      </c>
      <c r="B24" s="51" t="s">
        <v>92</v>
      </c>
      <c r="C24" s="46">
        <v>307.0</v>
      </c>
      <c r="D24" s="46">
        <v>23.0</v>
      </c>
      <c r="E24" s="35">
        <f t="shared" si="2"/>
        <v>15.9</v>
      </c>
      <c r="F24" s="37">
        <v>3.0</v>
      </c>
      <c r="G24" s="39">
        <v>0.0</v>
      </c>
      <c r="H24" s="40">
        <v>9.0</v>
      </c>
      <c r="I24" s="39">
        <v>0.0</v>
      </c>
      <c r="J24" s="39">
        <v>0.0</v>
      </c>
      <c r="K24" s="39">
        <v>0.0</v>
      </c>
      <c r="L24" s="42">
        <v>9.0</v>
      </c>
      <c r="M24" s="39">
        <v>0.0</v>
      </c>
      <c r="N24" s="32">
        <f t="shared" ref="N24:O24" si="26">C24+L24</f>
        <v>316</v>
      </c>
      <c r="O24" s="32">
        <f t="shared" si="26"/>
        <v>23</v>
      </c>
      <c r="P24" s="43" t="s">
        <v>53</v>
      </c>
      <c r="Q24" s="43" t="s">
        <v>53</v>
      </c>
      <c r="R24" s="43" t="s">
        <v>88</v>
      </c>
      <c r="S24" s="39">
        <f t="shared" si="4"/>
        <v>1</v>
      </c>
      <c r="T24" s="39"/>
      <c r="U24" s="39">
        <f t="shared" si="5"/>
        <v>15</v>
      </c>
      <c r="V24" s="39">
        <f t="shared" si="6"/>
        <v>-1</v>
      </c>
      <c r="W24" s="30">
        <f t="shared" si="9"/>
        <v>20</v>
      </c>
    </row>
    <row r="25">
      <c r="A25" s="30">
        <f t="shared" si="7"/>
        <v>21</v>
      </c>
      <c r="B25" s="51" t="s">
        <v>76</v>
      </c>
      <c r="C25" s="46">
        <v>304.0</v>
      </c>
      <c r="D25" s="46">
        <v>28.0</v>
      </c>
      <c r="E25" s="35">
        <f t="shared" si="2"/>
        <v>12.88888889</v>
      </c>
      <c r="F25" s="37">
        <v>1.0</v>
      </c>
      <c r="G25" s="39">
        <v>3.0</v>
      </c>
      <c r="H25" s="40">
        <v>0.0</v>
      </c>
      <c r="I25" s="39">
        <v>0.0</v>
      </c>
      <c r="J25" s="39">
        <v>3.0</v>
      </c>
      <c r="K25" s="39">
        <v>6.0</v>
      </c>
      <c r="L25" s="42">
        <v>9.0</v>
      </c>
      <c r="M25" s="39">
        <v>1.0</v>
      </c>
      <c r="N25" s="32">
        <f t="shared" ref="N25:O25" si="27">C25+L25</f>
        <v>313</v>
      </c>
      <c r="O25" s="32">
        <f t="shared" si="27"/>
        <v>29</v>
      </c>
      <c r="P25" s="43" t="s">
        <v>53</v>
      </c>
      <c r="Q25" s="43" t="s">
        <v>53</v>
      </c>
      <c r="R25" s="43" t="s">
        <v>53</v>
      </c>
      <c r="S25" s="39">
        <f t="shared" si="4"/>
        <v>0</v>
      </c>
      <c r="T25" s="39"/>
      <c r="U25" s="39">
        <f t="shared" si="5"/>
        <v>8</v>
      </c>
      <c r="V25" s="39">
        <f t="shared" si="6"/>
        <v>7</v>
      </c>
      <c r="W25" s="30">
        <f t="shared" si="9"/>
        <v>21</v>
      </c>
    </row>
    <row r="26">
      <c r="A26" s="30">
        <f t="shared" si="7"/>
        <v>22</v>
      </c>
      <c r="B26" s="51" t="s">
        <v>93</v>
      </c>
      <c r="C26" s="46">
        <v>302.0</v>
      </c>
      <c r="D26" s="46">
        <v>24.0</v>
      </c>
      <c r="E26" s="35">
        <f t="shared" si="2"/>
        <v>11.83333333</v>
      </c>
      <c r="F26" s="37">
        <v>1.0</v>
      </c>
      <c r="G26" s="39">
        <v>3.0</v>
      </c>
      <c r="H26" s="40">
        <v>0.0</v>
      </c>
      <c r="I26" s="39">
        <v>0.0</v>
      </c>
      <c r="J26" s="39">
        <v>6.0</v>
      </c>
      <c r="K26" s="39">
        <v>0.0</v>
      </c>
      <c r="L26" s="42">
        <v>6.0</v>
      </c>
      <c r="M26" s="39">
        <v>1.0</v>
      </c>
      <c r="N26" s="32">
        <f t="shared" ref="N26:O26" si="28">C26+L26</f>
        <v>308</v>
      </c>
      <c r="O26" s="32">
        <f t="shared" si="28"/>
        <v>25</v>
      </c>
      <c r="P26" s="43" t="s">
        <v>53</v>
      </c>
      <c r="Q26" s="43" t="s">
        <v>53</v>
      </c>
      <c r="R26" s="43" t="s">
        <v>53</v>
      </c>
      <c r="S26" s="39">
        <f t="shared" si="4"/>
        <v>0</v>
      </c>
      <c r="T26" s="39"/>
      <c r="U26" s="39">
        <f t="shared" si="5"/>
        <v>2</v>
      </c>
      <c r="V26" s="39">
        <f t="shared" si="6"/>
        <v>-2</v>
      </c>
      <c r="W26" s="30">
        <f t="shared" si="9"/>
        <v>22</v>
      </c>
    </row>
    <row r="27">
      <c r="A27" s="30">
        <f t="shared" si="7"/>
        <v>23</v>
      </c>
      <c r="B27" s="51" t="s">
        <v>94</v>
      </c>
      <c r="C27" s="46">
        <v>302.0</v>
      </c>
      <c r="D27" s="46">
        <v>18.0</v>
      </c>
      <c r="E27" s="35">
        <f t="shared" si="2"/>
        <v>14</v>
      </c>
      <c r="F27" s="37">
        <v>3.0</v>
      </c>
      <c r="G27" s="39">
        <v>0.0</v>
      </c>
      <c r="H27" s="40">
        <v>9.0</v>
      </c>
      <c r="I27" s="39">
        <v>0.0</v>
      </c>
      <c r="J27" s="39">
        <v>0.0</v>
      </c>
      <c r="K27" s="39">
        <v>0.0</v>
      </c>
      <c r="L27" s="42">
        <v>9.0</v>
      </c>
      <c r="M27" s="39">
        <v>0.0</v>
      </c>
      <c r="N27" s="32">
        <f t="shared" ref="N27:O27" si="29">C27+L27</f>
        <v>311</v>
      </c>
      <c r="O27" s="32">
        <f t="shared" si="29"/>
        <v>18</v>
      </c>
      <c r="P27" s="43" t="s">
        <v>53</v>
      </c>
      <c r="Q27" s="43" t="s">
        <v>53</v>
      </c>
      <c r="R27" s="43" t="s">
        <v>53</v>
      </c>
      <c r="S27" s="39">
        <f t="shared" si="4"/>
        <v>2</v>
      </c>
      <c r="T27" s="39"/>
      <c r="U27" s="39">
        <f t="shared" si="5"/>
        <v>12</v>
      </c>
      <c r="V27" s="39">
        <f t="shared" si="6"/>
        <v>-1</v>
      </c>
      <c r="W27" s="30">
        <f t="shared" si="9"/>
        <v>23</v>
      </c>
    </row>
    <row r="28">
      <c r="A28" s="30">
        <f t="shared" si="7"/>
        <v>24</v>
      </c>
      <c r="B28" s="51" t="s">
        <v>95</v>
      </c>
      <c r="C28" s="46">
        <v>300.0</v>
      </c>
      <c r="D28" s="46">
        <v>22.0</v>
      </c>
      <c r="E28" s="35">
        <f t="shared" si="2"/>
        <v>14.63636364</v>
      </c>
      <c r="F28" s="37">
        <v>3.0</v>
      </c>
      <c r="G28" s="39">
        <v>0.0</v>
      </c>
      <c r="H28" s="40">
        <v>9.0</v>
      </c>
      <c r="I28" s="39">
        <v>0.0</v>
      </c>
      <c r="J28" s="39">
        <v>0.0</v>
      </c>
      <c r="K28" s="39">
        <v>0.0</v>
      </c>
      <c r="L28" s="42">
        <v>9.0</v>
      </c>
      <c r="M28" s="39">
        <v>0.0</v>
      </c>
      <c r="N28" s="32">
        <f t="shared" ref="N28:O28" si="30">C28+L28</f>
        <v>309</v>
      </c>
      <c r="O28" s="32">
        <f t="shared" si="30"/>
        <v>22</v>
      </c>
      <c r="P28" s="43" t="s">
        <v>53</v>
      </c>
      <c r="Q28" s="43" t="s">
        <v>53</v>
      </c>
      <c r="R28" s="43" t="s">
        <v>53</v>
      </c>
      <c r="S28" s="39">
        <f t="shared" si="4"/>
        <v>1</v>
      </c>
      <c r="T28" s="39"/>
      <c r="U28" s="39">
        <f t="shared" si="5"/>
        <v>14</v>
      </c>
      <c r="V28" s="39">
        <f t="shared" si="6"/>
        <v>-1</v>
      </c>
      <c r="W28" s="30">
        <f t="shared" si="9"/>
        <v>24</v>
      </c>
    </row>
    <row r="29">
      <c r="A29" s="30">
        <f t="shared" si="7"/>
        <v>25</v>
      </c>
      <c r="B29" s="31" t="s">
        <v>96</v>
      </c>
      <c r="C29" s="46">
        <v>298.0</v>
      </c>
      <c r="D29" s="46">
        <v>23.0</v>
      </c>
      <c r="E29" s="35">
        <f t="shared" si="2"/>
        <v>12.73333333</v>
      </c>
      <c r="F29" s="37">
        <v>1.0</v>
      </c>
      <c r="G29" s="39">
        <v>3.0</v>
      </c>
      <c r="H29" s="40">
        <v>0.0</v>
      </c>
      <c r="I29" s="39">
        <v>6.0</v>
      </c>
      <c r="J29" s="39">
        <v>3.0</v>
      </c>
      <c r="K29" s="39">
        <v>0.0</v>
      </c>
      <c r="L29" s="42">
        <v>9.0</v>
      </c>
      <c r="M29" s="39">
        <v>1.0</v>
      </c>
      <c r="N29" s="32">
        <f t="shared" ref="N29:O29" si="31">C29+L29</f>
        <v>307</v>
      </c>
      <c r="O29" s="32">
        <f t="shared" si="31"/>
        <v>24</v>
      </c>
      <c r="P29" s="43" t="s">
        <v>53</v>
      </c>
      <c r="Q29" s="43" t="s">
        <v>53</v>
      </c>
      <c r="R29" s="43" t="s">
        <v>53</v>
      </c>
      <c r="S29" s="39">
        <f t="shared" si="4"/>
        <v>2</v>
      </c>
      <c r="T29" s="39"/>
      <c r="U29" s="39">
        <f t="shared" si="5"/>
        <v>9</v>
      </c>
      <c r="V29" s="39">
        <f t="shared" si="6"/>
        <v>-1</v>
      </c>
      <c r="W29" s="30">
        <f t="shared" si="9"/>
        <v>25</v>
      </c>
    </row>
    <row r="30">
      <c r="A30" s="30">
        <f t="shared" si="7"/>
        <v>26</v>
      </c>
      <c r="B30" s="31" t="s">
        <v>97</v>
      </c>
      <c r="C30" s="46">
        <v>298.0</v>
      </c>
      <c r="D30" s="46">
        <v>21.0</v>
      </c>
      <c r="E30" s="35">
        <f t="shared" si="2"/>
        <v>13</v>
      </c>
      <c r="F30" s="37">
        <v>5.0</v>
      </c>
      <c r="G30" s="39">
        <v>0.0</v>
      </c>
      <c r="H30" s="40">
        <v>13.0</v>
      </c>
      <c r="I30" s="39">
        <v>0.0</v>
      </c>
      <c r="J30" s="39">
        <v>0.0</v>
      </c>
      <c r="K30" s="39">
        <v>0.0</v>
      </c>
      <c r="L30" s="42">
        <v>13.0</v>
      </c>
      <c r="M30" s="39">
        <v>0.0</v>
      </c>
      <c r="N30" s="32">
        <f t="shared" ref="N30:O30" si="32">C30+L30</f>
        <v>311</v>
      </c>
      <c r="O30" s="32">
        <f t="shared" si="32"/>
        <v>21</v>
      </c>
      <c r="P30" s="43" t="s">
        <v>53</v>
      </c>
      <c r="Q30" s="43" t="s">
        <v>53</v>
      </c>
      <c r="R30" s="43" t="s">
        <v>53</v>
      </c>
      <c r="S30" s="39">
        <f t="shared" si="4"/>
        <v>2</v>
      </c>
      <c r="T30" s="39"/>
      <c r="U30" s="39">
        <f t="shared" si="5"/>
        <v>10</v>
      </c>
      <c r="V30" s="39">
        <f t="shared" si="6"/>
        <v>1</v>
      </c>
      <c r="W30" s="30">
        <f t="shared" si="9"/>
        <v>26</v>
      </c>
    </row>
    <row r="31">
      <c r="A31" s="30">
        <f t="shared" si="7"/>
        <v>27</v>
      </c>
      <c r="B31" s="31" t="s">
        <v>98</v>
      </c>
      <c r="C31" s="46">
        <v>297.0</v>
      </c>
      <c r="D31" s="46">
        <v>20.0</v>
      </c>
      <c r="E31" s="35">
        <f t="shared" si="2"/>
        <v>12.66666667</v>
      </c>
      <c r="F31" s="37">
        <v>1.0</v>
      </c>
      <c r="G31" s="39">
        <v>5.0</v>
      </c>
      <c r="H31" s="40">
        <v>0.0</v>
      </c>
      <c r="I31" s="39">
        <v>6.0</v>
      </c>
      <c r="J31" s="39">
        <v>6.0</v>
      </c>
      <c r="K31" s="39">
        <v>6.0</v>
      </c>
      <c r="L31" s="42">
        <v>18.0</v>
      </c>
      <c r="M31" s="39">
        <v>3.0</v>
      </c>
      <c r="N31" s="32">
        <f t="shared" ref="N31:O31" si="33">C31+L31</f>
        <v>315</v>
      </c>
      <c r="O31" s="32">
        <f t="shared" si="33"/>
        <v>23</v>
      </c>
      <c r="P31" s="43" t="s">
        <v>53</v>
      </c>
      <c r="Q31" s="43" t="s">
        <v>53</v>
      </c>
      <c r="R31" s="43" t="s">
        <v>53</v>
      </c>
      <c r="S31" s="39">
        <f t="shared" si="4"/>
        <v>2</v>
      </c>
      <c r="T31" s="39"/>
      <c r="U31" s="39">
        <f t="shared" si="5"/>
        <v>9</v>
      </c>
      <c r="V31" s="39">
        <f t="shared" si="6"/>
        <v>-2</v>
      </c>
      <c r="W31" s="30">
        <f t="shared" si="9"/>
        <v>27</v>
      </c>
    </row>
    <row r="32">
      <c r="A32" s="30">
        <f t="shared" si="7"/>
        <v>28</v>
      </c>
      <c r="B32" s="51" t="s">
        <v>99</v>
      </c>
      <c r="C32" s="46">
        <v>296.0</v>
      </c>
      <c r="D32" s="46">
        <v>21.0</v>
      </c>
      <c r="E32" s="35">
        <f t="shared" si="2"/>
        <v>11.9</v>
      </c>
      <c r="F32" s="37">
        <v>1.0</v>
      </c>
      <c r="G32" s="39">
        <v>5.0</v>
      </c>
      <c r="H32" s="40">
        <v>0.0</v>
      </c>
      <c r="I32" s="39">
        <v>4.0</v>
      </c>
      <c r="J32" s="39">
        <v>6.0</v>
      </c>
      <c r="K32" s="39">
        <v>2.0</v>
      </c>
      <c r="L32" s="42">
        <v>12.0</v>
      </c>
      <c r="M32" s="39">
        <v>1.0</v>
      </c>
      <c r="N32" s="32">
        <f t="shared" ref="N32:O32" si="34">C32+L32</f>
        <v>308</v>
      </c>
      <c r="O32" s="32">
        <f t="shared" si="34"/>
        <v>22</v>
      </c>
      <c r="P32" s="43" t="s">
        <v>53</v>
      </c>
      <c r="Q32" s="43" t="s">
        <v>53</v>
      </c>
      <c r="R32" s="43" t="s">
        <v>53</v>
      </c>
      <c r="S32" s="39">
        <f t="shared" si="4"/>
        <v>1</v>
      </c>
      <c r="T32" s="39"/>
      <c r="U32" s="39">
        <f t="shared" si="5"/>
        <v>5</v>
      </c>
      <c r="V32" s="39">
        <f t="shared" si="6"/>
        <v>2</v>
      </c>
      <c r="W32" s="30">
        <f t="shared" si="9"/>
        <v>28</v>
      </c>
    </row>
    <row r="33">
      <c r="A33" s="30">
        <f t="shared" si="7"/>
        <v>29</v>
      </c>
      <c r="B33" s="51" t="s">
        <v>100</v>
      </c>
      <c r="C33" s="46">
        <v>296.0</v>
      </c>
      <c r="D33" s="46">
        <v>19.0</v>
      </c>
      <c r="E33" s="35">
        <f t="shared" si="2"/>
        <v>13.90909091</v>
      </c>
      <c r="F33" s="37">
        <v>3.0</v>
      </c>
      <c r="G33" s="39">
        <v>0.0</v>
      </c>
      <c r="H33" s="40">
        <v>9.0</v>
      </c>
      <c r="I33" s="39">
        <v>0.0</v>
      </c>
      <c r="J33" s="39">
        <v>0.0</v>
      </c>
      <c r="K33" s="39">
        <v>0.0</v>
      </c>
      <c r="L33" s="42">
        <v>9.0</v>
      </c>
      <c r="M33" s="39">
        <v>0.0</v>
      </c>
      <c r="N33" s="32">
        <f t="shared" ref="N33:O33" si="35">C33+L33</f>
        <v>305</v>
      </c>
      <c r="O33" s="32">
        <f t="shared" si="35"/>
        <v>19</v>
      </c>
      <c r="P33" s="43" t="s">
        <v>53</v>
      </c>
      <c r="Q33" s="43" t="s">
        <v>53</v>
      </c>
      <c r="R33" s="43" t="s">
        <v>53</v>
      </c>
      <c r="S33" s="39">
        <f t="shared" si="4"/>
        <v>2</v>
      </c>
      <c r="T33" s="39"/>
      <c r="U33" s="39">
        <f t="shared" si="5"/>
        <v>13</v>
      </c>
      <c r="V33" s="39">
        <f t="shared" si="6"/>
        <v>-3</v>
      </c>
      <c r="W33" s="30">
        <f t="shared" si="9"/>
        <v>29</v>
      </c>
    </row>
    <row r="34">
      <c r="A34" s="30">
        <f t="shared" si="7"/>
        <v>30</v>
      </c>
      <c r="B34" s="56" t="s">
        <v>101</v>
      </c>
      <c r="C34" s="46">
        <v>295.0</v>
      </c>
      <c r="D34" s="46">
        <v>19.0</v>
      </c>
      <c r="E34" s="35">
        <f t="shared" si="2"/>
        <v>12.58823529</v>
      </c>
      <c r="F34" s="37">
        <v>1.0</v>
      </c>
      <c r="G34" s="39">
        <v>5.0</v>
      </c>
      <c r="H34" s="40">
        <v>0.0</v>
      </c>
      <c r="I34" s="39">
        <v>4.0</v>
      </c>
      <c r="J34" s="39">
        <v>3.0</v>
      </c>
      <c r="K34" s="39">
        <v>6.0</v>
      </c>
      <c r="L34" s="42">
        <v>13.0</v>
      </c>
      <c r="M34" s="39">
        <v>1.0</v>
      </c>
      <c r="N34" s="32">
        <f t="shared" ref="N34:O34" si="36">C34+L34</f>
        <v>308</v>
      </c>
      <c r="O34" s="32">
        <f t="shared" si="36"/>
        <v>20</v>
      </c>
      <c r="P34" s="43" t="s">
        <v>53</v>
      </c>
      <c r="Q34" s="43" t="s">
        <v>53</v>
      </c>
      <c r="R34" s="43" t="s">
        <v>53</v>
      </c>
      <c r="S34" s="39">
        <f t="shared" si="4"/>
        <v>0</v>
      </c>
      <c r="T34" s="39"/>
      <c r="U34" s="39">
        <f t="shared" si="5"/>
        <v>9</v>
      </c>
      <c r="V34" s="39">
        <f t="shared" si="6"/>
        <v>-1</v>
      </c>
      <c r="W34" s="30">
        <f t="shared" si="9"/>
        <v>30</v>
      </c>
    </row>
    <row r="35">
      <c r="A35" s="30">
        <f t="shared" si="7"/>
        <v>31</v>
      </c>
      <c r="B35" s="31" t="s">
        <v>79</v>
      </c>
      <c r="C35" s="46">
        <v>292.0</v>
      </c>
      <c r="D35" s="46">
        <v>21.0</v>
      </c>
      <c r="E35" s="35">
        <f t="shared" si="2"/>
        <v>12.83333333</v>
      </c>
      <c r="F35" s="37">
        <v>2.0</v>
      </c>
      <c r="G35" s="39">
        <v>5.0</v>
      </c>
      <c r="H35" s="40">
        <v>0.0</v>
      </c>
      <c r="I35" s="39">
        <v>6.0</v>
      </c>
      <c r="J35" s="39">
        <v>3.0</v>
      </c>
      <c r="K35" s="39">
        <v>2.0</v>
      </c>
      <c r="L35" s="42">
        <v>11.0</v>
      </c>
      <c r="M35" s="39">
        <v>1.0</v>
      </c>
      <c r="N35" s="32">
        <f t="shared" ref="N35:O35" si="37">C35+L35</f>
        <v>303</v>
      </c>
      <c r="O35" s="32">
        <f t="shared" si="37"/>
        <v>22</v>
      </c>
      <c r="P35" s="43" t="s">
        <v>53</v>
      </c>
      <c r="Q35" s="43" t="s">
        <v>53</v>
      </c>
      <c r="R35" s="43" t="s">
        <v>53</v>
      </c>
      <c r="S35" s="39">
        <f t="shared" si="4"/>
        <v>3</v>
      </c>
      <c r="T35" s="39"/>
      <c r="U35" s="39">
        <f t="shared" si="5"/>
        <v>11</v>
      </c>
      <c r="V35" s="39">
        <f t="shared" si="6"/>
        <v>2</v>
      </c>
      <c r="W35" s="30">
        <f t="shared" si="9"/>
        <v>31</v>
      </c>
    </row>
    <row r="36">
      <c r="A36" s="30">
        <f t="shared" si="7"/>
        <v>32</v>
      </c>
      <c r="B36" s="51" t="s">
        <v>102</v>
      </c>
      <c r="C36" s="46">
        <v>289.0</v>
      </c>
      <c r="D36" s="46">
        <v>17.0</v>
      </c>
      <c r="E36" s="35">
        <f t="shared" si="2"/>
        <v>13.7</v>
      </c>
      <c r="F36" s="37">
        <v>3.0</v>
      </c>
      <c r="G36" s="39">
        <v>0.0</v>
      </c>
      <c r="H36" s="40">
        <v>9.0</v>
      </c>
      <c r="I36" s="39">
        <v>0.0</v>
      </c>
      <c r="J36" s="39">
        <v>0.0</v>
      </c>
      <c r="K36" s="39">
        <v>0.0</v>
      </c>
      <c r="L36" s="42">
        <v>9.0</v>
      </c>
      <c r="M36" s="39">
        <v>0.0</v>
      </c>
      <c r="N36" s="32">
        <f t="shared" ref="N36:O36" si="38">C36+L36</f>
        <v>298</v>
      </c>
      <c r="O36" s="32">
        <f t="shared" si="38"/>
        <v>17</v>
      </c>
      <c r="P36" s="43" t="s">
        <v>53</v>
      </c>
      <c r="Q36" s="43" t="s">
        <v>53</v>
      </c>
      <c r="R36" s="43" t="s">
        <v>53</v>
      </c>
      <c r="S36" s="39">
        <f t="shared" si="4"/>
        <v>2</v>
      </c>
      <c r="T36" s="39"/>
      <c r="U36" s="39">
        <f t="shared" si="5"/>
        <v>14</v>
      </c>
      <c r="V36" s="39">
        <f t="shared" si="6"/>
        <v>0</v>
      </c>
      <c r="W36" s="30">
        <f t="shared" si="9"/>
        <v>32</v>
      </c>
    </row>
    <row r="37">
      <c r="A37" s="30">
        <f t="shared" si="7"/>
        <v>33</v>
      </c>
      <c r="B37" s="51" t="s">
        <v>103</v>
      </c>
      <c r="C37" s="46">
        <v>285.0</v>
      </c>
      <c r="D37" s="46">
        <v>18.0</v>
      </c>
      <c r="E37" s="35">
        <f t="shared" si="2"/>
        <v>13.3</v>
      </c>
      <c r="F37" s="37">
        <v>3.0</v>
      </c>
      <c r="G37" s="39">
        <v>0.0</v>
      </c>
      <c r="H37" s="40">
        <v>9.0</v>
      </c>
      <c r="I37" s="39">
        <v>0.0</v>
      </c>
      <c r="J37" s="39">
        <v>0.0</v>
      </c>
      <c r="K37" s="39">
        <v>0.0</v>
      </c>
      <c r="L37" s="42">
        <v>9.0</v>
      </c>
      <c r="M37" s="39">
        <v>0.0</v>
      </c>
      <c r="N37" s="32">
        <f t="shared" ref="N37:O37" si="39">C37+L37</f>
        <v>294</v>
      </c>
      <c r="O37" s="32">
        <f t="shared" si="39"/>
        <v>18</v>
      </c>
      <c r="P37" s="43" t="s">
        <v>53</v>
      </c>
      <c r="Q37" s="43" t="s">
        <v>53</v>
      </c>
      <c r="R37" s="43" t="s">
        <v>53</v>
      </c>
      <c r="S37" s="39">
        <f t="shared" si="4"/>
        <v>2</v>
      </c>
      <c r="T37" s="39"/>
      <c r="U37" s="39">
        <f t="shared" si="5"/>
        <v>14</v>
      </c>
      <c r="V37" s="39">
        <f t="shared" si="6"/>
        <v>-2</v>
      </c>
      <c r="W37" s="30">
        <f t="shared" si="9"/>
        <v>33</v>
      </c>
    </row>
    <row r="38">
      <c r="A38" s="30">
        <f t="shared" si="7"/>
        <v>34</v>
      </c>
      <c r="B38" s="51" t="s">
        <v>104</v>
      </c>
      <c r="C38" s="46">
        <v>282.0</v>
      </c>
      <c r="D38" s="46">
        <v>22.0</v>
      </c>
      <c r="E38" s="35">
        <f t="shared" si="2"/>
        <v>11.52631579</v>
      </c>
      <c r="F38" s="37">
        <v>1.0</v>
      </c>
      <c r="G38" s="39">
        <v>6.0</v>
      </c>
      <c r="H38" s="40">
        <v>0.0</v>
      </c>
      <c r="I38" s="39">
        <v>6.0</v>
      </c>
      <c r="J38" s="39">
        <v>6.0</v>
      </c>
      <c r="K38" s="39">
        <v>6.0</v>
      </c>
      <c r="L38" s="42">
        <v>18.0</v>
      </c>
      <c r="M38" s="39">
        <v>3.0</v>
      </c>
      <c r="N38" s="32">
        <f t="shared" ref="N38:O38" si="40">C38+L38</f>
        <v>300</v>
      </c>
      <c r="O38" s="32">
        <f t="shared" si="40"/>
        <v>25</v>
      </c>
      <c r="P38" s="43" t="s">
        <v>53</v>
      </c>
      <c r="Q38" s="43" t="s">
        <v>53</v>
      </c>
      <c r="R38" s="43" t="s">
        <v>53</v>
      </c>
      <c r="S38" s="39">
        <f t="shared" si="4"/>
        <v>0</v>
      </c>
      <c r="T38" s="39"/>
      <c r="U38" s="39">
        <f t="shared" si="5"/>
        <v>7</v>
      </c>
      <c r="V38" s="39">
        <f t="shared" si="6"/>
        <v>5</v>
      </c>
      <c r="W38" s="30">
        <f t="shared" si="9"/>
        <v>34</v>
      </c>
    </row>
    <row r="39">
      <c r="A39" s="30">
        <f t="shared" si="7"/>
        <v>35</v>
      </c>
      <c r="B39" s="31" t="s">
        <v>105</v>
      </c>
      <c r="C39" s="46">
        <v>282.0</v>
      </c>
      <c r="D39" s="46">
        <v>11.0</v>
      </c>
      <c r="E39" s="35">
        <f t="shared" si="2"/>
        <v>13</v>
      </c>
      <c r="F39" s="37">
        <v>3.0</v>
      </c>
      <c r="G39" s="39">
        <v>0.0</v>
      </c>
      <c r="H39" s="40">
        <v>9.0</v>
      </c>
      <c r="I39" s="39">
        <v>0.0</v>
      </c>
      <c r="J39" s="39">
        <v>0.0</v>
      </c>
      <c r="K39" s="39">
        <v>0.0</v>
      </c>
      <c r="L39" s="42">
        <v>9.0</v>
      </c>
      <c r="M39" s="39">
        <v>0.0</v>
      </c>
      <c r="N39" s="32">
        <f t="shared" ref="N39:O39" si="41">C39+L39</f>
        <v>291</v>
      </c>
      <c r="O39" s="32">
        <f t="shared" si="41"/>
        <v>11</v>
      </c>
      <c r="P39" s="43" t="s">
        <v>53</v>
      </c>
      <c r="Q39" s="43" t="s">
        <v>53</v>
      </c>
      <c r="R39" s="43" t="s">
        <v>53</v>
      </c>
      <c r="S39" s="39">
        <f t="shared" si="4"/>
        <v>2</v>
      </c>
      <c r="T39" s="39"/>
      <c r="U39" s="39">
        <f t="shared" si="5"/>
        <v>14</v>
      </c>
      <c r="V39" s="39">
        <f t="shared" si="6"/>
        <v>0</v>
      </c>
      <c r="W39" s="30">
        <f t="shared" si="9"/>
        <v>35</v>
      </c>
    </row>
    <row r="40">
      <c r="A40" s="30">
        <f t="shared" si="7"/>
        <v>36</v>
      </c>
      <c r="B40" s="31" t="s">
        <v>73</v>
      </c>
      <c r="C40" s="46">
        <v>281.0</v>
      </c>
      <c r="D40" s="46">
        <v>16.0</v>
      </c>
      <c r="E40" s="35">
        <f t="shared" si="2"/>
        <v>11.91666667</v>
      </c>
      <c r="F40" s="37">
        <v>3.0</v>
      </c>
      <c r="G40" s="39">
        <v>0.0</v>
      </c>
      <c r="H40" s="40">
        <v>9.0</v>
      </c>
      <c r="I40" s="39">
        <v>0.0</v>
      </c>
      <c r="J40" s="39">
        <v>0.0</v>
      </c>
      <c r="K40" s="39">
        <v>0.0</v>
      </c>
      <c r="L40" s="42">
        <v>9.0</v>
      </c>
      <c r="M40" s="39">
        <v>0.0</v>
      </c>
      <c r="N40" s="32">
        <f t="shared" ref="N40:O40" si="42">C40+L40</f>
        <v>290</v>
      </c>
      <c r="O40" s="32">
        <f t="shared" si="42"/>
        <v>16</v>
      </c>
      <c r="P40" s="43" t="s">
        <v>53</v>
      </c>
      <c r="Q40" s="43" t="s">
        <v>53</v>
      </c>
      <c r="R40" s="43" t="s">
        <v>53</v>
      </c>
      <c r="S40" s="39">
        <f t="shared" si="4"/>
        <v>3</v>
      </c>
      <c r="T40" s="39"/>
      <c r="U40" s="39">
        <f t="shared" si="5"/>
        <v>11</v>
      </c>
      <c r="V40" s="39">
        <f t="shared" si="6"/>
        <v>-2</v>
      </c>
      <c r="W40" s="30">
        <f t="shared" si="9"/>
        <v>36</v>
      </c>
    </row>
    <row r="41">
      <c r="A41" s="30">
        <f t="shared" si="7"/>
        <v>37</v>
      </c>
      <c r="B41" s="31" t="s">
        <v>46</v>
      </c>
      <c r="C41" s="46">
        <v>280.0</v>
      </c>
      <c r="D41" s="46">
        <v>21.0</v>
      </c>
      <c r="E41" s="35">
        <f t="shared" si="2"/>
        <v>11.42105263</v>
      </c>
      <c r="F41" s="37">
        <v>1.0</v>
      </c>
      <c r="G41" s="39">
        <v>6.0</v>
      </c>
      <c r="H41" s="40">
        <v>0.0</v>
      </c>
      <c r="I41" s="39">
        <v>6.0</v>
      </c>
      <c r="J41" s="39">
        <v>3.0</v>
      </c>
      <c r="K41" s="39">
        <v>3.0</v>
      </c>
      <c r="L41" s="42">
        <v>12.0</v>
      </c>
      <c r="M41" s="39">
        <v>1.0</v>
      </c>
      <c r="N41" s="32">
        <f t="shared" ref="N41:O41" si="43">C41+L41</f>
        <v>292</v>
      </c>
      <c r="O41" s="32">
        <f t="shared" si="43"/>
        <v>22</v>
      </c>
      <c r="P41" s="43" t="s">
        <v>53</v>
      </c>
      <c r="Q41" s="43" t="s">
        <v>53</v>
      </c>
      <c r="R41" s="43" t="s">
        <v>53</v>
      </c>
      <c r="S41" s="39">
        <f t="shared" si="4"/>
        <v>0</v>
      </c>
      <c r="T41" s="39"/>
      <c r="U41" s="39">
        <f t="shared" si="5"/>
        <v>7</v>
      </c>
      <c r="V41" s="39">
        <f t="shared" si="6"/>
        <v>0</v>
      </c>
      <c r="W41" s="30">
        <f t="shared" si="9"/>
        <v>37</v>
      </c>
    </row>
    <row r="42">
      <c r="A42" s="30">
        <f t="shared" si="7"/>
        <v>38</v>
      </c>
      <c r="B42" s="31" t="s">
        <v>106</v>
      </c>
      <c r="C42" s="46">
        <v>276.0</v>
      </c>
      <c r="D42" s="46">
        <v>15.0</v>
      </c>
      <c r="E42" s="35">
        <f t="shared" si="2"/>
        <v>15</v>
      </c>
      <c r="F42" s="37">
        <v>3.0</v>
      </c>
      <c r="G42" s="39">
        <v>0.0</v>
      </c>
      <c r="H42" s="40">
        <v>9.0</v>
      </c>
      <c r="I42" s="39">
        <v>0.0</v>
      </c>
      <c r="J42" s="39">
        <v>0.0</v>
      </c>
      <c r="K42" s="39">
        <v>0.0</v>
      </c>
      <c r="L42" s="42">
        <v>9.0</v>
      </c>
      <c r="M42" s="39">
        <v>0.0</v>
      </c>
      <c r="N42" s="32">
        <f t="shared" ref="N42:O42" si="44">C42+L42</f>
        <v>285</v>
      </c>
      <c r="O42" s="32">
        <f t="shared" si="44"/>
        <v>15</v>
      </c>
      <c r="P42" s="43" t="s">
        <v>53</v>
      </c>
      <c r="Q42" s="43" t="s">
        <v>53</v>
      </c>
      <c r="R42" s="43" t="s">
        <v>88</v>
      </c>
      <c r="S42" s="39">
        <f t="shared" si="4"/>
        <v>0</v>
      </c>
      <c r="T42" s="39"/>
      <c r="U42" s="39">
        <f t="shared" si="5"/>
        <v>19</v>
      </c>
      <c r="V42" s="39">
        <f t="shared" si="6"/>
        <v>-2</v>
      </c>
      <c r="W42" s="30">
        <f t="shared" si="9"/>
        <v>38</v>
      </c>
    </row>
    <row r="43">
      <c r="A43" s="30">
        <f t="shared" si="7"/>
        <v>39</v>
      </c>
      <c r="B43" s="56" t="s">
        <v>107</v>
      </c>
      <c r="C43" s="46">
        <v>275.0</v>
      </c>
      <c r="D43" s="46">
        <v>23.0</v>
      </c>
      <c r="E43" s="35">
        <f t="shared" si="2"/>
        <v>10.95238095</v>
      </c>
      <c r="F43" s="37">
        <v>3.0</v>
      </c>
      <c r="G43" s="39">
        <v>0.0</v>
      </c>
      <c r="H43" s="40">
        <v>9.0</v>
      </c>
      <c r="I43" s="39">
        <v>0.0</v>
      </c>
      <c r="J43" s="39">
        <v>0.0</v>
      </c>
      <c r="K43" s="39">
        <v>0.0</v>
      </c>
      <c r="L43" s="42">
        <v>9.0</v>
      </c>
      <c r="M43" s="39">
        <v>0.0</v>
      </c>
      <c r="N43" s="32">
        <f t="shared" ref="N43:O43" si="45">C43+L43</f>
        <v>284</v>
      </c>
      <c r="O43" s="32">
        <f t="shared" si="45"/>
        <v>23</v>
      </c>
      <c r="P43" s="43" t="s">
        <v>53</v>
      </c>
      <c r="Q43" s="43" t="s">
        <v>53</v>
      </c>
      <c r="R43" s="43" t="s">
        <v>53</v>
      </c>
      <c r="S43" s="39">
        <f t="shared" si="4"/>
        <v>0</v>
      </c>
      <c r="T43" s="39"/>
      <c r="U43" s="39">
        <f t="shared" si="5"/>
        <v>5</v>
      </c>
      <c r="V43" s="39">
        <f t="shared" si="6"/>
        <v>-1</v>
      </c>
      <c r="W43" s="30">
        <f t="shared" si="9"/>
        <v>39</v>
      </c>
    </row>
    <row r="44">
      <c r="A44" s="30">
        <f t="shared" si="7"/>
        <v>40</v>
      </c>
      <c r="B44" s="51" t="s">
        <v>108</v>
      </c>
      <c r="C44" s="46">
        <v>273.0</v>
      </c>
      <c r="D44" s="46">
        <v>13.0</v>
      </c>
      <c r="E44" s="35">
        <f t="shared" si="2"/>
        <v>14.16666667</v>
      </c>
      <c r="F44" s="37">
        <v>3.0</v>
      </c>
      <c r="G44" s="39">
        <v>0.0</v>
      </c>
      <c r="H44" s="40">
        <v>9.0</v>
      </c>
      <c r="I44" s="39">
        <v>0.0</v>
      </c>
      <c r="J44" s="39">
        <v>0.0</v>
      </c>
      <c r="K44" s="39">
        <v>0.0</v>
      </c>
      <c r="L44" s="42">
        <v>9.0</v>
      </c>
      <c r="M44" s="39">
        <v>0.0</v>
      </c>
      <c r="N44" s="32">
        <f t="shared" ref="N44:O44" si="46">C44+L44</f>
        <v>282</v>
      </c>
      <c r="O44" s="32">
        <f t="shared" si="46"/>
        <v>13</v>
      </c>
      <c r="P44" s="43" t="s">
        <v>53</v>
      </c>
      <c r="Q44" s="43" t="s">
        <v>53</v>
      </c>
      <c r="R44" s="43" t="s">
        <v>88</v>
      </c>
      <c r="S44" s="39">
        <f t="shared" si="4"/>
        <v>2</v>
      </c>
      <c r="T44" s="39"/>
      <c r="U44" s="39">
        <f t="shared" si="5"/>
        <v>18</v>
      </c>
      <c r="V44" s="39">
        <f t="shared" si="6"/>
        <v>0</v>
      </c>
      <c r="W44" s="30">
        <f t="shared" si="9"/>
        <v>40</v>
      </c>
    </row>
    <row r="45">
      <c r="A45" s="30">
        <f t="shared" si="7"/>
        <v>41</v>
      </c>
      <c r="B45" s="57" t="s">
        <v>109</v>
      </c>
      <c r="C45" s="46">
        <v>271.0</v>
      </c>
      <c r="D45" s="46">
        <v>9.0</v>
      </c>
      <c r="E45" s="35">
        <f t="shared" si="2"/>
        <v>14.25</v>
      </c>
      <c r="F45" s="37">
        <v>3.0</v>
      </c>
      <c r="G45" s="39">
        <v>0.0</v>
      </c>
      <c r="H45" s="40">
        <v>9.0</v>
      </c>
      <c r="I45" s="39">
        <v>0.0</v>
      </c>
      <c r="J45" s="39">
        <v>0.0</v>
      </c>
      <c r="K45" s="39">
        <v>0.0</v>
      </c>
      <c r="L45" s="42">
        <v>9.0</v>
      </c>
      <c r="M45" s="39">
        <v>0.0</v>
      </c>
      <c r="N45" s="32">
        <f t="shared" ref="N45:O45" si="47">C45+L45</f>
        <v>280</v>
      </c>
      <c r="O45" s="32">
        <f t="shared" si="47"/>
        <v>9</v>
      </c>
      <c r="P45" s="43" t="s">
        <v>53</v>
      </c>
      <c r="Q45" s="43" t="s">
        <v>53</v>
      </c>
      <c r="R45" s="43" t="s">
        <v>88</v>
      </c>
      <c r="S45" s="39">
        <f t="shared" si="4"/>
        <v>4</v>
      </c>
      <c r="T45" s="39"/>
      <c r="U45" s="39">
        <f t="shared" si="5"/>
        <v>18</v>
      </c>
      <c r="V45" s="39">
        <f t="shared" si="6"/>
        <v>0</v>
      </c>
      <c r="W45" s="30">
        <f t="shared" si="9"/>
        <v>41</v>
      </c>
    </row>
    <row r="46">
      <c r="A46" s="30">
        <f t="shared" si="7"/>
        <v>42</v>
      </c>
      <c r="B46" s="56" t="s">
        <v>110</v>
      </c>
      <c r="C46" s="46">
        <v>270.0</v>
      </c>
      <c r="D46" s="46">
        <v>13.0</v>
      </c>
      <c r="E46" s="35">
        <f t="shared" si="2"/>
        <v>10.53846154</v>
      </c>
      <c r="F46" s="37">
        <v>2.0</v>
      </c>
      <c r="G46" s="39">
        <v>6.0</v>
      </c>
      <c r="H46" s="40">
        <v>0.0</v>
      </c>
      <c r="I46" s="39">
        <v>2.0</v>
      </c>
      <c r="J46" s="39">
        <v>6.0</v>
      </c>
      <c r="K46" s="39">
        <v>3.0</v>
      </c>
      <c r="L46" s="42">
        <v>11.0</v>
      </c>
      <c r="M46" s="39">
        <v>1.0</v>
      </c>
      <c r="N46" s="32">
        <f t="shared" ref="N46:O46" si="48">C46+L46</f>
        <v>281</v>
      </c>
      <c r="O46" s="32">
        <f t="shared" si="48"/>
        <v>14</v>
      </c>
      <c r="P46" s="43" t="s">
        <v>53</v>
      </c>
      <c r="Q46" s="43" t="s">
        <v>53</v>
      </c>
      <c r="R46" s="43" t="s">
        <v>53</v>
      </c>
      <c r="S46" s="39">
        <f t="shared" si="4"/>
        <v>4</v>
      </c>
      <c r="T46" s="39"/>
      <c r="U46" s="39">
        <f t="shared" si="5"/>
        <v>9</v>
      </c>
      <c r="V46" s="39">
        <f t="shared" si="6"/>
        <v>0</v>
      </c>
      <c r="W46" s="30">
        <f t="shared" si="9"/>
        <v>42</v>
      </c>
    </row>
    <row r="47">
      <c r="A47" s="30">
        <f t="shared" si="7"/>
        <v>43</v>
      </c>
      <c r="B47" s="31" t="s">
        <v>56</v>
      </c>
      <c r="C47" s="46">
        <v>270.0</v>
      </c>
      <c r="D47" s="46">
        <v>11.0</v>
      </c>
      <c r="E47" s="35">
        <f t="shared" si="2"/>
        <v>14.6</v>
      </c>
      <c r="F47" s="37">
        <v>3.0</v>
      </c>
      <c r="G47" s="39">
        <v>0.0</v>
      </c>
      <c r="H47" s="40">
        <v>9.0</v>
      </c>
      <c r="I47" s="39">
        <v>0.0</v>
      </c>
      <c r="J47" s="39">
        <v>0.0</v>
      </c>
      <c r="K47" s="39">
        <v>0.0</v>
      </c>
      <c r="L47" s="42">
        <v>9.0</v>
      </c>
      <c r="M47" s="39">
        <v>0.0</v>
      </c>
      <c r="N47" s="32">
        <f t="shared" ref="N47:O47" si="49">C47+L47</f>
        <v>279</v>
      </c>
      <c r="O47" s="32">
        <f t="shared" si="49"/>
        <v>11</v>
      </c>
      <c r="P47" s="43" t="s">
        <v>53</v>
      </c>
      <c r="Q47" s="43" t="s">
        <v>53</v>
      </c>
      <c r="R47" s="43" t="s">
        <v>53</v>
      </c>
      <c r="S47" s="39">
        <f t="shared" si="4"/>
        <v>2</v>
      </c>
      <c r="T47" s="39"/>
      <c r="U47" s="39">
        <f t="shared" si="5"/>
        <v>19</v>
      </c>
      <c r="V47" s="39">
        <f t="shared" si="6"/>
        <v>0</v>
      </c>
      <c r="W47" s="30">
        <f t="shared" si="9"/>
        <v>43</v>
      </c>
    </row>
    <row r="48">
      <c r="A48" s="30">
        <f t="shared" si="7"/>
        <v>44</v>
      </c>
      <c r="B48" s="51" t="s">
        <v>111</v>
      </c>
      <c r="C48" s="46">
        <v>269.0</v>
      </c>
      <c r="D48" s="46">
        <v>13.0</v>
      </c>
      <c r="E48" s="35">
        <f t="shared" si="2"/>
        <v>11.91666667</v>
      </c>
      <c r="F48" s="37">
        <v>1.0</v>
      </c>
      <c r="G48" s="39">
        <v>6.0</v>
      </c>
      <c r="H48" s="40">
        <v>0.0</v>
      </c>
      <c r="I48" s="39">
        <v>2.0</v>
      </c>
      <c r="J48" s="39">
        <v>3.0</v>
      </c>
      <c r="K48" s="39">
        <v>6.0</v>
      </c>
      <c r="L48" s="42">
        <v>11.0</v>
      </c>
      <c r="M48" s="39">
        <v>1.0</v>
      </c>
      <c r="N48" s="32">
        <f t="shared" ref="N48:O48" si="50">C48+L48</f>
        <v>280</v>
      </c>
      <c r="O48" s="32">
        <f t="shared" si="50"/>
        <v>14</v>
      </c>
      <c r="P48" s="43" t="s">
        <v>53</v>
      </c>
      <c r="Q48" s="43" t="s">
        <v>53</v>
      </c>
      <c r="R48" s="43" t="s">
        <v>53</v>
      </c>
      <c r="S48" s="39">
        <f t="shared" si="4"/>
        <v>0</v>
      </c>
      <c r="T48" s="39"/>
      <c r="U48" s="39">
        <f t="shared" si="5"/>
        <v>14</v>
      </c>
      <c r="V48" s="39">
        <f t="shared" si="6"/>
        <v>2</v>
      </c>
      <c r="W48" s="30">
        <f t="shared" si="9"/>
        <v>44</v>
      </c>
    </row>
    <row r="49">
      <c r="A49" s="30">
        <f t="shared" si="7"/>
        <v>45</v>
      </c>
      <c r="B49" s="51" t="s">
        <v>112</v>
      </c>
      <c r="C49" s="46">
        <v>268.0</v>
      </c>
      <c r="D49" s="46">
        <v>17.0</v>
      </c>
      <c r="E49" s="35">
        <f t="shared" si="2"/>
        <v>11.42857143</v>
      </c>
      <c r="F49" s="37">
        <v>1.0</v>
      </c>
      <c r="G49" s="39">
        <v>7.0</v>
      </c>
      <c r="H49" s="40">
        <v>0.0</v>
      </c>
      <c r="I49" s="39">
        <v>6.0</v>
      </c>
      <c r="J49" s="39">
        <v>6.0</v>
      </c>
      <c r="K49" s="39">
        <v>6.0</v>
      </c>
      <c r="L49" s="42">
        <v>18.0</v>
      </c>
      <c r="M49" s="39">
        <v>3.0</v>
      </c>
      <c r="N49" s="32">
        <f t="shared" ref="N49:O49" si="51">C49+L49</f>
        <v>286</v>
      </c>
      <c r="O49" s="32">
        <f t="shared" si="51"/>
        <v>20</v>
      </c>
      <c r="P49" s="43" t="s">
        <v>53</v>
      </c>
      <c r="Q49" s="43" t="s">
        <v>53</v>
      </c>
      <c r="R49" s="43" t="s">
        <v>53</v>
      </c>
      <c r="S49" s="39">
        <f t="shared" si="4"/>
        <v>0</v>
      </c>
      <c r="T49" s="39"/>
      <c r="U49" s="39">
        <f t="shared" si="5"/>
        <v>12</v>
      </c>
      <c r="V49" s="39">
        <f t="shared" si="6"/>
        <v>2</v>
      </c>
      <c r="W49" s="30">
        <f t="shared" si="9"/>
        <v>45</v>
      </c>
    </row>
    <row r="50">
      <c r="A50" s="30">
        <f t="shared" si="7"/>
        <v>46</v>
      </c>
      <c r="B50" s="51" t="s">
        <v>113</v>
      </c>
      <c r="C50" s="46">
        <v>267.0</v>
      </c>
      <c r="D50" s="46">
        <v>15.0</v>
      </c>
      <c r="E50" s="35">
        <f t="shared" si="2"/>
        <v>10.23529412</v>
      </c>
      <c r="F50" s="37">
        <v>2.0</v>
      </c>
      <c r="G50" s="39">
        <v>7.0</v>
      </c>
      <c r="H50" s="40">
        <v>0.0</v>
      </c>
      <c r="I50" s="39">
        <v>4.0</v>
      </c>
      <c r="J50" s="39">
        <v>6.0</v>
      </c>
      <c r="K50" s="39">
        <v>3.0</v>
      </c>
      <c r="L50" s="42">
        <v>13.0</v>
      </c>
      <c r="M50" s="39">
        <v>1.0</v>
      </c>
      <c r="N50" s="32">
        <f t="shared" ref="N50:O50" si="52">C50+L50</f>
        <v>280</v>
      </c>
      <c r="O50" s="32">
        <f t="shared" si="52"/>
        <v>16</v>
      </c>
      <c r="P50" s="43" t="s">
        <v>53</v>
      </c>
      <c r="Q50" s="43" t="s">
        <v>53</v>
      </c>
      <c r="R50" s="43" t="s">
        <v>53</v>
      </c>
      <c r="S50" s="39">
        <f t="shared" si="4"/>
        <v>3</v>
      </c>
      <c r="T50" s="39"/>
      <c r="U50" s="39">
        <f t="shared" si="5"/>
        <v>6</v>
      </c>
      <c r="V50" s="39">
        <f t="shared" si="6"/>
        <v>-2</v>
      </c>
      <c r="W50" s="30">
        <f t="shared" si="9"/>
        <v>46</v>
      </c>
    </row>
    <row r="51">
      <c r="A51" s="30">
        <f t="shared" si="7"/>
        <v>47</v>
      </c>
      <c r="B51" s="51" t="s">
        <v>114</v>
      </c>
      <c r="C51" s="46">
        <v>261.0</v>
      </c>
      <c r="D51" s="46">
        <v>13.0</v>
      </c>
      <c r="E51" s="35">
        <f t="shared" si="2"/>
        <v>10.72727273</v>
      </c>
      <c r="F51" s="37">
        <v>3.0</v>
      </c>
      <c r="G51" s="39">
        <v>0.0</v>
      </c>
      <c r="H51" s="40">
        <v>9.0</v>
      </c>
      <c r="I51" s="39">
        <v>0.0</v>
      </c>
      <c r="J51" s="39">
        <v>0.0</v>
      </c>
      <c r="K51" s="39">
        <v>0.0</v>
      </c>
      <c r="L51" s="42">
        <v>9.0</v>
      </c>
      <c r="M51" s="39">
        <v>0.0</v>
      </c>
      <c r="N51" s="32">
        <f t="shared" ref="N51:O51" si="53">C51+L51</f>
        <v>270</v>
      </c>
      <c r="O51" s="32">
        <f t="shared" si="53"/>
        <v>13</v>
      </c>
      <c r="P51" s="43" t="s">
        <v>53</v>
      </c>
      <c r="Q51" s="43" t="s">
        <v>53</v>
      </c>
      <c r="R51" s="43" t="s">
        <v>53</v>
      </c>
      <c r="S51" s="39">
        <f t="shared" si="4"/>
        <v>2</v>
      </c>
      <c r="T51" s="39"/>
      <c r="U51" s="39">
        <f t="shared" si="5"/>
        <v>13</v>
      </c>
      <c r="V51" s="39">
        <f t="shared" si="6"/>
        <v>-2</v>
      </c>
      <c r="W51" s="30">
        <f t="shared" si="9"/>
        <v>47</v>
      </c>
    </row>
    <row r="52">
      <c r="A52" s="30">
        <f t="shared" si="7"/>
        <v>48</v>
      </c>
      <c r="B52" s="56" t="s">
        <v>115</v>
      </c>
      <c r="C52" s="46">
        <v>259.0</v>
      </c>
      <c r="D52" s="46">
        <v>16.0</v>
      </c>
      <c r="E52" s="35">
        <f t="shared" si="2"/>
        <v>10.47058824</v>
      </c>
      <c r="F52" s="37">
        <v>3.0</v>
      </c>
      <c r="G52" s="39">
        <v>0.0</v>
      </c>
      <c r="H52" s="40">
        <v>9.0</v>
      </c>
      <c r="I52" s="39">
        <v>0.0</v>
      </c>
      <c r="J52" s="39">
        <v>0.0</v>
      </c>
      <c r="K52" s="39">
        <v>0.0</v>
      </c>
      <c r="L52" s="42">
        <v>9.0</v>
      </c>
      <c r="M52" s="39">
        <v>0.0</v>
      </c>
      <c r="N52" s="32">
        <f t="shared" ref="N52:O52" si="54">C52+L52</f>
        <v>268</v>
      </c>
      <c r="O52" s="32">
        <f t="shared" si="54"/>
        <v>16</v>
      </c>
      <c r="P52" s="43" t="s">
        <v>53</v>
      </c>
      <c r="Q52" s="43" t="s">
        <v>53</v>
      </c>
      <c r="R52" s="43" t="s">
        <v>53</v>
      </c>
      <c r="S52" s="39">
        <f t="shared" si="4"/>
        <v>0</v>
      </c>
      <c r="T52" s="39"/>
      <c r="U52" s="39">
        <f t="shared" si="5"/>
        <v>9</v>
      </c>
      <c r="V52" s="39">
        <f t="shared" si="6"/>
        <v>0</v>
      </c>
      <c r="W52" s="30">
        <f t="shared" si="9"/>
        <v>48</v>
      </c>
    </row>
    <row r="53">
      <c r="A53" s="30">
        <f t="shared" si="7"/>
        <v>49</v>
      </c>
      <c r="B53" s="51" t="s">
        <v>116</v>
      </c>
      <c r="C53" s="46">
        <v>259.0</v>
      </c>
      <c r="D53" s="46">
        <v>15.0</v>
      </c>
      <c r="E53" s="35">
        <f t="shared" si="2"/>
        <v>10.3125</v>
      </c>
      <c r="F53" s="37">
        <v>3.0</v>
      </c>
      <c r="G53" s="39">
        <v>0.0</v>
      </c>
      <c r="H53" s="40">
        <v>9.0</v>
      </c>
      <c r="I53" s="39">
        <v>0.0</v>
      </c>
      <c r="J53" s="39">
        <v>0.0</v>
      </c>
      <c r="K53" s="39">
        <v>0.0</v>
      </c>
      <c r="L53" s="42">
        <v>9.0</v>
      </c>
      <c r="M53" s="39">
        <v>0.0</v>
      </c>
      <c r="N53" s="32">
        <f t="shared" ref="N53:O53" si="55">C53+L53</f>
        <v>268</v>
      </c>
      <c r="O53" s="32">
        <f t="shared" si="55"/>
        <v>15</v>
      </c>
      <c r="P53" s="43" t="s">
        <v>53</v>
      </c>
      <c r="Q53" s="43" t="s">
        <v>53</v>
      </c>
      <c r="R53" s="43" t="s">
        <v>53</v>
      </c>
      <c r="S53" s="39">
        <f t="shared" si="4"/>
        <v>1</v>
      </c>
      <c r="T53" s="39"/>
      <c r="U53" s="39">
        <f t="shared" si="5"/>
        <v>9</v>
      </c>
      <c r="V53" s="39">
        <f t="shared" si="6"/>
        <v>0</v>
      </c>
      <c r="W53" s="30">
        <f t="shared" si="9"/>
        <v>49</v>
      </c>
    </row>
    <row r="54">
      <c r="A54" s="30">
        <f t="shared" si="7"/>
        <v>50</v>
      </c>
      <c r="B54" s="31" t="s">
        <v>117</v>
      </c>
      <c r="C54" s="46">
        <v>258.0</v>
      </c>
      <c r="D54" s="46">
        <v>7.0</v>
      </c>
      <c r="E54" s="35">
        <f t="shared" si="2"/>
        <v>13</v>
      </c>
      <c r="F54" s="37">
        <v>3.0</v>
      </c>
      <c r="G54" s="39">
        <v>0.0</v>
      </c>
      <c r="H54" s="40">
        <v>9.0</v>
      </c>
      <c r="I54" s="39">
        <v>0.0</v>
      </c>
      <c r="J54" s="39">
        <v>0.0</v>
      </c>
      <c r="K54" s="39">
        <v>0.0</v>
      </c>
      <c r="L54" s="42">
        <v>9.0</v>
      </c>
      <c r="M54" s="39">
        <v>0.0</v>
      </c>
      <c r="N54" s="32">
        <f t="shared" ref="N54:O54" si="56">C54+L54</f>
        <v>267</v>
      </c>
      <c r="O54" s="32">
        <f t="shared" si="56"/>
        <v>7</v>
      </c>
      <c r="P54" s="43" t="s">
        <v>53</v>
      </c>
      <c r="Q54" s="43" t="s">
        <v>53</v>
      </c>
      <c r="R54" s="43" t="s">
        <v>53</v>
      </c>
      <c r="S54" s="39">
        <f t="shared" si="4"/>
        <v>2</v>
      </c>
      <c r="T54" s="39"/>
      <c r="U54" s="39">
        <f t="shared" si="5"/>
        <v>20</v>
      </c>
      <c r="V54" s="39">
        <f t="shared" si="6"/>
        <v>5</v>
      </c>
      <c r="W54" s="30">
        <f t="shared" si="9"/>
        <v>50</v>
      </c>
    </row>
    <row r="55">
      <c r="A55" s="30">
        <f t="shared" si="7"/>
        <v>51</v>
      </c>
      <c r="B55" s="51" t="s">
        <v>118</v>
      </c>
      <c r="C55" s="46">
        <v>257.0</v>
      </c>
      <c r="D55" s="46">
        <v>13.0</v>
      </c>
      <c r="E55" s="35">
        <f t="shared" si="2"/>
        <v>10.91666667</v>
      </c>
      <c r="F55" s="37">
        <v>3.0</v>
      </c>
      <c r="G55" s="39">
        <v>0.0</v>
      </c>
      <c r="H55" s="40">
        <v>9.0</v>
      </c>
      <c r="I55" s="39">
        <v>0.0</v>
      </c>
      <c r="J55" s="39">
        <v>0.0</v>
      </c>
      <c r="K55" s="39">
        <v>0.0</v>
      </c>
      <c r="L55" s="42">
        <v>9.0</v>
      </c>
      <c r="M55" s="39">
        <v>0.0</v>
      </c>
      <c r="N55" s="32">
        <f t="shared" ref="N55:O55" si="57">C55+L55</f>
        <v>266</v>
      </c>
      <c r="O55" s="32">
        <f t="shared" si="57"/>
        <v>13</v>
      </c>
      <c r="P55" s="43" t="s">
        <v>53</v>
      </c>
      <c r="Q55" s="43" t="s">
        <v>53</v>
      </c>
      <c r="R55" s="43" t="s">
        <v>53</v>
      </c>
      <c r="S55" s="39">
        <f t="shared" si="4"/>
        <v>0</v>
      </c>
      <c r="T55" s="39"/>
      <c r="U55" s="39">
        <f t="shared" si="5"/>
        <v>14</v>
      </c>
      <c r="V55" s="39">
        <f t="shared" si="6"/>
        <v>0</v>
      </c>
      <c r="W55" s="30">
        <f t="shared" si="9"/>
        <v>51</v>
      </c>
    </row>
    <row r="56">
      <c r="A56" s="30">
        <f t="shared" si="7"/>
        <v>52</v>
      </c>
      <c r="B56" s="31" t="s">
        <v>119</v>
      </c>
      <c r="C56" s="46">
        <v>254.0</v>
      </c>
      <c r="D56" s="46">
        <v>9.0</v>
      </c>
      <c r="E56" s="35">
        <f t="shared" si="2"/>
        <v>13</v>
      </c>
      <c r="F56" s="37">
        <v>3.0</v>
      </c>
      <c r="G56" s="39">
        <v>0.0</v>
      </c>
      <c r="H56" s="40">
        <v>9.0</v>
      </c>
      <c r="I56" s="39">
        <v>0.0</v>
      </c>
      <c r="J56" s="39">
        <v>0.0</v>
      </c>
      <c r="K56" s="39">
        <v>0.0</v>
      </c>
      <c r="L56" s="42">
        <v>9.0</v>
      </c>
      <c r="M56" s="39">
        <v>0.0</v>
      </c>
      <c r="N56" s="32">
        <f t="shared" ref="N56:O56" si="58">C56+L56</f>
        <v>263</v>
      </c>
      <c r="O56" s="32">
        <f t="shared" si="58"/>
        <v>9</v>
      </c>
      <c r="P56" s="43" t="s">
        <v>53</v>
      </c>
      <c r="Q56" s="43" t="s">
        <v>53</v>
      </c>
      <c r="R56" s="43" t="s">
        <v>53</v>
      </c>
      <c r="S56" s="39">
        <f t="shared" si="4"/>
        <v>1</v>
      </c>
      <c r="T56" s="39"/>
      <c r="U56" s="39">
        <f t="shared" si="5"/>
        <v>21</v>
      </c>
      <c r="V56" s="39">
        <f t="shared" si="6"/>
        <v>-2</v>
      </c>
      <c r="W56" s="30">
        <f t="shared" si="9"/>
        <v>52</v>
      </c>
    </row>
    <row r="57">
      <c r="A57" s="30">
        <f t="shared" si="7"/>
        <v>53</v>
      </c>
      <c r="B57" s="31" t="s">
        <v>81</v>
      </c>
      <c r="C57" s="46">
        <v>253.0</v>
      </c>
      <c r="D57" s="46">
        <v>7.0</v>
      </c>
      <c r="E57" s="35">
        <f t="shared" si="2"/>
        <v>11.2</v>
      </c>
      <c r="F57" s="37">
        <v>3.0</v>
      </c>
      <c r="G57" s="39">
        <v>0.0</v>
      </c>
      <c r="H57" s="40">
        <v>9.0</v>
      </c>
      <c r="I57" s="39">
        <v>0.0</v>
      </c>
      <c r="J57" s="39">
        <v>0.0</v>
      </c>
      <c r="K57" s="39">
        <v>0.0</v>
      </c>
      <c r="L57" s="42">
        <v>9.0</v>
      </c>
      <c r="M57" s="39">
        <v>0.0</v>
      </c>
      <c r="N57" s="32">
        <f t="shared" ref="N57:O57" si="59">C57+L57</f>
        <v>262</v>
      </c>
      <c r="O57" s="32">
        <f t="shared" si="59"/>
        <v>7</v>
      </c>
      <c r="P57" s="43" t="s">
        <v>53</v>
      </c>
      <c r="Q57" s="43" t="s">
        <v>53</v>
      </c>
      <c r="R57" s="43" t="s">
        <v>53</v>
      </c>
      <c r="S57" s="39">
        <f t="shared" si="4"/>
        <v>2</v>
      </c>
      <c r="T57" s="39"/>
      <c r="U57" s="39">
        <f t="shared" si="5"/>
        <v>19</v>
      </c>
      <c r="V57" s="39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51" t="s">
        <v>75</v>
      </c>
      <c r="C58" s="46">
        <v>253.0</v>
      </c>
      <c r="D58" s="46">
        <v>6.0</v>
      </c>
      <c r="E58" s="35">
        <f t="shared" si="2"/>
        <v>14.5</v>
      </c>
      <c r="F58" s="37">
        <v>3.0</v>
      </c>
      <c r="G58" s="39">
        <v>0.0</v>
      </c>
      <c r="H58" s="40">
        <v>9.0</v>
      </c>
      <c r="I58" s="39">
        <v>0.0</v>
      </c>
      <c r="J58" s="39">
        <v>0.0</v>
      </c>
      <c r="K58" s="39">
        <v>0.0</v>
      </c>
      <c r="L58" s="42">
        <v>9.0</v>
      </c>
      <c r="M58" s="39">
        <v>0.0</v>
      </c>
      <c r="N58" s="32">
        <f t="shared" ref="N58:O58" si="60">C58+L58</f>
        <v>262</v>
      </c>
      <c r="O58" s="32">
        <f t="shared" si="60"/>
        <v>6</v>
      </c>
      <c r="P58" s="43" t="s">
        <v>53</v>
      </c>
      <c r="Q58" s="43" t="s">
        <v>53</v>
      </c>
      <c r="R58" s="43" t="s">
        <v>88</v>
      </c>
      <c r="S58" s="39">
        <f t="shared" si="4"/>
        <v>2</v>
      </c>
      <c r="T58" s="39"/>
      <c r="U58" s="39">
        <f t="shared" si="5"/>
        <v>22</v>
      </c>
      <c r="V58" s="39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56" t="s">
        <v>51</v>
      </c>
      <c r="C59" s="46">
        <v>252.0</v>
      </c>
      <c r="D59" s="46">
        <v>12.0</v>
      </c>
      <c r="E59" s="35">
        <f t="shared" si="2"/>
        <v>10.27272727</v>
      </c>
      <c r="F59" s="37">
        <v>1.0</v>
      </c>
      <c r="G59" s="39">
        <v>7.0</v>
      </c>
      <c r="H59" s="40">
        <v>0.0</v>
      </c>
      <c r="I59" s="39">
        <v>4.0</v>
      </c>
      <c r="J59" s="39">
        <v>1.0</v>
      </c>
      <c r="K59" s="39">
        <v>6.0</v>
      </c>
      <c r="L59" s="42">
        <v>11.0</v>
      </c>
      <c r="M59" s="39">
        <v>1.0</v>
      </c>
      <c r="N59" s="32">
        <f t="shared" ref="N59:O59" si="61">C59+L59</f>
        <v>263</v>
      </c>
      <c r="O59" s="32">
        <f t="shared" si="61"/>
        <v>13</v>
      </c>
      <c r="P59" s="43" t="s">
        <v>53</v>
      </c>
      <c r="Q59" s="43" t="s">
        <v>53</v>
      </c>
      <c r="R59" s="43" t="s">
        <v>53</v>
      </c>
      <c r="S59" s="39">
        <f t="shared" si="4"/>
        <v>1</v>
      </c>
      <c r="T59" s="39"/>
      <c r="U59" s="39">
        <f t="shared" si="5"/>
        <v>14</v>
      </c>
      <c r="V59" s="39">
        <f t="shared" si="6"/>
        <v>1</v>
      </c>
      <c r="W59" s="30">
        <f t="shared" si="9"/>
        <v>55</v>
      </c>
    </row>
    <row r="60">
      <c r="A60" s="30">
        <f t="shared" si="7"/>
        <v>56</v>
      </c>
      <c r="B60" s="31" t="s">
        <v>120</v>
      </c>
      <c r="C60" s="46">
        <v>251.0</v>
      </c>
      <c r="D60" s="46">
        <v>6.0</v>
      </c>
      <c r="E60" s="35">
        <f t="shared" si="2"/>
        <v>11.6</v>
      </c>
      <c r="F60" s="37">
        <v>3.0</v>
      </c>
      <c r="G60" s="39">
        <v>0.0</v>
      </c>
      <c r="H60" s="40">
        <v>9.0</v>
      </c>
      <c r="I60" s="39">
        <v>0.0</v>
      </c>
      <c r="J60" s="39">
        <v>0.0</v>
      </c>
      <c r="K60" s="39">
        <v>0.0</v>
      </c>
      <c r="L60" s="42">
        <v>9.0</v>
      </c>
      <c r="M60" s="39">
        <v>0.0</v>
      </c>
      <c r="N60" s="32">
        <f t="shared" ref="N60:O60" si="62">C60+L60</f>
        <v>260</v>
      </c>
      <c r="O60" s="32">
        <f t="shared" si="62"/>
        <v>6</v>
      </c>
      <c r="P60" s="43" t="s">
        <v>53</v>
      </c>
      <c r="Q60" s="43" t="s">
        <v>53</v>
      </c>
      <c r="R60" s="43" t="s">
        <v>53</v>
      </c>
      <c r="S60" s="39">
        <f t="shared" si="4"/>
        <v>1</v>
      </c>
      <c r="T60" s="39"/>
      <c r="U60" s="39">
        <f t="shared" si="5"/>
        <v>20</v>
      </c>
      <c r="V60" s="39">
        <f t="shared" si="6"/>
        <v>-2</v>
      </c>
      <c r="W60" s="30">
        <f t="shared" si="9"/>
        <v>56</v>
      </c>
    </row>
    <row r="61">
      <c r="A61" s="30">
        <f t="shared" si="7"/>
        <v>57</v>
      </c>
      <c r="B61" s="51" t="s">
        <v>121</v>
      </c>
      <c r="C61" s="46">
        <v>242.0</v>
      </c>
      <c r="D61" s="46">
        <v>7.0</v>
      </c>
      <c r="E61" s="35">
        <f t="shared" si="2"/>
        <v>10.33333333</v>
      </c>
      <c r="F61" s="37">
        <v>1.0</v>
      </c>
      <c r="G61" s="39">
        <v>7.0</v>
      </c>
      <c r="H61" s="40">
        <v>0.0</v>
      </c>
      <c r="I61" s="39">
        <v>6.0</v>
      </c>
      <c r="J61" s="39">
        <v>1.0</v>
      </c>
      <c r="K61" s="39">
        <v>3.0</v>
      </c>
      <c r="L61" s="42">
        <v>10.0</v>
      </c>
      <c r="M61" s="39">
        <v>1.0</v>
      </c>
      <c r="N61" s="32">
        <f t="shared" ref="N61:O61" si="63">C61+L61</f>
        <v>252</v>
      </c>
      <c r="O61" s="32">
        <f t="shared" si="63"/>
        <v>8</v>
      </c>
      <c r="P61" s="43" t="s">
        <v>53</v>
      </c>
      <c r="Q61" s="43" t="s">
        <v>53</v>
      </c>
      <c r="R61" s="43" t="s">
        <v>53</v>
      </c>
      <c r="S61" s="39">
        <f t="shared" si="4"/>
        <v>0</v>
      </c>
      <c r="T61" s="39"/>
      <c r="U61" s="39">
        <f t="shared" si="5"/>
        <v>20</v>
      </c>
      <c r="V61" s="39">
        <f t="shared" si="6"/>
        <v>2</v>
      </c>
      <c r="W61" s="30">
        <f t="shared" si="9"/>
        <v>57</v>
      </c>
    </row>
    <row r="62">
      <c r="A62" s="30">
        <f t="shared" si="7"/>
        <v>58</v>
      </c>
      <c r="B62" s="56" t="s">
        <v>122</v>
      </c>
      <c r="C62" s="46">
        <v>238.0</v>
      </c>
      <c r="D62" s="46">
        <v>3.0</v>
      </c>
      <c r="E62" s="35">
        <f t="shared" si="2"/>
        <v>9</v>
      </c>
      <c r="F62" s="37">
        <v>3.0</v>
      </c>
      <c r="G62" s="39">
        <v>0.0</v>
      </c>
      <c r="H62" s="40">
        <v>9.0</v>
      </c>
      <c r="I62" s="39">
        <v>0.0</v>
      </c>
      <c r="J62" s="39">
        <v>0.0</v>
      </c>
      <c r="K62" s="39">
        <v>0.0</v>
      </c>
      <c r="L62" s="42">
        <v>9.0</v>
      </c>
      <c r="M62" s="39">
        <v>0.0</v>
      </c>
      <c r="N62" s="32">
        <f t="shared" ref="N62:O62" si="64">C62+L62</f>
        <v>247</v>
      </c>
      <c r="O62" s="32">
        <f t="shared" si="64"/>
        <v>3</v>
      </c>
      <c r="P62" s="43" t="s">
        <v>53</v>
      </c>
      <c r="Q62" s="43" t="s">
        <v>53</v>
      </c>
      <c r="R62" s="43" t="s">
        <v>53</v>
      </c>
      <c r="S62" s="39">
        <f t="shared" si="4"/>
        <v>1</v>
      </c>
      <c r="T62" s="39"/>
      <c r="U62" s="39">
        <f t="shared" si="5"/>
        <v>21</v>
      </c>
      <c r="V62" s="39">
        <f t="shared" si="6"/>
        <v>-1</v>
      </c>
      <c r="W62" s="30">
        <f t="shared" si="9"/>
        <v>58</v>
      </c>
    </row>
    <row r="63">
      <c r="A63" s="30">
        <f t="shared" si="7"/>
        <v>59</v>
      </c>
      <c r="B63" s="31" t="s">
        <v>123</v>
      </c>
      <c r="C63" s="46">
        <v>237.0</v>
      </c>
      <c r="D63" s="46">
        <v>5.0</v>
      </c>
      <c r="E63" s="35">
        <f t="shared" si="2"/>
        <v>10.5</v>
      </c>
      <c r="F63" s="37">
        <v>3.0</v>
      </c>
      <c r="G63" s="39">
        <v>0.0</v>
      </c>
      <c r="H63" s="40">
        <v>9.0</v>
      </c>
      <c r="I63" s="39">
        <v>0.0</v>
      </c>
      <c r="J63" s="39">
        <v>0.0</v>
      </c>
      <c r="K63" s="39">
        <v>0.0</v>
      </c>
      <c r="L63" s="42">
        <v>9.0</v>
      </c>
      <c r="M63" s="39">
        <v>0.0</v>
      </c>
      <c r="N63" s="32">
        <f t="shared" ref="N63:O63" si="65">C63+L63</f>
        <v>246</v>
      </c>
      <c r="O63" s="32">
        <f t="shared" si="65"/>
        <v>5</v>
      </c>
      <c r="P63" s="43" t="s">
        <v>53</v>
      </c>
      <c r="Q63" s="43" t="s">
        <v>53</v>
      </c>
      <c r="R63" s="43" t="s">
        <v>53</v>
      </c>
      <c r="S63" s="39">
        <f t="shared" si="4"/>
        <v>0</v>
      </c>
      <c r="T63" s="39"/>
      <c r="U63" s="39">
        <f t="shared" si="5"/>
        <v>24</v>
      </c>
      <c r="V63" s="39">
        <f t="shared" si="6"/>
        <v>-1</v>
      </c>
      <c r="W63" s="30">
        <f t="shared" si="9"/>
        <v>59</v>
      </c>
    </row>
    <row r="64">
      <c r="A64" s="30">
        <f t="shared" si="7"/>
        <v>60</v>
      </c>
      <c r="B64" s="31" t="s">
        <v>124</v>
      </c>
      <c r="C64" s="46">
        <v>234.0</v>
      </c>
      <c r="D64" s="46">
        <v>4.0</v>
      </c>
      <c r="E64" s="35">
        <f t="shared" si="2"/>
        <v>7.666666667</v>
      </c>
      <c r="F64" s="37">
        <v>3.0</v>
      </c>
      <c r="G64" s="39">
        <v>0.0</v>
      </c>
      <c r="H64" s="40">
        <v>9.0</v>
      </c>
      <c r="I64" s="39">
        <v>0.0</v>
      </c>
      <c r="J64" s="39">
        <v>0.0</v>
      </c>
      <c r="K64" s="39">
        <v>0.0</v>
      </c>
      <c r="L64" s="42">
        <v>9.0</v>
      </c>
      <c r="M64" s="39">
        <v>0.0</v>
      </c>
      <c r="N64" s="32">
        <f t="shared" ref="N64:O64" si="66">C64+L64</f>
        <v>243</v>
      </c>
      <c r="O64" s="32">
        <f t="shared" si="66"/>
        <v>4</v>
      </c>
      <c r="P64" s="43" t="s">
        <v>53</v>
      </c>
      <c r="Q64" s="43" t="s">
        <v>53</v>
      </c>
      <c r="R64" s="43" t="s">
        <v>88</v>
      </c>
      <c r="S64" s="39">
        <f t="shared" si="4"/>
        <v>1</v>
      </c>
      <c r="T64" s="39"/>
      <c r="U64" s="39">
        <f t="shared" si="5"/>
        <v>22</v>
      </c>
      <c r="V64" s="39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31" t="s">
        <v>125</v>
      </c>
      <c r="C65" s="46">
        <v>234.0</v>
      </c>
      <c r="D65" s="46">
        <v>3.0</v>
      </c>
      <c r="E65" s="35">
        <f t="shared" si="2"/>
        <v>9</v>
      </c>
      <c r="F65" s="37">
        <v>3.0</v>
      </c>
      <c r="G65" s="39">
        <v>0.0</v>
      </c>
      <c r="H65" s="40">
        <v>9.0</v>
      </c>
      <c r="I65" s="39">
        <v>0.0</v>
      </c>
      <c r="J65" s="39">
        <v>0.0</v>
      </c>
      <c r="K65" s="39">
        <v>0.0</v>
      </c>
      <c r="L65" s="42">
        <v>9.0</v>
      </c>
      <c r="M65" s="39">
        <v>0.0</v>
      </c>
      <c r="N65" s="32">
        <f t="shared" ref="N65:O65" si="67">C65+L65</f>
        <v>243</v>
      </c>
      <c r="O65" s="32">
        <f t="shared" si="67"/>
        <v>3</v>
      </c>
      <c r="P65" s="43" t="s">
        <v>53</v>
      </c>
      <c r="Q65" s="43" t="s">
        <v>53</v>
      </c>
      <c r="R65" s="43" t="s">
        <v>53</v>
      </c>
      <c r="S65" s="39">
        <f t="shared" si="4"/>
        <v>0</v>
      </c>
      <c r="T65" s="39"/>
      <c r="U65" s="39">
        <f t="shared" si="5"/>
        <v>25</v>
      </c>
      <c r="V65" s="39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31" t="s">
        <v>72</v>
      </c>
      <c r="C66" s="46">
        <v>229.0</v>
      </c>
      <c r="D66" s="46">
        <v>0.0</v>
      </c>
      <c r="E66" s="35">
        <f t="shared" si="2"/>
        <v>4.5</v>
      </c>
      <c r="F66" s="37">
        <v>3.0</v>
      </c>
      <c r="G66" s="39"/>
      <c r="H66" s="40">
        <v>9.0</v>
      </c>
      <c r="I66" s="39"/>
      <c r="J66" s="39"/>
      <c r="K66" s="39"/>
      <c r="L66" s="42">
        <v>9.0</v>
      </c>
      <c r="M66" s="39"/>
      <c r="N66" s="32">
        <f t="shared" ref="N66:O66" si="68">C66+L66</f>
        <v>238</v>
      </c>
      <c r="O66" s="32">
        <f t="shared" si="68"/>
        <v>0</v>
      </c>
      <c r="P66" s="43" t="s">
        <v>53</v>
      </c>
      <c r="Q66" s="43" t="s">
        <v>53</v>
      </c>
      <c r="R66" s="43" t="s">
        <v>88</v>
      </c>
      <c r="S66" s="39">
        <f t="shared" si="4"/>
        <v>1</v>
      </c>
      <c r="T66" s="39"/>
      <c r="U66" s="39">
        <f t="shared" si="5"/>
        <v>23</v>
      </c>
      <c r="V66" s="39"/>
      <c r="W66" s="30">
        <f t="shared" si="9"/>
        <v>62</v>
      </c>
    </row>
    <row r="67">
      <c r="A67" s="30">
        <f t="shared" si="7"/>
        <v>63</v>
      </c>
      <c r="B67" s="31" t="s">
        <v>126</v>
      </c>
      <c r="C67" s="46">
        <v>229.0</v>
      </c>
      <c r="D67" s="46">
        <v>0.0</v>
      </c>
      <c r="E67" s="35">
        <f t="shared" si="2"/>
        <v>0</v>
      </c>
      <c r="F67" s="37">
        <v>3.0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238</v>
      </c>
      <c r="O67" s="32">
        <f t="shared" si="69"/>
        <v>0</v>
      </c>
      <c r="P67" s="43" t="s">
        <v>53</v>
      </c>
      <c r="Q67" s="43" t="s">
        <v>53</v>
      </c>
      <c r="R67" s="43" t="s">
        <v>88</v>
      </c>
      <c r="S67" s="39">
        <f t="shared" si="4"/>
        <v>1</v>
      </c>
      <c r="T67" s="39"/>
      <c r="U67" s="39">
        <f t="shared" si="5"/>
        <v>24</v>
      </c>
      <c r="V67" s="39">
        <f t="shared" ref="V67:V69" si="71">VLOOKUP(B67,indirect($AB$2&amp;"!B$5:w$70"),22,false)-A67</f>
        <v>0</v>
      </c>
      <c r="W67" s="30">
        <f t="shared" si="9"/>
        <v>63</v>
      </c>
    </row>
    <row r="68">
      <c r="A68" s="30">
        <f t="shared" si="7"/>
        <v>64</v>
      </c>
      <c r="B68" s="51" t="s">
        <v>80</v>
      </c>
      <c r="C68" s="46">
        <v>219.0</v>
      </c>
      <c r="D68" s="46">
        <v>11.0</v>
      </c>
      <c r="E68" s="35">
        <f t="shared" si="2"/>
        <v>8.0625</v>
      </c>
      <c r="F68" s="37">
        <v>3.0</v>
      </c>
      <c r="G68" s="39">
        <v>0.0</v>
      </c>
      <c r="H68" s="40">
        <v>9.0</v>
      </c>
      <c r="I68" s="39">
        <v>0.0</v>
      </c>
      <c r="J68" s="39">
        <v>0.0</v>
      </c>
      <c r="K68" s="39">
        <v>0.0</v>
      </c>
      <c r="L68" s="42">
        <v>9.0</v>
      </c>
      <c r="M68" s="39">
        <v>0.0</v>
      </c>
      <c r="N68" s="32">
        <f t="shared" ref="N68:O68" si="70">C68+L68</f>
        <v>228</v>
      </c>
      <c r="O68" s="32">
        <f t="shared" si="70"/>
        <v>11</v>
      </c>
      <c r="P68" s="43" t="s">
        <v>53</v>
      </c>
      <c r="Q68" s="43" t="s">
        <v>53</v>
      </c>
      <c r="R68" s="43" t="s">
        <v>53</v>
      </c>
      <c r="S68" s="39">
        <f t="shared" si="4"/>
        <v>0</v>
      </c>
      <c r="T68" s="39"/>
      <c r="U68" s="39">
        <f t="shared" si="5"/>
        <v>10</v>
      </c>
      <c r="V68" s="39">
        <f t="shared" si="71"/>
        <v>0</v>
      </c>
      <c r="W68" s="30">
        <f t="shared" si="9"/>
        <v>64</v>
      </c>
    </row>
    <row r="69">
      <c r="A69" s="30">
        <f t="shared" si="7"/>
        <v>65</v>
      </c>
      <c r="B69" s="51" t="s">
        <v>74</v>
      </c>
      <c r="C69" s="46">
        <v>216.0</v>
      </c>
      <c r="D69" s="46">
        <v>0.0</v>
      </c>
      <c r="E69" s="35" t="str">
        <f t="shared" si="2"/>
        <v>#DIV/0!</v>
      </c>
      <c r="F69" s="37">
        <v>3.0</v>
      </c>
      <c r="G69" s="39">
        <v>0.0</v>
      </c>
      <c r="H69" s="40">
        <v>9.0</v>
      </c>
      <c r="I69" s="39">
        <v>0.0</v>
      </c>
      <c r="J69" s="39">
        <v>0.0</v>
      </c>
      <c r="K69" s="39">
        <v>0.0</v>
      </c>
      <c r="L69" s="42">
        <v>9.0</v>
      </c>
      <c r="M69" s="39">
        <v>0.0</v>
      </c>
      <c r="N69" s="32">
        <f t="shared" ref="N69:O69" si="72">C69+L69</f>
        <v>225</v>
      </c>
      <c r="O69" s="32">
        <f t="shared" si="72"/>
        <v>0</v>
      </c>
      <c r="P69" s="43" t="s">
        <v>53</v>
      </c>
      <c r="Q69" s="43" t="s">
        <v>53</v>
      </c>
      <c r="R69" s="43" t="s">
        <v>88</v>
      </c>
      <c r="S69" s="39">
        <f t="shared" si="4"/>
        <v>0</v>
      </c>
      <c r="T69" s="39"/>
      <c r="U69" s="39">
        <f t="shared" si="5"/>
        <v>26</v>
      </c>
      <c r="V69" s="39">
        <f t="shared" si="71"/>
        <v>0</v>
      </c>
      <c r="W69" s="30">
        <f t="shared" si="9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10"/>
    </row>
    <row r="73">
      <c r="A73" s="11"/>
      <c r="C73" s="11"/>
      <c r="D73" s="11"/>
      <c r="E73" s="11"/>
      <c r="F73" s="11"/>
      <c r="P73" s="10"/>
    </row>
    <row r="74">
      <c r="A74" s="11"/>
      <c r="C74" s="11"/>
      <c r="D74" s="11"/>
      <c r="K74" s="49"/>
      <c r="L74" s="59"/>
      <c r="M74" s="60"/>
      <c r="P74" s="10"/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61" t="s">
        <v>128</v>
      </c>
      <c r="Q77" s="23"/>
      <c r="R77" s="8">
        <f>COUNTIF(R5:R69,"X")</f>
        <v>55</v>
      </c>
    </row>
    <row r="78">
      <c r="A78" s="11"/>
      <c r="B78" s="62" t="s">
        <v>129</v>
      </c>
      <c r="C78" s="63" t="s">
        <v>130</v>
      </c>
      <c r="D78" s="63" t="s">
        <v>131</v>
      </c>
      <c r="E78" s="63" t="s">
        <v>0</v>
      </c>
      <c r="K78" s="49"/>
      <c r="L78" s="59"/>
      <c r="M78" s="60"/>
      <c r="P78" s="7" t="s">
        <v>132</v>
      </c>
      <c r="Q78" s="8"/>
      <c r="R78" s="8">
        <f>countif(R5:R69,"N")</f>
        <v>10</v>
      </c>
    </row>
    <row r="79">
      <c r="A79" s="11"/>
      <c r="B79" s="51" t="str">
        <f>IFERROR(__xludf.DUMMYFUNCTION("QUERY(B5:M69,""Select B, L, M, G where L &gt;= 18 order by L desc,M desc"",0)"),"Pulkit Mathur")</f>
        <v>Pulkit Mathur</v>
      </c>
      <c r="C79" s="64">
        <f>IFERROR(__xludf.DUMMYFUNCTION("""COMPUTED_VALUE"""),20.0)</f>
        <v>20</v>
      </c>
      <c r="D79" s="64">
        <f>IFERROR(__xludf.DUMMYFUNCTION("""COMPUTED_VALUE"""),3.0)</f>
        <v>3</v>
      </c>
      <c r="E79" s="64">
        <f>IFERROR(__xludf.DUMMYFUNCTION("""COMPUTED_VALUE"""),2.0)</f>
        <v>2</v>
      </c>
      <c r="F79" s="11"/>
      <c r="L79" s="59"/>
      <c r="M79" s="60"/>
      <c r="P79" s="61" t="s">
        <v>133</v>
      </c>
      <c r="Q79" s="23"/>
      <c r="R79" s="8">
        <f>countif(R5:R69,"")</f>
        <v>0</v>
      </c>
    </row>
    <row r="80">
      <c r="A80" s="11"/>
      <c r="B80" s="51" t="str">
        <f>IFERROR(__xludf.DUMMYFUNCTION("""COMPUTED_VALUE"""),"Tom Le")</f>
        <v>Tom Le</v>
      </c>
      <c r="C80" s="64">
        <f>IFERROR(__xludf.DUMMYFUNCTION("""COMPUTED_VALUE"""),19.0)</f>
        <v>19</v>
      </c>
      <c r="D80" s="64">
        <f>IFERROR(__xludf.DUMMYFUNCTION("""COMPUTED_VALUE"""),2.0)</f>
        <v>2</v>
      </c>
      <c r="E80" s="64">
        <f>IFERROR(__xludf.DUMMYFUNCTION("""COMPUTED_VALUE"""),1.0)</f>
        <v>1</v>
      </c>
      <c r="F80" s="11"/>
      <c r="M80" s="65"/>
      <c r="P80" s="61" t="s">
        <v>60</v>
      </c>
      <c r="Q80" s="23"/>
      <c r="R80" s="8">
        <f>sum(R77:R79)</f>
        <v>65</v>
      </c>
    </row>
    <row r="81">
      <c r="A81" s="11"/>
      <c r="B81" s="51" t="str">
        <f>IFERROR(__xludf.DUMMYFUNCTION("""COMPUTED_VALUE"""),"Robert Chang")</f>
        <v>Robert Chang</v>
      </c>
      <c r="C81" s="64">
        <f>IFERROR(__xludf.DUMMYFUNCTION("""COMPUTED_VALUE"""),18.0)</f>
        <v>18</v>
      </c>
      <c r="D81" s="64">
        <f>IFERROR(__xludf.DUMMYFUNCTION("""COMPUTED_VALUE"""),3.0)</f>
        <v>3</v>
      </c>
      <c r="E81" s="64">
        <f>IFERROR(__xludf.DUMMYFUNCTION("""COMPUTED_VALUE"""),3.0)</f>
        <v>3</v>
      </c>
      <c r="F81" s="11"/>
    </row>
    <row r="82">
      <c r="A82" s="11"/>
      <c r="B82" s="51" t="str">
        <f>IFERROR(__xludf.DUMMYFUNCTION("""COMPUTED_VALUE"""),"Sean Chang")</f>
        <v>Sean Chang</v>
      </c>
      <c r="C82" s="64">
        <f>IFERROR(__xludf.DUMMYFUNCTION("""COMPUTED_VALUE"""),18.0)</f>
        <v>18</v>
      </c>
      <c r="D82" s="64">
        <f>IFERROR(__xludf.DUMMYFUNCTION("""COMPUTED_VALUE"""),3.0)</f>
        <v>3</v>
      </c>
      <c r="E82" s="64">
        <f>IFERROR(__xludf.DUMMYFUNCTION("""COMPUTED_VALUE"""),5.0)</f>
        <v>5</v>
      </c>
      <c r="F82" s="11"/>
      <c r="P82" s="10" t="s">
        <v>134</v>
      </c>
    </row>
    <row r="83">
      <c r="A83" s="11"/>
      <c r="B83" s="51" t="str">
        <f>IFERROR(__xludf.DUMMYFUNCTION("""COMPUTED_VALUE"""),"Wayne Liu")</f>
        <v>Wayne Liu</v>
      </c>
      <c r="C83" s="64">
        <f>IFERROR(__xludf.DUMMYFUNCTION("""COMPUTED_VALUE"""),18.0)</f>
        <v>18</v>
      </c>
      <c r="D83" s="64">
        <f>IFERROR(__xludf.DUMMYFUNCTION("""COMPUTED_VALUE"""),3.0)</f>
        <v>3</v>
      </c>
      <c r="E83" s="64">
        <f>IFERROR(__xludf.DUMMYFUNCTION("""COMPUTED_VALUE"""),6.0)</f>
        <v>6</v>
      </c>
      <c r="F83" s="11"/>
      <c r="L83" s="10"/>
    </row>
    <row r="84">
      <c r="A84" s="11"/>
      <c r="B84" s="51" t="str">
        <f>IFERROR(__xludf.DUMMYFUNCTION("""COMPUTED_VALUE"""),"Sandy Weyant")</f>
        <v>Sandy Weyant</v>
      </c>
      <c r="C84" s="64">
        <f>IFERROR(__xludf.DUMMYFUNCTION("""COMPUTED_VALUE"""),18.0)</f>
        <v>18</v>
      </c>
      <c r="D84" s="64">
        <f>IFERROR(__xludf.DUMMYFUNCTION("""COMPUTED_VALUE"""),3.0)</f>
        <v>3</v>
      </c>
      <c r="E84" s="64">
        <f>IFERROR(__xludf.DUMMYFUNCTION("""COMPUTED_VALUE"""),7.0)</f>
        <v>7</v>
      </c>
      <c r="F84" s="11"/>
      <c r="L84" s="10"/>
    </row>
    <row r="85">
      <c r="A85" s="11"/>
      <c r="B85" s="51" t="str">
        <f>IFERROR(__xludf.DUMMYFUNCTION("""COMPUTED_VALUE"""),"David Shin")</f>
        <v>David Shin</v>
      </c>
      <c r="C85" s="64">
        <f>IFERROR(__xludf.DUMMYFUNCTION("""COMPUTED_VALUE"""),18.0)</f>
        <v>18</v>
      </c>
      <c r="D85" s="64">
        <f>IFERROR(__xludf.DUMMYFUNCTION("""COMPUTED_VALUE"""),2.0)</f>
        <v>2</v>
      </c>
      <c r="E85" s="64">
        <f>IFERROR(__xludf.DUMMYFUNCTION("""COMPUTED_VALUE"""),1.0)</f>
        <v>1</v>
      </c>
      <c r="F85" s="11"/>
      <c r="L85" s="10"/>
    </row>
    <row r="86">
      <c r="A86" s="11"/>
      <c r="B86" s="51"/>
      <c r="C86" s="64"/>
      <c r="D86" s="64"/>
      <c r="E86" s="64"/>
      <c r="F86" s="11"/>
      <c r="L86" s="10"/>
    </row>
    <row r="87">
      <c r="A87" s="11"/>
      <c r="B87" s="51"/>
      <c r="C87" s="64"/>
      <c r="D87" s="64"/>
      <c r="E87" s="64"/>
      <c r="F87" s="11"/>
    </row>
    <row r="88">
      <c r="A88" s="11"/>
      <c r="B88" s="51"/>
      <c r="C88" s="64"/>
      <c r="D88" s="64"/>
      <c r="E88" s="64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10"")"),"Chinna Ponnaganti")</f>
        <v>Chinna Ponnaganti</v>
      </c>
      <c r="C93" s="64">
        <f>IFERROR(__xludf.DUMMYFUNCTION("""COMPUTED_VALUE"""),7.0)</f>
        <v>7</v>
      </c>
      <c r="D93" s="64">
        <f t="shared" ref="D93:D102" si="73">VLOOKUP(B93,indirect($AB$2&amp;"!B$5:w$70"),22, false)</f>
        <v>28</v>
      </c>
      <c r="E93" s="64">
        <f t="shared" ref="E93:E102" si="74">VLOOKUP(B93,B$5:W$69,22, false)</f>
        <v>21</v>
      </c>
      <c r="F93" s="64">
        <f t="shared" ref="F93:F102" si="75">VLOOKUP(B93,indirect($AB$2&amp;"!B$5:U$70"),11, false)</f>
        <v>19</v>
      </c>
      <c r="G93" s="64">
        <f t="shared" ref="G93:G102" si="76">VLOOKUP(B93,indirect($AB$2&amp;"!B$5:U$70"),6, false)</f>
        <v>5</v>
      </c>
      <c r="L93" s="64" t="str">
        <f t="shared" ref="L93:L102" si="77">if(D93-E93=C93,"ok","Error")</f>
        <v>ok</v>
      </c>
    </row>
    <row r="94">
      <c r="A94" s="11"/>
      <c r="B94" s="51" t="str">
        <f>IFERROR(__xludf.DUMMYFUNCTION("""COMPUTED_VALUE"""),"Ted Shen")</f>
        <v>Ted Shen</v>
      </c>
      <c r="C94" s="64">
        <f>IFERROR(__xludf.DUMMYFUNCTION("""COMPUTED_VALUE"""),6.0)</f>
        <v>6</v>
      </c>
      <c r="D94" s="64">
        <f t="shared" si="73"/>
        <v>10</v>
      </c>
      <c r="E94" s="64">
        <f t="shared" si="74"/>
        <v>4</v>
      </c>
      <c r="F94" s="64">
        <f t="shared" si="75"/>
        <v>19</v>
      </c>
      <c r="G94" s="64">
        <f t="shared" si="76"/>
        <v>2</v>
      </c>
      <c r="L94" s="64" t="str">
        <f t="shared" si="77"/>
        <v>ok</v>
      </c>
    </row>
    <row r="95">
      <c r="A95" s="11"/>
      <c r="B95" s="51" t="str">
        <f>IFERROR(__xludf.DUMMYFUNCTION("""COMPUTED_VALUE"""),"Wayne Liu")</f>
        <v>Wayne Liu</v>
      </c>
      <c r="C95" s="64">
        <f>IFERROR(__xludf.DUMMYFUNCTION("""COMPUTED_VALUE"""),5.0)</f>
        <v>5</v>
      </c>
      <c r="D95" s="64">
        <f t="shared" si="73"/>
        <v>39</v>
      </c>
      <c r="E95" s="64">
        <f t="shared" si="74"/>
        <v>34</v>
      </c>
      <c r="F95" s="64">
        <f t="shared" si="75"/>
        <v>17</v>
      </c>
      <c r="G95" s="64">
        <f t="shared" si="76"/>
        <v>7</v>
      </c>
      <c r="L95" s="64" t="str">
        <f t="shared" si="77"/>
        <v>ok</v>
      </c>
      <c r="Q95" s="70"/>
    </row>
    <row r="96">
      <c r="A96" s="11"/>
      <c r="B96" s="51" t="str">
        <f>IFERROR(__xludf.DUMMYFUNCTION("""COMPUTED_VALUE"""),"Santosh Sundaresan ")</f>
        <v>Santosh Sundaresan </v>
      </c>
      <c r="C96" s="64">
        <f>IFERROR(__xludf.DUMMYFUNCTION("""COMPUTED_VALUE"""),5.0)</f>
        <v>5</v>
      </c>
      <c r="D96" s="64">
        <f t="shared" si="73"/>
        <v>55</v>
      </c>
      <c r="E96" s="64">
        <f t="shared" si="74"/>
        <v>50</v>
      </c>
      <c r="F96" s="64">
        <f t="shared" si="75"/>
        <v>17</v>
      </c>
      <c r="G96" s="64">
        <f t="shared" si="76"/>
        <v>8</v>
      </c>
      <c r="L96" s="64" t="str">
        <f t="shared" si="77"/>
        <v>ok</v>
      </c>
    </row>
    <row r="97">
      <c r="A97" s="11"/>
      <c r="B97" s="51" t="str">
        <f>IFERROR(__xludf.DUMMYFUNCTION("""COMPUTED_VALUE"""),"Pulkit Mathur")</f>
        <v>Pulkit Mathur</v>
      </c>
      <c r="C97" s="64">
        <f>IFERROR(__xludf.DUMMYFUNCTION("""COMPUTED_VALUE"""),4.0)</f>
        <v>4</v>
      </c>
      <c r="D97" s="64">
        <f t="shared" si="73"/>
        <v>13</v>
      </c>
      <c r="E97" s="64">
        <f t="shared" si="74"/>
        <v>9</v>
      </c>
      <c r="F97" s="64">
        <f t="shared" si="75"/>
        <v>19</v>
      </c>
      <c r="G97" s="64">
        <f t="shared" si="76"/>
        <v>3</v>
      </c>
      <c r="L97" s="64" t="str">
        <f t="shared" si="77"/>
        <v>ok</v>
      </c>
    </row>
    <row r="98">
      <c r="A98" s="11"/>
      <c r="B98" s="51" t="str">
        <f>IFERROR(__xludf.DUMMYFUNCTION("""COMPUTED_VALUE"""),"Robert Chang")</f>
        <v>Robert Chang</v>
      </c>
      <c r="C98" s="64">
        <f>IFERROR(__xludf.DUMMYFUNCTION("""COMPUTED_VALUE"""),4.0)</f>
        <v>4</v>
      </c>
      <c r="D98" s="64">
        <f t="shared" si="73"/>
        <v>21</v>
      </c>
      <c r="E98" s="64">
        <f t="shared" si="74"/>
        <v>17</v>
      </c>
      <c r="F98" s="64">
        <f t="shared" si="75"/>
        <v>18</v>
      </c>
      <c r="G98" s="64">
        <f t="shared" si="76"/>
        <v>4</v>
      </c>
      <c r="L98" s="64" t="str">
        <f t="shared" si="77"/>
        <v>ok</v>
      </c>
    </row>
    <row r="99">
      <c r="A99" s="11"/>
      <c r="B99" s="51" t="str">
        <f>IFERROR(__xludf.DUMMYFUNCTION("""COMPUTED_VALUE"""),"Jim Miao")</f>
        <v>Jim Miao</v>
      </c>
      <c r="C99" s="64">
        <f>IFERROR(__xludf.DUMMYFUNCTION("""COMPUTED_VALUE"""),2.0)</f>
        <v>2</v>
      </c>
      <c r="D99" s="64">
        <f t="shared" si="73"/>
        <v>30</v>
      </c>
      <c r="E99" s="64">
        <f t="shared" si="74"/>
        <v>28</v>
      </c>
      <c r="F99" s="64">
        <f t="shared" si="75"/>
        <v>15</v>
      </c>
      <c r="G99" s="64">
        <f t="shared" si="76"/>
        <v>5</v>
      </c>
      <c r="L99" s="64" t="str">
        <f t="shared" si="77"/>
        <v>ok</v>
      </c>
    </row>
    <row r="100">
      <c r="A100" s="11"/>
      <c r="B100" s="51" t="str">
        <f>IFERROR(__xludf.DUMMYFUNCTION("""COMPUTED_VALUE"""),"Mauricio Palacios")</f>
        <v>Mauricio Palacios</v>
      </c>
      <c r="C100" s="64">
        <f>IFERROR(__xludf.DUMMYFUNCTION("""COMPUTED_VALUE"""),2.0)</f>
        <v>2</v>
      </c>
      <c r="D100" s="64">
        <f t="shared" si="73"/>
        <v>33</v>
      </c>
      <c r="E100" s="64">
        <f t="shared" si="74"/>
        <v>31</v>
      </c>
      <c r="F100" s="64">
        <f t="shared" si="75"/>
        <v>19</v>
      </c>
      <c r="G100" s="64">
        <f t="shared" si="76"/>
        <v>6</v>
      </c>
      <c r="L100" s="64" t="str">
        <f t="shared" si="77"/>
        <v>ok</v>
      </c>
    </row>
    <row r="101">
      <c r="A101" s="11"/>
      <c r="B101" s="51" t="str">
        <f>IFERROR(__xludf.DUMMYFUNCTION("""COMPUTED_VALUE"""),"Trish Newlin")</f>
        <v>Trish Newlin</v>
      </c>
      <c r="C101" s="64">
        <f>IFERROR(__xludf.DUMMYFUNCTION("""COMPUTED_VALUE"""),2.0)</f>
        <v>2</v>
      </c>
      <c r="D101" s="64">
        <f t="shared" si="73"/>
        <v>46</v>
      </c>
      <c r="E101" s="64">
        <f t="shared" si="74"/>
        <v>44</v>
      </c>
      <c r="F101" s="64">
        <f t="shared" si="75"/>
        <v>17</v>
      </c>
      <c r="G101" s="64">
        <f t="shared" si="76"/>
        <v>7</v>
      </c>
      <c r="L101" s="64" t="str">
        <f t="shared" si="77"/>
        <v>ok</v>
      </c>
    </row>
    <row r="102">
      <c r="A102" s="11"/>
      <c r="B102" s="51" t="str">
        <f>IFERROR(__xludf.DUMMYFUNCTION("""COMPUTED_VALUE"""),"Sandy Weyant")</f>
        <v>Sandy Weyant</v>
      </c>
      <c r="C102" s="64">
        <f>IFERROR(__xludf.DUMMYFUNCTION("""COMPUTED_VALUE"""),2.0)</f>
        <v>2</v>
      </c>
      <c r="D102" s="64">
        <f t="shared" si="73"/>
        <v>47</v>
      </c>
      <c r="E102" s="64">
        <f t="shared" si="74"/>
        <v>45</v>
      </c>
      <c r="F102" s="64">
        <f t="shared" si="75"/>
        <v>17</v>
      </c>
      <c r="G102" s="64">
        <f t="shared" si="76"/>
        <v>7</v>
      </c>
      <c r="L102" s="64" t="str">
        <f t="shared" si="77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10"")"),"Peter Homsey")</f>
        <v>Peter Homsey</v>
      </c>
      <c r="C106" s="64"/>
      <c r="D106" s="64">
        <f t="shared" ref="D106:D115" si="78">VLOOKUP(B106,indirect($AB$2&amp;"!B$5:w$70"),22, false)</f>
        <v>62</v>
      </c>
      <c r="E106" s="64">
        <f t="shared" ref="E106:E115" si="79">VLOOKUP(B106,B$5:W$69,22, false)</f>
        <v>62</v>
      </c>
      <c r="F106" s="64">
        <f t="shared" ref="F106:F115" si="80">VLOOKUP(B106,indirect($AB$2&amp;"!B$5:U$70"),11, false)</f>
        <v>9</v>
      </c>
      <c r="G106" s="64" t="str">
        <f t="shared" ref="G106:G115" si="81">VLOOKUP(B106,indirect($AB$2&amp;"!B$5:U$70"),6, false)</f>
        <v/>
      </c>
      <c r="L106" s="64" t="str">
        <f t="shared" ref="L106:L115" si="82">if(D106-E106=C106,"ok","Error")</f>
        <v>ok</v>
      </c>
    </row>
    <row r="107">
      <c r="A107" s="11"/>
      <c r="B107" s="51" t="str">
        <f>IFERROR(__xludf.DUMMYFUNCTION("""COMPUTED_VALUE"""),"Lam Bui")</f>
        <v>Lam Bui</v>
      </c>
      <c r="C107" s="64">
        <f>IFERROR(__xludf.DUMMYFUNCTION("""COMPUTED_VALUE"""),-5.0)</f>
        <v>-5</v>
      </c>
      <c r="D107" s="64">
        <f t="shared" si="78"/>
        <v>2</v>
      </c>
      <c r="E107" s="64">
        <f t="shared" si="79"/>
        <v>7</v>
      </c>
      <c r="F107" s="64">
        <f t="shared" si="80"/>
        <v>9</v>
      </c>
      <c r="G107" s="64">
        <f t="shared" si="81"/>
        <v>0</v>
      </c>
      <c r="L107" s="64" t="str">
        <f t="shared" si="82"/>
        <v>ok</v>
      </c>
    </row>
    <row r="108">
      <c r="A108" s="11"/>
      <c r="B108" s="51" t="str">
        <f>IFERROR(__xludf.DUMMYFUNCTION("""COMPUTED_VALUE"""),"James Phan")</f>
        <v>James Phan</v>
      </c>
      <c r="C108" s="64">
        <f>IFERROR(__xludf.DUMMYFUNCTION("""COMPUTED_VALUE"""),-5.0)</f>
        <v>-5</v>
      </c>
      <c r="D108" s="64">
        <f t="shared" si="78"/>
        <v>8</v>
      </c>
      <c r="E108" s="64">
        <f t="shared" si="79"/>
        <v>13</v>
      </c>
      <c r="F108" s="64">
        <f t="shared" si="80"/>
        <v>9</v>
      </c>
      <c r="G108" s="64">
        <f t="shared" si="81"/>
        <v>0</v>
      </c>
      <c r="L108" s="64" t="str">
        <f t="shared" si="82"/>
        <v>ok</v>
      </c>
    </row>
    <row r="109">
      <c r="A109" s="11"/>
      <c r="B109" s="51" t="str">
        <f>IFERROR(__xludf.DUMMYFUNCTION("""COMPUTED_VALUE"""),"Luis Hsu")</f>
        <v>Luis Hsu</v>
      </c>
      <c r="C109" s="64">
        <f>IFERROR(__xludf.DUMMYFUNCTION("""COMPUTED_VALUE"""),-3.0)</f>
        <v>-3</v>
      </c>
      <c r="D109" s="64">
        <f t="shared" si="78"/>
        <v>26</v>
      </c>
      <c r="E109" s="64">
        <f t="shared" si="79"/>
        <v>29</v>
      </c>
      <c r="F109" s="64">
        <f t="shared" si="80"/>
        <v>9</v>
      </c>
      <c r="G109" s="64">
        <f t="shared" si="81"/>
        <v>0</v>
      </c>
      <c r="L109" s="64" t="str">
        <f t="shared" si="82"/>
        <v>ok</v>
      </c>
    </row>
    <row r="110">
      <c r="A110" s="11"/>
      <c r="B110" s="51" t="str">
        <f>IFERROR(__xludf.DUMMYFUNCTION("""COMPUTED_VALUE"""),"Alex Hou")</f>
        <v>Alex Hou</v>
      </c>
      <c r="C110" s="64">
        <f>IFERROR(__xludf.DUMMYFUNCTION("""COMPUTED_VALUE"""),-2.0)</f>
        <v>-2</v>
      </c>
      <c r="D110" s="64">
        <f t="shared" si="78"/>
        <v>20</v>
      </c>
      <c r="E110" s="64">
        <f t="shared" si="79"/>
        <v>22</v>
      </c>
      <c r="F110" s="64">
        <f t="shared" si="80"/>
        <v>9</v>
      </c>
      <c r="G110" s="64">
        <f t="shared" si="81"/>
        <v>0</v>
      </c>
      <c r="L110" s="64" t="str">
        <f t="shared" si="82"/>
        <v>ok</v>
      </c>
    </row>
    <row r="111">
      <c r="A111" s="11"/>
      <c r="B111" s="51" t="str">
        <f>IFERROR(__xludf.DUMMYFUNCTION("""COMPUTED_VALUE"""),"Sean Chang")</f>
        <v>Sean Chang</v>
      </c>
      <c r="C111" s="64">
        <f>IFERROR(__xludf.DUMMYFUNCTION("""COMPUTED_VALUE"""),-2.0)</f>
        <v>-2</v>
      </c>
      <c r="D111" s="64">
        <f t="shared" si="78"/>
        <v>25</v>
      </c>
      <c r="E111" s="64">
        <f t="shared" si="79"/>
        <v>27</v>
      </c>
      <c r="F111" s="64">
        <f t="shared" si="80"/>
        <v>9</v>
      </c>
      <c r="G111" s="64">
        <f t="shared" si="81"/>
        <v>4</v>
      </c>
      <c r="L111" s="64" t="str">
        <f t="shared" si="82"/>
        <v>ok</v>
      </c>
    </row>
    <row r="112">
      <c r="A112" s="11"/>
      <c r="B112" s="51" t="str">
        <f>IFERROR(__xludf.DUMMYFUNCTION("""COMPUTED_VALUE"""),"Lloyd Sagar")</f>
        <v>Lloyd Sagar</v>
      </c>
      <c r="C112" s="64">
        <f>IFERROR(__xludf.DUMMYFUNCTION("""COMPUTED_VALUE"""),-2.0)</f>
        <v>-2</v>
      </c>
      <c r="D112" s="64">
        <f t="shared" si="78"/>
        <v>31</v>
      </c>
      <c r="E112" s="64">
        <f t="shared" si="79"/>
        <v>33</v>
      </c>
      <c r="F112" s="64">
        <f t="shared" si="80"/>
        <v>9</v>
      </c>
      <c r="G112" s="64">
        <f t="shared" si="81"/>
        <v>0</v>
      </c>
      <c r="L112" s="64" t="str">
        <f t="shared" si="82"/>
        <v>ok</v>
      </c>
    </row>
    <row r="113">
      <c r="A113" s="11"/>
      <c r="B113" s="51" t="str">
        <f>IFERROR(__xludf.DUMMYFUNCTION("""COMPUTED_VALUE"""),"Manuel Rivera")</f>
        <v>Manuel Rivera</v>
      </c>
      <c r="C113" s="64">
        <f>IFERROR(__xludf.DUMMYFUNCTION("""COMPUTED_VALUE"""),-2.0)</f>
        <v>-2</v>
      </c>
      <c r="D113" s="64">
        <f t="shared" si="78"/>
        <v>34</v>
      </c>
      <c r="E113" s="64">
        <f t="shared" si="79"/>
        <v>36</v>
      </c>
      <c r="F113" s="64">
        <f t="shared" si="80"/>
        <v>9</v>
      </c>
      <c r="G113" s="64">
        <f t="shared" si="81"/>
        <v>0</v>
      </c>
      <c r="L113" s="64" t="str">
        <f t="shared" si="82"/>
        <v>ok</v>
      </c>
    </row>
    <row r="114">
      <c r="A114" s="11"/>
      <c r="B114" s="51" t="str">
        <f>IFERROR(__xludf.DUMMYFUNCTION("""COMPUTED_VALUE"""),"Sai Dilip Ponnaganti")</f>
        <v>Sai Dilip Ponnaganti</v>
      </c>
      <c r="C114" s="64">
        <f>IFERROR(__xludf.DUMMYFUNCTION("""COMPUTED_VALUE"""),-2.0)</f>
        <v>-2</v>
      </c>
      <c r="D114" s="64">
        <f t="shared" si="78"/>
        <v>36</v>
      </c>
      <c r="E114" s="64">
        <f t="shared" si="79"/>
        <v>38</v>
      </c>
      <c r="F114" s="64">
        <f t="shared" si="80"/>
        <v>9</v>
      </c>
      <c r="G114" s="64">
        <f t="shared" si="81"/>
        <v>0</v>
      </c>
      <c r="L114" s="64" t="str">
        <f t="shared" si="82"/>
        <v>ok</v>
      </c>
    </row>
    <row r="115">
      <c r="A115" s="11"/>
      <c r="B115" s="51" t="str">
        <f>IFERROR(__xludf.DUMMYFUNCTION("""COMPUTED_VALUE"""),"Nicole Ni")</f>
        <v>Nicole Ni</v>
      </c>
      <c r="C115" s="64">
        <f>IFERROR(__xludf.DUMMYFUNCTION("""COMPUTED_VALUE"""),-2.0)</f>
        <v>-2</v>
      </c>
      <c r="D115" s="64">
        <f t="shared" si="78"/>
        <v>44</v>
      </c>
      <c r="E115" s="64">
        <f t="shared" si="79"/>
        <v>46</v>
      </c>
      <c r="F115" s="64">
        <f t="shared" si="80"/>
        <v>13</v>
      </c>
      <c r="G115" s="64">
        <f t="shared" si="81"/>
        <v>0</v>
      </c>
      <c r="L115" s="64" t="str">
        <f t="shared" si="82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72" t="s">
        <v>144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3"/>
    </row>
    <row r="122">
      <c r="A122" s="53"/>
      <c r="B122" s="62" t="s">
        <v>145</v>
      </c>
      <c r="C122" s="73" t="s">
        <v>146</v>
      </c>
      <c r="D122" s="22"/>
      <c r="E122" s="23"/>
      <c r="F122" s="73" t="s">
        <v>147</v>
      </c>
      <c r="G122" s="22"/>
      <c r="H122" s="23"/>
      <c r="I122" s="74" t="s">
        <v>148</v>
      </c>
      <c r="J122" s="22"/>
      <c r="K122" s="22"/>
      <c r="L122" s="22"/>
      <c r="M122" s="23"/>
    </row>
    <row r="123">
      <c r="A123" s="75">
        <v>1.0</v>
      </c>
      <c r="B123" s="51" t="str">
        <f>IFERROR(__xludf.DUMMYFUNCTION("query(B5:V69,""select B where R = 'X' order by B asc"")"),"Adrian Tay")</f>
        <v>Adrian Tay</v>
      </c>
      <c r="C123" s="76" t="str">
        <f>IFERROR(__xludf.DUMMYFUNCTION("query(B5:V69,""select B where R = '' order by B asc"")"),"#N/A")</f>
        <v>#N/A</v>
      </c>
      <c r="D123" s="22"/>
      <c r="E123" s="23"/>
      <c r="F123" s="76" t="str">
        <f>IFERROR(__xludf.DUMMYFUNCTION("query(B5:V69,""select B where R = 'N' order by B asc"")"),"Amit Patel")</f>
        <v>Amit Patel</v>
      </c>
      <c r="G123" s="22"/>
      <c r="H123" s="23"/>
      <c r="I123" s="76" t="s">
        <v>149</v>
      </c>
      <c r="J123" s="22"/>
      <c r="K123" s="22"/>
      <c r="L123" s="22"/>
      <c r="M123" s="23"/>
    </row>
    <row r="124">
      <c r="A124" s="75">
        <f t="shared" ref="A124:A182" si="83">A123+1</f>
        <v>2</v>
      </c>
      <c r="B124" s="51" t="str">
        <f>IFERROR(__xludf.DUMMYFUNCTION("""COMPUTED_VALUE"""),"Alejandro Mejia")</f>
        <v>Alejandro Mejia</v>
      </c>
      <c r="C124" s="76"/>
      <c r="D124" s="22"/>
      <c r="E124" s="23"/>
      <c r="F124" s="76" t="str">
        <f>IFERROR(__xludf.DUMMYFUNCTION("""COMPUTED_VALUE"""),"Arun Mallikarjuna")</f>
        <v>Arun Mallikarjuna</v>
      </c>
      <c r="G124" s="22"/>
      <c r="H124" s="23"/>
      <c r="I124" s="76" t="s">
        <v>150</v>
      </c>
      <c r="J124" s="22"/>
      <c r="K124" s="22"/>
      <c r="L124" s="22"/>
      <c r="M124" s="23"/>
    </row>
    <row r="125">
      <c r="A125" s="75">
        <f t="shared" si="83"/>
        <v>3</v>
      </c>
      <c r="B125" s="51" t="str">
        <f>IFERROR(__xludf.DUMMYFUNCTION("""COMPUTED_VALUE"""),"Alex Hou")</f>
        <v>Alex Hou</v>
      </c>
      <c r="C125" s="76"/>
      <c r="D125" s="22"/>
      <c r="E125" s="23"/>
      <c r="F125" s="76" t="str">
        <f>IFERROR(__xludf.DUMMYFUNCTION("""COMPUTED_VALUE"""),"Christopher Li")</f>
        <v>Christopher Li</v>
      </c>
      <c r="G125" s="22"/>
      <c r="H125" s="23"/>
      <c r="I125" s="76" t="s">
        <v>151</v>
      </c>
      <c r="J125" s="22"/>
      <c r="K125" s="22"/>
      <c r="L125" s="22"/>
      <c r="M125" s="23"/>
    </row>
    <row r="126">
      <c r="A126" s="75">
        <f t="shared" si="83"/>
        <v>4</v>
      </c>
      <c r="B126" s="51" t="str">
        <f>IFERROR(__xludf.DUMMYFUNCTION("""COMPUTED_VALUE"""),"Andrew Wen")</f>
        <v>Andrew Wen</v>
      </c>
      <c r="C126" s="76"/>
      <c r="D126" s="22"/>
      <c r="E126" s="23"/>
      <c r="F126" s="76" t="str">
        <f>IFERROR(__xludf.DUMMYFUNCTION("""COMPUTED_VALUE"""),"Jose Ortiz")</f>
        <v>Jose Ortiz</v>
      </c>
      <c r="G126" s="22"/>
      <c r="H126" s="23"/>
      <c r="I126" s="76" t="s">
        <v>152</v>
      </c>
      <c r="J126" s="22"/>
      <c r="K126" s="22"/>
      <c r="L126" s="22"/>
      <c r="M126" s="23"/>
    </row>
    <row r="127">
      <c r="A127" s="75">
        <f t="shared" si="83"/>
        <v>5</v>
      </c>
      <c r="B127" s="51" t="str">
        <f>IFERROR(__xludf.DUMMYFUNCTION("""COMPUTED_VALUE"""),"Balaji Alahari")</f>
        <v>Balaji Alahari</v>
      </c>
      <c r="C127" s="76"/>
      <c r="D127" s="22"/>
      <c r="E127" s="23"/>
      <c r="F127" s="76" t="str">
        <f>IFERROR(__xludf.DUMMYFUNCTION("""COMPUTED_VALUE"""),"Nohely Mejia")</f>
        <v>Nohely Mejia</v>
      </c>
      <c r="G127" s="22"/>
      <c r="H127" s="23"/>
      <c r="I127" s="76" t="s">
        <v>153</v>
      </c>
      <c r="J127" s="22"/>
      <c r="K127" s="22"/>
      <c r="L127" s="22"/>
      <c r="M127" s="23"/>
    </row>
    <row r="128">
      <c r="A128" s="75">
        <f t="shared" si="83"/>
        <v>6</v>
      </c>
      <c r="B128" s="51" t="str">
        <f>IFERROR(__xludf.DUMMYFUNCTION("""COMPUTED_VALUE"""),"Chinna Ponnaganti")</f>
        <v>Chinna Ponnaganti</v>
      </c>
      <c r="C128" s="76"/>
      <c r="D128" s="22"/>
      <c r="E128" s="23"/>
      <c r="F128" s="76" t="str">
        <f>IFERROR(__xludf.DUMMYFUNCTION("""COMPUTED_VALUE"""),"Peter Cheng")</f>
        <v>Peter Cheng</v>
      </c>
      <c r="G128" s="22"/>
      <c r="H128" s="23"/>
      <c r="I128" s="76" t="s">
        <v>154</v>
      </c>
      <c r="J128" s="22"/>
      <c r="K128" s="22"/>
      <c r="L128" s="22"/>
      <c r="M128" s="23"/>
    </row>
    <row r="129">
      <c r="A129" s="75">
        <f t="shared" si="83"/>
        <v>7</v>
      </c>
      <c r="B129" s="51" t="str">
        <f>IFERROR(__xludf.DUMMYFUNCTION("""COMPUTED_VALUE"""),"Cid Macaraeg")</f>
        <v>Cid Macaraeg</v>
      </c>
      <c r="C129" s="76"/>
      <c r="D129" s="22"/>
      <c r="E129" s="23"/>
      <c r="F129" s="76" t="str">
        <f>IFERROR(__xludf.DUMMYFUNCTION("""COMPUTED_VALUE"""),"Peter Homsey")</f>
        <v>Peter Homsey</v>
      </c>
      <c r="G129" s="22"/>
      <c r="H129" s="23"/>
      <c r="I129" s="76" t="s">
        <v>155</v>
      </c>
      <c r="J129" s="22"/>
      <c r="K129" s="22"/>
      <c r="L129" s="22"/>
      <c r="M129" s="23"/>
    </row>
    <row r="130">
      <c r="A130" s="75">
        <f t="shared" si="83"/>
        <v>8</v>
      </c>
      <c r="B130" s="51" t="str">
        <f>IFERROR(__xludf.DUMMYFUNCTION("""COMPUTED_VALUE"""),"Coco Yan")</f>
        <v>Coco Yan</v>
      </c>
      <c r="C130" s="76"/>
      <c r="D130" s="22"/>
      <c r="E130" s="23"/>
      <c r="F130" s="76" t="str">
        <f>IFERROR(__xludf.DUMMYFUNCTION("""COMPUTED_VALUE"""),"Sai Dilip Ponnaganti")</f>
        <v>Sai Dilip Ponnaganti</v>
      </c>
      <c r="G130" s="22"/>
      <c r="H130" s="23"/>
      <c r="I130" s="76" t="s">
        <v>156</v>
      </c>
      <c r="J130" s="22"/>
      <c r="K130" s="22"/>
      <c r="L130" s="22"/>
      <c r="M130" s="23"/>
    </row>
    <row r="131">
      <c r="A131" s="75">
        <f t="shared" si="83"/>
        <v>9</v>
      </c>
      <c r="B131" s="51" t="str">
        <f>IFERROR(__xludf.DUMMYFUNCTION("""COMPUTED_VALUE"""),"David Shin")</f>
        <v>David Shin</v>
      </c>
      <c r="C131" s="76"/>
      <c r="D131" s="22"/>
      <c r="E131" s="23"/>
      <c r="F131" s="76" t="str">
        <f>IFERROR(__xludf.DUMMYFUNCTION("""COMPUTED_VALUE"""),"Tony Lin")</f>
        <v>Tony Lin</v>
      </c>
      <c r="G131" s="22"/>
      <c r="H131" s="23"/>
      <c r="I131" s="76" t="s">
        <v>157</v>
      </c>
      <c r="J131" s="22"/>
      <c r="K131" s="22"/>
      <c r="L131" s="22"/>
      <c r="M131" s="23"/>
    </row>
    <row r="132">
      <c r="A132" s="75">
        <f t="shared" si="83"/>
        <v>10</v>
      </c>
      <c r="B132" s="51" t="str">
        <f>IFERROR(__xludf.DUMMYFUNCTION("""COMPUTED_VALUE"""),"Elayaraja Thangaraj ")</f>
        <v>Elayaraja Thangaraj </v>
      </c>
      <c r="C132" s="76"/>
      <c r="D132" s="22"/>
      <c r="E132" s="23"/>
      <c r="F132" s="76" t="str">
        <f>IFERROR(__xludf.DUMMYFUNCTION("""COMPUTED_VALUE"""),"Vinz Solano")</f>
        <v>Vinz Solano</v>
      </c>
      <c r="G132" s="22"/>
      <c r="H132" s="23"/>
      <c r="I132" s="76" t="s">
        <v>158</v>
      </c>
      <c r="J132" s="22"/>
      <c r="K132" s="22"/>
      <c r="L132" s="22"/>
      <c r="M132" s="23"/>
    </row>
    <row r="133">
      <c r="A133" s="75">
        <f t="shared" si="83"/>
        <v>11</v>
      </c>
      <c r="B133" s="51" t="str">
        <f>IFERROR(__xludf.DUMMYFUNCTION("""COMPUTED_VALUE"""),"Eric Pan")</f>
        <v>Eric Pan</v>
      </c>
      <c r="C133" s="76"/>
      <c r="D133" s="22"/>
      <c r="E133" s="23"/>
      <c r="F133" s="76"/>
      <c r="G133" s="22"/>
      <c r="H133" s="23"/>
      <c r="I133" s="76"/>
      <c r="J133" s="22"/>
      <c r="K133" s="22"/>
      <c r="L133" s="22"/>
      <c r="M133" s="23"/>
    </row>
    <row r="134">
      <c r="A134" s="75">
        <f t="shared" si="83"/>
        <v>12</v>
      </c>
      <c r="B134" s="51" t="str">
        <f>IFERROR(__xludf.DUMMYFUNCTION("""COMPUTED_VALUE"""),"Eric Tan")</f>
        <v>Eric Tan</v>
      </c>
      <c r="C134" s="76"/>
      <c r="D134" s="22"/>
      <c r="E134" s="23"/>
      <c r="F134" s="76"/>
      <c r="G134" s="22"/>
      <c r="H134" s="23"/>
      <c r="I134" s="76"/>
      <c r="J134" s="22"/>
      <c r="K134" s="22"/>
      <c r="L134" s="22"/>
      <c r="M134" s="23"/>
    </row>
    <row r="135">
      <c r="A135" s="75">
        <f t="shared" si="83"/>
        <v>13</v>
      </c>
      <c r="B135" s="51" t="str">
        <f>IFERROR(__xludf.DUMMYFUNCTION("""COMPUTED_VALUE"""),"Erik Hoeckmann")</f>
        <v>Erik Hoeckmann</v>
      </c>
      <c r="C135" s="76"/>
      <c r="D135" s="22"/>
      <c r="E135" s="23"/>
      <c r="F135" s="76"/>
      <c r="G135" s="22"/>
      <c r="H135" s="23"/>
      <c r="I135" s="76"/>
      <c r="J135" s="22"/>
      <c r="K135" s="22"/>
      <c r="L135" s="22"/>
      <c r="M135" s="23"/>
    </row>
    <row r="136">
      <c r="A136" s="75">
        <f t="shared" si="83"/>
        <v>14</v>
      </c>
      <c r="B136" s="51" t="str">
        <f>IFERROR(__xludf.DUMMYFUNCTION("""COMPUTED_VALUE"""),"Frank Moon")</f>
        <v>Frank Moon</v>
      </c>
      <c r="C136" s="76"/>
      <c r="D136" s="22"/>
      <c r="E136" s="23"/>
      <c r="F136" s="76"/>
      <c r="G136" s="22"/>
      <c r="H136" s="23"/>
      <c r="I136" s="76"/>
      <c r="J136" s="22"/>
      <c r="K136" s="22"/>
      <c r="L136" s="22"/>
      <c r="M136" s="23"/>
    </row>
    <row r="137">
      <c r="A137" s="75">
        <f t="shared" si="83"/>
        <v>15</v>
      </c>
      <c r="B137" s="51" t="str">
        <f>IFERROR(__xludf.DUMMYFUNCTION("""COMPUTED_VALUE"""),"Herman Au")</f>
        <v>Herman Au</v>
      </c>
      <c r="C137" s="76"/>
      <c r="D137" s="22"/>
      <c r="E137" s="23"/>
      <c r="F137" s="76"/>
      <c r="G137" s="22"/>
      <c r="H137" s="23"/>
      <c r="I137" s="76"/>
      <c r="J137" s="22"/>
      <c r="K137" s="22"/>
      <c r="L137" s="22"/>
      <c r="M137" s="23"/>
    </row>
    <row r="138">
      <c r="A138" s="75">
        <f t="shared" si="83"/>
        <v>16</v>
      </c>
      <c r="B138" s="51" t="str">
        <f>IFERROR(__xludf.DUMMYFUNCTION("""COMPUTED_VALUE"""),"James Phan")</f>
        <v>James Phan</v>
      </c>
      <c r="C138" s="76"/>
      <c r="D138" s="22"/>
      <c r="E138" s="23"/>
      <c r="F138" s="76"/>
      <c r="G138" s="22"/>
      <c r="H138" s="23"/>
    </row>
    <row r="139">
      <c r="A139" s="75">
        <f t="shared" si="83"/>
        <v>17</v>
      </c>
      <c r="B139" s="51" t="str">
        <f>IFERROR(__xludf.DUMMYFUNCTION("""COMPUTED_VALUE"""),"Jim Miao")</f>
        <v>Jim Miao</v>
      </c>
      <c r="C139" s="76"/>
      <c r="D139" s="22"/>
      <c r="E139" s="23"/>
      <c r="F139" s="76"/>
      <c r="G139" s="22"/>
      <c r="H139" s="23"/>
    </row>
    <row r="140">
      <c r="A140" s="75">
        <f t="shared" si="83"/>
        <v>18</v>
      </c>
      <c r="B140" s="51" t="str">
        <f>IFERROR(__xludf.DUMMYFUNCTION("""COMPUTED_VALUE"""),"Jimmy Awolesi")</f>
        <v>Jimmy Awolesi</v>
      </c>
      <c r="C140" s="76"/>
      <c r="D140" s="22"/>
      <c r="E140" s="23"/>
      <c r="F140" s="76"/>
      <c r="G140" s="22"/>
      <c r="H140" s="23"/>
    </row>
    <row r="141">
      <c r="A141" s="75">
        <f t="shared" si="83"/>
        <v>19</v>
      </c>
      <c r="B141" s="51" t="str">
        <f>IFERROR(__xludf.DUMMYFUNCTION("""COMPUTED_VALUE"""),"Joe Luzzi")</f>
        <v>Joe Luzzi</v>
      </c>
      <c r="C141" s="76"/>
      <c r="D141" s="22"/>
      <c r="E141" s="23"/>
      <c r="F141" s="76"/>
      <c r="G141" s="22"/>
      <c r="H141" s="23"/>
    </row>
    <row r="142">
      <c r="A142" s="75">
        <f t="shared" si="83"/>
        <v>20</v>
      </c>
      <c r="B142" s="51" t="str">
        <f>IFERROR(__xludf.DUMMYFUNCTION("""COMPUTED_VALUE"""),"Jonathan Phan")</f>
        <v>Jonathan Phan</v>
      </c>
      <c r="C142" s="76"/>
      <c r="D142" s="22"/>
      <c r="E142" s="23"/>
      <c r="F142" s="76"/>
      <c r="G142" s="22"/>
      <c r="H142" s="23"/>
    </row>
    <row r="143">
      <c r="A143" s="75">
        <f t="shared" si="83"/>
        <v>21</v>
      </c>
      <c r="B143" s="51" t="str">
        <f>IFERROR(__xludf.DUMMYFUNCTION("""COMPUTED_VALUE"""),"Joyce Zhu")</f>
        <v>Joyce Zhu</v>
      </c>
      <c r="C143" s="76"/>
      <c r="D143" s="22"/>
      <c r="E143" s="23"/>
      <c r="F143" s="76"/>
      <c r="G143" s="22"/>
      <c r="H143" s="23"/>
    </row>
    <row r="144">
      <c r="A144" s="75">
        <f t="shared" si="83"/>
        <v>22</v>
      </c>
      <c r="B144" s="51" t="str">
        <f>IFERROR(__xludf.DUMMYFUNCTION("""COMPUTED_VALUE"""),"Kumar Palakeel")</f>
        <v>Kumar Palakeel</v>
      </c>
      <c r="C144" s="76"/>
      <c r="D144" s="22"/>
      <c r="E144" s="23"/>
      <c r="F144" s="76"/>
      <c r="G144" s="22"/>
      <c r="H144" s="23"/>
    </row>
    <row r="145">
      <c r="A145" s="75">
        <f t="shared" si="83"/>
        <v>23</v>
      </c>
      <c r="B145" s="51" t="str">
        <f>IFERROR(__xludf.DUMMYFUNCTION("""COMPUTED_VALUE"""),"Lam Bui")</f>
        <v>Lam Bui</v>
      </c>
      <c r="C145" s="76"/>
      <c r="D145" s="22"/>
      <c r="E145" s="23"/>
      <c r="F145" s="76"/>
      <c r="G145" s="22"/>
      <c r="H145" s="23"/>
    </row>
    <row r="146">
      <c r="A146" s="75">
        <f t="shared" si="83"/>
        <v>24</v>
      </c>
      <c r="B146" s="51" t="str">
        <f>IFERROR(__xludf.DUMMYFUNCTION("""COMPUTED_VALUE"""),"Leigh-Anh Nguyen")</f>
        <v>Leigh-Anh Nguyen</v>
      </c>
      <c r="C146" s="76"/>
      <c r="D146" s="22"/>
      <c r="E146" s="23"/>
      <c r="F146" s="76"/>
      <c r="G146" s="22"/>
      <c r="H146" s="23"/>
    </row>
    <row r="147">
      <c r="A147" s="75">
        <f t="shared" si="83"/>
        <v>25</v>
      </c>
      <c r="B147" s="51" t="str">
        <f>IFERROR(__xludf.DUMMYFUNCTION("""COMPUTED_VALUE"""),"Lloyd Sagar")</f>
        <v>Lloyd Sagar</v>
      </c>
      <c r="C147" s="76"/>
      <c r="D147" s="22"/>
      <c r="E147" s="23"/>
      <c r="F147" s="76"/>
      <c r="G147" s="22"/>
      <c r="H147" s="23"/>
    </row>
    <row r="148">
      <c r="A148" s="75">
        <f t="shared" si="83"/>
        <v>26</v>
      </c>
      <c r="B148" s="51" t="str">
        <f>IFERROR(__xludf.DUMMYFUNCTION("""COMPUTED_VALUE"""),"Luis Hsu")</f>
        <v>Luis Hsu</v>
      </c>
      <c r="C148" s="76"/>
      <c r="D148" s="22"/>
      <c r="E148" s="23"/>
      <c r="F148" s="76"/>
      <c r="G148" s="22"/>
      <c r="H148" s="23"/>
    </row>
    <row r="149">
      <c r="A149" s="75">
        <f t="shared" si="83"/>
        <v>27</v>
      </c>
      <c r="B149" s="51" t="str">
        <f>IFERROR(__xludf.DUMMYFUNCTION("""COMPUTED_VALUE"""),"Manish Anand")</f>
        <v>Manish Anand</v>
      </c>
      <c r="C149" s="76"/>
      <c r="D149" s="22"/>
      <c r="E149" s="23"/>
      <c r="F149" s="76"/>
      <c r="G149" s="22"/>
      <c r="H149" s="23"/>
    </row>
    <row r="150">
      <c r="A150" s="75">
        <f t="shared" si="83"/>
        <v>28</v>
      </c>
      <c r="B150" s="51" t="str">
        <f>IFERROR(__xludf.DUMMYFUNCTION("""COMPUTED_VALUE"""),"Manuel Rivera")</f>
        <v>Manuel Rivera</v>
      </c>
      <c r="C150" s="76"/>
      <c r="D150" s="22"/>
      <c r="E150" s="23"/>
      <c r="F150" s="76"/>
      <c r="G150" s="22"/>
      <c r="H150" s="23"/>
    </row>
    <row r="151">
      <c r="A151" s="75">
        <f t="shared" si="83"/>
        <v>29</v>
      </c>
      <c r="B151" s="51" t="str">
        <f>IFERROR(__xludf.DUMMYFUNCTION("""COMPUTED_VALUE"""),"Matthew Huang")</f>
        <v>Matthew Huang</v>
      </c>
      <c r="C151" s="76"/>
      <c r="D151" s="22"/>
      <c r="E151" s="23"/>
      <c r="F151" s="76"/>
      <c r="G151" s="22"/>
      <c r="H151" s="23"/>
    </row>
    <row r="152">
      <c r="A152" s="75">
        <f t="shared" si="83"/>
        <v>30</v>
      </c>
      <c r="B152" s="51" t="str">
        <f>IFERROR(__xludf.DUMMYFUNCTION("""COMPUTED_VALUE"""),"Mauricio Palacios")</f>
        <v>Mauricio Palacios</v>
      </c>
      <c r="C152" s="76"/>
      <c r="D152" s="22"/>
      <c r="E152" s="23"/>
      <c r="F152" s="76"/>
      <c r="G152" s="22"/>
      <c r="H152" s="23"/>
    </row>
    <row r="153">
      <c r="A153" s="75">
        <f t="shared" si="83"/>
        <v>31</v>
      </c>
      <c r="B153" s="51" t="str">
        <f>IFERROR(__xludf.DUMMYFUNCTION("""COMPUTED_VALUE"""),"Naveen Raj")</f>
        <v>Naveen Raj</v>
      </c>
      <c r="C153" s="76"/>
      <c r="D153" s="22"/>
      <c r="E153" s="23"/>
      <c r="F153" s="76"/>
      <c r="G153" s="22"/>
      <c r="H153" s="23"/>
    </row>
    <row r="154">
      <c r="A154" s="75">
        <f t="shared" si="83"/>
        <v>32</v>
      </c>
      <c r="B154" s="51" t="str">
        <f>IFERROR(__xludf.DUMMYFUNCTION("""COMPUTED_VALUE"""),"Nicole Ni")</f>
        <v>Nicole Ni</v>
      </c>
      <c r="C154" s="76"/>
      <c r="D154" s="22"/>
      <c r="E154" s="23"/>
      <c r="F154" s="76"/>
      <c r="G154" s="22"/>
      <c r="H154" s="23"/>
    </row>
    <row r="155">
      <c r="A155" s="75">
        <f t="shared" si="83"/>
        <v>33</v>
      </c>
      <c r="B155" s="51" t="str">
        <f>IFERROR(__xludf.DUMMYFUNCTION("""COMPUTED_VALUE"""),"Oscar Bonilla")</f>
        <v>Oscar Bonilla</v>
      </c>
      <c r="C155" s="76"/>
      <c r="D155" s="22"/>
      <c r="E155" s="23"/>
      <c r="F155" s="76"/>
      <c r="G155" s="22"/>
      <c r="H155" s="23"/>
    </row>
    <row r="156">
      <c r="A156" s="75">
        <f t="shared" si="83"/>
        <v>34</v>
      </c>
      <c r="B156" s="51" t="str">
        <f>IFERROR(__xludf.DUMMYFUNCTION("""COMPUTED_VALUE"""),"Pavan Akkimsetty")</f>
        <v>Pavan Akkimsetty</v>
      </c>
      <c r="C156" s="76"/>
      <c r="D156" s="22"/>
      <c r="E156" s="23"/>
      <c r="F156" s="76"/>
      <c r="G156" s="22"/>
      <c r="H156" s="23"/>
    </row>
    <row r="157">
      <c r="A157" s="75">
        <f t="shared" si="83"/>
        <v>35</v>
      </c>
      <c r="B157" s="51" t="str">
        <f>IFERROR(__xludf.DUMMYFUNCTION("""COMPUTED_VALUE"""),"Pulkit Mathur")</f>
        <v>Pulkit Mathur</v>
      </c>
      <c r="C157" s="76"/>
      <c r="D157" s="22"/>
      <c r="E157" s="23"/>
      <c r="F157" s="76"/>
      <c r="G157" s="22"/>
      <c r="H157" s="23"/>
    </row>
    <row r="158">
      <c r="A158" s="75">
        <f t="shared" si="83"/>
        <v>36</v>
      </c>
      <c r="B158" s="51" t="str">
        <f>IFERROR(__xludf.DUMMYFUNCTION("""COMPUTED_VALUE"""),"Rajasekar Ramasamy")</f>
        <v>Rajasekar Ramasamy</v>
      </c>
      <c r="C158" s="76"/>
      <c r="D158" s="22"/>
      <c r="E158" s="23"/>
      <c r="F158" s="76"/>
      <c r="G158" s="22"/>
      <c r="H158" s="23"/>
    </row>
    <row r="159">
      <c r="A159" s="75">
        <f t="shared" si="83"/>
        <v>37</v>
      </c>
      <c r="B159" s="51" t="str">
        <f>IFERROR(__xludf.DUMMYFUNCTION("""COMPUTED_VALUE"""),"Rajesh Dorairaj")</f>
        <v>Rajesh Dorairaj</v>
      </c>
      <c r="C159" s="76"/>
      <c r="D159" s="22"/>
      <c r="E159" s="23"/>
      <c r="F159" s="76"/>
      <c r="G159" s="22"/>
      <c r="H159" s="23"/>
    </row>
    <row r="160">
      <c r="A160" s="75">
        <f t="shared" si="83"/>
        <v>38</v>
      </c>
      <c r="B160" s="51" t="str">
        <f>IFERROR(__xludf.DUMMYFUNCTION("""COMPUTED_VALUE"""),"Ramesh Bandaru")</f>
        <v>Ramesh Bandaru</v>
      </c>
      <c r="C160" s="76"/>
      <c r="D160" s="22"/>
      <c r="E160" s="23"/>
      <c r="F160" s="76"/>
      <c r="G160" s="22"/>
      <c r="H160" s="23"/>
    </row>
    <row r="161">
      <c r="A161" s="75">
        <f t="shared" si="83"/>
        <v>39</v>
      </c>
      <c r="B161" s="51" t="str">
        <f>IFERROR(__xludf.DUMMYFUNCTION("""COMPUTED_VALUE"""),"Robert Chang")</f>
        <v>Robert Chang</v>
      </c>
      <c r="C161" s="76"/>
      <c r="D161" s="22"/>
      <c r="E161" s="23"/>
      <c r="F161" s="76"/>
      <c r="G161" s="22"/>
      <c r="H161" s="23"/>
    </row>
    <row r="162">
      <c r="A162" s="75">
        <f t="shared" si="83"/>
        <v>40</v>
      </c>
      <c r="B162" s="51" t="str">
        <f>IFERROR(__xludf.DUMMYFUNCTION("""COMPUTED_VALUE"""),"Sandy Weyant")</f>
        <v>Sandy Weyant</v>
      </c>
      <c r="C162" s="76"/>
      <c r="D162" s="22"/>
      <c r="E162" s="23"/>
      <c r="F162" s="76"/>
      <c r="G162" s="22"/>
      <c r="H162" s="23"/>
    </row>
    <row r="163">
      <c r="A163" s="75">
        <f t="shared" si="83"/>
        <v>41</v>
      </c>
      <c r="B163" s="51" t="str">
        <f>IFERROR(__xludf.DUMMYFUNCTION("""COMPUTED_VALUE"""),"Sanjaye Elayattu")</f>
        <v>Sanjaye Elayattu</v>
      </c>
      <c r="C163" s="76"/>
      <c r="D163" s="22"/>
      <c r="E163" s="23"/>
      <c r="F163" s="76"/>
      <c r="G163" s="22"/>
      <c r="H163" s="23"/>
    </row>
    <row r="164">
      <c r="A164" s="75">
        <f t="shared" si="83"/>
        <v>42</v>
      </c>
      <c r="B164" s="51" t="str">
        <f>IFERROR(__xludf.DUMMYFUNCTION("""COMPUTED_VALUE"""),"Santosh Sundaresan ")</f>
        <v>Santosh Sundaresan </v>
      </c>
      <c r="C164" s="76"/>
      <c r="D164" s="22"/>
      <c r="E164" s="23"/>
      <c r="F164" s="76"/>
      <c r="G164" s="22"/>
      <c r="H164" s="23"/>
    </row>
    <row r="165">
      <c r="A165" s="75">
        <f t="shared" si="83"/>
        <v>43</v>
      </c>
      <c r="B165" s="51" t="str">
        <f>IFERROR(__xludf.DUMMYFUNCTION("""COMPUTED_VALUE"""),"Saravanan Veerapandian")</f>
        <v>Saravanan Veerapandian</v>
      </c>
      <c r="C165" s="76"/>
      <c r="D165" s="22"/>
      <c r="E165" s="23"/>
      <c r="F165" s="76"/>
      <c r="G165" s="22"/>
      <c r="H165" s="23"/>
    </row>
    <row r="166">
      <c r="A166" s="75">
        <f t="shared" si="83"/>
        <v>44</v>
      </c>
      <c r="B166" s="51" t="str">
        <f>IFERROR(__xludf.DUMMYFUNCTION("""COMPUTED_VALUE"""),"Scott Li")</f>
        <v>Scott Li</v>
      </c>
      <c r="C166" s="76"/>
      <c r="D166" s="22"/>
      <c r="E166" s="23"/>
      <c r="F166" s="76"/>
      <c r="G166" s="22"/>
      <c r="H166" s="23"/>
    </row>
    <row r="167">
      <c r="A167" s="75">
        <f t="shared" si="83"/>
        <v>45</v>
      </c>
      <c r="B167" s="51" t="str">
        <f>IFERROR(__xludf.DUMMYFUNCTION("""COMPUTED_VALUE"""),"Sean Chang")</f>
        <v>Sean Chang</v>
      </c>
      <c r="C167" s="76"/>
      <c r="D167" s="22"/>
      <c r="E167" s="23"/>
      <c r="F167" s="76"/>
      <c r="G167" s="22"/>
      <c r="H167" s="23"/>
    </row>
    <row r="168">
      <c r="A168" s="75">
        <f t="shared" si="83"/>
        <v>46</v>
      </c>
      <c r="B168" s="51" t="str">
        <f>IFERROR(__xludf.DUMMYFUNCTION("""COMPUTED_VALUE"""),"Suleman Alidina")</f>
        <v>Suleman Alidina</v>
      </c>
      <c r="C168" s="76"/>
      <c r="D168" s="22"/>
      <c r="E168" s="23"/>
      <c r="F168" s="76"/>
      <c r="G168" s="22"/>
      <c r="H168" s="23"/>
    </row>
    <row r="169">
      <c r="A169" s="75">
        <f t="shared" si="83"/>
        <v>47</v>
      </c>
      <c r="B169" s="51" t="str">
        <f>IFERROR(__xludf.DUMMYFUNCTION("""COMPUTED_VALUE"""),"Susanta Mishra")</f>
        <v>Susanta Mishra</v>
      </c>
      <c r="C169" s="76"/>
      <c r="D169" s="22"/>
      <c r="E169" s="23"/>
      <c r="F169" s="76"/>
      <c r="G169" s="22"/>
      <c r="H169" s="23"/>
    </row>
    <row r="170">
      <c r="A170" s="75">
        <f t="shared" si="83"/>
        <v>48</v>
      </c>
      <c r="B170" s="51" t="str">
        <f>IFERROR(__xludf.DUMMYFUNCTION("""COMPUTED_VALUE"""),"Ted Shen")</f>
        <v>Ted Shen</v>
      </c>
      <c r="C170" s="76"/>
      <c r="D170" s="22"/>
      <c r="E170" s="23"/>
      <c r="F170" s="76"/>
      <c r="G170" s="22"/>
      <c r="H170" s="23"/>
    </row>
    <row r="171">
      <c r="A171" s="75">
        <f t="shared" si="83"/>
        <v>49</v>
      </c>
      <c r="B171" s="51" t="str">
        <f>IFERROR(__xludf.DUMMYFUNCTION("""COMPUTED_VALUE"""),"Tom Le")</f>
        <v>Tom Le</v>
      </c>
      <c r="C171" s="76"/>
      <c r="D171" s="22"/>
      <c r="E171" s="23"/>
      <c r="F171" s="76"/>
      <c r="G171" s="22"/>
      <c r="H171" s="23"/>
    </row>
    <row r="172">
      <c r="A172" s="75">
        <f t="shared" si="83"/>
        <v>50</v>
      </c>
      <c r="B172" s="51" t="str">
        <f>IFERROR(__xludf.DUMMYFUNCTION("""COMPUTED_VALUE"""),"Trinath Goteti")</f>
        <v>Trinath Goteti</v>
      </c>
      <c r="C172" s="76"/>
      <c r="D172" s="22"/>
      <c r="E172" s="23"/>
      <c r="F172" s="76"/>
      <c r="G172" s="22"/>
      <c r="H172" s="23"/>
    </row>
    <row r="173">
      <c r="A173" s="75">
        <f t="shared" si="83"/>
        <v>51</v>
      </c>
      <c r="B173" s="51" t="str">
        <f>IFERROR(__xludf.DUMMYFUNCTION("""COMPUTED_VALUE"""),"Trish Newlin")</f>
        <v>Trish Newlin</v>
      </c>
      <c r="C173" s="76"/>
      <c r="D173" s="22"/>
      <c r="E173" s="23"/>
      <c r="F173" s="76"/>
      <c r="G173" s="22"/>
      <c r="H173" s="23"/>
    </row>
    <row r="174">
      <c r="A174" s="75">
        <f t="shared" si="83"/>
        <v>52</v>
      </c>
      <c r="B174" s="51" t="str">
        <f>IFERROR(__xludf.DUMMYFUNCTION("""COMPUTED_VALUE"""),"Troy Wong")</f>
        <v>Troy Wong</v>
      </c>
      <c r="C174" s="76"/>
      <c r="D174" s="22"/>
      <c r="E174" s="23"/>
      <c r="F174" s="76"/>
      <c r="G174" s="22"/>
      <c r="H174" s="23"/>
    </row>
    <row r="175">
      <c r="A175" s="75">
        <f t="shared" si="83"/>
        <v>53</v>
      </c>
      <c r="B175" s="51" t="str">
        <f>IFERROR(__xludf.DUMMYFUNCTION("""COMPUTED_VALUE"""),"Vinaya Kajla")</f>
        <v>Vinaya Kajla</v>
      </c>
      <c r="C175" s="76"/>
      <c r="D175" s="22"/>
      <c r="E175" s="23"/>
      <c r="F175" s="76"/>
      <c r="G175" s="22"/>
      <c r="H175" s="23"/>
    </row>
    <row r="176">
      <c r="A176" s="75">
        <f t="shared" si="83"/>
        <v>54</v>
      </c>
      <c r="B176" s="51" t="str">
        <f>IFERROR(__xludf.DUMMYFUNCTION("""COMPUTED_VALUE"""),"Vishnu Amarnath")</f>
        <v>Vishnu Amarnath</v>
      </c>
      <c r="C176" s="76"/>
      <c r="D176" s="22"/>
      <c r="E176" s="23"/>
      <c r="F176" s="76"/>
      <c r="G176" s="22"/>
      <c r="H176" s="23"/>
    </row>
    <row r="177">
      <c r="A177" s="75">
        <f t="shared" si="83"/>
        <v>55</v>
      </c>
      <c r="B177" s="51" t="str">
        <f>IFERROR(__xludf.DUMMYFUNCTION("""COMPUTED_VALUE"""),"Wayne Liu")</f>
        <v>Wayne Liu</v>
      </c>
      <c r="C177" s="76"/>
      <c r="D177" s="22"/>
      <c r="E177" s="23"/>
      <c r="F177" s="76"/>
      <c r="G177" s="22"/>
      <c r="H177" s="23"/>
    </row>
    <row r="178">
      <c r="A178" s="75">
        <f t="shared" si="83"/>
        <v>56</v>
      </c>
      <c r="B178" s="51"/>
      <c r="C178" s="76"/>
      <c r="D178" s="22"/>
      <c r="E178" s="23"/>
      <c r="F178" s="76"/>
      <c r="G178" s="22"/>
      <c r="H178" s="23"/>
    </row>
    <row r="179">
      <c r="A179" s="75">
        <f t="shared" si="83"/>
        <v>57</v>
      </c>
      <c r="B179" s="51"/>
      <c r="C179" s="76"/>
      <c r="D179" s="22"/>
      <c r="E179" s="23"/>
      <c r="F179" s="76"/>
      <c r="G179" s="22"/>
      <c r="H179" s="23"/>
    </row>
    <row r="180">
      <c r="A180" s="75">
        <f t="shared" si="83"/>
        <v>58</v>
      </c>
      <c r="B180" s="51"/>
      <c r="C180" s="76"/>
      <c r="D180" s="22"/>
      <c r="E180" s="23"/>
      <c r="F180" s="76"/>
      <c r="G180" s="22"/>
      <c r="H180" s="23"/>
    </row>
    <row r="181">
      <c r="A181" s="75">
        <f t="shared" si="83"/>
        <v>59</v>
      </c>
      <c r="B181" s="51"/>
      <c r="C181" s="76"/>
      <c r="D181" s="22"/>
      <c r="E181" s="23"/>
      <c r="F181" s="76"/>
      <c r="G181" s="22"/>
      <c r="H181" s="23"/>
    </row>
    <row r="182">
      <c r="A182" s="75">
        <f t="shared" si="83"/>
        <v>60</v>
      </c>
      <c r="B182" s="51"/>
      <c r="C182" s="76"/>
      <c r="D182" s="22"/>
      <c r="E182" s="23"/>
      <c r="F182" s="76"/>
      <c r="G182" s="22"/>
      <c r="H182" s="23"/>
    </row>
    <row r="183">
      <c r="A183" s="11"/>
      <c r="C183" s="11"/>
      <c r="D183" s="11"/>
      <c r="E183" s="11"/>
      <c r="F183" s="11"/>
    </row>
    <row r="184">
      <c r="A184" s="11"/>
      <c r="C184" s="11"/>
      <c r="D184" s="11"/>
      <c r="E184" s="11"/>
      <c r="F184" s="11"/>
    </row>
    <row r="185">
      <c r="A185" s="11"/>
      <c r="C185" s="11"/>
      <c r="D185" s="11"/>
      <c r="E185" s="11"/>
      <c r="F185" s="11"/>
    </row>
    <row r="186">
      <c r="A186" s="11"/>
      <c r="C186" s="11"/>
      <c r="D186" s="11"/>
      <c r="E186" s="11"/>
      <c r="F186" s="11"/>
    </row>
    <row r="187">
      <c r="A187" s="11"/>
      <c r="C187" s="11"/>
      <c r="D187" s="11"/>
      <c r="E187" s="11"/>
      <c r="F187" s="11"/>
    </row>
    <row r="188">
      <c r="A188" s="11"/>
      <c r="C188" s="11"/>
      <c r="D188" s="11"/>
      <c r="E188" s="11"/>
      <c r="F188" s="11"/>
    </row>
    <row r="189">
      <c r="A189" s="11"/>
      <c r="C189" s="11"/>
      <c r="D189" s="11"/>
      <c r="E189" s="11"/>
      <c r="F189" s="11"/>
    </row>
    <row r="190">
      <c r="A190" s="11"/>
      <c r="C190" s="11"/>
      <c r="D190" s="11"/>
      <c r="E190" s="11"/>
      <c r="F190" s="11"/>
    </row>
    <row r="191">
      <c r="A191" s="11"/>
      <c r="C191" s="11"/>
      <c r="D191" s="11"/>
      <c r="E191" s="11"/>
      <c r="F191" s="11"/>
    </row>
    <row r="192">
      <c r="A192" s="11"/>
      <c r="C192" s="11"/>
      <c r="D192" s="11"/>
      <c r="E192" s="11"/>
      <c r="F192" s="11"/>
    </row>
    <row r="193">
      <c r="A193" s="11"/>
      <c r="C193" s="11"/>
      <c r="D193" s="11"/>
      <c r="E193" s="11"/>
      <c r="F193" s="11"/>
    </row>
    <row r="194">
      <c r="A194" s="11"/>
      <c r="C194" s="11"/>
      <c r="D194" s="11"/>
      <c r="E194" s="11"/>
      <c r="F194" s="11"/>
    </row>
    <row r="195">
      <c r="A195" s="11"/>
      <c r="C195" s="11"/>
      <c r="D195" s="11"/>
      <c r="E195" s="11"/>
      <c r="F195" s="11"/>
    </row>
    <row r="196">
      <c r="A196" s="11"/>
      <c r="C196" s="11"/>
      <c r="D196" s="11"/>
      <c r="E196" s="11"/>
      <c r="F196" s="11"/>
    </row>
    <row r="197">
      <c r="A197" s="11"/>
      <c r="C197" s="11"/>
      <c r="D197" s="11"/>
      <c r="E197" s="11"/>
      <c r="F197" s="11"/>
    </row>
    <row r="198">
      <c r="A198" s="11"/>
      <c r="C198" s="11"/>
      <c r="D198" s="11"/>
      <c r="E198" s="11"/>
      <c r="F198" s="11"/>
    </row>
    <row r="199">
      <c r="A199" s="11"/>
      <c r="C199" s="11"/>
      <c r="D199" s="11"/>
      <c r="E199" s="11"/>
      <c r="F199" s="11"/>
    </row>
    <row r="200">
      <c r="A200" s="11"/>
      <c r="C200" s="11"/>
      <c r="D200" s="11"/>
      <c r="E200" s="11"/>
      <c r="F200" s="11"/>
    </row>
    <row r="201">
      <c r="A201" s="11"/>
      <c r="C201" s="11"/>
      <c r="D201" s="11"/>
      <c r="E201" s="11"/>
      <c r="F201" s="11"/>
    </row>
    <row r="202">
      <c r="A202" s="11"/>
      <c r="C202" s="11"/>
      <c r="D202" s="11"/>
      <c r="E202" s="11"/>
      <c r="F202" s="11"/>
    </row>
    <row r="203">
      <c r="A203" s="11"/>
      <c r="C203" s="11"/>
      <c r="D203" s="11"/>
      <c r="E203" s="11"/>
      <c r="F203" s="11"/>
    </row>
    <row r="204">
      <c r="A204" s="11"/>
      <c r="C204" s="11"/>
      <c r="D204" s="11"/>
      <c r="E204" s="11"/>
      <c r="F204" s="11"/>
    </row>
    <row r="205">
      <c r="A205" s="11"/>
      <c r="C205" s="11"/>
      <c r="D205" s="11"/>
      <c r="E205" s="11"/>
      <c r="F205" s="11"/>
    </row>
    <row r="206">
      <c r="A206" s="11"/>
      <c r="C206" s="11"/>
      <c r="D206" s="11"/>
      <c r="E206" s="11"/>
      <c r="F206" s="11"/>
    </row>
    <row r="207">
      <c r="A207" s="11"/>
      <c r="C207" s="11"/>
      <c r="D207" s="11"/>
      <c r="E207" s="11"/>
      <c r="F207" s="11"/>
    </row>
    <row r="208">
      <c r="A208" s="11"/>
      <c r="C208" s="11"/>
      <c r="D208" s="11"/>
      <c r="E208" s="11"/>
      <c r="F208" s="11"/>
    </row>
    <row r="209">
      <c r="A209" s="11"/>
      <c r="C209" s="11"/>
      <c r="D209" s="11"/>
      <c r="E209" s="11"/>
      <c r="F209" s="11"/>
    </row>
    <row r="210">
      <c r="A210" s="11"/>
      <c r="C210" s="11"/>
      <c r="D210" s="11"/>
      <c r="E210" s="11"/>
      <c r="F210" s="11"/>
    </row>
    <row r="211">
      <c r="A211" s="11"/>
      <c r="C211" s="11"/>
      <c r="D211" s="11"/>
      <c r="E211" s="11"/>
      <c r="F211" s="11"/>
    </row>
    <row r="212">
      <c r="A212" s="11"/>
      <c r="C212" s="11"/>
      <c r="D212" s="11"/>
      <c r="E212" s="11"/>
      <c r="F212" s="11"/>
    </row>
    <row r="213">
      <c r="A213" s="11"/>
      <c r="C213" s="11"/>
      <c r="D213" s="11"/>
      <c r="E213" s="11"/>
      <c r="F213" s="11"/>
    </row>
    <row r="214">
      <c r="A214" s="11"/>
      <c r="C214" s="11"/>
      <c r="D214" s="11"/>
      <c r="E214" s="11"/>
      <c r="F214" s="11"/>
    </row>
    <row r="215">
      <c r="A215" s="11"/>
      <c r="C215" s="11"/>
      <c r="D215" s="11"/>
      <c r="E215" s="11"/>
      <c r="F215" s="11"/>
    </row>
    <row r="216">
      <c r="A216" s="11"/>
      <c r="C216" s="11"/>
      <c r="D216" s="11"/>
      <c r="E216" s="11"/>
      <c r="F216" s="11"/>
    </row>
    <row r="217">
      <c r="A217" s="11"/>
      <c r="C217" s="11"/>
      <c r="D217" s="11"/>
      <c r="E217" s="11"/>
      <c r="F217" s="11"/>
    </row>
    <row r="218">
      <c r="A218" s="11"/>
      <c r="C218" s="11"/>
      <c r="D218" s="11"/>
      <c r="E218" s="11"/>
      <c r="F218" s="11"/>
    </row>
    <row r="219">
      <c r="A219" s="11"/>
      <c r="C219" s="11"/>
      <c r="D219" s="11"/>
      <c r="E219" s="11"/>
      <c r="F219" s="11"/>
    </row>
    <row r="220">
      <c r="A220" s="11"/>
      <c r="C220" s="11"/>
      <c r="D220" s="11"/>
      <c r="E220" s="11"/>
      <c r="F220" s="11"/>
    </row>
    <row r="221">
      <c r="A221" s="11"/>
      <c r="C221" s="11"/>
      <c r="D221" s="11"/>
      <c r="E221" s="11"/>
      <c r="F221" s="11"/>
    </row>
    <row r="222">
      <c r="A222" s="11"/>
      <c r="C222" s="11"/>
      <c r="D222" s="11"/>
      <c r="E222" s="11"/>
      <c r="F222" s="11"/>
    </row>
    <row r="223">
      <c r="A223" s="11"/>
      <c r="C223" s="11"/>
      <c r="D223" s="11"/>
      <c r="E223" s="11"/>
      <c r="F223" s="11"/>
    </row>
    <row r="224">
      <c r="A224" s="11"/>
      <c r="C224" s="11"/>
      <c r="D224" s="11"/>
      <c r="E224" s="11"/>
      <c r="F224" s="11"/>
    </row>
    <row r="225">
      <c r="A225" s="11"/>
      <c r="C225" s="11"/>
      <c r="D225" s="11"/>
      <c r="E225" s="11"/>
      <c r="F225" s="11"/>
    </row>
    <row r="226">
      <c r="A226" s="11"/>
      <c r="C226" s="11"/>
      <c r="D226" s="11"/>
      <c r="E226" s="11"/>
      <c r="F226" s="11"/>
    </row>
    <row r="227">
      <c r="A227" s="11"/>
      <c r="C227" s="11"/>
      <c r="D227" s="11"/>
      <c r="E227" s="11"/>
      <c r="F227" s="11"/>
    </row>
    <row r="228">
      <c r="A228" s="11"/>
      <c r="C228" s="11"/>
      <c r="D228" s="11"/>
      <c r="E228" s="11"/>
      <c r="F228" s="11"/>
    </row>
    <row r="229">
      <c r="A229" s="11"/>
      <c r="C229" s="11"/>
      <c r="D229" s="11"/>
      <c r="E229" s="11"/>
      <c r="F229" s="11"/>
    </row>
    <row r="230">
      <c r="A230" s="11"/>
      <c r="C230" s="11"/>
      <c r="D230" s="11"/>
      <c r="E230" s="11"/>
      <c r="F230" s="11"/>
    </row>
    <row r="231">
      <c r="A231" s="11"/>
      <c r="C231" s="11"/>
      <c r="D231" s="11"/>
      <c r="E231" s="11"/>
      <c r="F231" s="11"/>
    </row>
    <row r="232">
      <c r="A232" s="11"/>
      <c r="C232" s="11"/>
      <c r="D232" s="11"/>
      <c r="E232" s="11"/>
      <c r="F232" s="11"/>
    </row>
    <row r="233">
      <c r="A233" s="11"/>
      <c r="C233" s="11"/>
      <c r="D233" s="11"/>
      <c r="E233" s="11"/>
      <c r="F233" s="11"/>
    </row>
    <row r="234">
      <c r="A234" s="11"/>
      <c r="C234" s="11"/>
      <c r="D234" s="11"/>
      <c r="E234" s="11"/>
      <c r="F234" s="11"/>
    </row>
    <row r="235">
      <c r="A235" s="11"/>
      <c r="C235" s="11"/>
      <c r="D235" s="11"/>
      <c r="E235" s="11"/>
      <c r="F235" s="11"/>
    </row>
    <row r="236">
      <c r="A236" s="11"/>
      <c r="C236" s="11"/>
      <c r="D236" s="11"/>
      <c r="E236" s="11"/>
      <c r="F236" s="11"/>
    </row>
    <row r="237">
      <c r="A237" s="11"/>
      <c r="C237" s="11"/>
      <c r="D237" s="11"/>
      <c r="E237" s="11"/>
      <c r="F237" s="11"/>
    </row>
    <row r="238">
      <c r="A238" s="11"/>
      <c r="C238" s="11"/>
      <c r="D238" s="11"/>
      <c r="E238" s="11"/>
      <c r="F238" s="11"/>
    </row>
    <row r="239">
      <c r="A239" s="11"/>
      <c r="C239" s="11"/>
      <c r="D239" s="11"/>
      <c r="E239" s="11"/>
      <c r="F239" s="11"/>
    </row>
    <row r="240">
      <c r="A240" s="11"/>
      <c r="C240" s="11"/>
      <c r="D240" s="11"/>
      <c r="E240" s="11"/>
      <c r="F240" s="11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11"/>
      <c r="C261" s="11"/>
      <c r="D261" s="11"/>
      <c r="E261" s="11"/>
      <c r="F261" s="11"/>
    </row>
    <row r="262">
      <c r="A262" s="11"/>
      <c r="C262" s="11"/>
      <c r="D262" s="11"/>
      <c r="E262" s="11"/>
      <c r="F262" s="11"/>
    </row>
    <row r="263">
      <c r="A263" s="11"/>
      <c r="C263" s="11"/>
      <c r="D263" s="11"/>
      <c r="E263" s="11"/>
      <c r="F263" s="11"/>
    </row>
    <row r="264">
      <c r="A264" s="11"/>
      <c r="C264" s="11"/>
      <c r="D264" s="11"/>
      <c r="E264" s="11"/>
      <c r="F264" s="11"/>
    </row>
    <row r="265">
      <c r="A265" s="11"/>
      <c r="C265" s="11"/>
      <c r="D265" s="11"/>
      <c r="E265" s="11"/>
      <c r="F265" s="11"/>
    </row>
    <row r="266">
      <c r="A266" s="11"/>
      <c r="C266" s="11"/>
      <c r="D266" s="11"/>
      <c r="E266" s="11"/>
      <c r="F266" s="11"/>
    </row>
    <row r="267">
      <c r="A267" s="11"/>
      <c r="C267" s="11"/>
      <c r="D267" s="11"/>
      <c r="E267" s="11"/>
      <c r="F267" s="11"/>
    </row>
    <row r="268">
      <c r="A268" s="11"/>
      <c r="C268" s="11"/>
      <c r="D268" s="11"/>
      <c r="E268" s="11"/>
      <c r="F268" s="11"/>
    </row>
    <row r="269">
      <c r="A269" s="11"/>
      <c r="C269" s="11"/>
      <c r="D269" s="11"/>
      <c r="E269" s="11"/>
      <c r="F269" s="11"/>
    </row>
    <row r="270">
      <c r="A270" s="11"/>
      <c r="C270" s="11"/>
      <c r="D270" s="11"/>
      <c r="E270" s="11"/>
      <c r="F270" s="11"/>
    </row>
    <row r="271">
      <c r="A271" s="11"/>
      <c r="C271" s="11"/>
      <c r="D271" s="11"/>
      <c r="E271" s="11"/>
      <c r="F271" s="11"/>
    </row>
    <row r="272">
      <c r="A272" s="11"/>
      <c r="C272" s="11"/>
      <c r="D272" s="11"/>
      <c r="E272" s="11"/>
      <c r="F272" s="11"/>
    </row>
    <row r="273">
      <c r="A273" s="11"/>
      <c r="C273" s="11"/>
      <c r="D273" s="11"/>
      <c r="E273" s="11"/>
      <c r="F273" s="11"/>
    </row>
    <row r="274">
      <c r="A274" s="11"/>
      <c r="C274" s="11"/>
      <c r="D274" s="11"/>
      <c r="E274" s="11"/>
      <c r="F274" s="11"/>
    </row>
    <row r="275">
      <c r="A275" s="11"/>
      <c r="C275" s="11"/>
      <c r="D275" s="11"/>
      <c r="E275" s="11"/>
      <c r="F275" s="11"/>
    </row>
    <row r="276">
      <c r="A276" s="11"/>
      <c r="C276" s="11"/>
      <c r="D276" s="11"/>
      <c r="E276" s="11"/>
      <c r="F276" s="11"/>
    </row>
    <row r="277">
      <c r="A277" s="11"/>
      <c r="C277" s="11"/>
      <c r="D277" s="11"/>
      <c r="E277" s="11"/>
      <c r="F277" s="11"/>
    </row>
    <row r="278">
      <c r="A278" s="11"/>
      <c r="C278" s="11"/>
      <c r="D278" s="11"/>
      <c r="E278" s="11"/>
      <c r="F278" s="11"/>
    </row>
    <row r="279">
      <c r="A279" s="11"/>
      <c r="C279" s="11"/>
      <c r="D279" s="11"/>
      <c r="E279" s="11"/>
      <c r="F279" s="11"/>
    </row>
    <row r="280">
      <c r="A280" s="11"/>
      <c r="C280" s="11"/>
      <c r="D280" s="11"/>
      <c r="E280" s="11"/>
      <c r="F280" s="11"/>
    </row>
    <row r="281">
      <c r="A281" s="11"/>
      <c r="C281" s="11"/>
      <c r="D281" s="11"/>
      <c r="E281" s="11"/>
      <c r="F281" s="11"/>
    </row>
    <row r="282">
      <c r="A282" s="11"/>
      <c r="C282" s="11"/>
      <c r="D282" s="11"/>
      <c r="E282" s="11"/>
      <c r="F282" s="11"/>
    </row>
    <row r="283">
      <c r="A283" s="11"/>
      <c r="C283" s="11"/>
      <c r="D283" s="11"/>
      <c r="E283" s="11"/>
      <c r="F283" s="11"/>
    </row>
    <row r="284">
      <c r="A284" s="11"/>
      <c r="C284" s="11"/>
      <c r="D284" s="11"/>
      <c r="E284" s="11"/>
      <c r="F284" s="11"/>
    </row>
    <row r="285">
      <c r="A285" s="11"/>
      <c r="C285" s="11"/>
      <c r="D285" s="11"/>
      <c r="E285" s="11"/>
      <c r="F285" s="11"/>
    </row>
    <row r="286">
      <c r="A286" s="11"/>
      <c r="C286" s="11"/>
      <c r="D286" s="11"/>
      <c r="E286" s="11"/>
      <c r="F286" s="11"/>
    </row>
    <row r="287">
      <c r="A287" s="11"/>
      <c r="C287" s="11"/>
      <c r="D287" s="11"/>
      <c r="E287" s="11"/>
      <c r="F287" s="11"/>
    </row>
    <row r="288">
      <c r="A288" s="11"/>
      <c r="C288" s="11"/>
      <c r="D288" s="11"/>
      <c r="E288" s="11"/>
      <c r="F288" s="11"/>
    </row>
    <row r="289">
      <c r="A289" s="11"/>
      <c r="C289" s="11"/>
      <c r="D289" s="11"/>
      <c r="E289" s="11"/>
      <c r="F289" s="11"/>
    </row>
    <row r="290">
      <c r="A290" s="11"/>
      <c r="C290" s="11"/>
      <c r="D290" s="11"/>
      <c r="E290" s="11"/>
      <c r="F290" s="11"/>
    </row>
    <row r="291">
      <c r="A291" s="11"/>
      <c r="C291" s="11"/>
      <c r="D291" s="11"/>
      <c r="E291" s="11"/>
      <c r="F291" s="11"/>
    </row>
    <row r="292">
      <c r="A292" s="11"/>
      <c r="C292" s="11"/>
      <c r="D292" s="11"/>
      <c r="E292" s="11"/>
      <c r="F292" s="11"/>
    </row>
    <row r="293">
      <c r="A293" s="11"/>
      <c r="C293" s="11"/>
      <c r="D293" s="11"/>
      <c r="E293" s="11"/>
      <c r="F293" s="11"/>
    </row>
    <row r="294">
      <c r="A294" s="11"/>
      <c r="C294" s="11"/>
      <c r="D294" s="11"/>
      <c r="E294" s="11"/>
      <c r="F294" s="11"/>
    </row>
    <row r="295">
      <c r="A295" s="11"/>
      <c r="C295" s="11"/>
      <c r="D295" s="11"/>
      <c r="E295" s="11"/>
      <c r="F295" s="11"/>
    </row>
    <row r="296">
      <c r="A296" s="11"/>
      <c r="C296" s="11"/>
      <c r="D296" s="11"/>
      <c r="E296" s="11"/>
      <c r="F296" s="11"/>
    </row>
    <row r="297">
      <c r="A297" s="11"/>
      <c r="C297" s="11"/>
      <c r="D297" s="11"/>
      <c r="E297" s="11"/>
      <c r="F297" s="11"/>
    </row>
    <row r="298">
      <c r="A298" s="11"/>
      <c r="C298" s="11"/>
      <c r="D298" s="11"/>
      <c r="E298" s="11"/>
      <c r="F298" s="11"/>
    </row>
    <row r="299">
      <c r="A299" s="11"/>
      <c r="C299" s="11"/>
      <c r="D299" s="11"/>
      <c r="E299" s="11"/>
      <c r="F299" s="11"/>
    </row>
    <row r="300">
      <c r="A300" s="11"/>
      <c r="C300" s="11"/>
      <c r="D300" s="11"/>
      <c r="E300" s="11"/>
      <c r="F300" s="11"/>
    </row>
    <row r="301">
      <c r="A301" s="11"/>
      <c r="C301" s="11"/>
      <c r="D301" s="11"/>
      <c r="E301" s="11"/>
      <c r="F301" s="11"/>
    </row>
    <row r="302">
      <c r="A302" s="11"/>
      <c r="C302" s="11"/>
      <c r="D302" s="11"/>
      <c r="E302" s="11"/>
      <c r="F302" s="11"/>
    </row>
    <row r="303">
      <c r="A303" s="11"/>
      <c r="C303" s="11"/>
      <c r="D303" s="11"/>
      <c r="E303" s="11"/>
      <c r="F303" s="11"/>
    </row>
    <row r="304">
      <c r="A304" s="11"/>
      <c r="C304" s="11"/>
      <c r="D304" s="11"/>
      <c r="E304" s="11"/>
      <c r="F304" s="11"/>
    </row>
    <row r="305">
      <c r="A305" s="11"/>
      <c r="C305" s="11"/>
      <c r="D305" s="11"/>
      <c r="E305" s="11"/>
      <c r="F305" s="11"/>
    </row>
    <row r="306">
      <c r="A306" s="11"/>
      <c r="C306" s="11"/>
      <c r="D306" s="11"/>
      <c r="E306" s="11"/>
      <c r="F306" s="11"/>
    </row>
    <row r="307">
      <c r="A307" s="11"/>
      <c r="C307" s="11"/>
      <c r="D307" s="11"/>
      <c r="E307" s="11"/>
      <c r="F307" s="11"/>
    </row>
    <row r="308">
      <c r="A308" s="11"/>
      <c r="C308" s="11"/>
      <c r="D308" s="11"/>
      <c r="E308" s="11"/>
      <c r="F308" s="11"/>
    </row>
    <row r="309">
      <c r="A309" s="11"/>
      <c r="C309" s="11"/>
      <c r="D309" s="11"/>
      <c r="E309" s="11"/>
      <c r="F309" s="11"/>
    </row>
    <row r="310">
      <c r="A310" s="11"/>
      <c r="C310" s="11"/>
      <c r="D310" s="11"/>
      <c r="E310" s="11"/>
      <c r="F310" s="11"/>
    </row>
    <row r="311">
      <c r="A311" s="11"/>
      <c r="C311" s="11"/>
      <c r="D311" s="11"/>
      <c r="E311" s="11"/>
      <c r="F311" s="11"/>
    </row>
    <row r="312">
      <c r="A312" s="11"/>
      <c r="C312" s="11"/>
      <c r="D312" s="11"/>
      <c r="E312" s="11"/>
      <c r="F312" s="11"/>
    </row>
    <row r="313">
      <c r="A313" s="11"/>
      <c r="C313" s="11"/>
      <c r="D313" s="11"/>
      <c r="E313" s="11"/>
      <c r="F313" s="11"/>
    </row>
    <row r="314">
      <c r="A314" s="11"/>
      <c r="C314" s="11"/>
      <c r="D314" s="11"/>
      <c r="E314" s="11"/>
      <c r="F314" s="11"/>
    </row>
    <row r="315">
      <c r="A315" s="11"/>
      <c r="C315" s="11"/>
      <c r="D315" s="11"/>
      <c r="E315" s="11"/>
      <c r="F315" s="11"/>
    </row>
    <row r="316">
      <c r="A316" s="11"/>
      <c r="C316" s="11"/>
      <c r="D316" s="11"/>
      <c r="E316" s="11"/>
      <c r="F316" s="11"/>
    </row>
    <row r="317">
      <c r="A317" s="11"/>
      <c r="C317" s="11"/>
      <c r="D317" s="11"/>
      <c r="E317" s="11"/>
      <c r="F317" s="11"/>
    </row>
    <row r="318">
      <c r="A318" s="11"/>
      <c r="C318" s="11"/>
      <c r="D318" s="11"/>
      <c r="E318" s="11"/>
      <c r="F318" s="11"/>
    </row>
    <row r="319">
      <c r="A319" s="11"/>
      <c r="C319" s="11"/>
      <c r="D319" s="11"/>
      <c r="E319" s="11"/>
      <c r="F319" s="11"/>
    </row>
    <row r="320">
      <c r="A320" s="11"/>
      <c r="C320" s="11"/>
      <c r="D320" s="11"/>
      <c r="E320" s="11"/>
      <c r="F320" s="11"/>
    </row>
    <row r="321">
      <c r="A321" s="11"/>
      <c r="C321" s="11"/>
      <c r="D321" s="11"/>
      <c r="E321" s="11"/>
      <c r="F321" s="11"/>
    </row>
    <row r="322">
      <c r="A322" s="11"/>
      <c r="C322" s="11"/>
      <c r="D322" s="11"/>
      <c r="E322" s="11"/>
      <c r="F322" s="11"/>
    </row>
    <row r="323">
      <c r="A323" s="11"/>
      <c r="C323" s="11"/>
      <c r="D323" s="11"/>
      <c r="E323" s="11"/>
      <c r="F323" s="11"/>
    </row>
    <row r="324">
      <c r="A324" s="11"/>
      <c r="C324" s="11"/>
      <c r="D324" s="11"/>
      <c r="E324" s="11"/>
      <c r="F324" s="11"/>
    </row>
    <row r="325">
      <c r="A325" s="11"/>
      <c r="C325" s="11"/>
      <c r="D325" s="11"/>
      <c r="E325" s="11"/>
      <c r="F325" s="11"/>
    </row>
    <row r="326">
      <c r="A326" s="11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C343" s="11"/>
      <c r="D343" s="11"/>
      <c r="E343" s="11"/>
      <c r="F343" s="11"/>
    </row>
    <row r="344">
      <c r="A344" s="11"/>
      <c r="C344" s="11"/>
      <c r="D344" s="11"/>
      <c r="E344" s="11"/>
      <c r="F344" s="11"/>
    </row>
    <row r="345">
      <c r="A345" s="11"/>
      <c r="C345" s="11"/>
      <c r="D345" s="11"/>
      <c r="E345" s="11"/>
      <c r="F345" s="11"/>
    </row>
    <row r="346">
      <c r="A346" s="11"/>
      <c r="C346" s="11"/>
      <c r="D346" s="11"/>
      <c r="E346" s="11"/>
      <c r="F346" s="11"/>
    </row>
    <row r="347">
      <c r="A347" s="11"/>
      <c r="C347" s="11"/>
      <c r="D347" s="11"/>
      <c r="E347" s="11"/>
      <c r="F347" s="11"/>
    </row>
    <row r="348">
      <c r="A348" s="11"/>
      <c r="C348" s="11"/>
      <c r="D348" s="11"/>
      <c r="E348" s="11"/>
      <c r="F348" s="11"/>
    </row>
    <row r="349">
      <c r="A349" s="11"/>
      <c r="C349" s="11"/>
      <c r="D349" s="11"/>
      <c r="E349" s="11"/>
      <c r="F349" s="11"/>
    </row>
    <row r="350">
      <c r="A350" s="11"/>
      <c r="C350" s="11"/>
      <c r="D350" s="11"/>
      <c r="E350" s="11"/>
      <c r="F350" s="11"/>
    </row>
    <row r="351">
      <c r="A351" s="11"/>
      <c r="C351" s="11"/>
      <c r="D351" s="11"/>
      <c r="E351" s="11"/>
      <c r="F351" s="11"/>
    </row>
    <row r="352">
      <c r="A352" s="11"/>
      <c r="C352" s="11"/>
      <c r="D352" s="11"/>
      <c r="E352" s="11"/>
      <c r="F352" s="11"/>
    </row>
    <row r="353">
      <c r="A353" s="11"/>
      <c r="C353" s="11"/>
      <c r="D353" s="11"/>
      <c r="E353" s="11"/>
      <c r="F353" s="11"/>
    </row>
    <row r="354">
      <c r="A354" s="11"/>
      <c r="C354" s="11"/>
      <c r="D354" s="11"/>
      <c r="E354" s="11"/>
      <c r="F354" s="11"/>
    </row>
    <row r="355">
      <c r="A355" s="11"/>
      <c r="C355" s="11"/>
      <c r="D355" s="11"/>
      <c r="E355" s="11"/>
      <c r="F355" s="11"/>
    </row>
    <row r="356">
      <c r="A356" s="11"/>
      <c r="C356" s="11"/>
      <c r="D356" s="11"/>
      <c r="E356" s="11"/>
      <c r="F356" s="11"/>
    </row>
    <row r="357">
      <c r="A357" s="11"/>
      <c r="C357" s="11"/>
      <c r="D357" s="11"/>
      <c r="E357" s="11"/>
      <c r="F357" s="11"/>
    </row>
    <row r="358">
      <c r="A358" s="11"/>
      <c r="C358" s="11"/>
      <c r="D358" s="11"/>
      <c r="E358" s="11"/>
      <c r="F358" s="11"/>
    </row>
    <row r="359">
      <c r="A359" s="11"/>
      <c r="C359" s="11"/>
      <c r="D359" s="11"/>
      <c r="E359" s="11"/>
      <c r="F359" s="11"/>
    </row>
    <row r="360">
      <c r="A360" s="11"/>
      <c r="C360" s="11"/>
      <c r="D360" s="11"/>
      <c r="E360" s="11"/>
      <c r="F360" s="11"/>
    </row>
    <row r="361">
      <c r="A361" s="11"/>
      <c r="C361" s="11"/>
      <c r="D361" s="11"/>
      <c r="E361" s="11"/>
      <c r="F361" s="11"/>
    </row>
    <row r="362">
      <c r="A362" s="11"/>
      <c r="C362" s="11"/>
      <c r="D362" s="11"/>
      <c r="E362" s="11"/>
      <c r="F362" s="11"/>
    </row>
    <row r="363">
      <c r="A363" s="11"/>
      <c r="C363" s="11"/>
      <c r="D363" s="11"/>
      <c r="E363" s="11"/>
      <c r="F363" s="11"/>
    </row>
    <row r="364">
      <c r="A364" s="11"/>
      <c r="C364" s="11"/>
      <c r="D364" s="11"/>
      <c r="E364" s="11"/>
      <c r="F364" s="11"/>
    </row>
    <row r="365">
      <c r="A365" s="11"/>
      <c r="C365" s="11"/>
      <c r="D365" s="11"/>
      <c r="E365" s="11"/>
      <c r="F365" s="11"/>
    </row>
    <row r="366">
      <c r="A366" s="11"/>
      <c r="C366" s="11"/>
      <c r="D366" s="11"/>
      <c r="E366" s="11"/>
      <c r="F366" s="11"/>
    </row>
    <row r="367">
      <c r="A367" s="11"/>
      <c r="C367" s="11"/>
      <c r="D367" s="11"/>
      <c r="E367" s="11"/>
      <c r="F367" s="11"/>
    </row>
    <row r="368">
      <c r="A368" s="11"/>
      <c r="C368" s="11"/>
      <c r="D368" s="11"/>
      <c r="E368" s="11"/>
      <c r="F368" s="11"/>
    </row>
    <row r="369">
      <c r="A369" s="11"/>
      <c r="C369" s="11"/>
      <c r="D369" s="11"/>
      <c r="E369" s="11"/>
      <c r="F369" s="11"/>
    </row>
    <row r="370">
      <c r="A370" s="11"/>
      <c r="C370" s="11"/>
      <c r="D370" s="11"/>
      <c r="E370" s="11"/>
      <c r="F370" s="11"/>
    </row>
    <row r="371">
      <c r="A371" s="11"/>
      <c r="C371" s="11"/>
      <c r="D371" s="11"/>
      <c r="E371" s="11"/>
      <c r="F371" s="11"/>
    </row>
    <row r="372">
      <c r="A372" s="11"/>
      <c r="C372" s="11"/>
      <c r="D372" s="11"/>
      <c r="E372" s="11"/>
      <c r="F372" s="11"/>
    </row>
    <row r="373">
      <c r="A373" s="11"/>
      <c r="C373" s="11"/>
      <c r="D373" s="11"/>
      <c r="E373" s="11"/>
      <c r="F373" s="11"/>
    </row>
    <row r="374">
      <c r="A374" s="11"/>
      <c r="C374" s="11"/>
      <c r="D374" s="11"/>
      <c r="E374" s="11"/>
      <c r="F374" s="11"/>
    </row>
    <row r="375">
      <c r="A375" s="11"/>
      <c r="C375" s="11"/>
      <c r="D375" s="11"/>
      <c r="E375" s="11"/>
      <c r="F375" s="11"/>
    </row>
    <row r="376">
      <c r="A376" s="11"/>
      <c r="C376" s="11"/>
      <c r="D376" s="11"/>
      <c r="E376" s="11"/>
      <c r="F376" s="11"/>
    </row>
    <row r="377">
      <c r="A377" s="11"/>
      <c r="C377" s="11"/>
      <c r="D377" s="11"/>
      <c r="E377" s="11"/>
      <c r="F377" s="11"/>
    </row>
    <row r="378">
      <c r="A378" s="11"/>
      <c r="C378" s="11"/>
      <c r="D378" s="11"/>
      <c r="E378" s="11"/>
      <c r="F378" s="11"/>
    </row>
    <row r="379">
      <c r="A379" s="11"/>
      <c r="C379" s="11"/>
      <c r="D379" s="11"/>
      <c r="E379" s="11"/>
      <c r="F379" s="11"/>
    </row>
    <row r="380">
      <c r="A380" s="11"/>
      <c r="C380" s="11"/>
      <c r="D380" s="11"/>
      <c r="E380" s="11"/>
      <c r="F380" s="11"/>
    </row>
    <row r="381">
      <c r="A381" s="11"/>
      <c r="C381" s="11"/>
      <c r="D381" s="11"/>
      <c r="E381" s="11"/>
      <c r="F381" s="11"/>
    </row>
    <row r="382">
      <c r="A382" s="11"/>
      <c r="C382" s="11"/>
      <c r="D382" s="11"/>
      <c r="E382" s="11"/>
      <c r="F382" s="11"/>
    </row>
    <row r="383">
      <c r="A383" s="11"/>
      <c r="C383" s="11"/>
      <c r="D383" s="11"/>
      <c r="E383" s="11"/>
      <c r="F383" s="11"/>
    </row>
    <row r="384">
      <c r="A384" s="11"/>
      <c r="C384" s="11"/>
      <c r="D384" s="11"/>
      <c r="E384" s="11"/>
      <c r="F384" s="11"/>
    </row>
    <row r="385">
      <c r="A385" s="11"/>
      <c r="C385" s="11"/>
      <c r="D385" s="11"/>
      <c r="E385" s="11"/>
      <c r="F385" s="11"/>
    </row>
    <row r="386">
      <c r="A386" s="11"/>
      <c r="C386" s="11"/>
      <c r="D386" s="11"/>
      <c r="E386" s="11"/>
      <c r="F386" s="11"/>
    </row>
    <row r="387">
      <c r="A387" s="11"/>
      <c r="C387" s="11"/>
      <c r="D387" s="11"/>
      <c r="E387" s="11"/>
      <c r="F387" s="11"/>
    </row>
    <row r="388">
      <c r="A388" s="11"/>
      <c r="C388" s="11"/>
      <c r="D388" s="11"/>
      <c r="E388" s="11"/>
      <c r="F388" s="11"/>
    </row>
    <row r="389">
      <c r="A389" s="11"/>
      <c r="C389" s="11"/>
      <c r="D389" s="11"/>
      <c r="E389" s="11"/>
      <c r="F389" s="11"/>
    </row>
    <row r="390">
      <c r="A390" s="11"/>
      <c r="C390" s="11"/>
      <c r="D390" s="11"/>
      <c r="E390" s="11"/>
      <c r="F390" s="11"/>
    </row>
    <row r="391">
      <c r="A391" s="11"/>
      <c r="C391" s="11"/>
      <c r="D391" s="11"/>
      <c r="E391" s="11"/>
      <c r="F391" s="11"/>
    </row>
    <row r="392">
      <c r="A392" s="11"/>
      <c r="C392" s="11"/>
      <c r="D392" s="11"/>
      <c r="E392" s="11"/>
      <c r="F392" s="11"/>
    </row>
    <row r="393">
      <c r="A393" s="11"/>
      <c r="C393" s="11"/>
      <c r="D393" s="11"/>
      <c r="E393" s="11"/>
      <c r="F393" s="11"/>
    </row>
    <row r="394">
      <c r="A394" s="11"/>
      <c r="C394" s="11"/>
      <c r="D394" s="11"/>
      <c r="E394" s="11"/>
      <c r="F394" s="11"/>
    </row>
    <row r="395">
      <c r="A395" s="11"/>
      <c r="C395" s="11"/>
      <c r="D395" s="11"/>
      <c r="E395" s="11"/>
      <c r="F395" s="11"/>
    </row>
    <row r="396">
      <c r="A396" s="11"/>
      <c r="C396" s="11"/>
      <c r="D396" s="11"/>
      <c r="E396" s="11"/>
      <c r="F396" s="11"/>
    </row>
    <row r="397">
      <c r="A397" s="11"/>
      <c r="C397" s="11"/>
      <c r="D397" s="11"/>
      <c r="E397" s="11"/>
      <c r="F397" s="11"/>
    </row>
    <row r="398">
      <c r="A398" s="11"/>
      <c r="C398" s="11"/>
      <c r="D398" s="11"/>
      <c r="E398" s="11"/>
      <c r="F398" s="11"/>
    </row>
    <row r="399">
      <c r="A399" s="11"/>
      <c r="C399" s="11"/>
      <c r="D399" s="11"/>
      <c r="E399" s="11"/>
      <c r="F399" s="11"/>
    </row>
    <row r="400">
      <c r="A400" s="11"/>
      <c r="C400" s="11"/>
      <c r="D400" s="11"/>
      <c r="E400" s="11"/>
      <c r="F400" s="11"/>
    </row>
    <row r="401">
      <c r="A401" s="11"/>
      <c r="C401" s="11"/>
      <c r="D401" s="11"/>
      <c r="E401" s="11"/>
      <c r="F401" s="11"/>
    </row>
    <row r="402">
      <c r="A402" s="11"/>
      <c r="C402" s="11"/>
      <c r="D402" s="11"/>
      <c r="E402" s="11"/>
      <c r="F402" s="11"/>
    </row>
    <row r="403">
      <c r="A403" s="11"/>
      <c r="C403" s="11"/>
      <c r="D403" s="11"/>
      <c r="E403" s="11"/>
      <c r="F403" s="11"/>
    </row>
    <row r="404">
      <c r="A404" s="11"/>
      <c r="C404" s="11"/>
      <c r="D404" s="11"/>
      <c r="E404" s="11"/>
      <c r="F404" s="11"/>
    </row>
    <row r="405">
      <c r="A405" s="11"/>
      <c r="C405" s="11"/>
      <c r="D405" s="11"/>
      <c r="E405" s="11"/>
      <c r="F405" s="11"/>
    </row>
    <row r="406">
      <c r="A406" s="11"/>
      <c r="C406" s="11"/>
      <c r="D406" s="11"/>
      <c r="E406" s="11"/>
      <c r="F406" s="11"/>
    </row>
    <row r="407">
      <c r="A407" s="11"/>
      <c r="C407" s="11"/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</sheetData>
  <mergeCells count="149"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F137:H137"/>
    <mergeCell ref="I137:M137"/>
    <mergeCell ref="C135:E135"/>
    <mergeCell ref="F135:H135"/>
    <mergeCell ref="I135:M135"/>
    <mergeCell ref="C136:E136"/>
    <mergeCell ref="F136:H136"/>
    <mergeCell ref="I136:M136"/>
    <mergeCell ref="C137:E137"/>
    <mergeCell ref="C1:F1"/>
    <mergeCell ref="I1:K1"/>
    <mergeCell ref="L1:M1"/>
    <mergeCell ref="B2:C2"/>
    <mergeCell ref="C3:E3"/>
    <mergeCell ref="F3:M3"/>
    <mergeCell ref="N3:O3"/>
    <mergeCell ref="P77:Q77"/>
    <mergeCell ref="P79:Q79"/>
    <mergeCell ref="P80:Q80"/>
    <mergeCell ref="A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42:H142"/>
    <mergeCell ref="F143:H143"/>
    <mergeCell ref="F164:H164"/>
    <mergeCell ref="F165:H165"/>
    <mergeCell ref="F157:H157"/>
    <mergeCell ref="F158:H158"/>
    <mergeCell ref="F159:H159"/>
    <mergeCell ref="F160:H160"/>
    <mergeCell ref="F161:H161"/>
    <mergeCell ref="F162:H162"/>
    <mergeCell ref="F163:H163"/>
    <mergeCell ref="C168:E168"/>
    <mergeCell ref="F168:H168"/>
    <mergeCell ref="C169:E169"/>
    <mergeCell ref="F169:H169"/>
    <mergeCell ref="C170:E170"/>
    <mergeCell ref="F170:H170"/>
    <mergeCell ref="F171:H171"/>
    <mergeCell ref="C178:E178"/>
    <mergeCell ref="C179:E179"/>
    <mergeCell ref="C180:E180"/>
    <mergeCell ref="C181:E181"/>
    <mergeCell ref="C182:E182"/>
    <mergeCell ref="C171:E171"/>
    <mergeCell ref="C172:E172"/>
    <mergeCell ref="C173:E173"/>
    <mergeCell ref="C174:E174"/>
    <mergeCell ref="C175:E175"/>
    <mergeCell ref="C176:E176"/>
    <mergeCell ref="C177:E177"/>
    <mergeCell ref="F179:H179"/>
    <mergeCell ref="F180:H180"/>
    <mergeCell ref="F181:H181"/>
    <mergeCell ref="F182:H182"/>
    <mergeCell ref="F172:H172"/>
    <mergeCell ref="F173:H173"/>
    <mergeCell ref="F174:H174"/>
    <mergeCell ref="F175:H175"/>
    <mergeCell ref="F176:H176"/>
    <mergeCell ref="F177:H177"/>
    <mergeCell ref="F178:H178"/>
    <mergeCell ref="C138:E138"/>
    <mergeCell ref="F138:H138"/>
    <mergeCell ref="C139:E139"/>
    <mergeCell ref="F139:H139"/>
    <mergeCell ref="C140:E140"/>
    <mergeCell ref="F140:H140"/>
    <mergeCell ref="F141:H141"/>
    <mergeCell ref="C141:E141"/>
    <mergeCell ref="C142:E142"/>
    <mergeCell ref="C143:E143"/>
    <mergeCell ref="C144:E144"/>
    <mergeCell ref="F144:H144"/>
    <mergeCell ref="C145:E145"/>
    <mergeCell ref="F145:H145"/>
    <mergeCell ref="C146:E146"/>
    <mergeCell ref="F146:H146"/>
    <mergeCell ref="C147:E147"/>
    <mergeCell ref="F147:H147"/>
    <mergeCell ref="C148:E148"/>
    <mergeCell ref="F148:H148"/>
    <mergeCell ref="F149:H149"/>
    <mergeCell ref="C149:E149"/>
    <mergeCell ref="C150:E150"/>
    <mergeCell ref="C151:E151"/>
    <mergeCell ref="C152:E152"/>
    <mergeCell ref="C153:E153"/>
    <mergeCell ref="C154:E154"/>
    <mergeCell ref="C155:E155"/>
    <mergeCell ref="F150:H150"/>
    <mergeCell ref="F151:H151"/>
    <mergeCell ref="F152:H152"/>
    <mergeCell ref="F153:H153"/>
    <mergeCell ref="F154:H154"/>
    <mergeCell ref="F155:H155"/>
    <mergeCell ref="F156:H156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F166:H166"/>
    <mergeCell ref="C167:E167"/>
    <mergeCell ref="F167:H167"/>
  </mergeCells>
  <conditionalFormatting sqref="L5:L69">
    <cfRule type="expression" dxfId="1" priority="1">
      <formula> L5&gt;=18</formula>
    </cfRule>
  </conditionalFormatting>
  <conditionalFormatting sqref="C10 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13">
        <v>45647.0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25.0</v>
      </c>
      <c r="E2" s="11"/>
      <c r="F2" s="11"/>
      <c r="AB2" s="20" t="str">
        <f>text(C1-7,"mm/dd/yy")</f>
        <v>12/14/24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46">
        <v>372.0</v>
      </c>
      <c r="D5" s="46">
        <v>44.0</v>
      </c>
      <c r="E5" s="35">
        <f t="shared" ref="E5:E69" si="2">(C5-(U5*9)-(S5*13))/($D$2-U5-S5)</f>
        <v>16.72222222</v>
      </c>
      <c r="F5" s="37">
        <v>1.0</v>
      </c>
      <c r="G5" s="39">
        <v>1.0</v>
      </c>
      <c r="H5" s="40">
        <v>0.0</v>
      </c>
      <c r="I5" s="39">
        <v>7.0</v>
      </c>
      <c r="J5" s="39">
        <v>6.0</v>
      </c>
      <c r="K5" s="39">
        <v>7.0</v>
      </c>
      <c r="L5" s="42">
        <v>20.0</v>
      </c>
      <c r="M5" s="39">
        <v>3.0</v>
      </c>
      <c r="N5" s="32">
        <f t="shared" ref="N5:O5" si="1">C5+L5</f>
        <v>392</v>
      </c>
      <c r="O5" s="32">
        <f t="shared" si="1"/>
        <v>47</v>
      </c>
      <c r="P5" s="43" t="s">
        <v>53</v>
      </c>
      <c r="Q5" s="43" t="s">
        <v>53</v>
      </c>
      <c r="R5" s="43" t="s">
        <v>53</v>
      </c>
      <c r="S5" s="39">
        <f t="shared" ref="S5:S69" si="4">if(H5=13,1,0)+VLOOKUP(B5,indirect($AB$2&amp;"!B:T"),18,false)</f>
        <v>2</v>
      </c>
      <c r="T5" s="39"/>
      <c r="U5" s="39">
        <f t="shared" ref="U5:U69" si="5">if(H5=9,1,0)+VLOOKUP(B5,indirect($AB$2&amp;"!B:U"),20,false)</f>
        <v>5</v>
      </c>
      <c r="V5" s="39">
        <f t="shared" ref="V5:V65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31" t="s">
        <v>82</v>
      </c>
      <c r="C6" s="46">
        <v>318.0</v>
      </c>
      <c r="D6" s="46">
        <v>27.0</v>
      </c>
      <c r="E6" s="35">
        <f t="shared" si="2"/>
        <v>15.53846154</v>
      </c>
      <c r="F6" s="37">
        <v>3.0</v>
      </c>
      <c r="G6" s="39">
        <v>0.0</v>
      </c>
      <c r="H6" s="40">
        <v>9.0</v>
      </c>
      <c r="I6" s="39">
        <v>0.0</v>
      </c>
      <c r="J6" s="39">
        <v>0.0</v>
      </c>
      <c r="K6" s="39">
        <v>0.0</v>
      </c>
      <c r="L6" s="42">
        <v>9.0</v>
      </c>
      <c r="M6" s="39">
        <v>0.0</v>
      </c>
      <c r="N6" s="32">
        <f t="shared" ref="N6:O6" si="3">C6+L6</f>
        <v>327</v>
      </c>
      <c r="O6" s="32">
        <f t="shared" si="3"/>
        <v>27</v>
      </c>
      <c r="P6" s="43" t="s">
        <v>53</v>
      </c>
      <c r="Q6" s="43" t="s">
        <v>53</v>
      </c>
      <c r="R6" s="43" t="s">
        <v>53</v>
      </c>
      <c r="S6" s="39">
        <f t="shared" si="4"/>
        <v>2</v>
      </c>
      <c r="T6" s="39"/>
      <c r="U6" s="39">
        <f t="shared" si="5"/>
        <v>10</v>
      </c>
      <c r="V6" s="39">
        <f t="shared" si="6"/>
        <v>1</v>
      </c>
      <c r="W6" s="30">
        <f t="shared" ref="W6:W69" si="9">W5+1</f>
        <v>2</v>
      </c>
    </row>
    <row r="7">
      <c r="A7" s="30">
        <f t="shared" si="7"/>
        <v>3</v>
      </c>
      <c r="B7" s="31" t="s">
        <v>57</v>
      </c>
      <c r="C7" s="46">
        <v>318.0</v>
      </c>
      <c r="D7" s="46">
        <v>27.0</v>
      </c>
      <c r="E7" s="35">
        <f t="shared" si="2"/>
        <v>13.76470588</v>
      </c>
      <c r="F7" s="37">
        <v>2.0</v>
      </c>
      <c r="G7" s="39">
        <v>1.0</v>
      </c>
      <c r="H7" s="40">
        <v>0.0</v>
      </c>
      <c r="I7" s="39">
        <v>6.0</v>
      </c>
      <c r="J7" s="39">
        <v>6.0</v>
      </c>
      <c r="K7" s="39">
        <v>6.0</v>
      </c>
      <c r="L7" s="42">
        <v>18.0</v>
      </c>
      <c r="M7" s="39">
        <v>1.0</v>
      </c>
      <c r="N7" s="32">
        <f t="shared" ref="N7:O7" si="8">C7+L7</f>
        <v>336</v>
      </c>
      <c r="O7" s="32">
        <f t="shared" si="8"/>
        <v>28</v>
      </c>
      <c r="P7" s="43" t="s">
        <v>53</v>
      </c>
      <c r="Q7" s="43" t="s">
        <v>53</v>
      </c>
      <c r="R7" s="43" t="s">
        <v>53</v>
      </c>
      <c r="S7" s="39">
        <f t="shared" si="4"/>
        <v>3</v>
      </c>
      <c r="T7" s="39"/>
      <c r="U7" s="39">
        <f t="shared" si="5"/>
        <v>5</v>
      </c>
      <c r="V7" s="39">
        <f t="shared" si="6"/>
        <v>-1</v>
      </c>
      <c r="W7" s="30">
        <f t="shared" si="9"/>
        <v>3</v>
      </c>
    </row>
    <row r="8">
      <c r="A8" s="30">
        <f t="shared" si="7"/>
        <v>4</v>
      </c>
      <c r="B8" s="31" t="s">
        <v>61</v>
      </c>
      <c r="C8" s="46">
        <v>317.0</v>
      </c>
      <c r="D8" s="46">
        <v>31.0</v>
      </c>
      <c r="E8" s="35">
        <f t="shared" si="2"/>
        <v>14.11111111</v>
      </c>
      <c r="F8" s="37">
        <v>1.0</v>
      </c>
      <c r="G8" s="39">
        <v>1.0</v>
      </c>
      <c r="H8" s="40">
        <v>0.0</v>
      </c>
      <c r="I8" s="39">
        <v>7.0</v>
      </c>
      <c r="J8" s="39">
        <v>1.0</v>
      </c>
      <c r="K8" s="39">
        <v>6.0</v>
      </c>
      <c r="L8" s="42">
        <v>14.0</v>
      </c>
      <c r="M8" s="39">
        <v>1.0</v>
      </c>
      <c r="N8" s="32">
        <f t="shared" ref="N8:O8" si="10">C8+L8</f>
        <v>331</v>
      </c>
      <c r="O8" s="32">
        <f t="shared" si="10"/>
        <v>32</v>
      </c>
      <c r="P8" s="43" t="s">
        <v>53</v>
      </c>
      <c r="Q8" s="43" t="s">
        <v>53</v>
      </c>
      <c r="R8" s="43" t="s">
        <v>53</v>
      </c>
      <c r="S8" s="39">
        <f t="shared" si="4"/>
        <v>0</v>
      </c>
      <c r="T8" s="39"/>
      <c r="U8" s="39">
        <f t="shared" si="5"/>
        <v>7</v>
      </c>
      <c r="V8" s="39">
        <f t="shared" si="6"/>
        <v>2</v>
      </c>
      <c r="W8" s="30">
        <f t="shared" si="9"/>
        <v>4</v>
      </c>
    </row>
    <row r="9">
      <c r="A9" s="30">
        <f t="shared" si="7"/>
        <v>5</v>
      </c>
      <c r="B9" s="51" t="s">
        <v>78</v>
      </c>
      <c r="C9" s="46">
        <v>315.0</v>
      </c>
      <c r="D9" s="46">
        <v>30.0</v>
      </c>
      <c r="E9" s="35">
        <f t="shared" si="2"/>
        <v>12.75</v>
      </c>
      <c r="F9" s="37">
        <v>1.0</v>
      </c>
      <c r="G9" s="39">
        <v>1.0</v>
      </c>
      <c r="H9" s="40">
        <v>0.0</v>
      </c>
      <c r="I9" s="39">
        <v>6.0</v>
      </c>
      <c r="J9" s="39">
        <v>1.0</v>
      </c>
      <c r="K9" s="39">
        <v>7.0</v>
      </c>
      <c r="L9" s="42">
        <v>14.0</v>
      </c>
      <c r="M9" s="39">
        <v>1.0</v>
      </c>
      <c r="N9" s="32">
        <f t="shared" ref="N9:O9" si="11">C9+L9</f>
        <v>329</v>
      </c>
      <c r="O9" s="32">
        <f t="shared" si="11"/>
        <v>31</v>
      </c>
      <c r="P9" s="43" t="s">
        <v>53</v>
      </c>
      <c r="Q9" s="43" t="s">
        <v>53</v>
      </c>
      <c r="R9" s="43" t="s">
        <v>53</v>
      </c>
      <c r="S9" s="39">
        <f t="shared" si="4"/>
        <v>0</v>
      </c>
      <c r="T9" s="39"/>
      <c r="U9" s="39">
        <f t="shared" si="5"/>
        <v>1</v>
      </c>
      <c r="V9" s="39">
        <f t="shared" si="6"/>
        <v>2</v>
      </c>
      <c r="W9" s="30">
        <f t="shared" si="9"/>
        <v>5</v>
      </c>
    </row>
    <row r="10">
      <c r="A10" s="30">
        <f t="shared" si="7"/>
        <v>6</v>
      </c>
      <c r="B10" s="56" t="s">
        <v>65</v>
      </c>
      <c r="C10" s="46">
        <v>314.0</v>
      </c>
      <c r="D10" s="46">
        <v>24.0</v>
      </c>
      <c r="E10" s="35">
        <f t="shared" si="2"/>
        <v>13.47368421</v>
      </c>
      <c r="F10" s="37">
        <v>1.0</v>
      </c>
      <c r="G10" s="39">
        <v>2.0</v>
      </c>
      <c r="H10" s="40">
        <v>0.0</v>
      </c>
      <c r="I10" s="39">
        <v>6.0</v>
      </c>
      <c r="J10" s="39">
        <v>4.0</v>
      </c>
      <c r="K10" s="39">
        <v>5.0</v>
      </c>
      <c r="L10" s="42">
        <v>15.0</v>
      </c>
      <c r="M10" s="39">
        <v>1.0</v>
      </c>
      <c r="N10" s="32">
        <f t="shared" ref="N10:O10" si="12">C10+L10</f>
        <v>329</v>
      </c>
      <c r="O10" s="32">
        <f t="shared" si="12"/>
        <v>25</v>
      </c>
      <c r="P10" s="43" t="s">
        <v>53</v>
      </c>
      <c r="Q10" s="43" t="s">
        <v>53</v>
      </c>
      <c r="R10" s="43" t="s">
        <v>53</v>
      </c>
      <c r="S10" s="39">
        <f t="shared" si="4"/>
        <v>1</v>
      </c>
      <c r="T10" s="39"/>
      <c r="U10" s="39">
        <f t="shared" si="5"/>
        <v>5</v>
      </c>
      <c r="V10" s="39">
        <f t="shared" si="6"/>
        <v>3</v>
      </c>
      <c r="W10" s="30">
        <f t="shared" si="9"/>
        <v>6</v>
      </c>
    </row>
    <row r="11">
      <c r="A11" s="30">
        <f t="shared" si="7"/>
        <v>7</v>
      </c>
      <c r="B11" s="51" t="s">
        <v>54</v>
      </c>
      <c r="C11" s="46">
        <v>313.0</v>
      </c>
      <c r="D11" s="46">
        <v>30.0</v>
      </c>
      <c r="E11" s="35">
        <f t="shared" si="2"/>
        <v>13.42105263</v>
      </c>
      <c r="F11" s="37">
        <v>1.0</v>
      </c>
      <c r="G11" s="39">
        <v>2.0</v>
      </c>
      <c r="H11" s="40">
        <v>0.0</v>
      </c>
      <c r="I11" s="39">
        <v>2.0</v>
      </c>
      <c r="J11" s="39">
        <v>6.0</v>
      </c>
      <c r="K11" s="39">
        <v>5.0</v>
      </c>
      <c r="L11" s="42">
        <v>13.0</v>
      </c>
      <c r="M11" s="39">
        <v>1.0</v>
      </c>
      <c r="N11" s="32">
        <f t="shared" ref="N11:O11" si="13">C11+L11</f>
        <v>326</v>
      </c>
      <c r="O11" s="32">
        <f t="shared" si="13"/>
        <v>31</v>
      </c>
      <c r="P11" s="43" t="s">
        <v>53</v>
      </c>
      <c r="Q11" s="43" t="s">
        <v>53</v>
      </c>
      <c r="R11" s="43" t="s">
        <v>53</v>
      </c>
      <c r="S11" s="39">
        <f t="shared" si="4"/>
        <v>1</v>
      </c>
      <c r="T11" s="39"/>
      <c r="U11" s="39">
        <f t="shared" si="5"/>
        <v>5</v>
      </c>
      <c r="V11" s="39">
        <f t="shared" si="6"/>
        <v>-3</v>
      </c>
      <c r="W11" s="30">
        <f t="shared" si="9"/>
        <v>7</v>
      </c>
    </row>
    <row r="12">
      <c r="A12" s="30">
        <f t="shared" si="7"/>
        <v>8</v>
      </c>
      <c r="B12" s="51" t="s">
        <v>85</v>
      </c>
      <c r="C12" s="46">
        <v>313.0</v>
      </c>
      <c r="D12" s="46">
        <v>26.0</v>
      </c>
      <c r="E12" s="35">
        <f t="shared" si="2"/>
        <v>16.63636364</v>
      </c>
      <c r="F12" s="37">
        <v>3.0</v>
      </c>
      <c r="G12" s="39">
        <v>0.0</v>
      </c>
      <c r="H12" s="40">
        <v>9.0</v>
      </c>
      <c r="I12" s="39">
        <v>0.0</v>
      </c>
      <c r="J12" s="39">
        <v>0.0</v>
      </c>
      <c r="K12" s="39">
        <v>0.0</v>
      </c>
      <c r="L12" s="42">
        <v>9.0</v>
      </c>
      <c r="M12" s="39">
        <v>0.0</v>
      </c>
      <c r="N12" s="32">
        <f t="shared" ref="N12:O12" si="14">C12+L12</f>
        <v>322</v>
      </c>
      <c r="O12" s="32">
        <f t="shared" si="14"/>
        <v>26</v>
      </c>
      <c r="P12" s="43" t="s">
        <v>53</v>
      </c>
      <c r="Q12" s="43" t="s">
        <v>53</v>
      </c>
      <c r="R12" s="43" t="s">
        <v>53</v>
      </c>
      <c r="S12" s="39">
        <f t="shared" si="4"/>
        <v>1</v>
      </c>
      <c r="T12" s="39"/>
      <c r="U12" s="39">
        <f t="shared" si="5"/>
        <v>13</v>
      </c>
      <c r="V12" s="39">
        <f t="shared" si="6"/>
        <v>-3</v>
      </c>
      <c r="W12" s="30">
        <f t="shared" si="9"/>
        <v>8</v>
      </c>
    </row>
    <row r="13">
      <c r="A13" s="30">
        <f t="shared" si="7"/>
        <v>9</v>
      </c>
      <c r="B13" s="31" t="s">
        <v>34</v>
      </c>
      <c r="C13" s="46">
        <v>312.0</v>
      </c>
      <c r="D13" s="46">
        <v>33.0</v>
      </c>
      <c r="E13" s="35">
        <f t="shared" si="2"/>
        <v>13.57894737</v>
      </c>
      <c r="F13" s="37">
        <v>1.0</v>
      </c>
      <c r="G13" s="39">
        <v>2.0</v>
      </c>
      <c r="H13" s="40">
        <v>0.0</v>
      </c>
      <c r="I13" s="39">
        <v>2.0</v>
      </c>
      <c r="J13" s="39">
        <v>4.0</v>
      </c>
      <c r="K13" s="39">
        <v>7.0</v>
      </c>
      <c r="L13" s="42">
        <v>13.0</v>
      </c>
      <c r="M13" s="39">
        <v>1.0</v>
      </c>
      <c r="N13" s="32">
        <f t="shared" ref="N13:O13" si="15">C13+L13</f>
        <v>325</v>
      </c>
      <c r="O13" s="32">
        <f t="shared" si="15"/>
        <v>34</v>
      </c>
      <c r="P13" s="43" t="s">
        <v>53</v>
      </c>
      <c r="Q13" s="43" t="s">
        <v>53</v>
      </c>
      <c r="R13" s="43" t="s">
        <v>53</v>
      </c>
      <c r="S13" s="39">
        <f t="shared" si="4"/>
        <v>0</v>
      </c>
      <c r="T13" s="39"/>
      <c r="U13" s="39">
        <f t="shared" si="5"/>
        <v>6</v>
      </c>
      <c r="V13" s="39">
        <f t="shared" si="6"/>
        <v>3</v>
      </c>
      <c r="W13" s="30">
        <f t="shared" si="9"/>
        <v>9</v>
      </c>
    </row>
    <row r="14">
      <c r="A14" s="30">
        <f t="shared" si="7"/>
        <v>10</v>
      </c>
      <c r="B14" s="31" t="s">
        <v>71</v>
      </c>
      <c r="C14" s="46">
        <v>312.0</v>
      </c>
      <c r="D14" s="46">
        <v>27.0</v>
      </c>
      <c r="E14" s="35">
        <f t="shared" si="2"/>
        <v>12.77272727</v>
      </c>
      <c r="F14" s="37">
        <v>1.0</v>
      </c>
      <c r="G14" s="39">
        <v>2.0</v>
      </c>
      <c r="H14" s="40">
        <v>0.0</v>
      </c>
      <c r="I14" s="39">
        <v>6.0</v>
      </c>
      <c r="J14" s="39">
        <v>6.0</v>
      </c>
      <c r="K14" s="39">
        <v>7.0</v>
      </c>
      <c r="L14" s="42">
        <v>19.0</v>
      </c>
      <c r="M14" s="39">
        <v>3.0</v>
      </c>
      <c r="N14" s="32">
        <f t="shared" ref="N14:O14" si="16">C14+L14</f>
        <v>331</v>
      </c>
      <c r="O14" s="32">
        <f t="shared" si="16"/>
        <v>30</v>
      </c>
      <c r="P14" s="43" t="s">
        <v>53</v>
      </c>
      <c r="Q14" s="43" t="s">
        <v>53</v>
      </c>
      <c r="R14" s="43" t="s">
        <v>53</v>
      </c>
      <c r="S14" s="39">
        <f t="shared" si="4"/>
        <v>1</v>
      </c>
      <c r="T14" s="39"/>
      <c r="U14" s="39">
        <f t="shared" si="5"/>
        <v>2</v>
      </c>
      <c r="V14" s="39">
        <f t="shared" si="6"/>
        <v>1</v>
      </c>
      <c r="W14" s="30">
        <f t="shared" si="9"/>
        <v>10</v>
      </c>
    </row>
    <row r="15">
      <c r="A15" s="30">
        <f t="shared" si="7"/>
        <v>11</v>
      </c>
      <c r="B15" s="51" t="s">
        <v>84</v>
      </c>
      <c r="C15" s="46">
        <v>310.0</v>
      </c>
      <c r="D15" s="46">
        <v>20.0</v>
      </c>
      <c r="E15" s="35">
        <f t="shared" si="2"/>
        <v>12.65</v>
      </c>
      <c r="F15" s="37">
        <v>1.0</v>
      </c>
      <c r="G15" s="39">
        <v>3.0</v>
      </c>
      <c r="H15" s="40">
        <v>0.0</v>
      </c>
      <c r="I15" s="39">
        <v>2.0</v>
      </c>
      <c r="J15" s="39">
        <v>5.0</v>
      </c>
      <c r="K15" s="39">
        <v>6.0</v>
      </c>
      <c r="L15" s="42">
        <v>13.0</v>
      </c>
      <c r="M15" s="39">
        <v>1.0</v>
      </c>
      <c r="N15" s="32">
        <f t="shared" ref="N15:O15" si="17">C15+L15</f>
        <v>323</v>
      </c>
      <c r="O15" s="32">
        <f t="shared" si="17"/>
        <v>21</v>
      </c>
      <c r="P15" s="43" t="s">
        <v>53</v>
      </c>
      <c r="Q15" s="43" t="s">
        <v>53</v>
      </c>
      <c r="R15" s="43" t="s">
        <v>53</v>
      </c>
      <c r="S15" s="39">
        <f t="shared" si="4"/>
        <v>3</v>
      </c>
      <c r="T15" s="39"/>
      <c r="U15" s="39">
        <f t="shared" si="5"/>
        <v>2</v>
      </c>
      <c r="V15" s="39">
        <f t="shared" si="6"/>
        <v>3</v>
      </c>
      <c r="W15" s="30">
        <f t="shared" si="9"/>
        <v>11</v>
      </c>
    </row>
    <row r="16">
      <c r="A16" s="30">
        <f t="shared" si="7"/>
        <v>12</v>
      </c>
      <c r="B16" s="31" t="s">
        <v>83</v>
      </c>
      <c r="C16" s="46">
        <v>309.0</v>
      </c>
      <c r="D16" s="46">
        <v>25.0</v>
      </c>
      <c r="E16" s="35">
        <f t="shared" si="2"/>
        <v>14.25</v>
      </c>
      <c r="F16" s="37">
        <v>1.0</v>
      </c>
      <c r="G16" s="39">
        <v>3.0</v>
      </c>
      <c r="H16" s="40">
        <v>0.0</v>
      </c>
      <c r="I16" s="39">
        <v>6.0</v>
      </c>
      <c r="J16" s="39">
        <v>5.0</v>
      </c>
      <c r="K16" s="39">
        <v>4.0</v>
      </c>
      <c r="L16" s="42">
        <v>15.0</v>
      </c>
      <c r="M16" s="39">
        <v>1.0</v>
      </c>
      <c r="N16" s="32">
        <f t="shared" ref="N16:O16" si="18">C16+L16</f>
        <v>324</v>
      </c>
      <c r="O16" s="32">
        <f t="shared" si="18"/>
        <v>26</v>
      </c>
      <c r="P16" s="43" t="s">
        <v>53</v>
      </c>
      <c r="Q16" s="43" t="s">
        <v>53</v>
      </c>
      <c r="R16" s="43" t="s">
        <v>53</v>
      </c>
      <c r="S16" s="39">
        <f t="shared" si="4"/>
        <v>0</v>
      </c>
      <c r="T16" s="39"/>
      <c r="U16" s="39">
        <f t="shared" si="5"/>
        <v>9</v>
      </c>
      <c r="V16" s="39">
        <f t="shared" si="6"/>
        <v>-4</v>
      </c>
      <c r="W16" s="30">
        <f t="shared" si="9"/>
        <v>12</v>
      </c>
    </row>
    <row r="17">
      <c r="A17" s="30">
        <f t="shared" si="7"/>
        <v>13</v>
      </c>
      <c r="B17" s="31" t="s">
        <v>63</v>
      </c>
      <c r="C17" s="46">
        <v>307.0</v>
      </c>
      <c r="D17" s="46">
        <v>26.0</v>
      </c>
      <c r="E17" s="35">
        <f t="shared" si="2"/>
        <v>15.72727273</v>
      </c>
      <c r="F17" s="37">
        <v>1.0</v>
      </c>
      <c r="G17" s="39">
        <v>3.0</v>
      </c>
      <c r="H17" s="40">
        <v>0.0</v>
      </c>
      <c r="I17" s="39">
        <v>6.0</v>
      </c>
      <c r="J17" s="39">
        <v>7.0</v>
      </c>
      <c r="K17" s="39">
        <v>6.0</v>
      </c>
      <c r="L17" s="42">
        <v>19.0</v>
      </c>
      <c r="M17" s="39">
        <v>3.0</v>
      </c>
      <c r="N17" s="32">
        <f t="shared" ref="N17:O17" si="19">C17+L17</f>
        <v>326</v>
      </c>
      <c r="O17" s="32">
        <f t="shared" si="19"/>
        <v>29</v>
      </c>
      <c r="P17" s="43" t="s">
        <v>53</v>
      </c>
      <c r="Q17" s="43" t="s">
        <v>53</v>
      </c>
      <c r="R17" s="43" t="s">
        <v>53</v>
      </c>
      <c r="S17" s="39">
        <f t="shared" si="4"/>
        <v>2</v>
      </c>
      <c r="T17" s="39"/>
      <c r="U17" s="39">
        <f t="shared" si="5"/>
        <v>12</v>
      </c>
      <c r="V17" s="39">
        <f t="shared" si="6"/>
        <v>2</v>
      </c>
      <c r="W17" s="30">
        <f t="shared" si="9"/>
        <v>13</v>
      </c>
    </row>
    <row r="18">
      <c r="A18" s="30">
        <f t="shared" si="7"/>
        <v>14</v>
      </c>
      <c r="B18" s="31" t="s">
        <v>86</v>
      </c>
      <c r="C18" s="46">
        <v>306.0</v>
      </c>
      <c r="D18" s="46">
        <v>21.0</v>
      </c>
      <c r="E18" s="35">
        <f t="shared" si="2"/>
        <v>12.42105263</v>
      </c>
      <c r="F18" s="37">
        <v>2.0</v>
      </c>
      <c r="G18" s="39">
        <v>3.0</v>
      </c>
      <c r="H18" s="40">
        <v>0.0</v>
      </c>
      <c r="I18" s="39">
        <v>2.0</v>
      </c>
      <c r="J18" s="39">
        <v>7.0</v>
      </c>
      <c r="K18" s="39">
        <v>4.0</v>
      </c>
      <c r="L18" s="42">
        <v>13.0</v>
      </c>
      <c r="M18" s="39">
        <v>1.0</v>
      </c>
      <c r="N18" s="32">
        <f t="shared" ref="N18:O18" si="20">C18+L18</f>
        <v>319</v>
      </c>
      <c r="O18" s="32">
        <f t="shared" si="20"/>
        <v>22</v>
      </c>
      <c r="P18" s="43" t="s">
        <v>53</v>
      </c>
      <c r="Q18" s="43" t="s">
        <v>53</v>
      </c>
      <c r="R18" s="43" t="s">
        <v>53</v>
      </c>
      <c r="S18" s="39">
        <f t="shared" si="4"/>
        <v>4</v>
      </c>
      <c r="T18" s="39"/>
      <c r="U18" s="39">
        <f t="shared" si="5"/>
        <v>2</v>
      </c>
      <c r="V18" s="39">
        <f t="shared" si="6"/>
        <v>-4</v>
      </c>
      <c r="W18" s="30">
        <f t="shared" si="9"/>
        <v>14</v>
      </c>
    </row>
    <row r="19">
      <c r="A19" s="30">
        <f t="shared" si="7"/>
        <v>15</v>
      </c>
      <c r="B19" s="51" t="s">
        <v>87</v>
      </c>
      <c r="C19" s="46">
        <v>304.0</v>
      </c>
      <c r="D19" s="46">
        <v>25.0</v>
      </c>
      <c r="E19" s="35">
        <f t="shared" si="2"/>
        <v>12.70588235</v>
      </c>
      <c r="F19" s="37">
        <v>3.0</v>
      </c>
      <c r="G19" s="39">
        <v>0.0</v>
      </c>
      <c r="H19" s="40">
        <v>9.0</v>
      </c>
      <c r="I19" s="39">
        <v>0.0</v>
      </c>
      <c r="J19" s="39">
        <v>0.0</v>
      </c>
      <c r="K19" s="39">
        <v>0.0</v>
      </c>
      <c r="L19" s="42">
        <v>9.0</v>
      </c>
      <c r="M19" s="39">
        <v>0.0</v>
      </c>
      <c r="N19" s="32">
        <f t="shared" ref="N19:O19" si="21">C19+L19</f>
        <v>313</v>
      </c>
      <c r="O19" s="32">
        <f t="shared" si="21"/>
        <v>25</v>
      </c>
      <c r="P19" s="43" t="s">
        <v>53</v>
      </c>
      <c r="Q19" s="43" t="s">
        <v>53</v>
      </c>
      <c r="R19" s="43" t="s">
        <v>88</v>
      </c>
      <c r="S19" s="39">
        <f t="shared" si="4"/>
        <v>4</v>
      </c>
      <c r="T19" s="39"/>
      <c r="U19" s="39">
        <f t="shared" si="5"/>
        <v>4</v>
      </c>
      <c r="V19" s="39">
        <f t="shared" si="6"/>
        <v>-2</v>
      </c>
      <c r="W19" s="30">
        <f t="shared" si="9"/>
        <v>15</v>
      </c>
    </row>
    <row r="20">
      <c r="A20" s="30">
        <f t="shared" si="7"/>
        <v>16</v>
      </c>
      <c r="B20" s="31" t="s">
        <v>68</v>
      </c>
      <c r="C20" s="46">
        <v>301.0</v>
      </c>
      <c r="D20" s="46">
        <v>23.0</v>
      </c>
      <c r="E20" s="35">
        <f t="shared" si="2"/>
        <v>12.77777778</v>
      </c>
      <c r="F20" s="37">
        <v>1.0</v>
      </c>
      <c r="G20" s="39">
        <v>4.0</v>
      </c>
      <c r="H20" s="40">
        <v>0.0</v>
      </c>
      <c r="I20" s="39">
        <v>2.0</v>
      </c>
      <c r="J20" s="39">
        <v>3.0</v>
      </c>
      <c r="K20" s="39">
        <v>6.0</v>
      </c>
      <c r="L20" s="42">
        <v>11.0</v>
      </c>
      <c r="M20" s="39">
        <v>1.0</v>
      </c>
      <c r="N20" s="32">
        <f t="shared" ref="N20:O20" si="22">C20+L20</f>
        <v>312</v>
      </c>
      <c r="O20" s="32">
        <f t="shared" si="22"/>
        <v>24</v>
      </c>
      <c r="P20" s="43" t="s">
        <v>53</v>
      </c>
      <c r="Q20" s="43" t="s">
        <v>53</v>
      </c>
      <c r="R20" s="43" t="s">
        <v>53</v>
      </c>
      <c r="S20" s="39">
        <f t="shared" si="4"/>
        <v>2</v>
      </c>
      <c r="T20" s="39"/>
      <c r="U20" s="39">
        <f t="shared" si="5"/>
        <v>5</v>
      </c>
      <c r="V20" s="39">
        <f t="shared" si="6"/>
        <v>1</v>
      </c>
      <c r="W20" s="30">
        <f t="shared" si="9"/>
        <v>16</v>
      </c>
    </row>
    <row r="21">
      <c r="A21" s="30">
        <f t="shared" si="7"/>
        <v>17</v>
      </c>
      <c r="B21" s="31" t="s">
        <v>90</v>
      </c>
      <c r="C21" s="46">
        <v>300.0</v>
      </c>
      <c r="D21" s="46">
        <v>20.0</v>
      </c>
      <c r="E21" s="35">
        <f t="shared" si="2"/>
        <v>13.84615385</v>
      </c>
      <c r="F21" s="37">
        <v>3.0</v>
      </c>
      <c r="G21" s="39">
        <v>0.0</v>
      </c>
      <c r="H21" s="40">
        <v>9.0</v>
      </c>
      <c r="I21" s="39">
        <v>0.0</v>
      </c>
      <c r="J21" s="39">
        <v>0.0</v>
      </c>
      <c r="K21" s="39">
        <v>0.0</v>
      </c>
      <c r="L21" s="42">
        <v>9.0</v>
      </c>
      <c r="M21" s="39">
        <v>0.0</v>
      </c>
      <c r="N21" s="32">
        <f t="shared" ref="N21:O21" si="23">C21+L21</f>
        <v>309</v>
      </c>
      <c r="O21" s="32">
        <f t="shared" si="23"/>
        <v>20</v>
      </c>
      <c r="P21" s="43" t="s">
        <v>53</v>
      </c>
      <c r="Q21" s="43" t="s">
        <v>53</v>
      </c>
      <c r="R21" s="43" t="s">
        <v>53</v>
      </c>
      <c r="S21" s="39">
        <f t="shared" si="4"/>
        <v>3</v>
      </c>
      <c r="T21" s="39"/>
      <c r="U21" s="39">
        <f t="shared" si="5"/>
        <v>9</v>
      </c>
      <c r="V21" s="39">
        <f t="shared" si="6"/>
        <v>3</v>
      </c>
      <c r="W21" s="30">
        <f t="shared" si="9"/>
        <v>17</v>
      </c>
    </row>
    <row r="22">
      <c r="A22" s="30">
        <f t="shared" si="7"/>
        <v>18</v>
      </c>
      <c r="B22" s="31" t="s">
        <v>91</v>
      </c>
      <c r="C22" s="46">
        <v>299.0</v>
      </c>
      <c r="D22" s="46">
        <v>25.0</v>
      </c>
      <c r="E22" s="35">
        <f t="shared" si="2"/>
        <v>13.375</v>
      </c>
      <c r="F22" s="37">
        <v>3.0</v>
      </c>
      <c r="G22" s="39">
        <v>0.0</v>
      </c>
      <c r="H22" s="40">
        <v>9.0</v>
      </c>
      <c r="I22" s="39">
        <v>0.0</v>
      </c>
      <c r="J22" s="39">
        <v>0.0</v>
      </c>
      <c r="K22" s="39">
        <v>0.0</v>
      </c>
      <c r="L22" s="42">
        <v>9.0</v>
      </c>
      <c r="M22" s="39">
        <v>0.0</v>
      </c>
      <c r="N22" s="32">
        <f t="shared" ref="N22:O22" si="24">C22+L22</f>
        <v>308</v>
      </c>
      <c r="O22" s="32">
        <f t="shared" si="24"/>
        <v>25</v>
      </c>
      <c r="P22" s="43" t="s">
        <v>53</v>
      </c>
      <c r="Q22" s="43" t="s">
        <v>53</v>
      </c>
      <c r="R22" s="43" t="s">
        <v>53</v>
      </c>
      <c r="S22" s="39">
        <f t="shared" si="4"/>
        <v>1</v>
      </c>
      <c r="T22" s="39"/>
      <c r="U22" s="39">
        <f t="shared" si="5"/>
        <v>8</v>
      </c>
      <c r="V22" s="39">
        <f t="shared" si="6"/>
        <v>0</v>
      </c>
      <c r="W22" s="30">
        <f t="shared" si="9"/>
        <v>18</v>
      </c>
    </row>
    <row r="23">
      <c r="A23" s="30">
        <f t="shared" si="7"/>
        <v>19</v>
      </c>
      <c r="B23" s="51" t="s">
        <v>92</v>
      </c>
      <c r="C23" s="46">
        <v>298.0</v>
      </c>
      <c r="D23" s="46">
        <v>23.0</v>
      </c>
      <c r="E23" s="35">
        <f t="shared" si="2"/>
        <v>15.9</v>
      </c>
      <c r="F23" s="37">
        <v>3.0</v>
      </c>
      <c r="G23" s="39">
        <v>0.0</v>
      </c>
      <c r="H23" s="40">
        <v>9.0</v>
      </c>
      <c r="I23" s="39">
        <v>0.0</v>
      </c>
      <c r="J23" s="39">
        <v>0.0</v>
      </c>
      <c r="K23" s="39">
        <v>0.0</v>
      </c>
      <c r="L23" s="42">
        <v>9.0</v>
      </c>
      <c r="M23" s="39">
        <v>0.0</v>
      </c>
      <c r="N23" s="32">
        <f t="shared" ref="N23:O23" si="25">C23+L23</f>
        <v>307</v>
      </c>
      <c r="O23" s="32">
        <f t="shared" si="25"/>
        <v>23</v>
      </c>
      <c r="P23" s="43" t="s">
        <v>53</v>
      </c>
      <c r="Q23" s="43" t="s">
        <v>53</v>
      </c>
      <c r="R23" s="43" t="s">
        <v>88</v>
      </c>
      <c r="S23" s="39">
        <f t="shared" si="4"/>
        <v>1</v>
      </c>
      <c r="T23" s="39"/>
      <c r="U23" s="39">
        <f t="shared" si="5"/>
        <v>14</v>
      </c>
      <c r="V23" s="39">
        <f t="shared" si="6"/>
        <v>-3</v>
      </c>
      <c r="W23" s="30">
        <f t="shared" si="9"/>
        <v>19</v>
      </c>
    </row>
    <row r="24">
      <c r="A24" s="30">
        <f t="shared" si="7"/>
        <v>20</v>
      </c>
      <c r="B24" s="51" t="s">
        <v>93</v>
      </c>
      <c r="C24" s="46">
        <v>293.0</v>
      </c>
      <c r="D24" s="46">
        <v>24.0</v>
      </c>
      <c r="E24" s="35">
        <f t="shared" si="2"/>
        <v>11.95652174</v>
      </c>
      <c r="F24" s="37">
        <v>3.0</v>
      </c>
      <c r="G24" s="39">
        <v>0.0</v>
      </c>
      <c r="H24" s="40">
        <v>9.0</v>
      </c>
      <c r="I24" s="39">
        <v>0.0</v>
      </c>
      <c r="J24" s="39">
        <v>0.0</v>
      </c>
      <c r="K24" s="39">
        <v>0.0</v>
      </c>
      <c r="L24" s="42">
        <v>9.0</v>
      </c>
      <c r="M24" s="39">
        <v>0.0</v>
      </c>
      <c r="N24" s="32">
        <f t="shared" ref="N24:O24" si="26">C24+L24</f>
        <v>302</v>
      </c>
      <c r="O24" s="32">
        <f t="shared" si="26"/>
        <v>24</v>
      </c>
      <c r="P24" s="43" t="s">
        <v>53</v>
      </c>
      <c r="Q24" s="43" t="s">
        <v>53</v>
      </c>
      <c r="R24" s="43" t="s">
        <v>53</v>
      </c>
      <c r="S24" s="39">
        <f t="shared" si="4"/>
        <v>0</v>
      </c>
      <c r="T24" s="39"/>
      <c r="U24" s="39">
        <f t="shared" si="5"/>
        <v>2</v>
      </c>
      <c r="V24" s="39">
        <f t="shared" si="6"/>
        <v>3</v>
      </c>
      <c r="W24" s="30">
        <f t="shared" si="9"/>
        <v>20</v>
      </c>
    </row>
    <row r="25">
      <c r="A25" s="30">
        <f t="shared" si="7"/>
        <v>21</v>
      </c>
      <c r="B25" s="31" t="s">
        <v>89</v>
      </c>
      <c r="C25" s="46">
        <v>293.0</v>
      </c>
      <c r="D25" s="46">
        <v>18.0</v>
      </c>
      <c r="E25" s="35">
        <f t="shared" si="2"/>
        <v>15</v>
      </c>
      <c r="F25" s="37">
        <v>2.0</v>
      </c>
      <c r="G25" s="39">
        <v>4.0</v>
      </c>
      <c r="H25" s="40">
        <v>0.0</v>
      </c>
      <c r="I25" s="39">
        <v>6.0</v>
      </c>
      <c r="J25" s="39">
        <v>6.0</v>
      </c>
      <c r="K25" s="39">
        <v>6.0</v>
      </c>
      <c r="L25" s="42">
        <v>18.0</v>
      </c>
      <c r="M25" s="39">
        <v>3.0</v>
      </c>
      <c r="N25" s="32">
        <f t="shared" ref="N25:O25" si="27">C25+L25</f>
        <v>311</v>
      </c>
      <c r="O25" s="32">
        <f t="shared" si="27"/>
        <v>21</v>
      </c>
      <c r="P25" s="43" t="s">
        <v>53</v>
      </c>
      <c r="Q25" s="43" t="s">
        <v>53</v>
      </c>
      <c r="R25" s="43" t="s">
        <v>53</v>
      </c>
      <c r="S25" s="39">
        <f t="shared" si="4"/>
        <v>5</v>
      </c>
      <c r="T25" s="39"/>
      <c r="U25" s="39">
        <f t="shared" si="5"/>
        <v>12</v>
      </c>
      <c r="V25" s="39">
        <f t="shared" si="6"/>
        <v>-2</v>
      </c>
      <c r="W25" s="30">
        <f t="shared" si="9"/>
        <v>21</v>
      </c>
    </row>
    <row r="26">
      <c r="A26" s="30">
        <f t="shared" si="7"/>
        <v>22</v>
      </c>
      <c r="B26" s="51" t="s">
        <v>94</v>
      </c>
      <c r="C26" s="46">
        <v>293.0</v>
      </c>
      <c r="D26" s="46">
        <v>18.0</v>
      </c>
      <c r="E26" s="35">
        <f t="shared" si="2"/>
        <v>14</v>
      </c>
      <c r="F26" s="37">
        <v>3.0</v>
      </c>
      <c r="G26" s="39">
        <v>0.0</v>
      </c>
      <c r="H26" s="40">
        <v>9.0</v>
      </c>
      <c r="I26" s="39">
        <v>0.0</v>
      </c>
      <c r="J26" s="39">
        <v>0.0</v>
      </c>
      <c r="K26" s="39">
        <v>0.0</v>
      </c>
      <c r="L26" s="42">
        <v>9.0</v>
      </c>
      <c r="M26" s="39">
        <v>0.0</v>
      </c>
      <c r="N26" s="32">
        <f t="shared" ref="N26:O26" si="28">C26+L26</f>
        <v>302</v>
      </c>
      <c r="O26" s="32">
        <f t="shared" si="28"/>
        <v>18</v>
      </c>
      <c r="P26" s="43" t="s">
        <v>53</v>
      </c>
      <c r="Q26" s="43" t="s">
        <v>53</v>
      </c>
      <c r="R26" s="43" t="s">
        <v>53</v>
      </c>
      <c r="S26" s="39">
        <f t="shared" si="4"/>
        <v>2</v>
      </c>
      <c r="T26" s="39"/>
      <c r="U26" s="39">
        <f t="shared" si="5"/>
        <v>11</v>
      </c>
      <c r="V26" s="39">
        <f t="shared" si="6"/>
        <v>3</v>
      </c>
      <c r="W26" s="30">
        <f t="shared" si="9"/>
        <v>22</v>
      </c>
    </row>
    <row r="27">
      <c r="A27" s="30">
        <f t="shared" si="7"/>
        <v>23</v>
      </c>
      <c r="B27" s="51" t="s">
        <v>95</v>
      </c>
      <c r="C27" s="46">
        <v>291.0</v>
      </c>
      <c r="D27" s="46">
        <v>22.0</v>
      </c>
      <c r="E27" s="35">
        <f t="shared" si="2"/>
        <v>14.63636364</v>
      </c>
      <c r="F27" s="37">
        <v>3.0</v>
      </c>
      <c r="G27" s="39">
        <v>0.0</v>
      </c>
      <c r="H27" s="40">
        <v>9.0</v>
      </c>
      <c r="I27" s="39">
        <v>0.0</v>
      </c>
      <c r="J27" s="39">
        <v>0.0</v>
      </c>
      <c r="K27" s="39">
        <v>0.0</v>
      </c>
      <c r="L27" s="42">
        <v>9.0</v>
      </c>
      <c r="M27" s="39">
        <v>0.0</v>
      </c>
      <c r="N27" s="32">
        <f t="shared" ref="N27:O27" si="29">C27+L27</f>
        <v>300</v>
      </c>
      <c r="O27" s="32">
        <f t="shared" si="29"/>
        <v>22</v>
      </c>
      <c r="P27" s="43" t="s">
        <v>53</v>
      </c>
      <c r="Q27" s="43" t="s">
        <v>53</v>
      </c>
      <c r="R27" s="43" t="s">
        <v>53</v>
      </c>
      <c r="S27" s="39">
        <f t="shared" si="4"/>
        <v>1</v>
      </c>
      <c r="T27" s="39"/>
      <c r="U27" s="39">
        <f t="shared" si="5"/>
        <v>13</v>
      </c>
      <c r="V27" s="39">
        <f t="shared" si="6"/>
        <v>4</v>
      </c>
      <c r="W27" s="30">
        <f t="shared" si="9"/>
        <v>23</v>
      </c>
    </row>
    <row r="28">
      <c r="A28" s="30">
        <f t="shared" si="7"/>
        <v>24</v>
      </c>
      <c r="B28" s="31" t="s">
        <v>96</v>
      </c>
      <c r="C28" s="46">
        <v>288.0</v>
      </c>
      <c r="D28" s="46">
        <v>22.0</v>
      </c>
      <c r="E28" s="35">
        <f t="shared" si="2"/>
        <v>12.92857143</v>
      </c>
      <c r="F28" s="37">
        <v>1.0</v>
      </c>
      <c r="G28" s="39">
        <v>4.0</v>
      </c>
      <c r="H28" s="40">
        <v>0.0</v>
      </c>
      <c r="I28" s="39">
        <v>6.0</v>
      </c>
      <c r="J28" s="39">
        <v>3.0</v>
      </c>
      <c r="K28" s="39">
        <v>1.0</v>
      </c>
      <c r="L28" s="42">
        <v>10.0</v>
      </c>
      <c r="M28" s="39">
        <v>1.0</v>
      </c>
      <c r="N28" s="32">
        <f t="shared" ref="N28:O28" si="30">C28+L28</f>
        <v>298</v>
      </c>
      <c r="O28" s="32">
        <f t="shared" si="30"/>
        <v>23</v>
      </c>
      <c r="P28" s="43" t="s">
        <v>53</v>
      </c>
      <c r="Q28" s="43" t="s">
        <v>53</v>
      </c>
      <c r="R28" s="43" t="s">
        <v>53</v>
      </c>
      <c r="S28" s="39">
        <f t="shared" si="4"/>
        <v>2</v>
      </c>
      <c r="T28" s="39"/>
      <c r="U28" s="39">
        <f t="shared" si="5"/>
        <v>9</v>
      </c>
      <c r="V28" s="39">
        <f t="shared" si="6"/>
        <v>2</v>
      </c>
      <c r="W28" s="30">
        <f t="shared" si="9"/>
        <v>24</v>
      </c>
    </row>
    <row r="29">
      <c r="A29" s="30">
        <f t="shared" si="7"/>
        <v>25</v>
      </c>
      <c r="B29" s="31" t="s">
        <v>98</v>
      </c>
      <c r="C29" s="46">
        <v>288.0</v>
      </c>
      <c r="D29" s="46">
        <v>19.0</v>
      </c>
      <c r="E29" s="35">
        <f t="shared" si="2"/>
        <v>12.92857143</v>
      </c>
      <c r="F29" s="37">
        <v>2.0</v>
      </c>
      <c r="G29" s="39">
        <v>4.0</v>
      </c>
      <c r="H29" s="40">
        <v>0.0</v>
      </c>
      <c r="I29" s="39">
        <v>2.0</v>
      </c>
      <c r="J29" s="39">
        <v>6.0</v>
      </c>
      <c r="K29" s="39">
        <v>1.0</v>
      </c>
      <c r="L29" s="42">
        <v>9.0</v>
      </c>
      <c r="M29" s="39">
        <v>1.0</v>
      </c>
      <c r="N29" s="32">
        <f t="shared" ref="N29:O29" si="31">C29+L29</f>
        <v>297</v>
      </c>
      <c r="O29" s="32">
        <f t="shared" si="31"/>
        <v>20</v>
      </c>
      <c r="P29" s="43" t="s">
        <v>53</v>
      </c>
      <c r="Q29" s="43" t="s">
        <v>53</v>
      </c>
      <c r="R29" s="43" t="s">
        <v>53</v>
      </c>
      <c r="S29" s="39">
        <f t="shared" si="4"/>
        <v>2</v>
      </c>
      <c r="T29" s="39"/>
      <c r="U29" s="39">
        <f t="shared" si="5"/>
        <v>9</v>
      </c>
      <c r="V29" s="39">
        <f t="shared" si="6"/>
        <v>-4</v>
      </c>
      <c r="W29" s="30">
        <f t="shared" si="9"/>
        <v>25</v>
      </c>
    </row>
    <row r="30">
      <c r="A30" s="30">
        <f t="shared" si="7"/>
        <v>26</v>
      </c>
      <c r="B30" s="51" t="s">
        <v>100</v>
      </c>
      <c r="C30" s="46">
        <v>287.0</v>
      </c>
      <c r="D30" s="46">
        <v>19.0</v>
      </c>
      <c r="E30" s="35">
        <f t="shared" si="2"/>
        <v>13.90909091</v>
      </c>
      <c r="F30" s="37">
        <v>3.0</v>
      </c>
      <c r="G30" s="39">
        <v>0.0</v>
      </c>
      <c r="H30" s="40">
        <v>9.0</v>
      </c>
      <c r="I30" s="39">
        <v>0.0</v>
      </c>
      <c r="J30" s="39">
        <v>0.0</v>
      </c>
      <c r="K30" s="39">
        <v>0.0</v>
      </c>
      <c r="L30" s="42">
        <v>9.0</v>
      </c>
      <c r="M30" s="39">
        <v>0.0</v>
      </c>
      <c r="N30" s="32">
        <f t="shared" ref="N30:O30" si="32">C30+L30</f>
        <v>296</v>
      </c>
      <c r="O30" s="32">
        <f t="shared" si="32"/>
        <v>19</v>
      </c>
      <c r="P30" s="43" t="s">
        <v>53</v>
      </c>
      <c r="Q30" s="43" t="s">
        <v>53</v>
      </c>
      <c r="R30" s="43" t="s">
        <v>53</v>
      </c>
      <c r="S30" s="39">
        <f t="shared" si="4"/>
        <v>2</v>
      </c>
      <c r="T30" s="39"/>
      <c r="U30" s="39">
        <f t="shared" si="5"/>
        <v>12</v>
      </c>
      <c r="V30" s="39">
        <f t="shared" si="6"/>
        <v>-4</v>
      </c>
      <c r="W30" s="30">
        <f t="shared" si="9"/>
        <v>26</v>
      </c>
    </row>
    <row r="31">
      <c r="A31" s="30">
        <f t="shared" si="7"/>
        <v>27</v>
      </c>
      <c r="B31" s="31" t="s">
        <v>97</v>
      </c>
      <c r="C31" s="46">
        <v>286.0</v>
      </c>
      <c r="D31" s="46">
        <v>20.0</v>
      </c>
      <c r="E31" s="35">
        <f t="shared" si="2"/>
        <v>13.07142857</v>
      </c>
      <c r="F31" s="37">
        <v>1.0</v>
      </c>
      <c r="G31" s="39">
        <v>5.0</v>
      </c>
      <c r="H31" s="40">
        <v>0.0</v>
      </c>
      <c r="I31" s="39">
        <v>4.0</v>
      </c>
      <c r="J31" s="39">
        <v>1.0</v>
      </c>
      <c r="K31" s="39">
        <v>7.0</v>
      </c>
      <c r="L31" s="42">
        <v>12.0</v>
      </c>
      <c r="M31" s="39">
        <v>1.0</v>
      </c>
      <c r="N31" s="32">
        <f t="shared" ref="N31:O31" si="33">C31+L31</f>
        <v>298</v>
      </c>
      <c r="O31" s="32">
        <f t="shared" si="33"/>
        <v>21</v>
      </c>
      <c r="P31" s="43" t="s">
        <v>53</v>
      </c>
      <c r="Q31" s="43" t="s">
        <v>53</v>
      </c>
      <c r="R31" s="43" t="s">
        <v>53</v>
      </c>
      <c r="S31" s="39">
        <f t="shared" si="4"/>
        <v>1</v>
      </c>
      <c r="T31" s="39"/>
      <c r="U31" s="39">
        <f t="shared" si="5"/>
        <v>10</v>
      </c>
      <c r="V31" s="39">
        <f t="shared" si="6"/>
        <v>-3</v>
      </c>
      <c r="W31" s="30">
        <f t="shared" si="9"/>
        <v>27</v>
      </c>
    </row>
    <row r="32">
      <c r="A32" s="30">
        <f t="shared" si="7"/>
        <v>28</v>
      </c>
      <c r="B32" s="51" t="s">
        <v>76</v>
      </c>
      <c r="C32" s="46">
        <v>285.0</v>
      </c>
      <c r="D32" s="46">
        <v>25.0</v>
      </c>
      <c r="E32" s="35">
        <f t="shared" si="2"/>
        <v>12.52941176</v>
      </c>
      <c r="F32" s="37">
        <v>1.0</v>
      </c>
      <c r="G32" s="39">
        <v>5.0</v>
      </c>
      <c r="H32" s="40">
        <v>0.0</v>
      </c>
      <c r="I32" s="39">
        <v>6.0</v>
      </c>
      <c r="J32" s="39">
        <v>6.0</v>
      </c>
      <c r="K32" s="39">
        <v>7.0</v>
      </c>
      <c r="L32" s="42">
        <v>19.0</v>
      </c>
      <c r="M32" s="39">
        <v>3.0</v>
      </c>
      <c r="N32" s="32">
        <f t="shared" ref="N32:O32" si="34">C32+L32</f>
        <v>304</v>
      </c>
      <c r="O32" s="32">
        <f t="shared" si="34"/>
        <v>28</v>
      </c>
      <c r="P32" s="43" t="s">
        <v>53</v>
      </c>
      <c r="Q32" s="43" t="s">
        <v>53</v>
      </c>
      <c r="R32" s="43" t="s">
        <v>53</v>
      </c>
      <c r="S32" s="39">
        <f t="shared" si="4"/>
        <v>0</v>
      </c>
      <c r="T32" s="39"/>
      <c r="U32" s="39">
        <f t="shared" si="5"/>
        <v>8</v>
      </c>
      <c r="V32" s="39">
        <f t="shared" si="6"/>
        <v>0</v>
      </c>
      <c r="W32" s="30">
        <f t="shared" si="9"/>
        <v>28</v>
      </c>
    </row>
    <row r="33">
      <c r="A33" s="30">
        <f t="shared" si="7"/>
        <v>29</v>
      </c>
      <c r="B33" s="56" t="s">
        <v>101</v>
      </c>
      <c r="C33" s="46">
        <v>283.0</v>
      </c>
      <c r="D33" s="46">
        <v>18.0</v>
      </c>
      <c r="E33" s="35">
        <f t="shared" si="2"/>
        <v>12.625</v>
      </c>
      <c r="F33" s="37">
        <v>1.0</v>
      </c>
      <c r="G33" s="39">
        <v>5.0</v>
      </c>
      <c r="H33" s="40">
        <v>0.0</v>
      </c>
      <c r="I33" s="39">
        <v>6.0</v>
      </c>
      <c r="J33" s="39">
        <v>1.0</v>
      </c>
      <c r="K33" s="39">
        <v>5.0</v>
      </c>
      <c r="L33" s="42">
        <v>12.0</v>
      </c>
      <c r="M33" s="39">
        <v>1.0</v>
      </c>
      <c r="N33" s="32">
        <f t="shared" ref="N33:O33" si="35">C33+L33</f>
        <v>295</v>
      </c>
      <c r="O33" s="32">
        <f t="shared" si="35"/>
        <v>19</v>
      </c>
      <c r="P33" s="43" t="s">
        <v>53</v>
      </c>
      <c r="Q33" s="43" t="s">
        <v>53</v>
      </c>
      <c r="R33" s="43" t="s">
        <v>53</v>
      </c>
      <c r="S33" s="39">
        <f t="shared" si="4"/>
        <v>0</v>
      </c>
      <c r="T33" s="39"/>
      <c r="U33" s="39">
        <f t="shared" si="5"/>
        <v>9</v>
      </c>
      <c r="V33" s="39">
        <f t="shared" si="6"/>
        <v>1</v>
      </c>
      <c r="W33" s="30">
        <f t="shared" si="9"/>
        <v>29</v>
      </c>
    </row>
    <row r="34">
      <c r="A34" s="30">
        <f t="shared" si="7"/>
        <v>30</v>
      </c>
      <c r="B34" s="51" t="s">
        <v>99</v>
      </c>
      <c r="C34" s="46">
        <v>281.0</v>
      </c>
      <c r="D34" s="46">
        <v>20.0</v>
      </c>
      <c r="E34" s="35">
        <f t="shared" si="2"/>
        <v>11.73684211</v>
      </c>
      <c r="F34" s="37">
        <v>1.0</v>
      </c>
      <c r="G34" s="39">
        <v>5.0</v>
      </c>
      <c r="H34" s="40">
        <v>0.0</v>
      </c>
      <c r="I34" s="39">
        <v>4.0</v>
      </c>
      <c r="J34" s="39">
        <v>6.0</v>
      </c>
      <c r="K34" s="39">
        <v>5.0</v>
      </c>
      <c r="L34" s="42">
        <v>15.0</v>
      </c>
      <c r="M34" s="39">
        <v>1.0</v>
      </c>
      <c r="N34" s="32">
        <f t="shared" ref="N34:O34" si="36">C34+L34</f>
        <v>296</v>
      </c>
      <c r="O34" s="32">
        <f t="shared" si="36"/>
        <v>21</v>
      </c>
      <c r="P34" s="43" t="s">
        <v>53</v>
      </c>
      <c r="Q34" s="43" t="s">
        <v>53</v>
      </c>
      <c r="R34" s="43" t="s">
        <v>53</v>
      </c>
      <c r="S34" s="39">
        <f t="shared" si="4"/>
        <v>1</v>
      </c>
      <c r="T34" s="39"/>
      <c r="U34" s="39">
        <f t="shared" si="5"/>
        <v>5</v>
      </c>
      <c r="V34" s="39">
        <f t="shared" si="6"/>
        <v>1</v>
      </c>
      <c r="W34" s="30">
        <f t="shared" si="9"/>
        <v>30</v>
      </c>
    </row>
    <row r="35">
      <c r="A35" s="30">
        <f t="shared" si="7"/>
        <v>31</v>
      </c>
      <c r="B35" s="51" t="s">
        <v>103</v>
      </c>
      <c r="C35" s="46">
        <v>276.0</v>
      </c>
      <c r="D35" s="46">
        <v>18.0</v>
      </c>
      <c r="E35" s="35">
        <f t="shared" si="2"/>
        <v>13.3</v>
      </c>
      <c r="F35" s="37">
        <v>3.0</v>
      </c>
      <c r="G35" s="39">
        <v>0.0</v>
      </c>
      <c r="H35" s="40">
        <v>9.0</v>
      </c>
      <c r="I35" s="39">
        <v>0.0</v>
      </c>
      <c r="J35" s="39">
        <v>0.0</v>
      </c>
      <c r="K35" s="39">
        <v>0.0</v>
      </c>
      <c r="L35" s="42">
        <v>9.0</v>
      </c>
      <c r="M35" s="39">
        <v>0.0</v>
      </c>
      <c r="N35" s="32">
        <f t="shared" ref="N35:O35" si="37">C35+L35</f>
        <v>285</v>
      </c>
      <c r="O35" s="32">
        <f t="shared" si="37"/>
        <v>18</v>
      </c>
      <c r="P35" s="43" t="s">
        <v>53</v>
      </c>
      <c r="Q35" s="43" t="s">
        <v>53</v>
      </c>
      <c r="R35" s="43" t="s">
        <v>53</v>
      </c>
      <c r="S35" s="39">
        <f t="shared" si="4"/>
        <v>2</v>
      </c>
      <c r="T35" s="39"/>
      <c r="U35" s="39">
        <f t="shared" si="5"/>
        <v>13</v>
      </c>
      <c r="V35" s="39">
        <f t="shared" si="6"/>
        <v>-2</v>
      </c>
      <c r="W35" s="30">
        <f t="shared" si="9"/>
        <v>31</v>
      </c>
    </row>
    <row r="36">
      <c r="A36" s="30">
        <f t="shared" si="7"/>
        <v>32</v>
      </c>
      <c r="B36" s="51" t="s">
        <v>102</v>
      </c>
      <c r="C36" s="46">
        <v>276.0</v>
      </c>
      <c r="D36" s="46">
        <v>16.0</v>
      </c>
      <c r="E36" s="35">
        <f t="shared" si="2"/>
        <v>13.3</v>
      </c>
      <c r="F36" s="37">
        <v>1.0</v>
      </c>
      <c r="G36" s="39">
        <v>6.0</v>
      </c>
      <c r="H36" s="40">
        <v>0.0</v>
      </c>
      <c r="I36" s="39">
        <v>6.0</v>
      </c>
      <c r="J36" s="39">
        <v>1.0</v>
      </c>
      <c r="K36" s="39">
        <v>6.0</v>
      </c>
      <c r="L36" s="42">
        <v>13.0</v>
      </c>
      <c r="M36" s="39">
        <v>1.0</v>
      </c>
      <c r="N36" s="32">
        <f t="shared" ref="N36:O36" si="38">C36+L36</f>
        <v>289</v>
      </c>
      <c r="O36" s="32">
        <f t="shared" si="38"/>
        <v>17</v>
      </c>
      <c r="P36" s="43" t="s">
        <v>53</v>
      </c>
      <c r="Q36" s="43" t="s">
        <v>53</v>
      </c>
      <c r="R36" s="43" t="s">
        <v>53</v>
      </c>
      <c r="S36" s="39">
        <f t="shared" si="4"/>
        <v>2</v>
      </c>
      <c r="T36" s="39"/>
      <c r="U36" s="39">
        <f t="shared" si="5"/>
        <v>13</v>
      </c>
      <c r="V36" s="39">
        <f t="shared" si="6"/>
        <v>0</v>
      </c>
      <c r="W36" s="30">
        <f t="shared" si="9"/>
        <v>32</v>
      </c>
    </row>
    <row r="37">
      <c r="A37" s="30">
        <f t="shared" si="7"/>
        <v>33</v>
      </c>
      <c r="B37" s="31" t="s">
        <v>79</v>
      </c>
      <c r="C37" s="46">
        <v>273.0</v>
      </c>
      <c r="D37" s="46">
        <v>18.0</v>
      </c>
      <c r="E37" s="35">
        <f t="shared" si="2"/>
        <v>12.27272727</v>
      </c>
      <c r="F37" s="37">
        <v>2.0</v>
      </c>
      <c r="G37" s="39">
        <v>6.0</v>
      </c>
      <c r="H37" s="40">
        <v>0.0</v>
      </c>
      <c r="I37" s="39">
        <v>7.0</v>
      </c>
      <c r="J37" s="39">
        <v>6.0</v>
      </c>
      <c r="K37" s="39">
        <v>6.0</v>
      </c>
      <c r="L37" s="42">
        <v>19.0</v>
      </c>
      <c r="M37" s="39">
        <v>3.0</v>
      </c>
      <c r="N37" s="32">
        <f t="shared" ref="N37:O37" si="39">C37+L37</f>
        <v>292</v>
      </c>
      <c r="O37" s="32">
        <f t="shared" si="39"/>
        <v>21</v>
      </c>
      <c r="P37" s="43" t="s">
        <v>53</v>
      </c>
      <c r="Q37" s="43" t="s">
        <v>53</v>
      </c>
      <c r="R37" s="43" t="s">
        <v>53</v>
      </c>
      <c r="S37" s="39">
        <f t="shared" si="4"/>
        <v>3</v>
      </c>
      <c r="T37" s="39"/>
      <c r="U37" s="39">
        <f t="shared" si="5"/>
        <v>11</v>
      </c>
      <c r="V37" s="39">
        <f t="shared" si="6"/>
        <v>4</v>
      </c>
      <c r="W37" s="30">
        <f t="shared" si="9"/>
        <v>33</v>
      </c>
    </row>
    <row r="38">
      <c r="A38" s="30">
        <f t="shared" si="7"/>
        <v>34</v>
      </c>
      <c r="B38" s="31" t="s">
        <v>73</v>
      </c>
      <c r="C38" s="46">
        <v>272.0</v>
      </c>
      <c r="D38" s="46">
        <v>16.0</v>
      </c>
      <c r="E38" s="35">
        <f t="shared" si="2"/>
        <v>11.91666667</v>
      </c>
      <c r="F38" s="37">
        <v>3.0</v>
      </c>
      <c r="G38" s="39">
        <v>0.0</v>
      </c>
      <c r="H38" s="40">
        <v>9.0</v>
      </c>
      <c r="I38" s="39">
        <v>0.0</v>
      </c>
      <c r="J38" s="39">
        <v>0.0</v>
      </c>
      <c r="K38" s="39">
        <v>0.0</v>
      </c>
      <c r="L38" s="42">
        <v>9.0</v>
      </c>
      <c r="M38" s="39">
        <v>0.0</v>
      </c>
      <c r="N38" s="32">
        <f t="shared" ref="N38:O38" si="40">C38+L38</f>
        <v>281</v>
      </c>
      <c r="O38" s="32">
        <f t="shared" si="40"/>
        <v>16</v>
      </c>
      <c r="P38" s="43" t="s">
        <v>53</v>
      </c>
      <c r="Q38" s="43" t="s">
        <v>53</v>
      </c>
      <c r="R38" s="43" t="s">
        <v>53</v>
      </c>
      <c r="S38" s="39">
        <f t="shared" si="4"/>
        <v>3</v>
      </c>
      <c r="T38" s="39"/>
      <c r="U38" s="39">
        <f t="shared" si="5"/>
        <v>10</v>
      </c>
      <c r="V38" s="39">
        <f t="shared" si="6"/>
        <v>-1</v>
      </c>
      <c r="W38" s="30">
        <f t="shared" si="9"/>
        <v>34</v>
      </c>
    </row>
    <row r="39">
      <c r="A39" s="30">
        <f t="shared" si="7"/>
        <v>35</v>
      </c>
      <c r="B39" s="31" t="s">
        <v>105</v>
      </c>
      <c r="C39" s="46">
        <v>269.0</v>
      </c>
      <c r="D39" s="46">
        <v>11.0</v>
      </c>
      <c r="E39" s="35">
        <f t="shared" si="2"/>
        <v>12.6</v>
      </c>
      <c r="F39" s="37">
        <v>5.0</v>
      </c>
      <c r="G39" s="39">
        <v>0.0</v>
      </c>
      <c r="H39" s="40">
        <v>13.0</v>
      </c>
      <c r="I39" s="39">
        <v>0.0</v>
      </c>
      <c r="J39" s="39">
        <v>0.0</v>
      </c>
      <c r="K39" s="39">
        <v>0.0</v>
      </c>
      <c r="L39" s="42">
        <v>13.0</v>
      </c>
      <c r="M39" s="39">
        <v>0.0</v>
      </c>
      <c r="N39" s="32">
        <f t="shared" ref="N39:O39" si="41">C39+L39</f>
        <v>282</v>
      </c>
      <c r="O39" s="32">
        <f t="shared" si="41"/>
        <v>11</v>
      </c>
      <c r="P39" s="43" t="s">
        <v>53</v>
      </c>
      <c r="Q39" s="43" t="s">
        <v>53</v>
      </c>
      <c r="R39" s="43" t="s">
        <v>53</v>
      </c>
      <c r="S39" s="39">
        <f t="shared" si="4"/>
        <v>2</v>
      </c>
      <c r="T39" s="39"/>
      <c r="U39" s="39">
        <f t="shared" si="5"/>
        <v>13</v>
      </c>
      <c r="V39" s="39">
        <f t="shared" si="6"/>
        <v>-1</v>
      </c>
      <c r="W39" s="30">
        <f t="shared" si="9"/>
        <v>35</v>
      </c>
    </row>
    <row r="40">
      <c r="A40" s="30">
        <f t="shared" si="7"/>
        <v>36</v>
      </c>
      <c r="B40" s="31" t="s">
        <v>106</v>
      </c>
      <c r="C40" s="46">
        <v>267.0</v>
      </c>
      <c r="D40" s="46">
        <v>15.0</v>
      </c>
      <c r="E40" s="35">
        <f t="shared" si="2"/>
        <v>15</v>
      </c>
      <c r="F40" s="37">
        <v>3.0</v>
      </c>
      <c r="G40" s="39">
        <v>0.0</v>
      </c>
      <c r="H40" s="40">
        <v>9.0</v>
      </c>
      <c r="I40" s="39">
        <v>0.0</v>
      </c>
      <c r="J40" s="39">
        <v>0.0</v>
      </c>
      <c r="K40" s="39">
        <v>0.0</v>
      </c>
      <c r="L40" s="42">
        <v>9.0</v>
      </c>
      <c r="M40" s="39">
        <v>0.0</v>
      </c>
      <c r="N40" s="32">
        <f t="shared" ref="N40:O40" si="42">C40+L40</f>
        <v>276</v>
      </c>
      <c r="O40" s="32">
        <f t="shared" si="42"/>
        <v>15</v>
      </c>
      <c r="P40" s="43" t="s">
        <v>53</v>
      </c>
      <c r="Q40" s="43" t="s">
        <v>53</v>
      </c>
      <c r="R40" s="43" t="s">
        <v>88</v>
      </c>
      <c r="S40" s="39">
        <f t="shared" si="4"/>
        <v>0</v>
      </c>
      <c r="T40" s="39"/>
      <c r="U40" s="39">
        <f t="shared" si="5"/>
        <v>18</v>
      </c>
      <c r="V40" s="39">
        <f t="shared" si="6"/>
        <v>-1</v>
      </c>
      <c r="W40" s="30">
        <f t="shared" si="9"/>
        <v>36</v>
      </c>
    </row>
    <row r="41">
      <c r="A41" s="30">
        <f t="shared" si="7"/>
        <v>37</v>
      </c>
      <c r="B41" s="31" t="s">
        <v>46</v>
      </c>
      <c r="C41" s="46">
        <v>266.0</v>
      </c>
      <c r="D41" s="46">
        <v>20.0</v>
      </c>
      <c r="E41" s="35">
        <f t="shared" si="2"/>
        <v>11.27777778</v>
      </c>
      <c r="F41" s="37">
        <v>1.0</v>
      </c>
      <c r="G41" s="39">
        <v>6.0</v>
      </c>
      <c r="H41" s="40">
        <v>0.0</v>
      </c>
      <c r="I41" s="39">
        <v>6.0</v>
      </c>
      <c r="J41" s="39">
        <v>6.0</v>
      </c>
      <c r="K41" s="39">
        <v>2.0</v>
      </c>
      <c r="L41" s="42">
        <v>14.0</v>
      </c>
      <c r="M41" s="39">
        <v>1.0</v>
      </c>
      <c r="N41" s="32">
        <f t="shared" ref="N41:O41" si="43">C41+L41</f>
        <v>280</v>
      </c>
      <c r="O41" s="32">
        <f t="shared" si="43"/>
        <v>21</v>
      </c>
      <c r="P41" s="43" t="s">
        <v>53</v>
      </c>
      <c r="Q41" s="43" t="s">
        <v>53</v>
      </c>
      <c r="R41" s="43" t="s">
        <v>53</v>
      </c>
      <c r="S41" s="39">
        <f t="shared" si="4"/>
        <v>0</v>
      </c>
      <c r="T41" s="39"/>
      <c r="U41" s="39">
        <f t="shared" si="5"/>
        <v>7</v>
      </c>
      <c r="V41" s="39">
        <f t="shared" si="6"/>
        <v>-1</v>
      </c>
      <c r="W41" s="30">
        <f t="shared" si="9"/>
        <v>37</v>
      </c>
    </row>
    <row r="42">
      <c r="A42" s="30">
        <f t="shared" si="7"/>
        <v>38</v>
      </c>
      <c r="B42" s="56" t="s">
        <v>107</v>
      </c>
      <c r="C42" s="46">
        <v>265.0</v>
      </c>
      <c r="D42" s="46">
        <v>22.0</v>
      </c>
      <c r="E42" s="35">
        <f t="shared" si="2"/>
        <v>10.9047619</v>
      </c>
      <c r="F42" s="37">
        <v>1.0</v>
      </c>
      <c r="G42" s="39">
        <v>6.0</v>
      </c>
      <c r="H42" s="40">
        <v>0.0</v>
      </c>
      <c r="I42" s="39">
        <v>7.0</v>
      </c>
      <c r="J42" s="39">
        <v>1.0</v>
      </c>
      <c r="K42" s="39">
        <v>2.0</v>
      </c>
      <c r="L42" s="42">
        <v>10.0</v>
      </c>
      <c r="M42" s="39">
        <v>1.0</v>
      </c>
      <c r="N42" s="32">
        <f t="shared" ref="N42:O42" si="44">C42+L42</f>
        <v>275</v>
      </c>
      <c r="O42" s="32">
        <f t="shared" si="44"/>
        <v>23</v>
      </c>
      <c r="P42" s="43" t="s">
        <v>53</v>
      </c>
      <c r="Q42" s="43" t="s">
        <v>53</v>
      </c>
      <c r="R42" s="43" t="s">
        <v>53</v>
      </c>
      <c r="S42" s="39">
        <f t="shared" si="4"/>
        <v>0</v>
      </c>
      <c r="T42" s="39"/>
      <c r="U42" s="39">
        <f t="shared" si="5"/>
        <v>4</v>
      </c>
      <c r="V42" s="39">
        <f t="shared" si="6"/>
        <v>2</v>
      </c>
      <c r="W42" s="30">
        <f t="shared" si="9"/>
        <v>38</v>
      </c>
    </row>
    <row r="43">
      <c r="A43" s="30">
        <f t="shared" si="7"/>
        <v>39</v>
      </c>
      <c r="B43" s="51" t="s">
        <v>104</v>
      </c>
      <c r="C43" s="46">
        <v>265.0</v>
      </c>
      <c r="D43" s="46">
        <v>20.0</v>
      </c>
      <c r="E43" s="35">
        <f t="shared" si="2"/>
        <v>11.22222222</v>
      </c>
      <c r="F43" s="37">
        <v>1.0</v>
      </c>
      <c r="G43" s="39">
        <v>7.0</v>
      </c>
      <c r="H43" s="40">
        <v>0.0</v>
      </c>
      <c r="I43" s="39">
        <v>5.0</v>
      </c>
      <c r="J43" s="39">
        <v>6.0</v>
      </c>
      <c r="K43" s="39">
        <v>6.0</v>
      </c>
      <c r="L43" s="42">
        <v>17.0</v>
      </c>
      <c r="M43" s="39">
        <v>2.0</v>
      </c>
      <c r="N43" s="32">
        <f t="shared" ref="N43:O43" si="45">C43+L43</f>
        <v>282</v>
      </c>
      <c r="O43" s="32">
        <f t="shared" si="45"/>
        <v>22</v>
      </c>
      <c r="P43" s="43" t="s">
        <v>53</v>
      </c>
      <c r="Q43" s="43" t="s">
        <v>53</v>
      </c>
      <c r="R43" s="43" t="s">
        <v>53</v>
      </c>
      <c r="S43" s="39">
        <f t="shared" si="4"/>
        <v>0</v>
      </c>
      <c r="T43" s="39"/>
      <c r="U43" s="39">
        <f t="shared" si="5"/>
        <v>7</v>
      </c>
      <c r="V43" s="39">
        <f t="shared" si="6"/>
        <v>3</v>
      </c>
      <c r="W43" s="30">
        <f t="shared" si="9"/>
        <v>39</v>
      </c>
    </row>
    <row r="44">
      <c r="A44" s="30">
        <f t="shared" si="7"/>
        <v>40</v>
      </c>
      <c r="B44" s="51" t="s">
        <v>108</v>
      </c>
      <c r="C44" s="46">
        <v>264.0</v>
      </c>
      <c r="D44" s="46">
        <v>13.0</v>
      </c>
      <c r="E44" s="35">
        <f t="shared" si="2"/>
        <v>14.16666667</v>
      </c>
      <c r="F44" s="37">
        <v>3.0</v>
      </c>
      <c r="G44" s="39">
        <v>0.0</v>
      </c>
      <c r="H44" s="40">
        <v>9.0</v>
      </c>
      <c r="I44" s="39">
        <v>0.0</v>
      </c>
      <c r="J44" s="39">
        <v>0.0</v>
      </c>
      <c r="K44" s="39">
        <v>0.0</v>
      </c>
      <c r="L44" s="42">
        <v>9.0</v>
      </c>
      <c r="M44" s="39">
        <v>0.0</v>
      </c>
      <c r="N44" s="32">
        <f t="shared" ref="N44:O44" si="46">C44+L44</f>
        <v>273</v>
      </c>
      <c r="O44" s="32">
        <f t="shared" si="46"/>
        <v>13</v>
      </c>
      <c r="P44" s="43" t="s">
        <v>53</v>
      </c>
      <c r="Q44" s="43" t="s">
        <v>53</v>
      </c>
      <c r="R44" s="43" t="s">
        <v>88</v>
      </c>
      <c r="S44" s="39">
        <f t="shared" si="4"/>
        <v>2</v>
      </c>
      <c r="T44" s="39"/>
      <c r="U44" s="39">
        <f t="shared" si="5"/>
        <v>17</v>
      </c>
      <c r="V44" s="39">
        <f t="shared" si="6"/>
        <v>-2</v>
      </c>
      <c r="W44" s="30">
        <f t="shared" si="9"/>
        <v>40</v>
      </c>
    </row>
    <row r="45">
      <c r="A45" s="30">
        <f t="shared" si="7"/>
        <v>41</v>
      </c>
      <c r="B45" s="57" t="s">
        <v>109</v>
      </c>
      <c r="C45" s="46">
        <v>262.0</v>
      </c>
      <c r="D45" s="46">
        <v>9.0</v>
      </c>
      <c r="E45" s="35">
        <f t="shared" si="2"/>
        <v>14.25</v>
      </c>
      <c r="F45" s="37">
        <v>3.0</v>
      </c>
      <c r="G45" s="39">
        <v>0.0</v>
      </c>
      <c r="H45" s="40">
        <v>9.0</v>
      </c>
      <c r="I45" s="39">
        <v>0.0</v>
      </c>
      <c r="J45" s="39">
        <v>0.0</v>
      </c>
      <c r="K45" s="39">
        <v>0.0</v>
      </c>
      <c r="L45" s="42">
        <v>9.0</v>
      </c>
      <c r="M45" s="39">
        <v>0.0</v>
      </c>
      <c r="N45" s="32">
        <f t="shared" ref="N45:O45" si="47">C45+L45</f>
        <v>271</v>
      </c>
      <c r="O45" s="32">
        <f t="shared" si="47"/>
        <v>9</v>
      </c>
      <c r="P45" s="43" t="s">
        <v>53</v>
      </c>
      <c r="Q45" s="43" t="s">
        <v>53</v>
      </c>
      <c r="R45" s="43" t="s">
        <v>88</v>
      </c>
      <c r="S45" s="39">
        <f t="shared" si="4"/>
        <v>4</v>
      </c>
      <c r="T45" s="39"/>
      <c r="U45" s="39">
        <f t="shared" si="5"/>
        <v>17</v>
      </c>
      <c r="V45" s="39">
        <f t="shared" si="6"/>
        <v>-2</v>
      </c>
      <c r="W45" s="30">
        <f t="shared" si="9"/>
        <v>41</v>
      </c>
    </row>
    <row r="46">
      <c r="A46" s="30">
        <f t="shared" si="7"/>
        <v>42</v>
      </c>
      <c r="B46" s="56" t="s">
        <v>110</v>
      </c>
      <c r="C46" s="46">
        <v>261.0</v>
      </c>
      <c r="D46" s="46">
        <v>13.0</v>
      </c>
      <c r="E46" s="35">
        <f t="shared" si="2"/>
        <v>10.66666667</v>
      </c>
      <c r="F46" s="37">
        <v>3.0</v>
      </c>
      <c r="G46" s="39">
        <v>0.0</v>
      </c>
      <c r="H46" s="40">
        <v>9.0</v>
      </c>
      <c r="I46" s="39">
        <v>0.0</v>
      </c>
      <c r="J46" s="39">
        <v>0.0</v>
      </c>
      <c r="K46" s="39">
        <v>0.0</v>
      </c>
      <c r="L46" s="42">
        <v>9.0</v>
      </c>
      <c r="M46" s="39">
        <v>0.0</v>
      </c>
      <c r="N46" s="32">
        <f t="shared" ref="N46:O46" si="48">C46+L46</f>
        <v>270</v>
      </c>
      <c r="O46" s="32">
        <f t="shared" si="48"/>
        <v>13</v>
      </c>
      <c r="P46" s="43" t="s">
        <v>53</v>
      </c>
      <c r="Q46" s="43" t="s">
        <v>53</v>
      </c>
      <c r="R46" s="43" t="s">
        <v>53</v>
      </c>
      <c r="S46" s="39">
        <f t="shared" si="4"/>
        <v>4</v>
      </c>
      <c r="T46" s="39"/>
      <c r="U46" s="39">
        <f t="shared" si="5"/>
        <v>9</v>
      </c>
      <c r="V46" s="39">
        <f t="shared" si="6"/>
        <v>-1</v>
      </c>
      <c r="W46" s="30">
        <f t="shared" si="9"/>
        <v>42</v>
      </c>
    </row>
    <row r="47">
      <c r="A47" s="30">
        <f t="shared" si="7"/>
        <v>43</v>
      </c>
      <c r="B47" s="31" t="s">
        <v>56</v>
      </c>
      <c r="C47" s="46">
        <v>261.0</v>
      </c>
      <c r="D47" s="46">
        <v>11.0</v>
      </c>
      <c r="E47" s="35">
        <f t="shared" si="2"/>
        <v>14.6</v>
      </c>
      <c r="F47" s="37">
        <v>3.0</v>
      </c>
      <c r="G47" s="39">
        <v>0.0</v>
      </c>
      <c r="H47" s="40">
        <v>9.0</v>
      </c>
      <c r="I47" s="39">
        <v>0.0</v>
      </c>
      <c r="J47" s="39">
        <v>0.0</v>
      </c>
      <c r="K47" s="39">
        <v>0.0</v>
      </c>
      <c r="L47" s="42">
        <v>9.0</v>
      </c>
      <c r="M47" s="39">
        <v>0.0</v>
      </c>
      <c r="N47" s="32">
        <f t="shared" ref="N47:O47" si="49">C47+L47</f>
        <v>270</v>
      </c>
      <c r="O47" s="32">
        <f t="shared" si="49"/>
        <v>11</v>
      </c>
      <c r="P47" s="43" t="s">
        <v>53</v>
      </c>
      <c r="Q47" s="43" t="s">
        <v>53</v>
      </c>
      <c r="R47" s="43" t="s">
        <v>53</v>
      </c>
      <c r="S47" s="39">
        <f t="shared" si="4"/>
        <v>2</v>
      </c>
      <c r="T47" s="39"/>
      <c r="U47" s="39">
        <f t="shared" si="5"/>
        <v>18</v>
      </c>
      <c r="V47" s="39">
        <f t="shared" si="6"/>
        <v>3</v>
      </c>
      <c r="W47" s="30">
        <f t="shared" si="9"/>
        <v>43</v>
      </c>
    </row>
    <row r="48">
      <c r="A48" s="30">
        <f t="shared" si="7"/>
        <v>44</v>
      </c>
      <c r="B48" s="51" t="s">
        <v>113</v>
      </c>
      <c r="C48" s="46">
        <v>254.0</v>
      </c>
      <c r="D48" s="46">
        <v>15.0</v>
      </c>
      <c r="E48" s="35">
        <f t="shared" si="2"/>
        <v>10.0625</v>
      </c>
      <c r="F48" s="37">
        <v>5.0</v>
      </c>
      <c r="G48" s="39">
        <v>0.0</v>
      </c>
      <c r="H48" s="40">
        <v>13.0</v>
      </c>
      <c r="I48" s="39">
        <v>0.0</v>
      </c>
      <c r="J48" s="39">
        <v>0.0</v>
      </c>
      <c r="K48" s="39">
        <v>0.0</v>
      </c>
      <c r="L48" s="42">
        <v>13.0</v>
      </c>
      <c r="M48" s="39">
        <v>0.0</v>
      </c>
      <c r="N48" s="32">
        <f t="shared" ref="N48:O48" si="50">C48+L48</f>
        <v>267</v>
      </c>
      <c r="O48" s="32">
        <f t="shared" si="50"/>
        <v>15</v>
      </c>
      <c r="P48" s="43" t="s">
        <v>53</v>
      </c>
      <c r="Q48" s="43" t="s">
        <v>53</v>
      </c>
      <c r="R48" s="43" t="s">
        <v>53</v>
      </c>
      <c r="S48" s="39">
        <f t="shared" si="4"/>
        <v>3</v>
      </c>
      <c r="T48" s="39"/>
      <c r="U48" s="39">
        <f t="shared" si="5"/>
        <v>6</v>
      </c>
      <c r="V48" s="39">
        <f t="shared" si="6"/>
        <v>-1</v>
      </c>
      <c r="W48" s="30">
        <f t="shared" si="9"/>
        <v>44</v>
      </c>
    </row>
    <row r="49">
      <c r="A49" s="30">
        <f t="shared" si="7"/>
        <v>45</v>
      </c>
      <c r="B49" s="51" t="s">
        <v>114</v>
      </c>
      <c r="C49" s="46">
        <v>252.0</v>
      </c>
      <c r="D49" s="46">
        <v>13.0</v>
      </c>
      <c r="E49" s="35">
        <f t="shared" si="2"/>
        <v>10.72727273</v>
      </c>
      <c r="F49" s="37">
        <v>3.0</v>
      </c>
      <c r="G49" s="39">
        <v>0.0</v>
      </c>
      <c r="H49" s="40">
        <v>9.0</v>
      </c>
      <c r="I49" s="39">
        <v>0.0</v>
      </c>
      <c r="J49" s="39">
        <v>0.0</v>
      </c>
      <c r="K49" s="39">
        <v>0.0</v>
      </c>
      <c r="L49" s="42">
        <v>9.0</v>
      </c>
      <c r="M49" s="39">
        <v>0.0</v>
      </c>
      <c r="N49" s="32">
        <f t="shared" ref="N49:O49" si="51">C49+L49</f>
        <v>261</v>
      </c>
      <c r="O49" s="32">
        <f t="shared" si="51"/>
        <v>13</v>
      </c>
      <c r="P49" s="43" t="s">
        <v>53</v>
      </c>
      <c r="Q49" s="43" t="s">
        <v>53</v>
      </c>
      <c r="R49" s="43" t="s">
        <v>53</v>
      </c>
      <c r="S49" s="39">
        <f t="shared" si="4"/>
        <v>2</v>
      </c>
      <c r="T49" s="39"/>
      <c r="U49" s="39">
        <f t="shared" si="5"/>
        <v>12</v>
      </c>
      <c r="V49" s="39">
        <f t="shared" si="6"/>
        <v>-1</v>
      </c>
      <c r="W49" s="30">
        <f t="shared" si="9"/>
        <v>45</v>
      </c>
    </row>
    <row r="50">
      <c r="A50" s="30">
        <f t="shared" si="7"/>
        <v>46</v>
      </c>
      <c r="B50" s="51" t="s">
        <v>111</v>
      </c>
      <c r="C50" s="46">
        <v>252.0</v>
      </c>
      <c r="D50" s="46">
        <v>11.0</v>
      </c>
      <c r="E50" s="35">
        <f t="shared" si="2"/>
        <v>11.45454545</v>
      </c>
      <c r="F50" s="37">
        <v>1.0</v>
      </c>
      <c r="G50" s="39">
        <v>7.0</v>
      </c>
      <c r="H50" s="40">
        <v>0.0</v>
      </c>
      <c r="I50" s="39">
        <v>7.0</v>
      </c>
      <c r="J50" s="39">
        <v>6.0</v>
      </c>
      <c r="K50" s="39">
        <v>4.0</v>
      </c>
      <c r="L50" s="42">
        <v>17.0</v>
      </c>
      <c r="M50" s="39">
        <v>2.0</v>
      </c>
      <c r="N50" s="32">
        <f t="shared" ref="N50:O50" si="52">C50+L50</f>
        <v>269</v>
      </c>
      <c r="O50" s="32">
        <f t="shared" si="52"/>
        <v>13</v>
      </c>
      <c r="P50" s="43" t="s">
        <v>53</v>
      </c>
      <c r="Q50" s="43" t="s">
        <v>53</v>
      </c>
      <c r="R50" s="43" t="s">
        <v>53</v>
      </c>
      <c r="S50" s="39">
        <f t="shared" si="4"/>
        <v>0</v>
      </c>
      <c r="T50" s="39"/>
      <c r="U50" s="39">
        <f t="shared" si="5"/>
        <v>14</v>
      </c>
      <c r="V50" s="39">
        <f t="shared" si="6"/>
        <v>-1</v>
      </c>
      <c r="W50" s="30">
        <f t="shared" si="9"/>
        <v>46</v>
      </c>
    </row>
    <row r="51">
      <c r="A51" s="30">
        <f t="shared" si="7"/>
        <v>47</v>
      </c>
      <c r="B51" s="51" t="s">
        <v>112</v>
      </c>
      <c r="C51" s="46">
        <v>251.0</v>
      </c>
      <c r="D51" s="46">
        <v>15.0</v>
      </c>
      <c r="E51" s="35">
        <f t="shared" si="2"/>
        <v>11</v>
      </c>
      <c r="F51" s="37">
        <v>1.0</v>
      </c>
      <c r="G51" s="39">
        <v>7.0</v>
      </c>
      <c r="H51" s="40">
        <v>0.0</v>
      </c>
      <c r="I51" s="39">
        <v>7.0</v>
      </c>
      <c r="J51" s="39">
        <v>4.0</v>
      </c>
      <c r="K51" s="39">
        <v>6.0</v>
      </c>
      <c r="L51" s="42">
        <v>17.0</v>
      </c>
      <c r="M51" s="39">
        <v>2.0</v>
      </c>
      <c r="N51" s="32">
        <f t="shared" ref="N51:O51" si="53">C51+L51</f>
        <v>268</v>
      </c>
      <c r="O51" s="32">
        <f t="shared" si="53"/>
        <v>17</v>
      </c>
      <c r="P51" s="43" t="s">
        <v>53</v>
      </c>
      <c r="Q51" s="43" t="s">
        <v>53</v>
      </c>
      <c r="R51" s="43" t="s">
        <v>53</v>
      </c>
      <c r="S51" s="39">
        <f t="shared" si="4"/>
        <v>0</v>
      </c>
      <c r="T51" s="39"/>
      <c r="U51" s="39">
        <f t="shared" si="5"/>
        <v>12</v>
      </c>
      <c r="V51" s="39">
        <f t="shared" si="6"/>
        <v>6</v>
      </c>
      <c r="W51" s="30">
        <f t="shared" si="9"/>
        <v>47</v>
      </c>
    </row>
    <row r="52">
      <c r="A52" s="30">
        <f t="shared" si="7"/>
        <v>48</v>
      </c>
      <c r="B52" s="56" t="s">
        <v>115</v>
      </c>
      <c r="C52" s="46">
        <v>250.0</v>
      </c>
      <c r="D52" s="46">
        <v>16.0</v>
      </c>
      <c r="E52" s="35">
        <f t="shared" si="2"/>
        <v>10.47058824</v>
      </c>
      <c r="F52" s="37">
        <v>3.0</v>
      </c>
      <c r="G52" s="39">
        <v>0.0</v>
      </c>
      <c r="H52" s="40">
        <v>9.0</v>
      </c>
      <c r="I52" s="39">
        <v>0.0</v>
      </c>
      <c r="J52" s="39">
        <v>0.0</v>
      </c>
      <c r="K52" s="39">
        <v>0.0</v>
      </c>
      <c r="L52" s="42">
        <v>9.0</v>
      </c>
      <c r="M52" s="39">
        <v>0.0</v>
      </c>
      <c r="N52" s="32">
        <f t="shared" ref="N52:O52" si="54">C52+L52</f>
        <v>259</v>
      </c>
      <c r="O52" s="32">
        <f t="shared" si="54"/>
        <v>16</v>
      </c>
      <c r="P52" s="43" t="s">
        <v>53</v>
      </c>
      <c r="Q52" s="43" t="s">
        <v>53</v>
      </c>
      <c r="R52" s="43" t="s">
        <v>53</v>
      </c>
      <c r="S52" s="39">
        <f t="shared" si="4"/>
        <v>0</v>
      </c>
      <c r="T52" s="39"/>
      <c r="U52" s="39">
        <f t="shared" si="5"/>
        <v>8</v>
      </c>
      <c r="V52" s="39">
        <f t="shared" si="6"/>
        <v>-1</v>
      </c>
      <c r="W52" s="30">
        <f t="shared" si="9"/>
        <v>48</v>
      </c>
    </row>
    <row r="53">
      <c r="A53" s="30">
        <f t="shared" si="7"/>
        <v>49</v>
      </c>
      <c r="B53" s="51" t="s">
        <v>116</v>
      </c>
      <c r="C53" s="46">
        <v>250.0</v>
      </c>
      <c r="D53" s="46">
        <v>15.0</v>
      </c>
      <c r="E53" s="35">
        <f t="shared" si="2"/>
        <v>10.3125</v>
      </c>
      <c r="F53" s="37">
        <v>3.0</v>
      </c>
      <c r="G53" s="39">
        <v>0.0</v>
      </c>
      <c r="H53" s="40">
        <v>9.0</v>
      </c>
      <c r="I53" s="39">
        <v>0.0</v>
      </c>
      <c r="J53" s="39">
        <v>0.0</v>
      </c>
      <c r="K53" s="39">
        <v>0.0</v>
      </c>
      <c r="L53" s="42">
        <v>9.0</v>
      </c>
      <c r="M53" s="39">
        <v>0.0</v>
      </c>
      <c r="N53" s="32">
        <f t="shared" ref="N53:O53" si="55">C53+L53</f>
        <v>259</v>
      </c>
      <c r="O53" s="32">
        <f t="shared" si="55"/>
        <v>15</v>
      </c>
      <c r="P53" s="43" t="s">
        <v>53</v>
      </c>
      <c r="Q53" s="43" t="s">
        <v>53</v>
      </c>
      <c r="R53" s="43" t="s">
        <v>53</v>
      </c>
      <c r="S53" s="39">
        <f t="shared" si="4"/>
        <v>1</v>
      </c>
      <c r="T53" s="39"/>
      <c r="U53" s="39">
        <f t="shared" si="5"/>
        <v>8</v>
      </c>
      <c r="V53" s="39">
        <f t="shared" si="6"/>
        <v>-1</v>
      </c>
      <c r="W53" s="30">
        <f t="shared" si="9"/>
        <v>49</v>
      </c>
    </row>
    <row r="54">
      <c r="A54" s="30">
        <f t="shared" si="7"/>
        <v>50</v>
      </c>
      <c r="B54" s="31" t="s">
        <v>119</v>
      </c>
      <c r="C54" s="46">
        <v>245.0</v>
      </c>
      <c r="D54" s="46">
        <v>9.0</v>
      </c>
      <c r="E54" s="35">
        <f t="shared" si="2"/>
        <v>13</v>
      </c>
      <c r="F54" s="37">
        <v>3.0</v>
      </c>
      <c r="G54" s="39">
        <v>0.0</v>
      </c>
      <c r="H54" s="40">
        <v>9.0</v>
      </c>
      <c r="I54" s="39">
        <v>0.0</v>
      </c>
      <c r="J54" s="39">
        <v>0.0</v>
      </c>
      <c r="K54" s="39">
        <v>0.0</v>
      </c>
      <c r="L54" s="42">
        <v>9.0</v>
      </c>
      <c r="M54" s="39">
        <v>0.0</v>
      </c>
      <c r="N54" s="32">
        <f t="shared" ref="N54:O54" si="56">C54+L54</f>
        <v>254</v>
      </c>
      <c r="O54" s="32">
        <f t="shared" si="56"/>
        <v>9</v>
      </c>
      <c r="P54" s="43" t="s">
        <v>53</v>
      </c>
      <c r="Q54" s="43" t="s">
        <v>53</v>
      </c>
      <c r="R54" s="43" t="s">
        <v>53</v>
      </c>
      <c r="S54" s="39">
        <f t="shared" si="4"/>
        <v>1</v>
      </c>
      <c r="T54" s="39"/>
      <c r="U54" s="39">
        <f t="shared" si="5"/>
        <v>20</v>
      </c>
      <c r="V54" s="39">
        <f t="shared" si="6"/>
        <v>-1</v>
      </c>
      <c r="W54" s="30">
        <f t="shared" si="9"/>
        <v>50</v>
      </c>
    </row>
    <row r="55">
      <c r="A55" s="30">
        <f t="shared" si="7"/>
        <v>51</v>
      </c>
      <c r="B55" s="51" t="s">
        <v>118</v>
      </c>
      <c r="C55" s="46">
        <v>244.0</v>
      </c>
      <c r="D55" s="46">
        <v>13.0</v>
      </c>
      <c r="E55" s="35">
        <f t="shared" si="2"/>
        <v>10.58333333</v>
      </c>
      <c r="F55" s="37">
        <v>1.0</v>
      </c>
      <c r="G55" s="39">
        <v>7.0</v>
      </c>
      <c r="H55" s="40">
        <v>0.0</v>
      </c>
      <c r="I55" s="39">
        <v>5.0</v>
      </c>
      <c r="J55" s="39">
        <v>4.0</v>
      </c>
      <c r="K55" s="39">
        <v>4.0</v>
      </c>
      <c r="L55" s="42">
        <v>13.0</v>
      </c>
      <c r="M55" s="39">
        <v>0.0</v>
      </c>
      <c r="N55" s="32">
        <f t="shared" ref="N55:O55" si="57">C55+L55</f>
        <v>257</v>
      </c>
      <c r="O55" s="32">
        <f t="shared" si="57"/>
        <v>13</v>
      </c>
      <c r="P55" s="43" t="s">
        <v>53</v>
      </c>
      <c r="Q55" s="43" t="s">
        <v>53</v>
      </c>
      <c r="R55" s="43" t="s">
        <v>53</v>
      </c>
      <c r="S55" s="39">
        <f t="shared" si="4"/>
        <v>0</v>
      </c>
      <c r="T55" s="39"/>
      <c r="U55" s="39">
        <f t="shared" si="5"/>
        <v>13</v>
      </c>
      <c r="V55" s="39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31" t="s">
        <v>81</v>
      </c>
      <c r="C56" s="46">
        <v>244.0</v>
      </c>
      <c r="D56" s="46">
        <v>7.0</v>
      </c>
      <c r="E56" s="35">
        <f t="shared" si="2"/>
        <v>11.2</v>
      </c>
      <c r="F56" s="37">
        <v>3.0</v>
      </c>
      <c r="G56" s="39">
        <v>0.0</v>
      </c>
      <c r="H56" s="40">
        <v>9.0</v>
      </c>
      <c r="I56" s="39">
        <v>0.0</v>
      </c>
      <c r="J56" s="39">
        <v>0.0</v>
      </c>
      <c r="K56" s="39">
        <v>0.0</v>
      </c>
      <c r="L56" s="42">
        <v>9.0</v>
      </c>
      <c r="M56" s="39">
        <v>0.0</v>
      </c>
      <c r="N56" s="32">
        <f t="shared" ref="N56:O56" si="58">C56+L56</f>
        <v>253</v>
      </c>
      <c r="O56" s="32">
        <f t="shared" si="58"/>
        <v>7</v>
      </c>
      <c r="P56" s="43" t="s">
        <v>53</v>
      </c>
      <c r="Q56" s="43" t="s">
        <v>53</v>
      </c>
      <c r="R56" s="43" t="s">
        <v>53</v>
      </c>
      <c r="S56" s="39">
        <f t="shared" si="4"/>
        <v>2</v>
      </c>
      <c r="T56" s="39"/>
      <c r="U56" s="39">
        <f t="shared" si="5"/>
        <v>18</v>
      </c>
      <c r="V56" s="39">
        <f t="shared" si="6"/>
        <v>-1</v>
      </c>
      <c r="W56" s="30">
        <f t="shared" si="9"/>
        <v>52</v>
      </c>
    </row>
    <row r="57">
      <c r="A57" s="30">
        <f t="shared" si="7"/>
        <v>53</v>
      </c>
      <c r="B57" s="51" t="s">
        <v>75</v>
      </c>
      <c r="C57" s="46">
        <v>244.0</v>
      </c>
      <c r="D57" s="46">
        <v>6.0</v>
      </c>
      <c r="E57" s="35">
        <f t="shared" si="2"/>
        <v>14.5</v>
      </c>
      <c r="F57" s="37">
        <v>3.0</v>
      </c>
      <c r="G57" s="39">
        <v>0.0</v>
      </c>
      <c r="H57" s="40">
        <v>9.0</v>
      </c>
      <c r="I57" s="39">
        <v>0.0</v>
      </c>
      <c r="J57" s="39">
        <v>0.0</v>
      </c>
      <c r="K57" s="39">
        <v>0.0</v>
      </c>
      <c r="L57" s="42">
        <v>9.0</v>
      </c>
      <c r="M57" s="39">
        <v>0.0</v>
      </c>
      <c r="N57" s="32">
        <f t="shared" ref="N57:O57" si="59">C57+L57</f>
        <v>253</v>
      </c>
      <c r="O57" s="32">
        <f t="shared" si="59"/>
        <v>6</v>
      </c>
      <c r="P57" s="43" t="s">
        <v>53</v>
      </c>
      <c r="Q57" s="43" t="s">
        <v>53</v>
      </c>
      <c r="R57" s="43" t="s">
        <v>88</v>
      </c>
      <c r="S57" s="39">
        <f t="shared" si="4"/>
        <v>2</v>
      </c>
      <c r="T57" s="39"/>
      <c r="U57" s="39">
        <f t="shared" si="5"/>
        <v>21</v>
      </c>
      <c r="V57" s="39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31" t="s">
        <v>120</v>
      </c>
      <c r="C58" s="46">
        <v>242.0</v>
      </c>
      <c r="D58" s="46">
        <v>6.0</v>
      </c>
      <c r="E58" s="35">
        <f t="shared" si="2"/>
        <v>11.6</v>
      </c>
      <c r="F58" s="37">
        <v>3.0</v>
      </c>
      <c r="G58" s="39">
        <v>0.0</v>
      </c>
      <c r="H58" s="40">
        <v>9.0</v>
      </c>
      <c r="I58" s="39">
        <v>0.0</v>
      </c>
      <c r="J58" s="39">
        <v>0.0</v>
      </c>
      <c r="K58" s="39">
        <v>0.0</v>
      </c>
      <c r="L58" s="42">
        <v>9.0</v>
      </c>
      <c r="M58" s="39">
        <v>0.0</v>
      </c>
      <c r="N58" s="32">
        <f t="shared" ref="N58:O58" si="60">C58+L58</f>
        <v>251</v>
      </c>
      <c r="O58" s="32">
        <f t="shared" si="60"/>
        <v>6</v>
      </c>
      <c r="P58" s="43" t="s">
        <v>53</v>
      </c>
      <c r="Q58" s="43" t="s">
        <v>53</v>
      </c>
      <c r="R58" s="43" t="s">
        <v>53</v>
      </c>
      <c r="S58" s="39">
        <f t="shared" si="4"/>
        <v>1</v>
      </c>
      <c r="T58" s="39"/>
      <c r="U58" s="39">
        <f t="shared" si="5"/>
        <v>19</v>
      </c>
      <c r="V58" s="39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31" t="s">
        <v>117</v>
      </c>
      <c r="C59" s="46">
        <v>241.0</v>
      </c>
      <c r="D59" s="46">
        <v>5.0</v>
      </c>
      <c r="E59" s="35">
        <f t="shared" si="2"/>
        <v>11</v>
      </c>
      <c r="F59" s="37">
        <v>2.0</v>
      </c>
      <c r="G59" s="39">
        <v>8.0</v>
      </c>
      <c r="H59" s="40">
        <v>0.0</v>
      </c>
      <c r="I59" s="39">
        <v>6.0</v>
      </c>
      <c r="J59" s="39">
        <v>5.0</v>
      </c>
      <c r="K59" s="39">
        <v>6.0</v>
      </c>
      <c r="L59" s="42">
        <v>17.0</v>
      </c>
      <c r="M59" s="39">
        <v>2.0</v>
      </c>
      <c r="N59" s="32">
        <f t="shared" ref="N59:O59" si="61">C59+L59</f>
        <v>258</v>
      </c>
      <c r="O59" s="32">
        <f t="shared" si="61"/>
        <v>7</v>
      </c>
      <c r="P59" s="43" t="s">
        <v>53</v>
      </c>
      <c r="Q59" s="43" t="s">
        <v>53</v>
      </c>
      <c r="R59" s="43" t="s">
        <v>53</v>
      </c>
      <c r="S59" s="39">
        <f t="shared" si="4"/>
        <v>2</v>
      </c>
      <c r="T59" s="39"/>
      <c r="U59" s="39">
        <f t="shared" si="5"/>
        <v>19</v>
      </c>
      <c r="V59" s="39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56" t="s">
        <v>51</v>
      </c>
      <c r="C60" s="46">
        <v>237.0</v>
      </c>
      <c r="D60" s="46">
        <v>10.0</v>
      </c>
      <c r="E60" s="35">
        <f t="shared" si="2"/>
        <v>9.8</v>
      </c>
      <c r="F60" s="37">
        <v>1.0</v>
      </c>
      <c r="G60" s="39">
        <v>8.0</v>
      </c>
      <c r="H60" s="40">
        <v>0.0</v>
      </c>
      <c r="I60" s="39">
        <v>2.0</v>
      </c>
      <c r="J60" s="39">
        <v>7.0</v>
      </c>
      <c r="K60" s="39">
        <v>6.0</v>
      </c>
      <c r="L60" s="42">
        <v>15.0</v>
      </c>
      <c r="M60" s="39">
        <v>2.0</v>
      </c>
      <c r="N60" s="32">
        <f t="shared" ref="N60:O60" si="62">C60+L60</f>
        <v>252</v>
      </c>
      <c r="O60" s="32">
        <f t="shared" si="62"/>
        <v>12</v>
      </c>
      <c r="P60" s="43" t="s">
        <v>53</v>
      </c>
      <c r="Q60" s="43" t="s">
        <v>53</v>
      </c>
      <c r="R60" s="43" t="s">
        <v>53</v>
      </c>
      <c r="S60" s="39">
        <f t="shared" si="4"/>
        <v>1</v>
      </c>
      <c r="T60" s="39"/>
      <c r="U60" s="39">
        <f t="shared" si="5"/>
        <v>14</v>
      </c>
      <c r="V60" s="39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56" t="s">
        <v>122</v>
      </c>
      <c r="C61" s="46">
        <v>229.0</v>
      </c>
      <c r="D61" s="46">
        <v>3.0</v>
      </c>
      <c r="E61" s="35">
        <f t="shared" si="2"/>
        <v>9</v>
      </c>
      <c r="F61" s="37">
        <v>3.0</v>
      </c>
      <c r="G61" s="39">
        <v>0.0</v>
      </c>
      <c r="H61" s="40">
        <v>9.0</v>
      </c>
      <c r="I61" s="39">
        <v>0.0</v>
      </c>
      <c r="J61" s="39">
        <v>0.0</v>
      </c>
      <c r="K61" s="39">
        <v>0.0</v>
      </c>
      <c r="L61" s="42">
        <v>9.0</v>
      </c>
      <c r="M61" s="39">
        <v>0.0</v>
      </c>
      <c r="N61" s="32">
        <f t="shared" ref="N61:O61" si="63">C61+L61</f>
        <v>238</v>
      </c>
      <c r="O61" s="32">
        <f t="shared" si="63"/>
        <v>3</v>
      </c>
      <c r="P61" s="43" t="s">
        <v>53</v>
      </c>
      <c r="Q61" s="43" t="s">
        <v>53</v>
      </c>
      <c r="R61" s="43" t="s">
        <v>53</v>
      </c>
      <c r="S61" s="39">
        <f t="shared" si="4"/>
        <v>1</v>
      </c>
      <c r="T61" s="39"/>
      <c r="U61" s="39">
        <f t="shared" si="5"/>
        <v>20</v>
      </c>
      <c r="V61" s="39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31" t="s">
        <v>123</v>
      </c>
      <c r="C62" s="46">
        <v>228.0</v>
      </c>
      <c r="D62" s="46">
        <v>5.0</v>
      </c>
      <c r="E62" s="35">
        <f t="shared" si="2"/>
        <v>10.5</v>
      </c>
      <c r="F62" s="37">
        <v>3.0</v>
      </c>
      <c r="G62" s="39">
        <v>0.0</v>
      </c>
      <c r="H62" s="40">
        <v>9.0</v>
      </c>
      <c r="I62" s="39">
        <v>0.0</v>
      </c>
      <c r="J62" s="39">
        <v>0.0</v>
      </c>
      <c r="K62" s="39">
        <v>0.0</v>
      </c>
      <c r="L62" s="42">
        <v>9.0</v>
      </c>
      <c r="M62" s="39">
        <v>0.0</v>
      </c>
      <c r="N62" s="32">
        <f t="shared" ref="N62:O62" si="64">C62+L62</f>
        <v>237</v>
      </c>
      <c r="O62" s="32">
        <f t="shared" si="64"/>
        <v>5</v>
      </c>
      <c r="P62" s="43" t="s">
        <v>53</v>
      </c>
      <c r="Q62" s="43" t="s">
        <v>53</v>
      </c>
      <c r="R62" s="43" t="s">
        <v>53</v>
      </c>
      <c r="S62" s="39">
        <f t="shared" si="4"/>
        <v>0</v>
      </c>
      <c r="T62" s="39"/>
      <c r="U62" s="39">
        <f t="shared" si="5"/>
        <v>23</v>
      </c>
      <c r="V62" s="39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51" t="s">
        <v>121</v>
      </c>
      <c r="C63" s="46">
        <v>225.0</v>
      </c>
      <c r="D63" s="46">
        <v>5.0</v>
      </c>
      <c r="E63" s="35">
        <f t="shared" si="2"/>
        <v>9</v>
      </c>
      <c r="F63" s="37">
        <v>1.0</v>
      </c>
      <c r="G63" s="39">
        <v>8.0</v>
      </c>
      <c r="H63" s="40">
        <v>0.0</v>
      </c>
      <c r="I63" s="39">
        <v>6.0</v>
      </c>
      <c r="J63" s="39">
        <v>7.0</v>
      </c>
      <c r="K63" s="39">
        <v>4.0</v>
      </c>
      <c r="L63" s="42">
        <v>17.0</v>
      </c>
      <c r="M63" s="39">
        <v>2.0</v>
      </c>
      <c r="N63" s="32">
        <f t="shared" ref="N63:O63" si="65">C63+L63</f>
        <v>242</v>
      </c>
      <c r="O63" s="32">
        <f t="shared" si="65"/>
        <v>7</v>
      </c>
      <c r="P63" s="43" t="s">
        <v>53</v>
      </c>
      <c r="Q63" s="43" t="s">
        <v>53</v>
      </c>
      <c r="R63" s="43" t="s">
        <v>53</v>
      </c>
      <c r="S63" s="39">
        <f t="shared" si="4"/>
        <v>0</v>
      </c>
      <c r="T63" s="39"/>
      <c r="U63" s="39">
        <f t="shared" si="5"/>
        <v>20</v>
      </c>
      <c r="V63" s="39">
        <f t="shared" si="6"/>
        <v>2</v>
      </c>
      <c r="W63" s="30">
        <f t="shared" si="9"/>
        <v>59</v>
      </c>
    </row>
    <row r="64">
      <c r="A64" s="30">
        <f t="shared" si="7"/>
        <v>60</v>
      </c>
      <c r="B64" s="31" t="s">
        <v>124</v>
      </c>
      <c r="C64" s="46">
        <v>225.0</v>
      </c>
      <c r="D64" s="46">
        <v>4.0</v>
      </c>
      <c r="E64" s="35">
        <f t="shared" si="2"/>
        <v>7.666666667</v>
      </c>
      <c r="F64" s="37">
        <v>3.0</v>
      </c>
      <c r="G64" s="39">
        <v>0.0</v>
      </c>
      <c r="H64" s="40">
        <v>9.0</v>
      </c>
      <c r="I64" s="39">
        <v>0.0</v>
      </c>
      <c r="J64" s="39">
        <v>0.0</v>
      </c>
      <c r="K64" s="39">
        <v>0.0</v>
      </c>
      <c r="L64" s="42">
        <v>9.0</v>
      </c>
      <c r="M64" s="39">
        <v>0.0</v>
      </c>
      <c r="N64" s="32">
        <f t="shared" ref="N64:O64" si="66">C64+L64</f>
        <v>234</v>
      </c>
      <c r="O64" s="32">
        <f t="shared" si="66"/>
        <v>4</v>
      </c>
      <c r="P64" s="43" t="s">
        <v>53</v>
      </c>
      <c r="Q64" s="43" t="s">
        <v>53</v>
      </c>
      <c r="R64" s="43" t="s">
        <v>88</v>
      </c>
      <c r="S64" s="39">
        <f t="shared" si="4"/>
        <v>1</v>
      </c>
      <c r="T64" s="39"/>
      <c r="U64" s="39">
        <f t="shared" si="5"/>
        <v>21</v>
      </c>
      <c r="V64" s="39">
        <f t="shared" si="6"/>
        <v>-1</v>
      </c>
      <c r="W64" s="30">
        <f t="shared" si="9"/>
        <v>60</v>
      </c>
    </row>
    <row r="65">
      <c r="A65" s="30">
        <f t="shared" si="7"/>
        <v>61</v>
      </c>
      <c r="B65" s="31" t="s">
        <v>125</v>
      </c>
      <c r="C65" s="46">
        <v>225.0</v>
      </c>
      <c r="D65" s="46">
        <v>3.0</v>
      </c>
      <c r="E65" s="35">
        <f t="shared" si="2"/>
        <v>9</v>
      </c>
      <c r="F65" s="37">
        <v>3.0</v>
      </c>
      <c r="G65" s="39">
        <v>0.0</v>
      </c>
      <c r="H65" s="40">
        <v>9.0</v>
      </c>
      <c r="I65" s="39">
        <v>0.0</v>
      </c>
      <c r="J65" s="39">
        <v>0.0</v>
      </c>
      <c r="K65" s="39">
        <v>0.0</v>
      </c>
      <c r="L65" s="42">
        <v>9.0</v>
      </c>
      <c r="M65" s="39">
        <v>0.0</v>
      </c>
      <c r="N65" s="32">
        <f t="shared" ref="N65:O65" si="67">C65+L65</f>
        <v>234</v>
      </c>
      <c r="O65" s="32">
        <f t="shared" si="67"/>
        <v>3</v>
      </c>
      <c r="P65" s="43" t="s">
        <v>53</v>
      </c>
      <c r="Q65" s="43" t="s">
        <v>53</v>
      </c>
      <c r="R65" s="43" t="s">
        <v>53</v>
      </c>
      <c r="S65" s="39">
        <f t="shared" si="4"/>
        <v>0</v>
      </c>
      <c r="T65" s="39"/>
      <c r="U65" s="39">
        <f t="shared" si="5"/>
        <v>24</v>
      </c>
      <c r="V65" s="39">
        <f t="shared" si="6"/>
        <v>-1</v>
      </c>
      <c r="W65" s="30">
        <f t="shared" si="9"/>
        <v>61</v>
      </c>
    </row>
    <row r="66">
      <c r="A66" s="30">
        <f t="shared" si="7"/>
        <v>62</v>
      </c>
      <c r="B66" s="31" t="s">
        <v>72</v>
      </c>
      <c r="C66" s="46">
        <v>220.0</v>
      </c>
      <c r="D66" s="46">
        <v>0.0</v>
      </c>
      <c r="E66" s="35">
        <f t="shared" si="2"/>
        <v>4.5</v>
      </c>
      <c r="F66" s="37">
        <v>3.0</v>
      </c>
      <c r="G66" s="39"/>
      <c r="H66" s="40">
        <v>9.0</v>
      </c>
      <c r="I66" s="39"/>
      <c r="J66" s="39"/>
      <c r="K66" s="39"/>
      <c r="L66" s="42">
        <v>9.0</v>
      </c>
      <c r="M66" s="39"/>
      <c r="N66" s="32">
        <f t="shared" ref="N66:O66" si="68">C66+L66</f>
        <v>229</v>
      </c>
      <c r="O66" s="32">
        <f t="shared" si="68"/>
        <v>0</v>
      </c>
      <c r="P66" s="43" t="s">
        <v>53</v>
      </c>
      <c r="Q66" s="43" t="s">
        <v>53</v>
      </c>
      <c r="R66" s="43" t="s">
        <v>88</v>
      </c>
      <c r="S66" s="39">
        <f t="shared" si="4"/>
        <v>1</v>
      </c>
      <c r="T66" s="39"/>
      <c r="U66" s="39">
        <f t="shared" si="5"/>
        <v>22</v>
      </c>
      <c r="V66" s="39"/>
      <c r="W66" s="30">
        <f t="shared" si="9"/>
        <v>62</v>
      </c>
    </row>
    <row r="67">
      <c r="A67" s="30">
        <f t="shared" si="7"/>
        <v>63</v>
      </c>
      <c r="B67" s="31" t="s">
        <v>126</v>
      </c>
      <c r="C67" s="46">
        <v>220.0</v>
      </c>
      <c r="D67" s="46">
        <v>0.0</v>
      </c>
      <c r="E67" s="35">
        <f t="shared" si="2"/>
        <v>0</v>
      </c>
      <c r="F67" s="37">
        <v>3.0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229</v>
      </c>
      <c r="O67" s="32">
        <f t="shared" si="69"/>
        <v>0</v>
      </c>
      <c r="P67" s="43" t="s">
        <v>53</v>
      </c>
      <c r="Q67" s="43" t="s">
        <v>53</v>
      </c>
      <c r="R67" s="43" t="s">
        <v>88</v>
      </c>
      <c r="S67" s="39">
        <f t="shared" si="4"/>
        <v>1</v>
      </c>
      <c r="T67" s="39"/>
      <c r="U67" s="39">
        <f t="shared" si="5"/>
        <v>23</v>
      </c>
      <c r="V67" s="39">
        <f t="shared" ref="V67:V69" si="71">VLOOKUP(B67,indirect($AB$2&amp;"!B$5:w$70"),22,false)-A67</f>
        <v>0</v>
      </c>
      <c r="W67" s="30">
        <f t="shared" si="9"/>
        <v>63</v>
      </c>
    </row>
    <row r="68">
      <c r="A68" s="30">
        <f t="shared" si="7"/>
        <v>64</v>
      </c>
      <c r="B68" s="51" t="s">
        <v>80</v>
      </c>
      <c r="C68" s="46">
        <v>208.0</v>
      </c>
      <c r="D68" s="46">
        <v>11.0</v>
      </c>
      <c r="E68" s="35">
        <f t="shared" si="2"/>
        <v>7.9375</v>
      </c>
      <c r="F68" s="37">
        <v>1.0</v>
      </c>
      <c r="G68" s="39">
        <v>8.0</v>
      </c>
      <c r="H68" s="40">
        <v>0.0</v>
      </c>
      <c r="I68" s="39">
        <v>2.0</v>
      </c>
      <c r="J68" s="39">
        <v>5.0</v>
      </c>
      <c r="K68" s="39">
        <v>4.0</v>
      </c>
      <c r="L68" s="42">
        <v>11.0</v>
      </c>
      <c r="M68" s="39">
        <v>0.0</v>
      </c>
      <c r="N68" s="32">
        <f t="shared" ref="N68:O68" si="70">C68+L68</f>
        <v>219</v>
      </c>
      <c r="O68" s="32">
        <f t="shared" si="70"/>
        <v>11</v>
      </c>
      <c r="P68" s="43" t="s">
        <v>53</v>
      </c>
      <c r="Q68" s="43" t="s">
        <v>53</v>
      </c>
      <c r="R68" s="43" t="s">
        <v>53</v>
      </c>
      <c r="S68" s="39">
        <f t="shared" si="4"/>
        <v>0</v>
      </c>
      <c r="T68" s="39"/>
      <c r="U68" s="39">
        <f t="shared" si="5"/>
        <v>9</v>
      </c>
      <c r="V68" s="39">
        <f t="shared" si="71"/>
        <v>1</v>
      </c>
      <c r="W68" s="30">
        <f t="shared" si="9"/>
        <v>64</v>
      </c>
    </row>
    <row r="69">
      <c r="A69" s="30">
        <f t="shared" si="7"/>
        <v>65</v>
      </c>
      <c r="B69" s="51" t="s">
        <v>74</v>
      </c>
      <c r="C69" s="46">
        <v>207.0</v>
      </c>
      <c r="D69" s="46">
        <v>0.0</v>
      </c>
      <c r="E69" s="35" t="str">
        <f t="shared" si="2"/>
        <v>#DIV/0!</v>
      </c>
      <c r="F69" s="37">
        <v>3.0</v>
      </c>
      <c r="G69" s="39">
        <v>0.0</v>
      </c>
      <c r="H69" s="40">
        <v>9.0</v>
      </c>
      <c r="I69" s="39">
        <v>0.0</v>
      </c>
      <c r="J69" s="39">
        <v>0.0</v>
      </c>
      <c r="K69" s="39">
        <v>0.0</v>
      </c>
      <c r="L69" s="42">
        <v>9.0</v>
      </c>
      <c r="M69" s="39">
        <v>0.0</v>
      </c>
      <c r="N69" s="32">
        <f t="shared" ref="N69:O69" si="72">C69+L69</f>
        <v>216</v>
      </c>
      <c r="O69" s="32">
        <f t="shared" si="72"/>
        <v>0</v>
      </c>
      <c r="P69" s="43" t="s">
        <v>53</v>
      </c>
      <c r="Q69" s="43" t="s">
        <v>53</v>
      </c>
      <c r="R69" s="43" t="s">
        <v>88</v>
      </c>
      <c r="S69" s="39">
        <f t="shared" si="4"/>
        <v>0</v>
      </c>
      <c r="T69" s="39"/>
      <c r="U69" s="39">
        <f t="shared" si="5"/>
        <v>25</v>
      </c>
      <c r="V69" s="39">
        <f t="shared" si="71"/>
        <v>-1</v>
      </c>
      <c r="W69" s="30">
        <f t="shared" si="9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10"/>
    </row>
    <row r="73">
      <c r="A73" s="11"/>
      <c r="C73" s="11"/>
      <c r="D73" s="11"/>
      <c r="E73" s="11"/>
      <c r="F73" s="11"/>
      <c r="P73" s="10"/>
    </row>
    <row r="74">
      <c r="A74" s="11"/>
      <c r="C74" s="11"/>
      <c r="D74" s="11"/>
      <c r="K74" s="49"/>
      <c r="L74" s="59"/>
      <c r="M74" s="60"/>
      <c r="P74" s="10"/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61" t="s">
        <v>128</v>
      </c>
      <c r="Q77" s="23"/>
      <c r="R77" s="8">
        <f>COUNTIF(R5:R69,"X")</f>
        <v>55</v>
      </c>
    </row>
    <row r="78">
      <c r="A78" s="11"/>
      <c r="B78" s="62" t="s">
        <v>129</v>
      </c>
      <c r="C78" s="62" t="s">
        <v>130</v>
      </c>
      <c r="D78" s="62" t="s">
        <v>131</v>
      </c>
      <c r="E78" s="62" t="s">
        <v>0</v>
      </c>
      <c r="K78" s="49"/>
      <c r="L78" s="59"/>
      <c r="M78" s="60"/>
      <c r="P78" s="7" t="s">
        <v>132</v>
      </c>
      <c r="Q78" s="8"/>
      <c r="R78" s="8">
        <f>countif(R5:R69,"N")</f>
        <v>10</v>
      </c>
    </row>
    <row r="79">
      <c r="A79" s="11"/>
      <c r="B79" s="51" t="str">
        <f>IFERROR(__xludf.DUMMYFUNCTION("QUERY(B5:M69,""Select B, L, M, G where L &gt;= 18 order by L desc,M desc"",0)"),"Adrian Tay")</f>
        <v>Adrian Tay</v>
      </c>
      <c r="C79" s="71">
        <f>IFERROR(__xludf.DUMMYFUNCTION("""COMPUTED_VALUE"""),20.0)</f>
        <v>20</v>
      </c>
      <c r="D79" s="71">
        <f>IFERROR(__xludf.DUMMYFUNCTION("""COMPUTED_VALUE"""),3.0)</f>
        <v>3</v>
      </c>
      <c r="E79" s="71">
        <f>IFERROR(__xludf.DUMMYFUNCTION("""COMPUTED_VALUE"""),1.0)</f>
        <v>1</v>
      </c>
      <c r="F79" s="11"/>
      <c r="L79" s="59"/>
      <c r="M79" s="60"/>
      <c r="P79" s="61" t="s">
        <v>133</v>
      </c>
      <c r="Q79" s="23"/>
      <c r="R79" s="8">
        <f>countif(R5:R69,"")</f>
        <v>0</v>
      </c>
    </row>
    <row r="80">
      <c r="A80" s="11"/>
      <c r="B80" s="51" t="str">
        <f>IFERROR(__xludf.DUMMYFUNCTION("""COMPUTED_VALUE"""),"Ted Shen")</f>
        <v>Ted Shen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71">
        <f>IFERROR(__xludf.DUMMYFUNCTION("""COMPUTED_VALUE"""),2.0)</f>
        <v>2</v>
      </c>
      <c r="F80" s="11"/>
      <c r="M80" s="65"/>
      <c r="P80" s="61" t="s">
        <v>60</v>
      </c>
      <c r="Q80" s="23"/>
      <c r="R80" s="8">
        <f>sum(R77:R79)</f>
        <v>65</v>
      </c>
    </row>
    <row r="81">
      <c r="A81" s="11"/>
      <c r="B81" s="51" t="str">
        <f>IFERROR(__xludf.DUMMYFUNCTION("""COMPUTED_VALUE"""),"Pulkit Mathur")</f>
        <v>Pulkit Mathur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71">
        <f>IFERROR(__xludf.DUMMYFUNCTION("""COMPUTED_VALUE"""),3.0)</f>
        <v>3</v>
      </c>
      <c r="F81" s="11"/>
    </row>
    <row r="82">
      <c r="A82" s="11"/>
      <c r="B82" s="51" t="str">
        <f>IFERROR(__xludf.DUMMYFUNCTION("""COMPUTED_VALUE"""),"Chinna Ponnaganti")</f>
        <v>Chinna Ponnaganti</v>
      </c>
      <c r="C82" s="71">
        <f>IFERROR(__xludf.DUMMYFUNCTION("""COMPUTED_VALUE"""),19.0)</f>
        <v>19</v>
      </c>
      <c r="D82" s="71">
        <f>IFERROR(__xludf.DUMMYFUNCTION("""COMPUTED_VALUE"""),3.0)</f>
        <v>3</v>
      </c>
      <c r="E82" s="71">
        <f>IFERROR(__xludf.DUMMYFUNCTION("""COMPUTED_VALUE"""),5.0)</f>
        <v>5</v>
      </c>
      <c r="F82" s="11"/>
      <c r="P82" s="10" t="s">
        <v>134</v>
      </c>
    </row>
    <row r="83">
      <c r="A83" s="11"/>
      <c r="B83" s="51" t="str">
        <f>IFERROR(__xludf.DUMMYFUNCTION("""COMPUTED_VALUE"""),"Mauricio Palacios")</f>
        <v>Mauricio Palacios</v>
      </c>
      <c r="C83" s="71">
        <f>IFERROR(__xludf.DUMMYFUNCTION("""COMPUTED_VALUE"""),19.0)</f>
        <v>19</v>
      </c>
      <c r="D83" s="71">
        <f>IFERROR(__xludf.DUMMYFUNCTION("""COMPUTED_VALUE"""),3.0)</f>
        <v>3</v>
      </c>
      <c r="E83" s="71">
        <f>IFERROR(__xludf.DUMMYFUNCTION("""COMPUTED_VALUE"""),6.0)</f>
        <v>6</v>
      </c>
      <c r="F83" s="11"/>
      <c r="L83" s="10"/>
    </row>
    <row r="84">
      <c r="A84" s="11"/>
      <c r="B84" s="51" t="str">
        <f>IFERROR(__xludf.DUMMYFUNCTION("""COMPUTED_VALUE"""),"Robert Chang")</f>
        <v>Robert Chang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71">
        <f>IFERROR(__xludf.DUMMYFUNCTION("""COMPUTED_VALUE"""),4.0)</f>
        <v>4</v>
      </c>
      <c r="F84" s="11"/>
      <c r="L84" s="10"/>
    </row>
    <row r="85">
      <c r="A85" s="11"/>
      <c r="B85" s="51" t="str">
        <f>IFERROR(__xludf.DUMMYFUNCTION("""COMPUTED_VALUE"""),"David Shin")</f>
        <v>David Shin</v>
      </c>
      <c r="C85" s="71">
        <f>IFERROR(__xludf.DUMMYFUNCTION("""COMPUTED_VALUE"""),18.0)</f>
        <v>18</v>
      </c>
      <c r="D85" s="71">
        <f>IFERROR(__xludf.DUMMYFUNCTION("""COMPUTED_VALUE"""),1.0)</f>
        <v>1</v>
      </c>
      <c r="E85" s="71">
        <f>IFERROR(__xludf.DUMMYFUNCTION("""COMPUTED_VALUE"""),1.0)</f>
        <v>1</v>
      </c>
      <c r="F85" s="11"/>
      <c r="L85" s="10"/>
    </row>
    <row r="86">
      <c r="A86" s="11"/>
      <c r="B86" s="51"/>
      <c r="C86" s="71"/>
      <c r="D86" s="71"/>
      <c r="E86" s="71"/>
      <c r="F86" s="11"/>
      <c r="L86" s="10"/>
    </row>
    <row r="87">
      <c r="A87" s="11"/>
      <c r="B87" s="51"/>
      <c r="C87" s="71"/>
      <c r="D87" s="71"/>
      <c r="E87" s="71"/>
      <c r="F87" s="11"/>
    </row>
    <row r="88">
      <c r="A88" s="11"/>
      <c r="B88" s="51"/>
      <c r="C88" s="71"/>
      <c r="D88" s="71"/>
      <c r="E88" s="71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10"")"),"Sandy Weyant")</f>
        <v>Sandy Weyant</v>
      </c>
      <c r="C93" s="64">
        <f>IFERROR(__xludf.DUMMYFUNCTION("""COMPUTED_VALUE"""),6.0)</f>
        <v>6</v>
      </c>
      <c r="D93" s="64">
        <f t="shared" ref="D93:D102" si="73">VLOOKUP(B93,indirect($AB$2&amp;"!B$5:w$70"),22, false)</f>
        <v>53</v>
      </c>
      <c r="E93" s="64">
        <f t="shared" ref="E93:E102" si="74">VLOOKUP(B93,B$5:W$69,22, false)</f>
        <v>47</v>
      </c>
      <c r="F93" s="64">
        <f t="shared" ref="F93:F102" si="75">VLOOKUP(B93,indirect($AB$2&amp;"!B$5:U$70"),11, false)</f>
        <v>18</v>
      </c>
      <c r="G93" s="64">
        <f t="shared" ref="G93:G102" si="76">VLOOKUP(B93,indirect($AB$2&amp;"!B$5:U$70"),6, false)</f>
        <v>8</v>
      </c>
      <c r="L93" s="64" t="str">
        <f t="shared" ref="L93:L102" si="77">if(D93-E93=C93,"ok","Error")</f>
        <v>ok</v>
      </c>
    </row>
    <row r="94">
      <c r="A94" s="11"/>
      <c r="B94" s="51" t="str">
        <f>IFERROR(__xludf.DUMMYFUNCTION("""COMPUTED_VALUE"""),"Cid Macaraeg")</f>
        <v>Cid Macaraeg</v>
      </c>
      <c r="C94" s="64">
        <f>IFERROR(__xludf.DUMMYFUNCTION("""COMPUTED_VALUE"""),4.0)</f>
        <v>4</v>
      </c>
      <c r="D94" s="64">
        <f t="shared" si="73"/>
        <v>27</v>
      </c>
      <c r="E94" s="64">
        <f t="shared" si="74"/>
        <v>23</v>
      </c>
      <c r="F94" s="64">
        <f t="shared" si="75"/>
        <v>20</v>
      </c>
      <c r="G94" s="64">
        <f t="shared" si="76"/>
        <v>5</v>
      </c>
      <c r="L94" s="64" t="str">
        <f t="shared" si="77"/>
        <v>ok</v>
      </c>
    </row>
    <row r="95">
      <c r="A95" s="11"/>
      <c r="B95" s="51" t="str">
        <f>IFERROR(__xludf.DUMMYFUNCTION("""COMPUTED_VALUE"""),"Mauricio Palacios")</f>
        <v>Mauricio Palacios</v>
      </c>
      <c r="C95" s="64">
        <f>IFERROR(__xludf.DUMMYFUNCTION("""COMPUTED_VALUE"""),4.0)</f>
        <v>4</v>
      </c>
      <c r="D95" s="64">
        <f t="shared" si="73"/>
        <v>37</v>
      </c>
      <c r="E95" s="64">
        <f t="shared" si="74"/>
        <v>33</v>
      </c>
      <c r="F95" s="64">
        <f t="shared" si="75"/>
        <v>18</v>
      </c>
      <c r="G95" s="64">
        <f t="shared" si="76"/>
        <v>6</v>
      </c>
      <c r="L95" s="64" t="str">
        <f t="shared" si="77"/>
        <v>ok</v>
      </c>
      <c r="Q95" s="70"/>
    </row>
    <row r="96">
      <c r="A96" s="11"/>
      <c r="B96" s="51" t="str">
        <f>IFERROR(__xludf.DUMMYFUNCTION("""COMPUTED_VALUE"""),"Scott Li")</f>
        <v>Scott Li</v>
      </c>
      <c r="C96" s="64">
        <f>IFERROR(__xludf.DUMMYFUNCTION("""COMPUTED_VALUE"""),3.0)</f>
        <v>3</v>
      </c>
      <c r="D96" s="64">
        <f t="shared" si="73"/>
        <v>9</v>
      </c>
      <c r="E96" s="64">
        <f t="shared" si="74"/>
        <v>6</v>
      </c>
      <c r="F96" s="64">
        <f t="shared" si="75"/>
        <v>16</v>
      </c>
      <c r="G96" s="64">
        <f t="shared" si="76"/>
        <v>2</v>
      </c>
      <c r="L96" s="64" t="str">
        <f t="shared" si="77"/>
        <v>ok</v>
      </c>
    </row>
    <row r="97">
      <c r="A97" s="11"/>
      <c r="B97" s="51" t="str">
        <f>IFERROR(__xludf.DUMMYFUNCTION("""COMPUTED_VALUE"""),"Alejandro Mejia")</f>
        <v>Alejandro Mejia</v>
      </c>
      <c r="C97" s="64">
        <f>IFERROR(__xludf.DUMMYFUNCTION("""COMPUTED_VALUE"""),3.0)</f>
        <v>3</v>
      </c>
      <c r="D97" s="64">
        <f t="shared" si="73"/>
        <v>12</v>
      </c>
      <c r="E97" s="64">
        <f t="shared" si="74"/>
        <v>9</v>
      </c>
      <c r="F97" s="64">
        <f t="shared" si="75"/>
        <v>17</v>
      </c>
      <c r="G97" s="64">
        <f t="shared" si="76"/>
        <v>2</v>
      </c>
      <c r="L97" s="64" t="str">
        <f t="shared" si="77"/>
        <v>ok</v>
      </c>
    </row>
    <row r="98">
      <c r="A98" s="11"/>
      <c r="B98" s="51" t="str">
        <f>IFERROR(__xludf.DUMMYFUNCTION("""COMPUTED_VALUE"""),"Herman Au")</f>
        <v>Herman Au</v>
      </c>
      <c r="C98" s="64">
        <f>IFERROR(__xludf.DUMMYFUNCTION("""COMPUTED_VALUE"""),3.0)</f>
        <v>3</v>
      </c>
      <c r="D98" s="64">
        <f t="shared" si="73"/>
        <v>14</v>
      </c>
      <c r="E98" s="64">
        <f t="shared" si="74"/>
        <v>11</v>
      </c>
      <c r="F98" s="64">
        <f t="shared" si="75"/>
        <v>17</v>
      </c>
      <c r="G98" s="64">
        <f t="shared" si="76"/>
        <v>3</v>
      </c>
      <c r="L98" s="64" t="str">
        <f t="shared" si="77"/>
        <v>ok</v>
      </c>
    </row>
    <row r="99">
      <c r="A99" s="11"/>
      <c r="B99" s="51" t="str">
        <f>IFERROR(__xludf.DUMMYFUNCTION("""COMPUTED_VALUE"""),"Matthew Huang")</f>
        <v>Matthew Huang</v>
      </c>
      <c r="C99" s="64">
        <f>IFERROR(__xludf.DUMMYFUNCTION("""COMPUTED_VALUE"""),3.0)</f>
        <v>3</v>
      </c>
      <c r="D99" s="64">
        <f t="shared" si="73"/>
        <v>20</v>
      </c>
      <c r="E99" s="64">
        <f t="shared" si="74"/>
        <v>17</v>
      </c>
      <c r="F99" s="64">
        <f t="shared" si="75"/>
        <v>18</v>
      </c>
      <c r="G99" s="64">
        <f t="shared" si="76"/>
        <v>4</v>
      </c>
      <c r="L99" s="64" t="str">
        <f t="shared" si="77"/>
        <v>ok</v>
      </c>
    </row>
    <row r="100">
      <c r="A100" s="11"/>
      <c r="B100" s="51" t="str">
        <f>IFERROR(__xludf.DUMMYFUNCTION("""COMPUTED_VALUE"""),"Alex Hou")</f>
        <v>Alex Hou</v>
      </c>
      <c r="C100" s="64">
        <f>IFERROR(__xludf.DUMMYFUNCTION("""COMPUTED_VALUE"""),3.0)</f>
        <v>3</v>
      </c>
      <c r="D100" s="64">
        <f t="shared" si="73"/>
        <v>23</v>
      </c>
      <c r="E100" s="64">
        <f t="shared" si="74"/>
        <v>20</v>
      </c>
      <c r="F100" s="64">
        <f t="shared" si="75"/>
        <v>16</v>
      </c>
      <c r="G100" s="64">
        <f t="shared" si="76"/>
        <v>4</v>
      </c>
      <c r="L100" s="64" t="str">
        <f t="shared" si="77"/>
        <v>ok</v>
      </c>
    </row>
    <row r="101">
      <c r="A101" s="11"/>
      <c r="B101" s="51" t="str">
        <f>IFERROR(__xludf.DUMMYFUNCTION("""COMPUTED_VALUE"""),"Troy Wong")</f>
        <v>Troy Wong</v>
      </c>
      <c r="C101" s="64">
        <f>IFERROR(__xludf.DUMMYFUNCTION("""COMPUTED_VALUE"""),3.0)</f>
        <v>3</v>
      </c>
      <c r="D101" s="64">
        <f t="shared" si="73"/>
        <v>25</v>
      </c>
      <c r="E101" s="64">
        <f t="shared" si="74"/>
        <v>22</v>
      </c>
      <c r="F101" s="64">
        <f t="shared" si="75"/>
        <v>20</v>
      </c>
      <c r="G101" s="64">
        <f t="shared" si="76"/>
        <v>4</v>
      </c>
      <c r="L101" s="64" t="str">
        <f t="shared" si="77"/>
        <v>ok</v>
      </c>
    </row>
    <row r="102">
      <c r="A102" s="11"/>
      <c r="B102" s="51" t="str">
        <f>IFERROR(__xludf.DUMMYFUNCTION("""COMPUTED_VALUE"""),"Wayne Liu")</f>
        <v>Wayne Liu</v>
      </c>
      <c r="C102" s="64">
        <f>IFERROR(__xludf.DUMMYFUNCTION("""COMPUTED_VALUE"""),3.0)</f>
        <v>3</v>
      </c>
      <c r="D102" s="64">
        <f t="shared" si="73"/>
        <v>42</v>
      </c>
      <c r="E102" s="64">
        <f t="shared" si="74"/>
        <v>39</v>
      </c>
      <c r="F102" s="64">
        <f t="shared" si="75"/>
        <v>14</v>
      </c>
      <c r="G102" s="64">
        <f t="shared" si="76"/>
        <v>7</v>
      </c>
      <c r="L102" s="64" t="str">
        <f t="shared" si="77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10"")"),"Peter Homsey")</f>
        <v>Peter Homsey</v>
      </c>
      <c r="C106" s="64"/>
      <c r="D106" s="64">
        <f t="shared" ref="D106:D115" si="78">VLOOKUP(B106,indirect($AB$2&amp;"!B$5:w$70"),22, false)</f>
        <v>62</v>
      </c>
      <c r="E106" s="64">
        <f t="shared" ref="E106:E115" si="79">VLOOKUP(B106,B$5:W$69,22, false)</f>
        <v>62</v>
      </c>
      <c r="F106" s="64">
        <f t="shared" ref="F106:F115" si="80">VLOOKUP(B106,indirect($AB$2&amp;"!B$5:U$70"),11, false)</f>
        <v>9</v>
      </c>
      <c r="G106" s="64" t="str">
        <f t="shared" ref="G106:G115" si="81">VLOOKUP(B106,indirect($AB$2&amp;"!B$5:U$70"),6, false)</f>
        <v/>
      </c>
      <c r="L106" s="64" t="str">
        <f t="shared" ref="L106:L115" si="82">if(D106-E106=C106,"ok","Error")</f>
        <v>ok</v>
      </c>
    </row>
    <row r="107">
      <c r="A107" s="11"/>
      <c r="B107" s="51" t="str">
        <f>IFERROR(__xludf.DUMMYFUNCTION("""COMPUTED_VALUE"""),"Pavan Akkimsetty")</f>
        <v>Pavan Akkimsetty</v>
      </c>
      <c r="C107" s="64">
        <f>IFERROR(__xludf.DUMMYFUNCTION("""COMPUTED_VALUE"""),-4.0)</f>
        <v>-4</v>
      </c>
      <c r="D107" s="64">
        <f t="shared" si="78"/>
        <v>8</v>
      </c>
      <c r="E107" s="64">
        <f t="shared" si="79"/>
        <v>12</v>
      </c>
      <c r="F107" s="64">
        <f t="shared" si="80"/>
        <v>11</v>
      </c>
      <c r="G107" s="64">
        <f t="shared" si="81"/>
        <v>2</v>
      </c>
      <c r="L107" s="64" t="str">
        <f t="shared" si="82"/>
        <v>ok</v>
      </c>
    </row>
    <row r="108">
      <c r="A108" s="11"/>
      <c r="B108" s="51" t="str">
        <f>IFERROR(__xludf.DUMMYFUNCTION("""COMPUTED_VALUE"""),"Joe Luzzi")</f>
        <v>Joe Luzzi</v>
      </c>
      <c r="C108" s="64">
        <f>IFERROR(__xludf.DUMMYFUNCTION("""COMPUTED_VALUE"""),-4.0)</f>
        <v>-4</v>
      </c>
      <c r="D108" s="64">
        <f t="shared" si="78"/>
        <v>10</v>
      </c>
      <c r="E108" s="64">
        <f t="shared" si="79"/>
        <v>14</v>
      </c>
      <c r="F108" s="64">
        <f t="shared" si="80"/>
        <v>9</v>
      </c>
      <c r="G108" s="64">
        <f t="shared" si="81"/>
        <v>0</v>
      </c>
      <c r="L108" s="64" t="str">
        <f t="shared" si="82"/>
        <v>ok</v>
      </c>
    </row>
    <row r="109">
      <c r="A109" s="11"/>
      <c r="B109" s="51" t="str">
        <f>IFERROR(__xludf.DUMMYFUNCTION("""COMPUTED_VALUE"""),"Sean Chang")</f>
        <v>Sean Chang</v>
      </c>
      <c r="C109" s="64">
        <f>IFERROR(__xludf.DUMMYFUNCTION("""COMPUTED_VALUE"""),-4.0)</f>
        <v>-4</v>
      </c>
      <c r="D109" s="64">
        <f t="shared" si="78"/>
        <v>21</v>
      </c>
      <c r="E109" s="64">
        <f t="shared" si="79"/>
        <v>25</v>
      </c>
      <c r="F109" s="64">
        <f t="shared" si="80"/>
        <v>9</v>
      </c>
      <c r="G109" s="64">
        <f t="shared" si="81"/>
        <v>0</v>
      </c>
      <c r="L109" s="64" t="str">
        <f t="shared" si="82"/>
        <v>ok</v>
      </c>
    </row>
    <row r="110">
      <c r="A110" s="11"/>
      <c r="B110" s="51" t="str">
        <f>IFERROR(__xludf.DUMMYFUNCTION("""COMPUTED_VALUE"""),"Luis Hsu")</f>
        <v>Luis Hsu</v>
      </c>
      <c r="C110" s="64">
        <f>IFERROR(__xludf.DUMMYFUNCTION("""COMPUTED_VALUE"""),-4.0)</f>
        <v>-4</v>
      </c>
      <c r="D110" s="64">
        <f t="shared" si="78"/>
        <v>22</v>
      </c>
      <c r="E110" s="64">
        <f t="shared" si="79"/>
        <v>26</v>
      </c>
      <c r="F110" s="64">
        <f t="shared" si="80"/>
        <v>9</v>
      </c>
      <c r="G110" s="64">
        <f t="shared" si="81"/>
        <v>0</v>
      </c>
      <c r="L110" s="64" t="str">
        <f t="shared" si="82"/>
        <v>ok</v>
      </c>
    </row>
    <row r="111">
      <c r="A111" s="11"/>
      <c r="B111" s="51" t="str">
        <f>IFERROR(__xludf.DUMMYFUNCTION("""COMPUTED_VALUE"""),"Suleman Alidina")</f>
        <v>Suleman Alidina</v>
      </c>
      <c r="C111" s="64">
        <f>IFERROR(__xludf.DUMMYFUNCTION("""COMPUTED_VALUE"""),-3.0)</f>
        <v>-3</v>
      </c>
      <c r="D111" s="64">
        <f t="shared" si="78"/>
        <v>4</v>
      </c>
      <c r="E111" s="64">
        <f t="shared" si="79"/>
        <v>7</v>
      </c>
      <c r="F111" s="64">
        <f t="shared" si="80"/>
        <v>9</v>
      </c>
      <c r="G111" s="64">
        <f t="shared" si="81"/>
        <v>0</v>
      </c>
      <c r="L111" s="64" t="str">
        <f t="shared" si="82"/>
        <v>ok</v>
      </c>
    </row>
    <row r="112">
      <c r="A112" s="11"/>
      <c r="B112" s="51" t="str">
        <f>IFERROR(__xludf.DUMMYFUNCTION("""COMPUTED_VALUE"""),"James Phan")</f>
        <v>James Phan</v>
      </c>
      <c r="C112" s="64">
        <f>IFERROR(__xludf.DUMMYFUNCTION("""COMPUTED_VALUE"""),-3.0)</f>
        <v>-3</v>
      </c>
      <c r="D112" s="64">
        <f t="shared" si="78"/>
        <v>5</v>
      </c>
      <c r="E112" s="64">
        <f t="shared" si="79"/>
        <v>8</v>
      </c>
      <c r="F112" s="64">
        <f t="shared" si="80"/>
        <v>9</v>
      </c>
      <c r="G112" s="64">
        <f t="shared" si="81"/>
        <v>0</v>
      </c>
      <c r="L112" s="64" t="str">
        <f t="shared" si="82"/>
        <v>ok</v>
      </c>
    </row>
    <row r="113">
      <c r="A113" s="11"/>
      <c r="B113" s="51" t="str">
        <f>IFERROR(__xludf.DUMMYFUNCTION("""COMPUTED_VALUE"""),"Christopher Li")</f>
        <v>Christopher Li</v>
      </c>
      <c r="C113" s="64">
        <f>IFERROR(__xludf.DUMMYFUNCTION("""COMPUTED_VALUE"""),-3.0)</f>
        <v>-3</v>
      </c>
      <c r="D113" s="64">
        <f t="shared" si="78"/>
        <v>16</v>
      </c>
      <c r="E113" s="64">
        <f t="shared" si="79"/>
        <v>19</v>
      </c>
      <c r="F113" s="64">
        <f t="shared" si="80"/>
        <v>9</v>
      </c>
      <c r="G113" s="64">
        <f t="shared" si="81"/>
        <v>0</v>
      </c>
      <c r="L113" s="64" t="str">
        <f t="shared" si="82"/>
        <v>ok</v>
      </c>
    </row>
    <row r="114">
      <c r="A114" s="11"/>
      <c r="B114" s="51" t="str">
        <f>IFERROR(__xludf.DUMMYFUNCTION("""COMPUTED_VALUE"""),"Sanjaye Elayattu")</f>
        <v>Sanjaye Elayattu</v>
      </c>
      <c r="C114" s="64">
        <f>IFERROR(__xludf.DUMMYFUNCTION("""COMPUTED_VALUE"""),-3.0)</f>
        <v>-3</v>
      </c>
      <c r="D114" s="64">
        <f t="shared" si="78"/>
        <v>24</v>
      </c>
      <c r="E114" s="64">
        <f t="shared" si="79"/>
        <v>27</v>
      </c>
      <c r="F114" s="64">
        <f t="shared" si="80"/>
        <v>9</v>
      </c>
      <c r="G114" s="64">
        <f t="shared" si="81"/>
        <v>0</v>
      </c>
      <c r="L114" s="64" t="str">
        <f t="shared" si="82"/>
        <v>ok</v>
      </c>
    </row>
    <row r="115">
      <c r="A115" s="11"/>
      <c r="B115" s="51" t="str">
        <f>IFERROR(__xludf.DUMMYFUNCTION("""COMPUTED_VALUE"""),"Arun Mallikarjuna")</f>
        <v>Arun Mallikarjuna</v>
      </c>
      <c r="C115" s="64">
        <f>IFERROR(__xludf.DUMMYFUNCTION("""COMPUTED_VALUE"""),-2.0)</f>
        <v>-2</v>
      </c>
      <c r="D115" s="64">
        <f t="shared" si="78"/>
        <v>13</v>
      </c>
      <c r="E115" s="64">
        <f t="shared" si="79"/>
        <v>15</v>
      </c>
      <c r="F115" s="64">
        <f t="shared" si="80"/>
        <v>9</v>
      </c>
      <c r="G115" s="64">
        <f t="shared" si="81"/>
        <v>0</v>
      </c>
      <c r="L115" s="64" t="str">
        <f t="shared" si="82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72" t="s">
        <v>144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3"/>
    </row>
    <row r="122">
      <c r="A122" s="53"/>
      <c r="B122" s="62" t="s">
        <v>145</v>
      </c>
      <c r="C122" s="73" t="s">
        <v>146</v>
      </c>
      <c r="D122" s="22"/>
      <c r="E122" s="23"/>
      <c r="F122" s="73" t="s">
        <v>147</v>
      </c>
      <c r="G122" s="22"/>
      <c r="H122" s="23"/>
      <c r="I122" s="74" t="s">
        <v>148</v>
      </c>
      <c r="J122" s="22"/>
      <c r="K122" s="22"/>
      <c r="L122" s="22"/>
      <c r="M122" s="23"/>
    </row>
    <row r="123">
      <c r="A123" s="75">
        <v>1.0</v>
      </c>
      <c r="B123" s="51" t="str">
        <f>IFERROR(__xludf.DUMMYFUNCTION("query(B5:V69,""select B where R = 'X' order by B asc"")"),"Adrian Tay")</f>
        <v>Adrian Tay</v>
      </c>
      <c r="C123" s="76" t="str">
        <f>IFERROR(__xludf.DUMMYFUNCTION("query(B5:V69,""select B where R = '' order by B asc"")"),"#N/A")</f>
        <v>#N/A</v>
      </c>
      <c r="D123" s="22"/>
      <c r="E123" s="23"/>
      <c r="F123" s="76" t="str">
        <f>IFERROR(__xludf.DUMMYFUNCTION("query(B5:V69,""select B where R = 'N' order by B asc"")"),"Amit Patel")</f>
        <v>Amit Patel</v>
      </c>
      <c r="G123" s="22"/>
      <c r="H123" s="23"/>
      <c r="I123" s="76" t="s">
        <v>149</v>
      </c>
      <c r="J123" s="22"/>
      <c r="K123" s="22"/>
      <c r="L123" s="22"/>
      <c r="M123" s="23"/>
    </row>
    <row r="124">
      <c r="A124" s="75">
        <f t="shared" ref="A124:A182" si="83">A123+1</f>
        <v>2</v>
      </c>
      <c r="B124" s="51" t="str">
        <f>IFERROR(__xludf.DUMMYFUNCTION("""COMPUTED_VALUE"""),"Alejandro Mejia")</f>
        <v>Alejandro Mejia</v>
      </c>
      <c r="C124" s="76"/>
      <c r="D124" s="22"/>
      <c r="E124" s="23"/>
      <c r="F124" s="76" t="str">
        <f>IFERROR(__xludf.DUMMYFUNCTION("""COMPUTED_VALUE"""),"Arun Mallikarjuna")</f>
        <v>Arun Mallikarjuna</v>
      </c>
      <c r="G124" s="22"/>
      <c r="H124" s="23"/>
      <c r="I124" s="76" t="s">
        <v>150</v>
      </c>
      <c r="J124" s="22"/>
      <c r="K124" s="22"/>
      <c r="L124" s="22"/>
      <c r="M124" s="23"/>
    </row>
    <row r="125">
      <c r="A125" s="75">
        <f t="shared" si="83"/>
        <v>3</v>
      </c>
      <c r="B125" s="51" t="str">
        <f>IFERROR(__xludf.DUMMYFUNCTION("""COMPUTED_VALUE"""),"Alex Hou")</f>
        <v>Alex Hou</v>
      </c>
      <c r="C125" s="76"/>
      <c r="D125" s="22"/>
      <c r="E125" s="23"/>
      <c r="F125" s="76" t="str">
        <f>IFERROR(__xludf.DUMMYFUNCTION("""COMPUTED_VALUE"""),"Christopher Li")</f>
        <v>Christopher Li</v>
      </c>
      <c r="G125" s="22"/>
      <c r="H125" s="23"/>
      <c r="I125" s="76" t="s">
        <v>151</v>
      </c>
      <c r="J125" s="22"/>
      <c r="K125" s="22"/>
      <c r="L125" s="22"/>
      <c r="M125" s="23"/>
    </row>
    <row r="126">
      <c r="A126" s="75">
        <f t="shared" si="83"/>
        <v>4</v>
      </c>
      <c r="B126" s="51" t="str">
        <f>IFERROR(__xludf.DUMMYFUNCTION("""COMPUTED_VALUE"""),"Andrew Wen")</f>
        <v>Andrew Wen</v>
      </c>
      <c r="C126" s="76"/>
      <c r="D126" s="22"/>
      <c r="E126" s="23"/>
      <c r="F126" s="76" t="str">
        <f>IFERROR(__xludf.DUMMYFUNCTION("""COMPUTED_VALUE"""),"Jose Ortiz")</f>
        <v>Jose Ortiz</v>
      </c>
      <c r="G126" s="22"/>
      <c r="H126" s="23"/>
      <c r="I126" s="76" t="s">
        <v>152</v>
      </c>
      <c r="J126" s="22"/>
      <c r="K126" s="22"/>
      <c r="L126" s="22"/>
      <c r="M126" s="23"/>
    </row>
    <row r="127">
      <c r="A127" s="75">
        <f t="shared" si="83"/>
        <v>5</v>
      </c>
      <c r="B127" s="51" t="str">
        <f>IFERROR(__xludf.DUMMYFUNCTION("""COMPUTED_VALUE"""),"Balaji Alahari")</f>
        <v>Balaji Alahari</v>
      </c>
      <c r="C127" s="76"/>
      <c r="D127" s="22"/>
      <c r="E127" s="23"/>
      <c r="F127" s="76" t="str">
        <f>IFERROR(__xludf.DUMMYFUNCTION("""COMPUTED_VALUE"""),"Nohely Mejia")</f>
        <v>Nohely Mejia</v>
      </c>
      <c r="G127" s="22"/>
      <c r="H127" s="23"/>
      <c r="I127" s="76" t="s">
        <v>153</v>
      </c>
      <c r="J127" s="22"/>
      <c r="K127" s="22"/>
      <c r="L127" s="22"/>
      <c r="M127" s="23"/>
    </row>
    <row r="128">
      <c r="A128" s="75">
        <f t="shared" si="83"/>
        <v>6</v>
      </c>
      <c r="B128" s="51" t="str">
        <f>IFERROR(__xludf.DUMMYFUNCTION("""COMPUTED_VALUE"""),"Chinna Ponnaganti")</f>
        <v>Chinna Ponnaganti</v>
      </c>
      <c r="C128" s="76"/>
      <c r="D128" s="22"/>
      <c r="E128" s="23"/>
      <c r="F128" s="76" t="str">
        <f>IFERROR(__xludf.DUMMYFUNCTION("""COMPUTED_VALUE"""),"Peter Cheng")</f>
        <v>Peter Cheng</v>
      </c>
      <c r="G128" s="22"/>
      <c r="H128" s="23"/>
      <c r="I128" s="76" t="s">
        <v>154</v>
      </c>
      <c r="J128" s="22"/>
      <c r="K128" s="22"/>
      <c r="L128" s="22"/>
      <c r="M128" s="23"/>
    </row>
    <row r="129">
      <c r="A129" s="75">
        <f t="shared" si="83"/>
        <v>7</v>
      </c>
      <c r="B129" s="51" t="str">
        <f>IFERROR(__xludf.DUMMYFUNCTION("""COMPUTED_VALUE"""),"Cid Macaraeg")</f>
        <v>Cid Macaraeg</v>
      </c>
      <c r="C129" s="76"/>
      <c r="D129" s="22"/>
      <c r="E129" s="23"/>
      <c r="F129" s="76" t="str">
        <f>IFERROR(__xludf.DUMMYFUNCTION("""COMPUTED_VALUE"""),"Peter Homsey")</f>
        <v>Peter Homsey</v>
      </c>
      <c r="G129" s="22"/>
      <c r="H129" s="23"/>
      <c r="I129" s="76" t="s">
        <v>155</v>
      </c>
      <c r="J129" s="22"/>
      <c r="K129" s="22"/>
      <c r="L129" s="22"/>
      <c r="M129" s="23"/>
    </row>
    <row r="130">
      <c r="A130" s="75">
        <f t="shared" si="83"/>
        <v>8</v>
      </c>
      <c r="B130" s="51" t="str">
        <f>IFERROR(__xludf.DUMMYFUNCTION("""COMPUTED_VALUE"""),"Coco Yan")</f>
        <v>Coco Yan</v>
      </c>
      <c r="C130" s="76"/>
      <c r="D130" s="22"/>
      <c r="E130" s="23"/>
      <c r="F130" s="76" t="str">
        <f>IFERROR(__xludf.DUMMYFUNCTION("""COMPUTED_VALUE"""),"Sai Dilip Ponnaganti")</f>
        <v>Sai Dilip Ponnaganti</v>
      </c>
      <c r="G130" s="22"/>
      <c r="H130" s="23"/>
      <c r="I130" s="76" t="s">
        <v>156</v>
      </c>
      <c r="J130" s="22"/>
      <c r="K130" s="22"/>
      <c r="L130" s="22"/>
      <c r="M130" s="23"/>
    </row>
    <row r="131">
      <c r="A131" s="75">
        <f t="shared" si="83"/>
        <v>9</v>
      </c>
      <c r="B131" s="51" t="str">
        <f>IFERROR(__xludf.DUMMYFUNCTION("""COMPUTED_VALUE"""),"David Shin")</f>
        <v>David Shin</v>
      </c>
      <c r="C131" s="76"/>
      <c r="D131" s="22"/>
      <c r="E131" s="23"/>
      <c r="F131" s="76" t="str">
        <f>IFERROR(__xludf.DUMMYFUNCTION("""COMPUTED_VALUE"""),"Tony Lin")</f>
        <v>Tony Lin</v>
      </c>
      <c r="G131" s="22"/>
      <c r="H131" s="23"/>
      <c r="I131" s="76" t="s">
        <v>157</v>
      </c>
      <c r="J131" s="22"/>
      <c r="K131" s="22"/>
      <c r="L131" s="22"/>
      <c r="M131" s="23"/>
    </row>
    <row r="132">
      <c r="A132" s="75">
        <f t="shared" si="83"/>
        <v>10</v>
      </c>
      <c r="B132" s="51" t="str">
        <f>IFERROR(__xludf.DUMMYFUNCTION("""COMPUTED_VALUE"""),"Elayaraja Thangaraj ")</f>
        <v>Elayaraja Thangaraj </v>
      </c>
      <c r="C132" s="76"/>
      <c r="D132" s="22"/>
      <c r="E132" s="23"/>
      <c r="F132" s="76" t="str">
        <f>IFERROR(__xludf.DUMMYFUNCTION("""COMPUTED_VALUE"""),"Vinz Solano")</f>
        <v>Vinz Solano</v>
      </c>
      <c r="G132" s="22"/>
      <c r="H132" s="23"/>
      <c r="I132" s="76" t="s">
        <v>158</v>
      </c>
      <c r="J132" s="22"/>
      <c r="K132" s="22"/>
      <c r="L132" s="22"/>
      <c r="M132" s="23"/>
    </row>
    <row r="133">
      <c r="A133" s="75">
        <f t="shared" si="83"/>
        <v>11</v>
      </c>
      <c r="B133" s="51" t="str">
        <f>IFERROR(__xludf.DUMMYFUNCTION("""COMPUTED_VALUE"""),"Eric Pan")</f>
        <v>Eric Pan</v>
      </c>
      <c r="C133" s="76"/>
      <c r="D133" s="22"/>
      <c r="E133" s="23"/>
      <c r="F133" s="76"/>
      <c r="G133" s="22"/>
      <c r="H133" s="23"/>
      <c r="I133" s="76"/>
      <c r="J133" s="22"/>
      <c r="K133" s="22"/>
      <c r="L133" s="22"/>
      <c r="M133" s="23"/>
    </row>
    <row r="134">
      <c r="A134" s="75">
        <f t="shared" si="83"/>
        <v>12</v>
      </c>
      <c r="B134" s="51" t="str">
        <f>IFERROR(__xludf.DUMMYFUNCTION("""COMPUTED_VALUE"""),"Eric Tan")</f>
        <v>Eric Tan</v>
      </c>
      <c r="C134" s="76"/>
      <c r="D134" s="22"/>
      <c r="E134" s="23"/>
      <c r="F134" s="76"/>
      <c r="G134" s="22"/>
      <c r="H134" s="23"/>
      <c r="I134" s="76"/>
      <c r="J134" s="22"/>
      <c r="K134" s="22"/>
      <c r="L134" s="22"/>
      <c r="M134" s="23"/>
    </row>
    <row r="135">
      <c r="A135" s="75">
        <f t="shared" si="83"/>
        <v>13</v>
      </c>
      <c r="B135" s="51" t="str">
        <f>IFERROR(__xludf.DUMMYFUNCTION("""COMPUTED_VALUE"""),"Erik Hoeckmann")</f>
        <v>Erik Hoeckmann</v>
      </c>
      <c r="C135" s="76"/>
      <c r="D135" s="22"/>
      <c r="E135" s="23"/>
      <c r="F135" s="76"/>
      <c r="G135" s="22"/>
      <c r="H135" s="23"/>
      <c r="I135" s="76"/>
      <c r="J135" s="22"/>
      <c r="K135" s="22"/>
      <c r="L135" s="22"/>
      <c r="M135" s="23"/>
    </row>
    <row r="136">
      <c r="A136" s="75">
        <f t="shared" si="83"/>
        <v>14</v>
      </c>
      <c r="B136" s="51" t="str">
        <f>IFERROR(__xludf.DUMMYFUNCTION("""COMPUTED_VALUE"""),"Frank Moon")</f>
        <v>Frank Moon</v>
      </c>
      <c r="C136" s="76"/>
      <c r="D136" s="22"/>
      <c r="E136" s="23"/>
      <c r="F136" s="76"/>
      <c r="G136" s="22"/>
      <c r="H136" s="23"/>
      <c r="I136" s="76"/>
      <c r="J136" s="22"/>
      <c r="K136" s="22"/>
      <c r="L136" s="22"/>
      <c r="M136" s="23"/>
    </row>
    <row r="137">
      <c r="A137" s="75">
        <f t="shared" si="83"/>
        <v>15</v>
      </c>
      <c r="B137" s="51" t="str">
        <f>IFERROR(__xludf.DUMMYFUNCTION("""COMPUTED_VALUE"""),"Herman Au")</f>
        <v>Herman Au</v>
      </c>
      <c r="C137" s="76"/>
      <c r="D137" s="22"/>
      <c r="E137" s="23"/>
      <c r="F137" s="76"/>
      <c r="G137" s="22"/>
      <c r="H137" s="23"/>
      <c r="I137" s="76"/>
      <c r="J137" s="22"/>
      <c r="K137" s="22"/>
      <c r="L137" s="22"/>
      <c r="M137" s="23"/>
    </row>
    <row r="138">
      <c r="A138" s="75">
        <f t="shared" si="83"/>
        <v>16</v>
      </c>
      <c r="B138" s="51" t="str">
        <f>IFERROR(__xludf.DUMMYFUNCTION("""COMPUTED_VALUE"""),"James Phan")</f>
        <v>James Phan</v>
      </c>
      <c r="C138" s="76"/>
      <c r="D138" s="22"/>
      <c r="E138" s="23"/>
      <c r="F138" s="76"/>
      <c r="G138" s="22"/>
      <c r="H138" s="23"/>
    </row>
    <row r="139">
      <c r="A139" s="75">
        <f t="shared" si="83"/>
        <v>17</v>
      </c>
      <c r="B139" s="51" t="str">
        <f>IFERROR(__xludf.DUMMYFUNCTION("""COMPUTED_VALUE"""),"Jim Miao")</f>
        <v>Jim Miao</v>
      </c>
      <c r="C139" s="76"/>
      <c r="D139" s="22"/>
      <c r="E139" s="23"/>
      <c r="F139" s="76"/>
      <c r="G139" s="22"/>
      <c r="H139" s="23"/>
    </row>
    <row r="140">
      <c r="A140" s="75">
        <f t="shared" si="83"/>
        <v>18</v>
      </c>
      <c r="B140" s="51" t="str">
        <f>IFERROR(__xludf.DUMMYFUNCTION("""COMPUTED_VALUE"""),"Jimmy Awolesi")</f>
        <v>Jimmy Awolesi</v>
      </c>
      <c r="C140" s="76"/>
      <c r="D140" s="22"/>
      <c r="E140" s="23"/>
      <c r="F140" s="76"/>
      <c r="G140" s="22"/>
      <c r="H140" s="23"/>
    </row>
    <row r="141">
      <c r="A141" s="75">
        <f t="shared" si="83"/>
        <v>19</v>
      </c>
      <c r="B141" s="51" t="str">
        <f>IFERROR(__xludf.DUMMYFUNCTION("""COMPUTED_VALUE"""),"Joe Luzzi")</f>
        <v>Joe Luzzi</v>
      </c>
      <c r="C141" s="76"/>
      <c r="D141" s="22"/>
      <c r="E141" s="23"/>
      <c r="F141" s="76"/>
      <c r="G141" s="22"/>
      <c r="H141" s="23"/>
    </row>
    <row r="142">
      <c r="A142" s="75">
        <f t="shared" si="83"/>
        <v>20</v>
      </c>
      <c r="B142" s="51" t="str">
        <f>IFERROR(__xludf.DUMMYFUNCTION("""COMPUTED_VALUE"""),"Jonathan Phan")</f>
        <v>Jonathan Phan</v>
      </c>
      <c r="C142" s="76"/>
      <c r="D142" s="22"/>
      <c r="E142" s="23"/>
      <c r="F142" s="76"/>
      <c r="G142" s="22"/>
      <c r="H142" s="23"/>
    </row>
    <row r="143">
      <c r="A143" s="75">
        <f t="shared" si="83"/>
        <v>21</v>
      </c>
      <c r="B143" s="51" t="str">
        <f>IFERROR(__xludf.DUMMYFUNCTION("""COMPUTED_VALUE"""),"Joyce Zhu")</f>
        <v>Joyce Zhu</v>
      </c>
      <c r="C143" s="76"/>
      <c r="D143" s="22"/>
      <c r="E143" s="23"/>
      <c r="F143" s="76"/>
      <c r="G143" s="22"/>
      <c r="H143" s="23"/>
    </row>
    <row r="144">
      <c r="A144" s="75">
        <f t="shared" si="83"/>
        <v>22</v>
      </c>
      <c r="B144" s="51" t="str">
        <f>IFERROR(__xludf.DUMMYFUNCTION("""COMPUTED_VALUE"""),"Kumar Palakeel")</f>
        <v>Kumar Palakeel</v>
      </c>
      <c r="C144" s="76"/>
      <c r="D144" s="22"/>
      <c r="E144" s="23"/>
      <c r="F144" s="76"/>
      <c r="G144" s="22"/>
      <c r="H144" s="23"/>
    </row>
    <row r="145">
      <c r="A145" s="75">
        <f t="shared" si="83"/>
        <v>23</v>
      </c>
      <c r="B145" s="51" t="str">
        <f>IFERROR(__xludf.DUMMYFUNCTION("""COMPUTED_VALUE"""),"Lam Bui")</f>
        <v>Lam Bui</v>
      </c>
      <c r="C145" s="76"/>
      <c r="D145" s="22"/>
      <c r="E145" s="23"/>
      <c r="F145" s="76"/>
      <c r="G145" s="22"/>
      <c r="H145" s="23"/>
    </row>
    <row r="146">
      <c r="A146" s="75">
        <f t="shared" si="83"/>
        <v>24</v>
      </c>
      <c r="B146" s="51" t="str">
        <f>IFERROR(__xludf.DUMMYFUNCTION("""COMPUTED_VALUE"""),"Leigh-Anh Nguyen")</f>
        <v>Leigh-Anh Nguyen</v>
      </c>
      <c r="C146" s="76"/>
      <c r="D146" s="22"/>
      <c r="E146" s="23"/>
      <c r="F146" s="76"/>
      <c r="G146" s="22"/>
      <c r="H146" s="23"/>
    </row>
    <row r="147">
      <c r="A147" s="75">
        <f t="shared" si="83"/>
        <v>25</v>
      </c>
      <c r="B147" s="51" t="str">
        <f>IFERROR(__xludf.DUMMYFUNCTION("""COMPUTED_VALUE"""),"Lloyd Sagar")</f>
        <v>Lloyd Sagar</v>
      </c>
      <c r="C147" s="76"/>
      <c r="D147" s="22"/>
      <c r="E147" s="23"/>
      <c r="F147" s="76"/>
      <c r="G147" s="22"/>
      <c r="H147" s="23"/>
    </row>
    <row r="148">
      <c r="A148" s="75">
        <f t="shared" si="83"/>
        <v>26</v>
      </c>
      <c r="B148" s="51" t="str">
        <f>IFERROR(__xludf.DUMMYFUNCTION("""COMPUTED_VALUE"""),"Luis Hsu")</f>
        <v>Luis Hsu</v>
      </c>
      <c r="C148" s="76"/>
      <c r="D148" s="22"/>
      <c r="E148" s="23"/>
      <c r="F148" s="76"/>
      <c r="G148" s="22"/>
      <c r="H148" s="23"/>
    </row>
    <row r="149">
      <c r="A149" s="75">
        <f t="shared" si="83"/>
        <v>27</v>
      </c>
      <c r="B149" s="51" t="str">
        <f>IFERROR(__xludf.DUMMYFUNCTION("""COMPUTED_VALUE"""),"Manish Anand")</f>
        <v>Manish Anand</v>
      </c>
      <c r="C149" s="76"/>
      <c r="D149" s="22"/>
      <c r="E149" s="23"/>
      <c r="F149" s="76"/>
      <c r="G149" s="22"/>
      <c r="H149" s="23"/>
    </row>
    <row r="150">
      <c r="A150" s="75">
        <f t="shared" si="83"/>
        <v>28</v>
      </c>
      <c r="B150" s="51" t="str">
        <f>IFERROR(__xludf.DUMMYFUNCTION("""COMPUTED_VALUE"""),"Manuel Rivera")</f>
        <v>Manuel Rivera</v>
      </c>
      <c r="C150" s="76"/>
      <c r="D150" s="22"/>
      <c r="E150" s="23"/>
      <c r="F150" s="76"/>
      <c r="G150" s="22"/>
      <c r="H150" s="23"/>
    </row>
    <row r="151">
      <c r="A151" s="75">
        <f t="shared" si="83"/>
        <v>29</v>
      </c>
      <c r="B151" s="51" t="str">
        <f>IFERROR(__xludf.DUMMYFUNCTION("""COMPUTED_VALUE"""),"Matthew Huang")</f>
        <v>Matthew Huang</v>
      </c>
      <c r="C151" s="76"/>
      <c r="D151" s="22"/>
      <c r="E151" s="23"/>
      <c r="F151" s="76"/>
      <c r="G151" s="22"/>
      <c r="H151" s="23"/>
    </row>
    <row r="152">
      <c r="A152" s="75">
        <f t="shared" si="83"/>
        <v>30</v>
      </c>
      <c r="B152" s="51" t="str">
        <f>IFERROR(__xludf.DUMMYFUNCTION("""COMPUTED_VALUE"""),"Mauricio Palacios")</f>
        <v>Mauricio Palacios</v>
      </c>
      <c r="C152" s="76"/>
      <c r="D152" s="22"/>
      <c r="E152" s="23"/>
      <c r="F152" s="76"/>
      <c r="G152" s="22"/>
      <c r="H152" s="23"/>
    </row>
    <row r="153">
      <c r="A153" s="75">
        <f t="shared" si="83"/>
        <v>31</v>
      </c>
      <c r="B153" s="51" t="str">
        <f>IFERROR(__xludf.DUMMYFUNCTION("""COMPUTED_VALUE"""),"Naveen Raj")</f>
        <v>Naveen Raj</v>
      </c>
      <c r="C153" s="76"/>
      <c r="D153" s="22"/>
      <c r="E153" s="23"/>
      <c r="F153" s="76"/>
      <c r="G153" s="22"/>
      <c r="H153" s="23"/>
    </row>
    <row r="154">
      <c r="A154" s="75">
        <f t="shared" si="83"/>
        <v>32</v>
      </c>
      <c r="B154" s="51" t="str">
        <f>IFERROR(__xludf.DUMMYFUNCTION("""COMPUTED_VALUE"""),"Nicole Ni")</f>
        <v>Nicole Ni</v>
      </c>
      <c r="C154" s="76"/>
      <c r="D154" s="22"/>
      <c r="E154" s="23"/>
      <c r="F154" s="76"/>
      <c r="G154" s="22"/>
      <c r="H154" s="23"/>
    </row>
    <row r="155">
      <c r="A155" s="75">
        <f t="shared" si="83"/>
        <v>33</v>
      </c>
      <c r="B155" s="51" t="str">
        <f>IFERROR(__xludf.DUMMYFUNCTION("""COMPUTED_VALUE"""),"Oscar Bonilla")</f>
        <v>Oscar Bonilla</v>
      </c>
      <c r="C155" s="76"/>
      <c r="D155" s="22"/>
      <c r="E155" s="23"/>
      <c r="F155" s="76"/>
      <c r="G155" s="22"/>
      <c r="H155" s="23"/>
    </row>
    <row r="156">
      <c r="A156" s="75">
        <f t="shared" si="83"/>
        <v>34</v>
      </c>
      <c r="B156" s="51" t="str">
        <f>IFERROR(__xludf.DUMMYFUNCTION("""COMPUTED_VALUE"""),"Pavan Akkimsetty")</f>
        <v>Pavan Akkimsetty</v>
      </c>
      <c r="C156" s="76"/>
      <c r="D156" s="22"/>
      <c r="E156" s="23"/>
      <c r="F156" s="76"/>
      <c r="G156" s="22"/>
      <c r="H156" s="23"/>
    </row>
    <row r="157">
      <c r="A157" s="75">
        <f t="shared" si="83"/>
        <v>35</v>
      </c>
      <c r="B157" s="51" t="str">
        <f>IFERROR(__xludf.DUMMYFUNCTION("""COMPUTED_VALUE"""),"Pulkit Mathur")</f>
        <v>Pulkit Mathur</v>
      </c>
      <c r="C157" s="76"/>
      <c r="D157" s="22"/>
      <c r="E157" s="23"/>
      <c r="F157" s="76"/>
      <c r="G157" s="22"/>
      <c r="H157" s="23"/>
    </row>
    <row r="158">
      <c r="A158" s="75">
        <f t="shared" si="83"/>
        <v>36</v>
      </c>
      <c r="B158" s="51" t="str">
        <f>IFERROR(__xludf.DUMMYFUNCTION("""COMPUTED_VALUE"""),"Rajasekar Ramasamy")</f>
        <v>Rajasekar Ramasamy</v>
      </c>
      <c r="C158" s="76"/>
      <c r="D158" s="22"/>
      <c r="E158" s="23"/>
      <c r="F158" s="76"/>
      <c r="G158" s="22"/>
      <c r="H158" s="23"/>
    </row>
    <row r="159">
      <c r="A159" s="75">
        <f t="shared" si="83"/>
        <v>37</v>
      </c>
      <c r="B159" s="51" t="str">
        <f>IFERROR(__xludf.DUMMYFUNCTION("""COMPUTED_VALUE"""),"Rajesh Dorairaj")</f>
        <v>Rajesh Dorairaj</v>
      </c>
      <c r="C159" s="76"/>
      <c r="D159" s="22"/>
      <c r="E159" s="23"/>
      <c r="F159" s="76"/>
      <c r="G159" s="22"/>
      <c r="H159" s="23"/>
    </row>
    <row r="160">
      <c r="A160" s="75">
        <f t="shared" si="83"/>
        <v>38</v>
      </c>
      <c r="B160" s="51" t="str">
        <f>IFERROR(__xludf.DUMMYFUNCTION("""COMPUTED_VALUE"""),"Ramesh Bandaru")</f>
        <v>Ramesh Bandaru</v>
      </c>
      <c r="C160" s="76"/>
      <c r="D160" s="22"/>
      <c r="E160" s="23"/>
      <c r="F160" s="76"/>
      <c r="G160" s="22"/>
      <c r="H160" s="23"/>
    </row>
    <row r="161">
      <c r="A161" s="75">
        <f t="shared" si="83"/>
        <v>39</v>
      </c>
      <c r="B161" s="51" t="str">
        <f>IFERROR(__xludf.DUMMYFUNCTION("""COMPUTED_VALUE"""),"Robert Chang")</f>
        <v>Robert Chang</v>
      </c>
      <c r="C161" s="76"/>
      <c r="D161" s="22"/>
      <c r="E161" s="23"/>
      <c r="F161" s="76"/>
      <c r="G161" s="22"/>
      <c r="H161" s="23"/>
    </row>
    <row r="162">
      <c r="A162" s="75">
        <f t="shared" si="83"/>
        <v>40</v>
      </c>
      <c r="B162" s="51" t="str">
        <f>IFERROR(__xludf.DUMMYFUNCTION("""COMPUTED_VALUE"""),"Sandy Weyant")</f>
        <v>Sandy Weyant</v>
      </c>
      <c r="C162" s="76"/>
      <c r="D162" s="22"/>
      <c r="E162" s="23"/>
      <c r="F162" s="76"/>
      <c r="G162" s="22"/>
      <c r="H162" s="23"/>
    </row>
    <row r="163">
      <c r="A163" s="75">
        <f t="shared" si="83"/>
        <v>41</v>
      </c>
      <c r="B163" s="51" t="str">
        <f>IFERROR(__xludf.DUMMYFUNCTION("""COMPUTED_VALUE"""),"Sanjaye Elayattu")</f>
        <v>Sanjaye Elayattu</v>
      </c>
      <c r="C163" s="76"/>
      <c r="D163" s="22"/>
      <c r="E163" s="23"/>
      <c r="F163" s="76"/>
      <c r="G163" s="22"/>
      <c r="H163" s="23"/>
    </row>
    <row r="164">
      <c r="A164" s="75">
        <f t="shared" si="83"/>
        <v>42</v>
      </c>
      <c r="B164" s="51" t="str">
        <f>IFERROR(__xludf.DUMMYFUNCTION("""COMPUTED_VALUE"""),"Santosh Sundaresan ")</f>
        <v>Santosh Sundaresan </v>
      </c>
      <c r="C164" s="76"/>
      <c r="D164" s="22"/>
      <c r="E164" s="23"/>
      <c r="F164" s="76"/>
      <c r="G164" s="22"/>
      <c r="H164" s="23"/>
    </row>
    <row r="165">
      <c r="A165" s="75">
        <f t="shared" si="83"/>
        <v>43</v>
      </c>
      <c r="B165" s="51" t="str">
        <f>IFERROR(__xludf.DUMMYFUNCTION("""COMPUTED_VALUE"""),"Saravanan Veerapandian")</f>
        <v>Saravanan Veerapandian</v>
      </c>
      <c r="C165" s="76"/>
      <c r="D165" s="22"/>
      <c r="E165" s="23"/>
      <c r="F165" s="76"/>
      <c r="G165" s="22"/>
      <c r="H165" s="23"/>
    </row>
    <row r="166">
      <c r="A166" s="75">
        <f t="shared" si="83"/>
        <v>44</v>
      </c>
      <c r="B166" s="51" t="str">
        <f>IFERROR(__xludf.DUMMYFUNCTION("""COMPUTED_VALUE"""),"Scott Li")</f>
        <v>Scott Li</v>
      </c>
      <c r="C166" s="76"/>
      <c r="D166" s="22"/>
      <c r="E166" s="23"/>
      <c r="F166" s="76"/>
      <c r="G166" s="22"/>
      <c r="H166" s="23"/>
    </row>
    <row r="167">
      <c r="A167" s="75">
        <f t="shared" si="83"/>
        <v>45</v>
      </c>
      <c r="B167" s="51" t="str">
        <f>IFERROR(__xludf.DUMMYFUNCTION("""COMPUTED_VALUE"""),"Sean Chang")</f>
        <v>Sean Chang</v>
      </c>
      <c r="C167" s="76"/>
      <c r="D167" s="22"/>
      <c r="E167" s="23"/>
      <c r="F167" s="76"/>
      <c r="G167" s="22"/>
      <c r="H167" s="23"/>
    </row>
    <row r="168">
      <c r="A168" s="75">
        <f t="shared" si="83"/>
        <v>46</v>
      </c>
      <c r="B168" s="51" t="str">
        <f>IFERROR(__xludf.DUMMYFUNCTION("""COMPUTED_VALUE"""),"Suleman Alidina")</f>
        <v>Suleman Alidina</v>
      </c>
      <c r="C168" s="76"/>
      <c r="D168" s="22"/>
      <c r="E168" s="23"/>
      <c r="F168" s="76"/>
      <c r="G168" s="22"/>
      <c r="H168" s="23"/>
    </row>
    <row r="169">
      <c r="A169" s="75">
        <f t="shared" si="83"/>
        <v>47</v>
      </c>
      <c r="B169" s="51" t="str">
        <f>IFERROR(__xludf.DUMMYFUNCTION("""COMPUTED_VALUE"""),"Susanta Mishra")</f>
        <v>Susanta Mishra</v>
      </c>
      <c r="C169" s="76"/>
      <c r="D169" s="22"/>
      <c r="E169" s="23"/>
      <c r="F169" s="76"/>
      <c r="G169" s="22"/>
      <c r="H169" s="23"/>
    </row>
    <row r="170">
      <c r="A170" s="75">
        <f t="shared" si="83"/>
        <v>48</v>
      </c>
      <c r="B170" s="51" t="str">
        <f>IFERROR(__xludf.DUMMYFUNCTION("""COMPUTED_VALUE"""),"Ted Shen")</f>
        <v>Ted Shen</v>
      </c>
      <c r="C170" s="76"/>
      <c r="D170" s="22"/>
      <c r="E170" s="23"/>
      <c r="F170" s="76"/>
      <c r="G170" s="22"/>
      <c r="H170" s="23"/>
    </row>
    <row r="171">
      <c r="A171" s="75">
        <f t="shared" si="83"/>
        <v>49</v>
      </c>
      <c r="B171" s="51" t="str">
        <f>IFERROR(__xludf.DUMMYFUNCTION("""COMPUTED_VALUE"""),"Tom Le")</f>
        <v>Tom Le</v>
      </c>
      <c r="C171" s="76"/>
      <c r="D171" s="22"/>
      <c r="E171" s="23"/>
      <c r="F171" s="76"/>
      <c r="G171" s="22"/>
      <c r="H171" s="23"/>
    </row>
    <row r="172">
      <c r="A172" s="75">
        <f t="shared" si="83"/>
        <v>50</v>
      </c>
      <c r="B172" s="51" t="str">
        <f>IFERROR(__xludf.DUMMYFUNCTION("""COMPUTED_VALUE"""),"Trinath Goteti")</f>
        <v>Trinath Goteti</v>
      </c>
      <c r="C172" s="76"/>
      <c r="D172" s="22"/>
      <c r="E172" s="23"/>
      <c r="F172" s="76"/>
      <c r="G172" s="22"/>
      <c r="H172" s="23"/>
    </row>
    <row r="173">
      <c r="A173" s="75">
        <f t="shared" si="83"/>
        <v>51</v>
      </c>
      <c r="B173" s="51" t="str">
        <f>IFERROR(__xludf.DUMMYFUNCTION("""COMPUTED_VALUE"""),"Trish Newlin")</f>
        <v>Trish Newlin</v>
      </c>
      <c r="C173" s="76"/>
      <c r="D173" s="22"/>
      <c r="E173" s="23"/>
      <c r="F173" s="76"/>
      <c r="G173" s="22"/>
      <c r="H173" s="23"/>
    </row>
    <row r="174">
      <c r="A174" s="75">
        <f t="shared" si="83"/>
        <v>52</v>
      </c>
      <c r="B174" s="51" t="str">
        <f>IFERROR(__xludf.DUMMYFUNCTION("""COMPUTED_VALUE"""),"Troy Wong")</f>
        <v>Troy Wong</v>
      </c>
      <c r="C174" s="76"/>
      <c r="D174" s="22"/>
      <c r="E174" s="23"/>
      <c r="F174" s="76"/>
      <c r="G174" s="22"/>
      <c r="H174" s="23"/>
    </row>
    <row r="175">
      <c r="A175" s="75">
        <f t="shared" si="83"/>
        <v>53</v>
      </c>
      <c r="B175" s="51" t="str">
        <f>IFERROR(__xludf.DUMMYFUNCTION("""COMPUTED_VALUE"""),"Vinaya Kajla")</f>
        <v>Vinaya Kajla</v>
      </c>
      <c r="C175" s="76"/>
      <c r="D175" s="22"/>
      <c r="E175" s="23"/>
      <c r="F175" s="76"/>
      <c r="G175" s="22"/>
      <c r="H175" s="23"/>
    </row>
    <row r="176">
      <c r="A176" s="75">
        <f t="shared" si="83"/>
        <v>54</v>
      </c>
      <c r="B176" s="51" t="str">
        <f>IFERROR(__xludf.DUMMYFUNCTION("""COMPUTED_VALUE"""),"Vishnu Amarnath")</f>
        <v>Vishnu Amarnath</v>
      </c>
      <c r="C176" s="76"/>
      <c r="D176" s="22"/>
      <c r="E176" s="23"/>
      <c r="F176" s="76"/>
      <c r="G176" s="22"/>
      <c r="H176" s="23"/>
    </row>
    <row r="177">
      <c r="A177" s="75">
        <f t="shared" si="83"/>
        <v>55</v>
      </c>
      <c r="B177" s="51" t="str">
        <f>IFERROR(__xludf.DUMMYFUNCTION("""COMPUTED_VALUE"""),"Wayne Liu")</f>
        <v>Wayne Liu</v>
      </c>
      <c r="C177" s="76"/>
      <c r="D177" s="22"/>
      <c r="E177" s="23"/>
      <c r="F177" s="76"/>
      <c r="G177" s="22"/>
      <c r="H177" s="23"/>
    </row>
    <row r="178">
      <c r="A178" s="75">
        <f t="shared" si="83"/>
        <v>56</v>
      </c>
      <c r="B178" s="51"/>
      <c r="C178" s="76"/>
      <c r="D178" s="22"/>
      <c r="E178" s="23"/>
      <c r="F178" s="76"/>
      <c r="G178" s="22"/>
      <c r="H178" s="23"/>
    </row>
    <row r="179">
      <c r="A179" s="75">
        <f t="shared" si="83"/>
        <v>57</v>
      </c>
      <c r="B179" s="51"/>
      <c r="C179" s="76"/>
      <c r="D179" s="22"/>
      <c r="E179" s="23"/>
      <c r="F179" s="76"/>
      <c r="G179" s="22"/>
      <c r="H179" s="23"/>
    </row>
    <row r="180">
      <c r="A180" s="75">
        <f t="shared" si="83"/>
        <v>58</v>
      </c>
      <c r="B180" s="51"/>
      <c r="C180" s="76"/>
      <c r="D180" s="22"/>
      <c r="E180" s="23"/>
      <c r="F180" s="76"/>
      <c r="G180" s="22"/>
      <c r="H180" s="23"/>
    </row>
    <row r="181">
      <c r="A181" s="75">
        <f t="shared" si="83"/>
        <v>59</v>
      </c>
      <c r="B181" s="51"/>
      <c r="C181" s="76"/>
      <c r="D181" s="22"/>
      <c r="E181" s="23"/>
      <c r="F181" s="76"/>
      <c r="G181" s="22"/>
      <c r="H181" s="23"/>
    </row>
    <row r="182">
      <c r="A182" s="75">
        <f t="shared" si="83"/>
        <v>60</v>
      </c>
      <c r="B182" s="51"/>
      <c r="C182" s="76"/>
      <c r="D182" s="22"/>
      <c r="E182" s="23"/>
      <c r="F182" s="76"/>
      <c r="G182" s="22"/>
      <c r="H182" s="23"/>
    </row>
    <row r="183">
      <c r="A183" s="11"/>
      <c r="C183" s="11"/>
      <c r="D183" s="11"/>
      <c r="E183" s="11"/>
      <c r="F183" s="11"/>
    </row>
    <row r="184">
      <c r="A184" s="11"/>
      <c r="C184" s="11"/>
      <c r="D184" s="11"/>
      <c r="E184" s="11"/>
      <c r="F184" s="11"/>
    </row>
    <row r="185">
      <c r="A185" s="11"/>
      <c r="C185" s="11"/>
      <c r="D185" s="11"/>
      <c r="E185" s="11"/>
      <c r="F185" s="11"/>
    </row>
    <row r="186">
      <c r="A186" s="11"/>
      <c r="C186" s="11"/>
      <c r="D186" s="11"/>
      <c r="E186" s="11"/>
      <c r="F186" s="11"/>
    </row>
    <row r="187">
      <c r="A187" s="11"/>
      <c r="C187" s="11"/>
      <c r="D187" s="11"/>
      <c r="E187" s="11"/>
      <c r="F187" s="11"/>
    </row>
    <row r="188">
      <c r="A188" s="11"/>
      <c r="C188" s="11"/>
      <c r="D188" s="11"/>
      <c r="E188" s="11"/>
      <c r="F188" s="11"/>
    </row>
    <row r="189">
      <c r="A189" s="11"/>
      <c r="C189" s="11"/>
      <c r="D189" s="11"/>
      <c r="E189" s="11"/>
      <c r="F189" s="11"/>
    </row>
    <row r="190">
      <c r="A190" s="11"/>
      <c r="C190" s="11"/>
      <c r="D190" s="11"/>
      <c r="E190" s="11"/>
      <c r="F190" s="11"/>
    </row>
    <row r="191">
      <c r="A191" s="11"/>
      <c r="C191" s="11"/>
      <c r="D191" s="11"/>
      <c r="E191" s="11"/>
      <c r="F191" s="11"/>
    </row>
    <row r="192">
      <c r="A192" s="11"/>
      <c r="C192" s="11"/>
      <c r="D192" s="11"/>
      <c r="E192" s="11"/>
      <c r="F192" s="11"/>
    </row>
    <row r="193">
      <c r="A193" s="11"/>
      <c r="C193" s="11"/>
      <c r="D193" s="11"/>
      <c r="E193" s="11"/>
      <c r="F193" s="11"/>
    </row>
    <row r="194">
      <c r="A194" s="11"/>
      <c r="C194" s="11"/>
      <c r="D194" s="11"/>
      <c r="E194" s="11"/>
      <c r="F194" s="11"/>
    </row>
    <row r="195">
      <c r="A195" s="11"/>
      <c r="C195" s="11"/>
      <c r="D195" s="11"/>
      <c r="E195" s="11"/>
      <c r="F195" s="11"/>
    </row>
    <row r="196">
      <c r="A196" s="11"/>
      <c r="C196" s="11"/>
      <c r="D196" s="11"/>
      <c r="E196" s="11"/>
      <c r="F196" s="11"/>
    </row>
    <row r="197">
      <c r="A197" s="11"/>
      <c r="C197" s="11"/>
      <c r="D197" s="11"/>
      <c r="E197" s="11"/>
      <c r="F197" s="11"/>
    </row>
    <row r="198">
      <c r="A198" s="11"/>
      <c r="C198" s="11"/>
      <c r="D198" s="11"/>
      <c r="E198" s="11"/>
      <c r="F198" s="11"/>
    </row>
    <row r="199">
      <c r="A199" s="11"/>
      <c r="C199" s="11"/>
      <c r="D199" s="11"/>
      <c r="E199" s="11"/>
      <c r="F199" s="11"/>
    </row>
    <row r="200">
      <c r="A200" s="11"/>
      <c r="C200" s="11"/>
      <c r="D200" s="11"/>
      <c r="E200" s="11"/>
      <c r="F200" s="11"/>
    </row>
    <row r="201">
      <c r="A201" s="11"/>
      <c r="C201" s="11"/>
      <c r="D201" s="11"/>
      <c r="E201" s="11"/>
      <c r="F201" s="11"/>
    </row>
    <row r="202">
      <c r="A202" s="11"/>
      <c r="C202" s="11"/>
      <c r="D202" s="11"/>
      <c r="E202" s="11"/>
      <c r="F202" s="11"/>
    </row>
    <row r="203">
      <c r="A203" s="11"/>
      <c r="C203" s="11"/>
      <c r="D203" s="11"/>
      <c r="E203" s="11"/>
      <c r="F203" s="11"/>
    </row>
    <row r="204">
      <c r="A204" s="11"/>
      <c r="C204" s="11"/>
      <c r="D204" s="11"/>
      <c r="E204" s="11"/>
      <c r="F204" s="11"/>
    </row>
    <row r="205">
      <c r="A205" s="11"/>
      <c r="C205" s="11"/>
      <c r="D205" s="11"/>
      <c r="E205" s="11"/>
      <c r="F205" s="11"/>
    </row>
    <row r="206">
      <c r="A206" s="11"/>
      <c r="C206" s="11"/>
      <c r="D206" s="11"/>
      <c r="E206" s="11"/>
      <c r="F206" s="11"/>
    </row>
    <row r="207">
      <c r="A207" s="11"/>
      <c r="C207" s="11"/>
      <c r="D207" s="11"/>
      <c r="E207" s="11"/>
      <c r="F207" s="11"/>
    </row>
    <row r="208">
      <c r="A208" s="11"/>
      <c r="C208" s="11"/>
      <c r="D208" s="11"/>
      <c r="E208" s="11"/>
      <c r="F208" s="11"/>
    </row>
    <row r="209">
      <c r="A209" s="11"/>
      <c r="C209" s="11"/>
      <c r="D209" s="11"/>
      <c r="E209" s="11"/>
      <c r="F209" s="11"/>
    </row>
    <row r="210">
      <c r="A210" s="11"/>
      <c r="C210" s="11"/>
      <c r="D210" s="11"/>
      <c r="E210" s="11"/>
      <c r="F210" s="11"/>
    </row>
    <row r="211">
      <c r="A211" s="11"/>
      <c r="C211" s="11"/>
      <c r="D211" s="11"/>
      <c r="E211" s="11"/>
      <c r="F211" s="11"/>
    </row>
    <row r="212">
      <c r="A212" s="11"/>
      <c r="C212" s="11"/>
      <c r="D212" s="11"/>
      <c r="E212" s="11"/>
      <c r="F212" s="11"/>
    </row>
    <row r="213">
      <c r="A213" s="11"/>
      <c r="C213" s="11"/>
      <c r="D213" s="11"/>
      <c r="E213" s="11"/>
      <c r="F213" s="11"/>
    </row>
    <row r="214">
      <c r="A214" s="11"/>
      <c r="C214" s="11"/>
      <c r="D214" s="11"/>
      <c r="E214" s="11"/>
      <c r="F214" s="11"/>
    </row>
    <row r="215">
      <c r="A215" s="11"/>
      <c r="C215" s="11"/>
      <c r="D215" s="11"/>
      <c r="E215" s="11"/>
      <c r="F215" s="11"/>
    </row>
    <row r="216">
      <c r="A216" s="11"/>
      <c r="C216" s="11"/>
      <c r="D216" s="11"/>
      <c r="E216" s="11"/>
      <c r="F216" s="11"/>
    </row>
    <row r="217">
      <c r="A217" s="11"/>
      <c r="C217" s="11"/>
      <c r="D217" s="11"/>
      <c r="E217" s="11"/>
      <c r="F217" s="11"/>
    </row>
    <row r="218">
      <c r="A218" s="11"/>
      <c r="C218" s="11"/>
      <c r="D218" s="11"/>
      <c r="E218" s="11"/>
      <c r="F218" s="11"/>
    </row>
    <row r="219">
      <c r="A219" s="11"/>
      <c r="C219" s="11"/>
      <c r="D219" s="11"/>
      <c r="E219" s="11"/>
      <c r="F219" s="11"/>
    </row>
    <row r="220">
      <c r="A220" s="11"/>
      <c r="C220" s="11"/>
      <c r="D220" s="11"/>
      <c r="E220" s="11"/>
      <c r="F220" s="11"/>
    </row>
    <row r="221">
      <c r="A221" s="11"/>
      <c r="C221" s="11"/>
      <c r="D221" s="11"/>
      <c r="E221" s="11"/>
      <c r="F221" s="11"/>
    </row>
    <row r="222">
      <c r="A222" s="11"/>
      <c r="C222" s="11"/>
      <c r="D222" s="11"/>
      <c r="E222" s="11"/>
      <c r="F222" s="11"/>
    </row>
    <row r="223">
      <c r="A223" s="11"/>
      <c r="C223" s="11"/>
      <c r="D223" s="11"/>
      <c r="E223" s="11"/>
      <c r="F223" s="11"/>
    </row>
    <row r="224">
      <c r="A224" s="11"/>
      <c r="C224" s="11"/>
      <c r="D224" s="11"/>
      <c r="E224" s="11"/>
      <c r="F224" s="11"/>
    </row>
    <row r="225">
      <c r="A225" s="11"/>
      <c r="C225" s="11"/>
      <c r="D225" s="11"/>
      <c r="E225" s="11"/>
      <c r="F225" s="11"/>
    </row>
    <row r="226">
      <c r="A226" s="11"/>
      <c r="C226" s="11"/>
      <c r="D226" s="11"/>
      <c r="E226" s="11"/>
      <c r="F226" s="11"/>
    </row>
    <row r="227">
      <c r="A227" s="11"/>
      <c r="C227" s="11"/>
      <c r="D227" s="11"/>
      <c r="E227" s="11"/>
      <c r="F227" s="11"/>
    </row>
    <row r="228">
      <c r="A228" s="11"/>
      <c r="C228" s="11"/>
      <c r="D228" s="11"/>
      <c r="E228" s="11"/>
      <c r="F228" s="11"/>
    </row>
    <row r="229">
      <c r="A229" s="11"/>
      <c r="C229" s="11"/>
      <c r="D229" s="11"/>
      <c r="E229" s="11"/>
      <c r="F229" s="11"/>
    </row>
    <row r="230">
      <c r="A230" s="11"/>
      <c r="C230" s="11"/>
      <c r="D230" s="11"/>
      <c r="E230" s="11"/>
      <c r="F230" s="11"/>
    </row>
    <row r="231">
      <c r="A231" s="11"/>
      <c r="C231" s="11"/>
      <c r="D231" s="11"/>
      <c r="E231" s="11"/>
      <c r="F231" s="11"/>
    </row>
    <row r="232">
      <c r="A232" s="11"/>
      <c r="C232" s="11"/>
      <c r="D232" s="11"/>
      <c r="E232" s="11"/>
      <c r="F232" s="11"/>
    </row>
    <row r="233">
      <c r="A233" s="11"/>
      <c r="C233" s="11"/>
      <c r="D233" s="11"/>
      <c r="E233" s="11"/>
      <c r="F233" s="11"/>
    </row>
    <row r="234">
      <c r="A234" s="11"/>
      <c r="C234" s="11"/>
      <c r="D234" s="11"/>
      <c r="E234" s="11"/>
      <c r="F234" s="11"/>
    </row>
    <row r="235">
      <c r="A235" s="11"/>
      <c r="C235" s="11"/>
      <c r="D235" s="11"/>
      <c r="E235" s="11"/>
      <c r="F235" s="11"/>
    </row>
    <row r="236">
      <c r="A236" s="11"/>
      <c r="C236" s="11"/>
      <c r="D236" s="11"/>
      <c r="E236" s="11"/>
      <c r="F236" s="11"/>
    </row>
    <row r="237">
      <c r="A237" s="11"/>
      <c r="C237" s="11"/>
      <c r="D237" s="11"/>
      <c r="E237" s="11"/>
      <c r="F237" s="11"/>
    </row>
    <row r="238">
      <c r="A238" s="11"/>
      <c r="C238" s="11"/>
      <c r="D238" s="11"/>
      <c r="E238" s="11"/>
      <c r="F238" s="11"/>
    </row>
    <row r="239">
      <c r="A239" s="11"/>
      <c r="C239" s="11"/>
      <c r="D239" s="11"/>
      <c r="E239" s="11"/>
      <c r="F239" s="11"/>
    </row>
    <row r="240">
      <c r="A240" s="11"/>
      <c r="C240" s="11"/>
      <c r="D240" s="11"/>
      <c r="E240" s="11"/>
      <c r="F240" s="11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11"/>
      <c r="C261" s="11"/>
      <c r="D261" s="11"/>
      <c r="E261" s="11"/>
      <c r="F261" s="11"/>
    </row>
    <row r="262">
      <c r="A262" s="11"/>
      <c r="C262" s="11"/>
      <c r="D262" s="11"/>
      <c r="E262" s="11"/>
      <c r="F262" s="11"/>
    </row>
    <row r="263">
      <c r="A263" s="11"/>
      <c r="C263" s="11"/>
      <c r="D263" s="11"/>
      <c r="E263" s="11"/>
      <c r="F263" s="11"/>
    </row>
    <row r="264">
      <c r="A264" s="11"/>
      <c r="C264" s="11"/>
      <c r="D264" s="11"/>
      <c r="E264" s="11"/>
      <c r="F264" s="11"/>
    </row>
    <row r="265">
      <c r="A265" s="11"/>
      <c r="C265" s="11"/>
      <c r="D265" s="11"/>
      <c r="E265" s="11"/>
      <c r="F265" s="11"/>
    </row>
    <row r="266">
      <c r="A266" s="11"/>
      <c r="C266" s="11"/>
      <c r="D266" s="11"/>
      <c r="E266" s="11"/>
      <c r="F266" s="11"/>
    </row>
    <row r="267">
      <c r="A267" s="11"/>
      <c r="C267" s="11"/>
      <c r="D267" s="11"/>
      <c r="E267" s="11"/>
      <c r="F267" s="11"/>
    </row>
    <row r="268">
      <c r="A268" s="11"/>
      <c r="C268" s="11"/>
      <c r="D268" s="11"/>
      <c r="E268" s="11"/>
      <c r="F268" s="11"/>
    </row>
    <row r="269">
      <c r="A269" s="11"/>
      <c r="C269" s="11"/>
      <c r="D269" s="11"/>
      <c r="E269" s="11"/>
      <c r="F269" s="11"/>
    </row>
    <row r="270">
      <c r="A270" s="11"/>
      <c r="C270" s="11"/>
      <c r="D270" s="11"/>
      <c r="E270" s="11"/>
      <c r="F270" s="11"/>
    </row>
    <row r="271">
      <c r="A271" s="11"/>
      <c r="C271" s="11"/>
      <c r="D271" s="11"/>
      <c r="E271" s="11"/>
      <c r="F271" s="11"/>
    </row>
    <row r="272">
      <c r="A272" s="11"/>
      <c r="C272" s="11"/>
      <c r="D272" s="11"/>
      <c r="E272" s="11"/>
      <c r="F272" s="11"/>
    </row>
    <row r="273">
      <c r="A273" s="11"/>
      <c r="C273" s="11"/>
      <c r="D273" s="11"/>
      <c r="E273" s="11"/>
      <c r="F273" s="11"/>
    </row>
    <row r="274">
      <c r="A274" s="11"/>
      <c r="C274" s="11"/>
      <c r="D274" s="11"/>
      <c r="E274" s="11"/>
      <c r="F274" s="11"/>
    </row>
    <row r="275">
      <c r="A275" s="11"/>
      <c r="C275" s="11"/>
      <c r="D275" s="11"/>
      <c r="E275" s="11"/>
      <c r="F275" s="11"/>
    </row>
    <row r="276">
      <c r="A276" s="11"/>
      <c r="C276" s="11"/>
      <c r="D276" s="11"/>
      <c r="E276" s="11"/>
      <c r="F276" s="11"/>
    </row>
    <row r="277">
      <c r="A277" s="11"/>
      <c r="C277" s="11"/>
      <c r="D277" s="11"/>
      <c r="E277" s="11"/>
      <c r="F277" s="11"/>
    </row>
    <row r="278">
      <c r="A278" s="11"/>
      <c r="C278" s="11"/>
      <c r="D278" s="11"/>
      <c r="E278" s="11"/>
      <c r="F278" s="11"/>
    </row>
    <row r="279">
      <c r="A279" s="11"/>
      <c r="C279" s="11"/>
      <c r="D279" s="11"/>
      <c r="E279" s="11"/>
      <c r="F279" s="11"/>
    </row>
    <row r="280">
      <c r="A280" s="11"/>
      <c r="C280" s="11"/>
      <c r="D280" s="11"/>
      <c r="E280" s="11"/>
      <c r="F280" s="11"/>
    </row>
    <row r="281">
      <c r="A281" s="11"/>
      <c r="C281" s="11"/>
      <c r="D281" s="11"/>
      <c r="E281" s="11"/>
      <c r="F281" s="11"/>
    </row>
    <row r="282">
      <c r="A282" s="11"/>
      <c r="C282" s="11"/>
      <c r="D282" s="11"/>
      <c r="E282" s="11"/>
      <c r="F282" s="11"/>
    </row>
    <row r="283">
      <c r="A283" s="11"/>
      <c r="C283" s="11"/>
      <c r="D283" s="11"/>
      <c r="E283" s="11"/>
      <c r="F283" s="11"/>
    </row>
    <row r="284">
      <c r="A284" s="11"/>
      <c r="C284" s="11"/>
      <c r="D284" s="11"/>
      <c r="E284" s="11"/>
      <c r="F284" s="11"/>
    </row>
    <row r="285">
      <c r="A285" s="11"/>
      <c r="C285" s="11"/>
      <c r="D285" s="11"/>
      <c r="E285" s="11"/>
      <c r="F285" s="11"/>
    </row>
    <row r="286">
      <c r="A286" s="11"/>
      <c r="C286" s="11"/>
      <c r="D286" s="11"/>
      <c r="E286" s="11"/>
      <c r="F286" s="11"/>
    </row>
    <row r="287">
      <c r="A287" s="11"/>
      <c r="C287" s="11"/>
      <c r="D287" s="11"/>
      <c r="E287" s="11"/>
      <c r="F287" s="11"/>
    </row>
    <row r="288">
      <c r="A288" s="11"/>
      <c r="C288" s="11"/>
      <c r="D288" s="11"/>
      <c r="E288" s="11"/>
      <c r="F288" s="11"/>
    </row>
    <row r="289">
      <c r="A289" s="11"/>
      <c r="C289" s="11"/>
      <c r="D289" s="11"/>
      <c r="E289" s="11"/>
      <c r="F289" s="11"/>
    </row>
    <row r="290">
      <c r="A290" s="11"/>
      <c r="C290" s="11"/>
      <c r="D290" s="11"/>
      <c r="E290" s="11"/>
      <c r="F290" s="11"/>
    </row>
    <row r="291">
      <c r="A291" s="11"/>
      <c r="C291" s="11"/>
      <c r="D291" s="11"/>
      <c r="E291" s="11"/>
      <c r="F291" s="11"/>
    </row>
    <row r="292">
      <c r="A292" s="11"/>
      <c r="C292" s="11"/>
      <c r="D292" s="11"/>
      <c r="E292" s="11"/>
      <c r="F292" s="11"/>
    </row>
    <row r="293">
      <c r="A293" s="11"/>
      <c r="C293" s="11"/>
      <c r="D293" s="11"/>
      <c r="E293" s="11"/>
      <c r="F293" s="11"/>
    </row>
    <row r="294">
      <c r="A294" s="11"/>
      <c r="C294" s="11"/>
      <c r="D294" s="11"/>
      <c r="E294" s="11"/>
      <c r="F294" s="11"/>
    </row>
    <row r="295">
      <c r="A295" s="11"/>
      <c r="C295" s="11"/>
      <c r="D295" s="11"/>
      <c r="E295" s="11"/>
      <c r="F295" s="11"/>
    </row>
    <row r="296">
      <c r="A296" s="11"/>
      <c r="C296" s="11"/>
      <c r="D296" s="11"/>
      <c r="E296" s="11"/>
      <c r="F296" s="11"/>
    </row>
    <row r="297">
      <c r="A297" s="11"/>
      <c r="C297" s="11"/>
      <c r="D297" s="11"/>
      <c r="E297" s="11"/>
      <c r="F297" s="11"/>
    </row>
    <row r="298">
      <c r="A298" s="11"/>
      <c r="C298" s="11"/>
      <c r="D298" s="11"/>
      <c r="E298" s="11"/>
      <c r="F298" s="11"/>
    </row>
    <row r="299">
      <c r="A299" s="11"/>
      <c r="C299" s="11"/>
      <c r="D299" s="11"/>
      <c r="E299" s="11"/>
      <c r="F299" s="11"/>
    </row>
    <row r="300">
      <c r="A300" s="11"/>
      <c r="C300" s="11"/>
      <c r="D300" s="11"/>
      <c r="E300" s="11"/>
      <c r="F300" s="11"/>
    </row>
    <row r="301">
      <c r="A301" s="11"/>
      <c r="C301" s="11"/>
      <c r="D301" s="11"/>
      <c r="E301" s="11"/>
      <c r="F301" s="11"/>
    </row>
    <row r="302">
      <c r="A302" s="11"/>
      <c r="C302" s="11"/>
      <c r="D302" s="11"/>
      <c r="E302" s="11"/>
      <c r="F302" s="11"/>
    </row>
    <row r="303">
      <c r="A303" s="11"/>
      <c r="C303" s="11"/>
      <c r="D303" s="11"/>
      <c r="E303" s="11"/>
      <c r="F303" s="11"/>
    </row>
    <row r="304">
      <c r="A304" s="11"/>
      <c r="C304" s="11"/>
      <c r="D304" s="11"/>
      <c r="E304" s="11"/>
      <c r="F304" s="11"/>
    </row>
    <row r="305">
      <c r="A305" s="11"/>
      <c r="C305" s="11"/>
      <c r="D305" s="11"/>
      <c r="E305" s="11"/>
      <c r="F305" s="11"/>
    </row>
    <row r="306">
      <c r="A306" s="11"/>
      <c r="C306" s="11"/>
      <c r="D306" s="11"/>
      <c r="E306" s="11"/>
      <c r="F306" s="11"/>
    </row>
    <row r="307">
      <c r="A307" s="11"/>
      <c r="C307" s="11"/>
      <c r="D307" s="11"/>
      <c r="E307" s="11"/>
      <c r="F307" s="11"/>
    </row>
    <row r="308">
      <c r="A308" s="11"/>
      <c r="C308" s="11"/>
      <c r="D308" s="11"/>
      <c r="E308" s="11"/>
      <c r="F308" s="11"/>
    </row>
    <row r="309">
      <c r="A309" s="11"/>
      <c r="C309" s="11"/>
      <c r="D309" s="11"/>
      <c r="E309" s="11"/>
      <c r="F309" s="11"/>
    </row>
    <row r="310">
      <c r="A310" s="11"/>
      <c r="C310" s="11"/>
      <c r="D310" s="11"/>
      <c r="E310" s="11"/>
      <c r="F310" s="11"/>
    </row>
    <row r="311">
      <c r="A311" s="11"/>
      <c r="C311" s="11"/>
      <c r="D311" s="11"/>
      <c r="E311" s="11"/>
      <c r="F311" s="11"/>
    </row>
    <row r="312">
      <c r="A312" s="11"/>
      <c r="C312" s="11"/>
      <c r="D312" s="11"/>
      <c r="E312" s="11"/>
      <c r="F312" s="11"/>
    </row>
    <row r="313">
      <c r="A313" s="11"/>
      <c r="C313" s="11"/>
      <c r="D313" s="11"/>
      <c r="E313" s="11"/>
      <c r="F313" s="11"/>
    </row>
    <row r="314">
      <c r="A314" s="11"/>
      <c r="C314" s="11"/>
      <c r="D314" s="11"/>
      <c r="E314" s="11"/>
      <c r="F314" s="11"/>
    </row>
    <row r="315">
      <c r="A315" s="11"/>
      <c r="C315" s="11"/>
      <c r="D315" s="11"/>
      <c r="E315" s="11"/>
      <c r="F315" s="11"/>
    </row>
    <row r="316">
      <c r="A316" s="11"/>
      <c r="C316" s="11"/>
      <c r="D316" s="11"/>
      <c r="E316" s="11"/>
      <c r="F316" s="11"/>
    </row>
    <row r="317">
      <c r="A317" s="11"/>
      <c r="C317" s="11"/>
      <c r="D317" s="11"/>
      <c r="E317" s="11"/>
      <c r="F317" s="11"/>
    </row>
    <row r="318">
      <c r="A318" s="11"/>
      <c r="C318" s="11"/>
      <c r="D318" s="11"/>
      <c r="E318" s="11"/>
      <c r="F318" s="11"/>
    </row>
    <row r="319">
      <c r="A319" s="11"/>
      <c r="C319" s="11"/>
      <c r="D319" s="11"/>
      <c r="E319" s="11"/>
      <c r="F319" s="11"/>
    </row>
    <row r="320">
      <c r="A320" s="11"/>
      <c r="C320" s="11"/>
      <c r="D320" s="11"/>
      <c r="E320" s="11"/>
      <c r="F320" s="11"/>
    </row>
    <row r="321">
      <c r="A321" s="11"/>
      <c r="C321" s="11"/>
      <c r="D321" s="11"/>
      <c r="E321" s="11"/>
      <c r="F321" s="11"/>
    </row>
    <row r="322">
      <c r="A322" s="11"/>
      <c r="C322" s="11"/>
      <c r="D322" s="11"/>
      <c r="E322" s="11"/>
      <c r="F322" s="11"/>
    </row>
    <row r="323">
      <c r="A323" s="11"/>
      <c r="C323" s="11"/>
      <c r="D323" s="11"/>
      <c r="E323" s="11"/>
      <c r="F323" s="11"/>
    </row>
    <row r="324">
      <c r="A324" s="11"/>
      <c r="C324" s="11"/>
      <c r="D324" s="11"/>
      <c r="E324" s="11"/>
      <c r="F324" s="11"/>
    </row>
    <row r="325">
      <c r="A325" s="11"/>
      <c r="C325" s="11"/>
      <c r="D325" s="11"/>
      <c r="E325" s="11"/>
      <c r="F325" s="11"/>
    </row>
    <row r="326">
      <c r="A326" s="11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C343" s="11"/>
      <c r="D343" s="11"/>
      <c r="E343" s="11"/>
      <c r="F343" s="11"/>
    </row>
    <row r="344">
      <c r="A344" s="11"/>
      <c r="C344" s="11"/>
      <c r="D344" s="11"/>
      <c r="E344" s="11"/>
      <c r="F344" s="11"/>
    </row>
    <row r="345">
      <c r="A345" s="11"/>
      <c r="C345" s="11"/>
      <c r="D345" s="11"/>
      <c r="E345" s="11"/>
      <c r="F345" s="11"/>
    </row>
    <row r="346">
      <c r="A346" s="11"/>
      <c r="C346" s="11"/>
      <c r="D346" s="11"/>
      <c r="E346" s="11"/>
      <c r="F346" s="11"/>
    </row>
    <row r="347">
      <c r="A347" s="11"/>
      <c r="C347" s="11"/>
      <c r="D347" s="11"/>
      <c r="E347" s="11"/>
      <c r="F347" s="11"/>
    </row>
    <row r="348">
      <c r="A348" s="11"/>
      <c r="C348" s="11"/>
      <c r="D348" s="11"/>
      <c r="E348" s="11"/>
      <c r="F348" s="11"/>
    </row>
    <row r="349">
      <c r="A349" s="11"/>
      <c r="C349" s="11"/>
      <c r="D349" s="11"/>
      <c r="E349" s="11"/>
      <c r="F349" s="11"/>
    </row>
    <row r="350">
      <c r="A350" s="11"/>
      <c r="C350" s="11"/>
      <c r="D350" s="11"/>
      <c r="E350" s="11"/>
      <c r="F350" s="11"/>
    </row>
    <row r="351">
      <c r="A351" s="11"/>
      <c r="C351" s="11"/>
      <c r="D351" s="11"/>
      <c r="E351" s="11"/>
      <c r="F351" s="11"/>
    </row>
    <row r="352">
      <c r="A352" s="11"/>
      <c r="C352" s="11"/>
      <c r="D352" s="11"/>
      <c r="E352" s="11"/>
      <c r="F352" s="11"/>
    </row>
    <row r="353">
      <c r="A353" s="11"/>
      <c r="C353" s="11"/>
      <c r="D353" s="11"/>
      <c r="E353" s="11"/>
      <c r="F353" s="11"/>
    </row>
    <row r="354">
      <c r="A354" s="11"/>
      <c r="C354" s="11"/>
      <c r="D354" s="11"/>
      <c r="E354" s="11"/>
      <c r="F354" s="11"/>
    </row>
    <row r="355">
      <c r="A355" s="11"/>
      <c r="C355" s="11"/>
      <c r="D355" s="11"/>
      <c r="E355" s="11"/>
      <c r="F355" s="11"/>
    </row>
    <row r="356">
      <c r="A356" s="11"/>
      <c r="C356" s="11"/>
      <c r="D356" s="11"/>
      <c r="E356" s="11"/>
      <c r="F356" s="11"/>
    </row>
    <row r="357">
      <c r="A357" s="11"/>
      <c r="C357" s="11"/>
      <c r="D357" s="11"/>
      <c r="E357" s="11"/>
      <c r="F357" s="11"/>
    </row>
    <row r="358">
      <c r="A358" s="11"/>
      <c r="C358" s="11"/>
      <c r="D358" s="11"/>
      <c r="E358" s="11"/>
      <c r="F358" s="11"/>
    </row>
    <row r="359">
      <c r="A359" s="11"/>
      <c r="C359" s="11"/>
      <c r="D359" s="11"/>
      <c r="E359" s="11"/>
      <c r="F359" s="11"/>
    </row>
    <row r="360">
      <c r="A360" s="11"/>
      <c r="C360" s="11"/>
      <c r="D360" s="11"/>
      <c r="E360" s="11"/>
      <c r="F360" s="11"/>
    </row>
    <row r="361">
      <c r="A361" s="11"/>
      <c r="C361" s="11"/>
      <c r="D361" s="11"/>
      <c r="E361" s="11"/>
      <c r="F361" s="11"/>
    </row>
    <row r="362">
      <c r="A362" s="11"/>
      <c r="C362" s="11"/>
      <c r="D362" s="11"/>
      <c r="E362" s="11"/>
      <c r="F362" s="11"/>
    </row>
    <row r="363">
      <c r="A363" s="11"/>
      <c r="C363" s="11"/>
      <c r="D363" s="11"/>
      <c r="E363" s="11"/>
      <c r="F363" s="11"/>
    </row>
    <row r="364">
      <c r="A364" s="11"/>
      <c r="C364" s="11"/>
      <c r="D364" s="11"/>
      <c r="E364" s="11"/>
      <c r="F364" s="11"/>
    </row>
    <row r="365">
      <c r="A365" s="11"/>
      <c r="C365" s="11"/>
      <c r="D365" s="11"/>
      <c r="E365" s="11"/>
      <c r="F365" s="11"/>
    </row>
    <row r="366">
      <c r="A366" s="11"/>
      <c r="C366" s="11"/>
      <c r="D366" s="11"/>
      <c r="E366" s="11"/>
      <c r="F366" s="11"/>
    </row>
    <row r="367">
      <c r="A367" s="11"/>
      <c r="C367" s="11"/>
      <c r="D367" s="11"/>
      <c r="E367" s="11"/>
      <c r="F367" s="11"/>
    </row>
    <row r="368">
      <c r="A368" s="11"/>
      <c r="C368" s="11"/>
      <c r="D368" s="11"/>
      <c r="E368" s="11"/>
      <c r="F368" s="11"/>
    </row>
    <row r="369">
      <c r="A369" s="11"/>
      <c r="C369" s="11"/>
      <c r="D369" s="11"/>
      <c r="E369" s="11"/>
      <c r="F369" s="11"/>
    </row>
    <row r="370">
      <c r="A370" s="11"/>
      <c r="C370" s="11"/>
      <c r="D370" s="11"/>
      <c r="E370" s="11"/>
      <c r="F370" s="11"/>
    </row>
    <row r="371">
      <c r="A371" s="11"/>
      <c r="C371" s="11"/>
      <c r="D371" s="11"/>
      <c r="E371" s="11"/>
      <c r="F371" s="11"/>
    </row>
    <row r="372">
      <c r="A372" s="11"/>
      <c r="C372" s="11"/>
      <c r="D372" s="11"/>
      <c r="E372" s="11"/>
      <c r="F372" s="11"/>
    </row>
    <row r="373">
      <c r="A373" s="11"/>
      <c r="C373" s="11"/>
      <c r="D373" s="11"/>
      <c r="E373" s="11"/>
      <c r="F373" s="11"/>
    </row>
    <row r="374">
      <c r="A374" s="11"/>
      <c r="C374" s="11"/>
      <c r="D374" s="11"/>
      <c r="E374" s="11"/>
      <c r="F374" s="11"/>
    </row>
    <row r="375">
      <c r="A375" s="11"/>
      <c r="C375" s="11"/>
      <c r="D375" s="11"/>
      <c r="E375" s="11"/>
      <c r="F375" s="11"/>
    </row>
    <row r="376">
      <c r="A376" s="11"/>
      <c r="C376" s="11"/>
      <c r="D376" s="11"/>
      <c r="E376" s="11"/>
      <c r="F376" s="11"/>
    </row>
    <row r="377">
      <c r="A377" s="11"/>
      <c r="C377" s="11"/>
      <c r="D377" s="11"/>
      <c r="E377" s="11"/>
      <c r="F377" s="11"/>
    </row>
    <row r="378">
      <c r="A378" s="11"/>
      <c r="C378" s="11"/>
      <c r="D378" s="11"/>
      <c r="E378" s="11"/>
      <c r="F378" s="11"/>
    </row>
    <row r="379">
      <c r="A379" s="11"/>
      <c r="C379" s="11"/>
      <c r="D379" s="11"/>
      <c r="E379" s="11"/>
      <c r="F379" s="11"/>
    </row>
    <row r="380">
      <c r="A380" s="11"/>
      <c r="C380" s="11"/>
      <c r="D380" s="11"/>
      <c r="E380" s="11"/>
      <c r="F380" s="11"/>
    </row>
    <row r="381">
      <c r="A381" s="11"/>
      <c r="C381" s="11"/>
      <c r="D381" s="11"/>
      <c r="E381" s="11"/>
      <c r="F381" s="11"/>
    </row>
    <row r="382">
      <c r="A382" s="11"/>
      <c r="C382" s="11"/>
      <c r="D382" s="11"/>
      <c r="E382" s="11"/>
      <c r="F382" s="11"/>
    </row>
    <row r="383">
      <c r="A383" s="11"/>
      <c r="C383" s="11"/>
      <c r="D383" s="11"/>
      <c r="E383" s="11"/>
      <c r="F383" s="11"/>
    </row>
    <row r="384">
      <c r="A384" s="11"/>
      <c r="C384" s="11"/>
      <c r="D384" s="11"/>
      <c r="E384" s="11"/>
      <c r="F384" s="11"/>
    </row>
    <row r="385">
      <c r="A385" s="11"/>
      <c r="C385" s="11"/>
      <c r="D385" s="11"/>
      <c r="E385" s="11"/>
      <c r="F385" s="11"/>
    </row>
    <row r="386">
      <c r="A386" s="11"/>
      <c r="C386" s="11"/>
      <c r="D386" s="11"/>
      <c r="E386" s="11"/>
      <c r="F386" s="11"/>
    </row>
    <row r="387">
      <c r="A387" s="11"/>
      <c r="C387" s="11"/>
      <c r="D387" s="11"/>
      <c r="E387" s="11"/>
      <c r="F387" s="11"/>
    </row>
    <row r="388">
      <c r="A388" s="11"/>
      <c r="C388" s="11"/>
      <c r="D388" s="11"/>
      <c r="E388" s="11"/>
      <c r="F388" s="11"/>
    </row>
    <row r="389">
      <c r="A389" s="11"/>
      <c r="C389" s="11"/>
      <c r="D389" s="11"/>
      <c r="E389" s="11"/>
      <c r="F389" s="11"/>
    </row>
    <row r="390">
      <c r="A390" s="11"/>
      <c r="C390" s="11"/>
      <c r="D390" s="11"/>
      <c r="E390" s="11"/>
      <c r="F390" s="11"/>
    </row>
    <row r="391">
      <c r="A391" s="11"/>
      <c r="C391" s="11"/>
      <c r="D391" s="11"/>
      <c r="E391" s="11"/>
      <c r="F391" s="11"/>
    </row>
    <row r="392">
      <c r="A392" s="11"/>
      <c r="C392" s="11"/>
      <c r="D392" s="11"/>
      <c r="E392" s="11"/>
      <c r="F392" s="11"/>
    </row>
    <row r="393">
      <c r="A393" s="11"/>
      <c r="C393" s="11"/>
      <c r="D393" s="11"/>
      <c r="E393" s="11"/>
      <c r="F393" s="11"/>
    </row>
    <row r="394">
      <c r="A394" s="11"/>
      <c r="C394" s="11"/>
      <c r="D394" s="11"/>
      <c r="E394" s="11"/>
      <c r="F394" s="11"/>
    </row>
    <row r="395">
      <c r="A395" s="11"/>
      <c r="C395" s="11"/>
      <c r="D395" s="11"/>
      <c r="E395" s="11"/>
      <c r="F395" s="11"/>
    </row>
    <row r="396">
      <c r="A396" s="11"/>
      <c r="C396" s="11"/>
      <c r="D396" s="11"/>
      <c r="E396" s="11"/>
      <c r="F396" s="11"/>
    </row>
    <row r="397">
      <c r="A397" s="11"/>
      <c r="C397" s="11"/>
      <c r="D397" s="11"/>
      <c r="E397" s="11"/>
      <c r="F397" s="11"/>
    </row>
    <row r="398">
      <c r="A398" s="11"/>
      <c r="C398" s="11"/>
      <c r="D398" s="11"/>
      <c r="E398" s="11"/>
      <c r="F398" s="11"/>
    </row>
    <row r="399">
      <c r="A399" s="11"/>
      <c r="C399" s="11"/>
      <c r="D399" s="11"/>
      <c r="E399" s="11"/>
      <c r="F399" s="11"/>
    </row>
    <row r="400">
      <c r="A400" s="11"/>
      <c r="C400" s="11"/>
      <c r="D400" s="11"/>
      <c r="E400" s="11"/>
      <c r="F400" s="11"/>
    </row>
    <row r="401">
      <c r="A401" s="11"/>
      <c r="C401" s="11"/>
      <c r="D401" s="11"/>
      <c r="E401" s="11"/>
      <c r="F401" s="11"/>
    </row>
    <row r="402">
      <c r="A402" s="11"/>
      <c r="C402" s="11"/>
      <c r="D402" s="11"/>
      <c r="E402" s="11"/>
      <c r="F402" s="11"/>
    </row>
    <row r="403">
      <c r="A403" s="11"/>
      <c r="C403" s="11"/>
      <c r="D403" s="11"/>
      <c r="E403" s="11"/>
      <c r="F403" s="11"/>
    </row>
    <row r="404">
      <c r="A404" s="11"/>
      <c r="C404" s="11"/>
      <c r="D404" s="11"/>
      <c r="E404" s="11"/>
      <c r="F404" s="11"/>
    </row>
    <row r="405">
      <c r="A405" s="11"/>
      <c r="C405" s="11"/>
      <c r="D405" s="11"/>
      <c r="E405" s="11"/>
      <c r="F405" s="11"/>
    </row>
    <row r="406">
      <c r="A406" s="11"/>
      <c r="C406" s="11"/>
      <c r="D406" s="11"/>
      <c r="E406" s="11"/>
      <c r="F406" s="11"/>
    </row>
    <row r="407">
      <c r="A407" s="11"/>
      <c r="C407" s="11"/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</sheetData>
  <mergeCells count="149"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F137:H137"/>
    <mergeCell ref="I137:M137"/>
    <mergeCell ref="C135:E135"/>
    <mergeCell ref="F135:H135"/>
    <mergeCell ref="I135:M135"/>
    <mergeCell ref="C136:E136"/>
    <mergeCell ref="F136:H136"/>
    <mergeCell ref="I136:M136"/>
    <mergeCell ref="C137:E137"/>
    <mergeCell ref="C1:F1"/>
    <mergeCell ref="I1:K1"/>
    <mergeCell ref="L1:M1"/>
    <mergeCell ref="B2:C2"/>
    <mergeCell ref="C3:E3"/>
    <mergeCell ref="F3:M3"/>
    <mergeCell ref="N3:O3"/>
    <mergeCell ref="P77:Q77"/>
    <mergeCell ref="P79:Q79"/>
    <mergeCell ref="P80:Q80"/>
    <mergeCell ref="A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42:H142"/>
    <mergeCell ref="F143:H143"/>
    <mergeCell ref="F164:H164"/>
    <mergeCell ref="F165:H165"/>
    <mergeCell ref="F157:H157"/>
    <mergeCell ref="F158:H158"/>
    <mergeCell ref="F159:H159"/>
    <mergeCell ref="F160:H160"/>
    <mergeCell ref="F161:H161"/>
    <mergeCell ref="F162:H162"/>
    <mergeCell ref="F163:H163"/>
    <mergeCell ref="C168:E168"/>
    <mergeCell ref="F168:H168"/>
    <mergeCell ref="C169:E169"/>
    <mergeCell ref="F169:H169"/>
    <mergeCell ref="C170:E170"/>
    <mergeCell ref="F170:H170"/>
    <mergeCell ref="F171:H171"/>
    <mergeCell ref="C178:E178"/>
    <mergeCell ref="C179:E179"/>
    <mergeCell ref="C180:E180"/>
    <mergeCell ref="C181:E181"/>
    <mergeCell ref="C182:E182"/>
    <mergeCell ref="C171:E171"/>
    <mergeCell ref="C172:E172"/>
    <mergeCell ref="C173:E173"/>
    <mergeCell ref="C174:E174"/>
    <mergeCell ref="C175:E175"/>
    <mergeCell ref="C176:E176"/>
    <mergeCell ref="C177:E177"/>
    <mergeCell ref="F179:H179"/>
    <mergeCell ref="F180:H180"/>
    <mergeCell ref="F181:H181"/>
    <mergeCell ref="F182:H182"/>
    <mergeCell ref="F172:H172"/>
    <mergeCell ref="F173:H173"/>
    <mergeCell ref="F174:H174"/>
    <mergeCell ref="F175:H175"/>
    <mergeCell ref="F176:H176"/>
    <mergeCell ref="F177:H177"/>
    <mergeCell ref="F178:H178"/>
    <mergeCell ref="C138:E138"/>
    <mergeCell ref="F138:H138"/>
    <mergeCell ref="C139:E139"/>
    <mergeCell ref="F139:H139"/>
    <mergeCell ref="C140:E140"/>
    <mergeCell ref="F140:H140"/>
    <mergeCell ref="F141:H141"/>
    <mergeCell ref="C141:E141"/>
    <mergeCell ref="C142:E142"/>
    <mergeCell ref="C143:E143"/>
    <mergeCell ref="C144:E144"/>
    <mergeCell ref="F144:H144"/>
    <mergeCell ref="C145:E145"/>
    <mergeCell ref="F145:H145"/>
    <mergeCell ref="C146:E146"/>
    <mergeCell ref="F146:H146"/>
    <mergeCell ref="C147:E147"/>
    <mergeCell ref="F147:H147"/>
    <mergeCell ref="C148:E148"/>
    <mergeCell ref="F148:H148"/>
    <mergeCell ref="F149:H149"/>
    <mergeCell ref="C149:E149"/>
    <mergeCell ref="C150:E150"/>
    <mergeCell ref="C151:E151"/>
    <mergeCell ref="C152:E152"/>
    <mergeCell ref="C153:E153"/>
    <mergeCell ref="C154:E154"/>
    <mergeCell ref="C155:E155"/>
    <mergeCell ref="F150:H150"/>
    <mergeCell ref="F151:H151"/>
    <mergeCell ref="F152:H152"/>
    <mergeCell ref="F153:H153"/>
    <mergeCell ref="F154:H154"/>
    <mergeCell ref="F155:H155"/>
    <mergeCell ref="F156:H156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F166:H166"/>
    <mergeCell ref="C167:E167"/>
    <mergeCell ref="F167:H167"/>
  </mergeCells>
  <conditionalFormatting sqref="L5:L69">
    <cfRule type="expression" dxfId="1" priority="1">
      <formula> L5&gt;=18</formula>
    </cfRule>
  </conditionalFormatting>
  <conditionalFormatting sqref="C10 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13">
        <v>45640.0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24.0</v>
      </c>
      <c r="E2" s="11"/>
      <c r="F2" s="11"/>
      <c r="AB2" s="20" t="str">
        <f>text(C1-7,"mm/dd/yy")</f>
        <v>12/07/24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32">
        <v>354.0</v>
      </c>
      <c r="D5" s="32">
        <v>41.0</v>
      </c>
      <c r="E5" s="35">
        <f t="shared" ref="E5:E69" si="2">(C5-(U5*9)-(S5*13))/($D$2-U5-S5)</f>
        <v>16.64705882</v>
      </c>
      <c r="F5" s="37">
        <v>1.0</v>
      </c>
      <c r="G5" s="39">
        <v>1.0</v>
      </c>
      <c r="H5" s="40">
        <v>0.0</v>
      </c>
      <c r="I5" s="39">
        <v>6.0</v>
      </c>
      <c r="J5" s="39">
        <v>6.0</v>
      </c>
      <c r="K5" s="39">
        <v>6.0</v>
      </c>
      <c r="L5" s="42">
        <v>18.0</v>
      </c>
      <c r="M5" s="39">
        <v>3.0</v>
      </c>
      <c r="N5" s="32">
        <f t="shared" ref="N5:O5" si="1">C5+L5</f>
        <v>372</v>
      </c>
      <c r="O5" s="32">
        <f t="shared" si="1"/>
        <v>44</v>
      </c>
      <c r="P5" s="43" t="s">
        <v>53</v>
      </c>
      <c r="Q5" s="43" t="s">
        <v>53</v>
      </c>
      <c r="R5" s="43"/>
      <c r="S5" s="39">
        <f t="shared" ref="S5:S69" si="4">if(H5=13,1,0)+VLOOKUP(B5,indirect($AB$2&amp;"!B:T"),18,false)</f>
        <v>2</v>
      </c>
      <c r="T5" s="39"/>
      <c r="U5" s="39">
        <f t="shared" ref="U5:U69" si="5">if(H5=9,1,0)+VLOOKUP(B5,indirect($AB$2&amp;"!B:U"),20,false)</f>
        <v>5</v>
      </c>
      <c r="V5" s="39">
        <f t="shared" ref="V5:V65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31" t="s">
        <v>57</v>
      </c>
      <c r="C6" s="32">
        <v>309.0</v>
      </c>
      <c r="D6" s="32">
        <v>27.0</v>
      </c>
      <c r="E6" s="35">
        <f t="shared" si="2"/>
        <v>14.0625</v>
      </c>
      <c r="F6" s="37">
        <v>3.0</v>
      </c>
      <c r="G6" s="39">
        <v>0.0</v>
      </c>
      <c r="H6" s="40">
        <v>9.0</v>
      </c>
      <c r="I6" s="39">
        <v>0.0</v>
      </c>
      <c r="J6" s="39">
        <v>0.0</v>
      </c>
      <c r="K6" s="39">
        <v>0.0</v>
      </c>
      <c r="L6" s="42">
        <v>9.0</v>
      </c>
      <c r="M6" s="39">
        <v>0.0</v>
      </c>
      <c r="N6" s="32">
        <f t="shared" ref="N6:O6" si="3">C6+L6</f>
        <v>318</v>
      </c>
      <c r="O6" s="32">
        <f t="shared" si="3"/>
        <v>27</v>
      </c>
      <c r="P6" s="43" t="s">
        <v>53</v>
      </c>
      <c r="Q6" s="43" t="s">
        <v>53</v>
      </c>
      <c r="R6" s="43" t="s">
        <v>53</v>
      </c>
      <c r="S6" s="39">
        <f t="shared" si="4"/>
        <v>3</v>
      </c>
      <c r="T6" s="39"/>
      <c r="U6" s="39">
        <f t="shared" si="5"/>
        <v>5</v>
      </c>
      <c r="V6" s="39">
        <f t="shared" si="6"/>
        <v>2</v>
      </c>
      <c r="W6" s="30">
        <f t="shared" ref="W6:W69" si="9">W5+1</f>
        <v>2</v>
      </c>
    </row>
    <row r="7">
      <c r="A7" s="30">
        <f t="shared" si="7"/>
        <v>3</v>
      </c>
      <c r="B7" s="31" t="s">
        <v>82</v>
      </c>
      <c r="C7" s="32">
        <v>306.0</v>
      </c>
      <c r="D7" s="32">
        <v>26.0</v>
      </c>
      <c r="E7" s="35">
        <f t="shared" si="2"/>
        <v>15.30769231</v>
      </c>
      <c r="F7" s="37">
        <v>1.0</v>
      </c>
      <c r="G7" s="39">
        <v>1.0</v>
      </c>
      <c r="H7" s="40">
        <v>0.0</v>
      </c>
      <c r="I7" s="39">
        <v>2.0</v>
      </c>
      <c r="J7" s="39">
        <v>4.0</v>
      </c>
      <c r="K7" s="39">
        <v>6.0</v>
      </c>
      <c r="L7" s="42">
        <v>12.0</v>
      </c>
      <c r="M7" s="39">
        <v>1.0</v>
      </c>
      <c r="N7" s="32">
        <f t="shared" ref="N7:O7" si="8">C7+L7</f>
        <v>318</v>
      </c>
      <c r="O7" s="32">
        <f t="shared" si="8"/>
        <v>27</v>
      </c>
      <c r="P7" s="43" t="s">
        <v>53</v>
      </c>
      <c r="Q7" s="43" t="s">
        <v>53</v>
      </c>
      <c r="R7" s="43" t="s">
        <v>53</v>
      </c>
      <c r="S7" s="39">
        <f t="shared" si="4"/>
        <v>2</v>
      </c>
      <c r="T7" s="39"/>
      <c r="U7" s="39">
        <f t="shared" si="5"/>
        <v>9</v>
      </c>
      <c r="V7" s="39">
        <f t="shared" si="6"/>
        <v>0</v>
      </c>
      <c r="W7" s="30">
        <f t="shared" si="9"/>
        <v>3</v>
      </c>
    </row>
    <row r="8">
      <c r="A8" s="30">
        <f t="shared" si="7"/>
        <v>4</v>
      </c>
      <c r="B8" s="51" t="s">
        <v>54</v>
      </c>
      <c r="C8" s="32">
        <v>304.0</v>
      </c>
      <c r="D8" s="32">
        <v>30.0</v>
      </c>
      <c r="E8" s="35">
        <f t="shared" si="2"/>
        <v>13.66666667</v>
      </c>
      <c r="F8" s="37">
        <v>3.0</v>
      </c>
      <c r="G8" s="39">
        <v>0.0</v>
      </c>
      <c r="H8" s="40">
        <v>9.0</v>
      </c>
      <c r="I8" s="39">
        <v>0.0</v>
      </c>
      <c r="J8" s="39">
        <v>0.0</v>
      </c>
      <c r="K8" s="39">
        <v>0.0</v>
      </c>
      <c r="L8" s="42">
        <v>9.0</v>
      </c>
      <c r="M8" s="39">
        <v>0.0</v>
      </c>
      <c r="N8" s="32">
        <f t="shared" ref="N8:O8" si="10">C8+L8</f>
        <v>313</v>
      </c>
      <c r="O8" s="32">
        <f t="shared" si="10"/>
        <v>30</v>
      </c>
      <c r="P8" s="43" t="s">
        <v>53</v>
      </c>
      <c r="Q8" s="43" t="s">
        <v>53</v>
      </c>
      <c r="R8" s="43" t="s">
        <v>53</v>
      </c>
      <c r="S8" s="39">
        <f t="shared" si="4"/>
        <v>1</v>
      </c>
      <c r="T8" s="39"/>
      <c r="U8" s="39">
        <f t="shared" si="5"/>
        <v>5</v>
      </c>
      <c r="V8" s="39">
        <f t="shared" si="6"/>
        <v>1</v>
      </c>
      <c r="W8" s="30">
        <f t="shared" si="9"/>
        <v>4</v>
      </c>
    </row>
    <row r="9">
      <c r="A9" s="30">
        <f t="shared" si="7"/>
        <v>5</v>
      </c>
      <c r="B9" s="51" t="s">
        <v>85</v>
      </c>
      <c r="C9" s="32">
        <v>304.0</v>
      </c>
      <c r="D9" s="32">
        <v>26.0</v>
      </c>
      <c r="E9" s="35">
        <f t="shared" si="2"/>
        <v>16.63636364</v>
      </c>
      <c r="F9" s="37">
        <v>3.0</v>
      </c>
      <c r="G9" s="39">
        <v>0.0</v>
      </c>
      <c r="H9" s="40">
        <v>9.0</v>
      </c>
      <c r="I9" s="39">
        <v>0.0</v>
      </c>
      <c r="J9" s="39">
        <v>0.0</v>
      </c>
      <c r="K9" s="39">
        <v>0.0</v>
      </c>
      <c r="L9" s="42">
        <v>9.0</v>
      </c>
      <c r="M9" s="39">
        <v>0.0</v>
      </c>
      <c r="N9" s="32">
        <f t="shared" ref="N9:O9" si="11">C9+L9</f>
        <v>313</v>
      </c>
      <c r="O9" s="32">
        <f t="shared" si="11"/>
        <v>26</v>
      </c>
      <c r="P9" s="43" t="s">
        <v>53</v>
      </c>
      <c r="Q9" s="43" t="s">
        <v>53</v>
      </c>
      <c r="R9" s="43" t="s">
        <v>53</v>
      </c>
      <c r="S9" s="39">
        <f t="shared" si="4"/>
        <v>1</v>
      </c>
      <c r="T9" s="39"/>
      <c r="U9" s="39">
        <f t="shared" si="5"/>
        <v>12</v>
      </c>
      <c r="V9" s="39">
        <f t="shared" si="6"/>
        <v>2</v>
      </c>
      <c r="W9" s="30">
        <f t="shared" si="9"/>
        <v>5</v>
      </c>
    </row>
    <row r="10">
      <c r="A10" s="30">
        <f t="shared" si="7"/>
        <v>6</v>
      </c>
      <c r="B10" s="31" t="s">
        <v>61</v>
      </c>
      <c r="C10" s="32">
        <v>303.0</v>
      </c>
      <c r="D10" s="32">
        <v>30.0</v>
      </c>
      <c r="E10" s="35">
        <f t="shared" si="2"/>
        <v>14.11764706</v>
      </c>
      <c r="F10" s="37">
        <v>1.0</v>
      </c>
      <c r="G10" s="39">
        <v>1.0</v>
      </c>
      <c r="H10" s="40">
        <v>0.0</v>
      </c>
      <c r="I10" s="39">
        <v>6.0</v>
      </c>
      <c r="J10" s="39">
        <v>4.0</v>
      </c>
      <c r="K10" s="39">
        <v>4.0</v>
      </c>
      <c r="L10" s="42">
        <v>14.0</v>
      </c>
      <c r="M10" s="39">
        <v>1.0</v>
      </c>
      <c r="N10" s="32">
        <f t="shared" ref="N10:O10" si="12">C10+L10</f>
        <v>317</v>
      </c>
      <c r="O10" s="32">
        <f t="shared" si="12"/>
        <v>31</v>
      </c>
      <c r="P10" s="43" t="s">
        <v>53</v>
      </c>
      <c r="Q10" s="43" t="s">
        <v>53</v>
      </c>
      <c r="R10" s="43" t="s">
        <v>53</v>
      </c>
      <c r="S10" s="39">
        <f t="shared" si="4"/>
        <v>0</v>
      </c>
      <c r="T10" s="39"/>
      <c r="U10" s="39">
        <f t="shared" si="5"/>
        <v>7</v>
      </c>
      <c r="V10" s="39">
        <f t="shared" si="6"/>
        <v>-4</v>
      </c>
      <c r="W10" s="30">
        <f t="shared" si="9"/>
        <v>6</v>
      </c>
    </row>
    <row r="11">
      <c r="A11" s="30">
        <f t="shared" si="7"/>
        <v>7</v>
      </c>
      <c r="B11" s="51" t="s">
        <v>78</v>
      </c>
      <c r="C11" s="32">
        <v>303.0</v>
      </c>
      <c r="D11" s="32">
        <v>29.0</v>
      </c>
      <c r="E11" s="35">
        <f t="shared" si="2"/>
        <v>12.7826087</v>
      </c>
      <c r="F11" s="37">
        <v>1.0</v>
      </c>
      <c r="G11" s="39">
        <v>1.0</v>
      </c>
      <c r="H11" s="40">
        <v>0.0</v>
      </c>
      <c r="I11" s="39">
        <v>2.0</v>
      </c>
      <c r="J11" s="39">
        <v>6.0</v>
      </c>
      <c r="K11" s="39">
        <v>4.0</v>
      </c>
      <c r="L11" s="42">
        <v>12.0</v>
      </c>
      <c r="M11" s="39">
        <v>1.0</v>
      </c>
      <c r="N11" s="32">
        <f t="shared" ref="N11:O11" si="13">C11+L11</f>
        <v>315</v>
      </c>
      <c r="O11" s="32">
        <f t="shared" si="13"/>
        <v>30</v>
      </c>
      <c r="P11" s="43" t="s">
        <v>53</v>
      </c>
      <c r="Q11" s="43" t="s">
        <v>53</v>
      </c>
      <c r="R11" s="43" t="s">
        <v>53</v>
      </c>
      <c r="S11" s="39">
        <f t="shared" si="4"/>
        <v>0</v>
      </c>
      <c r="T11" s="39"/>
      <c r="U11" s="39">
        <f t="shared" si="5"/>
        <v>1</v>
      </c>
      <c r="V11" s="39">
        <f t="shared" si="6"/>
        <v>-1</v>
      </c>
      <c r="W11" s="30">
        <f t="shared" si="9"/>
        <v>7</v>
      </c>
    </row>
    <row r="12">
      <c r="A12" s="30">
        <f t="shared" si="7"/>
        <v>8</v>
      </c>
      <c r="B12" s="31" t="s">
        <v>83</v>
      </c>
      <c r="C12" s="32">
        <v>298.0</v>
      </c>
      <c r="D12" s="32">
        <v>25.0</v>
      </c>
      <c r="E12" s="35">
        <f t="shared" si="2"/>
        <v>14.46666667</v>
      </c>
      <c r="F12" s="37">
        <v>1.0</v>
      </c>
      <c r="G12" s="39">
        <v>2.0</v>
      </c>
      <c r="H12" s="40">
        <v>0.0</v>
      </c>
      <c r="I12" s="39">
        <v>3.0</v>
      </c>
      <c r="J12" s="39">
        <v>5.0</v>
      </c>
      <c r="K12" s="39">
        <v>3.0</v>
      </c>
      <c r="L12" s="42">
        <v>11.0</v>
      </c>
      <c r="M12" s="39">
        <v>0.0</v>
      </c>
      <c r="N12" s="32">
        <f t="shared" ref="N12:O12" si="14">C12+L12</f>
        <v>309</v>
      </c>
      <c r="O12" s="32">
        <f t="shared" si="14"/>
        <v>25</v>
      </c>
      <c r="P12" s="43" t="s">
        <v>53</v>
      </c>
      <c r="Q12" s="43" t="s">
        <v>53</v>
      </c>
      <c r="R12" s="43" t="s">
        <v>53</v>
      </c>
      <c r="S12" s="39">
        <f t="shared" si="4"/>
        <v>0</v>
      </c>
      <c r="T12" s="39"/>
      <c r="U12" s="39">
        <f t="shared" si="5"/>
        <v>9</v>
      </c>
      <c r="V12" s="39">
        <f t="shared" si="6"/>
        <v>0</v>
      </c>
      <c r="W12" s="30">
        <f t="shared" si="9"/>
        <v>8</v>
      </c>
    </row>
    <row r="13">
      <c r="A13" s="30">
        <f t="shared" si="7"/>
        <v>9</v>
      </c>
      <c r="B13" s="56" t="s">
        <v>65</v>
      </c>
      <c r="C13" s="32">
        <v>298.0</v>
      </c>
      <c r="D13" s="32">
        <v>22.0</v>
      </c>
      <c r="E13" s="35">
        <f t="shared" si="2"/>
        <v>13.33333333</v>
      </c>
      <c r="F13" s="37">
        <v>1.0</v>
      </c>
      <c r="G13" s="39">
        <v>2.0</v>
      </c>
      <c r="H13" s="40">
        <v>0.0</v>
      </c>
      <c r="I13" s="39">
        <v>6.0</v>
      </c>
      <c r="J13" s="39">
        <v>7.0</v>
      </c>
      <c r="K13" s="39">
        <v>3.0</v>
      </c>
      <c r="L13" s="42">
        <v>16.0</v>
      </c>
      <c r="M13" s="39">
        <v>2.0</v>
      </c>
      <c r="N13" s="32">
        <f t="shared" ref="N13:O13" si="15">C13+L13</f>
        <v>314</v>
      </c>
      <c r="O13" s="32">
        <f t="shared" si="15"/>
        <v>24</v>
      </c>
      <c r="P13" s="43" t="s">
        <v>53</v>
      </c>
      <c r="Q13" s="43" t="s">
        <v>53</v>
      </c>
      <c r="R13" s="43" t="s">
        <v>53</v>
      </c>
      <c r="S13" s="39">
        <f t="shared" si="4"/>
        <v>1</v>
      </c>
      <c r="T13" s="39"/>
      <c r="U13" s="39">
        <f t="shared" si="5"/>
        <v>5</v>
      </c>
      <c r="V13" s="39">
        <f t="shared" si="6"/>
        <v>2</v>
      </c>
      <c r="W13" s="30">
        <f t="shared" si="9"/>
        <v>9</v>
      </c>
    </row>
    <row r="14">
      <c r="A14" s="30">
        <f t="shared" si="7"/>
        <v>10</v>
      </c>
      <c r="B14" s="31" t="s">
        <v>86</v>
      </c>
      <c r="C14" s="32">
        <v>297.0</v>
      </c>
      <c r="D14" s="32">
        <v>21.0</v>
      </c>
      <c r="E14" s="35">
        <f t="shared" si="2"/>
        <v>12.61111111</v>
      </c>
      <c r="F14" s="37">
        <v>3.0</v>
      </c>
      <c r="G14" s="39">
        <v>0.0</v>
      </c>
      <c r="H14" s="40">
        <v>9.0</v>
      </c>
      <c r="I14" s="39">
        <v>0.0</v>
      </c>
      <c r="J14" s="39">
        <v>0.0</v>
      </c>
      <c r="K14" s="39">
        <v>0.0</v>
      </c>
      <c r="L14" s="42">
        <v>9.0</v>
      </c>
      <c r="M14" s="39">
        <v>0.0</v>
      </c>
      <c r="N14" s="32">
        <f t="shared" ref="N14:O14" si="16">C14+L14</f>
        <v>306</v>
      </c>
      <c r="O14" s="32">
        <f t="shared" si="16"/>
        <v>21</v>
      </c>
      <c r="P14" s="43" t="s">
        <v>53</v>
      </c>
      <c r="Q14" s="43" t="s">
        <v>53</v>
      </c>
      <c r="R14" s="43" t="s">
        <v>53</v>
      </c>
      <c r="S14" s="39">
        <f t="shared" si="4"/>
        <v>4</v>
      </c>
      <c r="T14" s="39"/>
      <c r="U14" s="39">
        <f t="shared" si="5"/>
        <v>2</v>
      </c>
      <c r="V14" s="39">
        <f t="shared" si="6"/>
        <v>2</v>
      </c>
      <c r="W14" s="30">
        <f t="shared" si="9"/>
        <v>10</v>
      </c>
    </row>
    <row r="15">
      <c r="A15" s="30">
        <f t="shared" si="7"/>
        <v>11</v>
      </c>
      <c r="B15" s="31" t="s">
        <v>71</v>
      </c>
      <c r="C15" s="32">
        <v>296.0</v>
      </c>
      <c r="D15" s="32">
        <v>25.0</v>
      </c>
      <c r="E15" s="35">
        <f t="shared" si="2"/>
        <v>12.61904762</v>
      </c>
      <c r="F15" s="37">
        <v>1.0</v>
      </c>
      <c r="G15" s="39">
        <v>2.0</v>
      </c>
      <c r="H15" s="40">
        <v>0.0</v>
      </c>
      <c r="I15" s="39">
        <v>3.0</v>
      </c>
      <c r="J15" s="39">
        <v>7.0</v>
      </c>
      <c r="K15" s="39">
        <v>6.0</v>
      </c>
      <c r="L15" s="42">
        <v>16.0</v>
      </c>
      <c r="M15" s="39">
        <v>2.0</v>
      </c>
      <c r="N15" s="32">
        <f t="shared" ref="N15:O15" si="17">C15+L15</f>
        <v>312</v>
      </c>
      <c r="O15" s="32">
        <f t="shared" si="17"/>
        <v>27</v>
      </c>
      <c r="P15" s="43" t="s">
        <v>53</v>
      </c>
      <c r="Q15" s="43" t="s">
        <v>53</v>
      </c>
      <c r="R15" s="43" t="s">
        <v>53</v>
      </c>
      <c r="S15" s="39">
        <f t="shared" si="4"/>
        <v>1</v>
      </c>
      <c r="T15" s="39"/>
      <c r="U15" s="39">
        <f t="shared" si="5"/>
        <v>2</v>
      </c>
      <c r="V15" s="39">
        <f t="shared" si="6"/>
        <v>-1</v>
      </c>
      <c r="W15" s="30">
        <f t="shared" si="9"/>
        <v>11</v>
      </c>
    </row>
    <row r="16">
      <c r="A16" s="30">
        <f t="shared" si="7"/>
        <v>12</v>
      </c>
      <c r="B16" s="31" t="s">
        <v>34</v>
      </c>
      <c r="C16" s="32">
        <v>295.0</v>
      </c>
      <c r="D16" s="32">
        <v>31.0</v>
      </c>
      <c r="E16" s="35">
        <f t="shared" si="2"/>
        <v>13.38888889</v>
      </c>
      <c r="F16" s="37">
        <v>1.0</v>
      </c>
      <c r="G16" s="39">
        <v>2.0</v>
      </c>
      <c r="H16" s="40">
        <v>0.0</v>
      </c>
      <c r="I16" s="39">
        <v>6.0</v>
      </c>
      <c r="J16" s="39">
        <v>5.0</v>
      </c>
      <c r="K16" s="39">
        <v>6.0</v>
      </c>
      <c r="L16" s="42">
        <v>17.0</v>
      </c>
      <c r="M16" s="39">
        <v>2.0</v>
      </c>
      <c r="N16" s="32">
        <f t="shared" ref="N16:O16" si="18">C16+L16</f>
        <v>312</v>
      </c>
      <c r="O16" s="32">
        <f t="shared" si="18"/>
        <v>33</v>
      </c>
      <c r="P16" s="43" t="s">
        <v>53</v>
      </c>
      <c r="Q16" s="43" t="s">
        <v>53</v>
      </c>
      <c r="R16" s="43" t="s">
        <v>53</v>
      </c>
      <c r="S16" s="39">
        <f t="shared" si="4"/>
        <v>0</v>
      </c>
      <c r="T16" s="39"/>
      <c r="U16" s="39">
        <f t="shared" si="5"/>
        <v>6</v>
      </c>
      <c r="V16" s="39">
        <f t="shared" si="6"/>
        <v>4</v>
      </c>
      <c r="W16" s="30">
        <f t="shared" si="9"/>
        <v>12</v>
      </c>
    </row>
    <row r="17">
      <c r="A17" s="30">
        <f t="shared" si="7"/>
        <v>13</v>
      </c>
      <c r="B17" s="51" t="s">
        <v>87</v>
      </c>
      <c r="C17" s="32">
        <v>295.0</v>
      </c>
      <c r="D17" s="32">
        <v>25.0</v>
      </c>
      <c r="E17" s="35">
        <f t="shared" si="2"/>
        <v>12.70588235</v>
      </c>
      <c r="F17" s="37">
        <v>3.0</v>
      </c>
      <c r="G17" s="39">
        <v>0.0</v>
      </c>
      <c r="H17" s="40">
        <v>9.0</v>
      </c>
      <c r="I17" s="39">
        <v>0.0</v>
      </c>
      <c r="J17" s="39">
        <v>0.0</v>
      </c>
      <c r="K17" s="39">
        <v>0.0</v>
      </c>
      <c r="L17" s="42">
        <v>9.0</v>
      </c>
      <c r="M17" s="39">
        <v>0.0</v>
      </c>
      <c r="N17" s="32">
        <f t="shared" ref="N17:O17" si="19">C17+L17</f>
        <v>304</v>
      </c>
      <c r="O17" s="32">
        <f t="shared" si="19"/>
        <v>25</v>
      </c>
      <c r="P17" s="43" t="s">
        <v>53</v>
      </c>
      <c r="Q17" s="43" t="s">
        <v>53</v>
      </c>
      <c r="R17" s="43" t="s">
        <v>88</v>
      </c>
      <c r="S17" s="39">
        <f t="shared" si="4"/>
        <v>4</v>
      </c>
      <c r="T17" s="39"/>
      <c r="U17" s="39">
        <f t="shared" si="5"/>
        <v>3</v>
      </c>
      <c r="V17" s="39">
        <f t="shared" si="6"/>
        <v>-4</v>
      </c>
      <c r="W17" s="30">
        <f t="shared" si="9"/>
        <v>13</v>
      </c>
    </row>
    <row r="18">
      <c r="A18" s="30">
        <f t="shared" si="7"/>
        <v>14</v>
      </c>
      <c r="B18" s="51" t="s">
        <v>84</v>
      </c>
      <c r="C18" s="32">
        <v>293.0</v>
      </c>
      <c r="D18" s="32">
        <v>18.0</v>
      </c>
      <c r="E18" s="35">
        <f t="shared" si="2"/>
        <v>12.42105263</v>
      </c>
      <c r="F18" s="37">
        <v>2.0</v>
      </c>
      <c r="G18" s="39">
        <v>3.0</v>
      </c>
      <c r="H18" s="40">
        <v>0.0</v>
      </c>
      <c r="I18" s="39">
        <v>6.0</v>
      </c>
      <c r="J18" s="39">
        <v>7.0</v>
      </c>
      <c r="K18" s="39">
        <v>4.0</v>
      </c>
      <c r="L18" s="42">
        <v>17.0</v>
      </c>
      <c r="M18" s="39">
        <v>2.0</v>
      </c>
      <c r="N18" s="32">
        <f t="shared" ref="N18:O18" si="20">C18+L18</f>
        <v>310</v>
      </c>
      <c r="O18" s="32">
        <f t="shared" si="20"/>
        <v>20</v>
      </c>
      <c r="P18" s="43" t="s">
        <v>53</v>
      </c>
      <c r="Q18" s="43" t="s">
        <v>53</v>
      </c>
      <c r="R18" s="43" t="s">
        <v>53</v>
      </c>
      <c r="S18" s="39">
        <f t="shared" si="4"/>
        <v>3</v>
      </c>
      <c r="T18" s="39"/>
      <c r="U18" s="39">
        <f t="shared" si="5"/>
        <v>2</v>
      </c>
      <c r="V18" s="39">
        <f t="shared" si="6"/>
        <v>1</v>
      </c>
      <c r="W18" s="30">
        <f t="shared" si="9"/>
        <v>14</v>
      </c>
    </row>
    <row r="19">
      <c r="A19" s="30">
        <f t="shared" si="7"/>
        <v>15</v>
      </c>
      <c r="B19" s="31" t="s">
        <v>63</v>
      </c>
      <c r="C19" s="32">
        <v>289.0</v>
      </c>
      <c r="D19" s="32">
        <v>24.0</v>
      </c>
      <c r="E19" s="35">
        <f t="shared" si="2"/>
        <v>15.5</v>
      </c>
      <c r="F19" s="37">
        <v>1.0</v>
      </c>
      <c r="G19" s="39">
        <v>3.0</v>
      </c>
      <c r="H19" s="40">
        <v>0.0</v>
      </c>
      <c r="I19" s="39">
        <v>6.0</v>
      </c>
      <c r="J19" s="39">
        <v>6.0</v>
      </c>
      <c r="K19" s="39">
        <v>6.0</v>
      </c>
      <c r="L19" s="42">
        <v>18.0</v>
      </c>
      <c r="M19" s="39">
        <v>2.0</v>
      </c>
      <c r="N19" s="32">
        <f t="shared" ref="N19:O19" si="21">C19+L19</f>
        <v>307</v>
      </c>
      <c r="O19" s="32">
        <f t="shared" si="21"/>
        <v>26</v>
      </c>
      <c r="P19" s="43" t="s">
        <v>53</v>
      </c>
      <c r="Q19" s="43" t="s">
        <v>53</v>
      </c>
      <c r="R19" s="43" t="s">
        <v>53</v>
      </c>
      <c r="S19" s="39">
        <f t="shared" si="4"/>
        <v>2</v>
      </c>
      <c r="T19" s="39"/>
      <c r="U19" s="39">
        <f t="shared" si="5"/>
        <v>12</v>
      </c>
      <c r="V19" s="39">
        <f t="shared" si="6"/>
        <v>5</v>
      </c>
      <c r="W19" s="30">
        <f t="shared" si="9"/>
        <v>15</v>
      </c>
    </row>
    <row r="20">
      <c r="A20" s="30">
        <f t="shared" si="7"/>
        <v>16</v>
      </c>
      <c r="B20" s="51" t="s">
        <v>92</v>
      </c>
      <c r="C20" s="32">
        <v>289.0</v>
      </c>
      <c r="D20" s="32">
        <v>23.0</v>
      </c>
      <c r="E20" s="35">
        <f t="shared" si="2"/>
        <v>15.9</v>
      </c>
      <c r="F20" s="37">
        <v>3.0</v>
      </c>
      <c r="G20" s="39">
        <v>0.0</v>
      </c>
      <c r="H20" s="40">
        <v>9.0</v>
      </c>
      <c r="I20" s="39">
        <v>0.0</v>
      </c>
      <c r="J20" s="39">
        <v>0.0</v>
      </c>
      <c r="K20" s="39">
        <v>0.0</v>
      </c>
      <c r="L20" s="42">
        <v>9.0</v>
      </c>
      <c r="M20" s="39">
        <v>0.0</v>
      </c>
      <c r="N20" s="32">
        <f t="shared" ref="N20:O20" si="22">C20+L20</f>
        <v>298</v>
      </c>
      <c r="O20" s="32">
        <f t="shared" si="22"/>
        <v>23</v>
      </c>
      <c r="P20" s="43" t="s">
        <v>53</v>
      </c>
      <c r="Q20" s="43" t="s">
        <v>53</v>
      </c>
      <c r="R20" s="43" t="s">
        <v>88</v>
      </c>
      <c r="S20" s="39">
        <f t="shared" si="4"/>
        <v>1</v>
      </c>
      <c r="T20" s="39"/>
      <c r="U20" s="39">
        <f t="shared" si="5"/>
        <v>13</v>
      </c>
      <c r="V20" s="39">
        <f t="shared" si="6"/>
        <v>-3</v>
      </c>
      <c r="W20" s="30">
        <f t="shared" si="9"/>
        <v>16</v>
      </c>
    </row>
    <row r="21">
      <c r="A21" s="30">
        <f t="shared" si="7"/>
        <v>17</v>
      </c>
      <c r="B21" s="31" t="s">
        <v>68</v>
      </c>
      <c r="C21" s="32">
        <v>289.0</v>
      </c>
      <c r="D21" s="32">
        <v>23.0</v>
      </c>
      <c r="E21" s="35">
        <f t="shared" si="2"/>
        <v>12.82352941</v>
      </c>
      <c r="F21" s="37">
        <v>1.0</v>
      </c>
      <c r="G21" s="39">
        <v>3.0</v>
      </c>
      <c r="H21" s="40">
        <v>0.0</v>
      </c>
      <c r="I21" s="39">
        <v>2.0</v>
      </c>
      <c r="J21" s="39">
        <v>6.0</v>
      </c>
      <c r="K21" s="39">
        <v>4.0</v>
      </c>
      <c r="L21" s="42">
        <v>12.0</v>
      </c>
      <c r="M21" s="39">
        <v>0.0</v>
      </c>
      <c r="N21" s="32">
        <f t="shared" ref="N21:O21" si="23">C21+L21</f>
        <v>301</v>
      </c>
      <c r="O21" s="32">
        <f t="shared" si="23"/>
        <v>23</v>
      </c>
      <c r="P21" s="43" t="s">
        <v>53</v>
      </c>
      <c r="Q21" s="43" t="s">
        <v>53</v>
      </c>
      <c r="R21" s="43" t="s">
        <v>53</v>
      </c>
      <c r="S21" s="39">
        <f t="shared" si="4"/>
        <v>2</v>
      </c>
      <c r="T21" s="39"/>
      <c r="U21" s="39">
        <f t="shared" si="5"/>
        <v>5</v>
      </c>
      <c r="V21" s="39">
        <f t="shared" si="6"/>
        <v>-3</v>
      </c>
      <c r="W21" s="30">
        <f t="shared" si="9"/>
        <v>17</v>
      </c>
    </row>
    <row r="22">
      <c r="A22" s="30">
        <f t="shared" si="7"/>
        <v>18</v>
      </c>
      <c r="B22" s="31" t="s">
        <v>91</v>
      </c>
      <c r="C22" s="32">
        <v>284.0</v>
      </c>
      <c r="D22" s="32">
        <v>23.0</v>
      </c>
      <c r="E22" s="35">
        <f t="shared" si="2"/>
        <v>13</v>
      </c>
      <c r="F22" s="37">
        <v>1.0</v>
      </c>
      <c r="G22" s="39">
        <v>3.0</v>
      </c>
      <c r="H22" s="40">
        <v>0.0</v>
      </c>
      <c r="I22" s="39">
        <v>2.0</v>
      </c>
      <c r="J22" s="39">
        <v>7.0</v>
      </c>
      <c r="K22" s="39">
        <v>6.0</v>
      </c>
      <c r="L22" s="42">
        <v>15.0</v>
      </c>
      <c r="M22" s="39">
        <v>2.0</v>
      </c>
      <c r="N22" s="32">
        <f t="shared" ref="N22:O22" si="24">C22+L22</f>
        <v>299</v>
      </c>
      <c r="O22" s="32">
        <f t="shared" si="24"/>
        <v>25</v>
      </c>
      <c r="P22" s="43" t="s">
        <v>53</v>
      </c>
      <c r="Q22" s="43" t="s">
        <v>53</v>
      </c>
      <c r="R22" s="43" t="s">
        <v>53</v>
      </c>
      <c r="S22" s="39">
        <f t="shared" si="4"/>
        <v>1</v>
      </c>
      <c r="T22" s="39"/>
      <c r="U22" s="39">
        <f t="shared" si="5"/>
        <v>7</v>
      </c>
      <c r="V22" s="39">
        <f t="shared" si="6"/>
        <v>-1</v>
      </c>
      <c r="W22" s="30">
        <f t="shared" si="9"/>
        <v>18</v>
      </c>
    </row>
    <row r="23">
      <c r="A23" s="30">
        <f t="shared" si="7"/>
        <v>19</v>
      </c>
      <c r="B23" s="31" t="s">
        <v>89</v>
      </c>
      <c r="C23" s="32">
        <v>284.0</v>
      </c>
      <c r="D23" s="32">
        <v>18.0</v>
      </c>
      <c r="E23" s="35">
        <f t="shared" si="2"/>
        <v>15.85714286</v>
      </c>
      <c r="F23" s="37">
        <v>3.0</v>
      </c>
      <c r="G23" s="39">
        <v>0.0</v>
      </c>
      <c r="H23" s="40">
        <v>9.0</v>
      </c>
      <c r="I23" s="39">
        <v>0.0</v>
      </c>
      <c r="J23" s="39">
        <v>0.0</v>
      </c>
      <c r="K23" s="39">
        <v>0.0</v>
      </c>
      <c r="L23" s="42">
        <v>9.0</v>
      </c>
      <c r="M23" s="39">
        <v>0.0</v>
      </c>
      <c r="N23" s="32">
        <f t="shared" ref="N23:O23" si="25">C23+L23</f>
        <v>293</v>
      </c>
      <c r="O23" s="32">
        <f t="shared" si="25"/>
        <v>18</v>
      </c>
      <c r="P23" s="43" t="s">
        <v>53</v>
      </c>
      <c r="Q23" s="43" t="s">
        <v>53</v>
      </c>
      <c r="R23" s="43" t="s">
        <v>53</v>
      </c>
      <c r="S23" s="39">
        <f t="shared" si="4"/>
        <v>5</v>
      </c>
      <c r="T23" s="39"/>
      <c r="U23" s="39">
        <f t="shared" si="5"/>
        <v>12</v>
      </c>
      <c r="V23" s="39">
        <f t="shared" si="6"/>
        <v>-1</v>
      </c>
      <c r="W23" s="30">
        <f t="shared" si="9"/>
        <v>19</v>
      </c>
    </row>
    <row r="24">
      <c r="A24" s="30">
        <f t="shared" si="7"/>
        <v>20</v>
      </c>
      <c r="B24" s="31" t="s">
        <v>90</v>
      </c>
      <c r="C24" s="32">
        <v>282.0</v>
      </c>
      <c r="D24" s="32">
        <v>19.0</v>
      </c>
      <c r="E24" s="35">
        <f t="shared" si="2"/>
        <v>13.15384615</v>
      </c>
      <c r="F24" s="37">
        <v>1.0</v>
      </c>
      <c r="G24" s="39">
        <v>4.0</v>
      </c>
      <c r="H24" s="40">
        <v>0.0</v>
      </c>
      <c r="I24" s="39">
        <v>6.0</v>
      </c>
      <c r="J24" s="39">
        <v>6.0</v>
      </c>
      <c r="K24" s="39">
        <v>6.0</v>
      </c>
      <c r="L24" s="42">
        <v>18.0</v>
      </c>
      <c r="M24" s="39">
        <v>1.0</v>
      </c>
      <c r="N24" s="32">
        <f t="shared" ref="N24:O24" si="26">C24+L24</f>
        <v>300</v>
      </c>
      <c r="O24" s="32">
        <f t="shared" si="26"/>
        <v>20</v>
      </c>
      <c r="P24" s="43" t="s">
        <v>53</v>
      </c>
      <c r="Q24" s="43" t="s">
        <v>53</v>
      </c>
      <c r="R24" s="43" t="s">
        <v>53</v>
      </c>
      <c r="S24" s="39">
        <f t="shared" si="4"/>
        <v>3</v>
      </c>
      <c r="T24" s="39"/>
      <c r="U24" s="39">
        <f t="shared" si="5"/>
        <v>8</v>
      </c>
      <c r="V24" s="39">
        <f t="shared" si="6"/>
        <v>-1</v>
      </c>
      <c r="W24" s="30">
        <f t="shared" si="9"/>
        <v>20</v>
      </c>
    </row>
    <row r="25">
      <c r="A25" s="30">
        <f t="shared" si="7"/>
        <v>21</v>
      </c>
      <c r="B25" s="31" t="s">
        <v>98</v>
      </c>
      <c r="C25" s="32">
        <v>279.0</v>
      </c>
      <c r="D25" s="32">
        <v>19.0</v>
      </c>
      <c r="E25" s="35">
        <f t="shared" si="2"/>
        <v>13.23076923</v>
      </c>
      <c r="F25" s="37">
        <v>3.0</v>
      </c>
      <c r="G25" s="39">
        <v>0.0</v>
      </c>
      <c r="H25" s="40">
        <v>9.0</v>
      </c>
      <c r="I25" s="39">
        <v>0.0</v>
      </c>
      <c r="J25" s="39">
        <v>0.0</v>
      </c>
      <c r="K25" s="39">
        <v>0.0</v>
      </c>
      <c r="L25" s="42">
        <v>9.0</v>
      </c>
      <c r="M25" s="39">
        <v>0.0</v>
      </c>
      <c r="N25" s="32">
        <f t="shared" ref="N25:O25" si="27">C25+L25</f>
        <v>288</v>
      </c>
      <c r="O25" s="32">
        <f t="shared" si="27"/>
        <v>19</v>
      </c>
      <c r="P25" s="43" t="s">
        <v>53</v>
      </c>
      <c r="Q25" s="43" t="s">
        <v>53</v>
      </c>
      <c r="R25" s="43" t="s">
        <v>53</v>
      </c>
      <c r="S25" s="39">
        <f t="shared" si="4"/>
        <v>2</v>
      </c>
      <c r="T25" s="39"/>
      <c r="U25" s="39">
        <f t="shared" si="5"/>
        <v>9</v>
      </c>
      <c r="V25" s="39">
        <f t="shared" si="6"/>
        <v>0</v>
      </c>
      <c r="W25" s="30">
        <f t="shared" si="9"/>
        <v>21</v>
      </c>
    </row>
    <row r="26">
      <c r="A26" s="30">
        <f t="shared" si="7"/>
        <v>22</v>
      </c>
      <c r="B26" s="51" t="s">
        <v>100</v>
      </c>
      <c r="C26" s="32">
        <v>278.0</v>
      </c>
      <c r="D26" s="32">
        <v>19.0</v>
      </c>
      <c r="E26" s="35">
        <f t="shared" si="2"/>
        <v>13.90909091</v>
      </c>
      <c r="F26" s="37">
        <v>3.0</v>
      </c>
      <c r="G26" s="39">
        <v>0.0</v>
      </c>
      <c r="H26" s="40">
        <v>9.0</v>
      </c>
      <c r="I26" s="39">
        <v>0.0</v>
      </c>
      <c r="J26" s="39">
        <v>0.0</v>
      </c>
      <c r="K26" s="39">
        <v>0.0</v>
      </c>
      <c r="L26" s="42">
        <v>9.0</v>
      </c>
      <c r="M26" s="39">
        <v>0.0</v>
      </c>
      <c r="N26" s="32">
        <f t="shared" ref="N26:O26" si="28">C26+L26</f>
        <v>287</v>
      </c>
      <c r="O26" s="32">
        <f t="shared" si="28"/>
        <v>19</v>
      </c>
      <c r="P26" s="43" t="s">
        <v>53</v>
      </c>
      <c r="Q26" s="43" t="s">
        <v>53</v>
      </c>
      <c r="R26" s="43" t="s">
        <v>53</v>
      </c>
      <c r="S26" s="39">
        <f t="shared" si="4"/>
        <v>2</v>
      </c>
      <c r="T26" s="39"/>
      <c r="U26" s="39">
        <f t="shared" si="5"/>
        <v>11</v>
      </c>
      <c r="V26" s="39">
        <f t="shared" si="6"/>
        <v>0</v>
      </c>
      <c r="W26" s="30">
        <f t="shared" si="9"/>
        <v>22</v>
      </c>
    </row>
    <row r="27">
      <c r="A27" s="30">
        <f t="shared" si="7"/>
        <v>23</v>
      </c>
      <c r="B27" s="51" t="s">
        <v>93</v>
      </c>
      <c r="C27" s="32">
        <v>277.0</v>
      </c>
      <c r="D27" s="32">
        <v>23.0</v>
      </c>
      <c r="E27" s="35">
        <f t="shared" si="2"/>
        <v>11.65217391</v>
      </c>
      <c r="F27" s="37">
        <v>1.0</v>
      </c>
      <c r="G27" s="39">
        <v>4.0</v>
      </c>
      <c r="H27" s="40">
        <v>0.0</v>
      </c>
      <c r="I27" s="39">
        <v>3.0</v>
      </c>
      <c r="J27" s="39">
        <v>7.0</v>
      </c>
      <c r="K27" s="39">
        <v>6.0</v>
      </c>
      <c r="L27" s="42">
        <v>16.0</v>
      </c>
      <c r="M27" s="39">
        <v>1.0</v>
      </c>
      <c r="N27" s="32">
        <f t="shared" ref="N27:O27" si="29">C27+L27</f>
        <v>293</v>
      </c>
      <c r="O27" s="32">
        <f t="shared" si="29"/>
        <v>24</v>
      </c>
      <c r="P27" s="43" t="s">
        <v>53</v>
      </c>
      <c r="Q27" s="43" t="s">
        <v>53</v>
      </c>
      <c r="R27" s="43" t="s">
        <v>53</v>
      </c>
      <c r="S27" s="39">
        <f t="shared" si="4"/>
        <v>0</v>
      </c>
      <c r="T27" s="39"/>
      <c r="U27" s="39">
        <f t="shared" si="5"/>
        <v>1</v>
      </c>
      <c r="V27" s="39">
        <f t="shared" si="6"/>
        <v>2</v>
      </c>
      <c r="W27" s="30">
        <f t="shared" si="9"/>
        <v>23</v>
      </c>
    </row>
    <row r="28">
      <c r="A28" s="30">
        <f t="shared" si="7"/>
        <v>24</v>
      </c>
      <c r="B28" s="31" t="s">
        <v>97</v>
      </c>
      <c r="C28" s="32">
        <v>277.0</v>
      </c>
      <c r="D28" s="32">
        <v>20.0</v>
      </c>
      <c r="E28" s="35">
        <f t="shared" si="2"/>
        <v>13.38461538</v>
      </c>
      <c r="F28" s="37">
        <v>3.0</v>
      </c>
      <c r="G28" s="39">
        <v>0.0</v>
      </c>
      <c r="H28" s="40">
        <v>9.0</v>
      </c>
      <c r="I28" s="39">
        <v>0.0</v>
      </c>
      <c r="J28" s="39">
        <v>0.0</v>
      </c>
      <c r="K28" s="39">
        <v>0.0</v>
      </c>
      <c r="L28" s="42">
        <v>9.0</v>
      </c>
      <c r="M28" s="39">
        <v>0.0</v>
      </c>
      <c r="N28" s="32">
        <f t="shared" ref="N28:O28" si="30">C28+L28</f>
        <v>286</v>
      </c>
      <c r="O28" s="32">
        <f t="shared" si="30"/>
        <v>20</v>
      </c>
      <c r="P28" s="43" t="s">
        <v>53</v>
      </c>
      <c r="Q28" s="43" t="s">
        <v>53</v>
      </c>
      <c r="R28" s="43" t="s">
        <v>53</v>
      </c>
      <c r="S28" s="39">
        <f t="shared" si="4"/>
        <v>1</v>
      </c>
      <c r="T28" s="39"/>
      <c r="U28" s="39">
        <f t="shared" si="5"/>
        <v>10</v>
      </c>
      <c r="V28" s="39">
        <f t="shared" si="6"/>
        <v>3</v>
      </c>
      <c r="W28" s="30">
        <f t="shared" si="9"/>
        <v>24</v>
      </c>
    </row>
    <row r="29">
      <c r="A29" s="30">
        <f t="shared" si="7"/>
        <v>25</v>
      </c>
      <c r="B29" s="51" t="s">
        <v>94</v>
      </c>
      <c r="C29" s="32">
        <v>273.0</v>
      </c>
      <c r="D29" s="32">
        <v>15.0</v>
      </c>
      <c r="E29" s="35">
        <f t="shared" si="2"/>
        <v>13.08333333</v>
      </c>
      <c r="F29" s="37">
        <v>1.0</v>
      </c>
      <c r="G29" s="39">
        <v>4.0</v>
      </c>
      <c r="H29" s="40">
        <v>0.0</v>
      </c>
      <c r="I29" s="39">
        <v>6.0</v>
      </c>
      <c r="J29" s="39">
        <v>7.0</v>
      </c>
      <c r="K29" s="39">
        <v>7.0</v>
      </c>
      <c r="L29" s="42">
        <v>20.0</v>
      </c>
      <c r="M29" s="39">
        <v>3.0</v>
      </c>
      <c r="N29" s="32">
        <f t="shared" ref="N29:O29" si="31">C29+L29</f>
        <v>293</v>
      </c>
      <c r="O29" s="32">
        <f t="shared" si="31"/>
        <v>18</v>
      </c>
      <c r="P29" s="43" t="s">
        <v>53</v>
      </c>
      <c r="Q29" s="43" t="s">
        <v>53</v>
      </c>
      <c r="R29" s="43" t="s">
        <v>53</v>
      </c>
      <c r="S29" s="39">
        <f t="shared" si="4"/>
        <v>2</v>
      </c>
      <c r="T29" s="39"/>
      <c r="U29" s="39">
        <f t="shared" si="5"/>
        <v>10</v>
      </c>
      <c r="V29" s="39">
        <f t="shared" si="6"/>
        <v>-2</v>
      </c>
      <c r="W29" s="30">
        <f t="shared" si="9"/>
        <v>25</v>
      </c>
    </row>
    <row r="30">
      <c r="A30" s="30">
        <f t="shared" si="7"/>
        <v>26</v>
      </c>
      <c r="B30" s="31" t="s">
        <v>96</v>
      </c>
      <c r="C30" s="32">
        <v>272.0</v>
      </c>
      <c r="D30" s="32">
        <v>21.0</v>
      </c>
      <c r="E30" s="35">
        <f t="shared" si="2"/>
        <v>12.69230769</v>
      </c>
      <c r="F30" s="37">
        <v>1.0</v>
      </c>
      <c r="G30" s="39">
        <v>4.0</v>
      </c>
      <c r="H30" s="40">
        <v>0.0</v>
      </c>
      <c r="I30" s="39">
        <v>3.0</v>
      </c>
      <c r="J30" s="39">
        <v>6.0</v>
      </c>
      <c r="K30" s="39">
        <v>7.0</v>
      </c>
      <c r="L30" s="42">
        <v>16.0</v>
      </c>
      <c r="M30" s="39">
        <v>1.0</v>
      </c>
      <c r="N30" s="32">
        <f t="shared" ref="N30:O30" si="32">C30+L30</f>
        <v>288</v>
      </c>
      <c r="O30" s="32">
        <f t="shared" si="32"/>
        <v>22</v>
      </c>
      <c r="P30" s="43" t="s">
        <v>53</v>
      </c>
      <c r="Q30" s="43" t="s">
        <v>53</v>
      </c>
      <c r="R30" s="43" t="s">
        <v>53</v>
      </c>
      <c r="S30" s="39">
        <f t="shared" si="4"/>
        <v>2</v>
      </c>
      <c r="T30" s="39"/>
      <c r="U30" s="39">
        <f t="shared" si="5"/>
        <v>9</v>
      </c>
      <c r="V30" s="39">
        <f t="shared" si="6"/>
        <v>-2</v>
      </c>
      <c r="W30" s="30">
        <f t="shared" si="9"/>
        <v>26</v>
      </c>
    </row>
    <row r="31">
      <c r="A31" s="30">
        <f t="shared" si="7"/>
        <v>27</v>
      </c>
      <c r="B31" s="51" t="s">
        <v>95</v>
      </c>
      <c r="C31" s="32">
        <v>271.0</v>
      </c>
      <c r="D31" s="32">
        <v>19.0</v>
      </c>
      <c r="E31" s="35">
        <f t="shared" si="2"/>
        <v>13.63636364</v>
      </c>
      <c r="F31" s="37">
        <v>2.0</v>
      </c>
      <c r="G31" s="39">
        <v>5.0</v>
      </c>
      <c r="H31" s="40">
        <v>0.0</v>
      </c>
      <c r="I31" s="39">
        <v>7.0</v>
      </c>
      <c r="J31" s="39">
        <v>7.0</v>
      </c>
      <c r="K31" s="39">
        <v>6.0</v>
      </c>
      <c r="L31" s="42">
        <v>20.0</v>
      </c>
      <c r="M31" s="39">
        <v>3.0</v>
      </c>
      <c r="N31" s="32">
        <f t="shared" ref="N31:O31" si="33">C31+L31</f>
        <v>291</v>
      </c>
      <c r="O31" s="32">
        <f t="shared" si="33"/>
        <v>22</v>
      </c>
      <c r="P31" s="43" t="s">
        <v>53</v>
      </c>
      <c r="Q31" s="43" t="s">
        <v>53</v>
      </c>
      <c r="R31" s="43" t="s">
        <v>53</v>
      </c>
      <c r="S31" s="39">
        <f t="shared" si="4"/>
        <v>1</v>
      </c>
      <c r="T31" s="39"/>
      <c r="U31" s="39">
        <f t="shared" si="5"/>
        <v>12</v>
      </c>
      <c r="V31" s="39">
        <f t="shared" si="6"/>
        <v>-1</v>
      </c>
      <c r="W31" s="30">
        <f t="shared" si="9"/>
        <v>27</v>
      </c>
    </row>
    <row r="32">
      <c r="A32" s="30">
        <f t="shared" si="7"/>
        <v>28</v>
      </c>
      <c r="B32" s="51" t="s">
        <v>76</v>
      </c>
      <c r="C32" s="32">
        <v>269.0</v>
      </c>
      <c r="D32" s="32">
        <v>24.0</v>
      </c>
      <c r="E32" s="35">
        <f t="shared" si="2"/>
        <v>12.3125</v>
      </c>
      <c r="F32" s="37">
        <v>1.0</v>
      </c>
      <c r="G32" s="39">
        <v>5.0</v>
      </c>
      <c r="H32" s="40">
        <v>0.0</v>
      </c>
      <c r="I32" s="39">
        <v>7.0</v>
      </c>
      <c r="J32" s="39">
        <v>5.0</v>
      </c>
      <c r="K32" s="39">
        <v>4.0</v>
      </c>
      <c r="L32" s="42">
        <v>16.0</v>
      </c>
      <c r="M32" s="39">
        <v>1.0</v>
      </c>
      <c r="N32" s="32">
        <f t="shared" ref="N32:O32" si="34">C32+L32</f>
        <v>285</v>
      </c>
      <c r="O32" s="32">
        <f t="shared" si="34"/>
        <v>25</v>
      </c>
      <c r="P32" s="43" t="s">
        <v>53</v>
      </c>
      <c r="Q32" s="43" t="s">
        <v>53</v>
      </c>
      <c r="R32" s="43" t="s">
        <v>53</v>
      </c>
      <c r="S32" s="39">
        <f t="shared" si="4"/>
        <v>0</v>
      </c>
      <c r="T32" s="39"/>
      <c r="U32" s="39">
        <f t="shared" si="5"/>
        <v>8</v>
      </c>
      <c r="V32" s="39">
        <f t="shared" si="6"/>
        <v>0</v>
      </c>
      <c r="W32" s="30">
        <f t="shared" si="9"/>
        <v>28</v>
      </c>
    </row>
    <row r="33">
      <c r="A33" s="30">
        <f t="shared" si="7"/>
        <v>29</v>
      </c>
      <c r="B33" s="51" t="s">
        <v>103</v>
      </c>
      <c r="C33" s="32">
        <v>267.0</v>
      </c>
      <c r="D33" s="32">
        <v>18.0</v>
      </c>
      <c r="E33" s="35">
        <f t="shared" si="2"/>
        <v>13.3</v>
      </c>
      <c r="F33" s="37">
        <v>3.0</v>
      </c>
      <c r="G33" s="39">
        <v>0.0</v>
      </c>
      <c r="H33" s="40">
        <v>9.0</v>
      </c>
      <c r="I33" s="39">
        <v>0.0</v>
      </c>
      <c r="J33" s="39">
        <v>0.0</v>
      </c>
      <c r="K33" s="39">
        <v>0.0</v>
      </c>
      <c r="L33" s="42">
        <v>9.0</v>
      </c>
      <c r="M33" s="39">
        <v>0.0</v>
      </c>
      <c r="N33" s="32">
        <f t="shared" ref="N33:O33" si="35">C33+L33</f>
        <v>276</v>
      </c>
      <c r="O33" s="32">
        <f t="shared" si="35"/>
        <v>18</v>
      </c>
      <c r="P33" s="43" t="s">
        <v>53</v>
      </c>
      <c r="Q33" s="43" t="s">
        <v>53</v>
      </c>
      <c r="R33" s="43" t="s">
        <v>53</v>
      </c>
      <c r="S33" s="39">
        <f t="shared" si="4"/>
        <v>2</v>
      </c>
      <c r="T33" s="39"/>
      <c r="U33" s="39">
        <f t="shared" si="5"/>
        <v>12</v>
      </c>
      <c r="V33" s="39">
        <f t="shared" si="6"/>
        <v>5</v>
      </c>
      <c r="W33" s="30">
        <f t="shared" si="9"/>
        <v>29</v>
      </c>
    </row>
    <row r="34">
      <c r="A34" s="30">
        <f t="shared" si="7"/>
        <v>30</v>
      </c>
      <c r="B34" s="56" t="s">
        <v>101</v>
      </c>
      <c r="C34" s="32">
        <v>267.0</v>
      </c>
      <c r="D34" s="32">
        <v>17.0</v>
      </c>
      <c r="E34" s="35">
        <f t="shared" si="2"/>
        <v>12.4</v>
      </c>
      <c r="F34" s="37">
        <v>1.0</v>
      </c>
      <c r="G34" s="39">
        <v>5.0</v>
      </c>
      <c r="H34" s="40">
        <v>0.0</v>
      </c>
      <c r="I34" s="39">
        <v>5.0</v>
      </c>
      <c r="J34" s="39">
        <v>7.0</v>
      </c>
      <c r="K34" s="39">
        <v>4.0</v>
      </c>
      <c r="L34" s="42">
        <v>16.0</v>
      </c>
      <c r="M34" s="39">
        <v>1.0</v>
      </c>
      <c r="N34" s="32">
        <f t="shared" ref="N34:O34" si="36">C34+L34</f>
        <v>283</v>
      </c>
      <c r="O34" s="32">
        <f t="shared" si="36"/>
        <v>18</v>
      </c>
      <c r="P34" s="43" t="s">
        <v>53</v>
      </c>
      <c r="Q34" s="43" t="s">
        <v>53</v>
      </c>
      <c r="R34" s="43" t="s">
        <v>53</v>
      </c>
      <c r="S34" s="39">
        <f t="shared" si="4"/>
        <v>0</v>
      </c>
      <c r="T34" s="39"/>
      <c r="U34" s="39">
        <f t="shared" si="5"/>
        <v>9</v>
      </c>
      <c r="V34" s="39">
        <f t="shared" si="6"/>
        <v>-1</v>
      </c>
      <c r="W34" s="30">
        <f t="shared" si="9"/>
        <v>30</v>
      </c>
    </row>
    <row r="35">
      <c r="A35" s="30">
        <f t="shared" si="7"/>
        <v>31</v>
      </c>
      <c r="B35" s="51" t="s">
        <v>99</v>
      </c>
      <c r="C35" s="32">
        <v>265.0</v>
      </c>
      <c r="D35" s="32">
        <v>19.0</v>
      </c>
      <c r="E35" s="35">
        <f t="shared" si="2"/>
        <v>11.5</v>
      </c>
      <c r="F35" s="37">
        <v>1.0</v>
      </c>
      <c r="G35" s="39">
        <v>5.0</v>
      </c>
      <c r="H35" s="40">
        <v>0.0</v>
      </c>
      <c r="I35" s="39">
        <v>5.0</v>
      </c>
      <c r="J35" s="39">
        <v>5.0</v>
      </c>
      <c r="K35" s="39">
        <v>6.0</v>
      </c>
      <c r="L35" s="42">
        <v>16.0</v>
      </c>
      <c r="M35" s="39">
        <v>1.0</v>
      </c>
      <c r="N35" s="32">
        <f t="shared" ref="N35:O35" si="37">C35+L35</f>
        <v>281</v>
      </c>
      <c r="O35" s="32">
        <f t="shared" si="37"/>
        <v>20</v>
      </c>
      <c r="P35" s="43" t="s">
        <v>53</v>
      </c>
      <c r="Q35" s="43" t="s">
        <v>53</v>
      </c>
      <c r="R35" s="43" t="s">
        <v>53</v>
      </c>
      <c r="S35" s="39">
        <f t="shared" si="4"/>
        <v>1</v>
      </c>
      <c r="T35" s="39"/>
      <c r="U35" s="39">
        <f t="shared" si="5"/>
        <v>5</v>
      </c>
      <c r="V35" s="39">
        <f t="shared" si="6"/>
        <v>0</v>
      </c>
      <c r="W35" s="30">
        <f t="shared" si="9"/>
        <v>31</v>
      </c>
    </row>
    <row r="36">
      <c r="A36" s="30">
        <f t="shared" si="7"/>
        <v>32</v>
      </c>
      <c r="B36" s="51" t="s">
        <v>102</v>
      </c>
      <c r="C36" s="32">
        <v>264.0</v>
      </c>
      <c r="D36" s="32">
        <v>15.0</v>
      </c>
      <c r="E36" s="35">
        <f t="shared" si="2"/>
        <v>13.44444444</v>
      </c>
      <c r="F36" s="37">
        <v>2.0</v>
      </c>
      <c r="G36" s="39">
        <v>6.0</v>
      </c>
      <c r="H36" s="40">
        <v>0.0</v>
      </c>
      <c r="I36" s="39">
        <v>3.0</v>
      </c>
      <c r="J36" s="39">
        <v>3.0</v>
      </c>
      <c r="K36" s="39">
        <v>6.0</v>
      </c>
      <c r="L36" s="42">
        <v>12.0</v>
      </c>
      <c r="M36" s="39">
        <v>1.0</v>
      </c>
      <c r="N36" s="32">
        <f t="shared" ref="N36:O36" si="38">C36+L36</f>
        <v>276</v>
      </c>
      <c r="O36" s="32">
        <f t="shared" si="38"/>
        <v>16</v>
      </c>
      <c r="P36" s="43" t="s">
        <v>53</v>
      </c>
      <c r="Q36" s="43" t="s">
        <v>53</v>
      </c>
      <c r="R36" s="43" t="s">
        <v>53</v>
      </c>
      <c r="S36" s="39">
        <f t="shared" si="4"/>
        <v>2</v>
      </c>
      <c r="T36" s="39"/>
      <c r="U36" s="39">
        <f t="shared" si="5"/>
        <v>13</v>
      </c>
      <c r="V36" s="39">
        <f t="shared" si="6"/>
        <v>5</v>
      </c>
      <c r="W36" s="30">
        <f t="shared" si="9"/>
        <v>32</v>
      </c>
    </row>
    <row r="37">
      <c r="A37" s="30">
        <f t="shared" si="7"/>
        <v>33</v>
      </c>
      <c r="B37" s="31" t="s">
        <v>73</v>
      </c>
      <c r="C37" s="32">
        <v>263.0</v>
      </c>
      <c r="D37" s="32">
        <v>15.0</v>
      </c>
      <c r="E37" s="35">
        <f t="shared" si="2"/>
        <v>11.91666667</v>
      </c>
      <c r="F37" s="37">
        <v>1.0</v>
      </c>
      <c r="G37" s="39">
        <v>6.0</v>
      </c>
      <c r="H37" s="40">
        <v>0.0</v>
      </c>
      <c r="I37" s="39">
        <v>3.0</v>
      </c>
      <c r="J37" s="39">
        <v>6.0</v>
      </c>
      <c r="K37" s="39">
        <v>0.0</v>
      </c>
      <c r="L37" s="42">
        <v>9.0</v>
      </c>
      <c r="M37" s="39">
        <v>1.0</v>
      </c>
      <c r="N37" s="32">
        <f t="shared" ref="N37:O37" si="39">C37+L37</f>
        <v>272</v>
      </c>
      <c r="O37" s="32">
        <f t="shared" si="39"/>
        <v>16</v>
      </c>
      <c r="P37" s="43" t="s">
        <v>53</v>
      </c>
      <c r="Q37" s="43" t="s">
        <v>53</v>
      </c>
      <c r="R37" s="43" t="s">
        <v>53</v>
      </c>
      <c r="S37" s="39">
        <f t="shared" si="4"/>
        <v>3</v>
      </c>
      <c r="T37" s="39"/>
      <c r="U37" s="39">
        <f t="shared" si="5"/>
        <v>9</v>
      </c>
      <c r="V37" s="39">
        <f t="shared" si="6"/>
        <v>-3</v>
      </c>
      <c r="W37" s="30">
        <f t="shared" si="9"/>
        <v>33</v>
      </c>
    </row>
    <row r="38">
      <c r="A38" s="30">
        <f t="shared" si="7"/>
        <v>34</v>
      </c>
      <c r="B38" s="31" t="s">
        <v>105</v>
      </c>
      <c r="C38" s="32">
        <v>260.0</v>
      </c>
      <c r="D38" s="32">
        <v>11.0</v>
      </c>
      <c r="E38" s="35">
        <f t="shared" si="2"/>
        <v>13</v>
      </c>
      <c r="F38" s="37">
        <v>3.0</v>
      </c>
      <c r="G38" s="39">
        <v>0.0</v>
      </c>
      <c r="H38" s="40">
        <v>9.0</v>
      </c>
      <c r="I38" s="39">
        <v>0.0</v>
      </c>
      <c r="J38" s="39">
        <v>0.0</v>
      </c>
      <c r="K38" s="39">
        <v>0.0</v>
      </c>
      <c r="L38" s="42">
        <v>9.0</v>
      </c>
      <c r="M38" s="39">
        <v>0.0</v>
      </c>
      <c r="N38" s="32">
        <f t="shared" ref="N38:O38" si="40">C38+L38</f>
        <v>269</v>
      </c>
      <c r="O38" s="32">
        <f t="shared" si="40"/>
        <v>11</v>
      </c>
      <c r="P38" s="43" t="s">
        <v>53</v>
      </c>
      <c r="Q38" s="43" t="s">
        <v>53</v>
      </c>
      <c r="R38" s="43" t="s">
        <v>53</v>
      </c>
      <c r="S38" s="39">
        <f t="shared" si="4"/>
        <v>1</v>
      </c>
      <c r="T38" s="39"/>
      <c r="U38" s="39">
        <f t="shared" si="5"/>
        <v>13</v>
      </c>
      <c r="V38" s="39">
        <f t="shared" si="6"/>
        <v>-2</v>
      </c>
      <c r="W38" s="30">
        <f t="shared" si="9"/>
        <v>34</v>
      </c>
    </row>
    <row r="39">
      <c r="A39" s="30">
        <f t="shared" si="7"/>
        <v>35</v>
      </c>
      <c r="B39" s="31" t="s">
        <v>106</v>
      </c>
      <c r="C39" s="32">
        <v>258.0</v>
      </c>
      <c r="D39" s="32">
        <v>15.0</v>
      </c>
      <c r="E39" s="35">
        <f t="shared" si="2"/>
        <v>15</v>
      </c>
      <c r="F39" s="37">
        <v>3.0</v>
      </c>
      <c r="G39" s="39">
        <v>0.0</v>
      </c>
      <c r="H39" s="40">
        <v>9.0</v>
      </c>
      <c r="I39" s="39">
        <v>0.0</v>
      </c>
      <c r="J39" s="39">
        <v>0.0</v>
      </c>
      <c r="K39" s="39">
        <v>0.0</v>
      </c>
      <c r="L39" s="42">
        <v>9.0</v>
      </c>
      <c r="M39" s="39">
        <v>0.0</v>
      </c>
      <c r="N39" s="32">
        <f t="shared" ref="N39:O39" si="41">C39+L39</f>
        <v>267</v>
      </c>
      <c r="O39" s="32">
        <f t="shared" si="41"/>
        <v>15</v>
      </c>
      <c r="P39" s="43" t="s">
        <v>53</v>
      </c>
      <c r="Q39" s="43" t="s">
        <v>53</v>
      </c>
      <c r="R39" s="43" t="s">
        <v>88</v>
      </c>
      <c r="S39" s="39">
        <f t="shared" si="4"/>
        <v>0</v>
      </c>
      <c r="T39" s="39"/>
      <c r="U39" s="39">
        <f t="shared" si="5"/>
        <v>17</v>
      </c>
      <c r="V39" s="39">
        <f t="shared" si="6"/>
        <v>-2</v>
      </c>
      <c r="W39" s="30">
        <f t="shared" si="9"/>
        <v>35</v>
      </c>
    </row>
    <row r="40">
      <c r="A40" s="30">
        <f t="shared" si="7"/>
        <v>36</v>
      </c>
      <c r="B40" s="31" t="s">
        <v>46</v>
      </c>
      <c r="C40" s="32">
        <v>257.0</v>
      </c>
      <c r="D40" s="32">
        <v>19.0</v>
      </c>
      <c r="E40" s="35">
        <f t="shared" si="2"/>
        <v>11.41176471</v>
      </c>
      <c r="F40" s="37">
        <v>1.0</v>
      </c>
      <c r="G40" s="39">
        <v>6.0</v>
      </c>
      <c r="H40" s="40">
        <v>0.0</v>
      </c>
      <c r="I40" s="39">
        <v>6.0</v>
      </c>
      <c r="J40" s="39">
        <v>3.0</v>
      </c>
      <c r="K40" s="39">
        <v>0.0</v>
      </c>
      <c r="L40" s="42">
        <v>9.0</v>
      </c>
      <c r="M40" s="39">
        <v>1.0</v>
      </c>
      <c r="N40" s="32">
        <f t="shared" ref="N40:O40" si="42">C40+L40</f>
        <v>266</v>
      </c>
      <c r="O40" s="32">
        <f t="shared" si="42"/>
        <v>20</v>
      </c>
      <c r="P40" s="43" t="s">
        <v>53</v>
      </c>
      <c r="Q40" s="43" t="s">
        <v>53</v>
      </c>
      <c r="R40" s="43" t="s">
        <v>53</v>
      </c>
      <c r="S40" s="39">
        <f t="shared" si="4"/>
        <v>0</v>
      </c>
      <c r="T40" s="39"/>
      <c r="U40" s="39">
        <f t="shared" si="5"/>
        <v>7</v>
      </c>
      <c r="V40" s="39">
        <f t="shared" si="6"/>
        <v>2</v>
      </c>
      <c r="W40" s="30">
        <f t="shared" si="9"/>
        <v>36</v>
      </c>
    </row>
    <row r="41">
      <c r="A41" s="30">
        <f t="shared" si="7"/>
        <v>37</v>
      </c>
      <c r="B41" s="31" t="s">
        <v>79</v>
      </c>
      <c r="C41" s="32">
        <v>255.0</v>
      </c>
      <c r="D41" s="32">
        <v>15.0</v>
      </c>
      <c r="E41" s="35">
        <f t="shared" si="2"/>
        <v>11.7</v>
      </c>
      <c r="F41" s="37">
        <v>1.0</v>
      </c>
      <c r="G41" s="39">
        <v>6.0</v>
      </c>
      <c r="H41" s="40">
        <v>0.0</v>
      </c>
      <c r="I41" s="39">
        <v>6.0</v>
      </c>
      <c r="J41" s="39">
        <v>6.0</v>
      </c>
      <c r="K41" s="39">
        <v>6.0</v>
      </c>
      <c r="L41" s="42">
        <v>18.0</v>
      </c>
      <c r="M41" s="39">
        <v>3.0</v>
      </c>
      <c r="N41" s="32">
        <f t="shared" ref="N41:O41" si="43">C41+L41</f>
        <v>273</v>
      </c>
      <c r="O41" s="32">
        <f t="shared" si="43"/>
        <v>18</v>
      </c>
      <c r="P41" s="43" t="s">
        <v>53</v>
      </c>
      <c r="Q41" s="43" t="s">
        <v>53</v>
      </c>
      <c r="R41" s="43" t="s">
        <v>53</v>
      </c>
      <c r="S41" s="39">
        <f t="shared" si="4"/>
        <v>3</v>
      </c>
      <c r="T41" s="39"/>
      <c r="U41" s="39">
        <f t="shared" si="5"/>
        <v>11</v>
      </c>
      <c r="V41" s="39">
        <f t="shared" si="6"/>
        <v>-1</v>
      </c>
      <c r="W41" s="30">
        <f t="shared" si="9"/>
        <v>37</v>
      </c>
    </row>
    <row r="42">
      <c r="A42" s="30">
        <f t="shared" si="7"/>
        <v>38</v>
      </c>
      <c r="B42" s="51" t="s">
        <v>108</v>
      </c>
      <c r="C42" s="32">
        <v>255.0</v>
      </c>
      <c r="D42" s="32">
        <v>13.0</v>
      </c>
      <c r="E42" s="35">
        <f t="shared" si="2"/>
        <v>14.16666667</v>
      </c>
      <c r="F42" s="37">
        <v>3.0</v>
      </c>
      <c r="G42" s="39">
        <v>0.0</v>
      </c>
      <c r="H42" s="40">
        <v>9.0</v>
      </c>
      <c r="I42" s="39">
        <v>0.0</v>
      </c>
      <c r="J42" s="39">
        <v>0.0</v>
      </c>
      <c r="K42" s="39">
        <v>0.0</v>
      </c>
      <c r="L42" s="42">
        <v>9.0</v>
      </c>
      <c r="M42" s="39">
        <v>0.0</v>
      </c>
      <c r="N42" s="32">
        <f t="shared" ref="N42:O42" si="44">C42+L42</f>
        <v>264</v>
      </c>
      <c r="O42" s="32">
        <f t="shared" si="44"/>
        <v>13</v>
      </c>
      <c r="P42" s="43" t="s">
        <v>53</v>
      </c>
      <c r="Q42" s="43" t="s">
        <v>53</v>
      </c>
      <c r="R42" s="43" t="s">
        <v>88</v>
      </c>
      <c r="S42" s="39">
        <f t="shared" si="4"/>
        <v>2</v>
      </c>
      <c r="T42" s="39"/>
      <c r="U42" s="39">
        <f t="shared" si="5"/>
        <v>16</v>
      </c>
      <c r="V42" s="39">
        <f t="shared" si="6"/>
        <v>-3</v>
      </c>
      <c r="W42" s="30">
        <f t="shared" si="9"/>
        <v>38</v>
      </c>
    </row>
    <row r="43">
      <c r="A43" s="30">
        <f t="shared" si="7"/>
        <v>39</v>
      </c>
      <c r="B43" s="31" t="s">
        <v>109</v>
      </c>
      <c r="C43" s="32">
        <v>253.0</v>
      </c>
      <c r="D43" s="32">
        <v>9.0</v>
      </c>
      <c r="E43" s="35">
        <f t="shared" si="2"/>
        <v>14.25</v>
      </c>
      <c r="F43" s="37">
        <v>3.0</v>
      </c>
      <c r="G43" s="39">
        <v>0.0</v>
      </c>
      <c r="H43" s="40">
        <v>9.0</v>
      </c>
      <c r="I43" s="39">
        <v>0.0</v>
      </c>
      <c r="J43" s="39">
        <v>0.0</v>
      </c>
      <c r="K43" s="39">
        <v>0.0</v>
      </c>
      <c r="L43" s="42">
        <v>9.0</v>
      </c>
      <c r="M43" s="39">
        <v>0.0</v>
      </c>
      <c r="N43" s="32">
        <f t="shared" ref="N43:O43" si="45">C43+L43</f>
        <v>262</v>
      </c>
      <c r="O43" s="32">
        <f t="shared" si="45"/>
        <v>9</v>
      </c>
      <c r="P43" s="43" t="s">
        <v>53</v>
      </c>
      <c r="Q43" s="43" t="s">
        <v>53</v>
      </c>
      <c r="R43" s="43" t="s">
        <v>88</v>
      </c>
      <c r="S43" s="39">
        <f t="shared" si="4"/>
        <v>4</v>
      </c>
      <c r="T43" s="39"/>
      <c r="U43" s="39">
        <f t="shared" si="5"/>
        <v>16</v>
      </c>
      <c r="V43" s="39">
        <f t="shared" si="6"/>
        <v>0</v>
      </c>
      <c r="W43" s="30">
        <f t="shared" si="9"/>
        <v>39</v>
      </c>
    </row>
    <row r="44">
      <c r="A44" s="30">
        <f t="shared" si="7"/>
        <v>40</v>
      </c>
      <c r="B44" s="56" t="s">
        <v>107</v>
      </c>
      <c r="C44" s="32">
        <v>252.0</v>
      </c>
      <c r="D44" s="32">
        <v>21.0</v>
      </c>
      <c r="E44" s="35">
        <f t="shared" si="2"/>
        <v>10.8</v>
      </c>
      <c r="F44" s="37">
        <v>1.0</v>
      </c>
      <c r="G44" s="39">
        <v>7.0</v>
      </c>
      <c r="H44" s="40">
        <v>0.0</v>
      </c>
      <c r="I44" s="39">
        <v>6.0</v>
      </c>
      <c r="J44" s="39">
        <v>6.0</v>
      </c>
      <c r="K44" s="39">
        <v>1.0</v>
      </c>
      <c r="L44" s="42">
        <v>13.0</v>
      </c>
      <c r="M44" s="39">
        <v>1.0</v>
      </c>
      <c r="N44" s="32">
        <f t="shared" ref="N44:O44" si="46">C44+L44</f>
        <v>265</v>
      </c>
      <c r="O44" s="32">
        <f t="shared" si="46"/>
        <v>22</v>
      </c>
      <c r="P44" s="43" t="s">
        <v>53</v>
      </c>
      <c r="Q44" s="43" t="s">
        <v>53</v>
      </c>
      <c r="R44" s="43" t="s">
        <v>53</v>
      </c>
      <c r="S44" s="39">
        <f t="shared" si="4"/>
        <v>0</v>
      </c>
      <c r="T44" s="39"/>
      <c r="U44" s="39">
        <f t="shared" si="5"/>
        <v>4</v>
      </c>
      <c r="V44" s="39">
        <f t="shared" si="6"/>
        <v>2</v>
      </c>
      <c r="W44" s="30">
        <f t="shared" si="9"/>
        <v>40</v>
      </c>
    </row>
    <row r="45">
      <c r="A45" s="30">
        <f t="shared" si="7"/>
        <v>41</v>
      </c>
      <c r="B45" s="77" t="s">
        <v>110</v>
      </c>
      <c r="C45" s="32">
        <v>252.0</v>
      </c>
      <c r="D45" s="32">
        <v>13.0</v>
      </c>
      <c r="E45" s="35">
        <f t="shared" si="2"/>
        <v>10.66666667</v>
      </c>
      <c r="F45" s="37">
        <v>3.0</v>
      </c>
      <c r="G45" s="39">
        <v>0.0</v>
      </c>
      <c r="H45" s="40">
        <v>9.0</v>
      </c>
      <c r="I45" s="39">
        <v>0.0</v>
      </c>
      <c r="J45" s="39">
        <v>0.0</v>
      </c>
      <c r="K45" s="39">
        <v>0.0</v>
      </c>
      <c r="L45" s="42">
        <v>9.0</v>
      </c>
      <c r="M45" s="39">
        <v>0.0</v>
      </c>
      <c r="N45" s="32">
        <f t="shared" ref="N45:O45" si="47">C45+L45</f>
        <v>261</v>
      </c>
      <c r="O45" s="32">
        <f t="shared" si="47"/>
        <v>13</v>
      </c>
      <c r="P45" s="43" t="s">
        <v>53</v>
      </c>
      <c r="Q45" s="43" t="s">
        <v>53</v>
      </c>
      <c r="R45" s="43" t="s">
        <v>53</v>
      </c>
      <c r="S45" s="39">
        <f t="shared" si="4"/>
        <v>4</v>
      </c>
      <c r="T45" s="39"/>
      <c r="U45" s="39">
        <f t="shared" si="5"/>
        <v>8</v>
      </c>
      <c r="V45" s="39">
        <f t="shared" si="6"/>
        <v>-1</v>
      </c>
      <c r="W45" s="30">
        <f t="shared" si="9"/>
        <v>41</v>
      </c>
    </row>
    <row r="46">
      <c r="A46" s="30">
        <f t="shared" si="7"/>
        <v>42</v>
      </c>
      <c r="B46" s="51" t="s">
        <v>104</v>
      </c>
      <c r="C46" s="32">
        <v>251.0</v>
      </c>
      <c r="D46" s="32">
        <v>19.0</v>
      </c>
      <c r="E46" s="35">
        <f t="shared" si="2"/>
        <v>11.05882353</v>
      </c>
      <c r="F46" s="37">
        <v>1.0</v>
      </c>
      <c r="G46" s="39">
        <v>7.0</v>
      </c>
      <c r="H46" s="40">
        <v>0.0</v>
      </c>
      <c r="I46" s="39">
        <v>2.0</v>
      </c>
      <c r="J46" s="39">
        <v>6.0</v>
      </c>
      <c r="K46" s="39">
        <v>6.0</v>
      </c>
      <c r="L46" s="42">
        <v>14.0</v>
      </c>
      <c r="M46" s="39">
        <v>1.0</v>
      </c>
      <c r="N46" s="32">
        <f t="shared" ref="N46:O46" si="48">C46+L46</f>
        <v>265</v>
      </c>
      <c r="O46" s="32">
        <f t="shared" si="48"/>
        <v>20</v>
      </c>
      <c r="P46" s="43" t="s">
        <v>53</v>
      </c>
      <c r="Q46" s="43" t="s">
        <v>53</v>
      </c>
      <c r="R46" s="43" t="s">
        <v>53</v>
      </c>
      <c r="S46" s="39">
        <f t="shared" si="4"/>
        <v>0</v>
      </c>
      <c r="T46" s="39"/>
      <c r="U46" s="39">
        <f t="shared" si="5"/>
        <v>7</v>
      </c>
      <c r="V46" s="39">
        <f t="shared" si="6"/>
        <v>-1</v>
      </c>
      <c r="W46" s="30">
        <f t="shared" si="9"/>
        <v>42</v>
      </c>
    </row>
    <row r="47">
      <c r="A47" s="30">
        <f t="shared" si="7"/>
        <v>43</v>
      </c>
      <c r="B47" s="51" t="s">
        <v>113</v>
      </c>
      <c r="C47" s="32">
        <v>245.0</v>
      </c>
      <c r="D47" s="32">
        <v>15.0</v>
      </c>
      <c r="E47" s="35">
        <f t="shared" si="2"/>
        <v>10.3125</v>
      </c>
      <c r="F47" s="37">
        <v>3.0</v>
      </c>
      <c r="G47" s="39">
        <v>0.0</v>
      </c>
      <c r="H47" s="40">
        <v>9.0</v>
      </c>
      <c r="I47" s="39">
        <v>0.0</v>
      </c>
      <c r="J47" s="39">
        <v>0.0</v>
      </c>
      <c r="K47" s="39">
        <v>0.0</v>
      </c>
      <c r="L47" s="42">
        <v>9.0</v>
      </c>
      <c r="M47" s="39">
        <v>0.0</v>
      </c>
      <c r="N47" s="32">
        <f t="shared" ref="N47:O47" si="49">C47+L47</f>
        <v>254</v>
      </c>
      <c r="O47" s="32">
        <f t="shared" si="49"/>
        <v>15</v>
      </c>
      <c r="P47" s="43" t="s">
        <v>53</v>
      </c>
      <c r="Q47" s="43" t="s">
        <v>53</v>
      </c>
      <c r="R47" s="43" t="s">
        <v>53</v>
      </c>
      <c r="S47" s="39">
        <f t="shared" si="4"/>
        <v>2</v>
      </c>
      <c r="T47" s="39"/>
      <c r="U47" s="39">
        <f t="shared" si="5"/>
        <v>6</v>
      </c>
      <c r="V47" s="39">
        <f t="shared" si="6"/>
        <v>0</v>
      </c>
      <c r="W47" s="30">
        <f t="shared" si="9"/>
        <v>43</v>
      </c>
    </row>
    <row r="48">
      <c r="A48" s="30">
        <f t="shared" si="7"/>
        <v>44</v>
      </c>
      <c r="B48" s="51" t="s">
        <v>114</v>
      </c>
      <c r="C48" s="32">
        <v>243.0</v>
      </c>
      <c r="D48" s="32">
        <v>13.0</v>
      </c>
      <c r="E48" s="35">
        <f t="shared" si="2"/>
        <v>10.72727273</v>
      </c>
      <c r="F48" s="37">
        <v>3.0</v>
      </c>
      <c r="G48" s="39">
        <v>0.0</v>
      </c>
      <c r="H48" s="40">
        <v>9.0</v>
      </c>
      <c r="I48" s="39">
        <v>0.0</v>
      </c>
      <c r="J48" s="39">
        <v>0.0</v>
      </c>
      <c r="K48" s="39">
        <v>0.0</v>
      </c>
      <c r="L48" s="42">
        <v>9.0</v>
      </c>
      <c r="M48" s="39">
        <v>0.0</v>
      </c>
      <c r="N48" s="32">
        <f t="shared" ref="N48:O48" si="50">C48+L48</f>
        <v>252</v>
      </c>
      <c r="O48" s="32">
        <f t="shared" si="50"/>
        <v>13</v>
      </c>
      <c r="P48" s="43" t="s">
        <v>53</v>
      </c>
      <c r="Q48" s="43" t="s">
        <v>53</v>
      </c>
      <c r="R48" s="43" t="s">
        <v>53</v>
      </c>
      <c r="S48" s="39">
        <f t="shared" si="4"/>
        <v>2</v>
      </c>
      <c r="T48" s="39"/>
      <c r="U48" s="39">
        <f t="shared" si="5"/>
        <v>11</v>
      </c>
      <c r="V48" s="39">
        <f t="shared" si="6"/>
        <v>0</v>
      </c>
      <c r="W48" s="30">
        <f t="shared" si="9"/>
        <v>44</v>
      </c>
    </row>
    <row r="49">
      <c r="A49" s="30">
        <f t="shared" si="7"/>
        <v>45</v>
      </c>
      <c r="B49" s="51" t="s">
        <v>111</v>
      </c>
      <c r="C49" s="32">
        <v>243.0</v>
      </c>
      <c r="D49" s="32">
        <v>11.0</v>
      </c>
      <c r="E49" s="35">
        <f t="shared" si="2"/>
        <v>11.7</v>
      </c>
      <c r="F49" s="37">
        <v>3.0</v>
      </c>
      <c r="G49" s="39">
        <v>0.0</v>
      </c>
      <c r="H49" s="40">
        <v>9.0</v>
      </c>
      <c r="I49" s="39">
        <v>0.0</v>
      </c>
      <c r="J49" s="39">
        <v>0.0</v>
      </c>
      <c r="K49" s="39">
        <v>0.0</v>
      </c>
      <c r="L49" s="42">
        <v>9.0</v>
      </c>
      <c r="M49" s="39">
        <v>0.0</v>
      </c>
      <c r="N49" s="32">
        <f t="shared" ref="N49:O49" si="51">C49+L49</f>
        <v>252</v>
      </c>
      <c r="O49" s="32">
        <f t="shared" si="51"/>
        <v>11</v>
      </c>
      <c r="P49" s="43" t="s">
        <v>53</v>
      </c>
      <c r="Q49" s="43" t="s">
        <v>53</v>
      </c>
      <c r="R49" s="43" t="s">
        <v>53</v>
      </c>
      <c r="S49" s="39">
        <f t="shared" si="4"/>
        <v>0</v>
      </c>
      <c r="T49" s="39"/>
      <c r="U49" s="39">
        <f t="shared" si="5"/>
        <v>14</v>
      </c>
      <c r="V49" s="39">
        <f t="shared" si="6"/>
        <v>1</v>
      </c>
      <c r="W49" s="30">
        <f t="shared" si="9"/>
        <v>45</v>
      </c>
    </row>
    <row r="50">
      <c r="A50" s="30">
        <f t="shared" si="7"/>
        <v>46</v>
      </c>
      <c r="B50" s="31" t="s">
        <v>56</v>
      </c>
      <c r="C50" s="32">
        <v>242.0</v>
      </c>
      <c r="D50" s="32">
        <v>8.0</v>
      </c>
      <c r="E50" s="35">
        <f t="shared" si="2"/>
        <v>12.6</v>
      </c>
      <c r="F50" s="37">
        <v>1.0</v>
      </c>
      <c r="G50" s="39">
        <v>7.0</v>
      </c>
      <c r="H50" s="40">
        <v>0.0</v>
      </c>
      <c r="I50" s="39">
        <v>6.0</v>
      </c>
      <c r="J50" s="39">
        <v>7.0</v>
      </c>
      <c r="K50" s="39">
        <v>6.0</v>
      </c>
      <c r="L50" s="42">
        <v>19.0</v>
      </c>
      <c r="M50" s="39">
        <v>3.0</v>
      </c>
      <c r="N50" s="32">
        <f t="shared" ref="N50:O50" si="52">C50+L50</f>
        <v>261</v>
      </c>
      <c r="O50" s="32">
        <f t="shared" si="52"/>
        <v>11</v>
      </c>
      <c r="P50" s="43" t="s">
        <v>53</v>
      </c>
      <c r="Q50" s="43" t="s">
        <v>53</v>
      </c>
      <c r="R50" s="43" t="s">
        <v>53</v>
      </c>
      <c r="S50" s="39">
        <f t="shared" si="4"/>
        <v>2</v>
      </c>
      <c r="T50" s="39"/>
      <c r="U50" s="39">
        <f t="shared" si="5"/>
        <v>17</v>
      </c>
      <c r="V50" s="39">
        <f t="shared" si="6"/>
        <v>8</v>
      </c>
      <c r="W50" s="30">
        <f t="shared" si="9"/>
        <v>46</v>
      </c>
    </row>
    <row r="51">
      <c r="A51" s="30">
        <f t="shared" si="7"/>
        <v>47</v>
      </c>
      <c r="B51" s="56" t="s">
        <v>115</v>
      </c>
      <c r="C51" s="32">
        <v>241.0</v>
      </c>
      <c r="D51" s="32">
        <v>16.0</v>
      </c>
      <c r="E51" s="35">
        <f t="shared" si="2"/>
        <v>10.47058824</v>
      </c>
      <c r="F51" s="37">
        <v>3.0</v>
      </c>
      <c r="G51" s="39">
        <v>0.0</v>
      </c>
      <c r="H51" s="40">
        <v>9.0</v>
      </c>
      <c r="I51" s="39">
        <v>0.0</v>
      </c>
      <c r="J51" s="39">
        <v>0.0</v>
      </c>
      <c r="K51" s="39">
        <v>0.0</v>
      </c>
      <c r="L51" s="42">
        <v>9.0</v>
      </c>
      <c r="M51" s="39">
        <v>0.0</v>
      </c>
      <c r="N51" s="32">
        <f t="shared" ref="N51:O51" si="53">C51+L51</f>
        <v>250</v>
      </c>
      <c r="O51" s="32">
        <f t="shared" si="53"/>
        <v>16</v>
      </c>
      <c r="P51" s="43" t="s">
        <v>53</v>
      </c>
      <c r="Q51" s="43" t="s">
        <v>53</v>
      </c>
      <c r="R51" s="43" t="s">
        <v>53</v>
      </c>
      <c r="S51" s="39">
        <f t="shared" si="4"/>
        <v>0</v>
      </c>
      <c r="T51" s="39"/>
      <c r="U51" s="39">
        <f t="shared" si="5"/>
        <v>7</v>
      </c>
      <c r="V51" s="39">
        <f t="shared" si="6"/>
        <v>0</v>
      </c>
      <c r="W51" s="30">
        <f t="shared" si="9"/>
        <v>47</v>
      </c>
    </row>
    <row r="52">
      <c r="A52" s="30">
        <f t="shared" si="7"/>
        <v>48</v>
      </c>
      <c r="B52" s="51" t="s">
        <v>116</v>
      </c>
      <c r="C52" s="32">
        <v>240.0</v>
      </c>
      <c r="D52" s="32">
        <v>14.0</v>
      </c>
      <c r="E52" s="35">
        <f t="shared" si="2"/>
        <v>10.25</v>
      </c>
      <c r="F52" s="37">
        <v>1.0</v>
      </c>
      <c r="G52" s="39">
        <v>7.0</v>
      </c>
      <c r="H52" s="40">
        <v>0.0</v>
      </c>
      <c r="I52" s="39">
        <v>2.0</v>
      </c>
      <c r="J52" s="39">
        <v>7.0</v>
      </c>
      <c r="K52" s="39">
        <v>1.0</v>
      </c>
      <c r="L52" s="42">
        <v>10.0</v>
      </c>
      <c r="M52" s="39">
        <v>1.0</v>
      </c>
      <c r="N52" s="32">
        <f t="shared" ref="N52:O52" si="54">C52+L52</f>
        <v>250</v>
      </c>
      <c r="O52" s="32">
        <f t="shared" si="54"/>
        <v>15</v>
      </c>
      <c r="P52" s="43" t="s">
        <v>53</v>
      </c>
      <c r="Q52" s="43" t="s">
        <v>53</v>
      </c>
      <c r="R52" s="43" t="s">
        <v>53</v>
      </c>
      <c r="S52" s="39">
        <f t="shared" si="4"/>
        <v>1</v>
      </c>
      <c r="T52" s="39"/>
      <c r="U52" s="39">
        <f t="shared" si="5"/>
        <v>7</v>
      </c>
      <c r="V52" s="39">
        <f t="shared" si="6"/>
        <v>-3</v>
      </c>
      <c r="W52" s="30">
        <f t="shared" si="9"/>
        <v>48</v>
      </c>
    </row>
    <row r="53">
      <c r="A53" s="30">
        <f t="shared" si="7"/>
        <v>49</v>
      </c>
      <c r="B53" s="31" t="s">
        <v>119</v>
      </c>
      <c r="C53" s="32">
        <v>236.0</v>
      </c>
      <c r="D53" s="32">
        <v>9.0</v>
      </c>
      <c r="E53" s="35">
        <f t="shared" si="2"/>
        <v>13</v>
      </c>
      <c r="F53" s="37">
        <v>3.0</v>
      </c>
      <c r="G53" s="39">
        <v>0.0</v>
      </c>
      <c r="H53" s="40">
        <v>9.0</v>
      </c>
      <c r="I53" s="39">
        <v>0.0</v>
      </c>
      <c r="J53" s="39">
        <v>0.0</v>
      </c>
      <c r="K53" s="39">
        <v>0.0</v>
      </c>
      <c r="L53" s="42">
        <v>9.0</v>
      </c>
      <c r="M53" s="39">
        <v>0.0</v>
      </c>
      <c r="N53" s="32">
        <f t="shared" ref="N53:O53" si="55">C53+L53</f>
        <v>245</v>
      </c>
      <c r="O53" s="32">
        <f t="shared" si="55"/>
        <v>9</v>
      </c>
      <c r="P53" s="43" t="s">
        <v>53</v>
      </c>
      <c r="Q53" s="43" t="s">
        <v>53</v>
      </c>
      <c r="R53" s="43" t="s">
        <v>53</v>
      </c>
      <c r="S53" s="39">
        <f t="shared" si="4"/>
        <v>1</v>
      </c>
      <c r="T53" s="39"/>
      <c r="U53" s="39">
        <f t="shared" si="5"/>
        <v>19</v>
      </c>
      <c r="V53" s="39">
        <f t="shared" si="6"/>
        <v>-1</v>
      </c>
      <c r="W53" s="30">
        <f t="shared" si="9"/>
        <v>49</v>
      </c>
    </row>
    <row r="54">
      <c r="A54" s="30">
        <f t="shared" si="7"/>
        <v>50</v>
      </c>
      <c r="B54" s="51" t="s">
        <v>118</v>
      </c>
      <c r="C54" s="32">
        <v>235.0</v>
      </c>
      <c r="D54" s="32">
        <v>13.0</v>
      </c>
      <c r="E54" s="35">
        <f t="shared" si="2"/>
        <v>10.72727273</v>
      </c>
      <c r="F54" s="37">
        <v>3.0</v>
      </c>
      <c r="G54" s="39">
        <v>0.0</v>
      </c>
      <c r="H54" s="40">
        <v>9.0</v>
      </c>
      <c r="I54" s="39">
        <v>0.0</v>
      </c>
      <c r="J54" s="39">
        <v>0.0</v>
      </c>
      <c r="K54" s="39">
        <v>0.0</v>
      </c>
      <c r="L54" s="42">
        <v>9.0</v>
      </c>
      <c r="M54" s="39">
        <v>0.0</v>
      </c>
      <c r="N54" s="32">
        <f t="shared" ref="N54:O54" si="56">C54+L54</f>
        <v>244</v>
      </c>
      <c r="O54" s="32">
        <f t="shared" si="56"/>
        <v>13</v>
      </c>
      <c r="P54" s="43" t="s">
        <v>53</v>
      </c>
      <c r="Q54" s="43" t="s">
        <v>53</v>
      </c>
      <c r="R54" s="43" t="s">
        <v>53</v>
      </c>
      <c r="S54" s="39">
        <f t="shared" si="4"/>
        <v>0</v>
      </c>
      <c r="T54" s="39"/>
      <c r="U54" s="39">
        <f t="shared" si="5"/>
        <v>13</v>
      </c>
      <c r="V54" s="39">
        <f t="shared" si="6"/>
        <v>-1</v>
      </c>
      <c r="W54" s="30">
        <f t="shared" si="9"/>
        <v>50</v>
      </c>
    </row>
    <row r="55">
      <c r="A55" s="30">
        <f t="shared" si="7"/>
        <v>51</v>
      </c>
      <c r="B55" s="31" t="s">
        <v>81</v>
      </c>
      <c r="C55" s="32">
        <v>235.0</v>
      </c>
      <c r="D55" s="32">
        <v>7.0</v>
      </c>
      <c r="E55" s="35">
        <f t="shared" si="2"/>
        <v>11.2</v>
      </c>
      <c r="F55" s="37">
        <v>3.0</v>
      </c>
      <c r="G55" s="39">
        <v>0.0</v>
      </c>
      <c r="H55" s="40">
        <v>9.0</v>
      </c>
      <c r="I55" s="39">
        <v>0.0</v>
      </c>
      <c r="J55" s="39">
        <v>0.0</v>
      </c>
      <c r="K55" s="39">
        <v>0.0</v>
      </c>
      <c r="L55" s="42">
        <v>9.0</v>
      </c>
      <c r="M55" s="39">
        <v>0.0</v>
      </c>
      <c r="N55" s="32">
        <f t="shared" ref="N55:O55" si="57">C55+L55</f>
        <v>244</v>
      </c>
      <c r="O55" s="32">
        <f t="shared" si="57"/>
        <v>7</v>
      </c>
      <c r="P55" s="43" t="s">
        <v>53</v>
      </c>
      <c r="Q55" s="43" t="s">
        <v>53</v>
      </c>
      <c r="R55" s="43" t="s">
        <v>53</v>
      </c>
      <c r="S55" s="39">
        <f t="shared" si="4"/>
        <v>2</v>
      </c>
      <c r="T55" s="39"/>
      <c r="U55" s="39">
        <f t="shared" si="5"/>
        <v>17</v>
      </c>
      <c r="V55" s="39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51" t="s">
        <v>75</v>
      </c>
      <c r="C56" s="32">
        <v>235.0</v>
      </c>
      <c r="D56" s="32">
        <v>6.0</v>
      </c>
      <c r="E56" s="35">
        <f t="shared" si="2"/>
        <v>14.5</v>
      </c>
      <c r="F56" s="37">
        <v>3.0</v>
      </c>
      <c r="G56" s="39">
        <v>0.0</v>
      </c>
      <c r="H56" s="40">
        <v>9.0</v>
      </c>
      <c r="I56" s="39">
        <v>0.0</v>
      </c>
      <c r="J56" s="39">
        <v>0.0</v>
      </c>
      <c r="K56" s="39">
        <v>0.0</v>
      </c>
      <c r="L56" s="42">
        <v>9.0</v>
      </c>
      <c r="M56" s="39">
        <v>0.0</v>
      </c>
      <c r="N56" s="32">
        <f t="shared" ref="N56:O56" si="58">C56+L56</f>
        <v>244</v>
      </c>
      <c r="O56" s="32">
        <f t="shared" si="58"/>
        <v>6</v>
      </c>
      <c r="P56" s="43" t="s">
        <v>53</v>
      </c>
      <c r="Q56" s="43" t="s">
        <v>53</v>
      </c>
      <c r="R56" s="43" t="s">
        <v>88</v>
      </c>
      <c r="S56" s="39">
        <f t="shared" si="4"/>
        <v>2</v>
      </c>
      <c r="T56" s="39"/>
      <c r="U56" s="39">
        <f t="shared" si="5"/>
        <v>20</v>
      </c>
      <c r="V56" s="39">
        <f t="shared" si="6"/>
        <v>-1</v>
      </c>
      <c r="W56" s="30">
        <f t="shared" si="9"/>
        <v>52</v>
      </c>
    </row>
    <row r="57">
      <c r="A57" s="30">
        <f t="shared" si="7"/>
        <v>53</v>
      </c>
      <c r="B57" s="51" t="s">
        <v>112</v>
      </c>
      <c r="C57" s="32">
        <v>233.0</v>
      </c>
      <c r="D57" s="32">
        <v>12.0</v>
      </c>
      <c r="E57" s="35">
        <f t="shared" si="2"/>
        <v>10.41666667</v>
      </c>
      <c r="F57" s="37">
        <v>1.0</v>
      </c>
      <c r="G57" s="39">
        <v>8.0</v>
      </c>
      <c r="H57" s="40">
        <v>0.0</v>
      </c>
      <c r="I57" s="39">
        <v>6.0</v>
      </c>
      <c r="J57" s="39">
        <v>6.0</v>
      </c>
      <c r="K57" s="39">
        <v>6.0</v>
      </c>
      <c r="L57" s="42">
        <v>18.0</v>
      </c>
      <c r="M57" s="39">
        <v>3.0</v>
      </c>
      <c r="N57" s="32">
        <f t="shared" ref="N57:O57" si="59">C57+L57</f>
        <v>251</v>
      </c>
      <c r="O57" s="32">
        <f t="shared" si="59"/>
        <v>15</v>
      </c>
      <c r="P57" s="43" t="s">
        <v>53</v>
      </c>
      <c r="Q57" s="43" t="s">
        <v>53</v>
      </c>
      <c r="R57" s="43" t="s">
        <v>53</v>
      </c>
      <c r="S57" s="39">
        <f t="shared" si="4"/>
        <v>0</v>
      </c>
      <c r="T57" s="39"/>
      <c r="U57" s="39">
        <f t="shared" si="5"/>
        <v>12</v>
      </c>
      <c r="V57" s="39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31" t="s">
        <v>120</v>
      </c>
      <c r="C58" s="32">
        <v>233.0</v>
      </c>
      <c r="D58" s="32">
        <v>6.0</v>
      </c>
      <c r="E58" s="35">
        <f t="shared" si="2"/>
        <v>11.6</v>
      </c>
      <c r="F58" s="37">
        <v>3.0</v>
      </c>
      <c r="G58" s="39">
        <v>0.0</v>
      </c>
      <c r="H58" s="40">
        <v>9.0</v>
      </c>
      <c r="I58" s="39">
        <v>0.0</v>
      </c>
      <c r="J58" s="39">
        <v>0.0</v>
      </c>
      <c r="K58" s="39">
        <v>0.0</v>
      </c>
      <c r="L58" s="42">
        <v>9.0</v>
      </c>
      <c r="M58" s="39">
        <v>0.0</v>
      </c>
      <c r="N58" s="32">
        <f t="shared" ref="N58:O58" si="60">C58+L58</f>
        <v>242</v>
      </c>
      <c r="O58" s="32">
        <f t="shared" si="60"/>
        <v>6</v>
      </c>
      <c r="P58" s="43" t="s">
        <v>53</v>
      </c>
      <c r="Q58" s="43" t="s">
        <v>53</v>
      </c>
      <c r="R58" s="43" t="s">
        <v>53</v>
      </c>
      <c r="S58" s="39">
        <f t="shared" si="4"/>
        <v>1</v>
      </c>
      <c r="T58" s="39"/>
      <c r="U58" s="39">
        <f t="shared" si="5"/>
        <v>18</v>
      </c>
      <c r="V58" s="39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31" t="s">
        <v>117</v>
      </c>
      <c r="C59" s="32">
        <v>232.0</v>
      </c>
      <c r="D59" s="32">
        <v>5.0</v>
      </c>
      <c r="E59" s="35">
        <f t="shared" si="2"/>
        <v>11.66666667</v>
      </c>
      <c r="F59" s="37">
        <v>3.0</v>
      </c>
      <c r="G59" s="39">
        <v>0.0</v>
      </c>
      <c r="H59" s="40">
        <v>9.0</v>
      </c>
      <c r="I59" s="39">
        <v>0.0</v>
      </c>
      <c r="J59" s="39">
        <v>0.0</v>
      </c>
      <c r="K59" s="39">
        <v>0.0</v>
      </c>
      <c r="L59" s="42">
        <v>9.0</v>
      </c>
      <c r="M59" s="39">
        <v>0.0</v>
      </c>
      <c r="N59" s="32">
        <f t="shared" ref="N59:O59" si="61">C59+L59</f>
        <v>241</v>
      </c>
      <c r="O59" s="32">
        <f t="shared" si="61"/>
        <v>5</v>
      </c>
      <c r="P59" s="43" t="s">
        <v>53</v>
      </c>
      <c r="Q59" s="43" t="s">
        <v>53</v>
      </c>
      <c r="R59" s="43" t="s">
        <v>53</v>
      </c>
      <c r="S59" s="39">
        <f t="shared" si="4"/>
        <v>2</v>
      </c>
      <c r="T59" s="39"/>
      <c r="U59" s="39">
        <f t="shared" si="5"/>
        <v>19</v>
      </c>
      <c r="V59" s="39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56" t="s">
        <v>51</v>
      </c>
      <c r="C60" s="32">
        <v>223.0</v>
      </c>
      <c r="D60" s="32">
        <v>9.0</v>
      </c>
      <c r="E60" s="35">
        <f t="shared" si="2"/>
        <v>9.333333333</v>
      </c>
      <c r="F60" s="37">
        <v>1.0</v>
      </c>
      <c r="G60" s="39">
        <v>8.0</v>
      </c>
      <c r="H60" s="40">
        <v>0.0</v>
      </c>
      <c r="I60" s="39">
        <v>4.0</v>
      </c>
      <c r="J60" s="39">
        <v>4.0</v>
      </c>
      <c r="K60" s="39">
        <v>6.0</v>
      </c>
      <c r="L60" s="42">
        <v>14.0</v>
      </c>
      <c r="M60" s="39">
        <v>1.0</v>
      </c>
      <c r="N60" s="32">
        <f t="shared" ref="N60:O60" si="62">C60+L60</f>
        <v>237</v>
      </c>
      <c r="O60" s="32">
        <f t="shared" si="62"/>
        <v>10</v>
      </c>
      <c r="P60" s="43" t="s">
        <v>53</v>
      </c>
      <c r="Q60" s="43" t="s">
        <v>53</v>
      </c>
      <c r="R60" s="43" t="s">
        <v>53</v>
      </c>
      <c r="S60" s="39">
        <f t="shared" si="4"/>
        <v>1</v>
      </c>
      <c r="T60" s="39"/>
      <c r="U60" s="39">
        <f t="shared" si="5"/>
        <v>14</v>
      </c>
      <c r="V60" s="39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56" t="s">
        <v>122</v>
      </c>
      <c r="C61" s="32">
        <v>220.0</v>
      </c>
      <c r="D61" s="32">
        <v>3.0</v>
      </c>
      <c r="E61" s="35">
        <f t="shared" si="2"/>
        <v>9</v>
      </c>
      <c r="F61" s="37">
        <v>3.0</v>
      </c>
      <c r="G61" s="39">
        <v>0.0</v>
      </c>
      <c r="H61" s="40">
        <v>9.0</v>
      </c>
      <c r="I61" s="39">
        <v>0.0</v>
      </c>
      <c r="J61" s="39">
        <v>0.0</v>
      </c>
      <c r="K61" s="39">
        <v>0.0</v>
      </c>
      <c r="L61" s="42">
        <v>9.0</v>
      </c>
      <c r="M61" s="39">
        <v>0.0</v>
      </c>
      <c r="N61" s="32">
        <f t="shared" ref="N61:O61" si="63">C61+L61</f>
        <v>229</v>
      </c>
      <c r="O61" s="32">
        <f t="shared" si="63"/>
        <v>3</v>
      </c>
      <c r="P61" s="43" t="s">
        <v>53</v>
      </c>
      <c r="Q61" s="43" t="s">
        <v>53</v>
      </c>
      <c r="R61" s="43" t="s">
        <v>53</v>
      </c>
      <c r="S61" s="39">
        <f t="shared" si="4"/>
        <v>1</v>
      </c>
      <c r="T61" s="39"/>
      <c r="U61" s="39">
        <f t="shared" si="5"/>
        <v>19</v>
      </c>
      <c r="V61" s="39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31" t="s">
        <v>123</v>
      </c>
      <c r="C62" s="32">
        <v>219.0</v>
      </c>
      <c r="D62" s="32">
        <v>5.0</v>
      </c>
      <c r="E62" s="35">
        <f t="shared" si="2"/>
        <v>10.5</v>
      </c>
      <c r="F62" s="37">
        <v>3.0</v>
      </c>
      <c r="G62" s="39">
        <v>0.0</v>
      </c>
      <c r="H62" s="40">
        <v>9.0</v>
      </c>
      <c r="I62" s="39">
        <v>0.0</v>
      </c>
      <c r="J62" s="39">
        <v>0.0</v>
      </c>
      <c r="K62" s="39">
        <v>0.0</v>
      </c>
      <c r="L62" s="42">
        <v>9.0</v>
      </c>
      <c r="M62" s="39">
        <v>0.0</v>
      </c>
      <c r="N62" s="32">
        <f t="shared" ref="N62:O62" si="64">C62+L62</f>
        <v>228</v>
      </c>
      <c r="O62" s="32">
        <f t="shared" si="64"/>
        <v>5</v>
      </c>
      <c r="P62" s="43" t="s">
        <v>53</v>
      </c>
      <c r="Q62" s="43" t="s">
        <v>53</v>
      </c>
      <c r="R62" s="43" t="s">
        <v>53</v>
      </c>
      <c r="S62" s="39">
        <f t="shared" si="4"/>
        <v>0</v>
      </c>
      <c r="T62" s="39"/>
      <c r="U62" s="39">
        <f t="shared" si="5"/>
        <v>22</v>
      </c>
      <c r="V62" s="39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31" t="s">
        <v>124</v>
      </c>
      <c r="C63" s="32">
        <v>216.0</v>
      </c>
      <c r="D63" s="32">
        <v>4.0</v>
      </c>
      <c r="E63" s="35">
        <f t="shared" si="2"/>
        <v>7.666666667</v>
      </c>
      <c r="F63" s="37">
        <v>3.0</v>
      </c>
      <c r="G63" s="39">
        <v>0.0</v>
      </c>
      <c r="H63" s="40">
        <v>9.0</v>
      </c>
      <c r="I63" s="39">
        <v>0.0</v>
      </c>
      <c r="J63" s="39">
        <v>0.0</v>
      </c>
      <c r="K63" s="39">
        <v>0.0</v>
      </c>
      <c r="L63" s="42">
        <v>9.0</v>
      </c>
      <c r="M63" s="39">
        <v>0.0</v>
      </c>
      <c r="N63" s="32">
        <f t="shared" ref="N63:O63" si="65">C63+L63</f>
        <v>225</v>
      </c>
      <c r="O63" s="32">
        <f t="shared" si="65"/>
        <v>4</v>
      </c>
      <c r="P63" s="43" t="s">
        <v>53</v>
      </c>
      <c r="Q63" s="43" t="s">
        <v>53</v>
      </c>
      <c r="R63" s="43" t="s">
        <v>88</v>
      </c>
      <c r="S63" s="39">
        <f t="shared" si="4"/>
        <v>1</v>
      </c>
      <c r="T63" s="39"/>
      <c r="U63" s="39">
        <f t="shared" si="5"/>
        <v>20</v>
      </c>
      <c r="V63" s="39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31" t="s">
        <v>125</v>
      </c>
      <c r="C64" s="32">
        <v>216.0</v>
      </c>
      <c r="D64" s="32">
        <v>3.0</v>
      </c>
      <c r="E64" s="35">
        <f t="shared" si="2"/>
        <v>9</v>
      </c>
      <c r="F64" s="37">
        <v>3.0</v>
      </c>
      <c r="G64" s="39">
        <v>0.0</v>
      </c>
      <c r="H64" s="40">
        <v>9.0</v>
      </c>
      <c r="I64" s="39">
        <v>0.0</v>
      </c>
      <c r="J64" s="39">
        <v>0.0</v>
      </c>
      <c r="K64" s="39">
        <v>0.0</v>
      </c>
      <c r="L64" s="42">
        <v>9.0</v>
      </c>
      <c r="M64" s="39">
        <v>0.0</v>
      </c>
      <c r="N64" s="32">
        <f t="shared" ref="N64:O64" si="66">C64+L64</f>
        <v>225</v>
      </c>
      <c r="O64" s="32">
        <f t="shared" si="66"/>
        <v>3</v>
      </c>
      <c r="P64" s="43" t="s">
        <v>53</v>
      </c>
      <c r="Q64" s="43" t="s">
        <v>53</v>
      </c>
      <c r="R64" s="43" t="s">
        <v>53</v>
      </c>
      <c r="S64" s="39">
        <f t="shared" si="4"/>
        <v>0</v>
      </c>
      <c r="T64" s="39"/>
      <c r="U64" s="39">
        <f t="shared" si="5"/>
        <v>23</v>
      </c>
      <c r="V64" s="39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51" t="s">
        <v>121</v>
      </c>
      <c r="C65" s="32">
        <v>212.0</v>
      </c>
      <c r="D65" s="32">
        <v>4.0</v>
      </c>
      <c r="E65" s="35">
        <f t="shared" si="2"/>
        <v>8</v>
      </c>
      <c r="F65" s="37">
        <v>1.0</v>
      </c>
      <c r="G65" s="39">
        <v>8.0</v>
      </c>
      <c r="H65" s="40">
        <v>0.0</v>
      </c>
      <c r="I65" s="39">
        <v>6.0</v>
      </c>
      <c r="J65" s="39">
        <v>4.0</v>
      </c>
      <c r="K65" s="39">
        <v>3.0</v>
      </c>
      <c r="L65" s="42">
        <v>13.0</v>
      </c>
      <c r="M65" s="39">
        <v>1.0</v>
      </c>
      <c r="N65" s="32">
        <f t="shared" ref="N65:O65" si="67">C65+L65</f>
        <v>225</v>
      </c>
      <c r="O65" s="32">
        <f t="shared" si="67"/>
        <v>5</v>
      </c>
      <c r="P65" s="43" t="s">
        <v>53</v>
      </c>
      <c r="Q65" s="43" t="s">
        <v>53</v>
      </c>
      <c r="R65" s="43" t="s">
        <v>53</v>
      </c>
      <c r="S65" s="39">
        <f t="shared" si="4"/>
        <v>0</v>
      </c>
      <c r="T65" s="39"/>
      <c r="U65" s="39">
        <f t="shared" si="5"/>
        <v>20</v>
      </c>
      <c r="V65" s="39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31" t="s">
        <v>72</v>
      </c>
      <c r="C66" s="32">
        <v>211.0</v>
      </c>
      <c r="D66" s="32">
        <v>0.0</v>
      </c>
      <c r="E66" s="35">
        <f t="shared" si="2"/>
        <v>4.5</v>
      </c>
      <c r="F66" s="37">
        <v>3.0</v>
      </c>
      <c r="G66" s="39"/>
      <c r="H66" s="40">
        <v>9.0</v>
      </c>
      <c r="I66" s="39"/>
      <c r="J66" s="39"/>
      <c r="K66" s="39"/>
      <c r="L66" s="42">
        <v>9.0</v>
      </c>
      <c r="M66" s="39"/>
      <c r="N66" s="32">
        <f t="shared" ref="N66:O66" si="68">C66+L66</f>
        <v>220</v>
      </c>
      <c r="O66" s="32">
        <f t="shared" si="68"/>
        <v>0</v>
      </c>
      <c r="P66" s="43" t="s">
        <v>53</v>
      </c>
      <c r="Q66" s="43" t="s">
        <v>53</v>
      </c>
      <c r="R66" s="43" t="s">
        <v>88</v>
      </c>
      <c r="S66" s="39">
        <f t="shared" si="4"/>
        <v>1</v>
      </c>
      <c r="T66" s="39"/>
      <c r="U66" s="39">
        <f t="shared" si="5"/>
        <v>21</v>
      </c>
      <c r="V66" s="39"/>
      <c r="W66" s="30">
        <f t="shared" si="9"/>
        <v>62</v>
      </c>
    </row>
    <row r="67">
      <c r="A67" s="30">
        <f t="shared" si="7"/>
        <v>63</v>
      </c>
      <c r="B67" s="31" t="s">
        <v>126</v>
      </c>
      <c r="C67" s="32">
        <v>211.0</v>
      </c>
      <c r="D67" s="32">
        <v>0.0</v>
      </c>
      <c r="E67" s="35">
        <f t="shared" si="2"/>
        <v>0</v>
      </c>
      <c r="F67" s="37">
        <v>3.0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220</v>
      </c>
      <c r="O67" s="32">
        <f t="shared" si="69"/>
        <v>0</v>
      </c>
      <c r="P67" s="43" t="s">
        <v>53</v>
      </c>
      <c r="Q67" s="43" t="s">
        <v>53</v>
      </c>
      <c r="R67" s="43" t="s">
        <v>88</v>
      </c>
      <c r="S67" s="39">
        <f t="shared" si="4"/>
        <v>1</v>
      </c>
      <c r="T67" s="39"/>
      <c r="U67" s="39">
        <f t="shared" si="5"/>
        <v>22</v>
      </c>
      <c r="V67" s="39">
        <f t="shared" ref="V67:V69" si="71">VLOOKUP(B67,indirect($AB$2&amp;"!B$5:w$70"),22,false)-A67</f>
        <v>0</v>
      </c>
      <c r="W67" s="30">
        <f t="shared" si="9"/>
        <v>63</v>
      </c>
    </row>
    <row r="68">
      <c r="A68" s="30">
        <f t="shared" si="7"/>
        <v>64</v>
      </c>
      <c r="B68" s="51" t="s">
        <v>74</v>
      </c>
      <c r="C68" s="32">
        <v>198.0</v>
      </c>
      <c r="D68" s="32">
        <v>0.0</v>
      </c>
      <c r="E68" s="35" t="str">
        <f t="shared" si="2"/>
        <v>#DIV/0!</v>
      </c>
      <c r="F68" s="37">
        <v>3.0</v>
      </c>
      <c r="G68" s="39">
        <v>0.0</v>
      </c>
      <c r="H68" s="40">
        <v>9.0</v>
      </c>
      <c r="I68" s="39">
        <v>0.0</v>
      </c>
      <c r="J68" s="39">
        <v>0.0</v>
      </c>
      <c r="K68" s="39">
        <v>0.0</v>
      </c>
      <c r="L68" s="42">
        <v>9.0</v>
      </c>
      <c r="M68" s="39">
        <v>0.0</v>
      </c>
      <c r="N68" s="32">
        <f t="shared" ref="N68:O68" si="70">C68+L68</f>
        <v>207</v>
      </c>
      <c r="O68" s="32">
        <f t="shared" si="70"/>
        <v>0</v>
      </c>
      <c r="P68" s="43" t="s">
        <v>53</v>
      </c>
      <c r="Q68" s="43" t="s">
        <v>53</v>
      </c>
      <c r="R68" s="43" t="s">
        <v>88</v>
      </c>
      <c r="S68" s="39">
        <f t="shared" si="4"/>
        <v>0</v>
      </c>
      <c r="T68" s="39"/>
      <c r="U68" s="39">
        <f t="shared" si="5"/>
        <v>24</v>
      </c>
      <c r="V68" s="39">
        <f t="shared" si="71"/>
        <v>0</v>
      </c>
      <c r="W68" s="30">
        <f t="shared" si="9"/>
        <v>64</v>
      </c>
    </row>
    <row r="69">
      <c r="A69" s="30">
        <f t="shared" si="7"/>
        <v>65</v>
      </c>
      <c r="B69" s="51" t="s">
        <v>80</v>
      </c>
      <c r="C69" s="32">
        <v>195.0</v>
      </c>
      <c r="D69" s="32">
        <v>10.0</v>
      </c>
      <c r="E69" s="35">
        <f t="shared" si="2"/>
        <v>7.6</v>
      </c>
      <c r="F69" s="37">
        <v>1.0</v>
      </c>
      <c r="G69" s="39">
        <v>8.0</v>
      </c>
      <c r="H69" s="40">
        <v>0.0</v>
      </c>
      <c r="I69" s="39">
        <v>4.0</v>
      </c>
      <c r="J69" s="39">
        <v>6.0</v>
      </c>
      <c r="K69" s="39">
        <v>3.0</v>
      </c>
      <c r="L69" s="42">
        <v>13.0</v>
      </c>
      <c r="M69" s="39">
        <v>1.0</v>
      </c>
      <c r="N69" s="32">
        <f t="shared" ref="N69:O69" si="72">C69+L69</f>
        <v>208</v>
      </c>
      <c r="O69" s="32">
        <f t="shared" si="72"/>
        <v>11</v>
      </c>
      <c r="P69" s="43" t="s">
        <v>53</v>
      </c>
      <c r="Q69" s="43" t="s">
        <v>53</v>
      </c>
      <c r="R69" s="43" t="s">
        <v>53</v>
      </c>
      <c r="S69" s="39">
        <f t="shared" si="4"/>
        <v>0</v>
      </c>
      <c r="T69" s="39"/>
      <c r="U69" s="39">
        <f t="shared" si="5"/>
        <v>9</v>
      </c>
      <c r="V69" s="39">
        <f t="shared" si="71"/>
        <v>0</v>
      </c>
      <c r="W69" s="30">
        <f t="shared" si="9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10"/>
    </row>
    <row r="73">
      <c r="A73" s="11"/>
      <c r="C73" s="11"/>
      <c r="D73" s="11"/>
      <c r="E73" s="11"/>
      <c r="F73" s="11"/>
      <c r="P73" s="10"/>
    </row>
    <row r="74">
      <c r="A74" s="11"/>
      <c r="C74" s="11"/>
      <c r="D74" s="11"/>
      <c r="K74" s="49"/>
      <c r="L74" s="59"/>
      <c r="M74" s="60"/>
      <c r="P74" s="10"/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61" t="s">
        <v>128</v>
      </c>
      <c r="Q77" s="23"/>
      <c r="R77" s="8">
        <f>COUNTIF(R5:R69,"X")</f>
        <v>54</v>
      </c>
    </row>
    <row r="78">
      <c r="A78" s="11"/>
      <c r="B78" s="62" t="s">
        <v>129</v>
      </c>
      <c r="C78" s="62" t="s">
        <v>130</v>
      </c>
      <c r="D78" s="62" t="s">
        <v>131</v>
      </c>
      <c r="K78" s="49"/>
      <c r="L78" s="59"/>
      <c r="M78" s="60"/>
      <c r="P78" s="7" t="s">
        <v>132</v>
      </c>
      <c r="Q78" s="8"/>
      <c r="R78" s="8">
        <f>countif(R5:R69,"N")</f>
        <v>10</v>
      </c>
    </row>
    <row r="79">
      <c r="A79" s="11"/>
      <c r="B79" s="51" t="str">
        <f>IFERROR(__xludf.DUMMYFUNCTION("QUERY(B5:M69,""Select B, L, M where L &gt;= 18 order by L desc,M desc"",0)"),"Troy Wong")</f>
        <v>Troy Wong</v>
      </c>
      <c r="C79" s="71">
        <f>IFERROR(__xludf.DUMMYFUNCTION("""COMPUTED_VALUE"""),20.0)</f>
        <v>20</v>
      </c>
      <c r="D79" s="71">
        <f>IFERROR(__xludf.DUMMYFUNCTION("""COMPUTED_VALUE"""),3.0)</f>
        <v>3</v>
      </c>
      <c r="E79" s="11"/>
      <c r="F79" s="11"/>
      <c r="L79" s="59"/>
      <c r="M79" s="60"/>
      <c r="P79" s="61" t="s">
        <v>133</v>
      </c>
      <c r="Q79" s="23"/>
      <c r="R79" s="8">
        <f>countif(R5:R69,"")</f>
        <v>1</v>
      </c>
    </row>
    <row r="80">
      <c r="A80" s="11"/>
      <c r="B80" s="51" t="str">
        <f>IFERROR(__xludf.DUMMYFUNCTION("""COMPUTED_VALUE"""),"Cid Macaraeg")</f>
        <v>Cid Macaraeg</v>
      </c>
      <c r="C80" s="71">
        <f>IFERROR(__xludf.DUMMYFUNCTION("""COMPUTED_VALUE"""),20.0)</f>
        <v>20</v>
      </c>
      <c r="D80" s="71">
        <f>IFERROR(__xludf.DUMMYFUNCTION("""COMPUTED_VALUE"""),3.0)</f>
        <v>3</v>
      </c>
      <c r="E80" s="11"/>
      <c r="F80" s="11"/>
      <c r="M80" s="65"/>
      <c r="P80" s="61" t="s">
        <v>60</v>
      </c>
      <c r="Q80" s="23"/>
      <c r="R80" s="8">
        <f>sum(R77:R79)</f>
        <v>65</v>
      </c>
    </row>
    <row r="81">
      <c r="A81" s="11"/>
      <c r="B81" s="51" t="str">
        <f>IFERROR(__xludf.DUMMYFUNCTION("""COMPUTED_VALUE"""),"Susanta Mishra")</f>
        <v>Susanta Mishra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F81" s="11"/>
    </row>
    <row r="82">
      <c r="A82" s="11"/>
      <c r="B82" s="51" t="str">
        <f>IFERROR(__xludf.DUMMYFUNCTION("""COMPUTED_VALUE"""),"Adrian Tay")</f>
        <v>Adrian Tay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  <c r="F82" s="11"/>
      <c r="P82" s="10" t="s">
        <v>134</v>
      </c>
    </row>
    <row r="83">
      <c r="A83" s="11"/>
      <c r="B83" s="51" t="str">
        <f>IFERROR(__xludf.DUMMYFUNCTION("""COMPUTED_VALUE"""),"Mauricio Palacios")</f>
        <v>Mauricio Palacios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  <c r="F83" s="11"/>
      <c r="L83" s="10"/>
    </row>
    <row r="84">
      <c r="A84" s="11"/>
      <c r="B84" s="51" t="str">
        <f>IFERROR(__xludf.DUMMYFUNCTION("""COMPUTED_VALUE"""),"Sandy Weyant")</f>
        <v>Sandy Weyant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F84" s="11"/>
      <c r="L84" s="10"/>
    </row>
    <row r="85">
      <c r="A85" s="11"/>
      <c r="B85" s="51" t="str">
        <f>IFERROR(__xludf.DUMMYFUNCTION("""COMPUTED_VALUE"""),"Pulkit Mathur")</f>
        <v>Pulkit Mathur</v>
      </c>
      <c r="C85" s="71">
        <f>IFERROR(__xludf.DUMMYFUNCTION("""COMPUTED_VALUE"""),18.0)</f>
        <v>18</v>
      </c>
      <c r="D85" s="71">
        <f>IFERROR(__xludf.DUMMYFUNCTION("""COMPUTED_VALUE"""),2.0)</f>
        <v>2</v>
      </c>
      <c r="E85" s="11"/>
      <c r="F85" s="11"/>
      <c r="L85" s="10"/>
    </row>
    <row r="86">
      <c r="A86" s="11"/>
      <c r="B86" s="51" t="str">
        <f>IFERROR(__xludf.DUMMYFUNCTION("""COMPUTED_VALUE"""),"Matthew Huang")</f>
        <v>Matthew Huang</v>
      </c>
      <c r="C86" s="71">
        <f>IFERROR(__xludf.DUMMYFUNCTION("""COMPUTED_VALUE"""),18.0)</f>
        <v>18</v>
      </c>
      <c r="D86" s="71">
        <f>IFERROR(__xludf.DUMMYFUNCTION("""COMPUTED_VALUE"""),1.0)</f>
        <v>1</v>
      </c>
      <c r="E86" s="11"/>
      <c r="F86" s="11"/>
      <c r="L86" s="10"/>
    </row>
    <row r="87">
      <c r="A87" s="11"/>
      <c r="B87" s="51"/>
      <c r="C87" s="71"/>
      <c r="D87" s="71"/>
      <c r="E87" s="11"/>
      <c r="F87" s="11"/>
    </row>
    <row r="88">
      <c r="A88" s="11"/>
      <c r="B88" s="51"/>
      <c r="C88" s="71"/>
      <c r="D88" s="71"/>
      <c r="E88" s="11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10"")"),"Susanta Mishra")</f>
        <v>Susanta Mishra</v>
      </c>
      <c r="C93" s="64">
        <f>IFERROR(__xludf.DUMMYFUNCTION("""COMPUTED_VALUE"""),8.0)</f>
        <v>8</v>
      </c>
      <c r="D93" s="64">
        <f t="shared" ref="D93:D102" si="73">VLOOKUP(B93,indirect($AB$2&amp;"!B$5:w$70"),22, false)</f>
        <v>54</v>
      </c>
      <c r="E93" s="64">
        <f t="shared" ref="E93:E102" si="74">VLOOKUP(B93,B$5:W$69,22, false)</f>
        <v>46</v>
      </c>
      <c r="F93" s="64">
        <f t="shared" ref="F93:F102" si="75">VLOOKUP(B93,indirect($AB$2&amp;"!B$5:U$70"),11, false)</f>
        <v>18</v>
      </c>
      <c r="G93" s="64">
        <f t="shared" ref="G93:G102" si="76">VLOOKUP(B93,indirect($AB$2&amp;"!B$5:U$70"),6, false)</f>
        <v>7</v>
      </c>
      <c r="L93" s="64" t="str">
        <f t="shared" ref="L93:L102" si="77">if(D93-E93=C93,"ok","Error")</f>
        <v>ok</v>
      </c>
    </row>
    <row r="94">
      <c r="A94" s="11"/>
      <c r="B94" s="51" t="str">
        <f>IFERROR(__xludf.DUMMYFUNCTION("""COMPUTED_VALUE"""),"Pulkit Mathur")</f>
        <v>Pulkit Mathur</v>
      </c>
      <c r="C94" s="64">
        <f>IFERROR(__xludf.DUMMYFUNCTION("""COMPUTED_VALUE"""),5.0)</f>
        <v>5</v>
      </c>
      <c r="D94" s="64">
        <f t="shared" si="73"/>
        <v>20</v>
      </c>
      <c r="E94" s="64">
        <f t="shared" si="74"/>
        <v>15</v>
      </c>
      <c r="F94" s="64">
        <f t="shared" si="75"/>
        <v>17</v>
      </c>
      <c r="G94" s="64">
        <f t="shared" si="76"/>
        <v>4</v>
      </c>
      <c r="L94" s="64" t="str">
        <f t="shared" si="77"/>
        <v>ok</v>
      </c>
    </row>
    <row r="95">
      <c r="A95" s="11"/>
      <c r="B95" s="51" t="str">
        <f>IFERROR(__xludf.DUMMYFUNCTION("""COMPUTED_VALUE"""),"Lloyd Sagar")</f>
        <v>Lloyd Sagar</v>
      </c>
      <c r="C95" s="64">
        <f>IFERROR(__xludf.DUMMYFUNCTION("""COMPUTED_VALUE"""),5.0)</f>
        <v>5</v>
      </c>
      <c r="D95" s="64">
        <f t="shared" si="73"/>
        <v>34</v>
      </c>
      <c r="E95" s="64">
        <f t="shared" si="74"/>
        <v>29</v>
      </c>
      <c r="F95" s="64">
        <f t="shared" si="75"/>
        <v>18</v>
      </c>
      <c r="G95" s="64">
        <f t="shared" si="76"/>
        <v>5</v>
      </c>
      <c r="L95" s="64" t="str">
        <f t="shared" si="77"/>
        <v>ok</v>
      </c>
      <c r="Q95" s="70"/>
    </row>
    <row r="96">
      <c r="A96" s="11"/>
      <c r="B96" s="51" t="str">
        <f>IFERROR(__xludf.DUMMYFUNCTION("""COMPUTED_VALUE"""),"Elayaraja Thangaraj ")</f>
        <v>Elayaraja Thangaraj </v>
      </c>
      <c r="C96" s="64">
        <f>IFERROR(__xludf.DUMMYFUNCTION("""COMPUTED_VALUE"""),5.0)</f>
        <v>5</v>
      </c>
      <c r="D96" s="64">
        <f t="shared" si="73"/>
        <v>37</v>
      </c>
      <c r="E96" s="64">
        <f t="shared" si="74"/>
        <v>32</v>
      </c>
      <c r="F96" s="64">
        <f t="shared" si="75"/>
        <v>19</v>
      </c>
      <c r="G96" s="64">
        <f t="shared" si="76"/>
        <v>6</v>
      </c>
      <c r="L96" s="64" t="str">
        <f t="shared" si="77"/>
        <v>ok</v>
      </c>
    </row>
    <row r="97">
      <c r="A97" s="11"/>
      <c r="B97" s="51" t="str">
        <f>IFERROR(__xludf.DUMMYFUNCTION("""COMPUTED_VALUE"""),"Alejandro Mejia")</f>
        <v>Alejandro Mejia</v>
      </c>
      <c r="C97" s="64">
        <f>IFERROR(__xludf.DUMMYFUNCTION("""COMPUTED_VALUE"""),4.0)</f>
        <v>4</v>
      </c>
      <c r="D97" s="64">
        <f t="shared" si="73"/>
        <v>16</v>
      </c>
      <c r="E97" s="64">
        <f t="shared" si="74"/>
        <v>12</v>
      </c>
      <c r="F97" s="64">
        <f t="shared" si="75"/>
        <v>18</v>
      </c>
      <c r="G97" s="64">
        <f t="shared" si="76"/>
        <v>3</v>
      </c>
      <c r="L97" s="64" t="str">
        <f t="shared" si="77"/>
        <v>ok</v>
      </c>
    </row>
    <row r="98">
      <c r="A98" s="11"/>
      <c r="B98" s="51" t="str">
        <f>IFERROR(__xludf.DUMMYFUNCTION("""COMPUTED_VALUE"""),"Sanjaye Elayattu")</f>
        <v>Sanjaye Elayattu</v>
      </c>
      <c r="C98" s="64">
        <f>IFERROR(__xludf.DUMMYFUNCTION("""COMPUTED_VALUE"""),3.0)</f>
        <v>3</v>
      </c>
      <c r="D98" s="64">
        <f t="shared" si="73"/>
        <v>27</v>
      </c>
      <c r="E98" s="64">
        <f t="shared" si="74"/>
        <v>24</v>
      </c>
      <c r="F98" s="64">
        <f t="shared" si="75"/>
        <v>17</v>
      </c>
      <c r="G98" s="64">
        <f t="shared" si="76"/>
        <v>4</v>
      </c>
      <c r="L98" s="64" t="str">
        <f t="shared" si="77"/>
        <v>ok</v>
      </c>
    </row>
    <row r="99">
      <c r="A99" s="11"/>
      <c r="B99" s="51" t="str">
        <f>IFERROR(__xludf.DUMMYFUNCTION("""COMPUTED_VALUE"""),"David Shin")</f>
        <v>David Shin</v>
      </c>
      <c r="C99" s="64">
        <f>IFERROR(__xludf.DUMMYFUNCTION("""COMPUTED_VALUE"""),2.0)</f>
        <v>2</v>
      </c>
      <c r="D99" s="64">
        <f t="shared" si="73"/>
        <v>4</v>
      </c>
      <c r="E99" s="64">
        <f t="shared" si="74"/>
        <v>2</v>
      </c>
      <c r="F99" s="64">
        <f t="shared" si="75"/>
        <v>20</v>
      </c>
      <c r="G99" s="64">
        <f t="shared" si="76"/>
        <v>1</v>
      </c>
      <c r="L99" s="64" t="str">
        <f t="shared" si="77"/>
        <v>ok</v>
      </c>
    </row>
    <row r="100">
      <c r="A100" s="11"/>
      <c r="B100" s="51" t="str">
        <f>IFERROR(__xludf.DUMMYFUNCTION("""COMPUTED_VALUE"""),"James Phan")</f>
        <v>James Phan</v>
      </c>
      <c r="C100" s="64">
        <f>IFERROR(__xludf.DUMMYFUNCTION("""COMPUTED_VALUE"""),2.0)</f>
        <v>2</v>
      </c>
      <c r="D100" s="64">
        <f t="shared" si="73"/>
        <v>7</v>
      </c>
      <c r="E100" s="64">
        <f t="shared" si="74"/>
        <v>5</v>
      </c>
      <c r="F100" s="64">
        <f t="shared" si="75"/>
        <v>18</v>
      </c>
      <c r="G100" s="64">
        <f t="shared" si="76"/>
        <v>2</v>
      </c>
      <c r="L100" s="64" t="str">
        <f t="shared" si="77"/>
        <v>ok</v>
      </c>
    </row>
    <row r="101">
      <c r="A101" s="11"/>
      <c r="B101" s="51" t="str">
        <f>IFERROR(__xludf.DUMMYFUNCTION("""COMPUTED_VALUE"""),"Scott Li")</f>
        <v>Scott Li</v>
      </c>
      <c r="C101" s="64">
        <f>IFERROR(__xludf.DUMMYFUNCTION("""COMPUTED_VALUE"""),2.0)</f>
        <v>2</v>
      </c>
      <c r="D101" s="64">
        <f t="shared" si="73"/>
        <v>11</v>
      </c>
      <c r="E101" s="64">
        <f t="shared" si="74"/>
        <v>9</v>
      </c>
      <c r="F101" s="64">
        <f t="shared" si="75"/>
        <v>14</v>
      </c>
      <c r="G101" s="64">
        <f t="shared" si="76"/>
        <v>3</v>
      </c>
      <c r="L101" s="64" t="str">
        <f t="shared" si="77"/>
        <v>ok</v>
      </c>
    </row>
    <row r="102">
      <c r="A102" s="11"/>
      <c r="B102" s="51" t="str">
        <f>IFERROR(__xludf.DUMMYFUNCTION("""COMPUTED_VALUE"""),"Joe Luzzi")</f>
        <v>Joe Luzzi</v>
      </c>
      <c r="C102" s="64">
        <f>IFERROR(__xludf.DUMMYFUNCTION("""COMPUTED_VALUE"""),2.0)</f>
        <v>2</v>
      </c>
      <c r="D102" s="64">
        <f t="shared" si="73"/>
        <v>12</v>
      </c>
      <c r="E102" s="64">
        <f t="shared" si="74"/>
        <v>10</v>
      </c>
      <c r="F102" s="64">
        <f t="shared" si="75"/>
        <v>14</v>
      </c>
      <c r="G102" s="64">
        <f t="shared" si="76"/>
        <v>3</v>
      </c>
      <c r="L102" s="64" t="str">
        <f t="shared" si="77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10"")"),"Peter Homsey")</f>
        <v>Peter Homsey</v>
      </c>
      <c r="C106" s="64"/>
      <c r="D106" s="64">
        <f t="shared" ref="D106:D115" si="78">VLOOKUP(B106,indirect($AB$2&amp;"!B$5:w$70"),22, false)</f>
        <v>62</v>
      </c>
      <c r="E106" s="64">
        <f t="shared" ref="E106:E115" si="79">VLOOKUP(B106,B$5:W$69,22, false)</f>
        <v>62</v>
      </c>
      <c r="F106" s="64">
        <f t="shared" ref="F106:F115" si="80">VLOOKUP(B106,indirect($AB$2&amp;"!B$5:U$70"),11, false)</f>
        <v>9</v>
      </c>
      <c r="G106" s="64" t="str">
        <f t="shared" ref="G106:G115" si="81">VLOOKUP(B106,indirect($AB$2&amp;"!B$5:U$70"),6, false)</f>
        <v/>
      </c>
      <c r="L106" s="64" t="str">
        <f t="shared" ref="L106:L115" si="82">if(D106-E106=C106,"ok","Error")</f>
        <v>ok</v>
      </c>
    </row>
    <row r="107">
      <c r="A107" s="11"/>
      <c r="B107" s="51" t="str">
        <f>IFERROR(__xludf.DUMMYFUNCTION("""COMPUTED_VALUE"""),"Tom Le")</f>
        <v>Tom Le</v>
      </c>
      <c r="C107" s="64">
        <f>IFERROR(__xludf.DUMMYFUNCTION("""COMPUTED_VALUE"""),-4.0)</f>
        <v>-4</v>
      </c>
      <c r="D107" s="64">
        <f t="shared" si="78"/>
        <v>2</v>
      </c>
      <c r="E107" s="64">
        <f t="shared" si="79"/>
        <v>6</v>
      </c>
      <c r="F107" s="64">
        <f t="shared" si="80"/>
        <v>9</v>
      </c>
      <c r="G107" s="64">
        <f t="shared" si="81"/>
        <v>0</v>
      </c>
      <c r="L107" s="64" t="str">
        <f t="shared" si="82"/>
        <v>ok</v>
      </c>
    </row>
    <row r="108">
      <c r="A108" s="11"/>
      <c r="B108" s="51" t="str">
        <f>IFERROR(__xludf.DUMMYFUNCTION("""COMPUTED_VALUE"""),"Arun Mallikarjuna")</f>
        <v>Arun Mallikarjuna</v>
      </c>
      <c r="C108" s="64">
        <f>IFERROR(__xludf.DUMMYFUNCTION("""COMPUTED_VALUE"""),-4.0)</f>
        <v>-4</v>
      </c>
      <c r="D108" s="64">
        <f t="shared" si="78"/>
        <v>9</v>
      </c>
      <c r="E108" s="64">
        <f t="shared" si="79"/>
        <v>13</v>
      </c>
      <c r="F108" s="64">
        <f t="shared" si="80"/>
        <v>11</v>
      </c>
      <c r="G108" s="64">
        <f t="shared" si="81"/>
        <v>2</v>
      </c>
      <c r="L108" s="64" t="str">
        <f t="shared" si="82"/>
        <v>ok</v>
      </c>
    </row>
    <row r="109">
      <c r="A109" s="11"/>
      <c r="B109" s="51" t="str">
        <f>IFERROR(__xludf.DUMMYFUNCTION("""COMPUTED_VALUE"""),"Christopher Li")</f>
        <v>Christopher Li</v>
      </c>
      <c r="C109" s="64">
        <f>IFERROR(__xludf.DUMMYFUNCTION("""COMPUTED_VALUE"""),-3.0)</f>
        <v>-3</v>
      </c>
      <c r="D109" s="64">
        <f t="shared" si="78"/>
        <v>13</v>
      </c>
      <c r="E109" s="64">
        <f t="shared" si="79"/>
        <v>16</v>
      </c>
      <c r="F109" s="64">
        <f t="shared" si="80"/>
        <v>9</v>
      </c>
      <c r="G109" s="64">
        <f t="shared" si="81"/>
        <v>0</v>
      </c>
      <c r="L109" s="64" t="str">
        <f t="shared" si="82"/>
        <v>ok</v>
      </c>
    </row>
    <row r="110">
      <c r="A110" s="11"/>
      <c r="B110" s="51" t="str">
        <f>IFERROR(__xludf.DUMMYFUNCTION("""COMPUTED_VALUE"""),"Rajasekar Ramasamy")</f>
        <v>Rajasekar Ramasamy</v>
      </c>
      <c r="C110" s="64">
        <f>IFERROR(__xludf.DUMMYFUNCTION("""COMPUTED_VALUE"""),-3.0)</f>
        <v>-3</v>
      </c>
      <c r="D110" s="64">
        <f t="shared" si="78"/>
        <v>14</v>
      </c>
      <c r="E110" s="64">
        <f t="shared" si="79"/>
        <v>17</v>
      </c>
      <c r="F110" s="64">
        <f t="shared" si="80"/>
        <v>9</v>
      </c>
      <c r="G110" s="64">
        <f t="shared" si="81"/>
        <v>0</v>
      </c>
      <c r="L110" s="64" t="str">
        <f t="shared" si="82"/>
        <v>ok</v>
      </c>
    </row>
    <row r="111">
      <c r="A111" s="11"/>
      <c r="B111" s="51" t="str">
        <f>IFERROR(__xludf.DUMMYFUNCTION("""COMPUTED_VALUE"""),"Manuel Rivera")</f>
        <v>Manuel Rivera</v>
      </c>
      <c r="C111" s="64">
        <f>IFERROR(__xludf.DUMMYFUNCTION("""COMPUTED_VALUE"""),-3.0)</f>
        <v>-3</v>
      </c>
      <c r="D111" s="64">
        <f t="shared" si="78"/>
        <v>30</v>
      </c>
      <c r="E111" s="64">
        <f t="shared" si="79"/>
        <v>33</v>
      </c>
      <c r="F111" s="64">
        <f t="shared" si="80"/>
        <v>7</v>
      </c>
      <c r="G111" s="64">
        <f t="shared" si="81"/>
        <v>5</v>
      </c>
      <c r="L111" s="64" t="str">
        <f t="shared" si="82"/>
        <v>ok</v>
      </c>
    </row>
    <row r="112">
      <c r="A112" s="11"/>
      <c r="B112" s="51" t="str">
        <f>IFERROR(__xludf.DUMMYFUNCTION("""COMPUTED_VALUE"""),"Vinz Solano")</f>
        <v>Vinz Solano</v>
      </c>
      <c r="C112" s="64">
        <f>IFERROR(__xludf.DUMMYFUNCTION("""COMPUTED_VALUE"""),-3.0)</f>
        <v>-3</v>
      </c>
      <c r="D112" s="64">
        <f t="shared" si="78"/>
        <v>35</v>
      </c>
      <c r="E112" s="64">
        <f t="shared" si="79"/>
        <v>38</v>
      </c>
      <c r="F112" s="64">
        <f t="shared" si="80"/>
        <v>9</v>
      </c>
      <c r="G112" s="64">
        <f t="shared" si="81"/>
        <v>0</v>
      </c>
      <c r="L112" s="64" t="str">
        <f t="shared" si="82"/>
        <v>ok</v>
      </c>
    </row>
    <row r="113">
      <c r="A113" s="11"/>
      <c r="B113" s="51" t="str">
        <f>IFERROR(__xludf.DUMMYFUNCTION("""COMPUTED_VALUE"""),"Saravanan Veerapandian")</f>
        <v>Saravanan Veerapandian</v>
      </c>
      <c r="C113" s="64">
        <f>IFERROR(__xludf.DUMMYFUNCTION("""COMPUTED_VALUE"""),-3.0)</f>
        <v>-3</v>
      </c>
      <c r="D113" s="64">
        <f t="shared" si="78"/>
        <v>45</v>
      </c>
      <c r="E113" s="64">
        <f t="shared" si="79"/>
        <v>48</v>
      </c>
      <c r="F113" s="64">
        <f t="shared" si="80"/>
        <v>6</v>
      </c>
      <c r="G113" s="64">
        <f t="shared" si="81"/>
        <v>7</v>
      </c>
      <c r="L113" s="64" t="str">
        <f t="shared" si="82"/>
        <v>ok</v>
      </c>
    </row>
    <row r="114">
      <c r="A114" s="11"/>
      <c r="B114" s="51" t="str">
        <f>IFERROR(__xludf.DUMMYFUNCTION("""COMPUTED_VALUE"""),"Troy Wong")</f>
        <v>Troy Wong</v>
      </c>
      <c r="C114" s="64">
        <f>IFERROR(__xludf.DUMMYFUNCTION("""COMPUTED_VALUE"""),-2.0)</f>
        <v>-2</v>
      </c>
      <c r="D114" s="64">
        <f t="shared" si="78"/>
        <v>23</v>
      </c>
      <c r="E114" s="64">
        <f t="shared" si="79"/>
        <v>25</v>
      </c>
      <c r="F114" s="64">
        <f t="shared" si="80"/>
        <v>9</v>
      </c>
      <c r="G114" s="64">
        <f t="shared" si="81"/>
        <v>0</v>
      </c>
      <c r="L114" s="64" t="str">
        <f t="shared" si="82"/>
        <v>ok</v>
      </c>
    </row>
    <row r="115">
      <c r="A115" s="11"/>
      <c r="B115" s="51" t="str">
        <f>IFERROR(__xludf.DUMMYFUNCTION("""COMPUTED_VALUE"""),"Erik Hoeckmann")</f>
        <v>Erik Hoeckmann</v>
      </c>
      <c r="C115" s="64">
        <f>IFERROR(__xludf.DUMMYFUNCTION("""COMPUTED_VALUE"""),-2.0)</f>
        <v>-2</v>
      </c>
      <c r="D115" s="64">
        <f t="shared" si="78"/>
        <v>24</v>
      </c>
      <c r="E115" s="64">
        <f t="shared" si="79"/>
        <v>26</v>
      </c>
      <c r="F115" s="64">
        <f t="shared" si="80"/>
        <v>9</v>
      </c>
      <c r="G115" s="64">
        <f t="shared" si="81"/>
        <v>0</v>
      </c>
      <c r="L115" s="64" t="str">
        <f t="shared" si="82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72" t="s">
        <v>144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3"/>
    </row>
    <row r="122">
      <c r="A122" s="53"/>
      <c r="B122" s="62" t="s">
        <v>145</v>
      </c>
      <c r="C122" s="73" t="s">
        <v>146</v>
      </c>
      <c r="D122" s="22"/>
      <c r="E122" s="23"/>
      <c r="F122" s="73" t="s">
        <v>147</v>
      </c>
      <c r="G122" s="22"/>
      <c r="H122" s="23"/>
      <c r="I122" s="74" t="s">
        <v>148</v>
      </c>
      <c r="J122" s="22"/>
      <c r="K122" s="22"/>
      <c r="L122" s="22"/>
      <c r="M122" s="23"/>
    </row>
    <row r="123">
      <c r="A123" s="75">
        <v>1.0</v>
      </c>
      <c r="B123" s="51" t="str">
        <f>IFERROR(__xludf.DUMMYFUNCTION("query(B5:V69,""select B where R = 'X' order by B asc"")"),"Alejandro Mejia")</f>
        <v>Alejandro Mejia</v>
      </c>
      <c r="C123" s="76" t="str">
        <f>IFERROR(__xludf.DUMMYFUNCTION("query(B5:V69,""select B where R = '' order by B asc"")"),"Adrian Tay")</f>
        <v>Adrian Tay</v>
      </c>
      <c r="D123" s="22"/>
      <c r="E123" s="23"/>
      <c r="F123" s="76" t="str">
        <f>IFERROR(__xludf.DUMMYFUNCTION("query(B5:V69,""select B where R = 'N' order by B asc"")"),"Amit Patel")</f>
        <v>Amit Patel</v>
      </c>
      <c r="G123" s="22"/>
      <c r="H123" s="23"/>
      <c r="I123" s="76" t="s">
        <v>149</v>
      </c>
      <c r="J123" s="22"/>
      <c r="K123" s="22"/>
      <c r="L123" s="22"/>
      <c r="M123" s="23"/>
    </row>
    <row r="124">
      <c r="A124" s="75">
        <f t="shared" ref="A124:A182" si="83">A123+1</f>
        <v>2</v>
      </c>
      <c r="B124" s="51" t="str">
        <f>IFERROR(__xludf.DUMMYFUNCTION("""COMPUTED_VALUE"""),"Alex Hou")</f>
        <v>Alex Hou</v>
      </c>
      <c r="C124" s="76"/>
      <c r="D124" s="22"/>
      <c r="E124" s="23"/>
      <c r="F124" s="76" t="str">
        <f>IFERROR(__xludf.DUMMYFUNCTION("""COMPUTED_VALUE"""),"Arun Mallikarjuna")</f>
        <v>Arun Mallikarjuna</v>
      </c>
      <c r="G124" s="22"/>
      <c r="H124" s="23"/>
      <c r="I124" s="76" t="s">
        <v>150</v>
      </c>
      <c r="J124" s="22"/>
      <c r="K124" s="22"/>
      <c r="L124" s="22"/>
      <c r="M124" s="23"/>
    </row>
    <row r="125">
      <c r="A125" s="75">
        <f t="shared" si="83"/>
        <v>3</v>
      </c>
      <c r="B125" s="51" t="str">
        <f>IFERROR(__xludf.DUMMYFUNCTION("""COMPUTED_VALUE"""),"Andrew Wen")</f>
        <v>Andrew Wen</v>
      </c>
      <c r="C125" s="76"/>
      <c r="D125" s="22"/>
      <c r="E125" s="23"/>
      <c r="F125" s="76" t="str">
        <f>IFERROR(__xludf.DUMMYFUNCTION("""COMPUTED_VALUE"""),"Christopher Li")</f>
        <v>Christopher Li</v>
      </c>
      <c r="G125" s="22"/>
      <c r="H125" s="23"/>
      <c r="I125" s="76" t="s">
        <v>151</v>
      </c>
      <c r="J125" s="22"/>
      <c r="K125" s="22"/>
      <c r="L125" s="22"/>
      <c r="M125" s="23"/>
    </row>
    <row r="126">
      <c r="A126" s="75">
        <f t="shared" si="83"/>
        <v>4</v>
      </c>
      <c r="B126" s="51" t="str">
        <f>IFERROR(__xludf.DUMMYFUNCTION("""COMPUTED_VALUE"""),"Balaji Alahari")</f>
        <v>Balaji Alahari</v>
      </c>
      <c r="C126" s="76"/>
      <c r="D126" s="22"/>
      <c r="E126" s="23"/>
      <c r="F126" s="76" t="str">
        <f>IFERROR(__xludf.DUMMYFUNCTION("""COMPUTED_VALUE"""),"Jose Ortiz")</f>
        <v>Jose Ortiz</v>
      </c>
      <c r="G126" s="22"/>
      <c r="H126" s="23"/>
      <c r="I126" s="76" t="s">
        <v>152</v>
      </c>
      <c r="J126" s="22"/>
      <c r="K126" s="22"/>
      <c r="L126" s="22"/>
      <c r="M126" s="23"/>
    </row>
    <row r="127">
      <c r="A127" s="75">
        <f t="shared" si="83"/>
        <v>5</v>
      </c>
      <c r="B127" s="51" t="str">
        <f>IFERROR(__xludf.DUMMYFUNCTION("""COMPUTED_VALUE"""),"Chinna Ponnaganti")</f>
        <v>Chinna Ponnaganti</v>
      </c>
      <c r="C127" s="76"/>
      <c r="D127" s="22"/>
      <c r="E127" s="23"/>
      <c r="F127" s="76" t="str">
        <f>IFERROR(__xludf.DUMMYFUNCTION("""COMPUTED_VALUE"""),"Nohely Mejia")</f>
        <v>Nohely Mejia</v>
      </c>
      <c r="G127" s="22"/>
      <c r="H127" s="23"/>
      <c r="I127" s="76" t="s">
        <v>153</v>
      </c>
      <c r="J127" s="22"/>
      <c r="K127" s="22"/>
      <c r="L127" s="22"/>
      <c r="M127" s="23"/>
    </row>
    <row r="128">
      <c r="A128" s="75">
        <f t="shared" si="83"/>
        <v>6</v>
      </c>
      <c r="B128" s="51" t="str">
        <f>IFERROR(__xludf.DUMMYFUNCTION("""COMPUTED_VALUE"""),"Cid Macaraeg")</f>
        <v>Cid Macaraeg</v>
      </c>
      <c r="C128" s="76"/>
      <c r="D128" s="22"/>
      <c r="E128" s="23"/>
      <c r="F128" s="76" t="str">
        <f>IFERROR(__xludf.DUMMYFUNCTION("""COMPUTED_VALUE"""),"Peter Cheng")</f>
        <v>Peter Cheng</v>
      </c>
      <c r="G128" s="22"/>
      <c r="H128" s="23"/>
      <c r="I128" s="76" t="s">
        <v>154</v>
      </c>
      <c r="J128" s="22"/>
      <c r="K128" s="22"/>
      <c r="L128" s="22"/>
      <c r="M128" s="23"/>
    </row>
    <row r="129">
      <c r="A129" s="75">
        <f t="shared" si="83"/>
        <v>7</v>
      </c>
      <c r="B129" s="51" t="str">
        <f>IFERROR(__xludf.DUMMYFUNCTION("""COMPUTED_VALUE"""),"Coco Yan")</f>
        <v>Coco Yan</v>
      </c>
      <c r="C129" s="76"/>
      <c r="D129" s="22"/>
      <c r="E129" s="23"/>
      <c r="F129" s="76" t="str">
        <f>IFERROR(__xludf.DUMMYFUNCTION("""COMPUTED_VALUE"""),"Peter Homsey")</f>
        <v>Peter Homsey</v>
      </c>
      <c r="G129" s="22"/>
      <c r="H129" s="23"/>
      <c r="I129" s="76" t="s">
        <v>155</v>
      </c>
      <c r="J129" s="22"/>
      <c r="K129" s="22"/>
      <c r="L129" s="22"/>
      <c r="M129" s="23"/>
    </row>
    <row r="130">
      <c r="A130" s="75">
        <f t="shared" si="83"/>
        <v>8</v>
      </c>
      <c r="B130" s="51" t="str">
        <f>IFERROR(__xludf.DUMMYFUNCTION("""COMPUTED_VALUE"""),"David Shin")</f>
        <v>David Shin</v>
      </c>
      <c r="C130" s="76"/>
      <c r="D130" s="22"/>
      <c r="E130" s="23"/>
      <c r="F130" s="76" t="str">
        <f>IFERROR(__xludf.DUMMYFUNCTION("""COMPUTED_VALUE"""),"Sai Dilip Ponnaganti")</f>
        <v>Sai Dilip Ponnaganti</v>
      </c>
      <c r="G130" s="22"/>
      <c r="H130" s="23"/>
      <c r="I130" s="76" t="s">
        <v>156</v>
      </c>
      <c r="J130" s="22"/>
      <c r="K130" s="22"/>
      <c r="L130" s="22"/>
      <c r="M130" s="23"/>
    </row>
    <row r="131">
      <c r="A131" s="75">
        <f t="shared" si="83"/>
        <v>9</v>
      </c>
      <c r="B131" s="51" t="str">
        <f>IFERROR(__xludf.DUMMYFUNCTION("""COMPUTED_VALUE"""),"Elayaraja Thangaraj ")</f>
        <v>Elayaraja Thangaraj </v>
      </c>
      <c r="C131" s="76"/>
      <c r="D131" s="22"/>
      <c r="E131" s="23"/>
      <c r="F131" s="76" t="str">
        <f>IFERROR(__xludf.DUMMYFUNCTION("""COMPUTED_VALUE"""),"Tony Lin")</f>
        <v>Tony Lin</v>
      </c>
      <c r="G131" s="22"/>
      <c r="H131" s="23"/>
      <c r="I131" s="76" t="s">
        <v>157</v>
      </c>
      <c r="J131" s="22"/>
      <c r="K131" s="22"/>
      <c r="L131" s="22"/>
      <c r="M131" s="23"/>
    </row>
    <row r="132">
      <c r="A132" s="75">
        <f t="shared" si="83"/>
        <v>10</v>
      </c>
      <c r="B132" s="51" t="str">
        <f>IFERROR(__xludf.DUMMYFUNCTION("""COMPUTED_VALUE"""),"Eric Pan")</f>
        <v>Eric Pan</v>
      </c>
      <c r="C132" s="76"/>
      <c r="D132" s="22"/>
      <c r="E132" s="23"/>
      <c r="F132" s="76" t="str">
        <f>IFERROR(__xludf.DUMMYFUNCTION("""COMPUTED_VALUE"""),"Vinz Solano")</f>
        <v>Vinz Solano</v>
      </c>
      <c r="G132" s="22"/>
      <c r="H132" s="23"/>
      <c r="I132" s="76" t="s">
        <v>158</v>
      </c>
      <c r="J132" s="22"/>
      <c r="K132" s="22"/>
      <c r="L132" s="22"/>
      <c r="M132" s="23"/>
    </row>
    <row r="133">
      <c r="A133" s="75">
        <f t="shared" si="83"/>
        <v>11</v>
      </c>
      <c r="B133" s="51" t="str">
        <f>IFERROR(__xludf.DUMMYFUNCTION("""COMPUTED_VALUE"""),"Eric Tan")</f>
        <v>Eric Tan</v>
      </c>
      <c r="C133" s="76"/>
      <c r="D133" s="22"/>
      <c r="E133" s="23"/>
      <c r="F133" s="76"/>
      <c r="G133" s="22"/>
      <c r="H133" s="23"/>
      <c r="I133" s="76"/>
      <c r="J133" s="22"/>
      <c r="K133" s="22"/>
      <c r="L133" s="22"/>
      <c r="M133" s="23"/>
    </row>
    <row r="134">
      <c r="A134" s="75">
        <f t="shared" si="83"/>
        <v>12</v>
      </c>
      <c r="B134" s="51" t="str">
        <f>IFERROR(__xludf.DUMMYFUNCTION("""COMPUTED_VALUE"""),"Erik Hoeckmann")</f>
        <v>Erik Hoeckmann</v>
      </c>
      <c r="C134" s="76"/>
      <c r="D134" s="22"/>
      <c r="E134" s="23"/>
      <c r="F134" s="76"/>
      <c r="G134" s="22"/>
      <c r="H134" s="23"/>
      <c r="I134" s="76"/>
      <c r="J134" s="22"/>
      <c r="K134" s="22"/>
      <c r="L134" s="22"/>
      <c r="M134" s="23"/>
    </row>
    <row r="135">
      <c r="A135" s="75">
        <f t="shared" si="83"/>
        <v>13</v>
      </c>
      <c r="B135" s="51" t="str">
        <f>IFERROR(__xludf.DUMMYFUNCTION("""COMPUTED_VALUE"""),"Frank Moon")</f>
        <v>Frank Moon</v>
      </c>
      <c r="C135" s="76"/>
      <c r="D135" s="22"/>
      <c r="E135" s="23"/>
      <c r="F135" s="76"/>
      <c r="G135" s="22"/>
      <c r="H135" s="23"/>
      <c r="I135" s="76"/>
      <c r="J135" s="22"/>
      <c r="K135" s="22"/>
      <c r="L135" s="22"/>
      <c r="M135" s="23"/>
    </row>
    <row r="136">
      <c r="A136" s="75">
        <f t="shared" si="83"/>
        <v>14</v>
      </c>
      <c r="B136" s="51" t="str">
        <f>IFERROR(__xludf.DUMMYFUNCTION("""COMPUTED_VALUE"""),"Herman Au")</f>
        <v>Herman Au</v>
      </c>
      <c r="C136" s="76"/>
      <c r="D136" s="22"/>
      <c r="E136" s="23"/>
      <c r="F136" s="76"/>
      <c r="G136" s="22"/>
      <c r="H136" s="23"/>
      <c r="I136" s="76"/>
      <c r="J136" s="22"/>
      <c r="K136" s="22"/>
      <c r="L136" s="22"/>
      <c r="M136" s="23"/>
    </row>
    <row r="137">
      <c r="A137" s="75">
        <f t="shared" si="83"/>
        <v>15</v>
      </c>
      <c r="B137" s="51" t="str">
        <f>IFERROR(__xludf.DUMMYFUNCTION("""COMPUTED_VALUE"""),"James Phan")</f>
        <v>James Phan</v>
      </c>
      <c r="C137" s="76"/>
      <c r="D137" s="22"/>
      <c r="E137" s="23"/>
      <c r="F137" s="76"/>
      <c r="G137" s="22"/>
      <c r="H137" s="23"/>
      <c r="I137" s="76"/>
      <c r="J137" s="22"/>
      <c r="K137" s="22"/>
      <c r="L137" s="22"/>
      <c r="M137" s="23"/>
    </row>
    <row r="138">
      <c r="A138" s="75">
        <f t="shared" si="83"/>
        <v>16</v>
      </c>
      <c r="B138" s="51" t="str">
        <f>IFERROR(__xludf.DUMMYFUNCTION("""COMPUTED_VALUE"""),"Jim Miao")</f>
        <v>Jim Miao</v>
      </c>
      <c r="C138" s="76"/>
      <c r="D138" s="22"/>
      <c r="E138" s="23"/>
      <c r="F138" s="76"/>
      <c r="G138" s="22"/>
      <c r="H138" s="23"/>
    </row>
    <row r="139">
      <c r="A139" s="75">
        <f t="shared" si="83"/>
        <v>17</v>
      </c>
      <c r="B139" s="51" t="str">
        <f>IFERROR(__xludf.DUMMYFUNCTION("""COMPUTED_VALUE"""),"Jimmy Awolesi")</f>
        <v>Jimmy Awolesi</v>
      </c>
      <c r="C139" s="76"/>
      <c r="D139" s="22"/>
      <c r="E139" s="23"/>
      <c r="F139" s="76"/>
      <c r="G139" s="22"/>
      <c r="H139" s="23"/>
    </row>
    <row r="140">
      <c r="A140" s="75">
        <f t="shared" si="83"/>
        <v>18</v>
      </c>
      <c r="B140" s="51" t="str">
        <f>IFERROR(__xludf.DUMMYFUNCTION("""COMPUTED_VALUE"""),"Joe Luzzi")</f>
        <v>Joe Luzzi</v>
      </c>
      <c r="C140" s="76"/>
      <c r="D140" s="22"/>
      <c r="E140" s="23"/>
      <c r="F140" s="76"/>
      <c r="G140" s="22"/>
      <c r="H140" s="23"/>
    </row>
    <row r="141">
      <c r="A141" s="75">
        <f t="shared" si="83"/>
        <v>19</v>
      </c>
      <c r="B141" s="51" t="str">
        <f>IFERROR(__xludf.DUMMYFUNCTION("""COMPUTED_VALUE"""),"Jonathan Phan")</f>
        <v>Jonathan Phan</v>
      </c>
      <c r="C141" s="76"/>
      <c r="D141" s="22"/>
      <c r="E141" s="23"/>
      <c r="F141" s="76"/>
      <c r="G141" s="22"/>
      <c r="H141" s="23"/>
    </row>
    <row r="142">
      <c r="A142" s="75">
        <f t="shared" si="83"/>
        <v>20</v>
      </c>
      <c r="B142" s="51" t="str">
        <f>IFERROR(__xludf.DUMMYFUNCTION("""COMPUTED_VALUE"""),"Joyce Zhu")</f>
        <v>Joyce Zhu</v>
      </c>
      <c r="C142" s="76"/>
      <c r="D142" s="22"/>
      <c r="E142" s="23"/>
      <c r="F142" s="76"/>
      <c r="G142" s="22"/>
      <c r="H142" s="23"/>
    </row>
    <row r="143">
      <c r="A143" s="75">
        <f t="shared" si="83"/>
        <v>21</v>
      </c>
      <c r="B143" s="51" t="str">
        <f>IFERROR(__xludf.DUMMYFUNCTION("""COMPUTED_VALUE"""),"Kumar Palakeel")</f>
        <v>Kumar Palakeel</v>
      </c>
      <c r="C143" s="76"/>
      <c r="D143" s="22"/>
      <c r="E143" s="23"/>
      <c r="F143" s="76"/>
      <c r="G143" s="22"/>
      <c r="H143" s="23"/>
    </row>
    <row r="144">
      <c r="A144" s="75">
        <f t="shared" si="83"/>
        <v>22</v>
      </c>
      <c r="B144" s="51" t="str">
        <f>IFERROR(__xludf.DUMMYFUNCTION("""COMPUTED_VALUE"""),"Lam Bui")</f>
        <v>Lam Bui</v>
      </c>
      <c r="C144" s="76"/>
      <c r="D144" s="22"/>
      <c r="E144" s="23"/>
      <c r="F144" s="76"/>
      <c r="G144" s="22"/>
      <c r="H144" s="23"/>
    </row>
    <row r="145">
      <c r="A145" s="75">
        <f t="shared" si="83"/>
        <v>23</v>
      </c>
      <c r="B145" s="51" t="str">
        <f>IFERROR(__xludf.DUMMYFUNCTION("""COMPUTED_VALUE"""),"Leigh-Anh Nguyen")</f>
        <v>Leigh-Anh Nguyen</v>
      </c>
      <c r="C145" s="76"/>
      <c r="D145" s="22"/>
      <c r="E145" s="23"/>
      <c r="F145" s="76"/>
      <c r="G145" s="22"/>
      <c r="H145" s="23"/>
    </row>
    <row r="146">
      <c r="A146" s="75">
        <f t="shared" si="83"/>
        <v>24</v>
      </c>
      <c r="B146" s="51" t="str">
        <f>IFERROR(__xludf.DUMMYFUNCTION("""COMPUTED_VALUE"""),"Lloyd Sagar")</f>
        <v>Lloyd Sagar</v>
      </c>
      <c r="C146" s="76"/>
      <c r="D146" s="22"/>
      <c r="E146" s="23"/>
      <c r="F146" s="76"/>
      <c r="G146" s="22"/>
      <c r="H146" s="23"/>
    </row>
    <row r="147">
      <c r="A147" s="75">
        <f t="shared" si="83"/>
        <v>25</v>
      </c>
      <c r="B147" s="51" t="str">
        <f>IFERROR(__xludf.DUMMYFUNCTION("""COMPUTED_VALUE"""),"Luis Hsu")</f>
        <v>Luis Hsu</v>
      </c>
      <c r="C147" s="76"/>
      <c r="D147" s="22"/>
      <c r="E147" s="23"/>
      <c r="F147" s="76"/>
      <c r="G147" s="22"/>
      <c r="H147" s="23"/>
    </row>
    <row r="148">
      <c r="A148" s="75">
        <f t="shared" si="83"/>
        <v>26</v>
      </c>
      <c r="B148" s="51" t="str">
        <f>IFERROR(__xludf.DUMMYFUNCTION("""COMPUTED_VALUE"""),"Manish Anand")</f>
        <v>Manish Anand</v>
      </c>
      <c r="C148" s="76"/>
      <c r="D148" s="22"/>
      <c r="E148" s="23"/>
      <c r="F148" s="76"/>
      <c r="G148" s="22"/>
      <c r="H148" s="23"/>
    </row>
    <row r="149">
      <c r="A149" s="75">
        <f t="shared" si="83"/>
        <v>27</v>
      </c>
      <c r="B149" s="51" t="str">
        <f>IFERROR(__xludf.DUMMYFUNCTION("""COMPUTED_VALUE"""),"Manuel Rivera")</f>
        <v>Manuel Rivera</v>
      </c>
      <c r="C149" s="76"/>
      <c r="D149" s="22"/>
      <c r="E149" s="23"/>
      <c r="F149" s="76"/>
      <c r="G149" s="22"/>
      <c r="H149" s="23"/>
    </row>
    <row r="150">
      <c r="A150" s="75">
        <f t="shared" si="83"/>
        <v>28</v>
      </c>
      <c r="B150" s="51" t="str">
        <f>IFERROR(__xludf.DUMMYFUNCTION("""COMPUTED_VALUE"""),"Matthew Huang")</f>
        <v>Matthew Huang</v>
      </c>
      <c r="C150" s="76"/>
      <c r="D150" s="22"/>
      <c r="E150" s="23"/>
      <c r="F150" s="76"/>
      <c r="G150" s="22"/>
      <c r="H150" s="23"/>
    </row>
    <row r="151">
      <c r="A151" s="75">
        <f t="shared" si="83"/>
        <v>29</v>
      </c>
      <c r="B151" s="51" t="str">
        <f>IFERROR(__xludf.DUMMYFUNCTION("""COMPUTED_VALUE"""),"Mauricio Palacios")</f>
        <v>Mauricio Palacios</v>
      </c>
      <c r="C151" s="76"/>
      <c r="D151" s="22"/>
      <c r="E151" s="23"/>
      <c r="F151" s="76"/>
      <c r="G151" s="22"/>
      <c r="H151" s="23"/>
    </row>
    <row r="152">
      <c r="A152" s="75">
        <f t="shared" si="83"/>
        <v>30</v>
      </c>
      <c r="B152" s="51" t="str">
        <f>IFERROR(__xludf.DUMMYFUNCTION("""COMPUTED_VALUE"""),"Naveen Raj")</f>
        <v>Naveen Raj</v>
      </c>
      <c r="C152" s="76"/>
      <c r="D152" s="22"/>
      <c r="E152" s="23"/>
      <c r="F152" s="76"/>
      <c r="G152" s="22"/>
      <c r="H152" s="23"/>
    </row>
    <row r="153">
      <c r="A153" s="75">
        <f t="shared" si="83"/>
        <v>31</v>
      </c>
      <c r="B153" s="51" t="str">
        <f>IFERROR(__xludf.DUMMYFUNCTION("""COMPUTED_VALUE"""),"Nicole Ni")</f>
        <v>Nicole Ni</v>
      </c>
      <c r="C153" s="76"/>
      <c r="D153" s="22"/>
      <c r="E153" s="23"/>
      <c r="F153" s="76"/>
      <c r="G153" s="22"/>
      <c r="H153" s="23"/>
    </row>
    <row r="154">
      <c r="A154" s="75">
        <f t="shared" si="83"/>
        <v>32</v>
      </c>
      <c r="B154" s="51" t="str">
        <f>IFERROR(__xludf.DUMMYFUNCTION("""COMPUTED_VALUE"""),"Oscar Bonilla")</f>
        <v>Oscar Bonilla</v>
      </c>
      <c r="C154" s="76"/>
      <c r="D154" s="22"/>
      <c r="E154" s="23"/>
      <c r="F154" s="76"/>
      <c r="G154" s="22"/>
      <c r="H154" s="23"/>
    </row>
    <row r="155">
      <c r="A155" s="75">
        <f t="shared" si="83"/>
        <v>33</v>
      </c>
      <c r="B155" s="51" t="str">
        <f>IFERROR(__xludf.DUMMYFUNCTION("""COMPUTED_VALUE"""),"Pavan Akkimsetty")</f>
        <v>Pavan Akkimsetty</v>
      </c>
      <c r="C155" s="76"/>
      <c r="D155" s="22"/>
      <c r="E155" s="23"/>
      <c r="F155" s="76"/>
      <c r="G155" s="22"/>
      <c r="H155" s="23"/>
    </row>
    <row r="156">
      <c r="A156" s="75">
        <f t="shared" si="83"/>
        <v>34</v>
      </c>
      <c r="B156" s="51" t="str">
        <f>IFERROR(__xludf.DUMMYFUNCTION("""COMPUTED_VALUE"""),"Pulkit Mathur")</f>
        <v>Pulkit Mathur</v>
      </c>
      <c r="C156" s="76"/>
      <c r="D156" s="22"/>
      <c r="E156" s="23"/>
      <c r="F156" s="76"/>
      <c r="G156" s="22"/>
      <c r="H156" s="23"/>
    </row>
    <row r="157">
      <c r="A157" s="75">
        <f t="shared" si="83"/>
        <v>35</v>
      </c>
      <c r="B157" s="51" t="str">
        <f>IFERROR(__xludf.DUMMYFUNCTION("""COMPUTED_VALUE"""),"Rajasekar Ramasamy")</f>
        <v>Rajasekar Ramasamy</v>
      </c>
      <c r="C157" s="76"/>
      <c r="D157" s="22"/>
      <c r="E157" s="23"/>
      <c r="F157" s="76"/>
      <c r="G157" s="22"/>
      <c r="H157" s="23"/>
    </row>
    <row r="158">
      <c r="A158" s="75">
        <f t="shared" si="83"/>
        <v>36</v>
      </c>
      <c r="B158" s="51" t="str">
        <f>IFERROR(__xludf.DUMMYFUNCTION("""COMPUTED_VALUE"""),"Rajesh Dorairaj")</f>
        <v>Rajesh Dorairaj</v>
      </c>
      <c r="C158" s="76"/>
      <c r="D158" s="22"/>
      <c r="E158" s="23"/>
      <c r="F158" s="76"/>
      <c r="G158" s="22"/>
      <c r="H158" s="23"/>
    </row>
    <row r="159">
      <c r="A159" s="75">
        <f t="shared" si="83"/>
        <v>37</v>
      </c>
      <c r="B159" s="51" t="str">
        <f>IFERROR(__xludf.DUMMYFUNCTION("""COMPUTED_VALUE"""),"Ramesh Bandaru")</f>
        <v>Ramesh Bandaru</v>
      </c>
      <c r="C159" s="76"/>
      <c r="D159" s="22"/>
      <c r="E159" s="23"/>
      <c r="F159" s="76"/>
      <c r="G159" s="22"/>
      <c r="H159" s="23"/>
    </row>
    <row r="160">
      <c r="A160" s="75">
        <f t="shared" si="83"/>
        <v>38</v>
      </c>
      <c r="B160" s="51" t="str">
        <f>IFERROR(__xludf.DUMMYFUNCTION("""COMPUTED_VALUE"""),"Robert Chang")</f>
        <v>Robert Chang</v>
      </c>
      <c r="C160" s="76"/>
      <c r="D160" s="22"/>
      <c r="E160" s="23"/>
      <c r="F160" s="76"/>
      <c r="G160" s="22"/>
      <c r="H160" s="23"/>
    </row>
    <row r="161">
      <c r="A161" s="75">
        <f t="shared" si="83"/>
        <v>39</v>
      </c>
      <c r="B161" s="51" t="str">
        <f>IFERROR(__xludf.DUMMYFUNCTION("""COMPUTED_VALUE"""),"Sandy Weyant")</f>
        <v>Sandy Weyant</v>
      </c>
      <c r="C161" s="76"/>
      <c r="D161" s="22"/>
      <c r="E161" s="23"/>
      <c r="F161" s="76"/>
      <c r="G161" s="22"/>
      <c r="H161" s="23"/>
    </row>
    <row r="162">
      <c r="A162" s="75">
        <f t="shared" si="83"/>
        <v>40</v>
      </c>
      <c r="B162" s="51" t="str">
        <f>IFERROR(__xludf.DUMMYFUNCTION("""COMPUTED_VALUE"""),"Sanjaye Elayattu")</f>
        <v>Sanjaye Elayattu</v>
      </c>
      <c r="C162" s="76"/>
      <c r="D162" s="22"/>
      <c r="E162" s="23"/>
      <c r="F162" s="76"/>
      <c r="G162" s="22"/>
      <c r="H162" s="23"/>
    </row>
    <row r="163">
      <c r="A163" s="75">
        <f t="shared" si="83"/>
        <v>41</v>
      </c>
      <c r="B163" s="51" t="str">
        <f>IFERROR(__xludf.DUMMYFUNCTION("""COMPUTED_VALUE"""),"Santosh Sundaresan ")</f>
        <v>Santosh Sundaresan </v>
      </c>
      <c r="C163" s="76"/>
      <c r="D163" s="22"/>
      <c r="E163" s="23"/>
      <c r="F163" s="76"/>
      <c r="G163" s="22"/>
      <c r="H163" s="23"/>
    </row>
    <row r="164">
      <c r="A164" s="75">
        <f t="shared" si="83"/>
        <v>42</v>
      </c>
      <c r="B164" s="51" t="str">
        <f>IFERROR(__xludf.DUMMYFUNCTION("""COMPUTED_VALUE"""),"Saravanan Veerapandian")</f>
        <v>Saravanan Veerapandian</v>
      </c>
      <c r="C164" s="76"/>
      <c r="D164" s="22"/>
      <c r="E164" s="23"/>
      <c r="F164" s="76"/>
      <c r="G164" s="22"/>
      <c r="H164" s="23"/>
    </row>
    <row r="165">
      <c r="A165" s="75">
        <f t="shared" si="83"/>
        <v>43</v>
      </c>
      <c r="B165" s="51" t="str">
        <f>IFERROR(__xludf.DUMMYFUNCTION("""COMPUTED_VALUE"""),"Scott Li")</f>
        <v>Scott Li</v>
      </c>
      <c r="C165" s="76"/>
      <c r="D165" s="22"/>
      <c r="E165" s="23"/>
      <c r="F165" s="76"/>
      <c r="G165" s="22"/>
      <c r="H165" s="23"/>
    </row>
    <row r="166">
      <c r="A166" s="75">
        <f t="shared" si="83"/>
        <v>44</v>
      </c>
      <c r="B166" s="51" t="str">
        <f>IFERROR(__xludf.DUMMYFUNCTION("""COMPUTED_VALUE"""),"Sean Chang")</f>
        <v>Sean Chang</v>
      </c>
      <c r="C166" s="76"/>
      <c r="D166" s="22"/>
      <c r="E166" s="23"/>
      <c r="F166" s="76"/>
      <c r="G166" s="22"/>
      <c r="H166" s="23"/>
    </row>
    <row r="167">
      <c r="A167" s="75">
        <f t="shared" si="83"/>
        <v>45</v>
      </c>
      <c r="B167" s="51" t="str">
        <f>IFERROR(__xludf.DUMMYFUNCTION("""COMPUTED_VALUE"""),"Suleman Alidina")</f>
        <v>Suleman Alidina</v>
      </c>
      <c r="C167" s="76"/>
      <c r="D167" s="22"/>
      <c r="E167" s="23"/>
      <c r="F167" s="76"/>
      <c r="G167" s="22"/>
      <c r="H167" s="23"/>
    </row>
    <row r="168">
      <c r="A168" s="75">
        <f t="shared" si="83"/>
        <v>46</v>
      </c>
      <c r="B168" s="51" t="str">
        <f>IFERROR(__xludf.DUMMYFUNCTION("""COMPUTED_VALUE"""),"Susanta Mishra")</f>
        <v>Susanta Mishra</v>
      </c>
      <c r="C168" s="76"/>
      <c r="D168" s="22"/>
      <c r="E168" s="23"/>
      <c r="F168" s="76"/>
      <c r="G168" s="22"/>
      <c r="H168" s="23"/>
    </row>
    <row r="169">
      <c r="A169" s="75">
        <f t="shared" si="83"/>
        <v>47</v>
      </c>
      <c r="B169" s="51" t="str">
        <f>IFERROR(__xludf.DUMMYFUNCTION("""COMPUTED_VALUE"""),"Ted Shen")</f>
        <v>Ted Shen</v>
      </c>
      <c r="C169" s="76"/>
      <c r="D169" s="22"/>
      <c r="E169" s="23"/>
      <c r="F169" s="76"/>
      <c r="G169" s="22"/>
      <c r="H169" s="23"/>
    </row>
    <row r="170">
      <c r="A170" s="75">
        <f t="shared" si="83"/>
        <v>48</v>
      </c>
      <c r="B170" s="51" t="str">
        <f>IFERROR(__xludf.DUMMYFUNCTION("""COMPUTED_VALUE"""),"Tom Le")</f>
        <v>Tom Le</v>
      </c>
      <c r="C170" s="76"/>
      <c r="D170" s="22"/>
      <c r="E170" s="23"/>
      <c r="F170" s="76"/>
      <c r="G170" s="22"/>
      <c r="H170" s="23"/>
    </row>
    <row r="171">
      <c r="A171" s="75">
        <f t="shared" si="83"/>
        <v>49</v>
      </c>
      <c r="B171" s="51" t="str">
        <f>IFERROR(__xludf.DUMMYFUNCTION("""COMPUTED_VALUE"""),"Trinath Goteti")</f>
        <v>Trinath Goteti</v>
      </c>
      <c r="C171" s="76"/>
      <c r="D171" s="22"/>
      <c r="E171" s="23"/>
      <c r="F171" s="76"/>
      <c r="G171" s="22"/>
      <c r="H171" s="23"/>
    </row>
    <row r="172">
      <c r="A172" s="75">
        <f t="shared" si="83"/>
        <v>50</v>
      </c>
      <c r="B172" s="51" t="str">
        <f>IFERROR(__xludf.DUMMYFUNCTION("""COMPUTED_VALUE"""),"Trish Newlin")</f>
        <v>Trish Newlin</v>
      </c>
      <c r="C172" s="76"/>
      <c r="D172" s="22"/>
      <c r="E172" s="23"/>
      <c r="F172" s="76"/>
      <c r="G172" s="22"/>
      <c r="H172" s="23"/>
    </row>
    <row r="173">
      <c r="A173" s="75">
        <f t="shared" si="83"/>
        <v>51</v>
      </c>
      <c r="B173" s="51" t="str">
        <f>IFERROR(__xludf.DUMMYFUNCTION("""COMPUTED_VALUE"""),"Troy Wong")</f>
        <v>Troy Wong</v>
      </c>
      <c r="C173" s="76"/>
      <c r="D173" s="22"/>
      <c r="E173" s="23"/>
      <c r="F173" s="76"/>
      <c r="G173" s="22"/>
      <c r="H173" s="23"/>
    </row>
    <row r="174">
      <c r="A174" s="75">
        <f t="shared" si="83"/>
        <v>52</v>
      </c>
      <c r="B174" s="51" t="str">
        <f>IFERROR(__xludf.DUMMYFUNCTION("""COMPUTED_VALUE"""),"Vinaya Kajla")</f>
        <v>Vinaya Kajla</v>
      </c>
      <c r="C174" s="76"/>
      <c r="D174" s="22"/>
      <c r="E174" s="23"/>
      <c r="F174" s="76"/>
      <c r="G174" s="22"/>
      <c r="H174" s="23"/>
    </row>
    <row r="175">
      <c r="A175" s="75">
        <f t="shared" si="83"/>
        <v>53</v>
      </c>
      <c r="B175" s="51" t="str">
        <f>IFERROR(__xludf.DUMMYFUNCTION("""COMPUTED_VALUE"""),"Vishnu Amarnath")</f>
        <v>Vishnu Amarnath</v>
      </c>
      <c r="C175" s="76"/>
      <c r="D175" s="22"/>
      <c r="E175" s="23"/>
      <c r="F175" s="76"/>
      <c r="G175" s="22"/>
      <c r="H175" s="23"/>
    </row>
    <row r="176">
      <c r="A176" s="75">
        <f t="shared" si="83"/>
        <v>54</v>
      </c>
      <c r="B176" s="51" t="str">
        <f>IFERROR(__xludf.DUMMYFUNCTION("""COMPUTED_VALUE"""),"Wayne Liu")</f>
        <v>Wayne Liu</v>
      </c>
      <c r="C176" s="76"/>
      <c r="D176" s="22"/>
      <c r="E176" s="23"/>
      <c r="F176" s="76"/>
      <c r="G176" s="22"/>
      <c r="H176" s="23"/>
    </row>
    <row r="177">
      <c r="A177" s="75">
        <f t="shared" si="83"/>
        <v>55</v>
      </c>
      <c r="B177" s="51"/>
      <c r="C177" s="76"/>
      <c r="D177" s="22"/>
      <c r="E177" s="23"/>
      <c r="F177" s="76"/>
      <c r="G177" s="22"/>
      <c r="H177" s="23"/>
    </row>
    <row r="178">
      <c r="A178" s="75">
        <f t="shared" si="83"/>
        <v>56</v>
      </c>
      <c r="B178" s="51"/>
      <c r="C178" s="76"/>
      <c r="D178" s="22"/>
      <c r="E178" s="23"/>
      <c r="F178" s="76"/>
      <c r="G178" s="22"/>
      <c r="H178" s="23"/>
    </row>
    <row r="179">
      <c r="A179" s="75">
        <f t="shared" si="83"/>
        <v>57</v>
      </c>
      <c r="B179" s="51"/>
      <c r="C179" s="76"/>
      <c r="D179" s="22"/>
      <c r="E179" s="23"/>
      <c r="F179" s="76"/>
      <c r="G179" s="22"/>
      <c r="H179" s="23"/>
    </row>
    <row r="180">
      <c r="A180" s="75">
        <f t="shared" si="83"/>
        <v>58</v>
      </c>
      <c r="B180" s="51"/>
      <c r="C180" s="76"/>
      <c r="D180" s="22"/>
      <c r="E180" s="23"/>
      <c r="F180" s="76"/>
      <c r="G180" s="22"/>
      <c r="H180" s="23"/>
    </row>
    <row r="181">
      <c r="A181" s="75">
        <f t="shared" si="83"/>
        <v>59</v>
      </c>
      <c r="B181" s="51"/>
      <c r="C181" s="76"/>
      <c r="D181" s="22"/>
      <c r="E181" s="23"/>
      <c r="F181" s="76"/>
      <c r="G181" s="22"/>
      <c r="H181" s="23"/>
    </row>
    <row r="182">
      <c r="A182" s="75">
        <f t="shared" si="83"/>
        <v>60</v>
      </c>
      <c r="B182" s="51"/>
      <c r="C182" s="76"/>
      <c r="D182" s="22"/>
      <c r="E182" s="23"/>
      <c r="F182" s="76"/>
      <c r="G182" s="22"/>
      <c r="H182" s="23"/>
    </row>
    <row r="183">
      <c r="A183" s="11"/>
      <c r="C183" s="11"/>
      <c r="D183" s="11"/>
      <c r="E183" s="11"/>
      <c r="F183" s="11"/>
    </row>
    <row r="184">
      <c r="A184" s="11"/>
      <c r="C184" s="11"/>
      <c r="D184" s="11"/>
      <c r="E184" s="11"/>
      <c r="F184" s="11"/>
    </row>
    <row r="185">
      <c r="A185" s="11"/>
      <c r="C185" s="11"/>
      <c r="D185" s="11"/>
      <c r="E185" s="11"/>
      <c r="F185" s="11"/>
    </row>
    <row r="186">
      <c r="A186" s="11"/>
      <c r="C186" s="11"/>
      <c r="D186" s="11"/>
      <c r="E186" s="11"/>
      <c r="F186" s="11"/>
    </row>
    <row r="187">
      <c r="A187" s="11"/>
      <c r="C187" s="11"/>
      <c r="D187" s="11"/>
      <c r="E187" s="11"/>
      <c r="F187" s="11"/>
    </row>
    <row r="188">
      <c r="A188" s="11"/>
      <c r="C188" s="11"/>
      <c r="D188" s="11"/>
      <c r="E188" s="11"/>
      <c r="F188" s="11"/>
    </row>
    <row r="189">
      <c r="A189" s="11"/>
      <c r="C189" s="11"/>
      <c r="D189" s="11"/>
      <c r="E189" s="11"/>
      <c r="F189" s="11"/>
    </row>
    <row r="190">
      <c r="A190" s="11"/>
      <c r="C190" s="11"/>
      <c r="D190" s="11"/>
      <c r="E190" s="11"/>
      <c r="F190" s="11"/>
    </row>
    <row r="191">
      <c r="A191" s="11"/>
      <c r="C191" s="11"/>
      <c r="D191" s="11"/>
      <c r="E191" s="11"/>
      <c r="F191" s="11"/>
    </row>
    <row r="192">
      <c r="A192" s="11"/>
      <c r="C192" s="11"/>
      <c r="D192" s="11"/>
      <c r="E192" s="11"/>
      <c r="F192" s="11"/>
    </row>
    <row r="193">
      <c r="A193" s="11"/>
      <c r="C193" s="11"/>
      <c r="D193" s="11"/>
      <c r="E193" s="11"/>
      <c r="F193" s="11"/>
    </row>
    <row r="194">
      <c r="A194" s="11"/>
      <c r="C194" s="11"/>
      <c r="D194" s="11"/>
      <c r="E194" s="11"/>
      <c r="F194" s="11"/>
    </row>
    <row r="195">
      <c r="A195" s="11"/>
      <c r="C195" s="11"/>
      <c r="D195" s="11"/>
      <c r="E195" s="11"/>
      <c r="F195" s="11"/>
    </row>
    <row r="196">
      <c r="A196" s="11"/>
      <c r="C196" s="11"/>
      <c r="D196" s="11"/>
      <c r="E196" s="11"/>
      <c r="F196" s="11"/>
    </row>
    <row r="197">
      <c r="A197" s="11"/>
      <c r="C197" s="11"/>
      <c r="D197" s="11"/>
      <c r="E197" s="11"/>
      <c r="F197" s="11"/>
    </row>
    <row r="198">
      <c r="A198" s="11"/>
      <c r="C198" s="11"/>
      <c r="D198" s="11"/>
      <c r="E198" s="11"/>
      <c r="F198" s="11"/>
    </row>
    <row r="199">
      <c r="A199" s="11"/>
      <c r="C199" s="11"/>
      <c r="D199" s="11"/>
      <c r="E199" s="11"/>
      <c r="F199" s="11"/>
    </row>
    <row r="200">
      <c r="A200" s="11"/>
      <c r="C200" s="11"/>
      <c r="D200" s="11"/>
      <c r="E200" s="11"/>
      <c r="F200" s="11"/>
    </row>
    <row r="201">
      <c r="A201" s="11"/>
      <c r="C201" s="11"/>
      <c r="D201" s="11"/>
      <c r="E201" s="11"/>
      <c r="F201" s="11"/>
    </row>
    <row r="202">
      <c r="A202" s="11"/>
      <c r="C202" s="11"/>
      <c r="D202" s="11"/>
      <c r="E202" s="11"/>
      <c r="F202" s="11"/>
    </row>
    <row r="203">
      <c r="A203" s="11"/>
      <c r="C203" s="11"/>
      <c r="D203" s="11"/>
      <c r="E203" s="11"/>
      <c r="F203" s="11"/>
    </row>
    <row r="204">
      <c r="A204" s="11"/>
      <c r="C204" s="11"/>
      <c r="D204" s="11"/>
      <c r="E204" s="11"/>
      <c r="F204" s="11"/>
    </row>
    <row r="205">
      <c r="A205" s="11"/>
      <c r="C205" s="11"/>
      <c r="D205" s="11"/>
      <c r="E205" s="11"/>
      <c r="F205" s="11"/>
    </row>
    <row r="206">
      <c r="A206" s="11"/>
      <c r="C206" s="11"/>
      <c r="D206" s="11"/>
      <c r="E206" s="11"/>
      <c r="F206" s="11"/>
    </row>
    <row r="207">
      <c r="A207" s="11"/>
      <c r="C207" s="11"/>
      <c r="D207" s="11"/>
      <c r="E207" s="11"/>
      <c r="F207" s="11"/>
    </row>
    <row r="208">
      <c r="A208" s="11"/>
      <c r="C208" s="11"/>
      <c r="D208" s="11"/>
      <c r="E208" s="11"/>
      <c r="F208" s="11"/>
    </row>
    <row r="209">
      <c r="A209" s="11"/>
      <c r="C209" s="11"/>
      <c r="D209" s="11"/>
      <c r="E209" s="11"/>
      <c r="F209" s="11"/>
    </row>
    <row r="210">
      <c r="A210" s="11"/>
      <c r="C210" s="11"/>
      <c r="D210" s="11"/>
      <c r="E210" s="11"/>
      <c r="F210" s="11"/>
    </row>
    <row r="211">
      <c r="A211" s="11"/>
      <c r="C211" s="11"/>
      <c r="D211" s="11"/>
      <c r="E211" s="11"/>
      <c r="F211" s="11"/>
    </row>
    <row r="212">
      <c r="A212" s="11"/>
      <c r="C212" s="11"/>
      <c r="D212" s="11"/>
      <c r="E212" s="11"/>
      <c r="F212" s="11"/>
    </row>
    <row r="213">
      <c r="A213" s="11"/>
      <c r="C213" s="11"/>
      <c r="D213" s="11"/>
      <c r="E213" s="11"/>
      <c r="F213" s="11"/>
    </row>
    <row r="214">
      <c r="A214" s="11"/>
      <c r="C214" s="11"/>
      <c r="D214" s="11"/>
      <c r="E214" s="11"/>
      <c r="F214" s="11"/>
    </row>
    <row r="215">
      <c r="A215" s="11"/>
      <c r="C215" s="11"/>
      <c r="D215" s="11"/>
      <c r="E215" s="11"/>
      <c r="F215" s="11"/>
    </row>
    <row r="216">
      <c r="A216" s="11"/>
      <c r="C216" s="11"/>
      <c r="D216" s="11"/>
      <c r="E216" s="11"/>
      <c r="F216" s="11"/>
    </row>
    <row r="217">
      <c r="A217" s="11"/>
      <c r="C217" s="11"/>
      <c r="D217" s="11"/>
      <c r="E217" s="11"/>
      <c r="F217" s="11"/>
    </row>
    <row r="218">
      <c r="A218" s="11"/>
      <c r="C218" s="11"/>
      <c r="D218" s="11"/>
      <c r="E218" s="11"/>
      <c r="F218" s="11"/>
    </row>
    <row r="219">
      <c r="A219" s="11"/>
      <c r="C219" s="11"/>
      <c r="D219" s="11"/>
      <c r="E219" s="11"/>
      <c r="F219" s="11"/>
    </row>
    <row r="220">
      <c r="A220" s="11"/>
      <c r="C220" s="11"/>
      <c r="D220" s="11"/>
      <c r="E220" s="11"/>
      <c r="F220" s="11"/>
    </row>
    <row r="221">
      <c r="A221" s="11"/>
      <c r="C221" s="11"/>
      <c r="D221" s="11"/>
      <c r="E221" s="11"/>
      <c r="F221" s="11"/>
    </row>
    <row r="222">
      <c r="A222" s="11"/>
      <c r="C222" s="11"/>
      <c r="D222" s="11"/>
      <c r="E222" s="11"/>
      <c r="F222" s="11"/>
    </row>
    <row r="223">
      <c r="A223" s="11"/>
      <c r="C223" s="11"/>
      <c r="D223" s="11"/>
      <c r="E223" s="11"/>
      <c r="F223" s="11"/>
    </row>
    <row r="224">
      <c r="A224" s="11"/>
      <c r="C224" s="11"/>
      <c r="D224" s="11"/>
      <c r="E224" s="11"/>
      <c r="F224" s="11"/>
    </row>
    <row r="225">
      <c r="A225" s="11"/>
      <c r="C225" s="11"/>
      <c r="D225" s="11"/>
      <c r="E225" s="11"/>
      <c r="F225" s="11"/>
    </row>
    <row r="226">
      <c r="A226" s="11"/>
      <c r="C226" s="11"/>
      <c r="D226" s="11"/>
      <c r="E226" s="11"/>
      <c r="F226" s="11"/>
    </row>
    <row r="227">
      <c r="A227" s="11"/>
      <c r="C227" s="11"/>
      <c r="D227" s="11"/>
      <c r="E227" s="11"/>
      <c r="F227" s="11"/>
    </row>
    <row r="228">
      <c r="A228" s="11"/>
      <c r="C228" s="11"/>
      <c r="D228" s="11"/>
      <c r="E228" s="11"/>
      <c r="F228" s="11"/>
    </row>
    <row r="229">
      <c r="A229" s="11"/>
      <c r="C229" s="11"/>
      <c r="D229" s="11"/>
      <c r="E229" s="11"/>
      <c r="F229" s="11"/>
    </row>
    <row r="230">
      <c r="A230" s="11"/>
      <c r="C230" s="11"/>
      <c r="D230" s="11"/>
      <c r="E230" s="11"/>
      <c r="F230" s="11"/>
    </row>
    <row r="231">
      <c r="A231" s="11"/>
      <c r="C231" s="11"/>
      <c r="D231" s="11"/>
      <c r="E231" s="11"/>
      <c r="F231" s="11"/>
    </row>
    <row r="232">
      <c r="A232" s="11"/>
      <c r="C232" s="11"/>
      <c r="D232" s="11"/>
      <c r="E232" s="11"/>
      <c r="F232" s="11"/>
    </row>
    <row r="233">
      <c r="A233" s="11"/>
      <c r="C233" s="11"/>
      <c r="D233" s="11"/>
      <c r="E233" s="11"/>
      <c r="F233" s="11"/>
    </row>
    <row r="234">
      <c r="A234" s="11"/>
      <c r="C234" s="11"/>
      <c r="D234" s="11"/>
      <c r="E234" s="11"/>
      <c r="F234" s="11"/>
    </row>
    <row r="235">
      <c r="A235" s="11"/>
      <c r="C235" s="11"/>
      <c r="D235" s="11"/>
      <c r="E235" s="11"/>
      <c r="F235" s="11"/>
    </row>
    <row r="236">
      <c r="A236" s="11"/>
      <c r="C236" s="11"/>
      <c r="D236" s="11"/>
      <c r="E236" s="11"/>
      <c r="F236" s="11"/>
    </row>
    <row r="237">
      <c r="A237" s="11"/>
      <c r="C237" s="11"/>
      <c r="D237" s="11"/>
      <c r="E237" s="11"/>
      <c r="F237" s="11"/>
    </row>
    <row r="238">
      <c r="A238" s="11"/>
      <c r="C238" s="11"/>
      <c r="D238" s="11"/>
      <c r="E238" s="11"/>
      <c r="F238" s="11"/>
    </row>
    <row r="239">
      <c r="A239" s="11"/>
      <c r="C239" s="11"/>
      <c r="D239" s="11"/>
      <c r="E239" s="11"/>
      <c r="F239" s="11"/>
    </row>
    <row r="240">
      <c r="A240" s="11"/>
      <c r="C240" s="11"/>
      <c r="D240" s="11"/>
      <c r="E240" s="11"/>
      <c r="F240" s="11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11"/>
      <c r="C261" s="11"/>
      <c r="D261" s="11"/>
      <c r="E261" s="11"/>
      <c r="F261" s="11"/>
    </row>
    <row r="262">
      <c r="A262" s="11"/>
      <c r="C262" s="11"/>
      <c r="D262" s="11"/>
      <c r="E262" s="11"/>
      <c r="F262" s="11"/>
    </row>
    <row r="263">
      <c r="A263" s="11"/>
      <c r="C263" s="11"/>
      <c r="D263" s="11"/>
      <c r="E263" s="11"/>
      <c r="F263" s="11"/>
    </row>
    <row r="264">
      <c r="A264" s="11"/>
      <c r="C264" s="11"/>
      <c r="D264" s="11"/>
      <c r="E264" s="11"/>
      <c r="F264" s="11"/>
    </row>
    <row r="265">
      <c r="A265" s="11"/>
      <c r="C265" s="11"/>
      <c r="D265" s="11"/>
      <c r="E265" s="11"/>
      <c r="F265" s="11"/>
    </row>
    <row r="266">
      <c r="A266" s="11"/>
      <c r="C266" s="11"/>
      <c r="D266" s="11"/>
      <c r="E266" s="11"/>
      <c r="F266" s="11"/>
    </row>
    <row r="267">
      <c r="A267" s="11"/>
      <c r="C267" s="11"/>
      <c r="D267" s="11"/>
      <c r="E267" s="11"/>
      <c r="F267" s="11"/>
    </row>
    <row r="268">
      <c r="A268" s="11"/>
      <c r="C268" s="11"/>
      <c r="D268" s="11"/>
      <c r="E268" s="11"/>
      <c r="F268" s="11"/>
    </row>
    <row r="269">
      <c r="A269" s="11"/>
      <c r="C269" s="11"/>
      <c r="D269" s="11"/>
      <c r="E269" s="11"/>
      <c r="F269" s="11"/>
    </row>
    <row r="270">
      <c r="A270" s="11"/>
      <c r="C270" s="11"/>
      <c r="D270" s="11"/>
      <c r="E270" s="11"/>
      <c r="F270" s="11"/>
    </row>
    <row r="271">
      <c r="A271" s="11"/>
      <c r="C271" s="11"/>
      <c r="D271" s="11"/>
      <c r="E271" s="11"/>
      <c r="F271" s="11"/>
    </row>
    <row r="272">
      <c r="A272" s="11"/>
      <c r="C272" s="11"/>
      <c r="D272" s="11"/>
      <c r="E272" s="11"/>
      <c r="F272" s="11"/>
    </row>
    <row r="273">
      <c r="A273" s="11"/>
      <c r="C273" s="11"/>
      <c r="D273" s="11"/>
      <c r="E273" s="11"/>
      <c r="F273" s="11"/>
    </row>
    <row r="274">
      <c r="A274" s="11"/>
      <c r="C274" s="11"/>
      <c r="D274" s="11"/>
      <c r="E274" s="11"/>
      <c r="F274" s="11"/>
    </row>
    <row r="275">
      <c r="A275" s="11"/>
      <c r="C275" s="11"/>
      <c r="D275" s="11"/>
      <c r="E275" s="11"/>
      <c r="F275" s="11"/>
    </row>
    <row r="276">
      <c r="A276" s="11"/>
      <c r="C276" s="11"/>
      <c r="D276" s="11"/>
      <c r="E276" s="11"/>
      <c r="F276" s="11"/>
    </row>
    <row r="277">
      <c r="A277" s="11"/>
      <c r="C277" s="11"/>
      <c r="D277" s="11"/>
      <c r="E277" s="11"/>
      <c r="F277" s="11"/>
    </row>
    <row r="278">
      <c r="A278" s="11"/>
      <c r="C278" s="11"/>
      <c r="D278" s="11"/>
      <c r="E278" s="11"/>
      <c r="F278" s="11"/>
    </row>
    <row r="279">
      <c r="A279" s="11"/>
      <c r="C279" s="11"/>
      <c r="D279" s="11"/>
      <c r="E279" s="11"/>
      <c r="F279" s="11"/>
    </row>
    <row r="280">
      <c r="A280" s="11"/>
      <c r="C280" s="11"/>
      <c r="D280" s="11"/>
      <c r="E280" s="11"/>
      <c r="F280" s="11"/>
    </row>
    <row r="281">
      <c r="A281" s="11"/>
      <c r="C281" s="11"/>
      <c r="D281" s="11"/>
      <c r="E281" s="11"/>
      <c r="F281" s="11"/>
    </row>
    <row r="282">
      <c r="A282" s="11"/>
      <c r="C282" s="11"/>
      <c r="D282" s="11"/>
      <c r="E282" s="11"/>
      <c r="F282" s="11"/>
    </row>
    <row r="283">
      <c r="A283" s="11"/>
      <c r="C283" s="11"/>
      <c r="D283" s="11"/>
      <c r="E283" s="11"/>
      <c r="F283" s="11"/>
    </row>
    <row r="284">
      <c r="A284" s="11"/>
      <c r="C284" s="11"/>
      <c r="D284" s="11"/>
      <c r="E284" s="11"/>
      <c r="F284" s="11"/>
    </row>
    <row r="285">
      <c r="A285" s="11"/>
      <c r="C285" s="11"/>
      <c r="D285" s="11"/>
      <c r="E285" s="11"/>
      <c r="F285" s="11"/>
    </row>
    <row r="286">
      <c r="A286" s="11"/>
      <c r="C286" s="11"/>
      <c r="D286" s="11"/>
      <c r="E286" s="11"/>
      <c r="F286" s="11"/>
    </row>
    <row r="287">
      <c r="A287" s="11"/>
      <c r="C287" s="11"/>
      <c r="D287" s="11"/>
      <c r="E287" s="11"/>
      <c r="F287" s="11"/>
    </row>
    <row r="288">
      <c r="A288" s="11"/>
      <c r="C288" s="11"/>
      <c r="D288" s="11"/>
      <c r="E288" s="11"/>
      <c r="F288" s="11"/>
    </row>
    <row r="289">
      <c r="A289" s="11"/>
      <c r="C289" s="11"/>
      <c r="D289" s="11"/>
      <c r="E289" s="11"/>
      <c r="F289" s="11"/>
    </row>
    <row r="290">
      <c r="A290" s="11"/>
      <c r="C290" s="11"/>
      <c r="D290" s="11"/>
      <c r="E290" s="11"/>
      <c r="F290" s="11"/>
    </row>
    <row r="291">
      <c r="A291" s="11"/>
      <c r="C291" s="11"/>
      <c r="D291" s="11"/>
      <c r="E291" s="11"/>
      <c r="F291" s="11"/>
    </row>
    <row r="292">
      <c r="A292" s="11"/>
      <c r="C292" s="11"/>
      <c r="D292" s="11"/>
      <c r="E292" s="11"/>
      <c r="F292" s="11"/>
    </row>
    <row r="293">
      <c r="A293" s="11"/>
      <c r="C293" s="11"/>
      <c r="D293" s="11"/>
      <c r="E293" s="11"/>
      <c r="F293" s="11"/>
    </row>
    <row r="294">
      <c r="A294" s="11"/>
      <c r="C294" s="11"/>
      <c r="D294" s="11"/>
      <c r="E294" s="11"/>
      <c r="F294" s="11"/>
    </row>
    <row r="295">
      <c r="A295" s="11"/>
      <c r="C295" s="11"/>
      <c r="D295" s="11"/>
      <c r="E295" s="11"/>
      <c r="F295" s="11"/>
    </row>
    <row r="296">
      <c r="A296" s="11"/>
      <c r="C296" s="11"/>
      <c r="D296" s="11"/>
      <c r="E296" s="11"/>
      <c r="F296" s="11"/>
    </row>
    <row r="297">
      <c r="A297" s="11"/>
      <c r="C297" s="11"/>
      <c r="D297" s="11"/>
      <c r="E297" s="11"/>
      <c r="F297" s="11"/>
    </row>
    <row r="298">
      <c r="A298" s="11"/>
      <c r="C298" s="11"/>
      <c r="D298" s="11"/>
      <c r="E298" s="11"/>
      <c r="F298" s="11"/>
    </row>
    <row r="299">
      <c r="A299" s="11"/>
      <c r="C299" s="11"/>
      <c r="D299" s="11"/>
      <c r="E299" s="11"/>
      <c r="F299" s="11"/>
    </row>
    <row r="300">
      <c r="A300" s="11"/>
      <c r="C300" s="11"/>
      <c r="D300" s="11"/>
      <c r="E300" s="11"/>
      <c r="F300" s="11"/>
    </row>
    <row r="301">
      <c r="A301" s="11"/>
      <c r="C301" s="11"/>
      <c r="D301" s="11"/>
      <c r="E301" s="11"/>
      <c r="F301" s="11"/>
    </row>
    <row r="302">
      <c r="A302" s="11"/>
      <c r="C302" s="11"/>
      <c r="D302" s="11"/>
      <c r="E302" s="11"/>
      <c r="F302" s="11"/>
    </row>
    <row r="303">
      <c r="A303" s="11"/>
      <c r="C303" s="11"/>
      <c r="D303" s="11"/>
      <c r="E303" s="11"/>
      <c r="F303" s="11"/>
    </row>
    <row r="304">
      <c r="A304" s="11"/>
      <c r="C304" s="11"/>
      <c r="D304" s="11"/>
      <c r="E304" s="11"/>
      <c r="F304" s="11"/>
    </row>
    <row r="305">
      <c r="A305" s="11"/>
      <c r="C305" s="11"/>
      <c r="D305" s="11"/>
      <c r="E305" s="11"/>
      <c r="F305" s="11"/>
    </row>
    <row r="306">
      <c r="A306" s="11"/>
      <c r="C306" s="11"/>
      <c r="D306" s="11"/>
      <c r="E306" s="11"/>
      <c r="F306" s="11"/>
    </row>
    <row r="307">
      <c r="A307" s="11"/>
      <c r="C307" s="11"/>
      <c r="D307" s="11"/>
      <c r="E307" s="11"/>
      <c r="F307" s="11"/>
    </row>
    <row r="308">
      <c r="A308" s="11"/>
      <c r="C308" s="11"/>
      <c r="D308" s="11"/>
      <c r="E308" s="11"/>
      <c r="F308" s="11"/>
    </row>
    <row r="309">
      <c r="A309" s="11"/>
      <c r="C309" s="11"/>
      <c r="D309" s="11"/>
      <c r="E309" s="11"/>
      <c r="F309" s="11"/>
    </row>
    <row r="310">
      <c r="A310" s="11"/>
      <c r="C310" s="11"/>
      <c r="D310" s="11"/>
      <c r="E310" s="11"/>
      <c r="F310" s="11"/>
    </row>
    <row r="311">
      <c r="A311" s="11"/>
      <c r="C311" s="11"/>
      <c r="D311" s="11"/>
      <c r="E311" s="11"/>
      <c r="F311" s="11"/>
    </row>
    <row r="312">
      <c r="A312" s="11"/>
      <c r="C312" s="11"/>
      <c r="D312" s="11"/>
      <c r="E312" s="11"/>
      <c r="F312" s="11"/>
    </row>
    <row r="313">
      <c r="A313" s="11"/>
      <c r="C313" s="11"/>
      <c r="D313" s="11"/>
      <c r="E313" s="11"/>
      <c r="F313" s="11"/>
    </row>
    <row r="314">
      <c r="A314" s="11"/>
      <c r="C314" s="11"/>
      <c r="D314" s="11"/>
      <c r="E314" s="11"/>
      <c r="F314" s="11"/>
    </row>
    <row r="315">
      <c r="A315" s="11"/>
      <c r="C315" s="11"/>
      <c r="D315" s="11"/>
      <c r="E315" s="11"/>
      <c r="F315" s="11"/>
    </row>
    <row r="316">
      <c r="A316" s="11"/>
      <c r="C316" s="11"/>
      <c r="D316" s="11"/>
      <c r="E316" s="11"/>
      <c r="F316" s="11"/>
    </row>
    <row r="317">
      <c r="A317" s="11"/>
      <c r="C317" s="11"/>
      <c r="D317" s="11"/>
      <c r="E317" s="11"/>
      <c r="F317" s="11"/>
    </row>
    <row r="318">
      <c r="A318" s="11"/>
      <c r="C318" s="11"/>
      <c r="D318" s="11"/>
      <c r="E318" s="11"/>
      <c r="F318" s="11"/>
    </row>
    <row r="319">
      <c r="A319" s="11"/>
      <c r="C319" s="11"/>
      <c r="D319" s="11"/>
      <c r="E319" s="11"/>
      <c r="F319" s="11"/>
    </row>
    <row r="320">
      <c r="A320" s="11"/>
      <c r="C320" s="11"/>
      <c r="D320" s="11"/>
      <c r="E320" s="11"/>
      <c r="F320" s="11"/>
    </row>
    <row r="321">
      <c r="A321" s="11"/>
      <c r="C321" s="11"/>
      <c r="D321" s="11"/>
      <c r="E321" s="11"/>
      <c r="F321" s="11"/>
    </row>
    <row r="322">
      <c r="A322" s="11"/>
      <c r="C322" s="11"/>
      <c r="D322" s="11"/>
      <c r="E322" s="11"/>
      <c r="F322" s="11"/>
    </row>
    <row r="323">
      <c r="A323" s="11"/>
      <c r="C323" s="11"/>
      <c r="D323" s="11"/>
      <c r="E323" s="11"/>
      <c r="F323" s="11"/>
    </row>
    <row r="324">
      <c r="A324" s="11"/>
      <c r="C324" s="11"/>
      <c r="D324" s="11"/>
      <c r="E324" s="11"/>
      <c r="F324" s="11"/>
    </row>
    <row r="325">
      <c r="A325" s="11"/>
      <c r="C325" s="11"/>
      <c r="D325" s="11"/>
      <c r="E325" s="11"/>
      <c r="F325" s="11"/>
    </row>
    <row r="326">
      <c r="A326" s="11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C343" s="11"/>
      <c r="D343" s="11"/>
      <c r="E343" s="11"/>
      <c r="F343" s="11"/>
    </row>
    <row r="344">
      <c r="A344" s="11"/>
      <c r="C344" s="11"/>
      <c r="D344" s="11"/>
      <c r="E344" s="11"/>
      <c r="F344" s="11"/>
    </row>
    <row r="345">
      <c r="A345" s="11"/>
      <c r="C345" s="11"/>
      <c r="D345" s="11"/>
      <c r="E345" s="11"/>
      <c r="F345" s="11"/>
    </row>
    <row r="346">
      <c r="A346" s="11"/>
      <c r="C346" s="11"/>
      <c r="D346" s="11"/>
      <c r="E346" s="11"/>
      <c r="F346" s="11"/>
    </row>
    <row r="347">
      <c r="A347" s="11"/>
      <c r="C347" s="11"/>
      <c r="D347" s="11"/>
      <c r="E347" s="11"/>
      <c r="F347" s="11"/>
    </row>
    <row r="348">
      <c r="A348" s="11"/>
      <c r="C348" s="11"/>
      <c r="D348" s="11"/>
      <c r="E348" s="11"/>
      <c r="F348" s="11"/>
    </row>
    <row r="349">
      <c r="A349" s="11"/>
      <c r="C349" s="11"/>
      <c r="D349" s="11"/>
      <c r="E349" s="11"/>
      <c r="F349" s="11"/>
    </row>
    <row r="350">
      <c r="A350" s="11"/>
      <c r="C350" s="11"/>
      <c r="D350" s="11"/>
      <c r="E350" s="11"/>
      <c r="F350" s="11"/>
    </row>
    <row r="351">
      <c r="A351" s="11"/>
      <c r="C351" s="11"/>
      <c r="D351" s="11"/>
      <c r="E351" s="11"/>
      <c r="F351" s="11"/>
    </row>
    <row r="352">
      <c r="A352" s="11"/>
      <c r="C352" s="11"/>
      <c r="D352" s="11"/>
      <c r="E352" s="11"/>
      <c r="F352" s="11"/>
    </row>
    <row r="353">
      <c r="A353" s="11"/>
      <c r="C353" s="11"/>
      <c r="D353" s="11"/>
      <c r="E353" s="11"/>
      <c r="F353" s="11"/>
    </row>
    <row r="354">
      <c r="A354" s="11"/>
      <c r="C354" s="11"/>
      <c r="D354" s="11"/>
      <c r="E354" s="11"/>
      <c r="F354" s="11"/>
    </row>
    <row r="355">
      <c r="A355" s="11"/>
      <c r="C355" s="11"/>
      <c r="D355" s="11"/>
      <c r="E355" s="11"/>
      <c r="F355" s="11"/>
    </row>
    <row r="356">
      <c r="A356" s="11"/>
      <c r="C356" s="11"/>
      <c r="D356" s="11"/>
      <c r="E356" s="11"/>
      <c r="F356" s="11"/>
    </row>
    <row r="357">
      <c r="A357" s="11"/>
      <c r="C357" s="11"/>
      <c r="D357" s="11"/>
      <c r="E357" s="11"/>
      <c r="F357" s="11"/>
    </row>
    <row r="358">
      <c r="A358" s="11"/>
      <c r="C358" s="11"/>
      <c r="D358" s="11"/>
      <c r="E358" s="11"/>
      <c r="F358" s="11"/>
    </row>
    <row r="359">
      <c r="A359" s="11"/>
      <c r="C359" s="11"/>
      <c r="D359" s="11"/>
      <c r="E359" s="11"/>
      <c r="F359" s="11"/>
    </row>
    <row r="360">
      <c r="A360" s="11"/>
      <c r="C360" s="11"/>
      <c r="D360" s="11"/>
      <c r="E360" s="11"/>
      <c r="F360" s="11"/>
    </row>
    <row r="361">
      <c r="A361" s="11"/>
      <c r="C361" s="11"/>
      <c r="D361" s="11"/>
      <c r="E361" s="11"/>
      <c r="F361" s="11"/>
    </row>
    <row r="362">
      <c r="A362" s="11"/>
      <c r="C362" s="11"/>
      <c r="D362" s="11"/>
      <c r="E362" s="11"/>
      <c r="F362" s="11"/>
    </row>
    <row r="363">
      <c r="A363" s="11"/>
      <c r="C363" s="11"/>
      <c r="D363" s="11"/>
      <c r="E363" s="11"/>
      <c r="F363" s="11"/>
    </row>
    <row r="364">
      <c r="A364" s="11"/>
      <c r="C364" s="11"/>
      <c r="D364" s="11"/>
      <c r="E364" s="11"/>
      <c r="F364" s="11"/>
    </row>
    <row r="365">
      <c r="A365" s="11"/>
      <c r="C365" s="11"/>
      <c r="D365" s="11"/>
      <c r="E365" s="11"/>
      <c r="F365" s="11"/>
    </row>
    <row r="366">
      <c r="A366" s="11"/>
      <c r="C366" s="11"/>
      <c r="D366" s="11"/>
      <c r="E366" s="11"/>
      <c r="F366" s="11"/>
    </row>
    <row r="367">
      <c r="A367" s="11"/>
      <c r="C367" s="11"/>
      <c r="D367" s="11"/>
      <c r="E367" s="11"/>
      <c r="F367" s="11"/>
    </row>
    <row r="368">
      <c r="A368" s="11"/>
      <c r="C368" s="11"/>
      <c r="D368" s="11"/>
      <c r="E368" s="11"/>
      <c r="F368" s="11"/>
    </row>
    <row r="369">
      <c r="A369" s="11"/>
      <c r="C369" s="11"/>
      <c r="D369" s="11"/>
      <c r="E369" s="11"/>
      <c r="F369" s="11"/>
    </row>
    <row r="370">
      <c r="A370" s="11"/>
      <c r="C370" s="11"/>
      <c r="D370" s="11"/>
      <c r="E370" s="11"/>
      <c r="F370" s="11"/>
    </row>
    <row r="371">
      <c r="A371" s="11"/>
      <c r="C371" s="11"/>
      <c r="D371" s="11"/>
      <c r="E371" s="11"/>
      <c r="F371" s="11"/>
    </row>
    <row r="372">
      <c r="A372" s="11"/>
      <c r="C372" s="11"/>
      <c r="D372" s="11"/>
      <c r="E372" s="11"/>
      <c r="F372" s="11"/>
    </row>
    <row r="373">
      <c r="A373" s="11"/>
      <c r="C373" s="11"/>
      <c r="D373" s="11"/>
      <c r="E373" s="11"/>
      <c r="F373" s="11"/>
    </row>
    <row r="374">
      <c r="A374" s="11"/>
      <c r="C374" s="11"/>
      <c r="D374" s="11"/>
      <c r="E374" s="11"/>
      <c r="F374" s="11"/>
    </row>
    <row r="375">
      <c r="A375" s="11"/>
      <c r="C375" s="11"/>
      <c r="D375" s="11"/>
      <c r="E375" s="11"/>
      <c r="F375" s="11"/>
    </row>
    <row r="376">
      <c r="A376" s="11"/>
      <c r="C376" s="11"/>
      <c r="D376" s="11"/>
      <c r="E376" s="11"/>
      <c r="F376" s="11"/>
    </row>
    <row r="377">
      <c r="A377" s="11"/>
      <c r="C377" s="11"/>
      <c r="D377" s="11"/>
      <c r="E377" s="11"/>
      <c r="F377" s="11"/>
    </row>
    <row r="378">
      <c r="A378" s="11"/>
      <c r="C378" s="11"/>
      <c r="D378" s="11"/>
      <c r="E378" s="11"/>
      <c r="F378" s="11"/>
    </row>
    <row r="379">
      <c r="A379" s="11"/>
      <c r="C379" s="11"/>
      <c r="D379" s="11"/>
      <c r="E379" s="11"/>
      <c r="F379" s="11"/>
    </row>
    <row r="380">
      <c r="A380" s="11"/>
      <c r="C380" s="11"/>
      <c r="D380" s="11"/>
      <c r="E380" s="11"/>
      <c r="F380" s="11"/>
    </row>
    <row r="381">
      <c r="A381" s="11"/>
      <c r="C381" s="11"/>
      <c r="D381" s="11"/>
      <c r="E381" s="11"/>
      <c r="F381" s="11"/>
    </row>
    <row r="382">
      <c r="A382" s="11"/>
      <c r="C382" s="11"/>
      <c r="D382" s="11"/>
      <c r="E382" s="11"/>
      <c r="F382" s="11"/>
    </row>
    <row r="383">
      <c r="A383" s="11"/>
      <c r="C383" s="11"/>
      <c r="D383" s="11"/>
      <c r="E383" s="11"/>
      <c r="F383" s="11"/>
    </row>
    <row r="384">
      <c r="A384" s="11"/>
      <c r="C384" s="11"/>
      <c r="D384" s="11"/>
      <c r="E384" s="11"/>
      <c r="F384" s="11"/>
    </row>
    <row r="385">
      <c r="A385" s="11"/>
      <c r="C385" s="11"/>
      <c r="D385" s="11"/>
      <c r="E385" s="11"/>
      <c r="F385" s="11"/>
    </row>
    <row r="386">
      <c r="A386" s="11"/>
      <c r="C386" s="11"/>
      <c r="D386" s="11"/>
      <c r="E386" s="11"/>
      <c r="F386" s="11"/>
    </row>
    <row r="387">
      <c r="A387" s="11"/>
      <c r="C387" s="11"/>
      <c r="D387" s="11"/>
      <c r="E387" s="11"/>
      <c r="F387" s="11"/>
    </row>
    <row r="388">
      <c r="A388" s="11"/>
      <c r="C388" s="11"/>
      <c r="D388" s="11"/>
      <c r="E388" s="11"/>
      <c r="F388" s="11"/>
    </row>
    <row r="389">
      <c r="A389" s="11"/>
      <c r="C389" s="11"/>
      <c r="D389" s="11"/>
      <c r="E389" s="11"/>
      <c r="F389" s="11"/>
    </row>
    <row r="390">
      <c r="A390" s="11"/>
      <c r="C390" s="11"/>
      <c r="D390" s="11"/>
      <c r="E390" s="11"/>
      <c r="F390" s="11"/>
    </row>
    <row r="391">
      <c r="A391" s="11"/>
      <c r="C391" s="11"/>
      <c r="D391" s="11"/>
      <c r="E391" s="11"/>
      <c r="F391" s="11"/>
    </row>
    <row r="392">
      <c r="A392" s="11"/>
      <c r="C392" s="11"/>
      <c r="D392" s="11"/>
      <c r="E392" s="11"/>
      <c r="F392" s="11"/>
    </row>
    <row r="393">
      <c r="A393" s="11"/>
      <c r="C393" s="11"/>
      <c r="D393" s="11"/>
      <c r="E393" s="11"/>
      <c r="F393" s="11"/>
    </row>
    <row r="394">
      <c r="A394" s="11"/>
      <c r="C394" s="11"/>
      <c r="D394" s="11"/>
      <c r="E394" s="11"/>
      <c r="F394" s="11"/>
    </row>
    <row r="395">
      <c r="A395" s="11"/>
      <c r="C395" s="11"/>
      <c r="D395" s="11"/>
      <c r="E395" s="11"/>
      <c r="F395" s="11"/>
    </row>
    <row r="396">
      <c r="A396" s="11"/>
      <c r="C396" s="11"/>
      <c r="D396" s="11"/>
      <c r="E396" s="11"/>
      <c r="F396" s="11"/>
    </row>
    <row r="397">
      <c r="A397" s="11"/>
      <c r="C397" s="11"/>
      <c r="D397" s="11"/>
      <c r="E397" s="11"/>
      <c r="F397" s="11"/>
    </row>
    <row r="398">
      <c r="A398" s="11"/>
      <c r="C398" s="11"/>
      <c r="D398" s="11"/>
      <c r="E398" s="11"/>
      <c r="F398" s="11"/>
    </row>
    <row r="399">
      <c r="A399" s="11"/>
      <c r="C399" s="11"/>
      <c r="D399" s="11"/>
      <c r="E399" s="11"/>
      <c r="F399" s="11"/>
    </row>
    <row r="400">
      <c r="A400" s="11"/>
      <c r="C400" s="11"/>
      <c r="D400" s="11"/>
      <c r="E400" s="11"/>
      <c r="F400" s="11"/>
    </row>
    <row r="401">
      <c r="A401" s="11"/>
      <c r="C401" s="11"/>
      <c r="D401" s="11"/>
      <c r="E401" s="11"/>
      <c r="F401" s="11"/>
    </row>
    <row r="402">
      <c r="A402" s="11"/>
      <c r="C402" s="11"/>
      <c r="D402" s="11"/>
      <c r="E402" s="11"/>
      <c r="F402" s="11"/>
    </row>
    <row r="403">
      <c r="A403" s="11"/>
      <c r="C403" s="11"/>
      <c r="D403" s="11"/>
      <c r="E403" s="11"/>
      <c r="F403" s="11"/>
    </row>
    <row r="404">
      <c r="A404" s="11"/>
      <c r="C404" s="11"/>
      <c r="D404" s="11"/>
      <c r="E404" s="11"/>
      <c r="F404" s="11"/>
    </row>
    <row r="405">
      <c r="A405" s="11"/>
      <c r="C405" s="11"/>
      <c r="D405" s="11"/>
      <c r="E405" s="11"/>
      <c r="F405" s="11"/>
    </row>
    <row r="406">
      <c r="A406" s="11"/>
      <c r="C406" s="11"/>
      <c r="D406" s="11"/>
      <c r="E406" s="11"/>
      <c r="F406" s="11"/>
    </row>
    <row r="407">
      <c r="A407" s="11"/>
      <c r="C407" s="11"/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</sheetData>
  <mergeCells count="149">
    <mergeCell ref="F131:H131"/>
    <mergeCell ref="I131:M131"/>
    <mergeCell ref="C129:E129"/>
    <mergeCell ref="F129:H129"/>
    <mergeCell ref="I129:M129"/>
    <mergeCell ref="C130:E130"/>
    <mergeCell ref="F130:H130"/>
    <mergeCell ref="I130:M130"/>
    <mergeCell ref="C131:E131"/>
    <mergeCell ref="F134:H134"/>
    <mergeCell ref="I134:M134"/>
    <mergeCell ref="C132:E132"/>
    <mergeCell ref="F132:H132"/>
    <mergeCell ref="I132:M132"/>
    <mergeCell ref="C133:E133"/>
    <mergeCell ref="F133:H133"/>
    <mergeCell ref="I133:M133"/>
    <mergeCell ref="C134:E134"/>
    <mergeCell ref="F137:H137"/>
    <mergeCell ref="I137:M137"/>
    <mergeCell ref="C135:E135"/>
    <mergeCell ref="F135:H135"/>
    <mergeCell ref="I135:M135"/>
    <mergeCell ref="C136:E136"/>
    <mergeCell ref="F136:H136"/>
    <mergeCell ref="I136:M136"/>
    <mergeCell ref="C137:E137"/>
    <mergeCell ref="C1:F1"/>
    <mergeCell ref="I1:K1"/>
    <mergeCell ref="L1:M1"/>
    <mergeCell ref="B2:C2"/>
    <mergeCell ref="C3:E3"/>
    <mergeCell ref="F3:M3"/>
    <mergeCell ref="N3:O3"/>
    <mergeCell ref="P77:Q77"/>
    <mergeCell ref="P79:Q79"/>
    <mergeCell ref="P80:Q80"/>
    <mergeCell ref="A121:M121"/>
    <mergeCell ref="C122:E122"/>
    <mergeCell ref="F122:H122"/>
    <mergeCell ref="I122:M122"/>
    <mergeCell ref="F125:H125"/>
    <mergeCell ref="I125:M125"/>
    <mergeCell ref="C123:E123"/>
    <mergeCell ref="F123:H123"/>
    <mergeCell ref="I123:M123"/>
    <mergeCell ref="C124:E124"/>
    <mergeCell ref="F124:H124"/>
    <mergeCell ref="I124:M124"/>
    <mergeCell ref="C125:E125"/>
    <mergeCell ref="F128:H128"/>
    <mergeCell ref="I128:M128"/>
    <mergeCell ref="C126:E126"/>
    <mergeCell ref="F126:H126"/>
    <mergeCell ref="I126:M126"/>
    <mergeCell ref="C127:E127"/>
    <mergeCell ref="F127:H127"/>
    <mergeCell ref="I127:M127"/>
    <mergeCell ref="C128:E128"/>
    <mergeCell ref="F142:H142"/>
    <mergeCell ref="F143:H143"/>
    <mergeCell ref="F164:H164"/>
    <mergeCell ref="F165:H165"/>
    <mergeCell ref="F157:H157"/>
    <mergeCell ref="F158:H158"/>
    <mergeCell ref="F159:H159"/>
    <mergeCell ref="F160:H160"/>
    <mergeCell ref="F161:H161"/>
    <mergeCell ref="F162:H162"/>
    <mergeCell ref="F163:H163"/>
    <mergeCell ref="C168:E168"/>
    <mergeCell ref="F168:H168"/>
    <mergeCell ref="C169:E169"/>
    <mergeCell ref="F169:H169"/>
    <mergeCell ref="C170:E170"/>
    <mergeCell ref="F170:H170"/>
    <mergeCell ref="F171:H171"/>
    <mergeCell ref="C178:E178"/>
    <mergeCell ref="C179:E179"/>
    <mergeCell ref="C180:E180"/>
    <mergeCell ref="C181:E181"/>
    <mergeCell ref="C182:E182"/>
    <mergeCell ref="C171:E171"/>
    <mergeCell ref="C172:E172"/>
    <mergeCell ref="C173:E173"/>
    <mergeCell ref="C174:E174"/>
    <mergeCell ref="C175:E175"/>
    <mergeCell ref="C176:E176"/>
    <mergeCell ref="C177:E177"/>
    <mergeCell ref="F179:H179"/>
    <mergeCell ref="F180:H180"/>
    <mergeCell ref="F181:H181"/>
    <mergeCell ref="F182:H182"/>
    <mergeCell ref="F172:H172"/>
    <mergeCell ref="F173:H173"/>
    <mergeCell ref="F174:H174"/>
    <mergeCell ref="F175:H175"/>
    <mergeCell ref="F176:H176"/>
    <mergeCell ref="F177:H177"/>
    <mergeCell ref="F178:H178"/>
    <mergeCell ref="C138:E138"/>
    <mergeCell ref="F138:H138"/>
    <mergeCell ref="C139:E139"/>
    <mergeCell ref="F139:H139"/>
    <mergeCell ref="C140:E140"/>
    <mergeCell ref="F140:H140"/>
    <mergeCell ref="F141:H141"/>
    <mergeCell ref="C141:E141"/>
    <mergeCell ref="C142:E142"/>
    <mergeCell ref="C143:E143"/>
    <mergeCell ref="C144:E144"/>
    <mergeCell ref="F144:H144"/>
    <mergeCell ref="C145:E145"/>
    <mergeCell ref="F145:H145"/>
    <mergeCell ref="C146:E146"/>
    <mergeCell ref="F146:H146"/>
    <mergeCell ref="C147:E147"/>
    <mergeCell ref="F147:H147"/>
    <mergeCell ref="C148:E148"/>
    <mergeCell ref="F148:H148"/>
    <mergeCell ref="F149:H149"/>
    <mergeCell ref="C149:E149"/>
    <mergeCell ref="C150:E150"/>
    <mergeCell ref="C151:E151"/>
    <mergeCell ref="C152:E152"/>
    <mergeCell ref="C153:E153"/>
    <mergeCell ref="C154:E154"/>
    <mergeCell ref="C155:E155"/>
    <mergeCell ref="F150:H150"/>
    <mergeCell ref="F151:H151"/>
    <mergeCell ref="F152:H152"/>
    <mergeCell ref="F153:H153"/>
    <mergeCell ref="F154:H154"/>
    <mergeCell ref="F155:H155"/>
    <mergeCell ref="F156:H156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F166:H166"/>
    <mergeCell ref="C167:E167"/>
    <mergeCell ref="F167:H167"/>
  </mergeCells>
  <conditionalFormatting sqref="L5:L69">
    <cfRule type="expression" dxfId="1" priority="1">
      <formula> L5&gt;=18</formula>
    </cfRule>
  </conditionalFormatting>
  <conditionalFormatting sqref="C10 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13">
        <v>45633.0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23.0</v>
      </c>
      <c r="E2" s="11"/>
      <c r="F2" s="11"/>
      <c r="AB2" s="20" t="str">
        <f>text(C1-7,"mm/dd/yy")</f>
        <v>11/30/24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32">
        <v>345.0</v>
      </c>
      <c r="D5" s="32">
        <v>41.0</v>
      </c>
      <c r="E5" s="35">
        <f t="shared" ref="E5:E69" si="2">(C5-(U5*9)-(S5*13))/($D$2-U5-S5)</f>
        <v>17.125</v>
      </c>
      <c r="F5" s="37">
        <v>3.0</v>
      </c>
      <c r="G5" s="39">
        <v>0.0</v>
      </c>
      <c r="H5" s="40">
        <v>9.0</v>
      </c>
      <c r="I5" s="39">
        <v>0.0</v>
      </c>
      <c r="J5" s="39">
        <v>0.0</v>
      </c>
      <c r="K5" s="39">
        <v>0.0</v>
      </c>
      <c r="L5" s="42">
        <v>9.0</v>
      </c>
      <c r="M5" s="39">
        <v>0.0</v>
      </c>
      <c r="N5" s="32">
        <f t="shared" ref="N5:O5" si="1">C5+L5</f>
        <v>354</v>
      </c>
      <c r="O5" s="32">
        <f t="shared" si="1"/>
        <v>41</v>
      </c>
      <c r="P5" s="43" t="s">
        <v>53</v>
      </c>
      <c r="Q5" s="43" t="s">
        <v>53</v>
      </c>
      <c r="R5" s="43"/>
      <c r="S5" s="39">
        <f t="shared" ref="S5:S69" si="4">if(H5=13,1,0)+VLOOKUP(B5,indirect($AB$2&amp;"!B:T"),18,false)</f>
        <v>2</v>
      </c>
      <c r="T5" s="39"/>
      <c r="U5" s="39">
        <f t="shared" ref="U5:U69" si="5">if(H5=9,1,0)+VLOOKUP(B5,indirect($AB$2&amp;"!B:U"),20,false)</f>
        <v>5</v>
      </c>
      <c r="V5" s="39">
        <f t="shared" ref="V5:V65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31" t="s">
        <v>61</v>
      </c>
      <c r="C6" s="32">
        <v>294.0</v>
      </c>
      <c r="D6" s="32">
        <v>30.0</v>
      </c>
      <c r="E6" s="35">
        <f t="shared" si="2"/>
        <v>14.4375</v>
      </c>
      <c r="F6" s="37">
        <v>3.0</v>
      </c>
      <c r="G6" s="39">
        <v>0.0</v>
      </c>
      <c r="H6" s="40">
        <v>9.0</v>
      </c>
      <c r="I6" s="39">
        <v>0.0</v>
      </c>
      <c r="J6" s="39">
        <v>0.0</v>
      </c>
      <c r="K6" s="39">
        <v>0.0</v>
      </c>
      <c r="L6" s="42">
        <v>9.0</v>
      </c>
      <c r="M6" s="39">
        <v>0.0</v>
      </c>
      <c r="N6" s="32">
        <f t="shared" ref="N6:O6" si="3">C6+L6</f>
        <v>303</v>
      </c>
      <c r="O6" s="32">
        <f t="shared" si="3"/>
        <v>30</v>
      </c>
      <c r="P6" s="43" t="s">
        <v>53</v>
      </c>
      <c r="Q6" s="43" t="s">
        <v>53</v>
      </c>
      <c r="R6" s="43" t="s">
        <v>53</v>
      </c>
      <c r="S6" s="39">
        <f t="shared" si="4"/>
        <v>0</v>
      </c>
      <c r="T6" s="39"/>
      <c r="U6" s="39">
        <f t="shared" si="5"/>
        <v>7</v>
      </c>
      <c r="V6" s="39">
        <f t="shared" si="6"/>
        <v>1</v>
      </c>
      <c r="W6" s="30">
        <f t="shared" ref="W6:W69" si="9">W5+1</f>
        <v>2</v>
      </c>
    </row>
    <row r="7">
      <c r="A7" s="30">
        <f t="shared" si="7"/>
        <v>3</v>
      </c>
      <c r="B7" s="31" t="s">
        <v>82</v>
      </c>
      <c r="C7" s="32">
        <v>291.0</v>
      </c>
      <c r="D7" s="32">
        <v>25.0</v>
      </c>
      <c r="E7" s="35">
        <f t="shared" si="2"/>
        <v>15.33333333</v>
      </c>
      <c r="F7" s="37">
        <v>2.0</v>
      </c>
      <c r="G7" s="39">
        <v>1.0</v>
      </c>
      <c r="H7" s="40">
        <v>0.0</v>
      </c>
      <c r="I7" s="39">
        <v>3.0</v>
      </c>
      <c r="J7" s="39">
        <v>5.0</v>
      </c>
      <c r="K7" s="39">
        <v>7.0</v>
      </c>
      <c r="L7" s="42">
        <v>15.0</v>
      </c>
      <c r="M7" s="39">
        <v>1.0</v>
      </c>
      <c r="N7" s="32">
        <f t="shared" ref="N7:O7" si="8">C7+L7</f>
        <v>306</v>
      </c>
      <c r="O7" s="32">
        <f t="shared" si="8"/>
        <v>26</v>
      </c>
      <c r="P7" s="43" t="s">
        <v>53</v>
      </c>
      <c r="Q7" s="43" t="s">
        <v>53</v>
      </c>
      <c r="R7" s="43" t="s">
        <v>53</v>
      </c>
      <c r="S7" s="39">
        <f t="shared" si="4"/>
        <v>2</v>
      </c>
      <c r="T7" s="39"/>
      <c r="U7" s="39">
        <f t="shared" si="5"/>
        <v>9</v>
      </c>
      <c r="V7" s="39">
        <f t="shared" si="6"/>
        <v>1</v>
      </c>
      <c r="W7" s="30">
        <f t="shared" si="9"/>
        <v>3</v>
      </c>
    </row>
    <row r="8">
      <c r="A8" s="30">
        <f t="shared" si="7"/>
        <v>4</v>
      </c>
      <c r="B8" s="31" t="s">
        <v>57</v>
      </c>
      <c r="C8" s="32">
        <v>289.0</v>
      </c>
      <c r="D8" s="32">
        <v>24.0</v>
      </c>
      <c r="E8" s="35">
        <f t="shared" si="2"/>
        <v>13.375</v>
      </c>
      <c r="F8" s="37">
        <v>1.0</v>
      </c>
      <c r="G8" s="39">
        <v>1.0</v>
      </c>
      <c r="H8" s="40">
        <v>0.0</v>
      </c>
      <c r="I8" s="39">
        <v>6.0</v>
      </c>
      <c r="J8" s="39">
        <v>7.0</v>
      </c>
      <c r="K8" s="39">
        <v>7.0</v>
      </c>
      <c r="L8" s="42">
        <v>20.0</v>
      </c>
      <c r="M8" s="39">
        <v>3.0</v>
      </c>
      <c r="N8" s="32">
        <f t="shared" ref="N8:O8" si="10">C8+L8</f>
        <v>309</v>
      </c>
      <c r="O8" s="32">
        <f t="shared" si="10"/>
        <v>27</v>
      </c>
      <c r="P8" s="43" t="s">
        <v>53</v>
      </c>
      <c r="Q8" s="43" t="s">
        <v>53</v>
      </c>
      <c r="R8" s="43" t="s">
        <v>53</v>
      </c>
      <c r="S8" s="39">
        <f t="shared" si="4"/>
        <v>3</v>
      </c>
      <c r="T8" s="39"/>
      <c r="U8" s="39">
        <f t="shared" si="5"/>
        <v>4</v>
      </c>
      <c r="V8" s="39">
        <f t="shared" si="6"/>
        <v>4</v>
      </c>
      <c r="W8" s="30">
        <f t="shared" si="9"/>
        <v>4</v>
      </c>
    </row>
    <row r="9">
      <c r="A9" s="30">
        <f t="shared" si="7"/>
        <v>5</v>
      </c>
      <c r="B9" s="51" t="s">
        <v>54</v>
      </c>
      <c r="C9" s="32">
        <v>288.0</v>
      </c>
      <c r="D9" s="32">
        <v>29.0</v>
      </c>
      <c r="E9" s="35">
        <f t="shared" si="2"/>
        <v>13.27777778</v>
      </c>
      <c r="F9" s="37">
        <v>1.0</v>
      </c>
      <c r="G9" s="39">
        <v>1.0</v>
      </c>
      <c r="H9" s="40">
        <v>0.0</v>
      </c>
      <c r="I9" s="39">
        <v>3.0</v>
      </c>
      <c r="J9" s="39">
        <v>7.0</v>
      </c>
      <c r="K9" s="39">
        <v>6.0</v>
      </c>
      <c r="L9" s="42">
        <v>16.0</v>
      </c>
      <c r="M9" s="39">
        <v>1.0</v>
      </c>
      <c r="N9" s="32">
        <f t="shared" ref="N9:O9" si="11">C9+L9</f>
        <v>304</v>
      </c>
      <c r="O9" s="32">
        <f t="shared" si="11"/>
        <v>30</v>
      </c>
      <c r="P9" s="43" t="s">
        <v>53</v>
      </c>
      <c r="Q9" s="43" t="s">
        <v>53</v>
      </c>
      <c r="R9" s="43" t="s">
        <v>53</v>
      </c>
      <c r="S9" s="39">
        <f t="shared" si="4"/>
        <v>1</v>
      </c>
      <c r="T9" s="39"/>
      <c r="U9" s="39">
        <f t="shared" si="5"/>
        <v>4</v>
      </c>
      <c r="V9" s="39">
        <f t="shared" si="6"/>
        <v>0</v>
      </c>
      <c r="W9" s="30">
        <f t="shared" si="9"/>
        <v>5</v>
      </c>
    </row>
    <row r="10">
      <c r="A10" s="30">
        <f t="shared" si="7"/>
        <v>6</v>
      </c>
      <c r="B10" s="51" t="s">
        <v>78</v>
      </c>
      <c r="C10" s="32">
        <v>286.0</v>
      </c>
      <c r="D10" s="32">
        <v>28.0</v>
      </c>
      <c r="E10" s="35">
        <f t="shared" si="2"/>
        <v>12.59090909</v>
      </c>
      <c r="F10" s="37">
        <v>1.0</v>
      </c>
      <c r="G10" s="39">
        <v>1.0</v>
      </c>
      <c r="H10" s="40">
        <v>0.0</v>
      </c>
      <c r="I10" s="39">
        <v>6.0</v>
      </c>
      <c r="J10" s="39">
        <v>5.0</v>
      </c>
      <c r="K10" s="39">
        <v>6.0</v>
      </c>
      <c r="L10" s="42">
        <v>17.0</v>
      </c>
      <c r="M10" s="39">
        <v>1.0</v>
      </c>
      <c r="N10" s="32">
        <f t="shared" ref="N10:O10" si="12">C10+L10</f>
        <v>303</v>
      </c>
      <c r="O10" s="32">
        <f t="shared" si="12"/>
        <v>29</v>
      </c>
      <c r="P10" s="43" t="s">
        <v>53</v>
      </c>
      <c r="Q10" s="43" t="s">
        <v>53</v>
      </c>
      <c r="R10" s="43" t="s">
        <v>53</v>
      </c>
      <c r="S10" s="39">
        <f t="shared" si="4"/>
        <v>0</v>
      </c>
      <c r="T10" s="39"/>
      <c r="U10" s="39">
        <f t="shared" si="5"/>
        <v>1</v>
      </c>
      <c r="V10" s="39">
        <f t="shared" si="6"/>
        <v>4</v>
      </c>
      <c r="W10" s="30">
        <f t="shared" si="9"/>
        <v>6</v>
      </c>
    </row>
    <row r="11">
      <c r="A11" s="30">
        <f t="shared" si="7"/>
        <v>7</v>
      </c>
      <c r="B11" s="51" t="s">
        <v>85</v>
      </c>
      <c r="C11" s="32">
        <v>286.0</v>
      </c>
      <c r="D11" s="32">
        <v>23.0</v>
      </c>
      <c r="E11" s="35">
        <f t="shared" si="2"/>
        <v>15.81818182</v>
      </c>
      <c r="F11" s="37">
        <v>2.0</v>
      </c>
      <c r="G11" s="39">
        <v>2.0</v>
      </c>
      <c r="H11" s="40">
        <v>0.0</v>
      </c>
      <c r="I11" s="39">
        <v>6.0</v>
      </c>
      <c r="J11" s="39">
        <v>6.0</v>
      </c>
      <c r="K11" s="39">
        <v>6.0</v>
      </c>
      <c r="L11" s="42">
        <v>18.0</v>
      </c>
      <c r="M11" s="39">
        <v>3.0</v>
      </c>
      <c r="N11" s="32">
        <f t="shared" ref="N11:O11" si="13">C11+L11</f>
        <v>304</v>
      </c>
      <c r="O11" s="32">
        <f t="shared" si="13"/>
        <v>26</v>
      </c>
      <c r="P11" s="43" t="s">
        <v>53</v>
      </c>
      <c r="Q11" s="43" t="s">
        <v>53</v>
      </c>
      <c r="R11" s="43" t="s">
        <v>53</v>
      </c>
      <c r="S11" s="39">
        <f t="shared" si="4"/>
        <v>1</v>
      </c>
      <c r="T11" s="39"/>
      <c r="U11" s="39">
        <f t="shared" si="5"/>
        <v>11</v>
      </c>
      <c r="V11" s="39">
        <f t="shared" si="6"/>
        <v>-5</v>
      </c>
      <c r="W11" s="30">
        <f t="shared" si="9"/>
        <v>7</v>
      </c>
    </row>
    <row r="12">
      <c r="A12" s="30">
        <f t="shared" si="7"/>
        <v>8</v>
      </c>
      <c r="B12" s="31" t="s">
        <v>83</v>
      </c>
      <c r="C12" s="32">
        <v>285.0</v>
      </c>
      <c r="D12" s="32">
        <v>24.0</v>
      </c>
      <c r="E12" s="35">
        <f t="shared" si="2"/>
        <v>14.57142857</v>
      </c>
      <c r="F12" s="37">
        <v>1.0</v>
      </c>
      <c r="G12" s="39">
        <v>2.0</v>
      </c>
      <c r="H12" s="40">
        <v>0.0</v>
      </c>
      <c r="I12" s="39">
        <v>4.0</v>
      </c>
      <c r="J12" s="39">
        <v>6.0</v>
      </c>
      <c r="K12" s="39">
        <v>3.0</v>
      </c>
      <c r="L12" s="42">
        <v>13.0</v>
      </c>
      <c r="M12" s="39">
        <v>1.0</v>
      </c>
      <c r="N12" s="32">
        <f t="shared" ref="N12:O12" si="14">C12+L12</f>
        <v>298</v>
      </c>
      <c r="O12" s="32">
        <f t="shared" si="14"/>
        <v>25</v>
      </c>
      <c r="P12" s="43" t="s">
        <v>53</v>
      </c>
      <c r="Q12" s="43" t="s">
        <v>53</v>
      </c>
      <c r="R12" s="43" t="s">
        <v>53</v>
      </c>
      <c r="S12" s="39">
        <f t="shared" si="4"/>
        <v>0</v>
      </c>
      <c r="T12" s="39"/>
      <c r="U12" s="39">
        <f t="shared" si="5"/>
        <v>9</v>
      </c>
      <c r="V12" s="39">
        <f t="shared" si="6"/>
        <v>6</v>
      </c>
      <c r="W12" s="30">
        <f t="shared" si="9"/>
        <v>8</v>
      </c>
    </row>
    <row r="13">
      <c r="A13" s="30">
        <f t="shared" si="7"/>
        <v>9</v>
      </c>
      <c r="B13" s="51" t="s">
        <v>87</v>
      </c>
      <c r="C13" s="32">
        <v>284.0</v>
      </c>
      <c r="D13" s="32">
        <v>24.0</v>
      </c>
      <c r="E13" s="35">
        <f t="shared" si="2"/>
        <v>12.58823529</v>
      </c>
      <c r="F13" s="37">
        <v>1.0</v>
      </c>
      <c r="G13" s="39">
        <v>2.0</v>
      </c>
      <c r="H13" s="40">
        <v>0.0</v>
      </c>
      <c r="I13" s="39">
        <v>6.0</v>
      </c>
      <c r="J13" s="39">
        <v>2.0</v>
      </c>
      <c r="K13" s="39">
        <v>3.0</v>
      </c>
      <c r="L13" s="42">
        <v>11.0</v>
      </c>
      <c r="M13" s="39">
        <v>1.0</v>
      </c>
      <c r="N13" s="32">
        <f t="shared" ref="N13:O13" si="15">C13+L13</f>
        <v>295</v>
      </c>
      <c r="O13" s="32">
        <f t="shared" si="15"/>
        <v>25</v>
      </c>
      <c r="P13" s="43" t="s">
        <v>53</v>
      </c>
      <c r="Q13" s="43" t="s">
        <v>53</v>
      </c>
      <c r="R13" s="43" t="s">
        <v>88</v>
      </c>
      <c r="S13" s="39">
        <f t="shared" si="4"/>
        <v>4</v>
      </c>
      <c r="T13" s="39"/>
      <c r="U13" s="39">
        <f t="shared" si="5"/>
        <v>2</v>
      </c>
      <c r="V13" s="39">
        <f t="shared" si="6"/>
        <v>3</v>
      </c>
      <c r="W13" s="30">
        <f t="shared" si="9"/>
        <v>9</v>
      </c>
    </row>
    <row r="14">
      <c r="A14" s="30">
        <f t="shared" si="7"/>
        <v>10</v>
      </c>
      <c r="B14" s="31" t="s">
        <v>71</v>
      </c>
      <c r="C14" s="32">
        <v>284.0</v>
      </c>
      <c r="D14" s="32">
        <v>24.0</v>
      </c>
      <c r="E14" s="35">
        <f t="shared" si="2"/>
        <v>12.65</v>
      </c>
      <c r="F14" s="37">
        <v>1.0</v>
      </c>
      <c r="G14" s="39">
        <v>2.0</v>
      </c>
      <c r="H14" s="40">
        <v>0.0</v>
      </c>
      <c r="I14" s="39">
        <v>4.0</v>
      </c>
      <c r="J14" s="39">
        <v>2.0</v>
      </c>
      <c r="K14" s="39">
        <v>6.0</v>
      </c>
      <c r="L14" s="42">
        <v>12.0</v>
      </c>
      <c r="M14" s="39">
        <v>1.0</v>
      </c>
      <c r="N14" s="32">
        <f t="shared" ref="N14:O14" si="16">C14+L14</f>
        <v>296</v>
      </c>
      <c r="O14" s="32">
        <f t="shared" si="16"/>
        <v>25</v>
      </c>
      <c r="P14" s="43" t="s">
        <v>53</v>
      </c>
      <c r="Q14" s="43" t="s">
        <v>53</v>
      </c>
      <c r="R14" s="43" t="s">
        <v>53</v>
      </c>
      <c r="S14" s="39">
        <f t="shared" si="4"/>
        <v>1</v>
      </c>
      <c r="T14" s="39"/>
      <c r="U14" s="39">
        <f t="shared" si="5"/>
        <v>2</v>
      </c>
      <c r="V14" s="39">
        <f t="shared" si="6"/>
        <v>-4</v>
      </c>
      <c r="W14" s="30">
        <f t="shared" si="9"/>
        <v>10</v>
      </c>
    </row>
    <row r="15">
      <c r="A15" s="30">
        <f t="shared" si="7"/>
        <v>11</v>
      </c>
      <c r="B15" s="56" t="s">
        <v>65</v>
      </c>
      <c r="C15" s="32">
        <v>284.0</v>
      </c>
      <c r="D15" s="32">
        <v>21.0</v>
      </c>
      <c r="E15" s="35">
        <f t="shared" si="2"/>
        <v>13.29411765</v>
      </c>
      <c r="F15" s="37">
        <v>1.0</v>
      </c>
      <c r="G15" s="39">
        <v>3.0</v>
      </c>
      <c r="H15" s="40">
        <v>0.0</v>
      </c>
      <c r="I15" s="39">
        <v>4.0</v>
      </c>
      <c r="J15" s="39">
        <v>6.0</v>
      </c>
      <c r="K15" s="39">
        <v>4.0</v>
      </c>
      <c r="L15" s="42">
        <v>14.0</v>
      </c>
      <c r="M15" s="39">
        <v>1.0</v>
      </c>
      <c r="N15" s="32">
        <f t="shared" ref="N15:O15" si="17">C15+L15</f>
        <v>298</v>
      </c>
      <c r="O15" s="32">
        <f t="shared" si="17"/>
        <v>22</v>
      </c>
      <c r="P15" s="43" t="s">
        <v>53</v>
      </c>
      <c r="Q15" s="43" t="s">
        <v>53</v>
      </c>
      <c r="R15" s="43" t="s">
        <v>53</v>
      </c>
      <c r="S15" s="39">
        <f t="shared" si="4"/>
        <v>1</v>
      </c>
      <c r="T15" s="39"/>
      <c r="U15" s="39">
        <f t="shared" si="5"/>
        <v>5</v>
      </c>
      <c r="V15" s="39">
        <f t="shared" si="6"/>
        <v>5</v>
      </c>
      <c r="W15" s="30">
        <f t="shared" si="9"/>
        <v>11</v>
      </c>
    </row>
    <row r="16">
      <c r="A16" s="30">
        <f t="shared" si="7"/>
        <v>12</v>
      </c>
      <c r="B16" s="31" t="s">
        <v>86</v>
      </c>
      <c r="C16" s="32">
        <v>283.0</v>
      </c>
      <c r="D16" s="32">
        <v>20.0</v>
      </c>
      <c r="E16" s="35">
        <f t="shared" si="2"/>
        <v>12.33333333</v>
      </c>
      <c r="F16" s="37">
        <v>2.0</v>
      </c>
      <c r="G16" s="39">
        <v>3.0</v>
      </c>
      <c r="H16" s="40">
        <v>0.0</v>
      </c>
      <c r="I16" s="39">
        <v>4.0</v>
      </c>
      <c r="J16" s="39">
        <v>4.0</v>
      </c>
      <c r="K16" s="39">
        <v>6.0</v>
      </c>
      <c r="L16" s="42">
        <v>14.0</v>
      </c>
      <c r="M16" s="39">
        <v>1.0</v>
      </c>
      <c r="N16" s="32">
        <f t="shared" ref="N16:O16" si="18">C16+L16</f>
        <v>297</v>
      </c>
      <c r="O16" s="32">
        <f t="shared" si="18"/>
        <v>21</v>
      </c>
      <c r="P16" s="43" t="s">
        <v>53</v>
      </c>
      <c r="Q16" s="43" t="s">
        <v>53</v>
      </c>
      <c r="R16" s="43" t="s">
        <v>53</v>
      </c>
      <c r="S16" s="39">
        <f t="shared" si="4"/>
        <v>4</v>
      </c>
      <c r="T16" s="39"/>
      <c r="U16" s="39">
        <f t="shared" si="5"/>
        <v>1</v>
      </c>
      <c r="V16" s="39">
        <f t="shared" si="6"/>
        <v>-3</v>
      </c>
      <c r="W16" s="30">
        <f t="shared" si="9"/>
        <v>12</v>
      </c>
    </row>
    <row r="17">
      <c r="A17" s="30">
        <f t="shared" si="7"/>
        <v>13</v>
      </c>
      <c r="B17" s="51" t="s">
        <v>92</v>
      </c>
      <c r="C17" s="32">
        <v>280.0</v>
      </c>
      <c r="D17" s="32">
        <v>23.0</v>
      </c>
      <c r="E17" s="35">
        <f t="shared" si="2"/>
        <v>15.9</v>
      </c>
      <c r="F17" s="37">
        <v>3.0</v>
      </c>
      <c r="G17" s="39">
        <v>0.0</v>
      </c>
      <c r="H17" s="40">
        <v>9.0</v>
      </c>
      <c r="I17" s="39">
        <v>0.0</v>
      </c>
      <c r="J17" s="39">
        <v>0.0</v>
      </c>
      <c r="K17" s="39">
        <v>0.0</v>
      </c>
      <c r="L17" s="42">
        <v>9.0</v>
      </c>
      <c r="M17" s="39">
        <v>0.0</v>
      </c>
      <c r="N17" s="32">
        <f t="shared" ref="N17:O17" si="19">C17+L17</f>
        <v>289</v>
      </c>
      <c r="O17" s="32">
        <f t="shared" si="19"/>
        <v>23</v>
      </c>
      <c r="P17" s="43" t="s">
        <v>53</v>
      </c>
      <c r="Q17" s="43" t="s">
        <v>53</v>
      </c>
      <c r="R17" s="43" t="s">
        <v>88</v>
      </c>
      <c r="S17" s="39">
        <f t="shared" si="4"/>
        <v>1</v>
      </c>
      <c r="T17" s="39"/>
      <c r="U17" s="39">
        <f t="shared" si="5"/>
        <v>12</v>
      </c>
      <c r="V17" s="39">
        <f t="shared" si="6"/>
        <v>-6</v>
      </c>
      <c r="W17" s="30">
        <f t="shared" si="9"/>
        <v>13</v>
      </c>
    </row>
    <row r="18">
      <c r="A18" s="30">
        <f t="shared" si="7"/>
        <v>14</v>
      </c>
      <c r="B18" s="31" t="s">
        <v>68</v>
      </c>
      <c r="C18" s="32">
        <v>280.0</v>
      </c>
      <c r="D18" s="32">
        <v>23.0</v>
      </c>
      <c r="E18" s="35">
        <f t="shared" si="2"/>
        <v>13.0625</v>
      </c>
      <c r="F18" s="37">
        <v>3.0</v>
      </c>
      <c r="G18" s="39">
        <v>0.0</v>
      </c>
      <c r="H18" s="40">
        <v>9.0</v>
      </c>
      <c r="I18" s="39">
        <v>0.0</v>
      </c>
      <c r="J18" s="39">
        <v>0.0</v>
      </c>
      <c r="K18" s="39">
        <v>0.0</v>
      </c>
      <c r="L18" s="42">
        <v>9.0</v>
      </c>
      <c r="M18" s="39">
        <v>0.0</v>
      </c>
      <c r="N18" s="32">
        <f t="shared" ref="N18:O18" si="20">C18+L18</f>
        <v>289</v>
      </c>
      <c r="O18" s="32">
        <f t="shared" si="20"/>
        <v>23</v>
      </c>
      <c r="P18" s="43" t="s">
        <v>53</v>
      </c>
      <c r="Q18" s="43" t="s">
        <v>53</v>
      </c>
      <c r="R18" s="43" t="s">
        <v>53</v>
      </c>
      <c r="S18" s="39">
        <f t="shared" si="4"/>
        <v>2</v>
      </c>
      <c r="T18" s="39"/>
      <c r="U18" s="39">
        <f t="shared" si="5"/>
        <v>5</v>
      </c>
      <c r="V18" s="39">
        <f t="shared" si="6"/>
        <v>4</v>
      </c>
      <c r="W18" s="30">
        <f t="shared" si="9"/>
        <v>14</v>
      </c>
    </row>
    <row r="19">
      <c r="A19" s="30">
        <f t="shared" si="7"/>
        <v>15</v>
      </c>
      <c r="B19" s="51" t="s">
        <v>84</v>
      </c>
      <c r="C19" s="32">
        <v>279.0</v>
      </c>
      <c r="D19" s="32">
        <v>17.0</v>
      </c>
      <c r="E19" s="35">
        <f t="shared" si="2"/>
        <v>12.33333333</v>
      </c>
      <c r="F19" s="37">
        <v>1.0</v>
      </c>
      <c r="G19" s="39">
        <v>3.0</v>
      </c>
      <c r="H19" s="40">
        <v>0.0</v>
      </c>
      <c r="I19" s="39">
        <v>6.0</v>
      </c>
      <c r="J19" s="39">
        <v>4.0</v>
      </c>
      <c r="K19" s="39">
        <v>4.0</v>
      </c>
      <c r="L19" s="42">
        <v>14.0</v>
      </c>
      <c r="M19" s="39">
        <v>1.0</v>
      </c>
      <c r="N19" s="32">
        <f t="shared" ref="N19:O19" si="21">C19+L19</f>
        <v>293</v>
      </c>
      <c r="O19" s="32">
        <f t="shared" si="21"/>
        <v>18</v>
      </c>
      <c r="P19" s="43" t="s">
        <v>53</v>
      </c>
      <c r="Q19" s="43" t="s">
        <v>53</v>
      </c>
      <c r="R19" s="43"/>
      <c r="S19" s="39">
        <f t="shared" si="4"/>
        <v>3</v>
      </c>
      <c r="T19" s="39"/>
      <c r="U19" s="39">
        <f t="shared" si="5"/>
        <v>2</v>
      </c>
      <c r="V19" s="39">
        <f t="shared" si="6"/>
        <v>2</v>
      </c>
      <c r="W19" s="30">
        <f t="shared" si="9"/>
        <v>15</v>
      </c>
    </row>
    <row r="20">
      <c r="A20" s="30">
        <f t="shared" si="7"/>
        <v>16</v>
      </c>
      <c r="B20" s="31" t="s">
        <v>34</v>
      </c>
      <c r="C20" s="32">
        <v>277.0</v>
      </c>
      <c r="D20" s="32">
        <v>28.0</v>
      </c>
      <c r="E20" s="35">
        <f t="shared" si="2"/>
        <v>13.11764706</v>
      </c>
      <c r="F20" s="37">
        <v>1.0</v>
      </c>
      <c r="G20" s="39">
        <v>3.0</v>
      </c>
      <c r="H20" s="40">
        <v>0.0</v>
      </c>
      <c r="I20" s="39">
        <v>6.0</v>
      </c>
      <c r="J20" s="39">
        <v>6.0</v>
      </c>
      <c r="K20" s="39">
        <v>6.0</v>
      </c>
      <c r="L20" s="42">
        <v>18.0</v>
      </c>
      <c r="M20" s="39">
        <v>3.0</v>
      </c>
      <c r="N20" s="32">
        <f t="shared" ref="N20:O20" si="22">C20+L20</f>
        <v>295</v>
      </c>
      <c r="O20" s="32">
        <f t="shared" si="22"/>
        <v>31</v>
      </c>
      <c r="P20" s="43" t="s">
        <v>53</v>
      </c>
      <c r="Q20" s="43" t="s">
        <v>53</v>
      </c>
      <c r="R20" s="43" t="s">
        <v>53</v>
      </c>
      <c r="S20" s="39">
        <f t="shared" si="4"/>
        <v>0</v>
      </c>
      <c r="T20" s="39"/>
      <c r="U20" s="39">
        <f t="shared" si="5"/>
        <v>6</v>
      </c>
      <c r="V20" s="39">
        <f t="shared" si="6"/>
        <v>-5</v>
      </c>
      <c r="W20" s="30">
        <f t="shared" si="9"/>
        <v>16</v>
      </c>
    </row>
    <row r="21">
      <c r="A21" s="30">
        <f t="shared" si="7"/>
        <v>17</v>
      </c>
      <c r="B21" s="31" t="s">
        <v>91</v>
      </c>
      <c r="C21" s="32">
        <v>275.0</v>
      </c>
      <c r="D21" s="32">
        <v>23.0</v>
      </c>
      <c r="E21" s="35">
        <f t="shared" si="2"/>
        <v>13.26666667</v>
      </c>
      <c r="F21" s="37">
        <v>3.0</v>
      </c>
      <c r="G21" s="39">
        <v>0.0</v>
      </c>
      <c r="H21" s="40">
        <v>9.0</v>
      </c>
      <c r="I21" s="39">
        <v>0.0</v>
      </c>
      <c r="J21" s="39">
        <v>0.0</v>
      </c>
      <c r="K21" s="39">
        <v>0.0</v>
      </c>
      <c r="L21" s="42">
        <v>9.0</v>
      </c>
      <c r="M21" s="39">
        <v>0.0</v>
      </c>
      <c r="N21" s="32">
        <f t="shared" ref="N21:O21" si="23">C21+L21</f>
        <v>284</v>
      </c>
      <c r="O21" s="32">
        <f t="shared" si="23"/>
        <v>23</v>
      </c>
      <c r="P21" s="43" t="s">
        <v>53</v>
      </c>
      <c r="Q21" s="43" t="s">
        <v>53</v>
      </c>
      <c r="R21" s="43" t="s">
        <v>53</v>
      </c>
      <c r="S21" s="39">
        <f t="shared" si="4"/>
        <v>1</v>
      </c>
      <c r="T21" s="39"/>
      <c r="U21" s="39">
        <f t="shared" si="5"/>
        <v>7</v>
      </c>
      <c r="V21" s="39">
        <f t="shared" si="6"/>
        <v>-4</v>
      </c>
      <c r="W21" s="30">
        <f t="shared" si="9"/>
        <v>17</v>
      </c>
    </row>
    <row r="22">
      <c r="A22" s="30">
        <f t="shared" si="7"/>
        <v>18</v>
      </c>
      <c r="B22" s="31" t="s">
        <v>89</v>
      </c>
      <c r="C22" s="32">
        <v>275.0</v>
      </c>
      <c r="D22" s="32">
        <v>18.0</v>
      </c>
      <c r="E22" s="35">
        <f t="shared" si="2"/>
        <v>15.85714286</v>
      </c>
      <c r="F22" s="37">
        <v>3.0</v>
      </c>
      <c r="G22" s="39">
        <v>0.0</v>
      </c>
      <c r="H22" s="40">
        <v>9.0</v>
      </c>
      <c r="I22" s="39">
        <v>0.0</v>
      </c>
      <c r="J22" s="39">
        <v>0.0</v>
      </c>
      <c r="K22" s="39">
        <v>0.0</v>
      </c>
      <c r="L22" s="42">
        <v>9.0</v>
      </c>
      <c r="M22" s="39">
        <v>0.0</v>
      </c>
      <c r="N22" s="32">
        <f t="shared" ref="N22:O22" si="24">C22+L22</f>
        <v>284</v>
      </c>
      <c r="O22" s="32">
        <f t="shared" si="24"/>
        <v>18</v>
      </c>
      <c r="P22" s="43" t="s">
        <v>53</v>
      </c>
      <c r="Q22" s="43" t="s">
        <v>53</v>
      </c>
      <c r="R22" s="43" t="s">
        <v>53</v>
      </c>
      <c r="S22" s="39">
        <f t="shared" si="4"/>
        <v>5</v>
      </c>
      <c r="T22" s="39"/>
      <c r="U22" s="39">
        <f t="shared" si="5"/>
        <v>11</v>
      </c>
      <c r="V22" s="39">
        <f t="shared" si="6"/>
        <v>3</v>
      </c>
      <c r="W22" s="30">
        <f t="shared" si="9"/>
        <v>18</v>
      </c>
    </row>
    <row r="23">
      <c r="A23" s="30">
        <f t="shared" si="7"/>
        <v>19</v>
      </c>
      <c r="B23" s="31" t="s">
        <v>90</v>
      </c>
      <c r="C23" s="32">
        <v>273.0</v>
      </c>
      <c r="D23" s="32">
        <v>19.0</v>
      </c>
      <c r="E23" s="35">
        <f t="shared" si="2"/>
        <v>13.5</v>
      </c>
      <c r="F23" s="37">
        <v>3.0</v>
      </c>
      <c r="G23" s="39">
        <v>0.0</v>
      </c>
      <c r="H23" s="40">
        <v>9.0</v>
      </c>
      <c r="I23" s="39">
        <v>0.0</v>
      </c>
      <c r="J23" s="39">
        <v>0.0</v>
      </c>
      <c r="K23" s="39">
        <v>0.0</v>
      </c>
      <c r="L23" s="42">
        <v>9.0</v>
      </c>
      <c r="M23" s="39">
        <v>0.0</v>
      </c>
      <c r="N23" s="32">
        <f t="shared" ref="N23:O23" si="25">C23+L23</f>
        <v>282</v>
      </c>
      <c r="O23" s="32">
        <f t="shared" si="25"/>
        <v>19</v>
      </c>
      <c r="P23" s="43" t="s">
        <v>53</v>
      </c>
      <c r="Q23" s="43" t="s">
        <v>53</v>
      </c>
      <c r="R23" s="43" t="s">
        <v>53</v>
      </c>
      <c r="S23" s="39">
        <f t="shared" si="4"/>
        <v>3</v>
      </c>
      <c r="T23" s="39"/>
      <c r="U23" s="39">
        <f t="shared" si="5"/>
        <v>8</v>
      </c>
      <c r="V23" s="39">
        <f t="shared" si="6"/>
        <v>-4</v>
      </c>
      <c r="W23" s="30">
        <f t="shared" si="9"/>
        <v>19</v>
      </c>
    </row>
    <row r="24">
      <c r="A24" s="30">
        <f t="shared" si="7"/>
        <v>20</v>
      </c>
      <c r="B24" s="31" t="s">
        <v>63</v>
      </c>
      <c r="C24" s="32">
        <v>272.0</v>
      </c>
      <c r="D24" s="32">
        <v>22.0</v>
      </c>
      <c r="E24" s="35">
        <f t="shared" si="2"/>
        <v>15.33333333</v>
      </c>
      <c r="F24" s="37">
        <v>1.0</v>
      </c>
      <c r="G24" s="39">
        <v>4.0</v>
      </c>
      <c r="H24" s="40">
        <v>0.0</v>
      </c>
      <c r="I24" s="39">
        <v>4.0</v>
      </c>
      <c r="J24" s="39">
        <v>6.0</v>
      </c>
      <c r="K24" s="39">
        <v>7.0</v>
      </c>
      <c r="L24" s="42">
        <v>17.0</v>
      </c>
      <c r="M24" s="39">
        <v>2.0</v>
      </c>
      <c r="N24" s="32">
        <f t="shared" ref="N24:O24" si="26">C24+L24</f>
        <v>289</v>
      </c>
      <c r="O24" s="32">
        <f t="shared" si="26"/>
        <v>24</v>
      </c>
      <c r="P24" s="43" t="s">
        <v>53</v>
      </c>
      <c r="Q24" s="43" t="s">
        <v>53</v>
      </c>
      <c r="R24" s="43" t="s">
        <v>53</v>
      </c>
      <c r="S24" s="39">
        <f t="shared" si="4"/>
        <v>2</v>
      </c>
      <c r="T24" s="39"/>
      <c r="U24" s="39">
        <f t="shared" si="5"/>
        <v>12</v>
      </c>
      <c r="V24" s="39">
        <f t="shared" si="6"/>
        <v>5</v>
      </c>
      <c r="W24" s="30">
        <f t="shared" si="9"/>
        <v>20</v>
      </c>
    </row>
    <row r="25">
      <c r="A25" s="30">
        <f t="shared" si="7"/>
        <v>21</v>
      </c>
      <c r="B25" s="31" t="s">
        <v>98</v>
      </c>
      <c r="C25" s="32">
        <v>270.0</v>
      </c>
      <c r="D25" s="32">
        <v>19.0</v>
      </c>
      <c r="E25" s="35">
        <f t="shared" si="2"/>
        <v>13.23076923</v>
      </c>
      <c r="F25" s="37">
        <v>3.0</v>
      </c>
      <c r="G25" s="39">
        <v>0.0</v>
      </c>
      <c r="H25" s="40">
        <v>9.0</v>
      </c>
      <c r="I25" s="39">
        <v>0.0</v>
      </c>
      <c r="J25" s="39">
        <v>0.0</v>
      </c>
      <c r="K25" s="39">
        <v>0.0</v>
      </c>
      <c r="L25" s="42">
        <v>9.0</v>
      </c>
      <c r="M25" s="39">
        <v>0.0</v>
      </c>
      <c r="N25" s="32">
        <f t="shared" ref="N25:O25" si="27">C25+L25</f>
        <v>279</v>
      </c>
      <c r="O25" s="32">
        <f t="shared" si="27"/>
        <v>19</v>
      </c>
      <c r="P25" s="43" t="s">
        <v>53</v>
      </c>
      <c r="Q25" s="43" t="s">
        <v>53</v>
      </c>
      <c r="R25" s="43" t="s">
        <v>53</v>
      </c>
      <c r="S25" s="39">
        <f t="shared" si="4"/>
        <v>2</v>
      </c>
      <c r="T25" s="39"/>
      <c r="U25" s="39">
        <f t="shared" si="5"/>
        <v>8</v>
      </c>
      <c r="V25" s="39">
        <f t="shared" si="6"/>
        <v>-1</v>
      </c>
      <c r="W25" s="30">
        <f t="shared" si="9"/>
        <v>21</v>
      </c>
    </row>
    <row r="26">
      <c r="A26" s="30">
        <f t="shared" si="7"/>
        <v>22</v>
      </c>
      <c r="B26" s="51" t="s">
        <v>100</v>
      </c>
      <c r="C26" s="32">
        <v>269.0</v>
      </c>
      <c r="D26" s="32">
        <v>19.0</v>
      </c>
      <c r="E26" s="35">
        <f t="shared" si="2"/>
        <v>13.90909091</v>
      </c>
      <c r="F26" s="37">
        <v>3.0</v>
      </c>
      <c r="G26" s="39">
        <v>0.0</v>
      </c>
      <c r="H26" s="40">
        <v>9.0</v>
      </c>
      <c r="I26" s="39">
        <v>0.0</v>
      </c>
      <c r="J26" s="39">
        <v>0.0</v>
      </c>
      <c r="K26" s="39">
        <v>0.0</v>
      </c>
      <c r="L26" s="42">
        <v>9.0</v>
      </c>
      <c r="M26" s="39">
        <v>0.0</v>
      </c>
      <c r="N26" s="32">
        <f t="shared" ref="N26:O26" si="28">C26+L26</f>
        <v>278</v>
      </c>
      <c r="O26" s="32">
        <f t="shared" si="28"/>
        <v>19</v>
      </c>
      <c r="P26" s="43" t="s">
        <v>53</v>
      </c>
      <c r="Q26" s="43" t="s">
        <v>53</v>
      </c>
      <c r="R26" s="43" t="s">
        <v>53</v>
      </c>
      <c r="S26" s="39">
        <f t="shared" si="4"/>
        <v>2</v>
      </c>
      <c r="T26" s="39"/>
      <c r="U26" s="39">
        <f t="shared" si="5"/>
        <v>10</v>
      </c>
      <c r="V26" s="39">
        <f t="shared" si="6"/>
        <v>-3</v>
      </c>
      <c r="W26" s="30">
        <f t="shared" si="9"/>
        <v>22</v>
      </c>
    </row>
    <row r="27">
      <c r="A27" s="30">
        <f t="shared" si="7"/>
        <v>23</v>
      </c>
      <c r="B27" s="51" t="s">
        <v>94</v>
      </c>
      <c r="C27" s="32">
        <v>264.0</v>
      </c>
      <c r="D27" s="32">
        <v>15.0</v>
      </c>
      <c r="E27" s="35">
        <f t="shared" si="2"/>
        <v>13.45454545</v>
      </c>
      <c r="F27" s="37">
        <v>3.0</v>
      </c>
      <c r="G27" s="39">
        <v>0.0</v>
      </c>
      <c r="H27" s="40">
        <v>9.0</v>
      </c>
      <c r="I27" s="39">
        <v>0.0</v>
      </c>
      <c r="J27" s="39">
        <v>0.0</v>
      </c>
      <c r="K27" s="39">
        <v>0.0</v>
      </c>
      <c r="L27" s="42">
        <v>9.0</v>
      </c>
      <c r="M27" s="39">
        <v>0.0</v>
      </c>
      <c r="N27" s="32">
        <f t="shared" ref="N27:O27" si="29">C27+L27</f>
        <v>273</v>
      </c>
      <c r="O27" s="32">
        <f t="shared" si="29"/>
        <v>15</v>
      </c>
      <c r="P27" s="43" t="s">
        <v>53</v>
      </c>
      <c r="Q27" s="43" t="s">
        <v>53</v>
      </c>
      <c r="R27" s="43" t="s">
        <v>53</v>
      </c>
      <c r="S27" s="39">
        <f t="shared" si="4"/>
        <v>2</v>
      </c>
      <c r="T27" s="39"/>
      <c r="U27" s="39">
        <f t="shared" si="5"/>
        <v>10</v>
      </c>
      <c r="V27" s="39">
        <f t="shared" si="6"/>
        <v>-1</v>
      </c>
      <c r="W27" s="30">
        <f t="shared" si="9"/>
        <v>23</v>
      </c>
    </row>
    <row r="28">
      <c r="A28" s="30">
        <f t="shared" si="7"/>
        <v>24</v>
      </c>
      <c r="B28" s="31" t="s">
        <v>96</v>
      </c>
      <c r="C28" s="32">
        <v>263.0</v>
      </c>
      <c r="D28" s="32">
        <v>21.0</v>
      </c>
      <c r="E28" s="35">
        <f t="shared" si="2"/>
        <v>13</v>
      </c>
      <c r="F28" s="37">
        <v>3.0</v>
      </c>
      <c r="G28" s="39">
        <v>0.0</v>
      </c>
      <c r="H28" s="40">
        <v>9.0</v>
      </c>
      <c r="I28" s="39">
        <v>0.0</v>
      </c>
      <c r="J28" s="39">
        <v>0.0</v>
      </c>
      <c r="K28" s="39">
        <v>0.0</v>
      </c>
      <c r="L28" s="42">
        <v>9.0</v>
      </c>
      <c r="M28" s="39">
        <v>0.0</v>
      </c>
      <c r="N28" s="32">
        <f t="shared" ref="N28:O28" si="30">C28+L28</f>
        <v>272</v>
      </c>
      <c r="O28" s="32">
        <f t="shared" si="30"/>
        <v>21</v>
      </c>
      <c r="P28" s="43" t="s">
        <v>53</v>
      </c>
      <c r="Q28" s="43" t="s">
        <v>53</v>
      </c>
      <c r="R28" s="43" t="s">
        <v>53</v>
      </c>
      <c r="S28" s="39">
        <f t="shared" si="4"/>
        <v>2</v>
      </c>
      <c r="T28" s="39"/>
      <c r="U28" s="39">
        <f t="shared" si="5"/>
        <v>9</v>
      </c>
      <c r="V28" s="39">
        <f t="shared" si="6"/>
        <v>0</v>
      </c>
      <c r="W28" s="30">
        <f t="shared" si="9"/>
        <v>24</v>
      </c>
    </row>
    <row r="29">
      <c r="A29" s="30">
        <f t="shared" si="7"/>
        <v>25</v>
      </c>
      <c r="B29" s="51" t="s">
        <v>93</v>
      </c>
      <c r="C29" s="32">
        <v>262.0</v>
      </c>
      <c r="D29" s="32">
        <v>21.0</v>
      </c>
      <c r="E29" s="35">
        <f t="shared" si="2"/>
        <v>11.5</v>
      </c>
      <c r="F29" s="37">
        <v>1.0</v>
      </c>
      <c r="G29" s="39">
        <v>4.0</v>
      </c>
      <c r="H29" s="40">
        <v>0.0</v>
      </c>
      <c r="I29" s="39">
        <v>6.0</v>
      </c>
      <c r="J29" s="39">
        <v>2.0</v>
      </c>
      <c r="K29" s="39">
        <v>7.0</v>
      </c>
      <c r="L29" s="42">
        <v>15.0</v>
      </c>
      <c r="M29" s="39">
        <v>2.0</v>
      </c>
      <c r="N29" s="32">
        <f t="shared" ref="N29:O29" si="31">C29+L29</f>
        <v>277</v>
      </c>
      <c r="O29" s="32">
        <f t="shared" si="31"/>
        <v>23</v>
      </c>
      <c r="P29" s="43" t="s">
        <v>53</v>
      </c>
      <c r="Q29" s="43" t="s">
        <v>53</v>
      </c>
      <c r="R29" s="43" t="s">
        <v>53</v>
      </c>
      <c r="S29" s="39">
        <f t="shared" si="4"/>
        <v>0</v>
      </c>
      <c r="T29" s="39"/>
      <c r="U29" s="39">
        <f t="shared" si="5"/>
        <v>1</v>
      </c>
      <c r="V29" s="39">
        <f t="shared" si="6"/>
        <v>-2</v>
      </c>
      <c r="W29" s="30">
        <f t="shared" si="9"/>
        <v>25</v>
      </c>
    </row>
    <row r="30">
      <c r="A30" s="30">
        <f t="shared" si="7"/>
        <v>26</v>
      </c>
      <c r="B30" s="51" t="s">
        <v>95</v>
      </c>
      <c r="C30" s="32">
        <v>262.0</v>
      </c>
      <c r="D30" s="32">
        <v>19.0</v>
      </c>
      <c r="E30" s="35">
        <f t="shared" si="2"/>
        <v>14.1</v>
      </c>
      <c r="F30" s="37">
        <v>3.0</v>
      </c>
      <c r="G30" s="39">
        <v>0.0</v>
      </c>
      <c r="H30" s="40">
        <v>9.0</v>
      </c>
      <c r="I30" s="39">
        <v>0.0</v>
      </c>
      <c r="J30" s="39">
        <v>0.0</v>
      </c>
      <c r="K30" s="39">
        <v>0.0</v>
      </c>
      <c r="L30" s="42">
        <v>9.0</v>
      </c>
      <c r="M30" s="39">
        <v>0.0</v>
      </c>
      <c r="N30" s="32">
        <f t="shared" ref="N30:O30" si="32">C30+L30</f>
        <v>271</v>
      </c>
      <c r="O30" s="32">
        <f t="shared" si="32"/>
        <v>19</v>
      </c>
      <c r="P30" s="43" t="s">
        <v>53</v>
      </c>
      <c r="Q30" s="43" t="s">
        <v>53</v>
      </c>
      <c r="R30" s="43" t="s">
        <v>53</v>
      </c>
      <c r="S30" s="39">
        <f t="shared" si="4"/>
        <v>1</v>
      </c>
      <c r="T30" s="39"/>
      <c r="U30" s="39">
        <f t="shared" si="5"/>
        <v>12</v>
      </c>
      <c r="V30" s="39">
        <f t="shared" si="6"/>
        <v>0</v>
      </c>
      <c r="W30" s="30">
        <f t="shared" si="9"/>
        <v>26</v>
      </c>
    </row>
    <row r="31">
      <c r="A31" s="30">
        <f t="shared" si="7"/>
        <v>27</v>
      </c>
      <c r="B31" s="31" t="s">
        <v>97</v>
      </c>
      <c r="C31" s="32">
        <v>260.0</v>
      </c>
      <c r="D31" s="32">
        <v>18.0</v>
      </c>
      <c r="E31" s="35">
        <f t="shared" si="2"/>
        <v>12.76923077</v>
      </c>
      <c r="F31" s="37">
        <v>1.0</v>
      </c>
      <c r="G31" s="39">
        <v>4.0</v>
      </c>
      <c r="H31" s="40">
        <v>0.0</v>
      </c>
      <c r="I31" s="39">
        <v>6.0</v>
      </c>
      <c r="J31" s="39">
        <v>6.0</v>
      </c>
      <c r="K31" s="39">
        <v>5.0</v>
      </c>
      <c r="L31" s="42">
        <v>17.0</v>
      </c>
      <c r="M31" s="39">
        <v>2.0</v>
      </c>
      <c r="N31" s="32">
        <f t="shared" ref="N31:O31" si="33">C31+L31</f>
        <v>277</v>
      </c>
      <c r="O31" s="32">
        <f t="shared" si="33"/>
        <v>20</v>
      </c>
      <c r="P31" s="43" t="s">
        <v>53</v>
      </c>
      <c r="Q31" s="43" t="s">
        <v>53</v>
      </c>
      <c r="R31" s="43" t="s">
        <v>53</v>
      </c>
      <c r="S31" s="39">
        <f t="shared" si="4"/>
        <v>1</v>
      </c>
      <c r="T31" s="39"/>
      <c r="U31" s="39">
        <f t="shared" si="5"/>
        <v>9</v>
      </c>
      <c r="V31" s="39">
        <f t="shared" si="6"/>
        <v>0</v>
      </c>
      <c r="W31" s="30">
        <f t="shared" si="9"/>
        <v>27</v>
      </c>
    </row>
    <row r="32">
      <c r="A32" s="30">
        <f t="shared" si="7"/>
        <v>28</v>
      </c>
      <c r="B32" s="51" t="s">
        <v>76</v>
      </c>
      <c r="C32" s="32">
        <v>258.0</v>
      </c>
      <c r="D32" s="32">
        <v>24.0</v>
      </c>
      <c r="E32" s="35">
        <f t="shared" si="2"/>
        <v>12.4</v>
      </c>
      <c r="F32" s="37">
        <v>1.0</v>
      </c>
      <c r="G32" s="39">
        <v>4.0</v>
      </c>
      <c r="H32" s="40">
        <v>0.0</v>
      </c>
      <c r="I32" s="39">
        <v>4.0</v>
      </c>
      <c r="J32" s="39">
        <v>2.0</v>
      </c>
      <c r="K32" s="39">
        <v>5.0</v>
      </c>
      <c r="L32" s="42">
        <v>11.0</v>
      </c>
      <c r="M32" s="39">
        <v>0.0</v>
      </c>
      <c r="N32" s="32">
        <f t="shared" ref="N32:O32" si="34">C32+L32</f>
        <v>269</v>
      </c>
      <c r="O32" s="32">
        <f t="shared" si="34"/>
        <v>24</v>
      </c>
      <c r="P32" s="43" t="s">
        <v>53</v>
      </c>
      <c r="Q32" s="43" t="s">
        <v>53</v>
      </c>
      <c r="R32" s="43" t="s">
        <v>53</v>
      </c>
      <c r="S32" s="39">
        <f t="shared" si="4"/>
        <v>0</v>
      </c>
      <c r="T32" s="39"/>
      <c r="U32" s="39">
        <f t="shared" si="5"/>
        <v>8</v>
      </c>
      <c r="V32" s="39">
        <f t="shared" si="6"/>
        <v>2</v>
      </c>
      <c r="W32" s="30">
        <f t="shared" si="9"/>
        <v>28</v>
      </c>
    </row>
    <row r="33">
      <c r="A33" s="30">
        <f t="shared" si="7"/>
        <v>29</v>
      </c>
      <c r="B33" s="56" t="s">
        <v>101</v>
      </c>
      <c r="C33" s="32">
        <v>258.0</v>
      </c>
      <c r="D33" s="32">
        <v>17.0</v>
      </c>
      <c r="E33" s="35">
        <f t="shared" si="2"/>
        <v>12.64285714</v>
      </c>
      <c r="F33" s="37">
        <v>3.0</v>
      </c>
      <c r="G33" s="39">
        <v>0.0</v>
      </c>
      <c r="H33" s="40">
        <v>9.0</v>
      </c>
      <c r="I33" s="39">
        <v>0.0</v>
      </c>
      <c r="J33" s="39">
        <v>0.0</v>
      </c>
      <c r="K33" s="39">
        <v>0.0</v>
      </c>
      <c r="L33" s="42">
        <v>9.0</v>
      </c>
      <c r="M33" s="39">
        <v>0.0</v>
      </c>
      <c r="N33" s="32">
        <f t="shared" ref="N33:O33" si="35">C33+L33</f>
        <v>267</v>
      </c>
      <c r="O33" s="32">
        <f t="shared" si="35"/>
        <v>17</v>
      </c>
      <c r="P33" s="43" t="s">
        <v>53</v>
      </c>
      <c r="Q33" s="43" t="s">
        <v>53</v>
      </c>
      <c r="R33" s="43" t="s">
        <v>53</v>
      </c>
      <c r="S33" s="39">
        <f t="shared" si="4"/>
        <v>0</v>
      </c>
      <c r="T33" s="39"/>
      <c r="U33" s="39">
        <f t="shared" si="5"/>
        <v>9</v>
      </c>
      <c r="V33" s="39">
        <f t="shared" si="6"/>
        <v>0</v>
      </c>
      <c r="W33" s="30">
        <f t="shared" si="9"/>
        <v>29</v>
      </c>
    </row>
    <row r="34">
      <c r="A34" s="30">
        <f t="shared" si="7"/>
        <v>30</v>
      </c>
      <c r="B34" s="31" t="s">
        <v>73</v>
      </c>
      <c r="C34" s="32">
        <v>256.0</v>
      </c>
      <c r="D34" s="32">
        <v>14.0</v>
      </c>
      <c r="E34" s="35">
        <f t="shared" si="2"/>
        <v>12.36363636</v>
      </c>
      <c r="F34" s="37">
        <v>1.0</v>
      </c>
      <c r="G34" s="39">
        <v>5.0</v>
      </c>
      <c r="H34" s="40">
        <v>0.0</v>
      </c>
      <c r="I34" s="39">
        <v>0.0</v>
      </c>
      <c r="J34" s="39">
        <v>1.0</v>
      </c>
      <c r="K34" s="39">
        <v>6.0</v>
      </c>
      <c r="L34" s="42">
        <v>7.0</v>
      </c>
      <c r="M34" s="39">
        <v>1.0</v>
      </c>
      <c r="N34" s="32">
        <f t="shared" ref="N34:O34" si="36">C34+L34</f>
        <v>263</v>
      </c>
      <c r="O34" s="32">
        <f t="shared" si="36"/>
        <v>15</v>
      </c>
      <c r="P34" s="43" t="s">
        <v>53</v>
      </c>
      <c r="Q34" s="43" t="s">
        <v>53</v>
      </c>
      <c r="R34" s="43" t="s">
        <v>53</v>
      </c>
      <c r="S34" s="39">
        <f t="shared" si="4"/>
        <v>3</v>
      </c>
      <c r="T34" s="39"/>
      <c r="U34" s="39">
        <f t="shared" si="5"/>
        <v>9</v>
      </c>
      <c r="V34" s="39">
        <f t="shared" si="6"/>
        <v>-2</v>
      </c>
      <c r="W34" s="30">
        <f t="shared" si="9"/>
        <v>30</v>
      </c>
    </row>
    <row r="35">
      <c r="A35" s="30">
        <f t="shared" si="7"/>
        <v>31</v>
      </c>
      <c r="B35" s="51" t="s">
        <v>99</v>
      </c>
      <c r="C35" s="32">
        <v>254.0</v>
      </c>
      <c r="D35" s="32">
        <v>18.0</v>
      </c>
      <c r="E35" s="35">
        <f t="shared" si="2"/>
        <v>11.52941176</v>
      </c>
      <c r="F35" s="37">
        <v>1.0</v>
      </c>
      <c r="G35" s="39">
        <v>5.0</v>
      </c>
      <c r="H35" s="40">
        <v>0.0</v>
      </c>
      <c r="I35" s="39">
        <v>6.0</v>
      </c>
      <c r="J35" s="39">
        <v>1.0</v>
      </c>
      <c r="K35" s="39">
        <v>4.0</v>
      </c>
      <c r="L35" s="42">
        <v>11.0</v>
      </c>
      <c r="M35" s="39">
        <v>1.0</v>
      </c>
      <c r="N35" s="32">
        <f t="shared" ref="N35:O35" si="37">C35+L35</f>
        <v>265</v>
      </c>
      <c r="O35" s="32">
        <f t="shared" si="37"/>
        <v>19</v>
      </c>
      <c r="P35" s="43" t="s">
        <v>53</v>
      </c>
      <c r="Q35" s="43" t="s">
        <v>53</v>
      </c>
      <c r="R35" s="43" t="s">
        <v>53</v>
      </c>
      <c r="S35" s="39">
        <f t="shared" si="4"/>
        <v>1</v>
      </c>
      <c r="T35" s="39"/>
      <c r="U35" s="39">
        <f t="shared" si="5"/>
        <v>5</v>
      </c>
      <c r="V35" s="39">
        <f t="shared" si="6"/>
        <v>0</v>
      </c>
      <c r="W35" s="30">
        <f t="shared" si="9"/>
        <v>31</v>
      </c>
    </row>
    <row r="36">
      <c r="A36" s="30">
        <f t="shared" si="7"/>
        <v>32</v>
      </c>
      <c r="B36" s="31" t="s">
        <v>105</v>
      </c>
      <c r="C36" s="32">
        <v>251.0</v>
      </c>
      <c r="D36" s="32">
        <v>11.0</v>
      </c>
      <c r="E36" s="35">
        <f t="shared" si="2"/>
        <v>13</v>
      </c>
      <c r="F36" s="37">
        <v>3.0</v>
      </c>
      <c r="G36" s="39">
        <v>0.0</v>
      </c>
      <c r="H36" s="40">
        <v>9.0</v>
      </c>
      <c r="I36" s="39">
        <v>0.0</v>
      </c>
      <c r="J36" s="39">
        <v>0.0</v>
      </c>
      <c r="K36" s="39">
        <v>0.0</v>
      </c>
      <c r="L36" s="42">
        <v>9.0</v>
      </c>
      <c r="M36" s="39">
        <v>0.0</v>
      </c>
      <c r="N36" s="32">
        <f t="shared" ref="N36:O36" si="38">C36+L36</f>
        <v>260</v>
      </c>
      <c r="O36" s="32">
        <f t="shared" si="38"/>
        <v>11</v>
      </c>
      <c r="P36" s="43" t="s">
        <v>53</v>
      </c>
      <c r="Q36" s="43" t="s">
        <v>53</v>
      </c>
      <c r="R36" s="43" t="s">
        <v>53</v>
      </c>
      <c r="S36" s="39">
        <f t="shared" si="4"/>
        <v>1</v>
      </c>
      <c r="T36" s="39"/>
      <c r="U36" s="39">
        <f t="shared" si="5"/>
        <v>12</v>
      </c>
      <c r="V36" s="39">
        <f t="shared" si="6"/>
        <v>0</v>
      </c>
      <c r="W36" s="30">
        <f t="shared" si="9"/>
        <v>32</v>
      </c>
    </row>
    <row r="37">
      <c r="A37" s="30">
        <f t="shared" si="7"/>
        <v>33</v>
      </c>
      <c r="B37" s="31" t="s">
        <v>106</v>
      </c>
      <c r="C37" s="32">
        <v>249.0</v>
      </c>
      <c r="D37" s="32">
        <v>15.0</v>
      </c>
      <c r="E37" s="35">
        <f t="shared" si="2"/>
        <v>15</v>
      </c>
      <c r="F37" s="37">
        <v>3.0</v>
      </c>
      <c r="G37" s="39">
        <v>0.0</v>
      </c>
      <c r="H37" s="40">
        <v>9.0</v>
      </c>
      <c r="I37" s="39">
        <v>0.0</v>
      </c>
      <c r="J37" s="39">
        <v>0.0</v>
      </c>
      <c r="K37" s="39">
        <v>0.0</v>
      </c>
      <c r="L37" s="42">
        <v>9.0</v>
      </c>
      <c r="M37" s="39">
        <v>0.0</v>
      </c>
      <c r="N37" s="32">
        <f t="shared" ref="N37:O37" si="39">C37+L37</f>
        <v>258</v>
      </c>
      <c r="O37" s="32">
        <f t="shared" si="39"/>
        <v>15</v>
      </c>
      <c r="P37" s="43" t="s">
        <v>53</v>
      </c>
      <c r="Q37" s="43" t="s">
        <v>53</v>
      </c>
      <c r="R37" s="43" t="s">
        <v>88</v>
      </c>
      <c r="S37" s="39">
        <f t="shared" si="4"/>
        <v>0</v>
      </c>
      <c r="T37" s="39"/>
      <c r="U37" s="39">
        <f t="shared" si="5"/>
        <v>16</v>
      </c>
      <c r="V37" s="39">
        <f t="shared" si="6"/>
        <v>1</v>
      </c>
      <c r="W37" s="30">
        <f t="shared" si="9"/>
        <v>33</v>
      </c>
    </row>
    <row r="38">
      <c r="A38" s="30">
        <f t="shared" si="7"/>
        <v>34</v>
      </c>
      <c r="B38" s="51" t="s">
        <v>103</v>
      </c>
      <c r="C38" s="32">
        <v>249.0</v>
      </c>
      <c r="D38" s="32">
        <v>15.0</v>
      </c>
      <c r="E38" s="35">
        <f t="shared" si="2"/>
        <v>12.4</v>
      </c>
      <c r="F38" s="37">
        <v>1.0</v>
      </c>
      <c r="G38" s="39">
        <v>5.0</v>
      </c>
      <c r="H38" s="40">
        <v>0.0</v>
      </c>
      <c r="I38" s="39">
        <v>6.0</v>
      </c>
      <c r="J38" s="39">
        <v>6.0</v>
      </c>
      <c r="K38" s="39">
        <v>6.0</v>
      </c>
      <c r="L38" s="42">
        <v>18.0</v>
      </c>
      <c r="M38" s="39">
        <v>3.0</v>
      </c>
      <c r="N38" s="32">
        <f t="shared" ref="N38:O38" si="40">C38+L38</f>
        <v>267</v>
      </c>
      <c r="O38" s="32">
        <f t="shared" si="40"/>
        <v>18</v>
      </c>
      <c r="P38" s="43" t="s">
        <v>53</v>
      </c>
      <c r="Q38" s="43" t="s">
        <v>53</v>
      </c>
      <c r="R38" s="43" t="s">
        <v>53</v>
      </c>
      <c r="S38" s="39">
        <f t="shared" si="4"/>
        <v>2</v>
      </c>
      <c r="T38" s="39"/>
      <c r="U38" s="39">
        <f t="shared" si="5"/>
        <v>11</v>
      </c>
      <c r="V38" s="39">
        <f t="shared" si="6"/>
        <v>-1</v>
      </c>
      <c r="W38" s="30">
        <f t="shared" si="9"/>
        <v>34</v>
      </c>
    </row>
    <row r="39">
      <c r="A39" s="30">
        <f t="shared" si="7"/>
        <v>35</v>
      </c>
      <c r="B39" s="51" t="s">
        <v>108</v>
      </c>
      <c r="C39" s="32">
        <v>246.0</v>
      </c>
      <c r="D39" s="32">
        <v>13.0</v>
      </c>
      <c r="E39" s="35">
        <f t="shared" si="2"/>
        <v>14.16666667</v>
      </c>
      <c r="F39" s="37">
        <v>3.0</v>
      </c>
      <c r="G39" s="39">
        <v>0.0</v>
      </c>
      <c r="H39" s="40">
        <v>9.0</v>
      </c>
      <c r="I39" s="39">
        <v>0.0</v>
      </c>
      <c r="J39" s="39">
        <v>0.0</v>
      </c>
      <c r="K39" s="39">
        <v>0.0</v>
      </c>
      <c r="L39" s="42">
        <v>9.0</v>
      </c>
      <c r="M39" s="39">
        <v>0.0</v>
      </c>
      <c r="N39" s="32">
        <f t="shared" ref="N39:O39" si="41">C39+L39</f>
        <v>255</v>
      </c>
      <c r="O39" s="32">
        <f t="shared" si="41"/>
        <v>13</v>
      </c>
      <c r="P39" s="43" t="s">
        <v>53</v>
      </c>
      <c r="Q39" s="43" t="s">
        <v>53</v>
      </c>
      <c r="R39" s="43" t="s">
        <v>88</v>
      </c>
      <c r="S39" s="39">
        <f t="shared" si="4"/>
        <v>2</v>
      </c>
      <c r="T39" s="39"/>
      <c r="U39" s="39">
        <f t="shared" si="5"/>
        <v>15</v>
      </c>
      <c r="V39" s="39">
        <f t="shared" si="6"/>
        <v>0</v>
      </c>
      <c r="W39" s="30">
        <f t="shared" si="9"/>
        <v>35</v>
      </c>
    </row>
    <row r="40">
      <c r="A40" s="30">
        <f t="shared" si="7"/>
        <v>36</v>
      </c>
      <c r="B40" s="31" t="s">
        <v>79</v>
      </c>
      <c r="C40" s="32">
        <v>245.0</v>
      </c>
      <c r="D40" s="32">
        <v>14.0</v>
      </c>
      <c r="E40" s="35">
        <f t="shared" si="2"/>
        <v>11.88888889</v>
      </c>
      <c r="F40" s="37">
        <v>1.0</v>
      </c>
      <c r="G40" s="39">
        <v>5.0</v>
      </c>
      <c r="H40" s="40">
        <v>0.0</v>
      </c>
      <c r="I40" s="39">
        <v>0.0</v>
      </c>
      <c r="J40" s="39">
        <v>6.0</v>
      </c>
      <c r="K40" s="39">
        <v>4.0</v>
      </c>
      <c r="L40" s="42">
        <v>10.0</v>
      </c>
      <c r="M40" s="39">
        <v>1.0</v>
      </c>
      <c r="N40" s="32">
        <f t="shared" ref="N40:O40" si="42">C40+L40</f>
        <v>255</v>
      </c>
      <c r="O40" s="32">
        <f t="shared" si="42"/>
        <v>15</v>
      </c>
      <c r="P40" s="43" t="s">
        <v>53</v>
      </c>
      <c r="Q40" s="43" t="s">
        <v>53</v>
      </c>
      <c r="R40" s="43" t="s">
        <v>53</v>
      </c>
      <c r="S40" s="39">
        <f t="shared" si="4"/>
        <v>3</v>
      </c>
      <c r="T40" s="39"/>
      <c r="U40" s="39">
        <f t="shared" si="5"/>
        <v>11</v>
      </c>
      <c r="V40" s="39">
        <f t="shared" si="6"/>
        <v>6</v>
      </c>
      <c r="W40" s="30">
        <f t="shared" si="9"/>
        <v>36</v>
      </c>
    </row>
    <row r="41">
      <c r="A41" s="30">
        <f t="shared" si="7"/>
        <v>37</v>
      </c>
      <c r="B41" s="51" t="s">
        <v>102</v>
      </c>
      <c r="C41" s="32">
        <v>245.0</v>
      </c>
      <c r="D41" s="32">
        <v>12.0</v>
      </c>
      <c r="E41" s="35">
        <f t="shared" si="2"/>
        <v>12.75</v>
      </c>
      <c r="F41" s="37">
        <v>1.0</v>
      </c>
      <c r="G41" s="39">
        <v>6.0</v>
      </c>
      <c r="H41" s="40">
        <v>0.0</v>
      </c>
      <c r="I41" s="39">
        <v>7.0</v>
      </c>
      <c r="J41" s="39">
        <v>6.0</v>
      </c>
      <c r="K41" s="39">
        <v>6.0</v>
      </c>
      <c r="L41" s="42">
        <v>19.0</v>
      </c>
      <c r="M41" s="39">
        <v>3.0</v>
      </c>
      <c r="N41" s="32">
        <f t="shared" ref="N41:O41" si="43">C41+L41</f>
        <v>264</v>
      </c>
      <c r="O41" s="32">
        <f t="shared" si="43"/>
        <v>15</v>
      </c>
      <c r="P41" s="43" t="s">
        <v>53</v>
      </c>
      <c r="Q41" s="43" t="s">
        <v>53</v>
      </c>
      <c r="R41" s="43" t="s">
        <v>53</v>
      </c>
      <c r="S41" s="39">
        <f t="shared" si="4"/>
        <v>2</v>
      </c>
      <c r="T41" s="39"/>
      <c r="U41" s="39">
        <f t="shared" si="5"/>
        <v>13</v>
      </c>
      <c r="V41" s="39">
        <f t="shared" si="6"/>
        <v>-1</v>
      </c>
      <c r="W41" s="30">
        <f t="shared" si="9"/>
        <v>37</v>
      </c>
    </row>
    <row r="42">
      <c r="A42" s="30">
        <f t="shared" si="7"/>
        <v>38</v>
      </c>
      <c r="B42" s="31" t="s">
        <v>46</v>
      </c>
      <c r="C42" s="32">
        <v>244.0</v>
      </c>
      <c r="D42" s="32">
        <v>18.0</v>
      </c>
      <c r="E42" s="35">
        <f t="shared" si="2"/>
        <v>11.3125</v>
      </c>
      <c r="F42" s="37">
        <v>1.0</v>
      </c>
      <c r="G42" s="39">
        <v>6.0</v>
      </c>
      <c r="H42" s="40">
        <v>0.0</v>
      </c>
      <c r="I42" s="39">
        <v>6.0</v>
      </c>
      <c r="J42" s="39">
        <v>6.0</v>
      </c>
      <c r="K42" s="39">
        <v>1.0</v>
      </c>
      <c r="L42" s="42">
        <v>13.0</v>
      </c>
      <c r="M42" s="39">
        <v>1.0</v>
      </c>
      <c r="N42" s="32">
        <f t="shared" ref="N42:O42" si="44">C42+L42</f>
        <v>257</v>
      </c>
      <c r="O42" s="32">
        <f t="shared" si="44"/>
        <v>19</v>
      </c>
      <c r="P42" s="43" t="s">
        <v>53</v>
      </c>
      <c r="Q42" s="43" t="s">
        <v>53</v>
      </c>
      <c r="R42" s="43" t="s">
        <v>53</v>
      </c>
      <c r="S42" s="39">
        <f t="shared" si="4"/>
        <v>0</v>
      </c>
      <c r="T42" s="39"/>
      <c r="U42" s="39">
        <f t="shared" si="5"/>
        <v>7</v>
      </c>
      <c r="V42" s="39">
        <f t="shared" si="6"/>
        <v>-1</v>
      </c>
      <c r="W42" s="30">
        <f t="shared" si="9"/>
        <v>38</v>
      </c>
    </row>
    <row r="43">
      <c r="A43" s="30">
        <f t="shared" si="7"/>
        <v>39</v>
      </c>
      <c r="B43" s="31" t="s">
        <v>109</v>
      </c>
      <c r="C43" s="32">
        <v>244.0</v>
      </c>
      <c r="D43" s="32">
        <v>9.0</v>
      </c>
      <c r="E43" s="35">
        <f t="shared" si="2"/>
        <v>14.25</v>
      </c>
      <c r="F43" s="37">
        <v>3.0</v>
      </c>
      <c r="G43" s="39">
        <v>0.0</v>
      </c>
      <c r="H43" s="40">
        <v>9.0</v>
      </c>
      <c r="I43" s="39">
        <v>0.0</v>
      </c>
      <c r="J43" s="39">
        <v>0.0</v>
      </c>
      <c r="K43" s="39">
        <v>0.0</v>
      </c>
      <c r="L43" s="42">
        <v>9.0</v>
      </c>
      <c r="M43" s="39">
        <v>0.0</v>
      </c>
      <c r="N43" s="32">
        <f t="shared" ref="N43:O43" si="45">C43+L43</f>
        <v>253</v>
      </c>
      <c r="O43" s="32">
        <f t="shared" si="45"/>
        <v>9</v>
      </c>
      <c r="P43" s="43" t="s">
        <v>53</v>
      </c>
      <c r="Q43" s="43" t="s">
        <v>53</v>
      </c>
      <c r="R43" s="43" t="s">
        <v>88</v>
      </c>
      <c r="S43" s="39">
        <f t="shared" si="4"/>
        <v>4</v>
      </c>
      <c r="T43" s="39"/>
      <c r="U43" s="39">
        <f t="shared" si="5"/>
        <v>15</v>
      </c>
      <c r="V43" s="39">
        <f t="shared" si="6"/>
        <v>-1</v>
      </c>
      <c r="W43" s="30">
        <f t="shared" si="9"/>
        <v>39</v>
      </c>
    </row>
    <row r="44">
      <c r="A44" s="30">
        <f t="shared" si="7"/>
        <v>40</v>
      </c>
      <c r="B44" s="56" t="s">
        <v>110</v>
      </c>
      <c r="C44" s="32">
        <v>243.0</v>
      </c>
      <c r="D44" s="32">
        <v>13.0</v>
      </c>
      <c r="E44" s="35">
        <f t="shared" si="2"/>
        <v>10.66666667</v>
      </c>
      <c r="F44" s="37">
        <v>3.0</v>
      </c>
      <c r="G44" s="39">
        <v>0.0</v>
      </c>
      <c r="H44" s="40">
        <v>9.0</v>
      </c>
      <c r="I44" s="39">
        <v>0.0</v>
      </c>
      <c r="J44" s="39">
        <v>0.0</v>
      </c>
      <c r="K44" s="39">
        <v>0.0</v>
      </c>
      <c r="L44" s="42">
        <v>9.0</v>
      </c>
      <c r="M44" s="39">
        <v>0.0</v>
      </c>
      <c r="N44" s="32">
        <f t="shared" ref="N44:O44" si="46">C44+L44</f>
        <v>252</v>
      </c>
      <c r="O44" s="32">
        <f t="shared" si="46"/>
        <v>13</v>
      </c>
      <c r="P44" s="43" t="s">
        <v>53</v>
      </c>
      <c r="Q44" s="43" t="s">
        <v>53</v>
      </c>
      <c r="R44" s="43" t="s">
        <v>53</v>
      </c>
      <c r="S44" s="39">
        <f t="shared" si="4"/>
        <v>4</v>
      </c>
      <c r="T44" s="39"/>
      <c r="U44" s="39">
        <f t="shared" si="5"/>
        <v>7</v>
      </c>
      <c r="V44" s="39">
        <f t="shared" si="6"/>
        <v>-1</v>
      </c>
      <c r="W44" s="30">
        <f t="shared" si="9"/>
        <v>40</v>
      </c>
    </row>
    <row r="45">
      <c r="A45" s="30">
        <f t="shared" si="7"/>
        <v>41</v>
      </c>
      <c r="B45" s="78" t="s">
        <v>104</v>
      </c>
      <c r="C45" s="32">
        <v>242.0</v>
      </c>
      <c r="D45" s="32">
        <v>19.0</v>
      </c>
      <c r="E45" s="35">
        <f t="shared" si="2"/>
        <v>11.1875</v>
      </c>
      <c r="F45" s="37">
        <v>3.0</v>
      </c>
      <c r="G45" s="39">
        <v>0.0</v>
      </c>
      <c r="H45" s="40">
        <v>9.0</v>
      </c>
      <c r="I45" s="39">
        <v>0.0</v>
      </c>
      <c r="J45" s="39">
        <v>0.0</v>
      </c>
      <c r="K45" s="39">
        <v>0.0</v>
      </c>
      <c r="L45" s="42">
        <v>9.0</v>
      </c>
      <c r="M45" s="39">
        <v>0.0</v>
      </c>
      <c r="N45" s="32">
        <f t="shared" ref="N45:O45" si="47">C45+L45</f>
        <v>251</v>
      </c>
      <c r="O45" s="32">
        <f t="shared" si="47"/>
        <v>19</v>
      </c>
      <c r="P45" s="43" t="s">
        <v>53</v>
      </c>
      <c r="Q45" s="43" t="s">
        <v>53</v>
      </c>
      <c r="R45" s="43" t="s">
        <v>53</v>
      </c>
      <c r="S45" s="39">
        <f t="shared" si="4"/>
        <v>0</v>
      </c>
      <c r="T45" s="39"/>
      <c r="U45" s="39">
        <f t="shared" si="5"/>
        <v>7</v>
      </c>
      <c r="V45" s="39">
        <f t="shared" si="6"/>
        <v>-1</v>
      </c>
      <c r="W45" s="30">
        <f t="shared" si="9"/>
        <v>41</v>
      </c>
    </row>
    <row r="46">
      <c r="A46" s="30">
        <f t="shared" si="7"/>
        <v>42</v>
      </c>
      <c r="B46" s="56" t="s">
        <v>107</v>
      </c>
      <c r="C46" s="32">
        <v>237.0</v>
      </c>
      <c r="D46" s="32">
        <v>20.0</v>
      </c>
      <c r="E46" s="35">
        <f t="shared" si="2"/>
        <v>10.57894737</v>
      </c>
      <c r="F46" s="37">
        <v>1.0</v>
      </c>
      <c r="G46" s="39">
        <v>6.0</v>
      </c>
      <c r="H46" s="40">
        <v>0.0</v>
      </c>
      <c r="I46" s="39">
        <v>6.0</v>
      </c>
      <c r="J46" s="39">
        <v>3.0</v>
      </c>
      <c r="K46" s="39">
        <v>6.0</v>
      </c>
      <c r="L46" s="42">
        <v>15.0</v>
      </c>
      <c r="M46" s="39">
        <v>1.0</v>
      </c>
      <c r="N46" s="32">
        <f t="shared" ref="N46:O46" si="48">C46+L46</f>
        <v>252</v>
      </c>
      <c r="O46" s="32">
        <f t="shared" si="48"/>
        <v>21</v>
      </c>
      <c r="P46" s="43" t="s">
        <v>53</v>
      </c>
      <c r="Q46" s="43" t="s">
        <v>53</v>
      </c>
      <c r="R46" s="43" t="s">
        <v>53</v>
      </c>
      <c r="S46" s="39">
        <f t="shared" si="4"/>
        <v>0</v>
      </c>
      <c r="T46" s="39"/>
      <c r="U46" s="39">
        <f t="shared" si="5"/>
        <v>4</v>
      </c>
      <c r="V46" s="39">
        <f t="shared" si="6"/>
        <v>-1</v>
      </c>
      <c r="W46" s="30">
        <f t="shared" si="9"/>
        <v>42</v>
      </c>
    </row>
    <row r="47">
      <c r="A47" s="30">
        <f t="shared" si="7"/>
        <v>43</v>
      </c>
      <c r="B47" s="51" t="s">
        <v>113</v>
      </c>
      <c r="C47" s="32">
        <v>234.0</v>
      </c>
      <c r="D47" s="32">
        <v>14.0</v>
      </c>
      <c r="E47" s="35">
        <f t="shared" si="2"/>
        <v>10.1875</v>
      </c>
      <c r="F47" s="37">
        <v>2.0</v>
      </c>
      <c r="G47" s="39">
        <v>6.0</v>
      </c>
      <c r="H47" s="40">
        <v>0.0</v>
      </c>
      <c r="I47" s="39">
        <v>7.0</v>
      </c>
      <c r="J47" s="39">
        <v>3.0</v>
      </c>
      <c r="K47" s="39">
        <v>1.0</v>
      </c>
      <c r="L47" s="42">
        <v>11.0</v>
      </c>
      <c r="M47" s="39">
        <v>1.0</v>
      </c>
      <c r="N47" s="32">
        <f t="shared" ref="N47:O47" si="49">C47+L47</f>
        <v>245</v>
      </c>
      <c r="O47" s="32">
        <f t="shared" si="49"/>
        <v>15</v>
      </c>
      <c r="P47" s="43" t="s">
        <v>53</v>
      </c>
      <c r="Q47" s="43" t="s">
        <v>53</v>
      </c>
      <c r="R47" s="43" t="s">
        <v>53</v>
      </c>
      <c r="S47" s="39">
        <f t="shared" si="4"/>
        <v>2</v>
      </c>
      <c r="T47" s="39"/>
      <c r="U47" s="39">
        <f t="shared" si="5"/>
        <v>5</v>
      </c>
      <c r="V47" s="39">
        <f t="shared" si="6"/>
        <v>0</v>
      </c>
      <c r="W47" s="30">
        <f t="shared" si="9"/>
        <v>43</v>
      </c>
    </row>
    <row r="48">
      <c r="A48" s="30">
        <f t="shared" si="7"/>
        <v>44</v>
      </c>
      <c r="B48" s="51" t="s">
        <v>114</v>
      </c>
      <c r="C48" s="32">
        <v>234.0</v>
      </c>
      <c r="D48" s="32">
        <v>13.0</v>
      </c>
      <c r="E48" s="35">
        <f t="shared" si="2"/>
        <v>10.72727273</v>
      </c>
      <c r="F48" s="37">
        <v>3.0</v>
      </c>
      <c r="G48" s="39">
        <v>0.0</v>
      </c>
      <c r="H48" s="40">
        <v>9.0</v>
      </c>
      <c r="I48" s="39">
        <v>0.0</v>
      </c>
      <c r="J48" s="39">
        <v>0.0</v>
      </c>
      <c r="K48" s="39">
        <v>0.0</v>
      </c>
      <c r="L48" s="42">
        <v>9.0</v>
      </c>
      <c r="M48" s="39">
        <v>0.0</v>
      </c>
      <c r="N48" s="32">
        <f t="shared" ref="N48:O48" si="50">C48+L48</f>
        <v>243</v>
      </c>
      <c r="O48" s="32">
        <f t="shared" si="50"/>
        <v>13</v>
      </c>
      <c r="P48" s="43" t="s">
        <v>53</v>
      </c>
      <c r="Q48" s="43" t="s">
        <v>53</v>
      </c>
      <c r="R48" s="43" t="s">
        <v>53</v>
      </c>
      <c r="S48" s="39">
        <f t="shared" si="4"/>
        <v>2</v>
      </c>
      <c r="T48" s="39"/>
      <c r="U48" s="39">
        <f t="shared" si="5"/>
        <v>10</v>
      </c>
      <c r="V48" s="39">
        <f t="shared" si="6"/>
        <v>0</v>
      </c>
      <c r="W48" s="30">
        <f t="shared" si="9"/>
        <v>44</v>
      </c>
    </row>
    <row r="49">
      <c r="A49" s="30">
        <f t="shared" si="7"/>
        <v>45</v>
      </c>
      <c r="B49" s="51" t="s">
        <v>116</v>
      </c>
      <c r="C49" s="32">
        <v>234.0</v>
      </c>
      <c r="D49" s="32">
        <v>13.0</v>
      </c>
      <c r="E49" s="35">
        <f t="shared" si="2"/>
        <v>10.53333333</v>
      </c>
      <c r="F49" s="37">
        <v>1.0</v>
      </c>
      <c r="G49" s="39">
        <v>7.0</v>
      </c>
      <c r="H49" s="40">
        <v>0.0</v>
      </c>
      <c r="I49" s="39">
        <v>0.0</v>
      </c>
      <c r="J49" s="39">
        <v>6.0</v>
      </c>
      <c r="K49" s="39">
        <v>0.0</v>
      </c>
      <c r="L49" s="42">
        <v>6.0</v>
      </c>
      <c r="M49" s="39">
        <v>1.0</v>
      </c>
      <c r="N49" s="32">
        <f t="shared" ref="N49:O49" si="51">C49+L49</f>
        <v>240</v>
      </c>
      <c r="O49" s="32">
        <f t="shared" si="51"/>
        <v>14</v>
      </c>
      <c r="P49" s="43" t="s">
        <v>53</v>
      </c>
      <c r="Q49" s="43" t="s">
        <v>53</v>
      </c>
      <c r="R49" s="43" t="s">
        <v>53</v>
      </c>
      <c r="S49" s="39">
        <f t="shared" si="4"/>
        <v>1</v>
      </c>
      <c r="T49" s="39"/>
      <c r="U49" s="39">
        <f t="shared" si="5"/>
        <v>7</v>
      </c>
      <c r="V49" s="39">
        <f t="shared" si="6"/>
        <v>0</v>
      </c>
      <c r="W49" s="30">
        <f t="shared" si="9"/>
        <v>45</v>
      </c>
    </row>
    <row r="50">
      <c r="A50" s="30">
        <f t="shared" si="7"/>
        <v>46</v>
      </c>
      <c r="B50" s="51" t="s">
        <v>111</v>
      </c>
      <c r="C50" s="32">
        <v>234.0</v>
      </c>
      <c r="D50" s="32">
        <v>11.0</v>
      </c>
      <c r="E50" s="35">
        <f t="shared" si="2"/>
        <v>11.7</v>
      </c>
      <c r="F50" s="37">
        <v>3.0</v>
      </c>
      <c r="G50" s="39">
        <v>0.0</v>
      </c>
      <c r="H50" s="40">
        <v>9.0</v>
      </c>
      <c r="I50" s="39">
        <v>0.0</v>
      </c>
      <c r="J50" s="39">
        <v>0.0</v>
      </c>
      <c r="K50" s="39">
        <v>0.0</v>
      </c>
      <c r="L50" s="42">
        <v>9.0</v>
      </c>
      <c r="M50" s="39">
        <v>0.0</v>
      </c>
      <c r="N50" s="32">
        <f t="shared" ref="N50:O50" si="52">C50+L50</f>
        <v>243</v>
      </c>
      <c r="O50" s="32">
        <f t="shared" si="52"/>
        <v>11</v>
      </c>
      <c r="P50" s="43" t="s">
        <v>53</v>
      </c>
      <c r="Q50" s="43" t="s">
        <v>53</v>
      </c>
      <c r="R50" s="43" t="s">
        <v>53</v>
      </c>
      <c r="S50" s="39">
        <f t="shared" si="4"/>
        <v>0</v>
      </c>
      <c r="T50" s="39"/>
      <c r="U50" s="39">
        <f t="shared" si="5"/>
        <v>13</v>
      </c>
      <c r="V50" s="39">
        <f t="shared" si="6"/>
        <v>0</v>
      </c>
      <c r="W50" s="30">
        <f t="shared" si="9"/>
        <v>46</v>
      </c>
    </row>
    <row r="51">
      <c r="A51" s="30">
        <f t="shared" si="7"/>
        <v>47</v>
      </c>
      <c r="B51" s="56" t="s">
        <v>115</v>
      </c>
      <c r="C51" s="32">
        <v>232.0</v>
      </c>
      <c r="D51" s="32">
        <v>16.0</v>
      </c>
      <c r="E51" s="35">
        <f t="shared" si="2"/>
        <v>10.47058824</v>
      </c>
      <c r="F51" s="37">
        <v>3.0</v>
      </c>
      <c r="G51" s="39">
        <v>0.0</v>
      </c>
      <c r="H51" s="40">
        <v>9.0</v>
      </c>
      <c r="I51" s="39">
        <v>0.0</v>
      </c>
      <c r="J51" s="39">
        <v>0.0</v>
      </c>
      <c r="K51" s="39">
        <v>0.0</v>
      </c>
      <c r="L51" s="42">
        <v>9.0</v>
      </c>
      <c r="M51" s="39">
        <v>0.0</v>
      </c>
      <c r="N51" s="32">
        <f t="shared" ref="N51:O51" si="53">C51+L51</f>
        <v>241</v>
      </c>
      <c r="O51" s="32">
        <f t="shared" si="53"/>
        <v>16</v>
      </c>
      <c r="P51" s="43" t="s">
        <v>53</v>
      </c>
      <c r="Q51" s="43" t="s">
        <v>53</v>
      </c>
      <c r="R51" s="43" t="s">
        <v>53</v>
      </c>
      <c r="S51" s="39">
        <f t="shared" si="4"/>
        <v>0</v>
      </c>
      <c r="T51" s="39"/>
      <c r="U51" s="39">
        <f t="shared" si="5"/>
        <v>6</v>
      </c>
      <c r="V51" s="39">
        <f t="shared" si="6"/>
        <v>0</v>
      </c>
      <c r="W51" s="30">
        <f t="shared" si="9"/>
        <v>47</v>
      </c>
    </row>
    <row r="52">
      <c r="A52" s="30">
        <f t="shared" si="7"/>
        <v>48</v>
      </c>
      <c r="B52" s="31" t="s">
        <v>119</v>
      </c>
      <c r="C52" s="32">
        <v>227.0</v>
      </c>
      <c r="D52" s="32">
        <v>9.0</v>
      </c>
      <c r="E52" s="35">
        <f t="shared" si="2"/>
        <v>13</v>
      </c>
      <c r="F52" s="37">
        <v>3.0</v>
      </c>
      <c r="G52" s="39">
        <v>0.0</v>
      </c>
      <c r="H52" s="40">
        <v>9.0</v>
      </c>
      <c r="I52" s="39">
        <v>0.0</v>
      </c>
      <c r="J52" s="39">
        <v>0.0</v>
      </c>
      <c r="K52" s="39">
        <v>0.0</v>
      </c>
      <c r="L52" s="42">
        <v>9.0</v>
      </c>
      <c r="M52" s="39">
        <v>0.0</v>
      </c>
      <c r="N52" s="32">
        <f t="shared" ref="N52:O52" si="54">C52+L52</f>
        <v>236</v>
      </c>
      <c r="O52" s="32">
        <f t="shared" si="54"/>
        <v>9</v>
      </c>
      <c r="P52" s="43" t="s">
        <v>53</v>
      </c>
      <c r="Q52" s="43" t="s">
        <v>53</v>
      </c>
      <c r="R52" s="43" t="s">
        <v>53</v>
      </c>
      <c r="S52" s="39">
        <f t="shared" si="4"/>
        <v>1</v>
      </c>
      <c r="T52" s="39"/>
      <c r="U52" s="39">
        <f t="shared" si="5"/>
        <v>18</v>
      </c>
      <c r="V52" s="39">
        <f t="shared" si="6"/>
        <v>3</v>
      </c>
      <c r="W52" s="30">
        <f t="shared" si="9"/>
        <v>48</v>
      </c>
    </row>
    <row r="53">
      <c r="A53" s="30">
        <f t="shared" si="7"/>
        <v>49</v>
      </c>
      <c r="B53" s="51" t="s">
        <v>118</v>
      </c>
      <c r="C53" s="32">
        <v>226.0</v>
      </c>
      <c r="D53" s="32">
        <v>13.0</v>
      </c>
      <c r="E53" s="35">
        <f t="shared" si="2"/>
        <v>10.72727273</v>
      </c>
      <c r="F53" s="37">
        <v>3.0</v>
      </c>
      <c r="G53" s="39">
        <v>0.0</v>
      </c>
      <c r="H53" s="40">
        <v>9.0</v>
      </c>
      <c r="I53" s="39">
        <v>0.0</v>
      </c>
      <c r="J53" s="39">
        <v>0.0</v>
      </c>
      <c r="K53" s="39">
        <v>0.0</v>
      </c>
      <c r="L53" s="42">
        <v>9.0</v>
      </c>
      <c r="M53" s="39">
        <v>0.0</v>
      </c>
      <c r="N53" s="32">
        <f t="shared" ref="N53:O53" si="55">C53+L53</f>
        <v>235</v>
      </c>
      <c r="O53" s="32">
        <f t="shared" si="55"/>
        <v>13</v>
      </c>
      <c r="P53" s="43" t="s">
        <v>53</v>
      </c>
      <c r="Q53" s="43" t="s">
        <v>53</v>
      </c>
      <c r="R53" s="43" t="s">
        <v>53</v>
      </c>
      <c r="S53" s="39">
        <f t="shared" si="4"/>
        <v>0</v>
      </c>
      <c r="T53" s="39"/>
      <c r="U53" s="39">
        <f t="shared" si="5"/>
        <v>12</v>
      </c>
      <c r="V53" s="39">
        <f t="shared" si="6"/>
        <v>-1</v>
      </c>
      <c r="W53" s="30">
        <f t="shared" si="9"/>
        <v>49</v>
      </c>
    </row>
    <row r="54">
      <c r="A54" s="30">
        <f t="shared" si="7"/>
        <v>50</v>
      </c>
      <c r="B54" s="31" t="s">
        <v>81</v>
      </c>
      <c r="C54" s="32">
        <v>226.0</v>
      </c>
      <c r="D54" s="32">
        <v>7.0</v>
      </c>
      <c r="E54" s="35">
        <f t="shared" si="2"/>
        <v>11.2</v>
      </c>
      <c r="F54" s="37">
        <v>3.0</v>
      </c>
      <c r="G54" s="39">
        <v>0.0</v>
      </c>
      <c r="H54" s="40">
        <v>9.0</v>
      </c>
      <c r="I54" s="39">
        <v>0.0</v>
      </c>
      <c r="J54" s="39">
        <v>0.0</v>
      </c>
      <c r="K54" s="39">
        <v>0.0</v>
      </c>
      <c r="L54" s="42">
        <v>9.0</v>
      </c>
      <c r="M54" s="39">
        <v>0.0</v>
      </c>
      <c r="N54" s="32">
        <f t="shared" ref="N54:O54" si="56">C54+L54</f>
        <v>235</v>
      </c>
      <c r="O54" s="32">
        <f t="shared" si="56"/>
        <v>7</v>
      </c>
      <c r="P54" s="43" t="s">
        <v>53</v>
      </c>
      <c r="Q54" s="43" t="s">
        <v>53</v>
      </c>
      <c r="R54" s="43" t="s">
        <v>53</v>
      </c>
      <c r="S54" s="39">
        <f t="shared" si="4"/>
        <v>2</v>
      </c>
      <c r="T54" s="39"/>
      <c r="U54" s="39">
        <f t="shared" si="5"/>
        <v>16</v>
      </c>
      <c r="V54" s="39">
        <f t="shared" si="6"/>
        <v>-1</v>
      </c>
      <c r="W54" s="30">
        <f t="shared" si="9"/>
        <v>50</v>
      </c>
    </row>
    <row r="55">
      <c r="A55" s="30">
        <f t="shared" si="7"/>
        <v>51</v>
      </c>
      <c r="B55" s="51" t="s">
        <v>75</v>
      </c>
      <c r="C55" s="32">
        <v>226.0</v>
      </c>
      <c r="D55" s="32">
        <v>6.0</v>
      </c>
      <c r="E55" s="35">
        <f t="shared" si="2"/>
        <v>14.5</v>
      </c>
      <c r="F55" s="37">
        <v>3.0</v>
      </c>
      <c r="G55" s="39">
        <v>0.0</v>
      </c>
      <c r="H55" s="40">
        <v>9.0</v>
      </c>
      <c r="I55" s="39">
        <v>0.0</v>
      </c>
      <c r="J55" s="39">
        <v>0.0</v>
      </c>
      <c r="K55" s="39">
        <v>0.0</v>
      </c>
      <c r="L55" s="42">
        <v>9.0</v>
      </c>
      <c r="M55" s="39">
        <v>0.0</v>
      </c>
      <c r="N55" s="32">
        <f t="shared" ref="N55:O55" si="57">C55+L55</f>
        <v>235</v>
      </c>
      <c r="O55" s="32">
        <f t="shared" si="57"/>
        <v>6</v>
      </c>
      <c r="P55" s="43" t="s">
        <v>53</v>
      </c>
      <c r="Q55" s="43" t="s">
        <v>53</v>
      </c>
      <c r="R55" s="43" t="s">
        <v>88</v>
      </c>
      <c r="S55" s="39">
        <f t="shared" si="4"/>
        <v>2</v>
      </c>
      <c r="T55" s="39"/>
      <c r="U55" s="39">
        <f t="shared" si="5"/>
        <v>19</v>
      </c>
      <c r="V55" s="39">
        <f t="shared" si="6"/>
        <v>-1</v>
      </c>
      <c r="W55" s="30">
        <f t="shared" si="9"/>
        <v>51</v>
      </c>
    </row>
    <row r="56">
      <c r="A56" s="30">
        <f t="shared" si="7"/>
        <v>52</v>
      </c>
      <c r="B56" s="51" t="s">
        <v>112</v>
      </c>
      <c r="C56" s="32">
        <v>224.0</v>
      </c>
      <c r="D56" s="32">
        <v>12.0</v>
      </c>
      <c r="E56" s="35">
        <f t="shared" si="2"/>
        <v>10.54545455</v>
      </c>
      <c r="F56" s="37">
        <v>3.0</v>
      </c>
      <c r="G56" s="39">
        <v>0.0</v>
      </c>
      <c r="H56" s="40">
        <v>9.0</v>
      </c>
      <c r="I56" s="39">
        <v>0.0</v>
      </c>
      <c r="J56" s="39">
        <v>0.0</v>
      </c>
      <c r="K56" s="39">
        <v>0.0</v>
      </c>
      <c r="L56" s="42">
        <v>9.0</v>
      </c>
      <c r="M56" s="39">
        <v>0.0</v>
      </c>
      <c r="N56" s="32">
        <f t="shared" ref="N56:O56" si="58">C56+L56</f>
        <v>233</v>
      </c>
      <c r="O56" s="32">
        <f t="shared" si="58"/>
        <v>12</v>
      </c>
      <c r="P56" s="43" t="s">
        <v>53</v>
      </c>
      <c r="Q56" s="43" t="s">
        <v>53</v>
      </c>
      <c r="R56" s="43" t="s">
        <v>53</v>
      </c>
      <c r="S56" s="39">
        <f t="shared" si="4"/>
        <v>0</v>
      </c>
      <c r="T56" s="39"/>
      <c r="U56" s="39">
        <f t="shared" si="5"/>
        <v>12</v>
      </c>
      <c r="V56" s="39">
        <f t="shared" si="6"/>
        <v>2</v>
      </c>
      <c r="W56" s="30">
        <f t="shared" si="9"/>
        <v>52</v>
      </c>
    </row>
    <row r="57">
      <c r="A57" s="30">
        <f t="shared" si="7"/>
        <v>53</v>
      </c>
      <c r="B57" s="31" t="s">
        <v>120</v>
      </c>
      <c r="C57" s="32">
        <v>224.0</v>
      </c>
      <c r="D57" s="32">
        <v>6.0</v>
      </c>
      <c r="E57" s="35">
        <f t="shared" si="2"/>
        <v>11.6</v>
      </c>
      <c r="F57" s="37">
        <v>3.0</v>
      </c>
      <c r="G57" s="39">
        <v>0.0</v>
      </c>
      <c r="H57" s="40">
        <v>9.0</v>
      </c>
      <c r="I57" s="39">
        <v>0.0</v>
      </c>
      <c r="J57" s="39">
        <v>0.0</v>
      </c>
      <c r="K57" s="39">
        <v>0.0</v>
      </c>
      <c r="L57" s="42">
        <v>9.0</v>
      </c>
      <c r="M57" s="39">
        <v>0.0</v>
      </c>
      <c r="N57" s="32">
        <f t="shared" ref="N57:O57" si="59">C57+L57</f>
        <v>233</v>
      </c>
      <c r="O57" s="32">
        <f t="shared" si="59"/>
        <v>6</v>
      </c>
      <c r="P57" s="43" t="s">
        <v>53</v>
      </c>
      <c r="Q57" s="43" t="s">
        <v>53</v>
      </c>
      <c r="R57" s="43" t="s">
        <v>53</v>
      </c>
      <c r="S57" s="39">
        <f t="shared" si="4"/>
        <v>1</v>
      </c>
      <c r="T57" s="39"/>
      <c r="U57" s="39">
        <f t="shared" si="5"/>
        <v>17</v>
      </c>
      <c r="V57" s="39">
        <f t="shared" si="6"/>
        <v>-1</v>
      </c>
      <c r="W57" s="30">
        <f t="shared" si="9"/>
        <v>53</v>
      </c>
    </row>
    <row r="58">
      <c r="A58" s="30">
        <f t="shared" si="7"/>
        <v>54</v>
      </c>
      <c r="B58" s="31" t="s">
        <v>56</v>
      </c>
      <c r="C58" s="32">
        <v>224.0</v>
      </c>
      <c r="D58" s="32">
        <v>5.0</v>
      </c>
      <c r="E58" s="35">
        <f t="shared" si="2"/>
        <v>11.25</v>
      </c>
      <c r="F58" s="37">
        <v>1.0</v>
      </c>
      <c r="G58" s="39">
        <v>7.0</v>
      </c>
      <c r="H58" s="40">
        <v>0.0</v>
      </c>
      <c r="I58" s="39">
        <v>6.0</v>
      </c>
      <c r="J58" s="39">
        <v>6.0</v>
      </c>
      <c r="K58" s="39">
        <v>6.0</v>
      </c>
      <c r="L58" s="42">
        <v>18.0</v>
      </c>
      <c r="M58" s="39">
        <v>3.0</v>
      </c>
      <c r="N58" s="32">
        <f t="shared" ref="N58:O58" si="60">C58+L58</f>
        <v>242</v>
      </c>
      <c r="O58" s="32">
        <f t="shared" si="60"/>
        <v>8</v>
      </c>
      <c r="P58" s="43" t="s">
        <v>53</v>
      </c>
      <c r="Q58" s="43" t="s">
        <v>53</v>
      </c>
      <c r="R58" s="43" t="s">
        <v>53</v>
      </c>
      <c r="S58" s="39">
        <f t="shared" si="4"/>
        <v>2</v>
      </c>
      <c r="T58" s="39"/>
      <c r="U58" s="39">
        <f t="shared" si="5"/>
        <v>17</v>
      </c>
      <c r="V58" s="39">
        <f t="shared" si="6"/>
        <v>1</v>
      </c>
      <c r="W58" s="30">
        <f t="shared" si="9"/>
        <v>54</v>
      </c>
    </row>
    <row r="59">
      <c r="A59" s="30">
        <f t="shared" si="7"/>
        <v>55</v>
      </c>
      <c r="B59" s="31" t="s">
        <v>117</v>
      </c>
      <c r="C59" s="32">
        <v>223.0</v>
      </c>
      <c r="D59" s="32">
        <v>5.0</v>
      </c>
      <c r="E59" s="35">
        <f t="shared" si="2"/>
        <v>11.66666667</v>
      </c>
      <c r="F59" s="37">
        <v>3.0</v>
      </c>
      <c r="G59" s="39">
        <v>0.0</v>
      </c>
      <c r="H59" s="40">
        <v>9.0</v>
      </c>
      <c r="I59" s="39">
        <v>0.0</v>
      </c>
      <c r="J59" s="39">
        <v>0.0</v>
      </c>
      <c r="K59" s="39">
        <v>0.0</v>
      </c>
      <c r="L59" s="42">
        <v>9.0</v>
      </c>
      <c r="M59" s="39">
        <v>0.0</v>
      </c>
      <c r="N59" s="32">
        <f t="shared" ref="N59:O59" si="61">C59+L59</f>
        <v>232</v>
      </c>
      <c r="O59" s="32">
        <f t="shared" si="61"/>
        <v>5</v>
      </c>
      <c r="P59" s="43" t="s">
        <v>53</v>
      </c>
      <c r="Q59" s="43" t="s">
        <v>53</v>
      </c>
      <c r="R59" s="43" t="s">
        <v>53</v>
      </c>
      <c r="S59" s="39">
        <f t="shared" si="4"/>
        <v>2</v>
      </c>
      <c r="T59" s="39"/>
      <c r="U59" s="39">
        <f t="shared" si="5"/>
        <v>18</v>
      </c>
      <c r="V59" s="39">
        <f t="shared" si="6"/>
        <v>-2</v>
      </c>
      <c r="W59" s="30">
        <f t="shared" si="9"/>
        <v>55</v>
      </c>
    </row>
    <row r="60">
      <c r="A60" s="30">
        <f t="shared" si="7"/>
        <v>56</v>
      </c>
      <c r="B60" s="56" t="s">
        <v>51</v>
      </c>
      <c r="C60" s="32">
        <v>214.0</v>
      </c>
      <c r="D60" s="32">
        <v>9.0</v>
      </c>
      <c r="E60" s="35">
        <f t="shared" si="2"/>
        <v>9.375</v>
      </c>
      <c r="F60" s="37">
        <v>3.0</v>
      </c>
      <c r="G60" s="39">
        <v>0.0</v>
      </c>
      <c r="H60" s="40">
        <v>9.0</v>
      </c>
      <c r="I60" s="39">
        <v>0.0</v>
      </c>
      <c r="J60" s="39">
        <v>0.0</v>
      </c>
      <c r="K60" s="39">
        <v>0.0</v>
      </c>
      <c r="L60" s="42">
        <v>9.0</v>
      </c>
      <c r="M60" s="39">
        <v>0.0</v>
      </c>
      <c r="N60" s="32">
        <f t="shared" ref="N60:O60" si="62">C60+L60</f>
        <v>223</v>
      </c>
      <c r="O60" s="32">
        <f t="shared" si="62"/>
        <v>9</v>
      </c>
      <c r="P60" s="43" t="s">
        <v>53</v>
      </c>
      <c r="Q60" s="43" t="s">
        <v>53</v>
      </c>
      <c r="R60" s="43" t="s">
        <v>53</v>
      </c>
      <c r="S60" s="39">
        <f t="shared" si="4"/>
        <v>1</v>
      </c>
      <c r="T60" s="39"/>
      <c r="U60" s="39">
        <f t="shared" si="5"/>
        <v>14</v>
      </c>
      <c r="V60" s="39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56" t="s">
        <v>122</v>
      </c>
      <c r="C61" s="32">
        <v>211.0</v>
      </c>
      <c r="D61" s="32">
        <v>3.0</v>
      </c>
      <c r="E61" s="35">
        <f t="shared" si="2"/>
        <v>9</v>
      </c>
      <c r="F61" s="37">
        <v>3.0</v>
      </c>
      <c r="G61" s="39">
        <v>0.0</v>
      </c>
      <c r="H61" s="40">
        <v>9.0</v>
      </c>
      <c r="I61" s="39">
        <v>0.0</v>
      </c>
      <c r="J61" s="39">
        <v>0.0</v>
      </c>
      <c r="K61" s="39">
        <v>0.0</v>
      </c>
      <c r="L61" s="42">
        <v>9.0</v>
      </c>
      <c r="M61" s="39">
        <v>0.0</v>
      </c>
      <c r="N61" s="32">
        <f t="shared" ref="N61:O61" si="63">C61+L61</f>
        <v>220</v>
      </c>
      <c r="O61" s="32">
        <f t="shared" si="63"/>
        <v>3</v>
      </c>
      <c r="P61" s="43" t="s">
        <v>53</v>
      </c>
      <c r="Q61" s="43" t="s">
        <v>53</v>
      </c>
      <c r="R61" s="43" t="s">
        <v>53</v>
      </c>
      <c r="S61" s="39">
        <f t="shared" si="4"/>
        <v>1</v>
      </c>
      <c r="T61" s="39"/>
      <c r="U61" s="39">
        <f t="shared" si="5"/>
        <v>18</v>
      </c>
      <c r="V61" s="39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31" t="s">
        <v>123</v>
      </c>
      <c r="C62" s="32">
        <v>210.0</v>
      </c>
      <c r="D62" s="32">
        <v>5.0</v>
      </c>
      <c r="E62" s="35">
        <f t="shared" si="2"/>
        <v>10.5</v>
      </c>
      <c r="F62" s="37">
        <v>3.0</v>
      </c>
      <c r="G62" s="39">
        <v>0.0</v>
      </c>
      <c r="H62" s="40">
        <v>9.0</v>
      </c>
      <c r="I62" s="39">
        <v>0.0</v>
      </c>
      <c r="J62" s="39">
        <v>0.0</v>
      </c>
      <c r="K62" s="39">
        <v>0.0</v>
      </c>
      <c r="L62" s="42">
        <v>9.0</v>
      </c>
      <c r="M62" s="39">
        <v>0.0</v>
      </c>
      <c r="N62" s="32">
        <f t="shared" ref="N62:O62" si="64">C62+L62</f>
        <v>219</v>
      </c>
      <c r="O62" s="32">
        <f t="shared" si="64"/>
        <v>5</v>
      </c>
      <c r="P62" s="43" t="s">
        <v>53</v>
      </c>
      <c r="Q62" s="43" t="s">
        <v>53</v>
      </c>
      <c r="R62" s="43" t="s">
        <v>53</v>
      </c>
      <c r="S62" s="39">
        <f t="shared" si="4"/>
        <v>0</v>
      </c>
      <c r="T62" s="39"/>
      <c r="U62" s="39">
        <f t="shared" si="5"/>
        <v>21</v>
      </c>
      <c r="V62" s="39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31" t="s">
        <v>124</v>
      </c>
      <c r="C63" s="32">
        <v>208.0</v>
      </c>
      <c r="D63" s="32">
        <v>3.0</v>
      </c>
      <c r="E63" s="35">
        <f t="shared" si="2"/>
        <v>8</v>
      </c>
      <c r="F63" s="37">
        <v>1.0</v>
      </c>
      <c r="G63" s="39">
        <v>7.0</v>
      </c>
      <c r="H63" s="40">
        <v>0.0</v>
      </c>
      <c r="I63" s="39">
        <v>0.0</v>
      </c>
      <c r="J63" s="39">
        <v>2.0</v>
      </c>
      <c r="K63" s="39">
        <v>6.0</v>
      </c>
      <c r="L63" s="42">
        <v>8.0</v>
      </c>
      <c r="M63" s="39">
        <v>1.0</v>
      </c>
      <c r="N63" s="32">
        <f t="shared" ref="N63:O63" si="65">C63+L63</f>
        <v>216</v>
      </c>
      <c r="O63" s="32">
        <f t="shared" si="65"/>
        <v>4</v>
      </c>
      <c r="P63" s="43" t="s">
        <v>53</v>
      </c>
      <c r="Q63" s="43" t="s">
        <v>53</v>
      </c>
      <c r="R63" s="43" t="s">
        <v>88</v>
      </c>
      <c r="S63" s="39">
        <f t="shared" si="4"/>
        <v>1</v>
      </c>
      <c r="T63" s="39"/>
      <c r="U63" s="39">
        <f t="shared" si="5"/>
        <v>19</v>
      </c>
      <c r="V63" s="39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31" t="s">
        <v>125</v>
      </c>
      <c r="C64" s="32">
        <v>207.0</v>
      </c>
      <c r="D64" s="32">
        <v>3.0</v>
      </c>
      <c r="E64" s="35">
        <f t="shared" si="2"/>
        <v>9</v>
      </c>
      <c r="F64" s="37">
        <v>3.0</v>
      </c>
      <c r="G64" s="39">
        <v>0.0</v>
      </c>
      <c r="H64" s="40">
        <v>9.0</v>
      </c>
      <c r="I64" s="39">
        <v>0.0</v>
      </c>
      <c r="J64" s="39">
        <v>0.0</v>
      </c>
      <c r="K64" s="39">
        <v>0.0</v>
      </c>
      <c r="L64" s="42">
        <v>9.0</v>
      </c>
      <c r="M64" s="39">
        <v>0.0</v>
      </c>
      <c r="N64" s="32">
        <f t="shared" ref="N64:O64" si="66">C64+L64</f>
        <v>216</v>
      </c>
      <c r="O64" s="32">
        <f t="shared" si="66"/>
        <v>3</v>
      </c>
      <c r="P64" s="43" t="s">
        <v>53</v>
      </c>
      <c r="Q64" s="43" t="s">
        <v>53</v>
      </c>
      <c r="R64" s="43" t="s">
        <v>53</v>
      </c>
      <c r="S64" s="39">
        <f t="shared" si="4"/>
        <v>0</v>
      </c>
      <c r="T64" s="39"/>
      <c r="U64" s="39">
        <f t="shared" si="5"/>
        <v>22</v>
      </c>
      <c r="V64" s="39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51" t="s">
        <v>121</v>
      </c>
      <c r="C65" s="32">
        <v>203.0</v>
      </c>
      <c r="D65" s="32">
        <v>4.0</v>
      </c>
      <c r="E65" s="35">
        <f t="shared" si="2"/>
        <v>7.666666667</v>
      </c>
      <c r="F65" s="37">
        <v>3.0</v>
      </c>
      <c r="G65" s="39">
        <v>0.0</v>
      </c>
      <c r="H65" s="40">
        <v>9.0</v>
      </c>
      <c r="I65" s="39">
        <v>0.0</v>
      </c>
      <c r="J65" s="39">
        <v>0.0</v>
      </c>
      <c r="K65" s="39">
        <v>0.0</v>
      </c>
      <c r="L65" s="42">
        <v>9.0</v>
      </c>
      <c r="M65" s="39">
        <v>0.0</v>
      </c>
      <c r="N65" s="32">
        <f t="shared" ref="N65:O65" si="67">C65+L65</f>
        <v>212</v>
      </c>
      <c r="O65" s="32">
        <f t="shared" si="67"/>
        <v>4</v>
      </c>
      <c r="P65" s="43" t="s">
        <v>53</v>
      </c>
      <c r="Q65" s="43" t="s">
        <v>53</v>
      </c>
      <c r="R65" s="43" t="s">
        <v>53</v>
      </c>
      <c r="S65" s="39">
        <f t="shared" si="4"/>
        <v>0</v>
      </c>
      <c r="T65" s="39"/>
      <c r="U65" s="39">
        <f t="shared" si="5"/>
        <v>20</v>
      </c>
      <c r="V65" s="39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31" t="s">
        <v>72</v>
      </c>
      <c r="C66" s="32">
        <v>202.0</v>
      </c>
      <c r="D66" s="32">
        <v>0.0</v>
      </c>
      <c r="E66" s="35">
        <f t="shared" si="2"/>
        <v>4.5</v>
      </c>
      <c r="F66" s="37">
        <v>3.0</v>
      </c>
      <c r="G66" s="39"/>
      <c r="H66" s="40">
        <v>9.0</v>
      </c>
      <c r="I66" s="39"/>
      <c r="J66" s="39"/>
      <c r="K66" s="39"/>
      <c r="L66" s="42">
        <v>9.0</v>
      </c>
      <c r="M66" s="39"/>
      <c r="N66" s="32">
        <f t="shared" ref="N66:O66" si="68">C66+L66</f>
        <v>211</v>
      </c>
      <c r="O66" s="32">
        <f t="shared" si="68"/>
        <v>0</v>
      </c>
      <c r="P66" s="43" t="s">
        <v>53</v>
      </c>
      <c r="Q66" s="43" t="s">
        <v>53</v>
      </c>
      <c r="R66" s="43" t="s">
        <v>88</v>
      </c>
      <c r="S66" s="39">
        <f t="shared" si="4"/>
        <v>1</v>
      </c>
      <c r="T66" s="39"/>
      <c r="U66" s="39">
        <f t="shared" si="5"/>
        <v>20</v>
      </c>
      <c r="V66" s="39"/>
      <c r="W66" s="30">
        <f t="shared" si="9"/>
        <v>62</v>
      </c>
    </row>
    <row r="67">
      <c r="A67" s="30">
        <f t="shared" si="7"/>
        <v>63</v>
      </c>
      <c r="B67" s="31" t="s">
        <v>126</v>
      </c>
      <c r="C67" s="32">
        <v>202.0</v>
      </c>
      <c r="D67" s="32">
        <v>0.0</v>
      </c>
      <c r="E67" s="35">
        <f t="shared" si="2"/>
        <v>0</v>
      </c>
      <c r="F67" s="37">
        <v>3.0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211</v>
      </c>
      <c r="O67" s="32">
        <f t="shared" si="69"/>
        <v>0</v>
      </c>
      <c r="P67" s="43" t="s">
        <v>53</v>
      </c>
      <c r="Q67" s="43" t="s">
        <v>53</v>
      </c>
      <c r="R67" s="43" t="s">
        <v>88</v>
      </c>
      <c r="S67" s="39">
        <f t="shared" si="4"/>
        <v>1</v>
      </c>
      <c r="T67" s="39"/>
      <c r="U67" s="39">
        <f t="shared" si="5"/>
        <v>21</v>
      </c>
      <c r="V67" s="39">
        <f t="shared" ref="V67:V69" si="71">VLOOKUP(B67,indirect($AB$2&amp;"!B$5:w$70"),22,false)-A67</f>
        <v>0</v>
      </c>
      <c r="W67" s="30">
        <f t="shared" si="9"/>
        <v>63</v>
      </c>
    </row>
    <row r="68">
      <c r="A68" s="30">
        <f t="shared" si="7"/>
        <v>64</v>
      </c>
      <c r="B68" s="51" t="s">
        <v>74</v>
      </c>
      <c r="C68" s="32">
        <v>189.0</v>
      </c>
      <c r="D68" s="32">
        <v>0.0</v>
      </c>
      <c r="E68" s="35" t="str">
        <f t="shared" si="2"/>
        <v>#DIV/0!</v>
      </c>
      <c r="F68" s="37">
        <v>3.0</v>
      </c>
      <c r="G68" s="39">
        <v>0.0</v>
      </c>
      <c r="H68" s="40">
        <v>9.0</v>
      </c>
      <c r="I68" s="39">
        <v>0.0</v>
      </c>
      <c r="J68" s="39">
        <v>0.0</v>
      </c>
      <c r="K68" s="39">
        <v>0.0</v>
      </c>
      <c r="L68" s="42">
        <v>9.0</v>
      </c>
      <c r="M68" s="39">
        <v>0.0</v>
      </c>
      <c r="N68" s="32">
        <f t="shared" ref="N68:O68" si="70">C68+L68</f>
        <v>198</v>
      </c>
      <c r="O68" s="32">
        <f t="shared" si="70"/>
        <v>0</v>
      </c>
      <c r="P68" s="43" t="s">
        <v>53</v>
      </c>
      <c r="Q68" s="43" t="s">
        <v>53</v>
      </c>
      <c r="R68" s="43"/>
      <c r="S68" s="39">
        <f t="shared" si="4"/>
        <v>0</v>
      </c>
      <c r="T68" s="39"/>
      <c r="U68" s="39">
        <f t="shared" si="5"/>
        <v>23</v>
      </c>
      <c r="V68" s="39">
        <f t="shared" si="71"/>
        <v>1</v>
      </c>
      <c r="W68" s="30">
        <f t="shared" si="9"/>
        <v>64</v>
      </c>
    </row>
    <row r="69">
      <c r="A69" s="30">
        <f t="shared" si="7"/>
        <v>65</v>
      </c>
      <c r="B69" s="51" t="s">
        <v>80</v>
      </c>
      <c r="C69" s="32">
        <v>187.0</v>
      </c>
      <c r="D69" s="32">
        <v>9.0</v>
      </c>
      <c r="E69" s="35">
        <f t="shared" si="2"/>
        <v>7.571428571</v>
      </c>
      <c r="F69" s="37">
        <v>1.0</v>
      </c>
      <c r="G69" s="39">
        <v>7.0</v>
      </c>
      <c r="H69" s="40">
        <v>0.0</v>
      </c>
      <c r="I69" s="39">
        <v>6.0</v>
      </c>
      <c r="J69" s="39">
        <v>2.0</v>
      </c>
      <c r="K69" s="39">
        <v>0.0</v>
      </c>
      <c r="L69" s="42">
        <v>8.0</v>
      </c>
      <c r="M69" s="39">
        <v>1.0</v>
      </c>
      <c r="N69" s="32">
        <f t="shared" ref="N69:O69" si="72">C69+L69</f>
        <v>195</v>
      </c>
      <c r="O69" s="32">
        <f t="shared" si="72"/>
        <v>10</v>
      </c>
      <c r="P69" s="43" t="s">
        <v>53</v>
      </c>
      <c r="Q69" s="43" t="s">
        <v>53</v>
      </c>
      <c r="R69" s="43" t="s">
        <v>53</v>
      </c>
      <c r="S69" s="39">
        <f t="shared" si="4"/>
        <v>0</v>
      </c>
      <c r="T69" s="39"/>
      <c r="U69" s="39">
        <f t="shared" si="5"/>
        <v>9</v>
      </c>
      <c r="V69" s="39">
        <f t="shared" si="71"/>
        <v>-1</v>
      </c>
      <c r="W69" s="30">
        <f t="shared" si="9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10"/>
    </row>
    <row r="73">
      <c r="A73" s="11"/>
      <c r="C73" s="11"/>
      <c r="D73" s="11"/>
      <c r="E73" s="11"/>
      <c r="F73" s="11"/>
      <c r="P73" s="10"/>
    </row>
    <row r="74">
      <c r="A74" s="11"/>
      <c r="C74" s="11"/>
      <c r="D74" s="11"/>
      <c r="K74" s="49"/>
      <c r="L74" s="59"/>
      <c r="M74" s="60"/>
      <c r="P74" s="10"/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7" t="s">
        <v>128</v>
      </c>
      <c r="Q77" s="8"/>
      <c r="R77" s="8">
        <f>COUNTIF(R5:R69,"X")</f>
        <v>53</v>
      </c>
    </row>
    <row r="78">
      <c r="A78" s="11"/>
      <c r="B78" s="62" t="s">
        <v>129</v>
      </c>
      <c r="C78" s="62" t="s">
        <v>130</v>
      </c>
      <c r="D78" s="62" t="s">
        <v>131</v>
      </c>
      <c r="K78" s="49"/>
      <c r="L78" s="59"/>
      <c r="M78" s="60"/>
      <c r="P78" s="7" t="s">
        <v>132</v>
      </c>
      <c r="Q78" s="8"/>
      <c r="R78" s="8">
        <f>countif(R5:R69,"N")</f>
        <v>9</v>
      </c>
    </row>
    <row r="79">
      <c r="A79" s="11"/>
      <c r="B79" s="51" t="str">
        <f>IFERROR(__xludf.DUMMYFUNCTION("QUERY(B5:M69,""Select B, L, M where L &gt;= 18 order by L desc,M desc"",0)"),"David Shin")</f>
        <v>David Shin</v>
      </c>
      <c r="C79" s="71">
        <f>IFERROR(__xludf.DUMMYFUNCTION("""COMPUTED_VALUE"""),20.0)</f>
        <v>20</v>
      </c>
      <c r="D79" s="71">
        <f>IFERROR(__xludf.DUMMYFUNCTION("""COMPUTED_VALUE"""),3.0)</f>
        <v>3</v>
      </c>
      <c r="E79" s="11"/>
      <c r="F79" s="11"/>
      <c r="L79" s="59"/>
      <c r="M79" s="60"/>
      <c r="P79" s="7" t="s">
        <v>133</v>
      </c>
      <c r="Q79" s="8"/>
      <c r="R79" s="8">
        <f>countif(R5:R69,"")</f>
        <v>3</v>
      </c>
    </row>
    <row r="80">
      <c r="A80" s="11"/>
      <c r="B80" s="51" t="str">
        <f>IFERROR(__xludf.DUMMYFUNCTION("""COMPUTED_VALUE"""),"Elayaraja Thangaraj ")</f>
        <v>Elayaraja Thangaraj 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F80" s="11"/>
      <c r="M80" s="65"/>
      <c r="P80" s="7" t="s">
        <v>60</v>
      </c>
      <c r="Q80" s="8"/>
      <c r="R80" s="8">
        <f>sum(R77:R79)</f>
        <v>65</v>
      </c>
    </row>
    <row r="81">
      <c r="A81" s="11"/>
      <c r="B81" s="51" t="str">
        <f>IFERROR(__xludf.DUMMYFUNCTION("""COMPUTED_VALUE"""),"James Phan")</f>
        <v>James Phan</v>
      </c>
      <c r="C81" s="71">
        <f>IFERROR(__xludf.DUMMYFUNCTION("""COMPUTED_VALUE"""),18.0)</f>
        <v>18</v>
      </c>
      <c r="D81" s="71">
        <f>IFERROR(__xludf.DUMMYFUNCTION("""COMPUTED_VALUE"""),3.0)</f>
        <v>3</v>
      </c>
      <c r="E81" s="11"/>
      <c r="F81" s="11"/>
    </row>
    <row r="82">
      <c r="A82" s="11"/>
      <c r="B82" s="51" t="str">
        <f>IFERROR(__xludf.DUMMYFUNCTION("""COMPUTED_VALUE"""),"Alejandro Mejia")</f>
        <v>Alejandro Mejia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  <c r="F82" s="11"/>
      <c r="P82" s="10" t="s">
        <v>134</v>
      </c>
    </row>
    <row r="83">
      <c r="A83" s="11"/>
      <c r="B83" s="51" t="str">
        <f>IFERROR(__xludf.DUMMYFUNCTION("""COMPUTED_VALUE"""),"Lloyd Sagar")</f>
        <v>Lloyd Sagar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  <c r="F83" s="11"/>
      <c r="L83" s="10"/>
    </row>
    <row r="84">
      <c r="A84" s="11"/>
      <c r="B84" s="51" t="str">
        <f>IFERROR(__xludf.DUMMYFUNCTION("""COMPUTED_VALUE"""),"Susanta Mishra")</f>
        <v>Susanta Mishra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F84" s="11"/>
      <c r="L84" s="10"/>
    </row>
    <row r="85">
      <c r="A85" s="11"/>
      <c r="B85" s="51"/>
      <c r="C85" s="71"/>
      <c r="D85" s="71"/>
      <c r="E85" s="11"/>
      <c r="F85" s="11"/>
      <c r="L85" s="10"/>
    </row>
    <row r="86">
      <c r="A86" s="11"/>
      <c r="B86" s="51"/>
      <c r="C86" s="71"/>
      <c r="D86" s="71"/>
      <c r="E86" s="11"/>
      <c r="F86" s="11"/>
      <c r="L86" s="10"/>
    </row>
    <row r="87">
      <c r="A87" s="11"/>
      <c r="B87" s="51"/>
      <c r="C87" s="71"/>
      <c r="D87" s="71"/>
      <c r="E87" s="11"/>
      <c r="F87" s="11"/>
    </row>
    <row r="88">
      <c r="A88" s="11"/>
      <c r="B88" s="51"/>
      <c r="C88" s="71"/>
      <c r="D88" s="71"/>
      <c r="E88" s="11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10"")"),"Pavan Akkimsetty")</f>
        <v>Pavan Akkimsetty</v>
      </c>
      <c r="C93" s="64">
        <f>IFERROR(__xludf.DUMMYFUNCTION("""COMPUTED_VALUE"""),6.0)</f>
        <v>6</v>
      </c>
      <c r="D93" s="64">
        <f t="shared" ref="D93:D102" si="73">VLOOKUP(B93,indirect($AB$2&amp;"!B$5:w$70"),22, false)</f>
        <v>14</v>
      </c>
      <c r="E93" s="64">
        <f t="shared" ref="E93:E102" si="74">VLOOKUP(B93,B$5:W$69,22, false)</f>
        <v>8</v>
      </c>
      <c r="F93" s="64">
        <f t="shared" ref="F93:F102" si="75">VLOOKUP(B93,indirect($AB$2&amp;"!B$5:U$70"),11, false)</f>
        <v>19</v>
      </c>
      <c r="G93" s="64">
        <f t="shared" ref="G93:G102" si="76">VLOOKUP(B93,indirect($AB$2&amp;"!B$5:U$70"),6, false)</f>
        <v>3</v>
      </c>
      <c r="L93" s="64" t="str">
        <f t="shared" ref="L93:L102" si="77">if(D93-E93=C93,"ok","Error")</f>
        <v>ok</v>
      </c>
    </row>
    <row r="94">
      <c r="A94" s="11"/>
      <c r="B94" s="51" t="str">
        <f>IFERROR(__xludf.DUMMYFUNCTION("""COMPUTED_VALUE"""),"Mauricio Palacios")</f>
        <v>Mauricio Palacios</v>
      </c>
      <c r="C94" s="64">
        <f>IFERROR(__xludf.DUMMYFUNCTION("""COMPUTED_VALUE"""),6.0)</f>
        <v>6</v>
      </c>
      <c r="D94" s="64">
        <f t="shared" si="73"/>
        <v>42</v>
      </c>
      <c r="E94" s="64">
        <f t="shared" si="74"/>
        <v>36</v>
      </c>
      <c r="F94" s="64">
        <f t="shared" si="75"/>
        <v>18</v>
      </c>
      <c r="G94" s="64">
        <f t="shared" si="76"/>
        <v>6</v>
      </c>
      <c r="L94" s="64" t="str">
        <f t="shared" si="77"/>
        <v>ok</v>
      </c>
    </row>
    <row r="95">
      <c r="A95" s="11"/>
      <c r="B95" s="51" t="str">
        <f>IFERROR(__xludf.DUMMYFUNCTION("""COMPUTED_VALUE"""),"Scott Li")</f>
        <v>Scott Li</v>
      </c>
      <c r="C95" s="64">
        <f>IFERROR(__xludf.DUMMYFUNCTION("""COMPUTED_VALUE"""),5.0)</f>
        <v>5</v>
      </c>
      <c r="D95" s="64">
        <f t="shared" si="73"/>
        <v>16</v>
      </c>
      <c r="E95" s="64">
        <f t="shared" si="74"/>
        <v>11</v>
      </c>
      <c r="F95" s="64">
        <f t="shared" si="75"/>
        <v>20</v>
      </c>
      <c r="G95" s="64">
        <f t="shared" si="76"/>
        <v>3</v>
      </c>
      <c r="L95" s="64" t="str">
        <f t="shared" si="77"/>
        <v>ok</v>
      </c>
      <c r="Q95" s="70"/>
    </row>
    <row r="96">
      <c r="A96" s="11"/>
      <c r="B96" s="51" t="str">
        <f>IFERROR(__xludf.DUMMYFUNCTION("""COMPUTED_VALUE"""),"Pulkit Mathur")</f>
        <v>Pulkit Mathur</v>
      </c>
      <c r="C96" s="64">
        <f>IFERROR(__xludf.DUMMYFUNCTION("""COMPUTED_VALUE"""),5.0)</f>
        <v>5</v>
      </c>
      <c r="D96" s="64">
        <f t="shared" si="73"/>
        <v>25</v>
      </c>
      <c r="E96" s="64">
        <f t="shared" si="74"/>
        <v>20</v>
      </c>
      <c r="F96" s="64">
        <f t="shared" si="75"/>
        <v>18</v>
      </c>
      <c r="G96" s="64">
        <f t="shared" si="76"/>
        <v>5</v>
      </c>
      <c r="L96" s="64" t="str">
        <f t="shared" si="77"/>
        <v>ok</v>
      </c>
    </row>
    <row r="97">
      <c r="A97" s="11"/>
      <c r="B97" s="51" t="str">
        <f>IFERROR(__xludf.DUMMYFUNCTION("""COMPUTED_VALUE"""),"David Shin")</f>
        <v>David Shin</v>
      </c>
      <c r="C97" s="64">
        <f>IFERROR(__xludf.DUMMYFUNCTION("""COMPUTED_VALUE"""),4.0)</f>
        <v>4</v>
      </c>
      <c r="D97" s="64">
        <f t="shared" si="73"/>
        <v>8</v>
      </c>
      <c r="E97" s="64">
        <f t="shared" si="74"/>
        <v>4</v>
      </c>
      <c r="F97" s="64">
        <f t="shared" si="75"/>
        <v>18</v>
      </c>
      <c r="G97" s="64">
        <f t="shared" si="76"/>
        <v>2</v>
      </c>
      <c r="L97" s="64" t="str">
        <f t="shared" si="77"/>
        <v>ok</v>
      </c>
    </row>
    <row r="98">
      <c r="A98" s="11"/>
      <c r="B98" s="51" t="str">
        <f>IFERROR(__xludf.DUMMYFUNCTION("""COMPUTED_VALUE"""),"Frank Moon")</f>
        <v>Frank Moon</v>
      </c>
      <c r="C98" s="64">
        <f>IFERROR(__xludf.DUMMYFUNCTION("""COMPUTED_VALUE"""),4.0)</f>
        <v>4</v>
      </c>
      <c r="D98" s="64">
        <f t="shared" si="73"/>
        <v>10</v>
      </c>
      <c r="E98" s="64">
        <f t="shared" si="74"/>
        <v>6</v>
      </c>
      <c r="F98" s="64">
        <f t="shared" si="75"/>
        <v>16</v>
      </c>
      <c r="G98" s="64">
        <f t="shared" si="76"/>
        <v>2</v>
      </c>
      <c r="L98" s="64" t="str">
        <f t="shared" si="77"/>
        <v>ok</v>
      </c>
    </row>
    <row r="99">
      <c r="A99" s="11"/>
      <c r="B99" s="51" t="str">
        <f>IFERROR(__xludf.DUMMYFUNCTION("""COMPUTED_VALUE"""),"Rajasekar Ramasamy")</f>
        <v>Rajasekar Ramasamy</v>
      </c>
      <c r="C99" s="64">
        <f>IFERROR(__xludf.DUMMYFUNCTION("""COMPUTED_VALUE"""),4.0)</f>
        <v>4</v>
      </c>
      <c r="D99" s="64">
        <f t="shared" si="73"/>
        <v>18</v>
      </c>
      <c r="E99" s="64">
        <f t="shared" si="74"/>
        <v>14</v>
      </c>
      <c r="F99" s="64">
        <f t="shared" si="75"/>
        <v>19</v>
      </c>
      <c r="G99" s="64">
        <f t="shared" si="76"/>
        <v>3</v>
      </c>
      <c r="L99" s="64" t="str">
        <f t="shared" si="77"/>
        <v>ok</v>
      </c>
    </row>
    <row r="100">
      <c r="A100" s="11"/>
      <c r="B100" s="51" t="str">
        <f>IFERROR(__xludf.DUMMYFUNCTION("""COMPUTED_VALUE"""),"Arun Mallikarjuna")</f>
        <v>Arun Mallikarjuna</v>
      </c>
      <c r="C100" s="64">
        <f>IFERROR(__xludf.DUMMYFUNCTION("""COMPUTED_VALUE"""),3.0)</f>
        <v>3</v>
      </c>
      <c r="D100" s="64">
        <f t="shared" si="73"/>
        <v>12</v>
      </c>
      <c r="E100" s="64">
        <f t="shared" si="74"/>
        <v>9</v>
      </c>
      <c r="F100" s="64">
        <f t="shared" si="75"/>
        <v>16</v>
      </c>
      <c r="G100" s="64">
        <f t="shared" si="76"/>
        <v>2</v>
      </c>
      <c r="L100" s="64" t="str">
        <f t="shared" si="77"/>
        <v>ok</v>
      </c>
    </row>
    <row r="101">
      <c r="A101" s="11"/>
      <c r="B101" s="51" t="str">
        <f>IFERROR(__xludf.DUMMYFUNCTION("""COMPUTED_VALUE"""),"Robert Chang")</f>
        <v>Robert Chang</v>
      </c>
      <c r="C101" s="64">
        <f>IFERROR(__xludf.DUMMYFUNCTION("""COMPUTED_VALUE"""),3.0)</f>
        <v>3</v>
      </c>
      <c r="D101" s="64">
        <f t="shared" si="73"/>
        <v>21</v>
      </c>
      <c r="E101" s="64">
        <f t="shared" si="74"/>
        <v>18</v>
      </c>
      <c r="F101" s="64">
        <f t="shared" si="75"/>
        <v>18</v>
      </c>
      <c r="G101" s="64">
        <f t="shared" si="76"/>
        <v>4</v>
      </c>
      <c r="L101" s="64" t="str">
        <f t="shared" si="77"/>
        <v>ok</v>
      </c>
    </row>
    <row r="102">
      <c r="A102" s="11"/>
      <c r="B102" s="51" t="str">
        <f>IFERROR(__xludf.DUMMYFUNCTION("""COMPUTED_VALUE"""),"Trinath Goteti")</f>
        <v>Trinath Goteti</v>
      </c>
      <c r="C102" s="64">
        <f>IFERROR(__xludf.DUMMYFUNCTION("""COMPUTED_VALUE"""),3.0)</f>
        <v>3</v>
      </c>
      <c r="D102" s="64">
        <f t="shared" si="73"/>
        <v>51</v>
      </c>
      <c r="E102" s="64">
        <f t="shared" si="74"/>
        <v>48</v>
      </c>
      <c r="F102" s="64">
        <f t="shared" si="75"/>
        <v>12</v>
      </c>
      <c r="G102" s="64">
        <f t="shared" si="76"/>
        <v>7</v>
      </c>
      <c r="L102" s="64" t="str">
        <f t="shared" si="77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10"")"),"Peter Homsey")</f>
        <v>Peter Homsey</v>
      </c>
      <c r="C106" s="64"/>
      <c r="D106" s="64">
        <f t="shared" ref="D106:D115" si="78">VLOOKUP(B106,indirect($AB$2&amp;"!B$5:w$70"),22, false)</f>
        <v>62</v>
      </c>
      <c r="E106" s="64">
        <f t="shared" ref="E106:E115" si="79">VLOOKUP(B106,B$5:W$69,22, false)</f>
        <v>62</v>
      </c>
      <c r="F106" s="64">
        <f t="shared" ref="F106:F115" si="80">VLOOKUP(B106,indirect($AB$2&amp;"!B$5:U$70"),11, false)</f>
        <v>0</v>
      </c>
      <c r="G106" s="64">
        <f t="shared" ref="G106:G115" si="81">VLOOKUP(B106,indirect($AB$2&amp;"!B$5:U$70"),6, false)</f>
        <v>0</v>
      </c>
      <c r="L106" s="64" t="str">
        <f t="shared" ref="L106:L115" si="82">if(D106-E106=C106,"ok","Error")</f>
        <v>ok</v>
      </c>
    </row>
    <row r="107">
      <c r="A107" s="11"/>
      <c r="B107" s="51" t="str">
        <f>IFERROR(__xludf.DUMMYFUNCTION("""COMPUTED_VALUE"""),"Christopher Li")</f>
        <v>Christopher Li</v>
      </c>
      <c r="C107" s="64">
        <f>IFERROR(__xludf.DUMMYFUNCTION("""COMPUTED_VALUE"""),-6.0)</f>
        <v>-6</v>
      </c>
      <c r="D107" s="64">
        <f t="shared" si="78"/>
        <v>7</v>
      </c>
      <c r="E107" s="64">
        <f t="shared" si="79"/>
        <v>13</v>
      </c>
      <c r="F107" s="64">
        <f t="shared" si="80"/>
        <v>9</v>
      </c>
      <c r="G107" s="64">
        <f t="shared" si="81"/>
        <v>0</v>
      </c>
      <c r="L107" s="64" t="str">
        <f t="shared" si="82"/>
        <v>ok</v>
      </c>
    </row>
    <row r="108">
      <c r="A108" s="11"/>
      <c r="B108" s="51" t="str">
        <f>IFERROR(__xludf.DUMMYFUNCTION("""COMPUTED_VALUE"""),"James Phan")</f>
        <v>James Phan</v>
      </c>
      <c r="C108" s="64">
        <f>IFERROR(__xludf.DUMMYFUNCTION("""COMPUTED_VALUE"""),-5.0)</f>
        <v>-5</v>
      </c>
      <c r="D108" s="64">
        <f t="shared" si="78"/>
        <v>2</v>
      </c>
      <c r="E108" s="64">
        <f t="shared" si="79"/>
        <v>7</v>
      </c>
      <c r="F108" s="64">
        <f t="shared" si="80"/>
        <v>9</v>
      </c>
      <c r="G108" s="64">
        <f t="shared" si="81"/>
        <v>0</v>
      </c>
      <c r="L108" s="64" t="str">
        <f t="shared" si="82"/>
        <v>ok</v>
      </c>
    </row>
    <row r="109">
      <c r="A109" s="11"/>
      <c r="B109" s="51" t="str">
        <f>IFERROR(__xludf.DUMMYFUNCTION("""COMPUTED_VALUE"""),"Alejandro Mejia")</f>
        <v>Alejandro Mejia</v>
      </c>
      <c r="C109" s="64">
        <f>IFERROR(__xludf.DUMMYFUNCTION("""COMPUTED_VALUE"""),-5.0)</f>
        <v>-5</v>
      </c>
      <c r="D109" s="64">
        <f t="shared" si="78"/>
        <v>11</v>
      </c>
      <c r="E109" s="64">
        <f t="shared" si="79"/>
        <v>16</v>
      </c>
      <c r="F109" s="64">
        <f t="shared" si="80"/>
        <v>9</v>
      </c>
      <c r="G109" s="64">
        <f t="shared" si="81"/>
        <v>0</v>
      </c>
      <c r="L109" s="64" t="str">
        <f t="shared" si="82"/>
        <v>ok</v>
      </c>
    </row>
    <row r="110">
      <c r="A110" s="11"/>
      <c r="B110" s="51" t="str">
        <f>IFERROR(__xludf.DUMMYFUNCTION("""COMPUTED_VALUE"""),"Ted Shen")</f>
        <v>Ted Shen</v>
      </c>
      <c r="C110" s="64">
        <f>IFERROR(__xludf.DUMMYFUNCTION("""COMPUTED_VALUE"""),-4.0)</f>
        <v>-4</v>
      </c>
      <c r="D110" s="64">
        <f t="shared" si="78"/>
        <v>6</v>
      </c>
      <c r="E110" s="64">
        <f t="shared" si="79"/>
        <v>10</v>
      </c>
      <c r="F110" s="64">
        <f t="shared" si="80"/>
        <v>13</v>
      </c>
      <c r="G110" s="64">
        <f t="shared" si="81"/>
        <v>1</v>
      </c>
      <c r="L110" s="64" t="str">
        <f t="shared" si="82"/>
        <v>ok</v>
      </c>
    </row>
    <row r="111">
      <c r="A111" s="11"/>
      <c r="B111" s="51" t="str">
        <f>IFERROR(__xludf.DUMMYFUNCTION("""COMPUTED_VALUE"""),"Jonathan Phan")</f>
        <v>Jonathan Phan</v>
      </c>
      <c r="C111" s="64">
        <f>IFERROR(__xludf.DUMMYFUNCTION("""COMPUTED_VALUE"""),-4.0)</f>
        <v>-4</v>
      </c>
      <c r="D111" s="64">
        <f t="shared" si="78"/>
        <v>13</v>
      </c>
      <c r="E111" s="64">
        <f t="shared" si="79"/>
        <v>17</v>
      </c>
      <c r="F111" s="64">
        <f t="shared" si="80"/>
        <v>9</v>
      </c>
      <c r="G111" s="64">
        <f t="shared" si="81"/>
        <v>0</v>
      </c>
      <c r="L111" s="64" t="str">
        <f t="shared" si="82"/>
        <v>ok</v>
      </c>
    </row>
    <row r="112">
      <c r="A112" s="11"/>
      <c r="B112" s="51" t="str">
        <f>IFERROR(__xludf.DUMMYFUNCTION("""COMPUTED_VALUE"""),"Matthew Huang")</f>
        <v>Matthew Huang</v>
      </c>
      <c r="C112" s="64">
        <f>IFERROR(__xludf.DUMMYFUNCTION("""COMPUTED_VALUE"""),-4.0)</f>
        <v>-4</v>
      </c>
      <c r="D112" s="64">
        <f t="shared" si="78"/>
        <v>15</v>
      </c>
      <c r="E112" s="64">
        <f t="shared" si="79"/>
        <v>19</v>
      </c>
      <c r="F112" s="64">
        <f t="shared" si="80"/>
        <v>9</v>
      </c>
      <c r="G112" s="64">
        <f t="shared" si="81"/>
        <v>0</v>
      </c>
      <c r="L112" s="64" t="str">
        <f t="shared" si="82"/>
        <v>ok</v>
      </c>
    </row>
    <row r="113">
      <c r="A113" s="11"/>
      <c r="B113" s="51" t="str">
        <f>IFERROR(__xludf.DUMMYFUNCTION("""COMPUTED_VALUE"""),"Joe Luzzi")</f>
        <v>Joe Luzzi</v>
      </c>
      <c r="C113" s="64">
        <f>IFERROR(__xludf.DUMMYFUNCTION("""COMPUTED_VALUE"""),-3.0)</f>
        <v>-3</v>
      </c>
      <c r="D113" s="64">
        <f t="shared" si="78"/>
        <v>9</v>
      </c>
      <c r="E113" s="64">
        <f t="shared" si="79"/>
        <v>12</v>
      </c>
      <c r="F113" s="64">
        <f t="shared" si="80"/>
        <v>12</v>
      </c>
      <c r="G113" s="64">
        <f t="shared" si="81"/>
        <v>2</v>
      </c>
      <c r="L113" s="64" t="str">
        <f t="shared" si="82"/>
        <v>ok</v>
      </c>
    </row>
    <row r="114">
      <c r="A114" s="11"/>
      <c r="B114" s="51" t="str">
        <f>IFERROR(__xludf.DUMMYFUNCTION("""COMPUTED_VALUE"""),"Luis Hsu")</f>
        <v>Luis Hsu</v>
      </c>
      <c r="C114" s="64">
        <f>IFERROR(__xludf.DUMMYFUNCTION("""COMPUTED_VALUE"""),-3.0)</f>
        <v>-3</v>
      </c>
      <c r="D114" s="64">
        <f t="shared" si="78"/>
        <v>19</v>
      </c>
      <c r="E114" s="64">
        <f t="shared" si="79"/>
        <v>22</v>
      </c>
      <c r="F114" s="64">
        <f t="shared" si="80"/>
        <v>9</v>
      </c>
      <c r="G114" s="64">
        <f t="shared" si="81"/>
        <v>0</v>
      </c>
      <c r="L114" s="64" t="str">
        <f t="shared" si="82"/>
        <v>ok</v>
      </c>
    </row>
    <row r="115">
      <c r="A115" s="11"/>
      <c r="B115" s="51" t="str">
        <f>IFERROR(__xludf.DUMMYFUNCTION("""COMPUTED_VALUE"""),"Alex Hou")</f>
        <v>Alex Hou</v>
      </c>
      <c r="C115" s="64">
        <f>IFERROR(__xludf.DUMMYFUNCTION("""COMPUTED_VALUE"""),-2.0)</f>
        <v>-2</v>
      </c>
      <c r="D115" s="64">
        <f t="shared" si="78"/>
        <v>23</v>
      </c>
      <c r="E115" s="64">
        <f t="shared" si="79"/>
        <v>25</v>
      </c>
      <c r="F115" s="64">
        <f t="shared" si="80"/>
        <v>8</v>
      </c>
      <c r="G115" s="64">
        <f t="shared" si="81"/>
        <v>4</v>
      </c>
      <c r="L115" s="64" t="str">
        <f t="shared" si="82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72" t="s">
        <v>144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3"/>
    </row>
    <row r="122">
      <c r="A122" s="53"/>
      <c r="B122" s="62" t="s">
        <v>145</v>
      </c>
      <c r="C122" s="73" t="s">
        <v>146</v>
      </c>
      <c r="D122" s="22"/>
      <c r="E122" s="23"/>
      <c r="F122" s="73" t="s">
        <v>147</v>
      </c>
      <c r="G122" s="22"/>
      <c r="H122" s="23"/>
      <c r="I122" s="74" t="s">
        <v>148</v>
      </c>
      <c r="J122" s="22"/>
      <c r="K122" s="22"/>
      <c r="L122" s="22"/>
      <c r="M122" s="23"/>
    </row>
    <row r="123">
      <c r="A123" s="75">
        <v>1.0</v>
      </c>
      <c r="B123" s="51" t="str">
        <f>IFERROR(__xludf.DUMMYFUNCTION("query(B5:V69,""select B where R = 'X' order by B asc"")"),"Alejandro Mejia")</f>
        <v>Alejandro Mejia</v>
      </c>
      <c r="C123" s="79" t="str">
        <f>IFERROR(__xludf.DUMMYFUNCTION("query(B5:V69,""select B where R = '' order by B asc"")"),"Adrian Tay")</f>
        <v>Adrian Tay</v>
      </c>
      <c r="D123" s="22"/>
      <c r="E123" s="23"/>
      <c r="F123" s="76" t="str">
        <f>IFERROR(__xludf.DUMMYFUNCTION("query(B5:V69,""select B where R = 'N' order by B asc"")"),"Amit Patel")</f>
        <v>Amit Patel</v>
      </c>
      <c r="G123" s="22"/>
      <c r="H123" s="23"/>
      <c r="I123" s="76" t="s">
        <v>149</v>
      </c>
      <c r="J123" s="22"/>
      <c r="K123" s="22"/>
      <c r="L123" s="22"/>
      <c r="M123" s="23"/>
    </row>
    <row r="124">
      <c r="A124" s="75">
        <f t="shared" ref="A124:A182" si="83">A123+1</f>
        <v>2</v>
      </c>
      <c r="B124" s="51" t="str">
        <f>IFERROR(__xludf.DUMMYFUNCTION("""COMPUTED_VALUE"""),"Alex Hou")</f>
        <v>Alex Hou</v>
      </c>
      <c r="C124" s="79" t="str">
        <f>IFERROR(__xludf.DUMMYFUNCTION("""COMPUTED_VALUE"""),"Herman Au")</f>
        <v>Herman Au</v>
      </c>
      <c r="D124" s="22"/>
      <c r="E124" s="23"/>
      <c r="F124" s="76" t="str">
        <f>IFERROR(__xludf.DUMMYFUNCTION("""COMPUTED_VALUE"""),"Arun Mallikarjuna")</f>
        <v>Arun Mallikarjuna</v>
      </c>
      <c r="G124" s="22"/>
      <c r="H124" s="23"/>
      <c r="I124" s="76" t="s">
        <v>150</v>
      </c>
      <c r="J124" s="22"/>
      <c r="K124" s="22"/>
      <c r="L124" s="22"/>
      <c r="M124" s="23"/>
    </row>
    <row r="125">
      <c r="A125" s="75">
        <f t="shared" si="83"/>
        <v>3</v>
      </c>
      <c r="B125" s="51" t="str">
        <f>IFERROR(__xludf.DUMMYFUNCTION("""COMPUTED_VALUE"""),"Andrew Wen")</f>
        <v>Andrew Wen</v>
      </c>
      <c r="C125" s="76" t="str">
        <f>IFERROR(__xludf.DUMMYFUNCTION("""COMPUTED_VALUE"""),"Jose Ortiz")</f>
        <v>Jose Ortiz</v>
      </c>
      <c r="D125" s="22"/>
      <c r="E125" s="23"/>
      <c r="F125" s="76" t="str">
        <f>IFERROR(__xludf.DUMMYFUNCTION("""COMPUTED_VALUE"""),"Christopher Li")</f>
        <v>Christopher Li</v>
      </c>
      <c r="G125" s="22"/>
      <c r="H125" s="23"/>
      <c r="I125" s="76" t="s">
        <v>151</v>
      </c>
      <c r="J125" s="22"/>
      <c r="K125" s="22"/>
      <c r="L125" s="22"/>
      <c r="M125" s="23"/>
    </row>
    <row r="126">
      <c r="A126" s="75">
        <f t="shared" si="83"/>
        <v>4</v>
      </c>
      <c r="B126" s="51" t="str">
        <f>IFERROR(__xludf.DUMMYFUNCTION("""COMPUTED_VALUE"""),"Balaji Alahari")</f>
        <v>Balaji Alahari</v>
      </c>
      <c r="C126" s="76"/>
      <c r="D126" s="22"/>
      <c r="E126" s="23"/>
      <c r="F126" s="76" t="str">
        <f>IFERROR(__xludf.DUMMYFUNCTION("""COMPUTED_VALUE"""),"Nohely Mejia")</f>
        <v>Nohely Mejia</v>
      </c>
      <c r="G126" s="22"/>
      <c r="H126" s="23"/>
      <c r="I126" s="76" t="s">
        <v>152</v>
      </c>
      <c r="J126" s="22"/>
      <c r="K126" s="22"/>
      <c r="L126" s="22"/>
      <c r="M126" s="23"/>
    </row>
    <row r="127">
      <c r="A127" s="75">
        <f t="shared" si="83"/>
        <v>5</v>
      </c>
      <c r="B127" s="51" t="str">
        <f>IFERROR(__xludf.DUMMYFUNCTION("""COMPUTED_VALUE"""),"Chinna Ponnaganti")</f>
        <v>Chinna Ponnaganti</v>
      </c>
      <c r="C127" s="76"/>
      <c r="D127" s="22"/>
      <c r="E127" s="23"/>
      <c r="F127" s="76" t="str">
        <f>IFERROR(__xludf.DUMMYFUNCTION("""COMPUTED_VALUE"""),"Peter Cheng")</f>
        <v>Peter Cheng</v>
      </c>
      <c r="G127" s="22"/>
      <c r="H127" s="23"/>
      <c r="I127" s="76" t="s">
        <v>153</v>
      </c>
      <c r="J127" s="22"/>
      <c r="K127" s="22"/>
      <c r="L127" s="22"/>
      <c r="M127" s="23"/>
    </row>
    <row r="128">
      <c r="A128" s="75">
        <f t="shared" si="83"/>
        <v>6</v>
      </c>
      <c r="B128" s="51" t="str">
        <f>IFERROR(__xludf.DUMMYFUNCTION("""COMPUTED_VALUE"""),"Cid Macaraeg")</f>
        <v>Cid Macaraeg</v>
      </c>
      <c r="C128" s="76"/>
      <c r="D128" s="22"/>
      <c r="E128" s="23"/>
      <c r="F128" s="76" t="str">
        <f>IFERROR(__xludf.DUMMYFUNCTION("""COMPUTED_VALUE"""),"Peter Homsey")</f>
        <v>Peter Homsey</v>
      </c>
      <c r="G128" s="22"/>
      <c r="H128" s="23"/>
      <c r="I128" s="76" t="s">
        <v>154</v>
      </c>
      <c r="J128" s="22"/>
      <c r="K128" s="22"/>
      <c r="L128" s="22"/>
      <c r="M128" s="23"/>
    </row>
    <row r="129">
      <c r="A129" s="75">
        <f t="shared" si="83"/>
        <v>7</v>
      </c>
      <c r="B129" s="51" t="str">
        <f>IFERROR(__xludf.DUMMYFUNCTION("""COMPUTED_VALUE"""),"Coco Yan")</f>
        <v>Coco Yan</v>
      </c>
      <c r="C129" s="76"/>
      <c r="D129" s="22"/>
      <c r="E129" s="23"/>
      <c r="F129" s="76" t="str">
        <f>IFERROR(__xludf.DUMMYFUNCTION("""COMPUTED_VALUE"""),"Sai Dilip Ponnaganti")</f>
        <v>Sai Dilip Ponnaganti</v>
      </c>
      <c r="G129" s="22"/>
      <c r="H129" s="23"/>
      <c r="I129" s="76" t="s">
        <v>155</v>
      </c>
      <c r="J129" s="22"/>
      <c r="K129" s="22"/>
      <c r="L129" s="22"/>
      <c r="M129" s="23"/>
    </row>
    <row r="130">
      <c r="A130" s="75">
        <f t="shared" si="83"/>
        <v>8</v>
      </c>
      <c r="B130" s="51" t="str">
        <f>IFERROR(__xludf.DUMMYFUNCTION("""COMPUTED_VALUE"""),"David Shin")</f>
        <v>David Shin</v>
      </c>
      <c r="C130" s="76"/>
      <c r="D130" s="22"/>
      <c r="E130" s="23"/>
      <c r="F130" s="76" t="str">
        <f>IFERROR(__xludf.DUMMYFUNCTION("""COMPUTED_VALUE"""),"Tony Lin")</f>
        <v>Tony Lin</v>
      </c>
      <c r="G130" s="22"/>
      <c r="H130" s="23"/>
      <c r="I130" s="76" t="s">
        <v>156</v>
      </c>
      <c r="J130" s="22"/>
      <c r="K130" s="22"/>
      <c r="L130" s="22"/>
      <c r="M130" s="23"/>
    </row>
    <row r="131">
      <c r="A131" s="75">
        <f t="shared" si="83"/>
        <v>9</v>
      </c>
      <c r="B131" s="51" t="str">
        <f>IFERROR(__xludf.DUMMYFUNCTION("""COMPUTED_VALUE"""),"Elayaraja Thangaraj ")</f>
        <v>Elayaraja Thangaraj </v>
      </c>
      <c r="C131" s="76"/>
      <c r="D131" s="22"/>
      <c r="E131" s="23"/>
      <c r="F131" s="76" t="str">
        <f>IFERROR(__xludf.DUMMYFUNCTION("""COMPUTED_VALUE"""),"Vinz Solano")</f>
        <v>Vinz Solano</v>
      </c>
      <c r="G131" s="22"/>
      <c r="H131" s="23"/>
      <c r="I131" s="76" t="s">
        <v>159</v>
      </c>
      <c r="J131" s="22"/>
      <c r="K131" s="22"/>
      <c r="L131" s="22"/>
      <c r="M131" s="23"/>
      <c r="O131" s="10" t="s">
        <v>160</v>
      </c>
    </row>
    <row r="132">
      <c r="A132" s="75">
        <f t="shared" si="83"/>
        <v>10</v>
      </c>
      <c r="B132" s="51" t="str">
        <f>IFERROR(__xludf.DUMMYFUNCTION("""COMPUTED_VALUE"""),"Eric Pan")</f>
        <v>Eric Pan</v>
      </c>
      <c r="C132" s="76"/>
      <c r="D132" s="22"/>
      <c r="E132" s="23"/>
      <c r="F132" s="76"/>
      <c r="G132" s="22"/>
      <c r="H132" s="23"/>
      <c r="I132" s="76"/>
      <c r="J132" s="22"/>
      <c r="K132" s="22"/>
      <c r="L132" s="22"/>
      <c r="M132" s="23"/>
    </row>
    <row r="133">
      <c r="A133" s="75">
        <f t="shared" si="83"/>
        <v>11</v>
      </c>
      <c r="B133" s="51" t="str">
        <f>IFERROR(__xludf.DUMMYFUNCTION("""COMPUTED_VALUE"""),"Eric Tan")</f>
        <v>Eric Tan</v>
      </c>
      <c r="C133" s="76"/>
      <c r="D133" s="22"/>
      <c r="E133" s="23"/>
      <c r="F133" s="76"/>
      <c r="G133" s="22"/>
      <c r="H133" s="23"/>
    </row>
    <row r="134">
      <c r="A134" s="75">
        <f t="shared" si="83"/>
        <v>12</v>
      </c>
      <c r="B134" s="51" t="str">
        <f>IFERROR(__xludf.DUMMYFUNCTION("""COMPUTED_VALUE"""),"Erik Hoeckmann")</f>
        <v>Erik Hoeckmann</v>
      </c>
      <c r="C134" s="76"/>
      <c r="D134" s="22"/>
      <c r="E134" s="23"/>
      <c r="F134" s="76"/>
      <c r="G134" s="22"/>
      <c r="H134" s="23"/>
      <c r="I134" s="76"/>
      <c r="J134" s="22"/>
      <c r="K134" s="22"/>
      <c r="L134" s="22"/>
      <c r="M134" s="23"/>
    </row>
    <row r="135">
      <c r="A135" s="75">
        <f t="shared" si="83"/>
        <v>13</v>
      </c>
      <c r="B135" s="51" t="str">
        <f>IFERROR(__xludf.DUMMYFUNCTION("""COMPUTED_VALUE"""),"Frank Moon")</f>
        <v>Frank Moon</v>
      </c>
      <c r="C135" s="76"/>
      <c r="D135" s="22"/>
      <c r="E135" s="23"/>
      <c r="F135" s="76"/>
      <c r="G135" s="22"/>
      <c r="H135" s="23"/>
      <c r="I135" s="76"/>
      <c r="J135" s="22"/>
      <c r="K135" s="22"/>
      <c r="L135" s="22"/>
      <c r="M135" s="23"/>
    </row>
    <row r="136">
      <c r="A136" s="75">
        <f t="shared" si="83"/>
        <v>14</v>
      </c>
      <c r="B136" s="51" t="str">
        <f>IFERROR(__xludf.DUMMYFUNCTION("""COMPUTED_VALUE"""),"James Phan")</f>
        <v>James Phan</v>
      </c>
      <c r="C136" s="76"/>
      <c r="D136" s="22"/>
      <c r="E136" s="23"/>
      <c r="F136" s="76"/>
      <c r="G136" s="22"/>
      <c r="H136" s="23"/>
      <c r="I136" s="76"/>
      <c r="J136" s="22"/>
      <c r="K136" s="22"/>
      <c r="L136" s="22"/>
      <c r="M136" s="23"/>
    </row>
    <row r="137">
      <c r="A137" s="75">
        <f t="shared" si="83"/>
        <v>15</v>
      </c>
      <c r="B137" s="51" t="str">
        <f>IFERROR(__xludf.DUMMYFUNCTION("""COMPUTED_VALUE"""),"Jim Miao")</f>
        <v>Jim Miao</v>
      </c>
      <c r="C137" s="76"/>
      <c r="D137" s="22"/>
      <c r="E137" s="23"/>
      <c r="F137" s="76"/>
      <c r="G137" s="22"/>
      <c r="H137" s="23"/>
      <c r="I137" s="76"/>
      <c r="J137" s="22"/>
      <c r="K137" s="22"/>
      <c r="L137" s="22"/>
      <c r="M137" s="23"/>
    </row>
    <row r="138">
      <c r="A138" s="75">
        <f t="shared" si="83"/>
        <v>16</v>
      </c>
      <c r="B138" s="51" t="str">
        <f>IFERROR(__xludf.DUMMYFUNCTION("""COMPUTED_VALUE"""),"Jimmy Awolesi")</f>
        <v>Jimmy Awolesi</v>
      </c>
      <c r="C138" s="76"/>
      <c r="D138" s="22"/>
      <c r="E138" s="23"/>
      <c r="F138" s="76"/>
      <c r="G138" s="22"/>
      <c r="H138" s="23"/>
    </row>
    <row r="139">
      <c r="A139" s="75">
        <f t="shared" si="83"/>
        <v>17</v>
      </c>
      <c r="B139" s="51" t="str">
        <f>IFERROR(__xludf.DUMMYFUNCTION("""COMPUTED_VALUE"""),"Joe Luzzi")</f>
        <v>Joe Luzzi</v>
      </c>
      <c r="C139" s="76"/>
      <c r="D139" s="22"/>
      <c r="E139" s="23"/>
      <c r="F139" s="76"/>
      <c r="G139" s="22"/>
      <c r="H139" s="23"/>
    </row>
    <row r="140">
      <c r="A140" s="75">
        <f t="shared" si="83"/>
        <v>18</v>
      </c>
      <c r="B140" s="51" t="str">
        <f>IFERROR(__xludf.DUMMYFUNCTION("""COMPUTED_VALUE"""),"Jonathan Phan")</f>
        <v>Jonathan Phan</v>
      </c>
      <c r="C140" s="76"/>
      <c r="D140" s="22"/>
      <c r="E140" s="23"/>
      <c r="F140" s="76"/>
      <c r="G140" s="22"/>
      <c r="H140" s="23"/>
    </row>
    <row r="141">
      <c r="A141" s="75">
        <f t="shared" si="83"/>
        <v>19</v>
      </c>
      <c r="B141" s="51" t="str">
        <f>IFERROR(__xludf.DUMMYFUNCTION("""COMPUTED_VALUE"""),"Joyce Zhu")</f>
        <v>Joyce Zhu</v>
      </c>
      <c r="C141" s="76"/>
      <c r="D141" s="22"/>
      <c r="E141" s="23"/>
      <c r="F141" s="76"/>
      <c r="G141" s="22"/>
      <c r="H141" s="23"/>
    </row>
    <row r="142">
      <c r="A142" s="75">
        <f t="shared" si="83"/>
        <v>20</v>
      </c>
      <c r="B142" s="51" t="str">
        <f>IFERROR(__xludf.DUMMYFUNCTION("""COMPUTED_VALUE"""),"Kumar Palakeel")</f>
        <v>Kumar Palakeel</v>
      </c>
      <c r="C142" s="76"/>
      <c r="D142" s="22"/>
      <c r="E142" s="23"/>
      <c r="F142" s="76"/>
      <c r="G142" s="22"/>
      <c r="H142" s="23"/>
    </row>
    <row r="143">
      <c r="A143" s="75">
        <f t="shared" si="83"/>
        <v>21</v>
      </c>
      <c r="B143" s="51" t="str">
        <f>IFERROR(__xludf.DUMMYFUNCTION("""COMPUTED_VALUE"""),"Lam Bui")</f>
        <v>Lam Bui</v>
      </c>
      <c r="C143" s="76"/>
      <c r="D143" s="22"/>
      <c r="E143" s="23"/>
      <c r="F143" s="76"/>
      <c r="G143" s="22"/>
      <c r="H143" s="23"/>
    </row>
    <row r="144">
      <c r="A144" s="75">
        <f t="shared" si="83"/>
        <v>22</v>
      </c>
      <c r="B144" s="51" t="str">
        <f>IFERROR(__xludf.DUMMYFUNCTION("""COMPUTED_VALUE"""),"Leigh-Anh Nguyen")</f>
        <v>Leigh-Anh Nguyen</v>
      </c>
      <c r="C144" s="76"/>
      <c r="D144" s="22"/>
      <c r="E144" s="23"/>
      <c r="F144" s="76"/>
      <c r="G144" s="22"/>
      <c r="H144" s="23"/>
    </row>
    <row r="145">
      <c r="A145" s="75">
        <f t="shared" si="83"/>
        <v>23</v>
      </c>
      <c r="B145" s="51" t="str">
        <f>IFERROR(__xludf.DUMMYFUNCTION("""COMPUTED_VALUE"""),"Lloyd Sagar")</f>
        <v>Lloyd Sagar</v>
      </c>
      <c r="C145" s="76"/>
      <c r="D145" s="22"/>
      <c r="E145" s="23"/>
      <c r="F145" s="76"/>
      <c r="G145" s="22"/>
      <c r="H145" s="23"/>
    </row>
    <row r="146">
      <c r="A146" s="75">
        <f t="shared" si="83"/>
        <v>24</v>
      </c>
      <c r="B146" s="51" t="str">
        <f>IFERROR(__xludf.DUMMYFUNCTION("""COMPUTED_VALUE"""),"Luis Hsu")</f>
        <v>Luis Hsu</v>
      </c>
      <c r="C146" s="76"/>
      <c r="D146" s="22"/>
      <c r="E146" s="23"/>
      <c r="F146" s="76"/>
      <c r="G146" s="22"/>
      <c r="H146" s="23"/>
    </row>
    <row r="147">
      <c r="A147" s="75">
        <f t="shared" si="83"/>
        <v>25</v>
      </c>
      <c r="B147" s="51" t="str">
        <f>IFERROR(__xludf.DUMMYFUNCTION("""COMPUTED_VALUE"""),"Manish Anand")</f>
        <v>Manish Anand</v>
      </c>
      <c r="C147" s="76"/>
      <c r="D147" s="22"/>
      <c r="E147" s="23"/>
      <c r="F147" s="76"/>
      <c r="G147" s="22"/>
      <c r="H147" s="23"/>
    </row>
    <row r="148">
      <c r="A148" s="75">
        <f t="shared" si="83"/>
        <v>26</v>
      </c>
      <c r="B148" s="51" t="str">
        <f>IFERROR(__xludf.DUMMYFUNCTION("""COMPUTED_VALUE"""),"Manuel Rivera")</f>
        <v>Manuel Rivera</v>
      </c>
      <c r="C148" s="76"/>
      <c r="D148" s="22"/>
      <c r="E148" s="23"/>
      <c r="F148" s="76"/>
      <c r="G148" s="22"/>
      <c r="H148" s="23"/>
    </row>
    <row r="149">
      <c r="A149" s="75">
        <f t="shared" si="83"/>
        <v>27</v>
      </c>
      <c r="B149" s="51" t="str">
        <f>IFERROR(__xludf.DUMMYFUNCTION("""COMPUTED_VALUE"""),"Matthew Huang")</f>
        <v>Matthew Huang</v>
      </c>
      <c r="C149" s="76"/>
      <c r="D149" s="22"/>
      <c r="E149" s="23"/>
      <c r="F149" s="76"/>
      <c r="G149" s="22"/>
      <c r="H149" s="23"/>
    </row>
    <row r="150">
      <c r="A150" s="75">
        <f t="shared" si="83"/>
        <v>28</v>
      </c>
      <c r="B150" s="51" t="str">
        <f>IFERROR(__xludf.DUMMYFUNCTION("""COMPUTED_VALUE"""),"Mauricio Palacios")</f>
        <v>Mauricio Palacios</v>
      </c>
      <c r="C150" s="76"/>
      <c r="D150" s="22"/>
      <c r="E150" s="23"/>
      <c r="F150" s="76"/>
      <c r="G150" s="22"/>
      <c r="H150" s="23"/>
    </row>
    <row r="151">
      <c r="A151" s="75">
        <f t="shared" si="83"/>
        <v>29</v>
      </c>
      <c r="B151" s="51" t="str">
        <f>IFERROR(__xludf.DUMMYFUNCTION("""COMPUTED_VALUE"""),"Naveen Raj")</f>
        <v>Naveen Raj</v>
      </c>
      <c r="C151" s="76"/>
      <c r="D151" s="22"/>
      <c r="E151" s="23"/>
      <c r="F151" s="76"/>
      <c r="G151" s="22"/>
      <c r="H151" s="23"/>
    </row>
    <row r="152">
      <c r="A152" s="75">
        <f t="shared" si="83"/>
        <v>30</v>
      </c>
      <c r="B152" s="51" t="str">
        <f>IFERROR(__xludf.DUMMYFUNCTION("""COMPUTED_VALUE"""),"Nicole Ni")</f>
        <v>Nicole Ni</v>
      </c>
      <c r="C152" s="76"/>
      <c r="D152" s="22"/>
      <c r="E152" s="23"/>
      <c r="F152" s="76"/>
      <c r="G152" s="22"/>
      <c r="H152" s="23"/>
    </row>
    <row r="153">
      <c r="A153" s="75">
        <f t="shared" si="83"/>
        <v>31</v>
      </c>
      <c r="B153" s="51" t="str">
        <f>IFERROR(__xludf.DUMMYFUNCTION("""COMPUTED_VALUE"""),"Oscar Bonilla")</f>
        <v>Oscar Bonilla</v>
      </c>
      <c r="C153" s="76"/>
      <c r="D153" s="22"/>
      <c r="E153" s="23"/>
      <c r="F153" s="76"/>
      <c r="G153" s="22"/>
      <c r="H153" s="23"/>
    </row>
    <row r="154">
      <c r="A154" s="75">
        <f t="shared" si="83"/>
        <v>32</v>
      </c>
      <c r="B154" s="51" t="str">
        <f>IFERROR(__xludf.DUMMYFUNCTION("""COMPUTED_VALUE"""),"Pavan Akkimsetty")</f>
        <v>Pavan Akkimsetty</v>
      </c>
      <c r="C154" s="76"/>
      <c r="D154" s="22"/>
      <c r="E154" s="23"/>
      <c r="F154" s="76"/>
      <c r="G154" s="22"/>
      <c r="H154" s="23"/>
    </row>
    <row r="155">
      <c r="A155" s="75">
        <f t="shared" si="83"/>
        <v>33</v>
      </c>
      <c r="B155" s="51" t="str">
        <f>IFERROR(__xludf.DUMMYFUNCTION("""COMPUTED_VALUE"""),"Pulkit Mathur")</f>
        <v>Pulkit Mathur</v>
      </c>
      <c r="C155" s="76"/>
      <c r="D155" s="22"/>
      <c r="E155" s="23"/>
      <c r="F155" s="76"/>
      <c r="G155" s="22"/>
      <c r="H155" s="23"/>
    </row>
    <row r="156">
      <c r="A156" s="75">
        <f t="shared" si="83"/>
        <v>34</v>
      </c>
      <c r="B156" s="51" t="str">
        <f>IFERROR(__xludf.DUMMYFUNCTION("""COMPUTED_VALUE"""),"Rajasekar Ramasamy")</f>
        <v>Rajasekar Ramasamy</v>
      </c>
      <c r="C156" s="76"/>
      <c r="D156" s="22"/>
      <c r="E156" s="23"/>
      <c r="F156" s="76"/>
      <c r="G156" s="22"/>
      <c r="H156" s="23"/>
    </row>
    <row r="157">
      <c r="A157" s="75">
        <f t="shared" si="83"/>
        <v>35</v>
      </c>
      <c r="B157" s="51" t="str">
        <f>IFERROR(__xludf.DUMMYFUNCTION("""COMPUTED_VALUE"""),"Rajesh Dorairaj")</f>
        <v>Rajesh Dorairaj</v>
      </c>
      <c r="C157" s="76"/>
      <c r="D157" s="22"/>
      <c r="E157" s="23"/>
      <c r="F157" s="76"/>
      <c r="G157" s="22"/>
      <c r="H157" s="23"/>
    </row>
    <row r="158">
      <c r="A158" s="75">
        <f t="shared" si="83"/>
        <v>36</v>
      </c>
      <c r="B158" s="51" t="str">
        <f>IFERROR(__xludf.DUMMYFUNCTION("""COMPUTED_VALUE"""),"Ramesh Bandaru")</f>
        <v>Ramesh Bandaru</v>
      </c>
      <c r="C158" s="76"/>
      <c r="D158" s="22"/>
      <c r="E158" s="23"/>
      <c r="F158" s="76"/>
      <c r="G158" s="22"/>
      <c r="H158" s="23"/>
    </row>
    <row r="159">
      <c r="A159" s="75">
        <f t="shared" si="83"/>
        <v>37</v>
      </c>
      <c r="B159" s="51" t="str">
        <f>IFERROR(__xludf.DUMMYFUNCTION("""COMPUTED_VALUE"""),"Robert Chang")</f>
        <v>Robert Chang</v>
      </c>
      <c r="C159" s="76"/>
      <c r="D159" s="22"/>
      <c r="E159" s="23"/>
      <c r="F159" s="76"/>
      <c r="G159" s="22"/>
      <c r="H159" s="23"/>
    </row>
    <row r="160">
      <c r="A160" s="75">
        <f t="shared" si="83"/>
        <v>38</v>
      </c>
      <c r="B160" s="51" t="str">
        <f>IFERROR(__xludf.DUMMYFUNCTION("""COMPUTED_VALUE"""),"Sandy Weyant")</f>
        <v>Sandy Weyant</v>
      </c>
      <c r="C160" s="76"/>
      <c r="D160" s="22"/>
      <c r="E160" s="23"/>
      <c r="F160" s="76"/>
      <c r="G160" s="22"/>
      <c r="H160" s="23"/>
    </row>
    <row r="161">
      <c r="A161" s="75">
        <f t="shared" si="83"/>
        <v>39</v>
      </c>
      <c r="B161" s="51" t="str">
        <f>IFERROR(__xludf.DUMMYFUNCTION("""COMPUTED_VALUE"""),"Sanjaye Elayattu")</f>
        <v>Sanjaye Elayattu</v>
      </c>
      <c r="C161" s="76"/>
      <c r="D161" s="22"/>
      <c r="E161" s="23"/>
      <c r="F161" s="76"/>
      <c r="G161" s="22"/>
      <c r="H161" s="23"/>
    </row>
    <row r="162">
      <c r="A162" s="75">
        <f t="shared" si="83"/>
        <v>40</v>
      </c>
      <c r="B162" s="51" t="str">
        <f>IFERROR(__xludf.DUMMYFUNCTION("""COMPUTED_VALUE"""),"Santosh Sundaresan ")</f>
        <v>Santosh Sundaresan </v>
      </c>
      <c r="C162" s="76"/>
      <c r="D162" s="22"/>
      <c r="E162" s="23"/>
      <c r="F162" s="76"/>
      <c r="G162" s="22"/>
      <c r="H162" s="23"/>
    </row>
    <row r="163">
      <c r="A163" s="75">
        <f t="shared" si="83"/>
        <v>41</v>
      </c>
      <c r="B163" s="51" t="str">
        <f>IFERROR(__xludf.DUMMYFUNCTION("""COMPUTED_VALUE"""),"Saravanan Veerapandian")</f>
        <v>Saravanan Veerapandian</v>
      </c>
      <c r="C163" s="76"/>
      <c r="D163" s="22"/>
      <c r="E163" s="23"/>
      <c r="F163" s="76"/>
      <c r="G163" s="22"/>
      <c r="H163" s="23"/>
    </row>
    <row r="164">
      <c r="A164" s="75">
        <f t="shared" si="83"/>
        <v>42</v>
      </c>
      <c r="B164" s="51" t="str">
        <f>IFERROR(__xludf.DUMMYFUNCTION("""COMPUTED_VALUE"""),"Scott Li")</f>
        <v>Scott Li</v>
      </c>
      <c r="C164" s="76"/>
      <c r="D164" s="22"/>
      <c r="E164" s="23"/>
      <c r="F164" s="76"/>
      <c r="G164" s="22"/>
      <c r="H164" s="23"/>
    </row>
    <row r="165">
      <c r="A165" s="75">
        <f t="shared" si="83"/>
        <v>43</v>
      </c>
      <c r="B165" s="51" t="str">
        <f>IFERROR(__xludf.DUMMYFUNCTION("""COMPUTED_VALUE"""),"Sean Chang")</f>
        <v>Sean Chang</v>
      </c>
      <c r="C165" s="76"/>
      <c r="D165" s="22"/>
      <c r="E165" s="23"/>
      <c r="F165" s="76"/>
      <c r="G165" s="22"/>
      <c r="H165" s="23"/>
    </row>
    <row r="166">
      <c r="A166" s="75">
        <f t="shared" si="83"/>
        <v>44</v>
      </c>
      <c r="B166" s="51" t="str">
        <f>IFERROR(__xludf.DUMMYFUNCTION("""COMPUTED_VALUE"""),"Suleman Alidina")</f>
        <v>Suleman Alidina</v>
      </c>
      <c r="C166" s="76"/>
      <c r="D166" s="22"/>
      <c r="E166" s="23"/>
      <c r="F166" s="76"/>
      <c r="G166" s="22"/>
      <c r="H166" s="23"/>
    </row>
    <row r="167">
      <c r="A167" s="75">
        <f t="shared" si="83"/>
        <v>45</v>
      </c>
      <c r="B167" s="51" t="str">
        <f>IFERROR(__xludf.DUMMYFUNCTION("""COMPUTED_VALUE"""),"Susanta Mishra")</f>
        <v>Susanta Mishra</v>
      </c>
      <c r="C167" s="76"/>
      <c r="D167" s="22"/>
      <c r="E167" s="23"/>
      <c r="F167" s="76"/>
      <c r="G167" s="22"/>
      <c r="H167" s="23"/>
    </row>
    <row r="168">
      <c r="A168" s="75">
        <f t="shared" si="83"/>
        <v>46</v>
      </c>
      <c r="B168" s="51" t="str">
        <f>IFERROR(__xludf.DUMMYFUNCTION("""COMPUTED_VALUE"""),"Ted Shen")</f>
        <v>Ted Shen</v>
      </c>
      <c r="C168" s="76"/>
      <c r="D168" s="22"/>
      <c r="E168" s="23"/>
      <c r="F168" s="76"/>
      <c r="G168" s="22"/>
      <c r="H168" s="23"/>
    </row>
    <row r="169">
      <c r="A169" s="75">
        <f t="shared" si="83"/>
        <v>47</v>
      </c>
      <c r="B169" s="51" t="str">
        <f>IFERROR(__xludf.DUMMYFUNCTION("""COMPUTED_VALUE"""),"Tom Le")</f>
        <v>Tom Le</v>
      </c>
      <c r="C169" s="76"/>
      <c r="D169" s="22"/>
      <c r="E169" s="23"/>
      <c r="F169" s="76"/>
      <c r="G169" s="22"/>
      <c r="H169" s="23"/>
    </row>
    <row r="170">
      <c r="A170" s="75">
        <f t="shared" si="83"/>
        <v>48</v>
      </c>
      <c r="B170" s="51" t="str">
        <f>IFERROR(__xludf.DUMMYFUNCTION("""COMPUTED_VALUE"""),"Trinath Goteti")</f>
        <v>Trinath Goteti</v>
      </c>
      <c r="C170" s="76"/>
      <c r="D170" s="22"/>
      <c r="E170" s="23"/>
      <c r="F170" s="76"/>
      <c r="G170" s="22"/>
      <c r="H170" s="23"/>
    </row>
    <row r="171">
      <c r="A171" s="75">
        <f t="shared" si="83"/>
        <v>49</v>
      </c>
      <c r="B171" s="51" t="str">
        <f>IFERROR(__xludf.DUMMYFUNCTION("""COMPUTED_VALUE"""),"Trish Newlin")</f>
        <v>Trish Newlin</v>
      </c>
      <c r="C171" s="76"/>
      <c r="D171" s="22"/>
      <c r="E171" s="23"/>
      <c r="F171" s="76"/>
      <c r="G171" s="22"/>
      <c r="H171" s="23"/>
    </row>
    <row r="172">
      <c r="A172" s="75">
        <f t="shared" si="83"/>
        <v>50</v>
      </c>
      <c r="B172" s="51" t="str">
        <f>IFERROR(__xludf.DUMMYFUNCTION("""COMPUTED_VALUE"""),"Troy Wong")</f>
        <v>Troy Wong</v>
      </c>
      <c r="C172" s="76"/>
      <c r="D172" s="22"/>
      <c r="E172" s="23"/>
      <c r="F172" s="76"/>
      <c r="G172" s="22"/>
      <c r="H172" s="23"/>
    </row>
    <row r="173">
      <c r="A173" s="75">
        <f t="shared" si="83"/>
        <v>51</v>
      </c>
      <c r="B173" s="51" t="str">
        <f>IFERROR(__xludf.DUMMYFUNCTION("""COMPUTED_VALUE"""),"Vinaya Kajla")</f>
        <v>Vinaya Kajla</v>
      </c>
      <c r="C173" s="76"/>
      <c r="D173" s="22"/>
      <c r="E173" s="23"/>
      <c r="F173" s="76"/>
      <c r="G173" s="22"/>
      <c r="H173" s="23"/>
    </row>
    <row r="174">
      <c r="A174" s="75">
        <f t="shared" si="83"/>
        <v>52</v>
      </c>
      <c r="B174" s="51" t="str">
        <f>IFERROR(__xludf.DUMMYFUNCTION("""COMPUTED_VALUE"""),"Vishnu Amarnath")</f>
        <v>Vishnu Amarnath</v>
      </c>
      <c r="C174" s="76"/>
      <c r="D174" s="22"/>
      <c r="E174" s="23"/>
      <c r="F174" s="76"/>
      <c r="G174" s="22"/>
      <c r="H174" s="23"/>
    </row>
    <row r="175">
      <c r="A175" s="75">
        <f t="shared" si="83"/>
        <v>53</v>
      </c>
      <c r="B175" s="51" t="str">
        <f>IFERROR(__xludf.DUMMYFUNCTION("""COMPUTED_VALUE"""),"Wayne Liu")</f>
        <v>Wayne Liu</v>
      </c>
      <c r="C175" s="76"/>
      <c r="D175" s="22"/>
      <c r="E175" s="23"/>
      <c r="F175" s="76"/>
      <c r="G175" s="22"/>
      <c r="H175" s="23"/>
    </row>
    <row r="176">
      <c r="A176" s="75">
        <f t="shared" si="83"/>
        <v>54</v>
      </c>
      <c r="B176" s="51"/>
      <c r="C176" s="76"/>
      <c r="D176" s="22"/>
      <c r="E176" s="23"/>
      <c r="F176" s="76"/>
      <c r="G176" s="22"/>
      <c r="H176" s="23"/>
    </row>
    <row r="177">
      <c r="A177" s="75">
        <f t="shared" si="83"/>
        <v>55</v>
      </c>
      <c r="B177" s="51"/>
      <c r="C177" s="76"/>
      <c r="D177" s="22"/>
      <c r="E177" s="23"/>
      <c r="F177" s="76"/>
      <c r="G177" s="22"/>
      <c r="H177" s="23"/>
    </row>
    <row r="178">
      <c r="A178" s="75">
        <f t="shared" si="83"/>
        <v>56</v>
      </c>
      <c r="B178" s="51"/>
      <c r="C178" s="76"/>
      <c r="D178" s="22"/>
      <c r="E178" s="23"/>
      <c r="F178" s="76"/>
      <c r="G178" s="22"/>
      <c r="H178" s="23"/>
    </row>
    <row r="179">
      <c r="A179" s="75">
        <f t="shared" si="83"/>
        <v>57</v>
      </c>
      <c r="B179" s="51"/>
      <c r="C179" s="76"/>
      <c r="D179" s="22"/>
      <c r="E179" s="23"/>
      <c r="F179" s="76"/>
      <c r="G179" s="22"/>
      <c r="H179" s="23"/>
    </row>
    <row r="180">
      <c r="A180" s="75">
        <f t="shared" si="83"/>
        <v>58</v>
      </c>
      <c r="B180" s="51"/>
      <c r="C180" s="76"/>
      <c r="D180" s="22"/>
      <c r="E180" s="23"/>
      <c r="F180" s="76"/>
      <c r="G180" s="22"/>
      <c r="H180" s="23"/>
    </row>
    <row r="181">
      <c r="A181" s="75">
        <f t="shared" si="83"/>
        <v>59</v>
      </c>
      <c r="B181" s="51"/>
      <c r="C181" s="76"/>
      <c r="D181" s="22"/>
      <c r="E181" s="23"/>
      <c r="F181" s="76"/>
      <c r="G181" s="22"/>
      <c r="H181" s="23"/>
    </row>
    <row r="182">
      <c r="A182" s="75">
        <f t="shared" si="83"/>
        <v>60</v>
      </c>
      <c r="B182" s="51"/>
      <c r="C182" s="76"/>
      <c r="D182" s="22"/>
      <c r="E182" s="23"/>
      <c r="F182" s="76"/>
      <c r="G182" s="22"/>
      <c r="H182" s="23"/>
    </row>
    <row r="183">
      <c r="A183" s="11"/>
      <c r="C183" s="11"/>
      <c r="D183" s="11"/>
      <c r="E183" s="11"/>
      <c r="F183" s="11"/>
    </row>
    <row r="184">
      <c r="A184" s="11"/>
      <c r="C184" s="11"/>
      <c r="D184" s="11"/>
      <c r="E184" s="11"/>
      <c r="F184" s="11"/>
    </row>
    <row r="185">
      <c r="A185" s="11"/>
      <c r="C185" s="11"/>
      <c r="D185" s="11"/>
      <c r="E185" s="11"/>
      <c r="F185" s="11"/>
    </row>
    <row r="186">
      <c r="A186" s="11"/>
      <c r="C186" s="11"/>
      <c r="D186" s="11"/>
      <c r="E186" s="11"/>
      <c r="F186" s="11"/>
    </row>
    <row r="187">
      <c r="A187" s="11"/>
      <c r="C187" s="11"/>
      <c r="D187" s="11"/>
      <c r="E187" s="11"/>
      <c r="F187" s="11"/>
    </row>
    <row r="188">
      <c r="A188" s="11"/>
      <c r="C188" s="11"/>
      <c r="D188" s="11"/>
      <c r="E188" s="11"/>
      <c r="F188" s="11"/>
    </row>
    <row r="189">
      <c r="A189" s="11"/>
      <c r="C189" s="11"/>
      <c r="D189" s="11"/>
      <c r="E189" s="11"/>
      <c r="F189" s="11"/>
    </row>
    <row r="190">
      <c r="A190" s="11"/>
      <c r="C190" s="11"/>
      <c r="D190" s="11"/>
      <c r="E190" s="11"/>
      <c r="F190" s="11"/>
    </row>
    <row r="191">
      <c r="A191" s="11"/>
      <c r="C191" s="11"/>
      <c r="D191" s="11"/>
      <c r="E191" s="11"/>
      <c r="F191" s="11"/>
    </row>
    <row r="192">
      <c r="A192" s="11"/>
      <c r="C192" s="11"/>
      <c r="D192" s="11"/>
      <c r="E192" s="11"/>
      <c r="F192" s="11"/>
    </row>
    <row r="193">
      <c r="A193" s="11"/>
      <c r="C193" s="11"/>
      <c r="D193" s="11"/>
      <c r="E193" s="11"/>
      <c r="F193" s="11"/>
    </row>
    <row r="194">
      <c r="A194" s="11"/>
      <c r="C194" s="11"/>
      <c r="D194" s="11"/>
      <c r="E194" s="11"/>
      <c r="F194" s="11"/>
    </row>
    <row r="195">
      <c r="A195" s="11"/>
      <c r="C195" s="11"/>
      <c r="D195" s="11"/>
      <c r="E195" s="11"/>
      <c r="F195" s="11"/>
    </row>
    <row r="196">
      <c r="A196" s="11"/>
      <c r="C196" s="11"/>
      <c r="D196" s="11"/>
      <c r="E196" s="11"/>
      <c r="F196" s="11"/>
    </row>
    <row r="197">
      <c r="A197" s="11"/>
      <c r="C197" s="11"/>
      <c r="D197" s="11"/>
      <c r="E197" s="11"/>
      <c r="F197" s="11"/>
    </row>
    <row r="198">
      <c r="A198" s="11"/>
      <c r="C198" s="11"/>
      <c r="D198" s="11"/>
      <c r="E198" s="11"/>
      <c r="F198" s="11"/>
    </row>
    <row r="199">
      <c r="A199" s="11"/>
      <c r="C199" s="11"/>
      <c r="D199" s="11"/>
      <c r="E199" s="11"/>
      <c r="F199" s="11"/>
    </row>
    <row r="200">
      <c r="A200" s="11"/>
      <c r="C200" s="11"/>
      <c r="D200" s="11"/>
      <c r="E200" s="11"/>
      <c r="F200" s="11"/>
    </row>
    <row r="201">
      <c r="A201" s="11"/>
      <c r="C201" s="11"/>
      <c r="D201" s="11"/>
      <c r="E201" s="11"/>
      <c r="F201" s="11"/>
    </row>
    <row r="202">
      <c r="A202" s="11"/>
      <c r="C202" s="11"/>
      <c r="D202" s="11"/>
      <c r="E202" s="11"/>
      <c r="F202" s="11"/>
    </row>
    <row r="203">
      <c r="A203" s="11"/>
      <c r="C203" s="11"/>
      <c r="D203" s="11"/>
      <c r="E203" s="11"/>
      <c r="F203" s="11"/>
    </row>
    <row r="204">
      <c r="A204" s="11"/>
      <c r="C204" s="11"/>
      <c r="D204" s="11"/>
      <c r="E204" s="11"/>
      <c r="F204" s="11"/>
    </row>
    <row r="205">
      <c r="A205" s="11"/>
      <c r="C205" s="11"/>
      <c r="D205" s="11"/>
      <c r="E205" s="11"/>
      <c r="F205" s="11"/>
    </row>
    <row r="206">
      <c r="A206" s="11"/>
      <c r="C206" s="11"/>
      <c r="D206" s="11"/>
      <c r="E206" s="11"/>
      <c r="F206" s="11"/>
    </row>
    <row r="207">
      <c r="A207" s="11"/>
      <c r="C207" s="11"/>
      <c r="D207" s="11"/>
      <c r="E207" s="11"/>
      <c r="F207" s="11"/>
    </row>
    <row r="208">
      <c r="A208" s="11"/>
      <c r="C208" s="11"/>
      <c r="D208" s="11"/>
      <c r="E208" s="11"/>
      <c r="F208" s="11"/>
    </row>
    <row r="209">
      <c r="A209" s="11"/>
      <c r="C209" s="11"/>
      <c r="D209" s="11"/>
      <c r="E209" s="11"/>
      <c r="F209" s="11"/>
    </row>
    <row r="210">
      <c r="A210" s="11"/>
      <c r="C210" s="11"/>
      <c r="D210" s="11"/>
      <c r="E210" s="11"/>
      <c r="F210" s="11"/>
    </row>
    <row r="211">
      <c r="A211" s="11"/>
      <c r="C211" s="11"/>
      <c r="D211" s="11"/>
      <c r="E211" s="11"/>
      <c r="F211" s="11"/>
    </row>
    <row r="212">
      <c r="A212" s="11"/>
      <c r="C212" s="11"/>
      <c r="D212" s="11"/>
      <c r="E212" s="11"/>
      <c r="F212" s="11"/>
    </row>
    <row r="213">
      <c r="A213" s="11"/>
      <c r="C213" s="11"/>
      <c r="D213" s="11"/>
      <c r="E213" s="11"/>
      <c r="F213" s="11"/>
    </row>
    <row r="214">
      <c r="A214" s="11"/>
      <c r="C214" s="11"/>
      <c r="D214" s="11"/>
      <c r="E214" s="11"/>
      <c r="F214" s="11"/>
    </row>
    <row r="215">
      <c r="A215" s="11"/>
      <c r="C215" s="11"/>
      <c r="D215" s="11"/>
      <c r="E215" s="11"/>
      <c r="F215" s="11"/>
    </row>
    <row r="216">
      <c r="A216" s="11"/>
      <c r="C216" s="11"/>
      <c r="D216" s="11"/>
      <c r="E216" s="11"/>
      <c r="F216" s="11"/>
    </row>
    <row r="217">
      <c r="A217" s="11"/>
      <c r="C217" s="11"/>
      <c r="D217" s="11"/>
      <c r="E217" s="11"/>
      <c r="F217" s="11"/>
    </row>
    <row r="218">
      <c r="A218" s="11"/>
      <c r="C218" s="11"/>
      <c r="D218" s="11"/>
      <c r="E218" s="11"/>
      <c r="F218" s="11"/>
    </row>
    <row r="219">
      <c r="A219" s="11"/>
      <c r="C219" s="11"/>
      <c r="D219" s="11"/>
      <c r="E219" s="11"/>
      <c r="F219" s="11"/>
    </row>
    <row r="220">
      <c r="A220" s="11"/>
      <c r="C220" s="11"/>
      <c r="D220" s="11"/>
      <c r="E220" s="11"/>
      <c r="F220" s="11"/>
    </row>
    <row r="221">
      <c r="A221" s="11"/>
      <c r="C221" s="11"/>
      <c r="D221" s="11"/>
      <c r="E221" s="11"/>
      <c r="F221" s="11"/>
    </row>
    <row r="222">
      <c r="A222" s="11"/>
      <c r="C222" s="11"/>
      <c r="D222" s="11"/>
      <c r="E222" s="11"/>
      <c r="F222" s="11"/>
    </row>
    <row r="223">
      <c r="A223" s="11"/>
      <c r="C223" s="11"/>
      <c r="D223" s="11"/>
      <c r="E223" s="11"/>
      <c r="F223" s="11"/>
    </row>
    <row r="224">
      <c r="A224" s="11"/>
      <c r="C224" s="11"/>
      <c r="D224" s="11"/>
      <c r="E224" s="11"/>
      <c r="F224" s="11"/>
    </row>
    <row r="225">
      <c r="A225" s="11"/>
      <c r="C225" s="11"/>
      <c r="D225" s="11"/>
      <c r="E225" s="11"/>
      <c r="F225" s="11"/>
    </row>
    <row r="226">
      <c r="A226" s="11"/>
      <c r="C226" s="11"/>
      <c r="D226" s="11"/>
      <c r="E226" s="11"/>
      <c r="F226" s="11"/>
    </row>
    <row r="227">
      <c r="A227" s="11"/>
      <c r="C227" s="11"/>
      <c r="D227" s="11"/>
      <c r="E227" s="11"/>
      <c r="F227" s="11"/>
    </row>
    <row r="228">
      <c r="A228" s="11"/>
      <c r="C228" s="11"/>
      <c r="D228" s="11"/>
      <c r="E228" s="11"/>
      <c r="F228" s="11"/>
    </row>
    <row r="229">
      <c r="A229" s="11"/>
      <c r="C229" s="11"/>
      <c r="D229" s="11"/>
      <c r="E229" s="11"/>
      <c r="F229" s="11"/>
    </row>
    <row r="230">
      <c r="A230" s="11"/>
      <c r="C230" s="11"/>
      <c r="D230" s="11"/>
      <c r="E230" s="11"/>
      <c r="F230" s="11"/>
    </row>
    <row r="231">
      <c r="A231" s="11"/>
      <c r="C231" s="11"/>
      <c r="D231" s="11"/>
      <c r="E231" s="11"/>
      <c r="F231" s="11"/>
    </row>
    <row r="232">
      <c r="A232" s="11"/>
      <c r="C232" s="11"/>
      <c r="D232" s="11"/>
      <c r="E232" s="11"/>
      <c r="F232" s="11"/>
    </row>
    <row r="233">
      <c r="A233" s="11"/>
      <c r="C233" s="11"/>
      <c r="D233" s="11"/>
      <c r="E233" s="11"/>
      <c r="F233" s="11"/>
    </row>
    <row r="234">
      <c r="A234" s="11"/>
      <c r="C234" s="11"/>
      <c r="D234" s="11"/>
      <c r="E234" s="11"/>
      <c r="F234" s="11"/>
    </row>
    <row r="235">
      <c r="A235" s="11"/>
      <c r="C235" s="11"/>
      <c r="D235" s="11"/>
      <c r="E235" s="11"/>
      <c r="F235" s="11"/>
    </row>
    <row r="236">
      <c r="A236" s="11"/>
      <c r="C236" s="11"/>
      <c r="D236" s="11"/>
      <c r="E236" s="11"/>
      <c r="F236" s="11"/>
    </row>
    <row r="237">
      <c r="A237" s="11"/>
      <c r="C237" s="11"/>
      <c r="D237" s="11"/>
      <c r="E237" s="11"/>
      <c r="F237" s="11"/>
    </row>
    <row r="238">
      <c r="A238" s="11"/>
      <c r="C238" s="11"/>
      <c r="D238" s="11"/>
      <c r="E238" s="11"/>
      <c r="F238" s="11"/>
    </row>
    <row r="239">
      <c r="A239" s="11"/>
      <c r="C239" s="11"/>
      <c r="D239" s="11"/>
      <c r="E239" s="11"/>
      <c r="F239" s="11"/>
    </row>
    <row r="240">
      <c r="A240" s="11"/>
      <c r="C240" s="11"/>
      <c r="D240" s="11"/>
      <c r="E240" s="11"/>
      <c r="F240" s="11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11"/>
      <c r="C261" s="11"/>
      <c r="D261" s="11"/>
      <c r="E261" s="11"/>
      <c r="F261" s="11"/>
    </row>
    <row r="262">
      <c r="A262" s="11"/>
      <c r="C262" s="11"/>
      <c r="D262" s="11"/>
      <c r="E262" s="11"/>
      <c r="F262" s="11"/>
    </row>
    <row r="263">
      <c r="A263" s="11"/>
      <c r="C263" s="11"/>
      <c r="D263" s="11"/>
      <c r="E263" s="11"/>
      <c r="F263" s="11"/>
    </row>
    <row r="264">
      <c r="A264" s="11"/>
      <c r="C264" s="11"/>
      <c r="D264" s="11"/>
      <c r="E264" s="11"/>
      <c r="F264" s="11"/>
    </row>
    <row r="265">
      <c r="A265" s="11"/>
      <c r="C265" s="11"/>
      <c r="D265" s="11"/>
      <c r="E265" s="11"/>
      <c r="F265" s="11"/>
    </row>
    <row r="266">
      <c r="A266" s="11"/>
      <c r="C266" s="11"/>
      <c r="D266" s="11"/>
      <c r="E266" s="11"/>
      <c r="F266" s="11"/>
    </row>
    <row r="267">
      <c r="A267" s="11"/>
      <c r="C267" s="11"/>
      <c r="D267" s="11"/>
      <c r="E267" s="11"/>
      <c r="F267" s="11"/>
    </row>
    <row r="268">
      <c r="A268" s="11"/>
      <c r="C268" s="11"/>
      <c r="D268" s="11"/>
      <c r="E268" s="11"/>
      <c r="F268" s="11"/>
    </row>
    <row r="269">
      <c r="A269" s="11"/>
      <c r="C269" s="11"/>
      <c r="D269" s="11"/>
      <c r="E269" s="11"/>
      <c r="F269" s="11"/>
    </row>
    <row r="270">
      <c r="A270" s="11"/>
      <c r="C270" s="11"/>
      <c r="D270" s="11"/>
      <c r="E270" s="11"/>
      <c r="F270" s="11"/>
    </row>
    <row r="271">
      <c r="A271" s="11"/>
      <c r="C271" s="11"/>
      <c r="D271" s="11"/>
      <c r="E271" s="11"/>
      <c r="F271" s="11"/>
    </row>
    <row r="272">
      <c r="A272" s="11"/>
      <c r="C272" s="11"/>
      <c r="D272" s="11"/>
      <c r="E272" s="11"/>
      <c r="F272" s="11"/>
    </row>
    <row r="273">
      <c r="A273" s="11"/>
      <c r="C273" s="11"/>
      <c r="D273" s="11"/>
      <c r="E273" s="11"/>
      <c r="F273" s="11"/>
    </row>
    <row r="274">
      <c r="A274" s="11"/>
      <c r="C274" s="11"/>
      <c r="D274" s="11"/>
      <c r="E274" s="11"/>
      <c r="F274" s="11"/>
    </row>
    <row r="275">
      <c r="A275" s="11"/>
      <c r="C275" s="11"/>
      <c r="D275" s="11"/>
      <c r="E275" s="11"/>
      <c r="F275" s="11"/>
    </row>
    <row r="276">
      <c r="A276" s="11"/>
      <c r="C276" s="11"/>
      <c r="D276" s="11"/>
      <c r="E276" s="11"/>
      <c r="F276" s="11"/>
    </row>
    <row r="277">
      <c r="A277" s="11"/>
      <c r="C277" s="11"/>
      <c r="D277" s="11"/>
      <c r="E277" s="11"/>
      <c r="F277" s="11"/>
    </row>
    <row r="278">
      <c r="A278" s="11"/>
      <c r="C278" s="11"/>
      <c r="D278" s="11"/>
      <c r="E278" s="11"/>
      <c r="F278" s="11"/>
    </row>
    <row r="279">
      <c r="A279" s="11"/>
      <c r="C279" s="11"/>
      <c r="D279" s="11"/>
      <c r="E279" s="11"/>
      <c r="F279" s="11"/>
    </row>
    <row r="280">
      <c r="A280" s="11"/>
      <c r="C280" s="11"/>
      <c r="D280" s="11"/>
      <c r="E280" s="11"/>
      <c r="F280" s="11"/>
    </row>
    <row r="281">
      <c r="A281" s="11"/>
      <c r="C281" s="11"/>
      <c r="D281" s="11"/>
      <c r="E281" s="11"/>
      <c r="F281" s="11"/>
    </row>
    <row r="282">
      <c r="A282" s="11"/>
      <c r="C282" s="11"/>
      <c r="D282" s="11"/>
      <c r="E282" s="11"/>
      <c r="F282" s="11"/>
    </row>
    <row r="283">
      <c r="A283" s="11"/>
      <c r="C283" s="11"/>
      <c r="D283" s="11"/>
      <c r="E283" s="11"/>
      <c r="F283" s="11"/>
    </row>
    <row r="284">
      <c r="A284" s="11"/>
      <c r="C284" s="11"/>
      <c r="D284" s="11"/>
      <c r="E284" s="11"/>
      <c r="F284" s="11"/>
    </row>
    <row r="285">
      <c r="A285" s="11"/>
      <c r="C285" s="11"/>
      <c r="D285" s="11"/>
      <c r="E285" s="11"/>
      <c r="F285" s="11"/>
    </row>
    <row r="286">
      <c r="A286" s="11"/>
      <c r="C286" s="11"/>
      <c r="D286" s="11"/>
      <c r="E286" s="11"/>
      <c r="F286" s="11"/>
    </row>
    <row r="287">
      <c r="A287" s="11"/>
      <c r="C287" s="11"/>
      <c r="D287" s="11"/>
      <c r="E287" s="11"/>
      <c r="F287" s="11"/>
    </row>
    <row r="288">
      <c r="A288" s="11"/>
      <c r="C288" s="11"/>
      <c r="D288" s="11"/>
      <c r="E288" s="11"/>
      <c r="F288" s="11"/>
    </row>
    <row r="289">
      <c r="A289" s="11"/>
      <c r="C289" s="11"/>
      <c r="D289" s="11"/>
      <c r="E289" s="11"/>
      <c r="F289" s="11"/>
    </row>
    <row r="290">
      <c r="A290" s="11"/>
      <c r="C290" s="11"/>
      <c r="D290" s="11"/>
      <c r="E290" s="11"/>
      <c r="F290" s="11"/>
    </row>
    <row r="291">
      <c r="A291" s="11"/>
      <c r="C291" s="11"/>
      <c r="D291" s="11"/>
      <c r="E291" s="11"/>
      <c r="F291" s="11"/>
    </row>
    <row r="292">
      <c r="A292" s="11"/>
      <c r="C292" s="11"/>
      <c r="D292" s="11"/>
      <c r="E292" s="11"/>
      <c r="F292" s="11"/>
    </row>
    <row r="293">
      <c r="A293" s="11"/>
      <c r="C293" s="11"/>
      <c r="D293" s="11"/>
      <c r="E293" s="11"/>
      <c r="F293" s="11"/>
    </row>
    <row r="294">
      <c r="A294" s="11"/>
      <c r="C294" s="11"/>
      <c r="D294" s="11"/>
      <c r="E294" s="11"/>
      <c r="F294" s="11"/>
    </row>
    <row r="295">
      <c r="A295" s="11"/>
      <c r="C295" s="11"/>
      <c r="D295" s="11"/>
      <c r="E295" s="11"/>
      <c r="F295" s="11"/>
    </row>
    <row r="296">
      <c r="A296" s="11"/>
      <c r="C296" s="11"/>
      <c r="D296" s="11"/>
      <c r="E296" s="11"/>
      <c r="F296" s="11"/>
    </row>
    <row r="297">
      <c r="A297" s="11"/>
      <c r="C297" s="11"/>
      <c r="D297" s="11"/>
      <c r="E297" s="11"/>
      <c r="F297" s="11"/>
    </row>
    <row r="298">
      <c r="A298" s="11"/>
      <c r="C298" s="11"/>
      <c r="D298" s="11"/>
      <c r="E298" s="11"/>
      <c r="F298" s="11"/>
    </row>
    <row r="299">
      <c r="A299" s="11"/>
      <c r="C299" s="11"/>
      <c r="D299" s="11"/>
      <c r="E299" s="11"/>
      <c r="F299" s="11"/>
    </row>
    <row r="300">
      <c r="A300" s="11"/>
      <c r="C300" s="11"/>
      <c r="D300" s="11"/>
      <c r="E300" s="11"/>
      <c r="F300" s="11"/>
    </row>
    <row r="301">
      <c r="A301" s="11"/>
      <c r="C301" s="11"/>
      <c r="D301" s="11"/>
      <c r="E301" s="11"/>
      <c r="F301" s="11"/>
    </row>
    <row r="302">
      <c r="A302" s="11"/>
      <c r="C302" s="11"/>
      <c r="D302" s="11"/>
      <c r="E302" s="11"/>
      <c r="F302" s="11"/>
    </row>
    <row r="303">
      <c r="A303" s="11"/>
      <c r="C303" s="11"/>
      <c r="D303" s="11"/>
      <c r="E303" s="11"/>
      <c r="F303" s="11"/>
    </row>
    <row r="304">
      <c r="A304" s="11"/>
      <c r="C304" s="11"/>
      <c r="D304" s="11"/>
      <c r="E304" s="11"/>
      <c r="F304" s="11"/>
    </row>
    <row r="305">
      <c r="A305" s="11"/>
      <c r="C305" s="11"/>
      <c r="D305" s="11"/>
      <c r="E305" s="11"/>
      <c r="F305" s="11"/>
    </row>
    <row r="306">
      <c r="A306" s="11"/>
      <c r="C306" s="11"/>
      <c r="D306" s="11"/>
      <c r="E306" s="11"/>
      <c r="F306" s="11"/>
    </row>
    <row r="307">
      <c r="A307" s="11"/>
      <c r="C307" s="11"/>
      <c r="D307" s="11"/>
      <c r="E307" s="11"/>
      <c r="F307" s="11"/>
    </row>
    <row r="308">
      <c r="A308" s="11"/>
      <c r="C308" s="11"/>
      <c r="D308" s="11"/>
      <c r="E308" s="11"/>
      <c r="F308" s="11"/>
    </row>
    <row r="309">
      <c r="A309" s="11"/>
      <c r="C309" s="11"/>
      <c r="D309" s="11"/>
      <c r="E309" s="11"/>
      <c r="F309" s="11"/>
    </row>
    <row r="310">
      <c r="A310" s="11"/>
      <c r="C310" s="11"/>
      <c r="D310" s="11"/>
      <c r="E310" s="11"/>
      <c r="F310" s="11"/>
    </row>
    <row r="311">
      <c r="A311" s="11"/>
      <c r="C311" s="11"/>
      <c r="D311" s="11"/>
      <c r="E311" s="11"/>
      <c r="F311" s="11"/>
    </row>
    <row r="312">
      <c r="A312" s="11"/>
      <c r="C312" s="11"/>
      <c r="D312" s="11"/>
      <c r="E312" s="11"/>
      <c r="F312" s="11"/>
    </row>
    <row r="313">
      <c r="A313" s="11"/>
      <c r="C313" s="11"/>
      <c r="D313" s="11"/>
      <c r="E313" s="11"/>
      <c r="F313" s="11"/>
    </row>
    <row r="314">
      <c r="A314" s="11"/>
      <c r="C314" s="11"/>
      <c r="D314" s="11"/>
      <c r="E314" s="11"/>
      <c r="F314" s="11"/>
    </row>
    <row r="315">
      <c r="A315" s="11"/>
      <c r="C315" s="11"/>
      <c r="D315" s="11"/>
      <c r="E315" s="11"/>
      <c r="F315" s="11"/>
    </row>
    <row r="316">
      <c r="A316" s="11"/>
      <c r="C316" s="11"/>
      <c r="D316" s="11"/>
      <c r="E316" s="11"/>
      <c r="F316" s="11"/>
    </row>
    <row r="317">
      <c r="A317" s="11"/>
      <c r="C317" s="11"/>
      <c r="D317" s="11"/>
      <c r="E317" s="11"/>
      <c r="F317" s="11"/>
    </row>
    <row r="318">
      <c r="A318" s="11"/>
      <c r="C318" s="11"/>
      <c r="D318" s="11"/>
      <c r="E318" s="11"/>
      <c r="F318" s="11"/>
    </row>
    <row r="319">
      <c r="A319" s="11"/>
      <c r="C319" s="11"/>
      <c r="D319" s="11"/>
      <c r="E319" s="11"/>
      <c r="F319" s="11"/>
    </row>
    <row r="320">
      <c r="A320" s="11"/>
      <c r="C320" s="11"/>
      <c r="D320" s="11"/>
      <c r="E320" s="11"/>
      <c r="F320" s="11"/>
    </row>
    <row r="321">
      <c r="A321" s="11"/>
      <c r="C321" s="11"/>
      <c r="D321" s="11"/>
      <c r="E321" s="11"/>
      <c r="F321" s="11"/>
    </row>
    <row r="322">
      <c r="A322" s="11"/>
      <c r="C322" s="11"/>
      <c r="D322" s="11"/>
      <c r="E322" s="11"/>
      <c r="F322" s="11"/>
    </row>
    <row r="323">
      <c r="A323" s="11"/>
      <c r="C323" s="11"/>
      <c r="D323" s="11"/>
      <c r="E323" s="11"/>
      <c r="F323" s="11"/>
    </row>
    <row r="324">
      <c r="A324" s="11"/>
      <c r="C324" s="11"/>
      <c r="D324" s="11"/>
      <c r="E324" s="11"/>
      <c r="F324" s="11"/>
    </row>
    <row r="325">
      <c r="A325" s="11"/>
      <c r="C325" s="11"/>
      <c r="D325" s="11"/>
      <c r="E325" s="11"/>
      <c r="F325" s="11"/>
    </row>
    <row r="326">
      <c r="A326" s="11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C343" s="11"/>
      <c r="D343" s="11"/>
      <c r="E343" s="11"/>
      <c r="F343" s="11"/>
    </row>
    <row r="344">
      <c r="A344" s="11"/>
      <c r="C344" s="11"/>
      <c r="D344" s="11"/>
      <c r="E344" s="11"/>
      <c r="F344" s="11"/>
    </row>
    <row r="345">
      <c r="A345" s="11"/>
      <c r="C345" s="11"/>
      <c r="D345" s="11"/>
      <c r="E345" s="11"/>
      <c r="F345" s="11"/>
    </row>
    <row r="346">
      <c r="A346" s="11"/>
      <c r="C346" s="11"/>
      <c r="D346" s="11"/>
      <c r="E346" s="11"/>
      <c r="F346" s="11"/>
    </row>
    <row r="347">
      <c r="A347" s="11"/>
      <c r="C347" s="11"/>
      <c r="D347" s="11"/>
      <c r="E347" s="11"/>
      <c r="F347" s="11"/>
    </row>
    <row r="348">
      <c r="A348" s="11"/>
      <c r="C348" s="11"/>
      <c r="D348" s="11"/>
      <c r="E348" s="11"/>
      <c r="F348" s="11"/>
    </row>
    <row r="349">
      <c r="A349" s="11"/>
      <c r="C349" s="11"/>
      <c r="D349" s="11"/>
      <c r="E349" s="11"/>
      <c r="F349" s="11"/>
    </row>
    <row r="350">
      <c r="A350" s="11"/>
      <c r="C350" s="11"/>
      <c r="D350" s="11"/>
      <c r="E350" s="11"/>
      <c r="F350" s="11"/>
    </row>
    <row r="351">
      <c r="A351" s="11"/>
      <c r="C351" s="11"/>
      <c r="D351" s="11"/>
      <c r="E351" s="11"/>
      <c r="F351" s="11"/>
    </row>
    <row r="352">
      <c r="A352" s="11"/>
      <c r="C352" s="11"/>
      <c r="D352" s="11"/>
      <c r="E352" s="11"/>
      <c r="F352" s="11"/>
    </row>
    <row r="353">
      <c r="A353" s="11"/>
      <c r="C353" s="11"/>
      <c r="D353" s="11"/>
      <c r="E353" s="11"/>
      <c r="F353" s="11"/>
    </row>
    <row r="354">
      <c r="A354" s="11"/>
      <c r="C354" s="11"/>
      <c r="D354" s="11"/>
      <c r="E354" s="11"/>
      <c r="F354" s="11"/>
    </row>
    <row r="355">
      <c r="A355" s="11"/>
      <c r="C355" s="11"/>
      <c r="D355" s="11"/>
      <c r="E355" s="11"/>
      <c r="F355" s="11"/>
    </row>
    <row r="356">
      <c r="A356" s="11"/>
      <c r="C356" s="11"/>
      <c r="D356" s="11"/>
      <c r="E356" s="11"/>
      <c r="F356" s="11"/>
    </row>
    <row r="357">
      <c r="A357" s="11"/>
      <c r="C357" s="11"/>
      <c r="D357" s="11"/>
      <c r="E357" s="11"/>
      <c r="F357" s="11"/>
    </row>
    <row r="358">
      <c r="A358" s="11"/>
      <c r="C358" s="11"/>
      <c r="D358" s="11"/>
      <c r="E358" s="11"/>
      <c r="F358" s="11"/>
    </row>
    <row r="359">
      <c r="A359" s="11"/>
      <c r="C359" s="11"/>
      <c r="D359" s="11"/>
      <c r="E359" s="11"/>
      <c r="F359" s="11"/>
    </row>
    <row r="360">
      <c r="A360" s="11"/>
      <c r="C360" s="11"/>
      <c r="D360" s="11"/>
      <c r="E360" s="11"/>
      <c r="F360" s="11"/>
    </row>
    <row r="361">
      <c r="A361" s="11"/>
      <c r="C361" s="11"/>
      <c r="D361" s="11"/>
      <c r="E361" s="11"/>
      <c r="F361" s="11"/>
    </row>
    <row r="362">
      <c r="A362" s="11"/>
      <c r="C362" s="11"/>
      <c r="D362" s="11"/>
      <c r="E362" s="11"/>
      <c r="F362" s="11"/>
    </row>
    <row r="363">
      <c r="A363" s="11"/>
      <c r="C363" s="11"/>
      <c r="D363" s="11"/>
      <c r="E363" s="11"/>
      <c r="F363" s="11"/>
    </row>
    <row r="364">
      <c r="A364" s="11"/>
      <c r="C364" s="11"/>
      <c r="D364" s="11"/>
      <c r="E364" s="11"/>
      <c r="F364" s="11"/>
    </row>
    <row r="365">
      <c r="A365" s="11"/>
      <c r="C365" s="11"/>
      <c r="D365" s="11"/>
      <c r="E365" s="11"/>
      <c r="F365" s="11"/>
    </row>
    <row r="366">
      <c r="A366" s="11"/>
      <c r="C366" s="11"/>
      <c r="D366" s="11"/>
      <c r="E366" s="11"/>
      <c r="F366" s="11"/>
    </row>
    <row r="367">
      <c r="A367" s="11"/>
      <c r="C367" s="11"/>
      <c r="D367" s="11"/>
      <c r="E367" s="11"/>
      <c r="F367" s="11"/>
    </row>
    <row r="368">
      <c r="A368" s="11"/>
      <c r="C368" s="11"/>
      <c r="D368" s="11"/>
      <c r="E368" s="11"/>
      <c r="F368" s="11"/>
    </row>
    <row r="369">
      <c r="A369" s="11"/>
      <c r="C369" s="11"/>
      <c r="D369" s="11"/>
      <c r="E369" s="11"/>
      <c r="F369" s="11"/>
    </row>
    <row r="370">
      <c r="A370" s="11"/>
      <c r="C370" s="11"/>
      <c r="D370" s="11"/>
      <c r="E370" s="11"/>
      <c r="F370" s="11"/>
    </row>
    <row r="371">
      <c r="A371" s="11"/>
      <c r="C371" s="11"/>
      <c r="D371" s="11"/>
      <c r="E371" s="11"/>
      <c r="F371" s="11"/>
    </row>
    <row r="372">
      <c r="A372" s="11"/>
      <c r="C372" s="11"/>
      <c r="D372" s="11"/>
      <c r="E372" s="11"/>
      <c r="F372" s="11"/>
    </row>
    <row r="373">
      <c r="A373" s="11"/>
      <c r="C373" s="11"/>
      <c r="D373" s="11"/>
      <c r="E373" s="11"/>
      <c r="F373" s="11"/>
    </row>
    <row r="374">
      <c r="A374" s="11"/>
      <c r="C374" s="11"/>
      <c r="D374" s="11"/>
      <c r="E374" s="11"/>
      <c r="F374" s="11"/>
    </row>
    <row r="375">
      <c r="A375" s="11"/>
      <c r="C375" s="11"/>
      <c r="D375" s="11"/>
      <c r="E375" s="11"/>
      <c r="F375" s="11"/>
    </row>
    <row r="376">
      <c r="A376" s="11"/>
      <c r="C376" s="11"/>
      <c r="D376" s="11"/>
      <c r="E376" s="11"/>
      <c r="F376" s="11"/>
    </row>
    <row r="377">
      <c r="A377" s="11"/>
      <c r="C377" s="11"/>
      <c r="D377" s="11"/>
      <c r="E377" s="11"/>
      <c r="F377" s="11"/>
    </row>
    <row r="378">
      <c r="A378" s="11"/>
      <c r="C378" s="11"/>
      <c r="D378" s="11"/>
      <c r="E378" s="11"/>
      <c r="F378" s="11"/>
    </row>
    <row r="379">
      <c r="A379" s="11"/>
      <c r="C379" s="11"/>
      <c r="D379" s="11"/>
      <c r="E379" s="11"/>
      <c r="F379" s="11"/>
    </row>
    <row r="380">
      <c r="A380" s="11"/>
      <c r="C380" s="11"/>
      <c r="D380" s="11"/>
      <c r="E380" s="11"/>
      <c r="F380" s="11"/>
    </row>
    <row r="381">
      <c r="A381" s="11"/>
      <c r="C381" s="11"/>
      <c r="D381" s="11"/>
      <c r="E381" s="11"/>
      <c r="F381" s="11"/>
    </row>
    <row r="382">
      <c r="A382" s="11"/>
      <c r="C382" s="11"/>
      <c r="D382" s="11"/>
      <c r="E382" s="11"/>
      <c r="F382" s="11"/>
    </row>
    <row r="383">
      <c r="A383" s="11"/>
      <c r="C383" s="11"/>
      <c r="D383" s="11"/>
      <c r="E383" s="11"/>
      <c r="F383" s="11"/>
    </row>
    <row r="384">
      <c r="A384" s="11"/>
      <c r="C384" s="11"/>
      <c r="D384" s="11"/>
      <c r="E384" s="11"/>
      <c r="F384" s="11"/>
    </row>
    <row r="385">
      <c r="A385" s="11"/>
      <c r="C385" s="11"/>
      <c r="D385" s="11"/>
      <c r="E385" s="11"/>
      <c r="F385" s="11"/>
    </row>
    <row r="386">
      <c r="A386" s="11"/>
      <c r="C386" s="11"/>
      <c r="D386" s="11"/>
      <c r="E386" s="11"/>
      <c r="F386" s="11"/>
    </row>
    <row r="387">
      <c r="A387" s="11"/>
      <c r="C387" s="11"/>
      <c r="D387" s="11"/>
      <c r="E387" s="11"/>
      <c r="F387" s="11"/>
    </row>
    <row r="388">
      <c r="A388" s="11"/>
      <c r="C388" s="11"/>
      <c r="D388" s="11"/>
      <c r="E388" s="11"/>
      <c r="F388" s="11"/>
    </row>
    <row r="389">
      <c r="A389" s="11"/>
      <c r="C389" s="11"/>
      <c r="D389" s="11"/>
      <c r="E389" s="11"/>
      <c r="F389" s="11"/>
    </row>
    <row r="390">
      <c r="A390" s="11"/>
      <c r="C390" s="11"/>
      <c r="D390" s="11"/>
      <c r="E390" s="11"/>
      <c r="F390" s="11"/>
    </row>
    <row r="391">
      <c r="A391" s="11"/>
      <c r="C391" s="11"/>
      <c r="D391" s="11"/>
      <c r="E391" s="11"/>
      <c r="F391" s="11"/>
    </row>
    <row r="392">
      <c r="A392" s="11"/>
      <c r="C392" s="11"/>
      <c r="D392" s="11"/>
      <c r="E392" s="11"/>
      <c r="F392" s="11"/>
    </row>
    <row r="393">
      <c r="A393" s="11"/>
      <c r="C393" s="11"/>
      <c r="D393" s="11"/>
      <c r="E393" s="11"/>
      <c r="F393" s="11"/>
    </row>
    <row r="394">
      <c r="A394" s="11"/>
      <c r="C394" s="11"/>
      <c r="D394" s="11"/>
      <c r="E394" s="11"/>
      <c r="F394" s="11"/>
    </row>
    <row r="395">
      <c r="A395" s="11"/>
      <c r="C395" s="11"/>
      <c r="D395" s="11"/>
      <c r="E395" s="11"/>
      <c r="F395" s="11"/>
    </row>
    <row r="396">
      <c r="A396" s="11"/>
      <c r="C396" s="11"/>
      <c r="D396" s="11"/>
      <c r="E396" s="11"/>
      <c r="F396" s="11"/>
    </row>
    <row r="397">
      <c r="A397" s="11"/>
      <c r="C397" s="11"/>
      <c r="D397" s="11"/>
      <c r="E397" s="11"/>
      <c r="F397" s="11"/>
    </row>
    <row r="398">
      <c r="A398" s="11"/>
      <c r="C398" s="11"/>
      <c r="D398" s="11"/>
      <c r="E398" s="11"/>
      <c r="F398" s="11"/>
    </row>
    <row r="399">
      <c r="A399" s="11"/>
      <c r="C399" s="11"/>
      <c r="D399" s="11"/>
      <c r="E399" s="11"/>
      <c r="F399" s="11"/>
    </row>
    <row r="400">
      <c r="A400" s="11"/>
      <c r="C400" s="11"/>
      <c r="D400" s="11"/>
      <c r="E400" s="11"/>
      <c r="F400" s="11"/>
    </row>
    <row r="401">
      <c r="A401" s="11"/>
      <c r="C401" s="11"/>
      <c r="D401" s="11"/>
      <c r="E401" s="11"/>
      <c r="F401" s="11"/>
    </row>
    <row r="402">
      <c r="A402" s="11"/>
      <c r="C402" s="11"/>
      <c r="D402" s="11"/>
      <c r="E402" s="11"/>
      <c r="F402" s="11"/>
    </row>
    <row r="403">
      <c r="A403" s="11"/>
      <c r="C403" s="11"/>
      <c r="D403" s="11"/>
      <c r="E403" s="11"/>
      <c r="F403" s="11"/>
    </row>
    <row r="404">
      <c r="A404" s="11"/>
      <c r="C404" s="11"/>
      <c r="D404" s="11"/>
      <c r="E404" s="11"/>
      <c r="F404" s="11"/>
    </row>
    <row r="405">
      <c r="A405" s="11"/>
      <c r="C405" s="11"/>
      <c r="D405" s="11"/>
      <c r="E405" s="11"/>
      <c r="F405" s="11"/>
    </row>
    <row r="406">
      <c r="A406" s="11"/>
      <c r="C406" s="11"/>
      <c r="D406" s="11"/>
      <c r="E406" s="11"/>
      <c r="F406" s="11"/>
    </row>
    <row r="407">
      <c r="A407" s="11"/>
      <c r="C407" s="11"/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</sheetData>
  <mergeCells count="145">
    <mergeCell ref="F132:H132"/>
    <mergeCell ref="I132:M132"/>
    <mergeCell ref="C130:E130"/>
    <mergeCell ref="F130:H130"/>
    <mergeCell ref="I130:M130"/>
    <mergeCell ref="C131:E131"/>
    <mergeCell ref="F131:H131"/>
    <mergeCell ref="I131:M131"/>
    <mergeCell ref="C132:E132"/>
    <mergeCell ref="C133:E133"/>
    <mergeCell ref="F133:H133"/>
    <mergeCell ref="C134:E134"/>
    <mergeCell ref="F134:H134"/>
    <mergeCell ref="I134:M134"/>
    <mergeCell ref="F135:H135"/>
    <mergeCell ref="I135:M135"/>
    <mergeCell ref="C135:E135"/>
    <mergeCell ref="C136:E136"/>
    <mergeCell ref="F136:H136"/>
    <mergeCell ref="I136:M136"/>
    <mergeCell ref="C137:E137"/>
    <mergeCell ref="F137:H137"/>
    <mergeCell ref="I137:M137"/>
    <mergeCell ref="C1:F1"/>
    <mergeCell ref="I1:K1"/>
    <mergeCell ref="L1:M1"/>
    <mergeCell ref="B2:C2"/>
    <mergeCell ref="C3:E3"/>
    <mergeCell ref="F3:M3"/>
    <mergeCell ref="N3:O3"/>
    <mergeCell ref="A121:M121"/>
    <mergeCell ref="C122:E122"/>
    <mergeCell ref="F122:H122"/>
    <mergeCell ref="I122:M122"/>
    <mergeCell ref="C123:E123"/>
    <mergeCell ref="F123:H123"/>
    <mergeCell ref="I123:M123"/>
    <mergeCell ref="F126:H126"/>
    <mergeCell ref="I126:M126"/>
    <mergeCell ref="C124:E124"/>
    <mergeCell ref="F124:H124"/>
    <mergeCell ref="I124:M124"/>
    <mergeCell ref="C125:E125"/>
    <mergeCell ref="F125:H125"/>
    <mergeCell ref="I125:M125"/>
    <mergeCell ref="C126:E126"/>
    <mergeCell ref="F129:H129"/>
    <mergeCell ref="I129:M129"/>
    <mergeCell ref="C127:E127"/>
    <mergeCell ref="F127:H127"/>
    <mergeCell ref="I127:M127"/>
    <mergeCell ref="C128:E128"/>
    <mergeCell ref="F128:H128"/>
    <mergeCell ref="I128:M128"/>
    <mergeCell ref="C129:E129"/>
    <mergeCell ref="F142:H142"/>
    <mergeCell ref="F143:H143"/>
    <mergeCell ref="F164:H164"/>
    <mergeCell ref="F165:H165"/>
    <mergeCell ref="F157:H157"/>
    <mergeCell ref="F158:H158"/>
    <mergeCell ref="F159:H159"/>
    <mergeCell ref="F160:H160"/>
    <mergeCell ref="F161:H161"/>
    <mergeCell ref="F162:H162"/>
    <mergeCell ref="F163:H163"/>
    <mergeCell ref="C168:E168"/>
    <mergeCell ref="F168:H168"/>
    <mergeCell ref="C169:E169"/>
    <mergeCell ref="F169:H169"/>
    <mergeCell ref="C170:E170"/>
    <mergeCell ref="F170:H170"/>
    <mergeCell ref="F171:H171"/>
    <mergeCell ref="C178:E178"/>
    <mergeCell ref="C179:E179"/>
    <mergeCell ref="C180:E180"/>
    <mergeCell ref="C181:E181"/>
    <mergeCell ref="C182:E182"/>
    <mergeCell ref="C171:E171"/>
    <mergeCell ref="C172:E172"/>
    <mergeCell ref="C173:E173"/>
    <mergeCell ref="C174:E174"/>
    <mergeCell ref="C175:E175"/>
    <mergeCell ref="C176:E176"/>
    <mergeCell ref="C177:E177"/>
    <mergeCell ref="F179:H179"/>
    <mergeCell ref="F180:H180"/>
    <mergeCell ref="F181:H181"/>
    <mergeCell ref="F182:H182"/>
    <mergeCell ref="F172:H172"/>
    <mergeCell ref="F173:H173"/>
    <mergeCell ref="F174:H174"/>
    <mergeCell ref="F175:H175"/>
    <mergeCell ref="F176:H176"/>
    <mergeCell ref="F177:H177"/>
    <mergeCell ref="F178:H178"/>
    <mergeCell ref="C138:E138"/>
    <mergeCell ref="F138:H138"/>
    <mergeCell ref="C139:E139"/>
    <mergeCell ref="F139:H139"/>
    <mergeCell ref="C140:E140"/>
    <mergeCell ref="F140:H140"/>
    <mergeCell ref="F141:H141"/>
    <mergeCell ref="C141:E141"/>
    <mergeCell ref="C142:E142"/>
    <mergeCell ref="C143:E143"/>
    <mergeCell ref="C144:E144"/>
    <mergeCell ref="F144:H144"/>
    <mergeCell ref="C145:E145"/>
    <mergeCell ref="F145:H145"/>
    <mergeCell ref="C146:E146"/>
    <mergeCell ref="F146:H146"/>
    <mergeCell ref="C147:E147"/>
    <mergeCell ref="F147:H147"/>
    <mergeCell ref="C148:E148"/>
    <mergeCell ref="F148:H148"/>
    <mergeCell ref="F149:H149"/>
    <mergeCell ref="C149:E149"/>
    <mergeCell ref="C150:E150"/>
    <mergeCell ref="C151:E151"/>
    <mergeCell ref="C152:E152"/>
    <mergeCell ref="C153:E153"/>
    <mergeCell ref="C154:E154"/>
    <mergeCell ref="C155:E155"/>
    <mergeCell ref="F150:H150"/>
    <mergeCell ref="F151:H151"/>
    <mergeCell ref="F152:H152"/>
    <mergeCell ref="F153:H153"/>
    <mergeCell ref="F154:H154"/>
    <mergeCell ref="F155:H155"/>
    <mergeCell ref="F156:H156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F166:H166"/>
    <mergeCell ref="C167:E167"/>
    <mergeCell ref="F167:H167"/>
  </mergeCells>
  <conditionalFormatting sqref="L5:L69">
    <cfRule type="expression" dxfId="1" priority="1">
      <formula> L5&gt;=18</formula>
    </cfRule>
  </conditionalFormatting>
  <conditionalFormatting sqref="C10 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13">
        <v>45626.0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22.0</v>
      </c>
      <c r="E2" s="11"/>
      <c r="F2" s="11"/>
      <c r="AB2" s="20" t="str">
        <f>text(C1-7,"mm/dd/yy")</f>
        <v>11/23/24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32">
        <v>336.0</v>
      </c>
      <c r="D5" s="32">
        <v>41.0</v>
      </c>
      <c r="E5" s="35">
        <f t="shared" ref="E5:E69" si="2">(C5-(U5*9)-(S5*13))/($D$2-U5-S5)</f>
        <v>17.125</v>
      </c>
      <c r="F5" s="37">
        <v>3.0</v>
      </c>
      <c r="G5" s="39">
        <v>0.0</v>
      </c>
      <c r="H5" s="40">
        <v>9.0</v>
      </c>
      <c r="I5" s="39">
        <v>0.0</v>
      </c>
      <c r="J5" s="39">
        <v>0.0</v>
      </c>
      <c r="K5" s="39">
        <v>0.0</v>
      </c>
      <c r="L5" s="42">
        <v>9.0</v>
      </c>
      <c r="M5" s="39">
        <v>0.0</v>
      </c>
      <c r="N5" s="32">
        <f t="shared" ref="N5:O5" si="1">C5+L5</f>
        <v>345</v>
      </c>
      <c r="O5" s="32">
        <f t="shared" si="1"/>
        <v>41</v>
      </c>
      <c r="P5" s="43" t="s">
        <v>53</v>
      </c>
      <c r="Q5" s="43" t="s">
        <v>53</v>
      </c>
      <c r="R5" s="43"/>
      <c r="S5" s="39">
        <f t="shared" ref="S5:S69" si="4">if(H5=13,1,0)+VLOOKUP(B5,indirect($AB$2&amp;"!B:T"),18,false)</f>
        <v>2</v>
      </c>
      <c r="T5" s="39"/>
      <c r="U5" s="39">
        <f t="shared" ref="U5:U69" si="5">if(H5=9,1,0)+VLOOKUP(B5,indirect($AB$2&amp;"!B:U"),20,false)</f>
        <v>4</v>
      </c>
      <c r="V5" s="39">
        <f t="shared" ref="V5:V65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51" t="s">
        <v>85</v>
      </c>
      <c r="C6" s="32">
        <v>277.0</v>
      </c>
      <c r="D6" s="32">
        <v>23.0</v>
      </c>
      <c r="E6" s="35">
        <f t="shared" si="2"/>
        <v>16.5</v>
      </c>
      <c r="F6" s="37">
        <v>3.0</v>
      </c>
      <c r="G6" s="39">
        <v>0.0</v>
      </c>
      <c r="H6" s="40">
        <v>9.0</v>
      </c>
      <c r="I6" s="39">
        <v>0.0</v>
      </c>
      <c r="J6" s="39">
        <v>0.0</v>
      </c>
      <c r="K6" s="39">
        <v>0.0</v>
      </c>
      <c r="L6" s="42">
        <v>9.0</v>
      </c>
      <c r="M6" s="39">
        <v>0.0</v>
      </c>
      <c r="N6" s="32">
        <f t="shared" ref="N6:O6" si="3">C6+L6</f>
        <v>286</v>
      </c>
      <c r="O6" s="32">
        <f t="shared" si="3"/>
        <v>23</v>
      </c>
      <c r="P6" s="43" t="s">
        <v>53</v>
      </c>
      <c r="Q6" s="43" t="s">
        <v>53</v>
      </c>
      <c r="R6" s="43" t="s">
        <v>53</v>
      </c>
      <c r="S6" s="39">
        <f t="shared" si="4"/>
        <v>1</v>
      </c>
      <c r="T6" s="39"/>
      <c r="U6" s="39">
        <f t="shared" si="5"/>
        <v>11</v>
      </c>
      <c r="V6" s="39">
        <f t="shared" si="6"/>
        <v>8</v>
      </c>
      <c r="W6" s="30">
        <f t="shared" ref="W6:W69" si="9">W5+1</f>
        <v>2</v>
      </c>
    </row>
    <row r="7">
      <c r="A7" s="30">
        <f t="shared" si="7"/>
        <v>3</v>
      </c>
      <c r="B7" s="31" t="s">
        <v>61</v>
      </c>
      <c r="C7" s="32">
        <v>276.0</v>
      </c>
      <c r="D7" s="32">
        <v>28.0</v>
      </c>
      <c r="E7" s="35">
        <f t="shared" si="2"/>
        <v>13.875</v>
      </c>
      <c r="F7" s="37">
        <v>1.0</v>
      </c>
      <c r="G7" s="39">
        <v>1.0</v>
      </c>
      <c r="H7" s="40">
        <v>0.0</v>
      </c>
      <c r="I7" s="39">
        <v>6.0</v>
      </c>
      <c r="J7" s="39">
        <v>6.0</v>
      </c>
      <c r="K7" s="39">
        <v>6.0</v>
      </c>
      <c r="L7" s="42">
        <v>18.0</v>
      </c>
      <c r="M7" s="39">
        <v>2.0</v>
      </c>
      <c r="N7" s="32">
        <f t="shared" ref="N7:O7" si="8">C7+L7</f>
        <v>294</v>
      </c>
      <c r="O7" s="32">
        <f t="shared" si="8"/>
        <v>30</v>
      </c>
      <c r="P7" s="43" t="s">
        <v>53</v>
      </c>
      <c r="Q7" s="43" t="s">
        <v>53</v>
      </c>
      <c r="R7" s="43" t="s">
        <v>53</v>
      </c>
      <c r="S7" s="39">
        <f t="shared" si="4"/>
        <v>0</v>
      </c>
      <c r="T7" s="39"/>
      <c r="U7" s="39">
        <f t="shared" si="5"/>
        <v>6</v>
      </c>
      <c r="V7" s="39">
        <f t="shared" si="6"/>
        <v>-1</v>
      </c>
      <c r="W7" s="30">
        <f t="shared" si="9"/>
        <v>3</v>
      </c>
    </row>
    <row r="8">
      <c r="A8" s="30">
        <f t="shared" si="7"/>
        <v>4</v>
      </c>
      <c r="B8" s="31" t="s">
        <v>82</v>
      </c>
      <c r="C8" s="32">
        <v>274.0</v>
      </c>
      <c r="D8" s="32">
        <v>23.0</v>
      </c>
      <c r="E8" s="35">
        <f t="shared" si="2"/>
        <v>15.18181818</v>
      </c>
      <c r="F8" s="37">
        <v>1.0</v>
      </c>
      <c r="G8" s="39">
        <v>1.0</v>
      </c>
      <c r="H8" s="40">
        <v>0.0</v>
      </c>
      <c r="I8" s="39">
        <v>4.0</v>
      </c>
      <c r="J8" s="39">
        <v>7.0</v>
      </c>
      <c r="K8" s="39">
        <v>6.0</v>
      </c>
      <c r="L8" s="42">
        <v>17.0</v>
      </c>
      <c r="M8" s="39">
        <v>2.0</v>
      </c>
      <c r="N8" s="32">
        <f t="shared" ref="N8:O8" si="10">C8+L8</f>
        <v>291</v>
      </c>
      <c r="O8" s="32">
        <f t="shared" si="10"/>
        <v>25</v>
      </c>
      <c r="P8" s="43" t="s">
        <v>53</v>
      </c>
      <c r="Q8" s="43" t="s">
        <v>53</v>
      </c>
      <c r="R8" s="43" t="s">
        <v>53</v>
      </c>
      <c r="S8" s="39">
        <f t="shared" si="4"/>
        <v>2</v>
      </c>
      <c r="T8" s="39"/>
      <c r="U8" s="39">
        <f t="shared" si="5"/>
        <v>9</v>
      </c>
      <c r="V8" s="39">
        <f t="shared" si="6"/>
        <v>8</v>
      </c>
      <c r="W8" s="30">
        <f t="shared" si="9"/>
        <v>4</v>
      </c>
    </row>
    <row r="9">
      <c r="A9" s="30">
        <f t="shared" si="7"/>
        <v>5</v>
      </c>
      <c r="B9" s="51" t="s">
        <v>54</v>
      </c>
      <c r="C9" s="32">
        <v>272.0</v>
      </c>
      <c r="D9" s="32">
        <v>27.0</v>
      </c>
      <c r="E9" s="35">
        <f t="shared" si="2"/>
        <v>13.11764706</v>
      </c>
      <c r="F9" s="37">
        <v>1.0</v>
      </c>
      <c r="G9" s="39">
        <v>1.0</v>
      </c>
      <c r="H9" s="40">
        <v>0.0</v>
      </c>
      <c r="I9" s="39">
        <v>6.0</v>
      </c>
      <c r="J9" s="39">
        <v>7.0</v>
      </c>
      <c r="K9" s="39">
        <v>3.0</v>
      </c>
      <c r="L9" s="42">
        <v>16.0</v>
      </c>
      <c r="M9" s="39">
        <v>2.0</v>
      </c>
      <c r="N9" s="32">
        <f t="shared" ref="N9:O9" si="11">C9+L9</f>
        <v>288</v>
      </c>
      <c r="O9" s="32">
        <f t="shared" si="11"/>
        <v>29</v>
      </c>
      <c r="P9" s="43" t="s">
        <v>53</v>
      </c>
      <c r="Q9" s="43" t="s">
        <v>53</v>
      </c>
      <c r="R9" s="43" t="s">
        <v>53</v>
      </c>
      <c r="S9" s="39">
        <f t="shared" si="4"/>
        <v>1</v>
      </c>
      <c r="T9" s="39"/>
      <c r="U9" s="39">
        <f t="shared" si="5"/>
        <v>4</v>
      </c>
      <c r="V9" s="39">
        <f t="shared" si="6"/>
        <v>-2</v>
      </c>
      <c r="W9" s="30">
        <f t="shared" si="9"/>
        <v>5</v>
      </c>
    </row>
    <row r="10">
      <c r="A10" s="30">
        <f t="shared" si="7"/>
        <v>6</v>
      </c>
      <c r="B10" s="31" t="s">
        <v>71</v>
      </c>
      <c r="C10" s="32">
        <v>271.0</v>
      </c>
      <c r="D10" s="32">
        <v>24.0</v>
      </c>
      <c r="E10" s="35">
        <f t="shared" si="2"/>
        <v>12.63157895</v>
      </c>
      <c r="F10" s="37">
        <v>1.0</v>
      </c>
      <c r="G10" s="39">
        <v>1.0</v>
      </c>
      <c r="H10" s="40">
        <v>0.0</v>
      </c>
      <c r="I10" s="39">
        <v>4.0</v>
      </c>
      <c r="J10" s="39">
        <v>6.0</v>
      </c>
      <c r="K10" s="39">
        <v>3.0</v>
      </c>
      <c r="L10" s="42">
        <v>13.0</v>
      </c>
      <c r="M10" s="39">
        <v>0.0</v>
      </c>
      <c r="N10" s="32">
        <f t="shared" ref="N10:O10" si="12">C10+L10</f>
        <v>284</v>
      </c>
      <c r="O10" s="32">
        <f t="shared" si="12"/>
        <v>24</v>
      </c>
      <c r="P10" s="43" t="s">
        <v>53</v>
      </c>
      <c r="Q10" s="43" t="s">
        <v>53</v>
      </c>
      <c r="R10" s="43" t="s">
        <v>53</v>
      </c>
      <c r="S10" s="39">
        <f t="shared" si="4"/>
        <v>1</v>
      </c>
      <c r="T10" s="39"/>
      <c r="U10" s="39">
        <f t="shared" si="5"/>
        <v>2</v>
      </c>
      <c r="V10" s="39">
        <f t="shared" si="6"/>
        <v>-2</v>
      </c>
      <c r="W10" s="30">
        <f t="shared" si="9"/>
        <v>6</v>
      </c>
    </row>
    <row r="11">
      <c r="A11" s="30">
        <f t="shared" si="7"/>
        <v>7</v>
      </c>
      <c r="B11" s="51" t="s">
        <v>92</v>
      </c>
      <c r="C11" s="32">
        <v>271.0</v>
      </c>
      <c r="D11" s="32">
        <v>23.0</v>
      </c>
      <c r="E11" s="35">
        <f t="shared" si="2"/>
        <v>15.9</v>
      </c>
      <c r="F11" s="37">
        <v>3.0</v>
      </c>
      <c r="G11" s="39">
        <v>0.0</v>
      </c>
      <c r="H11" s="40">
        <v>9.0</v>
      </c>
      <c r="I11" s="39">
        <v>0.0</v>
      </c>
      <c r="J11" s="39">
        <v>0.0</v>
      </c>
      <c r="K11" s="39">
        <v>0.0</v>
      </c>
      <c r="L11" s="42">
        <v>9.0</v>
      </c>
      <c r="M11" s="39">
        <v>0.0</v>
      </c>
      <c r="N11" s="32">
        <f t="shared" ref="N11:O11" si="13">C11+L11</f>
        <v>280</v>
      </c>
      <c r="O11" s="32">
        <f t="shared" si="13"/>
        <v>23</v>
      </c>
      <c r="P11" s="43" t="s">
        <v>53</v>
      </c>
      <c r="Q11" s="43" t="s">
        <v>53</v>
      </c>
      <c r="R11" s="43" t="s">
        <v>88</v>
      </c>
      <c r="S11" s="39">
        <f t="shared" si="4"/>
        <v>1</v>
      </c>
      <c r="T11" s="39"/>
      <c r="U11" s="39">
        <f t="shared" si="5"/>
        <v>11</v>
      </c>
      <c r="V11" s="39">
        <f t="shared" si="6"/>
        <v>-2</v>
      </c>
      <c r="W11" s="30">
        <f t="shared" si="9"/>
        <v>7</v>
      </c>
    </row>
    <row r="12">
      <c r="A12" s="30">
        <f t="shared" si="7"/>
        <v>8</v>
      </c>
      <c r="B12" s="31" t="s">
        <v>57</v>
      </c>
      <c r="C12" s="32">
        <v>271.0</v>
      </c>
      <c r="D12" s="32">
        <v>22.0</v>
      </c>
      <c r="E12" s="35">
        <f t="shared" si="2"/>
        <v>13.06666667</v>
      </c>
      <c r="F12" s="37">
        <v>2.0</v>
      </c>
      <c r="G12" s="39">
        <v>2.0</v>
      </c>
      <c r="H12" s="40">
        <v>0.0</v>
      </c>
      <c r="I12" s="39">
        <v>6.0</v>
      </c>
      <c r="J12" s="39">
        <v>6.0</v>
      </c>
      <c r="K12" s="39">
        <v>6.0</v>
      </c>
      <c r="L12" s="42">
        <v>18.0</v>
      </c>
      <c r="M12" s="39">
        <v>2.0</v>
      </c>
      <c r="N12" s="32">
        <f t="shared" ref="N12:O12" si="14">C12+L12</f>
        <v>289</v>
      </c>
      <c r="O12" s="32">
        <f t="shared" si="14"/>
        <v>24</v>
      </c>
      <c r="P12" s="43" t="s">
        <v>53</v>
      </c>
      <c r="Q12" s="43" t="s">
        <v>53</v>
      </c>
      <c r="R12" s="43" t="s">
        <v>53</v>
      </c>
      <c r="S12" s="39">
        <f t="shared" si="4"/>
        <v>3</v>
      </c>
      <c r="T12" s="39"/>
      <c r="U12" s="39">
        <f t="shared" si="5"/>
        <v>4</v>
      </c>
      <c r="V12" s="39">
        <f t="shared" si="6"/>
        <v>-2</v>
      </c>
      <c r="W12" s="30">
        <f t="shared" si="9"/>
        <v>8</v>
      </c>
    </row>
    <row r="13">
      <c r="A13" s="30">
        <f t="shared" si="7"/>
        <v>9</v>
      </c>
      <c r="B13" s="31" t="s">
        <v>86</v>
      </c>
      <c r="C13" s="32">
        <v>271.0</v>
      </c>
      <c r="D13" s="32">
        <v>20.0</v>
      </c>
      <c r="E13" s="35">
        <f t="shared" si="2"/>
        <v>12.35294118</v>
      </c>
      <c r="F13" s="37">
        <v>2.0</v>
      </c>
      <c r="G13" s="39">
        <v>2.0</v>
      </c>
      <c r="H13" s="40">
        <v>0.0</v>
      </c>
      <c r="I13" s="39">
        <v>3.0</v>
      </c>
      <c r="J13" s="39">
        <v>6.0</v>
      </c>
      <c r="K13" s="39">
        <v>3.0</v>
      </c>
      <c r="L13" s="42">
        <v>12.0</v>
      </c>
      <c r="M13" s="39">
        <v>0.0</v>
      </c>
      <c r="N13" s="32">
        <f t="shared" ref="N13:O13" si="15">C13+L13</f>
        <v>283</v>
      </c>
      <c r="O13" s="32">
        <f t="shared" si="15"/>
        <v>20</v>
      </c>
      <c r="P13" s="43" t="s">
        <v>53</v>
      </c>
      <c r="Q13" s="43" t="s">
        <v>53</v>
      </c>
      <c r="R13" s="43" t="s">
        <v>53</v>
      </c>
      <c r="S13" s="39">
        <f t="shared" si="4"/>
        <v>4</v>
      </c>
      <c r="T13" s="39"/>
      <c r="U13" s="39">
        <f t="shared" si="5"/>
        <v>1</v>
      </c>
      <c r="V13" s="39">
        <f t="shared" si="6"/>
        <v>0</v>
      </c>
      <c r="W13" s="30">
        <f t="shared" si="9"/>
        <v>9</v>
      </c>
    </row>
    <row r="14">
      <c r="A14" s="30">
        <f t="shared" si="7"/>
        <v>10</v>
      </c>
      <c r="B14" s="51" t="s">
        <v>78</v>
      </c>
      <c r="C14" s="32">
        <v>270.0</v>
      </c>
      <c r="D14" s="32">
        <v>26.0</v>
      </c>
      <c r="E14" s="35">
        <f t="shared" si="2"/>
        <v>12.42857143</v>
      </c>
      <c r="F14" s="37">
        <v>1.0</v>
      </c>
      <c r="G14" s="39">
        <v>2.0</v>
      </c>
      <c r="H14" s="40">
        <v>0.0</v>
      </c>
      <c r="I14" s="39">
        <v>6.0</v>
      </c>
      <c r="J14" s="39">
        <v>7.0</v>
      </c>
      <c r="K14" s="39">
        <v>3.0</v>
      </c>
      <c r="L14" s="42">
        <v>16.0</v>
      </c>
      <c r="M14" s="39">
        <v>2.0</v>
      </c>
      <c r="N14" s="32">
        <f t="shared" ref="N14:O14" si="16">C14+L14</f>
        <v>286</v>
      </c>
      <c r="O14" s="32">
        <f t="shared" si="16"/>
        <v>28</v>
      </c>
      <c r="P14" s="43" t="s">
        <v>53</v>
      </c>
      <c r="Q14" s="43" t="s">
        <v>53</v>
      </c>
      <c r="R14" s="43" t="s">
        <v>53</v>
      </c>
      <c r="S14" s="39">
        <f t="shared" si="4"/>
        <v>0</v>
      </c>
      <c r="T14" s="39"/>
      <c r="U14" s="39">
        <f t="shared" si="5"/>
        <v>1</v>
      </c>
      <c r="V14" s="39">
        <f t="shared" si="6"/>
        <v>3</v>
      </c>
      <c r="W14" s="30">
        <f t="shared" si="9"/>
        <v>10</v>
      </c>
    </row>
    <row r="15">
      <c r="A15" s="30">
        <f t="shared" si="7"/>
        <v>11</v>
      </c>
      <c r="B15" s="31" t="s">
        <v>34</v>
      </c>
      <c r="C15" s="32">
        <v>268.0</v>
      </c>
      <c r="D15" s="32">
        <v>28.0</v>
      </c>
      <c r="E15" s="35">
        <f t="shared" si="2"/>
        <v>13.375</v>
      </c>
      <c r="F15" s="37">
        <v>3.0</v>
      </c>
      <c r="G15" s="39">
        <v>0.0</v>
      </c>
      <c r="H15" s="40">
        <v>9.0</v>
      </c>
      <c r="I15" s="39">
        <v>0.0</v>
      </c>
      <c r="J15" s="39">
        <v>0.0</v>
      </c>
      <c r="K15" s="39">
        <v>0.0</v>
      </c>
      <c r="L15" s="42">
        <v>9.0</v>
      </c>
      <c r="M15" s="39">
        <v>0.0</v>
      </c>
      <c r="N15" s="32">
        <f t="shared" ref="N15:O15" si="17">C15+L15</f>
        <v>277</v>
      </c>
      <c r="O15" s="32">
        <f t="shared" si="17"/>
        <v>28</v>
      </c>
      <c r="P15" s="43" t="s">
        <v>53</v>
      </c>
      <c r="Q15" s="43" t="s">
        <v>53</v>
      </c>
      <c r="R15" s="43" t="s">
        <v>53</v>
      </c>
      <c r="S15" s="39">
        <f t="shared" si="4"/>
        <v>0</v>
      </c>
      <c r="T15" s="39"/>
      <c r="U15" s="39">
        <f t="shared" si="5"/>
        <v>6</v>
      </c>
      <c r="V15" s="39">
        <f t="shared" si="6"/>
        <v>-4</v>
      </c>
      <c r="W15" s="30">
        <f t="shared" si="9"/>
        <v>11</v>
      </c>
    </row>
    <row r="16">
      <c r="A16" s="30">
        <f t="shared" si="7"/>
        <v>12</v>
      </c>
      <c r="B16" s="51" t="s">
        <v>87</v>
      </c>
      <c r="C16" s="32">
        <v>268.0</v>
      </c>
      <c r="D16" s="32">
        <v>22.0</v>
      </c>
      <c r="E16" s="35">
        <f t="shared" si="2"/>
        <v>12.375</v>
      </c>
      <c r="F16" s="37">
        <v>1.0</v>
      </c>
      <c r="G16" s="39">
        <v>2.0</v>
      </c>
      <c r="H16" s="40">
        <v>0.0</v>
      </c>
      <c r="I16" s="39">
        <v>3.0</v>
      </c>
      <c r="J16" s="39">
        <v>7.0</v>
      </c>
      <c r="K16" s="39">
        <v>6.0</v>
      </c>
      <c r="L16" s="42">
        <v>16.0</v>
      </c>
      <c r="M16" s="39">
        <v>2.0</v>
      </c>
      <c r="N16" s="32">
        <f t="shared" ref="N16:O16" si="18">C16+L16</f>
        <v>284</v>
      </c>
      <c r="O16" s="32">
        <f t="shared" si="18"/>
        <v>24</v>
      </c>
      <c r="P16" s="43" t="s">
        <v>53</v>
      </c>
      <c r="Q16" s="43" t="s">
        <v>53</v>
      </c>
      <c r="R16" s="43" t="s">
        <v>88</v>
      </c>
      <c r="S16" s="39">
        <f t="shared" si="4"/>
        <v>4</v>
      </c>
      <c r="T16" s="39"/>
      <c r="U16" s="39">
        <f t="shared" si="5"/>
        <v>2</v>
      </c>
      <c r="V16" s="39">
        <f t="shared" si="6"/>
        <v>-4</v>
      </c>
      <c r="W16" s="30">
        <f t="shared" si="9"/>
        <v>12</v>
      </c>
    </row>
    <row r="17">
      <c r="A17" s="30">
        <f t="shared" si="7"/>
        <v>13</v>
      </c>
      <c r="B17" s="31" t="s">
        <v>91</v>
      </c>
      <c r="C17" s="32">
        <v>266.0</v>
      </c>
      <c r="D17" s="32">
        <v>23.0</v>
      </c>
      <c r="E17" s="35">
        <f t="shared" si="2"/>
        <v>13.26666667</v>
      </c>
      <c r="F17" s="37">
        <v>3.0</v>
      </c>
      <c r="G17" s="39">
        <v>0.0</v>
      </c>
      <c r="H17" s="40">
        <v>9.0</v>
      </c>
      <c r="I17" s="39">
        <v>0.0</v>
      </c>
      <c r="J17" s="39">
        <v>0.0</v>
      </c>
      <c r="K17" s="39">
        <v>0.0</v>
      </c>
      <c r="L17" s="42">
        <v>9.0</v>
      </c>
      <c r="M17" s="39">
        <v>0.0</v>
      </c>
      <c r="N17" s="32">
        <f t="shared" ref="N17:O17" si="19">C17+L17</f>
        <v>275</v>
      </c>
      <c r="O17" s="32">
        <f t="shared" si="19"/>
        <v>23</v>
      </c>
      <c r="P17" s="43" t="s">
        <v>53</v>
      </c>
      <c r="Q17" s="43" t="s">
        <v>53</v>
      </c>
      <c r="R17" s="43" t="s">
        <v>53</v>
      </c>
      <c r="S17" s="39">
        <f t="shared" si="4"/>
        <v>1</v>
      </c>
      <c r="T17" s="39"/>
      <c r="U17" s="39">
        <f t="shared" si="5"/>
        <v>6</v>
      </c>
      <c r="V17" s="39">
        <f t="shared" si="6"/>
        <v>-2</v>
      </c>
      <c r="W17" s="30">
        <f t="shared" si="9"/>
        <v>13</v>
      </c>
    </row>
    <row r="18">
      <c r="A18" s="30">
        <f t="shared" si="7"/>
        <v>14</v>
      </c>
      <c r="B18" s="31" t="s">
        <v>83</v>
      </c>
      <c r="C18" s="32">
        <v>266.0</v>
      </c>
      <c r="D18" s="32">
        <v>22.0</v>
      </c>
      <c r="E18" s="35">
        <f t="shared" si="2"/>
        <v>14.23076923</v>
      </c>
      <c r="F18" s="37">
        <v>1.0</v>
      </c>
      <c r="G18" s="39">
        <v>3.0</v>
      </c>
      <c r="H18" s="40">
        <v>0.0</v>
      </c>
      <c r="I18" s="39">
        <v>5.0</v>
      </c>
      <c r="J18" s="39">
        <v>7.0</v>
      </c>
      <c r="K18" s="39">
        <v>7.0</v>
      </c>
      <c r="L18" s="42">
        <v>19.0</v>
      </c>
      <c r="M18" s="39">
        <v>2.0</v>
      </c>
      <c r="N18" s="32">
        <f t="shared" ref="N18:O18" si="20">C18+L18</f>
        <v>285</v>
      </c>
      <c r="O18" s="32">
        <f t="shared" si="20"/>
        <v>24</v>
      </c>
      <c r="P18" s="43" t="s">
        <v>53</v>
      </c>
      <c r="Q18" s="43" t="s">
        <v>53</v>
      </c>
      <c r="R18" s="43" t="s">
        <v>53</v>
      </c>
      <c r="S18" s="39">
        <f t="shared" si="4"/>
        <v>0</v>
      </c>
      <c r="T18" s="39"/>
      <c r="U18" s="39">
        <f t="shared" si="5"/>
        <v>9</v>
      </c>
      <c r="V18" s="39">
        <f t="shared" si="6"/>
        <v>1</v>
      </c>
      <c r="W18" s="30">
        <f t="shared" si="9"/>
        <v>14</v>
      </c>
    </row>
    <row r="19">
      <c r="A19" s="30">
        <f t="shared" si="7"/>
        <v>15</v>
      </c>
      <c r="B19" s="31" t="s">
        <v>90</v>
      </c>
      <c r="C19" s="32">
        <v>264.0</v>
      </c>
      <c r="D19" s="32">
        <v>19.0</v>
      </c>
      <c r="E19" s="35">
        <f t="shared" si="2"/>
        <v>13.5</v>
      </c>
      <c r="F19" s="37">
        <v>3.0</v>
      </c>
      <c r="G19" s="39">
        <v>0.0</v>
      </c>
      <c r="H19" s="40">
        <v>9.0</v>
      </c>
      <c r="I19" s="39">
        <v>0.0</v>
      </c>
      <c r="J19" s="39">
        <v>0.0</v>
      </c>
      <c r="K19" s="39">
        <v>0.0</v>
      </c>
      <c r="L19" s="42">
        <v>9.0</v>
      </c>
      <c r="M19" s="39">
        <v>0.0</v>
      </c>
      <c r="N19" s="32">
        <f t="shared" ref="N19:O19" si="21">C19+L19</f>
        <v>273</v>
      </c>
      <c r="O19" s="32">
        <f t="shared" si="21"/>
        <v>19</v>
      </c>
      <c r="P19" s="43" t="s">
        <v>53</v>
      </c>
      <c r="Q19" s="43" t="s">
        <v>53</v>
      </c>
      <c r="R19" s="43" t="s">
        <v>53</v>
      </c>
      <c r="S19" s="39">
        <f t="shared" si="4"/>
        <v>3</v>
      </c>
      <c r="T19" s="39"/>
      <c r="U19" s="39">
        <f t="shared" si="5"/>
        <v>7</v>
      </c>
      <c r="V19" s="39">
        <f t="shared" si="6"/>
        <v>3</v>
      </c>
      <c r="W19" s="30">
        <f t="shared" si="9"/>
        <v>15</v>
      </c>
    </row>
    <row r="20">
      <c r="A20" s="30">
        <f t="shared" si="7"/>
        <v>16</v>
      </c>
      <c r="B20" s="56" t="s">
        <v>65</v>
      </c>
      <c r="C20" s="32">
        <v>264.0</v>
      </c>
      <c r="D20" s="32">
        <v>19.0</v>
      </c>
      <c r="E20" s="35">
        <f t="shared" si="2"/>
        <v>12.875</v>
      </c>
      <c r="F20" s="37">
        <v>1.0</v>
      </c>
      <c r="G20" s="39">
        <v>3.0</v>
      </c>
      <c r="H20" s="40">
        <v>0.0</v>
      </c>
      <c r="I20" s="39">
        <v>7.0</v>
      </c>
      <c r="J20" s="39">
        <v>6.0</v>
      </c>
      <c r="K20" s="39">
        <v>7.0</v>
      </c>
      <c r="L20" s="42">
        <v>20.0</v>
      </c>
      <c r="M20" s="39">
        <v>2.0</v>
      </c>
      <c r="N20" s="32">
        <f t="shared" ref="N20:O20" si="22">C20+L20</f>
        <v>284</v>
      </c>
      <c r="O20" s="32">
        <f t="shared" si="22"/>
        <v>21</v>
      </c>
      <c r="P20" s="43" t="s">
        <v>53</v>
      </c>
      <c r="Q20" s="43" t="s">
        <v>53</v>
      </c>
      <c r="R20" s="43" t="s">
        <v>53</v>
      </c>
      <c r="S20" s="39">
        <f t="shared" si="4"/>
        <v>1</v>
      </c>
      <c r="T20" s="39"/>
      <c r="U20" s="39">
        <f t="shared" si="5"/>
        <v>5</v>
      </c>
      <c r="V20" s="39">
        <f t="shared" si="6"/>
        <v>3</v>
      </c>
      <c r="W20" s="30">
        <f t="shared" si="9"/>
        <v>16</v>
      </c>
    </row>
    <row r="21">
      <c r="A21" s="30">
        <f t="shared" si="7"/>
        <v>17</v>
      </c>
      <c r="B21" s="51" t="s">
        <v>84</v>
      </c>
      <c r="C21" s="32">
        <v>263.0</v>
      </c>
      <c r="D21" s="32">
        <v>17.0</v>
      </c>
      <c r="E21" s="35">
        <f t="shared" si="2"/>
        <v>12.11764706</v>
      </c>
      <c r="F21" s="37">
        <v>1.0</v>
      </c>
      <c r="G21" s="39">
        <v>3.0</v>
      </c>
      <c r="H21" s="40">
        <v>0.0</v>
      </c>
      <c r="I21" s="39">
        <v>5.0</v>
      </c>
      <c r="J21" s="39">
        <v>6.0</v>
      </c>
      <c r="K21" s="39">
        <v>5.0</v>
      </c>
      <c r="L21" s="42">
        <v>16.0</v>
      </c>
      <c r="M21" s="39">
        <v>0.0</v>
      </c>
      <c r="N21" s="32">
        <f t="shared" ref="N21:O21" si="23">C21+L21</f>
        <v>279</v>
      </c>
      <c r="O21" s="32">
        <f t="shared" si="23"/>
        <v>17</v>
      </c>
      <c r="P21" s="43" t="s">
        <v>53</v>
      </c>
      <c r="Q21" s="43" t="s">
        <v>53</v>
      </c>
      <c r="R21" s="43"/>
      <c r="S21" s="39">
        <f t="shared" si="4"/>
        <v>3</v>
      </c>
      <c r="T21" s="39"/>
      <c r="U21" s="39">
        <f t="shared" si="5"/>
        <v>2</v>
      </c>
      <c r="V21" s="39">
        <f t="shared" si="6"/>
        <v>-3</v>
      </c>
      <c r="W21" s="30">
        <f t="shared" si="9"/>
        <v>17</v>
      </c>
    </row>
    <row r="22">
      <c r="A22" s="30">
        <f t="shared" si="7"/>
        <v>18</v>
      </c>
      <c r="B22" s="31" t="s">
        <v>68</v>
      </c>
      <c r="C22" s="32">
        <v>261.0</v>
      </c>
      <c r="D22" s="32">
        <v>21.0</v>
      </c>
      <c r="E22" s="35">
        <f t="shared" si="2"/>
        <v>12.4375</v>
      </c>
      <c r="F22" s="37">
        <v>1.0</v>
      </c>
      <c r="G22" s="39">
        <v>3.0</v>
      </c>
      <c r="H22" s="40">
        <v>0.0</v>
      </c>
      <c r="I22" s="39">
        <v>7.0</v>
      </c>
      <c r="J22" s="39">
        <v>7.0</v>
      </c>
      <c r="K22" s="39">
        <v>5.0</v>
      </c>
      <c r="L22" s="42">
        <v>19.0</v>
      </c>
      <c r="M22" s="39">
        <v>2.0</v>
      </c>
      <c r="N22" s="32">
        <f t="shared" ref="N22:O22" si="24">C22+L22</f>
        <v>280</v>
      </c>
      <c r="O22" s="32">
        <f t="shared" si="24"/>
        <v>23</v>
      </c>
      <c r="P22" s="43" t="s">
        <v>53</v>
      </c>
      <c r="Q22" s="43" t="s">
        <v>53</v>
      </c>
      <c r="R22" s="43" t="s">
        <v>53</v>
      </c>
      <c r="S22" s="39">
        <f t="shared" si="4"/>
        <v>2</v>
      </c>
      <c r="T22" s="39"/>
      <c r="U22" s="39">
        <f t="shared" si="5"/>
        <v>4</v>
      </c>
      <c r="V22" s="39">
        <f t="shared" si="6"/>
        <v>-2</v>
      </c>
      <c r="W22" s="30">
        <f t="shared" si="9"/>
        <v>18</v>
      </c>
    </row>
    <row r="23">
      <c r="A23" s="30">
        <f t="shared" si="7"/>
        <v>19</v>
      </c>
      <c r="B23" s="51" t="s">
        <v>100</v>
      </c>
      <c r="C23" s="32">
        <v>260.0</v>
      </c>
      <c r="D23" s="32">
        <v>19.0</v>
      </c>
      <c r="E23" s="35">
        <f t="shared" si="2"/>
        <v>13.90909091</v>
      </c>
      <c r="F23" s="37">
        <v>3.0</v>
      </c>
      <c r="G23" s="39">
        <v>0.0</v>
      </c>
      <c r="H23" s="40">
        <v>9.0</v>
      </c>
      <c r="I23" s="39">
        <v>0.0</v>
      </c>
      <c r="J23" s="39">
        <v>0.0</v>
      </c>
      <c r="K23" s="39">
        <v>0.0</v>
      </c>
      <c r="L23" s="42">
        <v>9.0</v>
      </c>
      <c r="M23" s="39">
        <v>0.0</v>
      </c>
      <c r="N23" s="32">
        <f t="shared" ref="N23:O23" si="25">C23+L23</f>
        <v>269</v>
      </c>
      <c r="O23" s="32">
        <f t="shared" si="25"/>
        <v>19</v>
      </c>
      <c r="P23" s="43" t="s">
        <v>53</v>
      </c>
      <c r="Q23" s="43" t="s">
        <v>53</v>
      </c>
      <c r="R23" s="43" t="s">
        <v>53</v>
      </c>
      <c r="S23" s="39">
        <f t="shared" si="4"/>
        <v>2</v>
      </c>
      <c r="T23" s="39"/>
      <c r="U23" s="39">
        <f t="shared" si="5"/>
        <v>9</v>
      </c>
      <c r="V23" s="39">
        <f t="shared" si="6"/>
        <v>-2</v>
      </c>
      <c r="W23" s="30">
        <f t="shared" si="9"/>
        <v>19</v>
      </c>
    </row>
    <row r="24">
      <c r="A24" s="30">
        <f t="shared" si="7"/>
        <v>20</v>
      </c>
      <c r="B24" s="31" t="s">
        <v>98</v>
      </c>
      <c r="C24" s="32">
        <v>259.0</v>
      </c>
      <c r="D24" s="32">
        <v>18.0</v>
      </c>
      <c r="E24" s="35">
        <f t="shared" si="2"/>
        <v>13.07692308</v>
      </c>
      <c r="F24" s="37">
        <v>2.0</v>
      </c>
      <c r="G24" s="39">
        <v>4.0</v>
      </c>
      <c r="H24" s="40">
        <v>0.0</v>
      </c>
      <c r="I24" s="39">
        <v>2.0</v>
      </c>
      <c r="J24" s="39">
        <v>6.0</v>
      </c>
      <c r="K24" s="39">
        <v>3.0</v>
      </c>
      <c r="L24" s="42">
        <v>11.0</v>
      </c>
      <c r="M24" s="39">
        <v>1.0</v>
      </c>
      <c r="N24" s="32">
        <f t="shared" ref="N24:O24" si="26">C24+L24</f>
        <v>270</v>
      </c>
      <c r="O24" s="32">
        <f t="shared" si="26"/>
        <v>19</v>
      </c>
      <c r="P24" s="43" t="s">
        <v>53</v>
      </c>
      <c r="Q24" s="43" t="s">
        <v>53</v>
      </c>
      <c r="R24" s="43" t="s">
        <v>53</v>
      </c>
      <c r="S24" s="39">
        <f t="shared" si="4"/>
        <v>2</v>
      </c>
      <c r="T24" s="39"/>
      <c r="U24" s="39">
        <f t="shared" si="5"/>
        <v>7</v>
      </c>
      <c r="V24" s="39">
        <f t="shared" si="6"/>
        <v>0</v>
      </c>
      <c r="W24" s="30">
        <f t="shared" si="9"/>
        <v>20</v>
      </c>
    </row>
    <row r="25">
      <c r="A25" s="30">
        <f t="shared" si="7"/>
        <v>21</v>
      </c>
      <c r="B25" s="31" t="s">
        <v>89</v>
      </c>
      <c r="C25" s="32">
        <v>257.0</v>
      </c>
      <c r="D25" s="32">
        <v>15.0</v>
      </c>
      <c r="E25" s="35">
        <f t="shared" si="2"/>
        <v>14.57142857</v>
      </c>
      <c r="F25" s="37">
        <v>1.0</v>
      </c>
      <c r="G25" s="39">
        <v>4.0</v>
      </c>
      <c r="H25" s="40">
        <v>0.0</v>
      </c>
      <c r="I25" s="39">
        <v>6.0</v>
      </c>
      <c r="J25" s="39">
        <v>6.0</v>
      </c>
      <c r="K25" s="39">
        <v>6.0</v>
      </c>
      <c r="L25" s="42">
        <v>18.0</v>
      </c>
      <c r="M25" s="39">
        <v>3.0</v>
      </c>
      <c r="N25" s="32">
        <f t="shared" ref="N25:O25" si="27">C25+L25</f>
        <v>275</v>
      </c>
      <c r="O25" s="32">
        <f t="shared" si="27"/>
        <v>18</v>
      </c>
      <c r="P25" s="43" t="s">
        <v>53</v>
      </c>
      <c r="Q25" s="43" t="s">
        <v>53</v>
      </c>
      <c r="R25" s="43" t="s">
        <v>53</v>
      </c>
      <c r="S25" s="39">
        <f t="shared" si="4"/>
        <v>5</v>
      </c>
      <c r="T25" s="39"/>
      <c r="U25" s="39">
        <f t="shared" si="5"/>
        <v>10</v>
      </c>
      <c r="V25" s="39">
        <f t="shared" si="6"/>
        <v>6</v>
      </c>
      <c r="W25" s="30">
        <f t="shared" si="9"/>
        <v>21</v>
      </c>
    </row>
    <row r="26">
      <c r="A26" s="30">
        <f t="shared" si="7"/>
        <v>22</v>
      </c>
      <c r="B26" s="51" t="s">
        <v>94</v>
      </c>
      <c r="C26" s="32">
        <v>255.0</v>
      </c>
      <c r="D26" s="32">
        <v>15.0</v>
      </c>
      <c r="E26" s="35">
        <f t="shared" si="2"/>
        <v>13.45454545</v>
      </c>
      <c r="F26" s="37">
        <v>3.0</v>
      </c>
      <c r="G26" s="39">
        <v>0.0</v>
      </c>
      <c r="H26" s="40">
        <v>9.0</v>
      </c>
      <c r="I26" s="39">
        <v>0.0</v>
      </c>
      <c r="J26" s="39">
        <v>0.0</v>
      </c>
      <c r="K26" s="39">
        <v>0.0</v>
      </c>
      <c r="L26" s="42">
        <v>9.0</v>
      </c>
      <c r="M26" s="39">
        <v>0.0</v>
      </c>
      <c r="N26" s="32">
        <f t="shared" ref="N26:O26" si="28">C26+L26</f>
        <v>264</v>
      </c>
      <c r="O26" s="32">
        <f t="shared" si="28"/>
        <v>15</v>
      </c>
      <c r="P26" s="43" t="s">
        <v>53</v>
      </c>
      <c r="Q26" s="43" t="s">
        <v>53</v>
      </c>
      <c r="R26" s="43" t="s">
        <v>53</v>
      </c>
      <c r="S26" s="39">
        <f t="shared" si="4"/>
        <v>2</v>
      </c>
      <c r="T26" s="39"/>
      <c r="U26" s="39">
        <f t="shared" si="5"/>
        <v>9</v>
      </c>
      <c r="V26" s="39">
        <f t="shared" si="6"/>
        <v>2</v>
      </c>
      <c r="W26" s="30">
        <f t="shared" si="9"/>
        <v>22</v>
      </c>
    </row>
    <row r="27">
      <c r="A27" s="30">
        <f t="shared" si="7"/>
        <v>23</v>
      </c>
      <c r="B27" s="51" t="s">
        <v>93</v>
      </c>
      <c r="C27" s="32">
        <v>254.0</v>
      </c>
      <c r="D27" s="32">
        <v>20.0</v>
      </c>
      <c r="E27" s="35">
        <f t="shared" si="2"/>
        <v>11.66666667</v>
      </c>
      <c r="F27" s="37">
        <v>1.0</v>
      </c>
      <c r="G27" s="39">
        <v>4.0</v>
      </c>
      <c r="H27" s="40">
        <v>0.0</v>
      </c>
      <c r="I27" s="39">
        <v>2.0</v>
      </c>
      <c r="J27" s="39">
        <v>0.0</v>
      </c>
      <c r="K27" s="39">
        <v>6.0</v>
      </c>
      <c r="L27" s="42">
        <v>8.0</v>
      </c>
      <c r="M27" s="39">
        <v>1.0</v>
      </c>
      <c r="N27" s="32">
        <f t="shared" ref="N27:O27" si="29">C27+L27</f>
        <v>262</v>
      </c>
      <c r="O27" s="32">
        <f t="shared" si="29"/>
        <v>21</v>
      </c>
      <c r="P27" s="43" t="s">
        <v>53</v>
      </c>
      <c r="Q27" s="43" t="s">
        <v>53</v>
      </c>
      <c r="R27" s="43" t="s">
        <v>53</v>
      </c>
      <c r="S27" s="39">
        <f t="shared" si="4"/>
        <v>0</v>
      </c>
      <c r="T27" s="39"/>
      <c r="U27" s="39">
        <f t="shared" si="5"/>
        <v>1</v>
      </c>
      <c r="V27" s="39">
        <f t="shared" si="6"/>
        <v>-2</v>
      </c>
      <c r="W27" s="30">
        <f t="shared" si="9"/>
        <v>23</v>
      </c>
    </row>
    <row r="28">
      <c r="A28" s="30">
        <f t="shared" si="7"/>
        <v>24</v>
      </c>
      <c r="B28" s="31" t="s">
        <v>96</v>
      </c>
      <c r="C28" s="32">
        <v>254.0</v>
      </c>
      <c r="D28" s="32">
        <v>20.0</v>
      </c>
      <c r="E28" s="35">
        <f t="shared" si="2"/>
        <v>13</v>
      </c>
      <c r="F28" s="37">
        <v>1.0</v>
      </c>
      <c r="G28" s="39">
        <v>4.0</v>
      </c>
      <c r="H28" s="40">
        <v>0.0</v>
      </c>
      <c r="I28" s="39">
        <v>6.0</v>
      </c>
      <c r="J28" s="39">
        <v>0.0</v>
      </c>
      <c r="K28" s="39">
        <v>3.0</v>
      </c>
      <c r="L28" s="42">
        <v>9.0</v>
      </c>
      <c r="M28" s="39">
        <v>1.0</v>
      </c>
      <c r="N28" s="32">
        <f t="shared" ref="N28:O28" si="30">C28+L28</f>
        <v>263</v>
      </c>
      <c r="O28" s="32">
        <f t="shared" si="30"/>
        <v>21</v>
      </c>
      <c r="P28" s="43" t="s">
        <v>53</v>
      </c>
      <c r="Q28" s="43" t="s">
        <v>53</v>
      </c>
      <c r="R28" s="43" t="s">
        <v>53</v>
      </c>
      <c r="S28" s="39">
        <f t="shared" si="4"/>
        <v>2</v>
      </c>
      <c r="T28" s="39"/>
      <c r="U28" s="39">
        <f t="shared" si="5"/>
        <v>8</v>
      </c>
      <c r="V28" s="39">
        <f t="shared" si="6"/>
        <v>-1</v>
      </c>
      <c r="W28" s="30">
        <f t="shared" si="9"/>
        <v>24</v>
      </c>
    </row>
    <row r="29">
      <c r="A29" s="30">
        <f t="shared" si="7"/>
        <v>25</v>
      </c>
      <c r="B29" s="31" t="s">
        <v>63</v>
      </c>
      <c r="C29" s="32">
        <v>254.0</v>
      </c>
      <c r="D29" s="32">
        <v>19.0</v>
      </c>
      <c r="E29" s="35">
        <f t="shared" si="2"/>
        <v>15</v>
      </c>
      <c r="F29" s="37">
        <v>1.0</v>
      </c>
      <c r="G29" s="39">
        <v>5.0</v>
      </c>
      <c r="H29" s="40">
        <v>0.0</v>
      </c>
      <c r="I29" s="39">
        <v>6.0</v>
      </c>
      <c r="J29" s="39">
        <v>6.0</v>
      </c>
      <c r="K29" s="39">
        <v>6.0</v>
      </c>
      <c r="L29" s="42">
        <v>18.0</v>
      </c>
      <c r="M29" s="39">
        <v>3.0</v>
      </c>
      <c r="N29" s="32">
        <f t="shared" ref="N29:O29" si="31">C29+L29</f>
        <v>272</v>
      </c>
      <c r="O29" s="32">
        <f t="shared" si="31"/>
        <v>22</v>
      </c>
      <c r="P29" s="43" t="s">
        <v>53</v>
      </c>
      <c r="Q29" s="43" t="s">
        <v>53</v>
      </c>
      <c r="R29" s="43" t="s">
        <v>53</v>
      </c>
      <c r="S29" s="39">
        <f t="shared" si="4"/>
        <v>2</v>
      </c>
      <c r="T29" s="39"/>
      <c r="U29" s="39">
        <f t="shared" si="5"/>
        <v>12</v>
      </c>
      <c r="V29" s="39">
        <f t="shared" si="6"/>
        <v>-3</v>
      </c>
      <c r="W29" s="30">
        <f t="shared" si="9"/>
        <v>25</v>
      </c>
    </row>
    <row r="30">
      <c r="A30" s="30">
        <f t="shared" si="7"/>
        <v>26</v>
      </c>
      <c r="B30" s="51" t="s">
        <v>95</v>
      </c>
      <c r="C30" s="32">
        <v>253.0</v>
      </c>
      <c r="D30" s="32">
        <v>19.0</v>
      </c>
      <c r="E30" s="35">
        <f t="shared" si="2"/>
        <v>14.1</v>
      </c>
      <c r="F30" s="37">
        <v>3.0</v>
      </c>
      <c r="G30" s="39">
        <v>0.0</v>
      </c>
      <c r="H30" s="40">
        <v>9.0</v>
      </c>
      <c r="I30" s="39">
        <v>0.0</v>
      </c>
      <c r="J30" s="39">
        <v>0.0</v>
      </c>
      <c r="K30" s="39">
        <v>0.0</v>
      </c>
      <c r="L30" s="42">
        <v>9.0</v>
      </c>
      <c r="M30" s="39">
        <v>0.0</v>
      </c>
      <c r="N30" s="32">
        <f t="shared" ref="N30:O30" si="32">C30+L30</f>
        <v>262</v>
      </c>
      <c r="O30" s="32">
        <f t="shared" si="32"/>
        <v>19</v>
      </c>
      <c r="P30" s="43" t="s">
        <v>53</v>
      </c>
      <c r="Q30" s="43" t="s">
        <v>53</v>
      </c>
      <c r="R30" s="43" t="s">
        <v>53</v>
      </c>
      <c r="S30" s="39">
        <f t="shared" si="4"/>
        <v>1</v>
      </c>
      <c r="T30" s="39"/>
      <c r="U30" s="39">
        <f t="shared" si="5"/>
        <v>11</v>
      </c>
      <c r="V30" s="39">
        <f t="shared" si="6"/>
        <v>-1</v>
      </c>
      <c r="W30" s="30">
        <f t="shared" si="9"/>
        <v>26</v>
      </c>
    </row>
    <row r="31">
      <c r="A31" s="30">
        <f t="shared" si="7"/>
        <v>27</v>
      </c>
      <c r="B31" s="31" t="s">
        <v>97</v>
      </c>
      <c r="C31" s="32">
        <v>249.0</v>
      </c>
      <c r="D31" s="32">
        <v>17.0</v>
      </c>
      <c r="E31" s="35">
        <f t="shared" si="2"/>
        <v>12.91666667</v>
      </c>
      <c r="F31" s="37">
        <v>1.0</v>
      </c>
      <c r="G31" s="39">
        <v>5.0</v>
      </c>
      <c r="H31" s="40">
        <v>0.0</v>
      </c>
      <c r="I31" s="39">
        <v>2.0</v>
      </c>
      <c r="J31" s="39">
        <v>3.0</v>
      </c>
      <c r="K31" s="39">
        <v>6.0</v>
      </c>
      <c r="L31" s="42">
        <v>11.0</v>
      </c>
      <c r="M31" s="39">
        <v>1.0</v>
      </c>
      <c r="N31" s="32">
        <f t="shared" ref="N31:O31" si="33">C31+L31</f>
        <v>260</v>
      </c>
      <c r="O31" s="32">
        <f t="shared" si="33"/>
        <v>18</v>
      </c>
      <c r="P31" s="43" t="s">
        <v>53</v>
      </c>
      <c r="Q31" s="43" t="s">
        <v>53</v>
      </c>
      <c r="R31" s="43" t="s">
        <v>53</v>
      </c>
      <c r="S31" s="39">
        <f t="shared" si="4"/>
        <v>1</v>
      </c>
      <c r="T31" s="39"/>
      <c r="U31" s="39">
        <f t="shared" si="5"/>
        <v>9</v>
      </c>
      <c r="V31" s="39">
        <f t="shared" si="6"/>
        <v>3</v>
      </c>
      <c r="W31" s="30">
        <f t="shared" si="9"/>
        <v>27</v>
      </c>
    </row>
    <row r="32">
      <c r="A32" s="30">
        <f t="shared" si="7"/>
        <v>28</v>
      </c>
      <c r="B32" s="31" t="s">
        <v>73</v>
      </c>
      <c r="C32" s="32">
        <v>247.0</v>
      </c>
      <c r="D32" s="32">
        <v>14.0</v>
      </c>
      <c r="E32" s="35">
        <f t="shared" si="2"/>
        <v>12.7</v>
      </c>
      <c r="F32" s="37">
        <v>3.0</v>
      </c>
      <c r="G32" s="39">
        <v>0.0</v>
      </c>
      <c r="H32" s="40">
        <v>9.0</v>
      </c>
      <c r="I32" s="39">
        <v>0.0</v>
      </c>
      <c r="J32" s="39">
        <v>0.0</v>
      </c>
      <c r="K32" s="39">
        <v>0.0</v>
      </c>
      <c r="L32" s="42">
        <v>9.0</v>
      </c>
      <c r="M32" s="39">
        <v>0.0</v>
      </c>
      <c r="N32" s="32">
        <f t="shared" ref="N32:O32" si="34">C32+L32</f>
        <v>256</v>
      </c>
      <c r="O32" s="32">
        <f t="shared" si="34"/>
        <v>14</v>
      </c>
      <c r="P32" s="43" t="s">
        <v>53</v>
      </c>
      <c r="Q32" s="43" t="s">
        <v>53</v>
      </c>
      <c r="R32" s="43" t="s">
        <v>53</v>
      </c>
      <c r="S32" s="39">
        <f t="shared" si="4"/>
        <v>3</v>
      </c>
      <c r="T32" s="39"/>
      <c r="U32" s="39">
        <f t="shared" si="5"/>
        <v>9</v>
      </c>
      <c r="V32" s="39">
        <f t="shared" si="6"/>
        <v>-2</v>
      </c>
      <c r="W32" s="30">
        <f t="shared" si="9"/>
        <v>28</v>
      </c>
    </row>
    <row r="33">
      <c r="A33" s="30">
        <f t="shared" si="7"/>
        <v>29</v>
      </c>
      <c r="B33" s="56" t="s">
        <v>101</v>
      </c>
      <c r="C33" s="32">
        <v>246.0</v>
      </c>
      <c r="D33" s="32">
        <v>16.0</v>
      </c>
      <c r="E33" s="35">
        <f t="shared" si="2"/>
        <v>12.42857143</v>
      </c>
      <c r="F33" s="37">
        <v>1.0</v>
      </c>
      <c r="G33" s="39">
        <v>5.0</v>
      </c>
      <c r="H33" s="40">
        <v>0.0</v>
      </c>
      <c r="I33" s="39">
        <v>2.0</v>
      </c>
      <c r="J33" s="39">
        <v>6.0</v>
      </c>
      <c r="K33" s="39">
        <v>4.0</v>
      </c>
      <c r="L33" s="42">
        <v>12.0</v>
      </c>
      <c r="M33" s="39">
        <v>1.0</v>
      </c>
      <c r="N33" s="32">
        <f t="shared" ref="N33:O33" si="35">C33+L33</f>
        <v>258</v>
      </c>
      <c r="O33" s="32">
        <f t="shared" si="35"/>
        <v>17</v>
      </c>
      <c r="P33" s="43" t="s">
        <v>53</v>
      </c>
      <c r="Q33" s="43" t="s">
        <v>53</v>
      </c>
      <c r="R33" s="43" t="s">
        <v>53</v>
      </c>
      <c r="S33" s="39">
        <f t="shared" si="4"/>
        <v>0</v>
      </c>
      <c r="T33" s="39"/>
      <c r="U33" s="39">
        <f t="shared" si="5"/>
        <v>8</v>
      </c>
      <c r="V33" s="39">
        <f t="shared" si="6"/>
        <v>-1</v>
      </c>
      <c r="W33" s="30">
        <f t="shared" si="9"/>
        <v>29</v>
      </c>
    </row>
    <row r="34">
      <c r="A34" s="30">
        <f t="shared" si="7"/>
        <v>30</v>
      </c>
      <c r="B34" s="51" t="s">
        <v>76</v>
      </c>
      <c r="C34" s="32">
        <v>245.0</v>
      </c>
      <c r="D34" s="32">
        <v>23.0</v>
      </c>
      <c r="E34" s="35">
        <f t="shared" si="2"/>
        <v>12.35714286</v>
      </c>
      <c r="F34" s="37">
        <v>2.0</v>
      </c>
      <c r="G34" s="39">
        <v>5.0</v>
      </c>
      <c r="H34" s="40">
        <v>0.0</v>
      </c>
      <c r="I34" s="39">
        <v>6.0</v>
      </c>
      <c r="J34" s="39">
        <v>3.0</v>
      </c>
      <c r="K34" s="39">
        <v>4.0</v>
      </c>
      <c r="L34" s="42">
        <v>13.0</v>
      </c>
      <c r="M34" s="39">
        <v>1.0</v>
      </c>
      <c r="N34" s="32">
        <f t="shared" ref="N34:O34" si="36">C34+L34</f>
        <v>258</v>
      </c>
      <c r="O34" s="32">
        <f t="shared" si="36"/>
        <v>24</v>
      </c>
      <c r="P34" s="43" t="s">
        <v>53</v>
      </c>
      <c r="Q34" s="43" t="s">
        <v>53</v>
      </c>
      <c r="R34" s="43" t="s">
        <v>53</v>
      </c>
      <c r="S34" s="39">
        <f t="shared" si="4"/>
        <v>0</v>
      </c>
      <c r="T34" s="39"/>
      <c r="U34" s="39">
        <f t="shared" si="5"/>
        <v>8</v>
      </c>
      <c r="V34" s="39">
        <f t="shared" si="6"/>
        <v>-1</v>
      </c>
      <c r="W34" s="30">
        <f t="shared" si="9"/>
        <v>30</v>
      </c>
    </row>
    <row r="35">
      <c r="A35" s="30">
        <f t="shared" si="7"/>
        <v>31</v>
      </c>
      <c r="B35" s="51" t="s">
        <v>99</v>
      </c>
      <c r="C35" s="32">
        <v>245.0</v>
      </c>
      <c r="D35" s="32">
        <v>18.0</v>
      </c>
      <c r="E35" s="35">
        <f t="shared" si="2"/>
        <v>11.6875</v>
      </c>
      <c r="F35" s="37">
        <v>3.0</v>
      </c>
      <c r="G35" s="39">
        <v>0.0</v>
      </c>
      <c r="H35" s="40">
        <v>9.0</v>
      </c>
      <c r="I35" s="39">
        <v>0.0</v>
      </c>
      <c r="J35" s="39">
        <v>0.0</v>
      </c>
      <c r="K35" s="39">
        <v>0.0</v>
      </c>
      <c r="L35" s="42">
        <v>9.0</v>
      </c>
      <c r="M35" s="39">
        <v>0.0</v>
      </c>
      <c r="N35" s="32">
        <f t="shared" ref="N35:O35" si="37">C35+L35</f>
        <v>254</v>
      </c>
      <c r="O35" s="32">
        <f t="shared" si="37"/>
        <v>18</v>
      </c>
      <c r="P35" s="43" t="s">
        <v>53</v>
      </c>
      <c r="Q35" s="43" t="s">
        <v>53</v>
      </c>
      <c r="R35" s="43" t="s">
        <v>53</v>
      </c>
      <c r="S35" s="39">
        <f t="shared" si="4"/>
        <v>1</v>
      </c>
      <c r="T35" s="39"/>
      <c r="U35" s="39">
        <f t="shared" si="5"/>
        <v>5</v>
      </c>
      <c r="V35" s="39">
        <f t="shared" si="6"/>
        <v>0</v>
      </c>
      <c r="W35" s="30">
        <f t="shared" si="9"/>
        <v>31</v>
      </c>
    </row>
    <row r="36">
      <c r="A36" s="30">
        <f t="shared" si="7"/>
        <v>32</v>
      </c>
      <c r="B36" s="31" t="s">
        <v>105</v>
      </c>
      <c r="C36" s="32">
        <v>242.0</v>
      </c>
      <c r="D36" s="32">
        <v>11.0</v>
      </c>
      <c r="E36" s="35">
        <f t="shared" si="2"/>
        <v>13</v>
      </c>
      <c r="F36" s="37">
        <v>3.0</v>
      </c>
      <c r="G36" s="39">
        <v>0.0</v>
      </c>
      <c r="H36" s="40">
        <v>9.0</v>
      </c>
      <c r="I36" s="39">
        <v>0.0</v>
      </c>
      <c r="J36" s="39">
        <v>0.0</v>
      </c>
      <c r="K36" s="39">
        <v>0.0</v>
      </c>
      <c r="L36" s="42">
        <v>9.0</v>
      </c>
      <c r="M36" s="39">
        <v>0.0</v>
      </c>
      <c r="N36" s="32">
        <f t="shared" ref="N36:O36" si="38">C36+L36</f>
        <v>251</v>
      </c>
      <c r="O36" s="32">
        <f t="shared" si="38"/>
        <v>11</v>
      </c>
      <c r="P36" s="43" t="s">
        <v>53</v>
      </c>
      <c r="Q36" s="43" t="s">
        <v>53</v>
      </c>
      <c r="R36" s="43" t="s">
        <v>53</v>
      </c>
      <c r="S36" s="39">
        <f t="shared" si="4"/>
        <v>1</v>
      </c>
      <c r="T36" s="39"/>
      <c r="U36" s="39">
        <f t="shared" si="5"/>
        <v>11</v>
      </c>
      <c r="V36" s="39">
        <f t="shared" si="6"/>
        <v>1</v>
      </c>
      <c r="W36" s="30">
        <f t="shared" si="9"/>
        <v>32</v>
      </c>
    </row>
    <row r="37">
      <c r="A37" s="30">
        <f t="shared" si="7"/>
        <v>33</v>
      </c>
      <c r="B37" s="51" t="s">
        <v>103</v>
      </c>
      <c r="C37" s="32">
        <v>240.0</v>
      </c>
      <c r="D37" s="32">
        <v>15.0</v>
      </c>
      <c r="E37" s="35">
        <f t="shared" si="2"/>
        <v>12.77777778</v>
      </c>
      <c r="F37" s="37">
        <v>3.0</v>
      </c>
      <c r="G37" s="39">
        <v>0.0</v>
      </c>
      <c r="H37" s="40">
        <v>9.0</v>
      </c>
      <c r="I37" s="39">
        <v>0.0</v>
      </c>
      <c r="J37" s="39">
        <v>0.0</v>
      </c>
      <c r="K37" s="39">
        <v>0.0</v>
      </c>
      <c r="L37" s="42">
        <v>9.0</v>
      </c>
      <c r="M37" s="39">
        <v>0.0</v>
      </c>
      <c r="N37" s="32">
        <f t="shared" ref="N37:O37" si="39">C37+L37</f>
        <v>249</v>
      </c>
      <c r="O37" s="32">
        <f t="shared" si="39"/>
        <v>15</v>
      </c>
      <c r="P37" s="43" t="s">
        <v>53</v>
      </c>
      <c r="Q37" s="43" t="s">
        <v>53</v>
      </c>
      <c r="R37" s="43" t="s">
        <v>53</v>
      </c>
      <c r="S37" s="39">
        <f t="shared" si="4"/>
        <v>2</v>
      </c>
      <c r="T37" s="39"/>
      <c r="U37" s="39">
        <f t="shared" si="5"/>
        <v>11</v>
      </c>
      <c r="V37" s="39">
        <f t="shared" si="6"/>
        <v>-1</v>
      </c>
      <c r="W37" s="30">
        <f t="shared" si="9"/>
        <v>33</v>
      </c>
    </row>
    <row r="38">
      <c r="A38" s="30">
        <f t="shared" si="7"/>
        <v>34</v>
      </c>
      <c r="B38" s="31" t="s">
        <v>106</v>
      </c>
      <c r="C38" s="32">
        <v>240.0</v>
      </c>
      <c r="D38" s="32">
        <v>15.0</v>
      </c>
      <c r="E38" s="35">
        <f t="shared" si="2"/>
        <v>15</v>
      </c>
      <c r="F38" s="37">
        <v>3.0</v>
      </c>
      <c r="G38" s="39">
        <v>0.0</v>
      </c>
      <c r="H38" s="40">
        <v>9.0</v>
      </c>
      <c r="I38" s="39">
        <v>0.0</v>
      </c>
      <c r="J38" s="39">
        <v>0.0</v>
      </c>
      <c r="K38" s="39">
        <v>0.0</v>
      </c>
      <c r="L38" s="42">
        <v>9.0</v>
      </c>
      <c r="M38" s="39">
        <v>0.0</v>
      </c>
      <c r="N38" s="32">
        <f t="shared" ref="N38:O38" si="40">C38+L38</f>
        <v>249</v>
      </c>
      <c r="O38" s="32">
        <f t="shared" si="40"/>
        <v>15</v>
      </c>
      <c r="P38" s="43" t="s">
        <v>53</v>
      </c>
      <c r="Q38" s="43" t="s">
        <v>53</v>
      </c>
      <c r="R38" s="43" t="s">
        <v>88</v>
      </c>
      <c r="S38" s="39">
        <f t="shared" si="4"/>
        <v>0</v>
      </c>
      <c r="T38" s="39"/>
      <c r="U38" s="39">
        <f t="shared" si="5"/>
        <v>15</v>
      </c>
      <c r="V38" s="39">
        <f t="shared" si="6"/>
        <v>6</v>
      </c>
      <c r="W38" s="30">
        <f t="shared" si="9"/>
        <v>34</v>
      </c>
    </row>
    <row r="39">
      <c r="A39" s="30">
        <f t="shared" si="7"/>
        <v>35</v>
      </c>
      <c r="B39" s="51" t="s">
        <v>108</v>
      </c>
      <c r="C39" s="32">
        <v>237.0</v>
      </c>
      <c r="D39" s="32">
        <v>13.0</v>
      </c>
      <c r="E39" s="35">
        <f t="shared" si="2"/>
        <v>14.16666667</v>
      </c>
      <c r="F39" s="37">
        <v>3.0</v>
      </c>
      <c r="G39" s="39">
        <v>0.0</v>
      </c>
      <c r="H39" s="40">
        <v>9.0</v>
      </c>
      <c r="I39" s="39">
        <v>0.0</v>
      </c>
      <c r="J39" s="39">
        <v>0.0</v>
      </c>
      <c r="K39" s="39">
        <v>0.0</v>
      </c>
      <c r="L39" s="42">
        <v>9.0</v>
      </c>
      <c r="M39" s="39">
        <v>0.0</v>
      </c>
      <c r="N39" s="32">
        <f t="shared" ref="N39:O39" si="41">C39+L39</f>
        <v>246</v>
      </c>
      <c r="O39" s="32">
        <f t="shared" si="41"/>
        <v>13</v>
      </c>
      <c r="P39" s="43" t="s">
        <v>53</v>
      </c>
      <c r="Q39" s="43" t="s">
        <v>53</v>
      </c>
      <c r="R39" s="43" t="s">
        <v>88</v>
      </c>
      <c r="S39" s="39">
        <f t="shared" si="4"/>
        <v>2</v>
      </c>
      <c r="T39" s="39"/>
      <c r="U39" s="39">
        <f t="shared" si="5"/>
        <v>14</v>
      </c>
      <c r="V39" s="39">
        <f t="shared" si="6"/>
        <v>-1</v>
      </c>
      <c r="W39" s="30">
        <f t="shared" si="9"/>
        <v>35</v>
      </c>
    </row>
    <row r="40">
      <c r="A40" s="30">
        <f t="shared" si="7"/>
        <v>36</v>
      </c>
      <c r="B40" s="51" t="s">
        <v>102</v>
      </c>
      <c r="C40" s="32">
        <v>236.0</v>
      </c>
      <c r="D40" s="32">
        <v>12.0</v>
      </c>
      <c r="E40" s="35">
        <f t="shared" si="2"/>
        <v>13.28571429</v>
      </c>
      <c r="F40" s="37">
        <v>3.0</v>
      </c>
      <c r="G40" s="39">
        <v>0.0</v>
      </c>
      <c r="H40" s="40">
        <v>9.0</v>
      </c>
      <c r="I40" s="39">
        <v>0.0</v>
      </c>
      <c r="J40" s="39">
        <v>0.0</v>
      </c>
      <c r="K40" s="39">
        <v>0.0</v>
      </c>
      <c r="L40" s="42">
        <v>9.0</v>
      </c>
      <c r="M40" s="39">
        <v>0.0</v>
      </c>
      <c r="N40" s="32">
        <f t="shared" ref="N40:O40" si="42">C40+L40</f>
        <v>245</v>
      </c>
      <c r="O40" s="32">
        <f t="shared" si="42"/>
        <v>12</v>
      </c>
      <c r="P40" s="43" t="s">
        <v>53</v>
      </c>
      <c r="Q40" s="43" t="s">
        <v>53</v>
      </c>
      <c r="R40" s="43" t="s">
        <v>53</v>
      </c>
      <c r="S40" s="39">
        <f t="shared" si="4"/>
        <v>2</v>
      </c>
      <c r="T40" s="39"/>
      <c r="U40" s="39">
        <f t="shared" si="5"/>
        <v>13</v>
      </c>
      <c r="V40" s="39">
        <f t="shared" si="6"/>
        <v>3</v>
      </c>
      <c r="W40" s="30">
        <f t="shared" si="9"/>
        <v>36</v>
      </c>
    </row>
    <row r="41">
      <c r="A41" s="30">
        <f t="shared" si="7"/>
        <v>37</v>
      </c>
      <c r="B41" s="31" t="s">
        <v>46</v>
      </c>
      <c r="C41" s="32">
        <v>235.0</v>
      </c>
      <c r="D41" s="32">
        <v>17.0</v>
      </c>
      <c r="E41" s="35">
        <f t="shared" si="2"/>
        <v>11.46666667</v>
      </c>
      <c r="F41" s="37">
        <v>1.0</v>
      </c>
      <c r="G41" s="39">
        <v>6.0</v>
      </c>
      <c r="H41" s="40">
        <v>0.0</v>
      </c>
      <c r="I41" s="39">
        <v>6.0</v>
      </c>
      <c r="J41" s="39">
        <v>2.0</v>
      </c>
      <c r="K41" s="39">
        <v>1.0</v>
      </c>
      <c r="L41" s="42">
        <v>9.0</v>
      </c>
      <c r="M41" s="39">
        <v>1.0</v>
      </c>
      <c r="N41" s="32">
        <f t="shared" ref="N41:O41" si="43">C41+L41</f>
        <v>244</v>
      </c>
      <c r="O41" s="32">
        <f t="shared" si="43"/>
        <v>18</v>
      </c>
      <c r="P41" s="43" t="s">
        <v>53</v>
      </c>
      <c r="Q41" s="43" t="s">
        <v>53</v>
      </c>
      <c r="R41" s="43" t="s">
        <v>53</v>
      </c>
      <c r="S41" s="39">
        <f t="shared" si="4"/>
        <v>0</v>
      </c>
      <c r="T41" s="39"/>
      <c r="U41" s="39">
        <f t="shared" si="5"/>
        <v>7</v>
      </c>
      <c r="V41" s="39">
        <f t="shared" si="6"/>
        <v>0</v>
      </c>
      <c r="W41" s="30">
        <f t="shared" si="9"/>
        <v>37</v>
      </c>
    </row>
    <row r="42">
      <c r="A42" s="30">
        <f t="shared" si="7"/>
        <v>38</v>
      </c>
      <c r="B42" s="31" t="s">
        <v>109</v>
      </c>
      <c r="C42" s="32">
        <v>235.0</v>
      </c>
      <c r="D42" s="32">
        <v>9.0</v>
      </c>
      <c r="E42" s="35">
        <f t="shared" si="2"/>
        <v>14.25</v>
      </c>
      <c r="F42" s="37">
        <v>3.0</v>
      </c>
      <c r="G42" s="39">
        <v>0.0</v>
      </c>
      <c r="H42" s="40">
        <v>9.0</v>
      </c>
      <c r="I42" s="39">
        <v>0.0</v>
      </c>
      <c r="J42" s="39">
        <v>0.0</v>
      </c>
      <c r="K42" s="39">
        <v>0.0</v>
      </c>
      <c r="L42" s="42">
        <v>9.0</v>
      </c>
      <c r="M42" s="39">
        <v>0.0</v>
      </c>
      <c r="N42" s="32">
        <f t="shared" ref="N42:O42" si="44">C42+L42</f>
        <v>244</v>
      </c>
      <c r="O42" s="32">
        <f t="shared" si="44"/>
        <v>9</v>
      </c>
      <c r="P42" s="43" t="s">
        <v>53</v>
      </c>
      <c r="Q42" s="43" t="s">
        <v>53</v>
      </c>
      <c r="R42" s="43" t="s">
        <v>88</v>
      </c>
      <c r="S42" s="39">
        <f t="shared" si="4"/>
        <v>4</v>
      </c>
      <c r="T42" s="39"/>
      <c r="U42" s="39">
        <f t="shared" si="5"/>
        <v>14</v>
      </c>
      <c r="V42" s="39">
        <f t="shared" si="6"/>
        <v>-3</v>
      </c>
      <c r="W42" s="30">
        <f t="shared" si="9"/>
        <v>38</v>
      </c>
    </row>
    <row r="43">
      <c r="A43" s="30">
        <f t="shared" si="7"/>
        <v>39</v>
      </c>
      <c r="B43" s="56" t="s">
        <v>110</v>
      </c>
      <c r="C43" s="32">
        <v>234.0</v>
      </c>
      <c r="D43" s="32">
        <v>13.0</v>
      </c>
      <c r="E43" s="35">
        <f t="shared" si="2"/>
        <v>10.66666667</v>
      </c>
      <c r="F43" s="37">
        <v>3.0</v>
      </c>
      <c r="G43" s="39">
        <v>0.0</v>
      </c>
      <c r="H43" s="40">
        <v>9.0</v>
      </c>
      <c r="I43" s="39">
        <v>0.0</v>
      </c>
      <c r="J43" s="39">
        <v>0.0</v>
      </c>
      <c r="K43" s="39">
        <v>0.0</v>
      </c>
      <c r="L43" s="42">
        <v>9.0</v>
      </c>
      <c r="M43" s="39">
        <v>0.0</v>
      </c>
      <c r="N43" s="32">
        <f t="shared" ref="N43:O43" si="45">C43+L43</f>
        <v>243</v>
      </c>
      <c r="O43" s="32">
        <f t="shared" si="45"/>
        <v>13</v>
      </c>
      <c r="P43" s="43" t="s">
        <v>53</v>
      </c>
      <c r="Q43" s="43" t="s">
        <v>53</v>
      </c>
      <c r="R43" s="43" t="s">
        <v>53</v>
      </c>
      <c r="S43" s="39">
        <f t="shared" si="4"/>
        <v>4</v>
      </c>
      <c r="T43" s="39"/>
      <c r="U43" s="39">
        <f t="shared" si="5"/>
        <v>6</v>
      </c>
      <c r="V43" s="39">
        <f t="shared" si="6"/>
        <v>-1</v>
      </c>
      <c r="W43" s="30">
        <f t="shared" si="9"/>
        <v>39</v>
      </c>
    </row>
    <row r="44">
      <c r="A44" s="30">
        <f t="shared" si="7"/>
        <v>40</v>
      </c>
      <c r="B44" s="51" t="s">
        <v>104</v>
      </c>
      <c r="C44" s="32">
        <v>233.0</v>
      </c>
      <c r="D44" s="32">
        <v>19.0</v>
      </c>
      <c r="E44" s="35">
        <f t="shared" si="2"/>
        <v>11.1875</v>
      </c>
      <c r="F44" s="37">
        <v>3.0</v>
      </c>
      <c r="G44" s="39">
        <v>0.0</v>
      </c>
      <c r="H44" s="40">
        <v>9.0</v>
      </c>
      <c r="I44" s="39">
        <v>0.0</v>
      </c>
      <c r="J44" s="39">
        <v>0.0</v>
      </c>
      <c r="K44" s="39">
        <v>0.0</v>
      </c>
      <c r="L44" s="42">
        <v>9.0</v>
      </c>
      <c r="M44" s="39">
        <v>0.0</v>
      </c>
      <c r="N44" s="32">
        <f t="shared" ref="N44:O44" si="46">C44+L44</f>
        <v>242</v>
      </c>
      <c r="O44" s="32">
        <f t="shared" si="46"/>
        <v>19</v>
      </c>
      <c r="P44" s="43" t="s">
        <v>53</v>
      </c>
      <c r="Q44" s="43" t="s">
        <v>53</v>
      </c>
      <c r="R44" s="43" t="s">
        <v>53</v>
      </c>
      <c r="S44" s="39">
        <f t="shared" si="4"/>
        <v>0</v>
      </c>
      <c r="T44" s="39"/>
      <c r="U44" s="39">
        <f t="shared" si="5"/>
        <v>6</v>
      </c>
      <c r="V44" s="39">
        <f t="shared" si="6"/>
        <v>-4</v>
      </c>
      <c r="W44" s="30">
        <f t="shared" si="9"/>
        <v>40</v>
      </c>
    </row>
    <row r="45">
      <c r="A45" s="30">
        <f t="shared" si="7"/>
        <v>41</v>
      </c>
      <c r="B45" s="77" t="s">
        <v>107</v>
      </c>
      <c r="C45" s="32">
        <v>227.0</v>
      </c>
      <c r="D45" s="32">
        <v>19.0</v>
      </c>
      <c r="E45" s="35">
        <f t="shared" si="2"/>
        <v>10.61111111</v>
      </c>
      <c r="F45" s="37">
        <v>1.0</v>
      </c>
      <c r="G45" s="39">
        <v>6.0</v>
      </c>
      <c r="H45" s="40">
        <v>0.0</v>
      </c>
      <c r="I45" s="39">
        <v>2.0</v>
      </c>
      <c r="J45" s="39">
        <v>2.0</v>
      </c>
      <c r="K45" s="39">
        <v>6.0</v>
      </c>
      <c r="L45" s="42">
        <v>10.0</v>
      </c>
      <c r="M45" s="39">
        <v>1.0</v>
      </c>
      <c r="N45" s="32">
        <f t="shared" ref="N45:O45" si="47">C45+L45</f>
        <v>237</v>
      </c>
      <c r="O45" s="32">
        <f t="shared" si="47"/>
        <v>20</v>
      </c>
      <c r="P45" s="43" t="s">
        <v>53</v>
      </c>
      <c r="Q45" s="43" t="s">
        <v>53</v>
      </c>
      <c r="R45" s="43" t="s">
        <v>53</v>
      </c>
      <c r="S45" s="39">
        <f t="shared" si="4"/>
        <v>0</v>
      </c>
      <c r="T45" s="39"/>
      <c r="U45" s="39">
        <f t="shared" si="5"/>
        <v>4</v>
      </c>
      <c r="V45" s="39">
        <f t="shared" si="6"/>
        <v>4</v>
      </c>
      <c r="W45" s="30">
        <f t="shared" si="9"/>
        <v>41</v>
      </c>
    </row>
    <row r="46">
      <c r="A46" s="30">
        <f t="shared" si="7"/>
        <v>42</v>
      </c>
      <c r="B46" s="31" t="s">
        <v>79</v>
      </c>
      <c r="C46" s="32">
        <v>227.0</v>
      </c>
      <c r="D46" s="32">
        <v>11.0</v>
      </c>
      <c r="E46" s="35">
        <f t="shared" si="2"/>
        <v>11.125</v>
      </c>
      <c r="F46" s="37">
        <v>1.0</v>
      </c>
      <c r="G46" s="39">
        <v>6.0</v>
      </c>
      <c r="H46" s="40">
        <v>0.0</v>
      </c>
      <c r="I46" s="39">
        <v>6.0</v>
      </c>
      <c r="J46" s="39">
        <v>6.0</v>
      </c>
      <c r="K46" s="39">
        <v>6.0</v>
      </c>
      <c r="L46" s="42">
        <v>18.0</v>
      </c>
      <c r="M46" s="39">
        <v>3.0</v>
      </c>
      <c r="N46" s="32">
        <f t="shared" ref="N46:O46" si="48">C46+L46</f>
        <v>245</v>
      </c>
      <c r="O46" s="32">
        <f t="shared" si="48"/>
        <v>14</v>
      </c>
      <c r="P46" s="43" t="s">
        <v>53</v>
      </c>
      <c r="Q46" s="43" t="s">
        <v>53</v>
      </c>
      <c r="R46" s="43" t="s">
        <v>53</v>
      </c>
      <c r="S46" s="39">
        <f t="shared" si="4"/>
        <v>3</v>
      </c>
      <c r="T46" s="39"/>
      <c r="U46" s="39">
        <f t="shared" si="5"/>
        <v>11</v>
      </c>
      <c r="V46" s="39">
        <f t="shared" si="6"/>
        <v>-1</v>
      </c>
      <c r="W46" s="30">
        <f t="shared" si="9"/>
        <v>42</v>
      </c>
    </row>
    <row r="47">
      <c r="A47" s="30">
        <f t="shared" si="7"/>
        <v>43</v>
      </c>
      <c r="B47" s="51" t="s">
        <v>113</v>
      </c>
      <c r="C47" s="32">
        <v>225.0</v>
      </c>
      <c r="D47" s="32">
        <v>14.0</v>
      </c>
      <c r="E47" s="35">
        <f t="shared" si="2"/>
        <v>10.26666667</v>
      </c>
      <c r="F47" s="37">
        <v>3.0</v>
      </c>
      <c r="G47" s="39">
        <v>0.0</v>
      </c>
      <c r="H47" s="40">
        <v>9.0</v>
      </c>
      <c r="I47" s="39">
        <v>0.0</v>
      </c>
      <c r="J47" s="39">
        <v>0.0</v>
      </c>
      <c r="K47" s="39">
        <v>0.0</v>
      </c>
      <c r="L47" s="42">
        <v>9.0</v>
      </c>
      <c r="M47" s="39">
        <v>0.0</v>
      </c>
      <c r="N47" s="32">
        <f t="shared" ref="N47:O47" si="49">C47+L47</f>
        <v>234</v>
      </c>
      <c r="O47" s="32">
        <f t="shared" si="49"/>
        <v>14</v>
      </c>
      <c r="P47" s="43" t="s">
        <v>53</v>
      </c>
      <c r="Q47" s="43" t="s">
        <v>53</v>
      </c>
      <c r="R47" s="43" t="s">
        <v>53</v>
      </c>
      <c r="S47" s="39">
        <f t="shared" si="4"/>
        <v>2</v>
      </c>
      <c r="T47" s="39"/>
      <c r="U47" s="39">
        <f t="shared" si="5"/>
        <v>5</v>
      </c>
      <c r="V47" s="39">
        <f t="shared" si="6"/>
        <v>3</v>
      </c>
      <c r="W47" s="30">
        <f t="shared" si="9"/>
        <v>43</v>
      </c>
    </row>
    <row r="48">
      <c r="A48" s="30">
        <f t="shared" si="7"/>
        <v>44</v>
      </c>
      <c r="B48" s="51" t="s">
        <v>114</v>
      </c>
      <c r="C48" s="32">
        <v>225.0</v>
      </c>
      <c r="D48" s="32">
        <v>13.0</v>
      </c>
      <c r="E48" s="35">
        <f t="shared" si="2"/>
        <v>10.72727273</v>
      </c>
      <c r="F48" s="37">
        <v>3.0</v>
      </c>
      <c r="G48" s="39">
        <v>0.0</v>
      </c>
      <c r="H48" s="40">
        <v>9.0</v>
      </c>
      <c r="I48" s="39">
        <v>0.0</v>
      </c>
      <c r="J48" s="39">
        <v>0.0</v>
      </c>
      <c r="K48" s="39">
        <v>0.0</v>
      </c>
      <c r="L48" s="42">
        <v>9.0</v>
      </c>
      <c r="M48" s="39">
        <v>0.0</v>
      </c>
      <c r="N48" s="32">
        <f t="shared" ref="N48:O48" si="50">C48+L48</f>
        <v>234</v>
      </c>
      <c r="O48" s="32">
        <f t="shared" si="50"/>
        <v>13</v>
      </c>
      <c r="P48" s="43" t="s">
        <v>53</v>
      </c>
      <c r="Q48" s="43" t="s">
        <v>53</v>
      </c>
      <c r="R48" s="43" t="s">
        <v>53</v>
      </c>
      <c r="S48" s="39">
        <f t="shared" si="4"/>
        <v>2</v>
      </c>
      <c r="T48" s="39"/>
      <c r="U48" s="39">
        <f t="shared" si="5"/>
        <v>9</v>
      </c>
      <c r="V48" s="39">
        <f t="shared" si="6"/>
        <v>-2</v>
      </c>
      <c r="W48" s="30">
        <f t="shared" si="9"/>
        <v>44</v>
      </c>
    </row>
    <row r="49">
      <c r="A49" s="30">
        <f t="shared" si="7"/>
        <v>45</v>
      </c>
      <c r="B49" s="51" t="s">
        <v>116</v>
      </c>
      <c r="C49" s="32">
        <v>225.0</v>
      </c>
      <c r="D49" s="32">
        <v>13.0</v>
      </c>
      <c r="E49" s="35">
        <f t="shared" si="2"/>
        <v>10.64285714</v>
      </c>
      <c r="F49" s="37">
        <v>3.0</v>
      </c>
      <c r="G49" s="39">
        <v>0.0</v>
      </c>
      <c r="H49" s="40">
        <v>9.0</v>
      </c>
      <c r="I49" s="39">
        <v>0.0</v>
      </c>
      <c r="J49" s="39">
        <v>0.0</v>
      </c>
      <c r="K49" s="39">
        <v>0.0</v>
      </c>
      <c r="L49" s="42">
        <v>9.0</v>
      </c>
      <c r="M49" s="39">
        <v>0.0</v>
      </c>
      <c r="N49" s="32">
        <f t="shared" ref="N49:O49" si="51">C49+L49</f>
        <v>234</v>
      </c>
      <c r="O49" s="32">
        <f t="shared" si="51"/>
        <v>13</v>
      </c>
      <c r="P49" s="43" t="s">
        <v>53</v>
      </c>
      <c r="Q49" s="43" t="s">
        <v>53</v>
      </c>
      <c r="R49" s="43" t="s">
        <v>53</v>
      </c>
      <c r="S49" s="39">
        <f t="shared" si="4"/>
        <v>1</v>
      </c>
      <c r="T49" s="39"/>
      <c r="U49" s="39">
        <f t="shared" si="5"/>
        <v>7</v>
      </c>
      <c r="V49" s="39">
        <f t="shared" si="6"/>
        <v>-1</v>
      </c>
      <c r="W49" s="30">
        <f t="shared" si="9"/>
        <v>45</v>
      </c>
    </row>
    <row r="50">
      <c r="A50" s="30">
        <f t="shared" si="7"/>
        <v>46</v>
      </c>
      <c r="B50" s="51" t="s">
        <v>111</v>
      </c>
      <c r="C50" s="32">
        <v>225.0</v>
      </c>
      <c r="D50" s="32">
        <v>11.0</v>
      </c>
      <c r="E50" s="35">
        <f t="shared" si="2"/>
        <v>11.7</v>
      </c>
      <c r="F50" s="37">
        <v>3.0</v>
      </c>
      <c r="G50" s="39">
        <v>0.0</v>
      </c>
      <c r="H50" s="40">
        <v>9.0</v>
      </c>
      <c r="I50" s="39">
        <v>0.0</v>
      </c>
      <c r="J50" s="39">
        <v>0.0</v>
      </c>
      <c r="K50" s="39">
        <v>0.0</v>
      </c>
      <c r="L50" s="42">
        <v>9.0</v>
      </c>
      <c r="M50" s="39">
        <v>0.0</v>
      </c>
      <c r="N50" s="32">
        <f t="shared" ref="N50:O50" si="52">C50+L50</f>
        <v>234</v>
      </c>
      <c r="O50" s="32">
        <f t="shared" si="52"/>
        <v>11</v>
      </c>
      <c r="P50" s="43" t="s">
        <v>53</v>
      </c>
      <c r="Q50" s="43" t="s">
        <v>53</v>
      </c>
      <c r="R50" s="43" t="s">
        <v>53</v>
      </c>
      <c r="S50" s="39">
        <f t="shared" si="4"/>
        <v>0</v>
      </c>
      <c r="T50" s="39"/>
      <c r="U50" s="39">
        <f t="shared" si="5"/>
        <v>12</v>
      </c>
      <c r="V50" s="39">
        <f t="shared" si="6"/>
        <v>-3</v>
      </c>
      <c r="W50" s="30">
        <f t="shared" si="9"/>
        <v>46</v>
      </c>
    </row>
    <row r="51">
      <c r="A51" s="30">
        <f t="shared" si="7"/>
        <v>47</v>
      </c>
      <c r="B51" s="56" t="s">
        <v>115</v>
      </c>
      <c r="C51" s="32">
        <v>223.0</v>
      </c>
      <c r="D51" s="32">
        <v>16.0</v>
      </c>
      <c r="E51" s="35">
        <f t="shared" si="2"/>
        <v>10.47058824</v>
      </c>
      <c r="F51" s="37">
        <v>3.0</v>
      </c>
      <c r="G51" s="39">
        <v>0.0</v>
      </c>
      <c r="H51" s="40">
        <v>9.0</v>
      </c>
      <c r="I51" s="39">
        <v>0.0</v>
      </c>
      <c r="J51" s="39">
        <v>0.0</v>
      </c>
      <c r="K51" s="39">
        <v>0.0</v>
      </c>
      <c r="L51" s="42">
        <v>9.0</v>
      </c>
      <c r="M51" s="39">
        <v>0.0</v>
      </c>
      <c r="N51" s="32">
        <f t="shared" ref="N51:O51" si="53">C51+L51</f>
        <v>232</v>
      </c>
      <c r="O51" s="32">
        <f t="shared" si="53"/>
        <v>16</v>
      </c>
      <c r="P51" s="43" t="s">
        <v>53</v>
      </c>
      <c r="Q51" s="43" t="s">
        <v>53</v>
      </c>
      <c r="R51" s="43" t="s">
        <v>53</v>
      </c>
      <c r="S51" s="39">
        <f t="shared" si="4"/>
        <v>0</v>
      </c>
      <c r="T51" s="39"/>
      <c r="U51" s="39">
        <f t="shared" si="5"/>
        <v>5</v>
      </c>
      <c r="V51" s="39">
        <f t="shared" si="6"/>
        <v>1</v>
      </c>
      <c r="W51" s="30">
        <f t="shared" si="9"/>
        <v>47</v>
      </c>
    </row>
    <row r="52">
      <c r="A52" s="30">
        <f t="shared" si="7"/>
        <v>48</v>
      </c>
      <c r="B52" s="51" t="s">
        <v>118</v>
      </c>
      <c r="C52" s="32">
        <v>217.0</v>
      </c>
      <c r="D52" s="32">
        <v>12.0</v>
      </c>
      <c r="E52" s="35">
        <f t="shared" si="2"/>
        <v>10.72727273</v>
      </c>
      <c r="F52" s="37">
        <v>1.0</v>
      </c>
      <c r="G52" s="39">
        <v>6.0</v>
      </c>
      <c r="H52" s="40">
        <v>0.0</v>
      </c>
      <c r="I52" s="39">
        <v>6.0</v>
      </c>
      <c r="J52" s="39">
        <v>2.0</v>
      </c>
      <c r="K52" s="39">
        <v>1.0</v>
      </c>
      <c r="L52" s="42">
        <v>9.0</v>
      </c>
      <c r="M52" s="39">
        <v>1.0</v>
      </c>
      <c r="N52" s="32">
        <f t="shared" ref="N52:O52" si="54">C52+L52</f>
        <v>226</v>
      </c>
      <c r="O52" s="32">
        <f t="shared" si="54"/>
        <v>13</v>
      </c>
      <c r="P52" s="43" t="s">
        <v>53</v>
      </c>
      <c r="Q52" s="43" t="s">
        <v>53</v>
      </c>
      <c r="R52" s="43" t="s">
        <v>53</v>
      </c>
      <c r="S52" s="39">
        <f t="shared" si="4"/>
        <v>0</v>
      </c>
      <c r="T52" s="39"/>
      <c r="U52" s="39">
        <f t="shared" si="5"/>
        <v>11</v>
      </c>
      <c r="V52" s="39">
        <f t="shared" si="6"/>
        <v>-1</v>
      </c>
      <c r="W52" s="30">
        <f t="shared" si="9"/>
        <v>48</v>
      </c>
    </row>
    <row r="53">
      <c r="A53" s="30">
        <f t="shared" si="7"/>
        <v>49</v>
      </c>
      <c r="B53" s="31" t="s">
        <v>81</v>
      </c>
      <c r="C53" s="32">
        <v>217.0</v>
      </c>
      <c r="D53" s="32">
        <v>7.0</v>
      </c>
      <c r="E53" s="35">
        <f t="shared" si="2"/>
        <v>11.2</v>
      </c>
      <c r="F53" s="37">
        <v>3.0</v>
      </c>
      <c r="G53" s="39">
        <v>0.0</v>
      </c>
      <c r="H53" s="40">
        <v>9.0</v>
      </c>
      <c r="I53" s="39">
        <v>0.0</v>
      </c>
      <c r="J53" s="39">
        <v>0.0</v>
      </c>
      <c r="K53" s="39">
        <v>0.0</v>
      </c>
      <c r="L53" s="42">
        <v>9.0</v>
      </c>
      <c r="M53" s="39">
        <v>0.0</v>
      </c>
      <c r="N53" s="32">
        <f t="shared" ref="N53:O53" si="55">C53+L53</f>
        <v>226</v>
      </c>
      <c r="O53" s="32">
        <f t="shared" si="55"/>
        <v>7</v>
      </c>
      <c r="P53" s="43" t="s">
        <v>53</v>
      </c>
      <c r="Q53" s="43" t="s">
        <v>53</v>
      </c>
      <c r="R53" s="43" t="s">
        <v>53</v>
      </c>
      <c r="S53" s="39">
        <f t="shared" si="4"/>
        <v>2</v>
      </c>
      <c r="T53" s="39"/>
      <c r="U53" s="39">
        <f t="shared" si="5"/>
        <v>15</v>
      </c>
      <c r="V53" s="39">
        <f t="shared" si="6"/>
        <v>0</v>
      </c>
      <c r="W53" s="30">
        <f t="shared" si="9"/>
        <v>49</v>
      </c>
    </row>
    <row r="54">
      <c r="A54" s="30">
        <f t="shared" si="7"/>
        <v>50</v>
      </c>
      <c r="B54" s="51" t="s">
        <v>75</v>
      </c>
      <c r="C54" s="32">
        <v>217.0</v>
      </c>
      <c r="D54" s="32">
        <v>6.0</v>
      </c>
      <c r="E54" s="35">
        <f t="shared" si="2"/>
        <v>14.5</v>
      </c>
      <c r="F54" s="37">
        <v>3.0</v>
      </c>
      <c r="G54" s="39">
        <v>0.0</v>
      </c>
      <c r="H54" s="40">
        <v>9.0</v>
      </c>
      <c r="I54" s="39">
        <v>0.0</v>
      </c>
      <c r="J54" s="39">
        <v>0.0</v>
      </c>
      <c r="K54" s="39">
        <v>0.0</v>
      </c>
      <c r="L54" s="42">
        <v>9.0</v>
      </c>
      <c r="M54" s="39">
        <v>0.0</v>
      </c>
      <c r="N54" s="32">
        <f t="shared" ref="N54:O54" si="56">C54+L54</f>
        <v>226</v>
      </c>
      <c r="O54" s="32">
        <f t="shared" si="56"/>
        <v>6</v>
      </c>
      <c r="P54" s="43" t="s">
        <v>53</v>
      </c>
      <c r="Q54" s="43" t="s">
        <v>53</v>
      </c>
      <c r="R54" s="43"/>
      <c r="S54" s="39">
        <f t="shared" si="4"/>
        <v>2</v>
      </c>
      <c r="T54" s="39"/>
      <c r="U54" s="39">
        <f t="shared" si="5"/>
        <v>18</v>
      </c>
      <c r="V54" s="39">
        <f t="shared" si="6"/>
        <v>0</v>
      </c>
      <c r="W54" s="30">
        <f t="shared" si="9"/>
        <v>50</v>
      </c>
    </row>
    <row r="55">
      <c r="A55" s="30">
        <f t="shared" si="7"/>
        <v>51</v>
      </c>
      <c r="B55" s="31" t="s">
        <v>119</v>
      </c>
      <c r="C55" s="32">
        <v>215.0</v>
      </c>
      <c r="D55" s="32">
        <v>7.0</v>
      </c>
      <c r="E55" s="35">
        <f t="shared" si="2"/>
        <v>12.25</v>
      </c>
      <c r="F55" s="37">
        <v>2.0</v>
      </c>
      <c r="G55" s="39">
        <v>7.0</v>
      </c>
      <c r="H55" s="40">
        <v>0.0</v>
      </c>
      <c r="I55" s="39">
        <v>0.0</v>
      </c>
      <c r="J55" s="39">
        <v>6.0</v>
      </c>
      <c r="K55" s="39">
        <v>6.0</v>
      </c>
      <c r="L55" s="42">
        <v>12.0</v>
      </c>
      <c r="M55" s="39">
        <v>2.0</v>
      </c>
      <c r="N55" s="32">
        <f t="shared" ref="N55:O55" si="57">C55+L55</f>
        <v>227</v>
      </c>
      <c r="O55" s="32">
        <f t="shared" si="57"/>
        <v>9</v>
      </c>
      <c r="P55" s="43" t="s">
        <v>53</v>
      </c>
      <c r="Q55" s="43" t="s">
        <v>53</v>
      </c>
      <c r="R55" s="43" t="s">
        <v>53</v>
      </c>
      <c r="S55" s="39">
        <f t="shared" si="4"/>
        <v>1</v>
      </c>
      <c r="T55" s="39"/>
      <c r="U55" s="39">
        <f t="shared" si="5"/>
        <v>17</v>
      </c>
      <c r="V55" s="39">
        <f t="shared" si="6"/>
        <v>4</v>
      </c>
      <c r="W55" s="30">
        <f t="shared" si="9"/>
        <v>51</v>
      </c>
    </row>
    <row r="56">
      <c r="A56" s="30">
        <f t="shared" si="7"/>
        <v>52</v>
      </c>
      <c r="B56" s="31" t="s">
        <v>120</v>
      </c>
      <c r="C56" s="32">
        <v>215.0</v>
      </c>
      <c r="D56" s="32">
        <v>6.0</v>
      </c>
      <c r="E56" s="35">
        <f t="shared" si="2"/>
        <v>11.6</v>
      </c>
      <c r="F56" s="37">
        <v>3.0</v>
      </c>
      <c r="G56" s="39">
        <v>0.0</v>
      </c>
      <c r="H56" s="40">
        <v>9.0</v>
      </c>
      <c r="I56" s="39">
        <v>0.0</v>
      </c>
      <c r="J56" s="39">
        <v>0.0</v>
      </c>
      <c r="K56" s="39">
        <v>0.0</v>
      </c>
      <c r="L56" s="42">
        <v>9.0</v>
      </c>
      <c r="M56" s="39">
        <v>0.0</v>
      </c>
      <c r="N56" s="32">
        <f t="shared" ref="N56:O56" si="58">C56+L56</f>
        <v>224</v>
      </c>
      <c r="O56" s="32">
        <f t="shared" si="58"/>
        <v>6</v>
      </c>
      <c r="P56" s="43" t="s">
        <v>53</v>
      </c>
      <c r="Q56" s="43" t="s">
        <v>53</v>
      </c>
      <c r="R56" s="43" t="s">
        <v>53</v>
      </c>
      <c r="S56" s="39">
        <f t="shared" si="4"/>
        <v>1</v>
      </c>
      <c r="T56" s="39"/>
      <c r="U56" s="39">
        <f t="shared" si="5"/>
        <v>16</v>
      </c>
      <c r="V56" s="39">
        <f t="shared" si="6"/>
        <v>0</v>
      </c>
      <c r="W56" s="30">
        <f t="shared" si="9"/>
        <v>52</v>
      </c>
    </row>
    <row r="57">
      <c r="A57" s="30">
        <f t="shared" si="7"/>
        <v>53</v>
      </c>
      <c r="B57" s="31" t="s">
        <v>117</v>
      </c>
      <c r="C57" s="32">
        <v>214.0</v>
      </c>
      <c r="D57" s="32">
        <v>5.0</v>
      </c>
      <c r="E57" s="35">
        <f t="shared" si="2"/>
        <v>11.66666667</v>
      </c>
      <c r="F57" s="37">
        <v>3.0</v>
      </c>
      <c r="G57" s="39">
        <v>0.0</v>
      </c>
      <c r="H57" s="40">
        <v>9.0</v>
      </c>
      <c r="I57" s="39">
        <v>0.0</v>
      </c>
      <c r="J57" s="39">
        <v>0.0</v>
      </c>
      <c r="K57" s="39">
        <v>0.0</v>
      </c>
      <c r="L57" s="42">
        <v>9.0</v>
      </c>
      <c r="M57" s="39">
        <v>0.0</v>
      </c>
      <c r="N57" s="32">
        <f t="shared" ref="N57:O57" si="59">C57+L57</f>
        <v>223</v>
      </c>
      <c r="O57" s="32">
        <f t="shared" si="59"/>
        <v>5</v>
      </c>
      <c r="P57" s="43" t="s">
        <v>53</v>
      </c>
      <c r="Q57" s="43" t="s">
        <v>53</v>
      </c>
      <c r="R57" s="43" t="s">
        <v>53</v>
      </c>
      <c r="S57" s="39">
        <f t="shared" si="4"/>
        <v>2</v>
      </c>
      <c r="T57" s="39"/>
      <c r="U57" s="39">
        <f t="shared" si="5"/>
        <v>17</v>
      </c>
      <c r="V57" s="39">
        <f t="shared" si="6"/>
        <v>-2</v>
      </c>
      <c r="W57" s="30">
        <f t="shared" si="9"/>
        <v>53</v>
      </c>
    </row>
    <row r="58">
      <c r="A58" s="30">
        <f t="shared" si="7"/>
        <v>54</v>
      </c>
      <c r="B58" s="51" t="s">
        <v>112</v>
      </c>
      <c r="C58" s="32">
        <v>210.0</v>
      </c>
      <c r="D58" s="32">
        <v>10.0</v>
      </c>
      <c r="E58" s="35">
        <f t="shared" si="2"/>
        <v>10.09090909</v>
      </c>
      <c r="F58" s="37">
        <v>1.0</v>
      </c>
      <c r="G58" s="39">
        <v>7.0</v>
      </c>
      <c r="H58" s="40">
        <v>0.0</v>
      </c>
      <c r="I58" s="39">
        <v>6.0</v>
      </c>
      <c r="J58" s="39">
        <v>6.0</v>
      </c>
      <c r="K58" s="39">
        <v>2.0</v>
      </c>
      <c r="L58" s="42">
        <v>14.0</v>
      </c>
      <c r="M58" s="39">
        <v>2.0</v>
      </c>
      <c r="N58" s="32">
        <f t="shared" ref="N58:O58" si="60">C58+L58</f>
        <v>224</v>
      </c>
      <c r="O58" s="32">
        <f t="shared" si="60"/>
        <v>12</v>
      </c>
      <c r="P58" s="43" t="s">
        <v>53</v>
      </c>
      <c r="Q58" s="43" t="s">
        <v>53</v>
      </c>
      <c r="R58" s="43" t="s">
        <v>53</v>
      </c>
      <c r="S58" s="39">
        <f t="shared" si="4"/>
        <v>0</v>
      </c>
      <c r="T58" s="39"/>
      <c r="U58" s="39">
        <f t="shared" si="5"/>
        <v>11</v>
      </c>
      <c r="V58" s="39">
        <f t="shared" si="6"/>
        <v>-1</v>
      </c>
      <c r="W58" s="30">
        <f t="shared" si="9"/>
        <v>54</v>
      </c>
    </row>
    <row r="59">
      <c r="A59" s="30">
        <f t="shared" si="7"/>
        <v>55</v>
      </c>
      <c r="B59" s="31" t="s">
        <v>56</v>
      </c>
      <c r="C59" s="32">
        <v>209.0</v>
      </c>
      <c r="D59" s="32">
        <v>3.0</v>
      </c>
      <c r="E59" s="35">
        <f t="shared" si="2"/>
        <v>10</v>
      </c>
      <c r="F59" s="37">
        <v>1.0</v>
      </c>
      <c r="G59" s="39">
        <v>7.0</v>
      </c>
      <c r="H59" s="40">
        <v>0.0</v>
      </c>
      <c r="I59" s="39">
        <v>6.0</v>
      </c>
      <c r="J59" s="39">
        <v>3.0</v>
      </c>
      <c r="K59" s="39">
        <v>6.0</v>
      </c>
      <c r="L59" s="42">
        <v>15.0</v>
      </c>
      <c r="M59" s="39">
        <v>2.0</v>
      </c>
      <c r="N59" s="32">
        <f t="shared" ref="N59:O59" si="61">C59+L59</f>
        <v>224</v>
      </c>
      <c r="O59" s="32">
        <f t="shared" si="61"/>
        <v>5</v>
      </c>
      <c r="P59" s="43" t="s">
        <v>53</v>
      </c>
      <c r="Q59" s="43" t="s">
        <v>53</v>
      </c>
      <c r="R59" s="43" t="s">
        <v>53</v>
      </c>
      <c r="S59" s="39">
        <f t="shared" si="4"/>
        <v>2</v>
      </c>
      <c r="T59" s="39"/>
      <c r="U59" s="39">
        <f t="shared" si="5"/>
        <v>17</v>
      </c>
      <c r="V59" s="39">
        <f t="shared" si="6"/>
        <v>-1</v>
      </c>
      <c r="W59" s="30">
        <f t="shared" si="9"/>
        <v>55</v>
      </c>
    </row>
    <row r="60">
      <c r="A60" s="30">
        <f t="shared" si="7"/>
        <v>56</v>
      </c>
      <c r="B60" s="56" t="s">
        <v>51</v>
      </c>
      <c r="C60" s="32">
        <v>205.0</v>
      </c>
      <c r="D60" s="32">
        <v>9.0</v>
      </c>
      <c r="E60" s="35">
        <f t="shared" si="2"/>
        <v>9.375</v>
      </c>
      <c r="F60" s="37">
        <v>3.0</v>
      </c>
      <c r="G60" s="39">
        <v>0.0</v>
      </c>
      <c r="H60" s="40">
        <v>9.0</v>
      </c>
      <c r="I60" s="39">
        <v>0.0</v>
      </c>
      <c r="J60" s="39">
        <v>0.0</v>
      </c>
      <c r="K60" s="39">
        <v>0.0</v>
      </c>
      <c r="L60" s="42">
        <v>9.0</v>
      </c>
      <c r="M60" s="39">
        <v>0.0</v>
      </c>
      <c r="N60" s="32">
        <f t="shared" ref="N60:O60" si="62">C60+L60</f>
        <v>214</v>
      </c>
      <c r="O60" s="32">
        <f t="shared" si="62"/>
        <v>9</v>
      </c>
      <c r="P60" s="43" t="s">
        <v>53</v>
      </c>
      <c r="Q60" s="43" t="s">
        <v>53</v>
      </c>
      <c r="R60" s="43" t="s">
        <v>53</v>
      </c>
      <c r="S60" s="39">
        <f t="shared" si="4"/>
        <v>1</v>
      </c>
      <c r="T60" s="39"/>
      <c r="U60" s="39">
        <f t="shared" si="5"/>
        <v>13</v>
      </c>
      <c r="V60" s="39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56" t="s">
        <v>122</v>
      </c>
      <c r="C61" s="32">
        <v>202.0</v>
      </c>
      <c r="D61" s="32">
        <v>3.0</v>
      </c>
      <c r="E61" s="35">
        <f t="shared" si="2"/>
        <v>9</v>
      </c>
      <c r="F61" s="37">
        <v>3.0</v>
      </c>
      <c r="G61" s="39">
        <v>0.0</v>
      </c>
      <c r="H61" s="40">
        <v>9.0</v>
      </c>
      <c r="I61" s="39">
        <v>0.0</v>
      </c>
      <c r="J61" s="39">
        <v>0.0</v>
      </c>
      <c r="K61" s="39">
        <v>0.0</v>
      </c>
      <c r="L61" s="42">
        <v>9.0</v>
      </c>
      <c r="M61" s="39">
        <v>0.0</v>
      </c>
      <c r="N61" s="32">
        <f t="shared" ref="N61:O61" si="63">C61+L61</f>
        <v>211</v>
      </c>
      <c r="O61" s="32">
        <f t="shared" si="63"/>
        <v>3</v>
      </c>
      <c r="P61" s="43" t="s">
        <v>53</v>
      </c>
      <c r="Q61" s="43" t="s">
        <v>53</v>
      </c>
      <c r="R61" s="43" t="s">
        <v>53</v>
      </c>
      <c r="S61" s="39">
        <f t="shared" si="4"/>
        <v>1</v>
      </c>
      <c r="T61" s="39"/>
      <c r="U61" s="39">
        <f t="shared" si="5"/>
        <v>17</v>
      </c>
      <c r="V61" s="39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31" t="s">
        <v>123</v>
      </c>
      <c r="C62" s="32">
        <v>201.0</v>
      </c>
      <c r="D62" s="32">
        <v>5.0</v>
      </c>
      <c r="E62" s="35">
        <f t="shared" si="2"/>
        <v>10.5</v>
      </c>
      <c r="F62" s="37">
        <v>3.0</v>
      </c>
      <c r="G62" s="39">
        <v>0.0</v>
      </c>
      <c r="H62" s="40">
        <v>9.0</v>
      </c>
      <c r="I62" s="39">
        <v>0.0</v>
      </c>
      <c r="J62" s="39">
        <v>0.0</v>
      </c>
      <c r="K62" s="39">
        <v>0.0</v>
      </c>
      <c r="L62" s="42">
        <v>9.0</v>
      </c>
      <c r="M62" s="39">
        <v>0.0</v>
      </c>
      <c r="N62" s="32">
        <f t="shared" ref="N62:O62" si="64">C62+L62</f>
        <v>210</v>
      </c>
      <c r="O62" s="32">
        <f t="shared" si="64"/>
        <v>5</v>
      </c>
      <c r="P62" s="43" t="s">
        <v>53</v>
      </c>
      <c r="Q62" s="43" t="s">
        <v>53</v>
      </c>
      <c r="R62" s="43" t="s">
        <v>53</v>
      </c>
      <c r="S62" s="39">
        <f t="shared" si="4"/>
        <v>0</v>
      </c>
      <c r="T62" s="39"/>
      <c r="U62" s="39">
        <f t="shared" si="5"/>
        <v>20</v>
      </c>
      <c r="V62" s="39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31" t="s">
        <v>124</v>
      </c>
      <c r="C63" s="32">
        <v>199.0</v>
      </c>
      <c r="D63" s="32">
        <v>3.0</v>
      </c>
      <c r="E63" s="35">
        <f t="shared" si="2"/>
        <v>7.5</v>
      </c>
      <c r="F63" s="37">
        <v>4.0</v>
      </c>
      <c r="G63" s="39">
        <v>0.0</v>
      </c>
      <c r="H63" s="40">
        <v>9.0</v>
      </c>
      <c r="I63" s="39">
        <v>0.0</v>
      </c>
      <c r="J63" s="39">
        <v>0.0</v>
      </c>
      <c r="K63" s="39">
        <v>0.0</v>
      </c>
      <c r="L63" s="42">
        <v>9.0</v>
      </c>
      <c r="M63" s="39">
        <v>0.0</v>
      </c>
      <c r="N63" s="32">
        <f t="shared" ref="N63:O63" si="65">C63+L63</f>
        <v>208</v>
      </c>
      <c r="O63" s="32">
        <f t="shared" si="65"/>
        <v>3</v>
      </c>
      <c r="P63" s="43" t="s">
        <v>53</v>
      </c>
      <c r="Q63" s="43" t="s">
        <v>53</v>
      </c>
      <c r="R63" s="43" t="s">
        <v>88</v>
      </c>
      <c r="S63" s="39">
        <f t="shared" si="4"/>
        <v>1</v>
      </c>
      <c r="T63" s="39"/>
      <c r="U63" s="39">
        <f t="shared" si="5"/>
        <v>19</v>
      </c>
      <c r="V63" s="39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31" t="s">
        <v>125</v>
      </c>
      <c r="C64" s="32">
        <v>198.0</v>
      </c>
      <c r="D64" s="32">
        <v>3.0</v>
      </c>
      <c r="E64" s="35">
        <f t="shared" si="2"/>
        <v>9</v>
      </c>
      <c r="F64" s="37">
        <v>3.0</v>
      </c>
      <c r="G64" s="39">
        <v>0.0</v>
      </c>
      <c r="H64" s="40">
        <v>9.0</v>
      </c>
      <c r="I64" s="39">
        <v>0.0</v>
      </c>
      <c r="J64" s="39">
        <v>0.0</v>
      </c>
      <c r="K64" s="39">
        <v>0.0</v>
      </c>
      <c r="L64" s="42">
        <v>9.0</v>
      </c>
      <c r="M64" s="39">
        <v>0.0</v>
      </c>
      <c r="N64" s="32">
        <f t="shared" ref="N64:O64" si="66">C64+L64</f>
        <v>207</v>
      </c>
      <c r="O64" s="32">
        <f t="shared" si="66"/>
        <v>3</v>
      </c>
      <c r="P64" s="43" t="s">
        <v>53</v>
      </c>
      <c r="Q64" s="43" t="s">
        <v>53</v>
      </c>
      <c r="R64" s="43" t="s">
        <v>53</v>
      </c>
      <c r="S64" s="39">
        <f t="shared" si="4"/>
        <v>0</v>
      </c>
      <c r="T64" s="39"/>
      <c r="U64" s="39">
        <f t="shared" si="5"/>
        <v>21</v>
      </c>
      <c r="V64" s="39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51" t="s">
        <v>121</v>
      </c>
      <c r="C65" s="32">
        <v>194.0</v>
      </c>
      <c r="D65" s="32">
        <v>4.0</v>
      </c>
      <c r="E65" s="35">
        <f t="shared" si="2"/>
        <v>7.666666667</v>
      </c>
      <c r="F65" s="37">
        <v>3.0</v>
      </c>
      <c r="G65" s="39">
        <v>0.0</v>
      </c>
      <c r="H65" s="40">
        <v>9.0</v>
      </c>
      <c r="I65" s="39">
        <v>0.0</v>
      </c>
      <c r="J65" s="39">
        <v>0.0</v>
      </c>
      <c r="K65" s="39">
        <v>0.0</v>
      </c>
      <c r="L65" s="42">
        <v>9.0</v>
      </c>
      <c r="M65" s="39">
        <v>0.0</v>
      </c>
      <c r="N65" s="32">
        <f t="shared" ref="N65:O65" si="67">C65+L65</f>
        <v>203</v>
      </c>
      <c r="O65" s="32">
        <f t="shared" si="67"/>
        <v>4</v>
      </c>
      <c r="P65" s="43" t="s">
        <v>53</v>
      </c>
      <c r="Q65" s="43" t="s">
        <v>53</v>
      </c>
      <c r="R65" s="43" t="s">
        <v>53</v>
      </c>
      <c r="S65" s="39">
        <f t="shared" si="4"/>
        <v>0</v>
      </c>
      <c r="T65" s="39"/>
      <c r="U65" s="39">
        <f t="shared" si="5"/>
        <v>19</v>
      </c>
      <c r="V65" s="39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31" t="s">
        <v>72</v>
      </c>
      <c r="C66" s="32">
        <v>193.0</v>
      </c>
      <c r="D66" s="32">
        <v>0.0</v>
      </c>
      <c r="E66" s="35">
        <f t="shared" si="2"/>
        <v>4.5</v>
      </c>
      <c r="F66" s="37">
        <v>0.0</v>
      </c>
      <c r="G66" s="39">
        <v>0.0</v>
      </c>
      <c r="H66" s="40">
        <v>0.0</v>
      </c>
      <c r="I66" s="39">
        <v>0.0</v>
      </c>
      <c r="J66" s="39">
        <v>0.0</v>
      </c>
      <c r="K66" s="39">
        <v>0.0</v>
      </c>
      <c r="L66" s="42">
        <v>0.0</v>
      </c>
      <c r="M66" s="39">
        <v>0.0</v>
      </c>
      <c r="N66" s="32">
        <f t="shared" ref="N66:O66" si="68">C66+L66</f>
        <v>193</v>
      </c>
      <c r="O66" s="32">
        <f t="shared" si="68"/>
        <v>0</v>
      </c>
      <c r="P66" s="43" t="s">
        <v>53</v>
      </c>
      <c r="Q66" s="43" t="s">
        <v>53</v>
      </c>
      <c r="R66" s="43" t="s">
        <v>88</v>
      </c>
      <c r="S66" s="39">
        <f t="shared" si="4"/>
        <v>1</v>
      </c>
      <c r="T66" s="39"/>
      <c r="U66" s="39">
        <f t="shared" si="5"/>
        <v>19</v>
      </c>
      <c r="V66" s="39"/>
      <c r="W66" s="30">
        <f t="shared" si="9"/>
        <v>62</v>
      </c>
    </row>
    <row r="67">
      <c r="A67" s="30">
        <f t="shared" si="7"/>
        <v>63</v>
      </c>
      <c r="B67" s="31" t="s">
        <v>126</v>
      </c>
      <c r="C67" s="32">
        <v>193.0</v>
      </c>
      <c r="D67" s="32">
        <v>0.0</v>
      </c>
      <c r="E67" s="35">
        <f t="shared" si="2"/>
        <v>0</v>
      </c>
      <c r="F67" s="37">
        <v>3.0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202</v>
      </c>
      <c r="O67" s="32">
        <f t="shared" si="69"/>
        <v>0</v>
      </c>
      <c r="P67" s="43" t="s">
        <v>53</v>
      </c>
      <c r="Q67" s="43" t="s">
        <v>53</v>
      </c>
      <c r="R67" s="43" t="s">
        <v>88</v>
      </c>
      <c r="S67" s="39">
        <f t="shared" si="4"/>
        <v>1</v>
      </c>
      <c r="T67" s="39"/>
      <c r="U67" s="39">
        <f t="shared" si="5"/>
        <v>20</v>
      </c>
      <c r="V67" s="39">
        <f t="shared" ref="V67:V69" si="71">VLOOKUP(B67,indirect($AB$2&amp;"!B$5:w$70"),22,false)-A67</f>
        <v>0</v>
      </c>
      <c r="W67" s="30">
        <f t="shared" si="9"/>
        <v>63</v>
      </c>
    </row>
    <row r="68">
      <c r="A68" s="30">
        <f t="shared" si="7"/>
        <v>64</v>
      </c>
      <c r="B68" s="51" t="s">
        <v>80</v>
      </c>
      <c r="C68" s="32">
        <v>182.0</v>
      </c>
      <c r="D68" s="32">
        <v>9.0</v>
      </c>
      <c r="E68" s="35">
        <f t="shared" si="2"/>
        <v>7.769230769</v>
      </c>
      <c r="F68" s="37">
        <v>1.0</v>
      </c>
      <c r="G68" s="39">
        <v>7.0</v>
      </c>
      <c r="H68" s="40">
        <v>0.0</v>
      </c>
      <c r="I68" s="39">
        <v>0.0</v>
      </c>
      <c r="J68" s="39">
        <v>3.0</v>
      </c>
      <c r="K68" s="39">
        <v>2.0</v>
      </c>
      <c r="L68" s="42">
        <v>5.0</v>
      </c>
      <c r="M68" s="39">
        <v>0.0</v>
      </c>
      <c r="N68" s="32">
        <f t="shared" ref="N68:O68" si="70">C68+L68</f>
        <v>187</v>
      </c>
      <c r="O68" s="32">
        <f t="shared" si="70"/>
        <v>9</v>
      </c>
      <c r="P68" s="43" t="s">
        <v>53</v>
      </c>
      <c r="Q68" s="43" t="s">
        <v>53</v>
      </c>
      <c r="R68" s="43" t="s">
        <v>53</v>
      </c>
      <c r="S68" s="39">
        <f t="shared" si="4"/>
        <v>0</v>
      </c>
      <c r="T68" s="39"/>
      <c r="U68" s="39">
        <f t="shared" si="5"/>
        <v>9</v>
      </c>
      <c r="V68" s="39">
        <f t="shared" si="71"/>
        <v>0</v>
      </c>
      <c r="W68" s="30">
        <f t="shared" si="9"/>
        <v>64</v>
      </c>
    </row>
    <row r="69">
      <c r="A69" s="30">
        <f t="shared" si="7"/>
        <v>65</v>
      </c>
      <c r="B69" s="51" t="s">
        <v>74</v>
      </c>
      <c r="C69" s="32">
        <v>180.0</v>
      </c>
      <c r="D69" s="32">
        <v>0.0</v>
      </c>
      <c r="E69" s="35" t="str">
        <f t="shared" si="2"/>
        <v>#DIV/0!</v>
      </c>
      <c r="F69" s="37">
        <v>3.0</v>
      </c>
      <c r="G69" s="39">
        <v>0.0</v>
      </c>
      <c r="H69" s="40">
        <v>9.0</v>
      </c>
      <c r="I69" s="39">
        <v>0.0</v>
      </c>
      <c r="J69" s="39">
        <v>0.0</v>
      </c>
      <c r="K69" s="39">
        <v>0.0</v>
      </c>
      <c r="L69" s="42">
        <v>9.0</v>
      </c>
      <c r="M69" s="39">
        <v>0.0</v>
      </c>
      <c r="N69" s="32">
        <f t="shared" ref="N69:O69" si="72">C69+L69</f>
        <v>189</v>
      </c>
      <c r="O69" s="32">
        <f t="shared" si="72"/>
        <v>0</v>
      </c>
      <c r="P69" s="43" t="s">
        <v>53</v>
      </c>
      <c r="Q69" s="43" t="s">
        <v>53</v>
      </c>
      <c r="R69" s="43"/>
      <c r="S69" s="39">
        <f t="shared" si="4"/>
        <v>0</v>
      </c>
      <c r="T69" s="39"/>
      <c r="U69" s="39">
        <f t="shared" si="5"/>
        <v>22</v>
      </c>
      <c r="V69" s="39">
        <f t="shared" si="71"/>
        <v>0</v>
      </c>
      <c r="W69" s="30">
        <f t="shared" si="9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10"/>
    </row>
    <row r="73">
      <c r="A73" s="11"/>
      <c r="C73" s="11"/>
      <c r="D73" s="11"/>
      <c r="E73" s="11"/>
      <c r="F73" s="11"/>
      <c r="P73" s="10"/>
    </row>
    <row r="74">
      <c r="A74" s="11"/>
      <c r="C74" s="11"/>
      <c r="D74" s="11"/>
      <c r="K74" s="49"/>
      <c r="L74" s="59"/>
      <c r="M74" s="60"/>
      <c r="P74" s="10"/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7" t="s">
        <v>128</v>
      </c>
      <c r="Q77" s="8"/>
      <c r="R77" s="8">
        <f>COUNTIF(R5:R69,"X")</f>
        <v>53</v>
      </c>
    </row>
    <row r="78">
      <c r="A78" s="11"/>
      <c r="B78" s="62" t="s">
        <v>129</v>
      </c>
      <c r="C78" s="62" t="s">
        <v>130</v>
      </c>
      <c r="D78" s="62" t="s">
        <v>131</v>
      </c>
      <c r="K78" s="49"/>
      <c r="L78" s="59"/>
      <c r="M78" s="60"/>
      <c r="P78" s="7" t="s">
        <v>132</v>
      </c>
      <c r="Q78" s="8"/>
      <c r="R78" s="8">
        <f>countif(R5:R69,"N")</f>
        <v>8</v>
      </c>
    </row>
    <row r="79">
      <c r="A79" s="11"/>
      <c r="B79" s="51" t="str">
        <f>IFERROR(__xludf.DUMMYFUNCTION("QUERY(B5:M69,""Select B, L, M where L &gt;= 18 order by L desc,M desc"",0)"),"Scott Li")</f>
        <v>Scott Li</v>
      </c>
      <c r="C79" s="71">
        <f>IFERROR(__xludf.DUMMYFUNCTION("""COMPUTED_VALUE"""),20.0)</f>
        <v>20</v>
      </c>
      <c r="D79" s="71">
        <f>IFERROR(__xludf.DUMMYFUNCTION("""COMPUTED_VALUE"""),2.0)</f>
        <v>2</v>
      </c>
      <c r="E79" s="11"/>
      <c r="F79" s="11"/>
      <c r="L79" s="59"/>
      <c r="M79" s="60"/>
      <c r="P79" s="7" t="s">
        <v>133</v>
      </c>
      <c r="Q79" s="8"/>
      <c r="R79" s="8">
        <f>countif(R5:R69,"")</f>
        <v>4</v>
      </c>
    </row>
    <row r="80">
      <c r="A80" s="11"/>
      <c r="B80" s="51" t="str">
        <f>IFERROR(__xludf.DUMMYFUNCTION("""COMPUTED_VALUE"""),"Pavan Akkimsetty")</f>
        <v>Pavan Akkimsetty</v>
      </c>
      <c r="C80" s="71">
        <f>IFERROR(__xludf.DUMMYFUNCTION("""COMPUTED_VALUE"""),19.0)</f>
        <v>19</v>
      </c>
      <c r="D80" s="71">
        <f>IFERROR(__xludf.DUMMYFUNCTION("""COMPUTED_VALUE"""),2.0)</f>
        <v>2</v>
      </c>
      <c r="E80" s="11"/>
      <c r="F80" s="11"/>
      <c r="M80" s="65"/>
      <c r="P80" s="7" t="s">
        <v>60</v>
      </c>
      <c r="Q80" s="8"/>
      <c r="R80" s="8">
        <f>sum(R77:R79)</f>
        <v>65</v>
      </c>
    </row>
    <row r="81">
      <c r="A81" s="11"/>
      <c r="B81" s="51" t="str">
        <f>IFERROR(__xludf.DUMMYFUNCTION("""COMPUTED_VALUE"""),"Rajasekar Ramasamy")</f>
        <v>Rajasekar Ramasamy</v>
      </c>
      <c r="C81" s="71">
        <f>IFERROR(__xludf.DUMMYFUNCTION("""COMPUTED_VALUE"""),19.0)</f>
        <v>19</v>
      </c>
      <c r="D81" s="71">
        <f>IFERROR(__xludf.DUMMYFUNCTION("""COMPUTED_VALUE"""),2.0)</f>
        <v>2</v>
      </c>
      <c r="E81" s="11"/>
      <c r="F81" s="11"/>
    </row>
    <row r="82">
      <c r="A82" s="11"/>
      <c r="B82" s="51" t="str">
        <f>IFERROR(__xludf.DUMMYFUNCTION("""COMPUTED_VALUE"""),"Robert Chang")</f>
        <v>Robert Chang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  <c r="F82" s="11"/>
      <c r="P82" s="10" t="s">
        <v>134</v>
      </c>
    </row>
    <row r="83">
      <c r="A83" s="11"/>
      <c r="B83" s="51" t="str">
        <f>IFERROR(__xludf.DUMMYFUNCTION("""COMPUTED_VALUE"""),"Pulkit Mathur")</f>
        <v>Pulkit Mathur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  <c r="F83" s="11"/>
      <c r="L83" s="10"/>
    </row>
    <row r="84">
      <c r="A84" s="11"/>
      <c r="B84" s="51" t="str">
        <f>IFERROR(__xludf.DUMMYFUNCTION("""COMPUTED_VALUE"""),"Mauricio Palacios")</f>
        <v>Mauricio Palacios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F84" s="11"/>
      <c r="L84" s="10"/>
    </row>
    <row r="85">
      <c r="A85" s="11"/>
      <c r="B85" s="51" t="str">
        <f>IFERROR(__xludf.DUMMYFUNCTION("""COMPUTED_VALUE"""),"Tom Le")</f>
        <v>Tom Le</v>
      </c>
      <c r="C85" s="71">
        <f>IFERROR(__xludf.DUMMYFUNCTION("""COMPUTED_VALUE"""),18.0)</f>
        <v>18</v>
      </c>
      <c r="D85" s="71">
        <f>IFERROR(__xludf.DUMMYFUNCTION("""COMPUTED_VALUE"""),2.0)</f>
        <v>2</v>
      </c>
      <c r="E85" s="11"/>
      <c r="F85" s="11"/>
      <c r="L85" s="10"/>
    </row>
    <row r="86">
      <c r="A86" s="11"/>
      <c r="B86" s="51" t="str">
        <f>IFERROR(__xludf.DUMMYFUNCTION("""COMPUTED_VALUE"""),"David Shin")</f>
        <v>David Shin</v>
      </c>
      <c r="C86" s="71">
        <f>IFERROR(__xludf.DUMMYFUNCTION("""COMPUTED_VALUE"""),18.0)</f>
        <v>18</v>
      </c>
      <c r="D86" s="71">
        <f>IFERROR(__xludf.DUMMYFUNCTION("""COMPUTED_VALUE"""),2.0)</f>
        <v>2</v>
      </c>
      <c r="E86" s="11"/>
      <c r="F86" s="11"/>
      <c r="L86" s="10"/>
    </row>
    <row r="87">
      <c r="A87" s="11"/>
      <c r="B87" s="51"/>
      <c r="C87" s="71"/>
      <c r="D87" s="71"/>
      <c r="E87" s="11"/>
      <c r="F87" s="11"/>
    </row>
    <row r="88">
      <c r="A88" s="11"/>
      <c r="B88" s="51"/>
      <c r="C88" s="71"/>
      <c r="D88" s="71"/>
      <c r="E88" s="11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10"")"),"James Phan")</f>
        <v>James Phan</v>
      </c>
      <c r="C93" s="64">
        <f>IFERROR(__xludf.DUMMYFUNCTION("""COMPUTED_VALUE"""),8.0)</f>
        <v>8</v>
      </c>
      <c r="D93" s="64">
        <f t="shared" ref="D93:D102" si="73">VLOOKUP(B93,indirect($AB$2&amp;"!B$5:w$70"),22, false)</f>
        <v>10</v>
      </c>
      <c r="E93" s="64">
        <f t="shared" ref="E93:E102" si="74">VLOOKUP(B93,B$5:W$69,22, false)</f>
        <v>2</v>
      </c>
      <c r="F93" s="64">
        <f t="shared" ref="F93:F102" si="75">VLOOKUP(B93,indirect($AB$2&amp;"!B$5:U$70"),11, false)</f>
        <v>19</v>
      </c>
      <c r="G93" s="64">
        <f t="shared" ref="G93:G102" si="76">VLOOKUP(B93,indirect($AB$2&amp;"!B$5:U$70"),6, false)</f>
        <v>2</v>
      </c>
      <c r="L93" s="64" t="str">
        <f t="shared" ref="L93:L102" si="77">if(D93-E93=C93,"ok","Error")</f>
        <v>ok</v>
      </c>
    </row>
    <row r="94">
      <c r="A94" s="11"/>
      <c r="B94" s="51" t="str">
        <f>IFERROR(__xludf.DUMMYFUNCTION("""COMPUTED_VALUE"""),"Lam Bui")</f>
        <v>Lam Bui</v>
      </c>
      <c r="C94" s="64">
        <f>IFERROR(__xludf.DUMMYFUNCTION("""COMPUTED_VALUE"""),8.0)</f>
        <v>8</v>
      </c>
      <c r="D94" s="64">
        <f t="shared" si="73"/>
        <v>12</v>
      </c>
      <c r="E94" s="64">
        <f t="shared" si="74"/>
        <v>4</v>
      </c>
      <c r="F94" s="64">
        <f t="shared" si="75"/>
        <v>18</v>
      </c>
      <c r="G94" s="64">
        <f t="shared" si="76"/>
        <v>2</v>
      </c>
      <c r="L94" s="64" t="str">
        <f t="shared" si="77"/>
        <v>ok</v>
      </c>
    </row>
    <row r="95">
      <c r="A95" s="11"/>
      <c r="B95" s="51" t="str">
        <f>IFERROR(__xludf.DUMMYFUNCTION("""COMPUTED_VALUE"""),"Robert Chang")</f>
        <v>Robert Chang</v>
      </c>
      <c r="C95" s="64">
        <f>IFERROR(__xludf.DUMMYFUNCTION("""COMPUTED_VALUE"""),6.0)</f>
        <v>6</v>
      </c>
      <c r="D95" s="64">
        <f t="shared" si="73"/>
        <v>27</v>
      </c>
      <c r="E95" s="64">
        <f t="shared" si="74"/>
        <v>21</v>
      </c>
      <c r="F95" s="64">
        <f t="shared" si="75"/>
        <v>19</v>
      </c>
      <c r="G95" s="64">
        <f t="shared" si="76"/>
        <v>5</v>
      </c>
      <c r="L95" s="64" t="str">
        <f t="shared" si="77"/>
        <v>ok</v>
      </c>
      <c r="Q95" s="70"/>
    </row>
    <row r="96">
      <c r="A96" s="11"/>
      <c r="B96" s="51" t="str">
        <f>IFERROR(__xludf.DUMMYFUNCTION("""COMPUTED_VALUE"""),"Sai Dilip Ponnaganti")</f>
        <v>Sai Dilip Ponnaganti</v>
      </c>
      <c r="C96" s="64">
        <f>IFERROR(__xludf.DUMMYFUNCTION("""COMPUTED_VALUE"""),6.0)</f>
        <v>6</v>
      </c>
      <c r="D96" s="64">
        <f t="shared" si="73"/>
        <v>40</v>
      </c>
      <c r="E96" s="64">
        <f t="shared" si="74"/>
        <v>34</v>
      </c>
      <c r="F96" s="64">
        <f t="shared" si="75"/>
        <v>19</v>
      </c>
      <c r="G96" s="64">
        <f t="shared" si="76"/>
        <v>6</v>
      </c>
      <c r="L96" s="64" t="str">
        <f t="shared" si="77"/>
        <v>ok</v>
      </c>
    </row>
    <row r="97">
      <c r="A97" s="11"/>
      <c r="B97" s="51" t="str">
        <f>IFERROR(__xludf.DUMMYFUNCTION("""COMPUTED_VALUE"""),"Kumar Palakeel")</f>
        <v>Kumar Palakeel</v>
      </c>
      <c r="C97" s="64">
        <f>IFERROR(__xludf.DUMMYFUNCTION("""COMPUTED_VALUE"""),4.0)</f>
        <v>4</v>
      </c>
      <c r="D97" s="64">
        <f t="shared" si="73"/>
        <v>45</v>
      </c>
      <c r="E97" s="64">
        <f t="shared" si="74"/>
        <v>41</v>
      </c>
      <c r="F97" s="64">
        <f t="shared" si="75"/>
        <v>15</v>
      </c>
      <c r="G97" s="64">
        <f t="shared" si="76"/>
        <v>7</v>
      </c>
      <c r="L97" s="64" t="str">
        <f t="shared" si="77"/>
        <v>ok</v>
      </c>
    </row>
    <row r="98">
      <c r="A98" s="11"/>
      <c r="B98" s="51" t="str">
        <f>IFERROR(__xludf.DUMMYFUNCTION("""COMPUTED_VALUE"""),"Trinath Goteti")</f>
        <v>Trinath Goteti</v>
      </c>
      <c r="C98" s="64">
        <f>IFERROR(__xludf.DUMMYFUNCTION("""COMPUTED_VALUE"""),4.0)</f>
        <v>4</v>
      </c>
      <c r="D98" s="64">
        <f t="shared" si="73"/>
        <v>55</v>
      </c>
      <c r="E98" s="64">
        <f t="shared" si="74"/>
        <v>51</v>
      </c>
      <c r="F98" s="64">
        <f t="shared" si="75"/>
        <v>18</v>
      </c>
      <c r="G98" s="64">
        <f t="shared" si="76"/>
        <v>8</v>
      </c>
      <c r="L98" s="64" t="str">
        <f t="shared" si="77"/>
        <v>ok</v>
      </c>
    </row>
    <row r="99">
      <c r="A99" s="11"/>
      <c r="B99" s="51" t="str">
        <f>IFERROR(__xludf.DUMMYFUNCTION("""COMPUTED_VALUE"""),"Frank Moon")</f>
        <v>Frank Moon</v>
      </c>
      <c r="C99" s="64">
        <f>IFERROR(__xludf.DUMMYFUNCTION("""COMPUTED_VALUE"""),3.0)</f>
        <v>3</v>
      </c>
      <c r="D99" s="64">
        <f t="shared" si="73"/>
        <v>13</v>
      </c>
      <c r="E99" s="64">
        <f t="shared" si="74"/>
        <v>10</v>
      </c>
      <c r="F99" s="64">
        <f t="shared" si="75"/>
        <v>15</v>
      </c>
      <c r="G99" s="64">
        <f t="shared" si="76"/>
        <v>2</v>
      </c>
      <c r="L99" s="64" t="str">
        <f t="shared" si="77"/>
        <v>ok</v>
      </c>
    </row>
    <row r="100">
      <c r="A100" s="11"/>
      <c r="B100" s="51" t="str">
        <f>IFERROR(__xludf.DUMMYFUNCTION("""COMPUTED_VALUE"""),"Matthew Huang")</f>
        <v>Matthew Huang</v>
      </c>
      <c r="C100" s="64">
        <f>IFERROR(__xludf.DUMMYFUNCTION("""COMPUTED_VALUE"""),3.0)</f>
        <v>3</v>
      </c>
      <c r="D100" s="64">
        <f t="shared" si="73"/>
        <v>18</v>
      </c>
      <c r="E100" s="64">
        <f t="shared" si="74"/>
        <v>15</v>
      </c>
      <c r="F100" s="64">
        <f t="shared" si="75"/>
        <v>0</v>
      </c>
      <c r="G100" s="64">
        <f t="shared" si="76"/>
        <v>3</v>
      </c>
      <c r="L100" s="64" t="str">
        <f t="shared" si="77"/>
        <v>ok</v>
      </c>
    </row>
    <row r="101">
      <c r="A101" s="11"/>
      <c r="B101" s="51" t="str">
        <f>IFERROR(__xludf.DUMMYFUNCTION("""COMPUTED_VALUE"""),"Scott Li")</f>
        <v>Scott Li</v>
      </c>
      <c r="C101" s="64">
        <f>IFERROR(__xludf.DUMMYFUNCTION("""COMPUTED_VALUE"""),3.0)</f>
        <v>3</v>
      </c>
      <c r="D101" s="64">
        <f t="shared" si="73"/>
        <v>19</v>
      </c>
      <c r="E101" s="64">
        <f t="shared" si="74"/>
        <v>16</v>
      </c>
      <c r="F101" s="64">
        <f t="shared" si="75"/>
        <v>0</v>
      </c>
      <c r="G101" s="64">
        <f t="shared" si="76"/>
        <v>3</v>
      </c>
      <c r="L101" s="64" t="str">
        <f t="shared" si="77"/>
        <v>ok</v>
      </c>
    </row>
    <row r="102">
      <c r="A102" s="11"/>
      <c r="B102" s="51" t="str">
        <f>IFERROR(__xludf.DUMMYFUNCTION("""COMPUTED_VALUE"""),"Sanjaye Elayattu")</f>
        <v>Sanjaye Elayattu</v>
      </c>
      <c r="C102" s="64">
        <f>IFERROR(__xludf.DUMMYFUNCTION("""COMPUTED_VALUE"""),3.0)</f>
        <v>3</v>
      </c>
      <c r="D102" s="64">
        <f t="shared" si="73"/>
        <v>30</v>
      </c>
      <c r="E102" s="64">
        <f t="shared" si="74"/>
        <v>27</v>
      </c>
      <c r="F102" s="64">
        <f t="shared" si="75"/>
        <v>15</v>
      </c>
      <c r="G102" s="64">
        <f t="shared" si="76"/>
        <v>5</v>
      </c>
      <c r="L102" s="64" t="str">
        <f t="shared" si="77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10"")"),"Peter Homsey")</f>
        <v>Peter Homsey</v>
      </c>
      <c r="C106" s="64"/>
      <c r="D106" s="64">
        <f t="shared" ref="D106:D115" si="78">VLOOKUP(B106,indirect($AB$2&amp;"!B$5:w$70"),22, false)</f>
        <v>62</v>
      </c>
      <c r="E106" s="64">
        <f t="shared" ref="E106:E115" si="79">VLOOKUP(B106,B$5:W$69,22, false)</f>
        <v>62</v>
      </c>
      <c r="F106" s="64">
        <f t="shared" ref="F106:F115" si="80">VLOOKUP(B106,indirect($AB$2&amp;"!B$5:U$70"),11, false)</f>
        <v>9</v>
      </c>
      <c r="G106" s="64" t="str">
        <f t="shared" ref="G106:G115" si="81">VLOOKUP(B106,indirect($AB$2&amp;"!B$5:U$70"),6, false)</f>
        <v/>
      </c>
      <c r="L106" s="64" t="str">
        <f t="shared" ref="L106:L115" si="82">if(D106-E106=C106,"ok","Error")</f>
        <v>ok</v>
      </c>
    </row>
    <row r="107">
      <c r="A107" s="11"/>
      <c r="B107" s="51" t="str">
        <f>IFERROR(__xludf.DUMMYFUNCTION("""COMPUTED_VALUE"""),"Alejandro Mejia")</f>
        <v>Alejandro Mejia</v>
      </c>
      <c r="C107" s="64">
        <f>IFERROR(__xludf.DUMMYFUNCTION("""COMPUTED_VALUE"""),-4.0)</f>
        <v>-4</v>
      </c>
      <c r="D107" s="64">
        <f t="shared" si="78"/>
        <v>7</v>
      </c>
      <c r="E107" s="64">
        <f t="shared" si="79"/>
        <v>11</v>
      </c>
      <c r="F107" s="64">
        <f t="shared" si="80"/>
        <v>9</v>
      </c>
      <c r="G107" s="64">
        <f t="shared" si="81"/>
        <v>0</v>
      </c>
      <c r="L107" s="64" t="str">
        <f t="shared" si="82"/>
        <v>ok</v>
      </c>
    </row>
    <row r="108">
      <c r="A108" s="11"/>
      <c r="B108" s="51" t="str">
        <f>IFERROR(__xludf.DUMMYFUNCTION("""COMPUTED_VALUE"""),"Arun Mallikarjuna")</f>
        <v>Arun Mallikarjuna</v>
      </c>
      <c r="C108" s="64">
        <f>IFERROR(__xludf.DUMMYFUNCTION("""COMPUTED_VALUE"""),-4.0)</f>
        <v>-4</v>
      </c>
      <c r="D108" s="64">
        <f t="shared" si="78"/>
        <v>8</v>
      </c>
      <c r="E108" s="64">
        <f t="shared" si="79"/>
        <v>12</v>
      </c>
      <c r="F108" s="64">
        <f t="shared" si="80"/>
        <v>9</v>
      </c>
      <c r="G108" s="64">
        <f t="shared" si="81"/>
        <v>0</v>
      </c>
      <c r="L108" s="64" t="str">
        <f t="shared" si="82"/>
        <v>ok</v>
      </c>
    </row>
    <row r="109">
      <c r="A109" s="11"/>
      <c r="B109" s="51" t="str">
        <f>IFERROR(__xludf.DUMMYFUNCTION("""COMPUTED_VALUE"""),"Wayne Liu")</f>
        <v>Wayne Liu</v>
      </c>
      <c r="C109" s="64">
        <f>IFERROR(__xludf.DUMMYFUNCTION("""COMPUTED_VALUE"""),-4.0)</f>
        <v>-4</v>
      </c>
      <c r="D109" s="64">
        <f t="shared" si="78"/>
        <v>36</v>
      </c>
      <c r="E109" s="64">
        <f t="shared" si="79"/>
        <v>40</v>
      </c>
      <c r="F109" s="64">
        <f t="shared" si="80"/>
        <v>9</v>
      </c>
      <c r="G109" s="64">
        <f t="shared" si="81"/>
        <v>0</v>
      </c>
      <c r="L109" s="64" t="str">
        <f t="shared" si="82"/>
        <v>ok</v>
      </c>
    </row>
    <row r="110">
      <c r="A110" s="11"/>
      <c r="B110" s="51" t="str">
        <f>IFERROR(__xludf.DUMMYFUNCTION("""COMPUTED_VALUE"""),"Herman Au")</f>
        <v>Herman Au</v>
      </c>
      <c r="C110" s="64">
        <f>IFERROR(__xludf.DUMMYFUNCTION("""COMPUTED_VALUE"""),-3.0)</f>
        <v>-3</v>
      </c>
      <c r="D110" s="64">
        <f t="shared" si="78"/>
        <v>14</v>
      </c>
      <c r="E110" s="64">
        <f t="shared" si="79"/>
        <v>17</v>
      </c>
      <c r="F110" s="64">
        <f t="shared" si="80"/>
        <v>0</v>
      </c>
      <c r="G110" s="64">
        <f t="shared" si="81"/>
        <v>3</v>
      </c>
      <c r="L110" s="64" t="str">
        <f t="shared" si="82"/>
        <v>ok</v>
      </c>
    </row>
    <row r="111">
      <c r="A111" s="11"/>
      <c r="B111" s="51" t="str">
        <f>IFERROR(__xludf.DUMMYFUNCTION("""COMPUTED_VALUE"""),"Pulkit Mathur")</f>
        <v>Pulkit Mathur</v>
      </c>
      <c r="C111" s="64">
        <f>IFERROR(__xludf.DUMMYFUNCTION("""COMPUTED_VALUE"""),-3.0)</f>
        <v>-3</v>
      </c>
      <c r="D111" s="64">
        <f t="shared" si="78"/>
        <v>22</v>
      </c>
      <c r="E111" s="64">
        <f t="shared" si="79"/>
        <v>25</v>
      </c>
      <c r="F111" s="64">
        <f t="shared" si="80"/>
        <v>9</v>
      </c>
      <c r="G111" s="64">
        <f t="shared" si="81"/>
        <v>0</v>
      </c>
      <c r="L111" s="64" t="str">
        <f t="shared" si="82"/>
        <v>ok</v>
      </c>
    </row>
    <row r="112">
      <c r="A112" s="11"/>
      <c r="B112" s="51" t="str">
        <f>IFERROR(__xludf.DUMMYFUNCTION("""COMPUTED_VALUE"""),"Peter Cheng")</f>
        <v>Peter Cheng</v>
      </c>
      <c r="C112" s="64">
        <f>IFERROR(__xludf.DUMMYFUNCTION("""COMPUTED_VALUE"""),-3.0)</f>
        <v>-3</v>
      </c>
      <c r="D112" s="64">
        <f t="shared" si="78"/>
        <v>35</v>
      </c>
      <c r="E112" s="64">
        <f t="shared" si="79"/>
        <v>38</v>
      </c>
      <c r="F112" s="64">
        <f t="shared" si="80"/>
        <v>9</v>
      </c>
      <c r="G112" s="64">
        <f t="shared" si="81"/>
        <v>0</v>
      </c>
      <c r="L112" s="64" t="str">
        <f t="shared" si="82"/>
        <v>ok</v>
      </c>
    </row>
    <row r="113">
      <c r="A113" s="11"/>
      <c r="B113" s="51" t="str">
        <f>IFERROR(__xludf.DUMMYFUNCTION("""COMPUTED_VALUE"""),"Trish Newlin")</f>
        <v>Trish Newlin</v>
      </c>
      <c r="C113" s="64">
        <f>IFERROR(__xludf.DUMMYFUNCTION("""COMPUTED_VALUE"""),-3.0)</f>
        <v>-3</v>
      </c>
      <c r="D113" s="64">
        <f t="shared" si="78"/>
        <v>43</v>
      </c>
      <c r="E113" s="64">
        <f t="shared" si="79"/>
        <v>46</v>
      </c>
      <c r="F113" s="64">
        <f t="shared" si="80"/>
        <v>9</v>
      </c>
      <c r="G113" s="64">
        <f t="shared" si="81"/>
        <v>0</v>
      </c>
      <c r="L113" s="64" t="str">
        <f t="shared" si="82"/>
        <v>ok</v>
      </c>
    </row>
    <row r="114">
      <c r="A114" s="11"/>
      <c r="B114" s="51" t="str">
        <f>IFERROR(__xludf.DUMMYFUNCTION("""COMPUTED_VALUE"""),"Suleman Alidina")</f>
        <v>Suleman Alidina</v>
      </c>
      <c r="C114" s="64">
        <f>IFERROR(__xludf.DUMMYFUNCTION("""COMPUTED_VALUE"""),-2.0)</f>
        <v>-2</v>
      </c>
      <c r="D114" s="64">
        <f t="shared" si="78"/>
        <v>3</v>
      </c>
      <c r="E114" s="64">
        <f t="shared" si="79"/>
        <v>5</v>
      </c>
      <c r="F114" s="64">
        <f t="shared" si="80"/>
        <v>8</v>
      </c>
      <c r="G114" s="64">
        <f t="shared" si="81"/>
        <v>1</v>
      </c>
      <c r="L114" s="64" t="str">
        <f t="shared" si="82"/>
        <v>ok</v>
      </c>
    </row>
    <row r="115">
      <c r="A115" s="11"/>
      <c r="B115" s="51" t="str">
        <f>IFERROR(__xludf.DUMMYFUNCTION("""COMPUTED_VALUE"""),"Ted Shen")</f>
        <v>Ted Shen</v>
      </c>
      <c r="C115" s="64">
        <f>IFERROR(__xludf.DUMMYFUNCTION("""COMPUTED_VALUE"""),-2.0)</f>
        <v>-2</v>
      </c>
      <c r="D115" s="64">
        <f t="shared" si="78"/>
        <v>4</v>
      </c>
      <c r="E115" s="64">
        <f t="shared" si="79"/>
        <v>6</v>
      </c>
      <c r="F115" s="64">
        <f t="shared" si="80"/>
        <v>9</v>
      </c>
      <c r="G115" s="64">
        <f t="shared" si="81"/>
        <v>0</v>
      </c>
      <c r="L115" s="64" t="str">
        <f t="shared" si="82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72" t="s">
        <v>144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3"/>
    </row>
    <row r="122">
      <c r="A122" s="53"/>
      <c r="B122" s="62" t="s">
        <v>145</v>
      </c>
      <c r="C122" s="73" t="s">
        <v>146</v>
      </c>
      <c r="D122" s="22"/>
      <c r="E122" s="23"/>
      <c r="F122" s="73" t="s">
        <v>147</v>
      </c>
      <c r="G122" s="22"/>
      <c r="H122" s="23"/>
      <c r="I122" s="74" t="s">
        <v>148</v>
      </c>
      <c r="J122" s="22"/>
      <c r="K122" s="22"/>
      <c r="L122" s="22"/>
      <c r="M122" s="23"/>
    </row>
    <row r="123">
      <c r="A123" s="75">
        <v>1.0</v>
      </c>
      <c r="B123" s="51" t="str">
        <f>IFERROR(__xludf.DUMMYFUNCTION("query(B5:V69,""select B where R = 'X' order by B asc"")"),"Alejandro Mejia")</f>
        <v>Alejandro Mejia</v>
      </c>
      <c r="C123" s="76" t="str">
        <f>IFERROR(__xludf.DUMMYFUNCTION("query(B5:V69,""select B where R = '' order by B asc"")"),"Adrian Tay")</f>
        <v>Adrian Tay</v>
      </c>
      <c r="D123" s="22"/>
      <c r="E123" s="23"/>
      <c r="F123" s="76" t="str">
        <f>IFERROR(__xludf.DUMMYFUNCTION("query(B5:V69,""select B where R = 'N' order by B asc"")"),"Amit Patel")</f>
        <v>Amit Patel</v>
      </c>
      <c r="G123" s="22"/>
      <c r="H123" s="23"/>
      <c r="I123" s="76" t="s">
        <v>149</v>
      </c>
      <c r="J123" s="22"/>
      <c r="K123" s="22"/>
      <c r="L123" s="22"/>
      <c r="M123" s="23"/>
    </row>
    <row r="124">
      <c r="A124" s="75">
        <f t="shared" ref="A124:A182" si="83">A123+1</f>
        <v>2</v>
      </c>
      <c r="B124" s="51" t="str">
        <f>IFERROR(__xludf.DUMMYFUNCTION("""COMPUTED_VALUE"""),"Alex Hou")</f>
        <v>Alex Hou</v>
      </c>
      <c r="C124" s="76" t="str">
        <f>IFERROR(__xludf.DUMMYFUNCTION("""COMPUTED_VALUE"""),"Herman Au")</f>
        <v>Herman Au</v>
      </c>
      <c r="D124" s="22"/>
      <c r="E124" s="23"/>
      <c r="F124" s="76" t="str">
        <f>IFERROR(__xludf.DUMMYFUNCTION("""COMPUTED_VALUE"""),"Arun Mallikarjuna")</f>
        <v>Arun Mallikarjuna</v>
      </c>
      <c r="G124" s="22"/>
      <c r="H124" s="23"/>
      <c r="I124" s="76" t="s">
        <v>150</v>
      </c>
      <c r="J124" s="22"/>
      <c r="K124" s="22"/>
      <c r="L124" s="22"/>
      <c r="M124" s="23"/>
    </row>
    <row r="125">
      <c r="A125" s="75">
        <f t="shared" si="83"/>
        <v>3</v>
      </c>
      <c r="B125" s="51" t="str">
        <f>IFERROR(__xludf.DUMMYFUNCTION("""COMPUTED_VALUE"""),"Andrew Wen")</f>
        <v>Andrew Wen</v>
      </c>
      <c r="C125" s="76" t="str">
        <f>IFERROR(__xludf.DUMMYFUNCTION("""COMPUTED_VALUE"""),"Jose Ortiz")</f>
        <v>Jose Ortiz</v>
      </c>
      <c r="D125" s="22"/>
      <c r="E125" s="23"/>
      <c r="F125" s="76" t="str">
        <f>IFERROR(__xludf.DUMMYFUNCTION("""COMPUTED_VALUE"""),"Christopher Li")</f>
        <v>Christopher Li</v>
      </c>
      <c r="G125" s="22"/>
      <c r="H125" s="23"/>
      <c r="I125" s="76" t="s">
        <v>151</v>
      </c>
      <c r="J125" s="22"/>
      <c r="K125" s="22"/>
      <c r="L125" s="22"/>
      <c r="M125" s="23"/>
    </row>
    <row r="126">
      <c r="A126" s="75">
        <f t="shared" si="83"/>
        <v>4</v>
      </c>
      <c r="B126" s="51" t="str">
        <f>IFERROR(__xludf.DUMMYFUNCTION("""COMPUTED_VALUE"""),"Balaji Alahari")</f>
        <v>Balaji Alahari</v>
      </c>
      <c r="C126" s="76" t="str">
        <f>IFERROR(__xludf.DUMMYFUNCTION("""COMPUTED_VALUE"""),"Tony Lin")</f>
        <v>Tony Lin</v>
      </c>
      <c r="D126" s="22"/>
      <c r="E126" s="23"/>
      <c r="F126" s="76" t="str">
        <f>IFERROR(__xludf.DUMMYFUNCTION("""COMPUTED_VALUE"""),"Nohely Mejia")</f>
        <v>Nohely Mejia</v>
      </c>
      <c r="G126" s="22"/>
      <c r="H126" s="23"/>
      <c r="I126" s="76" t="s">
        <v>152</v>
      </c>
      <c r="J126" s="22"/>
      <c r="K126" s="22"/>
      <c r="L126" s="22"/>
      <c r="M126" s="23"/>
    </row>
    <row r="127">
      <c r="A127" s="75">
        <f t="shared" si="83"/>
        <v>5</v>
      </c>
      <c r="B127" s="51" t="str">
        <f>IFERROR(__xludf.DUMMYFUNCTION("""COMPUTED_VALUE"""),"Chinna Ponnaganti")</f>
        <v>Chinna Ponnaganti</v>
      </c>
      <c r="C127" s="76"/>
      <c r="D127" s="22"/>
      <c r="E127" s="23"/>
      <c r="F127" s="76" t="str">
        <f>IFERROR(__xludf.DUMMYFUNCTION("""COMPUTED_VALUE"""),"Peter Cheng")</f>
        <v>Peter Cheng</v>
      </c>
      <c r="G127" s="22"/>
      <c r="H127" s="23"/>
      <c r="I127" s="76" t="s">
        <v>153</v>
      </c>
      <c r="J127" s="22"/>
      <c r="K127" s="22"/>
      <c r="L127" s="22"/>
      <c r="M127" s="23"/>
    </row>
    <row r="128">
      <c r="A128" s="75">
        <f t="shared" si="83"/>
        <v>6</v>
      </c>
      <c r="B128" s="51" t="str">
        <f>IFERROR(__xludf.DUMMYFUNCTION("""COMPUTED_VALUE"""),"Cid Macaraeg")</f>
        <v>Cid Macaraeg</v>
      </c>
      <c r="C128" s="76"/>
      <c r="D128" s="22"/>
      <c r="E128" s="23"/>
      <c r="F128" s="76" t="str">
        <f>IFERROR(__xludf.DUMMYFUNCTION("""COMPUTED_VALUE"""),"Peter Homsey")</f>
        <v>Peter Homsey</v>
      </c>
      <c r="G128" s="22"/>
      <c r="H128" s="23"/>
      <c r="I128" s="76" t="s">
        <v>161</v>
      </c>
      <c r="J128" s="22"/>
      <c r="K128" s="22"/>
      <c r="L128" s="22"/>
      <c r="M128" s="23"/>
      <c r="O128" s="10" t="s">
        <v>160</v>
      </c>
    </row>
    <row r="129">
      <c r="A129" s="75">
        <f t="shared" si="83"/>
        <v>7</v>
      </c>
      <c r="B129" s="51" t="str">
        <f>IFERROR(__xludf.DUMMYFUNCTION("""COMPUTED_VALUE"""),"Coco Yan")</f>
        <v>Coco Yan</v>
      </c>
      <c r="C129" s="76"/>
      <c r="D129" s="22"/>
      <c r="E129" s="23"/>
      <c r="F129" s="76" t="str">
        <f>IFERROR(__xludf.DUMMYFUNCTION("""COMPUTED_VALUE"""),"Sai Dilip Ponnaganti")</f>
        <v>Sai Dilip Ponnaganti</v>
      </c>
      <c r="G129" s="22"/>
      <c r="H129" s="23"/>
      <c r="I129" s="76" t="s">
        <v>159</v>
      </c>
      <c r="J129" s="22"/>
      <c r="K129" s="22"/>
      <c r="L129" s="22"/>
      <c r="M129" s="23"/>
      <c r="O129" s="10" t="s">
        <v>160</v>
      </c>
    </row>
    <row r="130">
      <c r="A130" s="75">
        <f t="shared" si="83"/>
        <v>8</v>
      </c>
      <c r="B130" s="51" t="str">
        <f>IFERROR(__xludf.DUMMYFUNCTION("""COMPUTED_VALUE"""),"David Shin")</f>
        <v>David Shin</v>
      </c>
      <c r="C130" s="76"/>
      <c r="D130" s="22"/>
      <c r="E130" s="23"/>
      <c r="F130" s="76" t="str">
        <f>IFERROR(__xludf.DUMMYFUNCTION("""COMPUTED_VALUE"""),"Vinz Solano")</f>
        <v>Vinz Solano</v>
      </c>
      <c r="G130" s="22"/>
      <c r="H130" s="23"/>
      <c r="I130" s="76" t="s">
        <v>162</v>
      </c>
      <c r="J130" s="22"/>
      <c r="K130" s="22"/>
      <c r="L130" s="22"/>
      <c r="M130" s="23"/>
      <c r="O130" s="10" t="s">
        <v>160</v>
      </c>
    </row>
    <row r="131">
      <c r="A131" s="75">
        <f t="shared" si="83"/>
        <v>9</v>
      </c>
      <c r="B131" s="51" t="str">
        <f>IFERROR(__xludf.DUMMYFUNCTION("""COMPUTED_VALUE"""),"Elayaraja Thangaraj ")</f>
        <v>Elayaraja Thangaraj </v>
      </c>
      <c r="C131" s="76"/>
      <c r="D131" s="22"/>
      <c r="E131" s="23"/>
      <c r="F131" s="76"/>
      <c r="G131" s="22"/>
      <c r="H131" s="23"/>
      <c r="I131" s="80"/>
      <c r="J131" s="22"/>
      <c r="K131" s="22"/>
      <c r="L131" s="22"/>
      <c r="M131" s="23"/>
    </row>
    <row r="132">
      <c r="A132" s="75">
        <f t="shared" si="83"/>
        <v>10</v>
      </c>
      <c r="B132" s="51" t="str">
        <f>IFERROR(__xludf.DUMMYFUNCTION("""COMPUTED_VALUE"""),"Eric Pan")</f>
        <v>Eric Pan</v>
      </c>
      <c r="C132" s="76"/>
      <c r="D132" s="22"/>
      <c r="E132" s="23"/>
      <c r="F132" s="76"/>
      <c r="G132" s="22"/>
      <c r="H132" s="23"/>
      <c r="I132" s="80"/>
      <c r="J132" s="22"/>
      <c r="K132" s="22"/>
      <c r="L132" s="22"/>
      <c r="M132" s="23"/>
    </row>
    <row r="133">
      <c r="A133" s="75">
        <f t="shared" si="83"/>
        <v>11</v>
      </c>
      <c r="B133" s="51" t="str">
        <f>IFERROR(__xludf.DUMMYFUNCTION("""COMPUTED_VALUE"""),"Eric Tan")</f>
        <v>Eric Tan</v>
      </c>
      <c r="C133" s="76"/>
      <c r="D133" s="22"/>
      <c r="E133" s="23"/>
      <c r="F133" s="76"/>
      <c r="G133" s="22"/>
      <c r="H133" s="23"/>
    </row>
    <row r="134">
      <c r="A134" s="75">
        <f t="shared" si="83"/>
        <v>12</v>
      </c>
      <c r="B134" s="51" t="str">
        <f>IFERROR(__xludf.DUMMYFUNCTION("""COMPUTED_VALUE"""),"Erik Hoeckmann")</f>
        <v>Erik Hoeckmann</v>
      </c>
      <c r="C134" s="76"/>
      <c r="D134" s="22"/>
      <c r="E134" s="23"/>
      <c r="F134" s="76"/>
      <c r="G134" s="22"/>
      <c r="H134" s="23"/>
      <c r="I134" s="76"/>
      <c r="J134" s="22"/>
      <c r="K134" s="22"/>
      <c r="L134" s="22"/>
      <c r="M134" s="23"/>
    </row>
    <row r="135">
      <c r="A135" s="75">
        <f t="shared" si="83"/>
        <v>13</v>
      </c>
      <c r="B135" s="51" t="str">
        <f>IFERROR(__xludf.DUMMYFUNCTION("""COMPUTED_VALUE"""),"Frank Moon")</f>
        <v>Frank Moon</v>
      </c>
      <c r="C135" s="76"/>
      <c r="D135" s="22"/>
      <c r="E135" s="23"/>
      <c r="F135" s="76"/>
      <c r="G135" s="22"/>
      <c r="H135" s="23"/>
      <c r="I135" s="76"/>
      <c r="J135" s="22"/>
      <c r="K135" s="22"/>
      <c r="L135" s="22"/>
      <c r="M135" s="23"/>
    </row>
    <row r="136">
      <c r="A136" s="75">
        <f t="shared" si="83"/>
        <v>14</v>
      </c>
      <c r="B136" s="51" t="str">
        <f>IFERROR(__xludf.DUMMYFUNCTION("""COMPUTED_VALUE"""),"James Phan")</f>
        <v>James Phan</v>
      </c>
      <c r="C136" s="76"/>
      <c r="D136" s="22"/>
      <c r="E136" s="23"/>
      <c r="F136" s="76"/>
      <c r="G136" s="22"/>
      <c r="H136" s="23"/>
      <c r="I136" s="76"/>
      <c r="J136" s="22"/>
      <c r="K136" s="22"/>
      <c r="L136" s="22"/>
      <c r="M136" s="23"/>
    </row>
    <row r="137">
      <c r="A137" s="75">
        <f t="shared" si="83"/>
        <v>15</v>
      </c>
      <c r="B137" s="51" t="str">
        <f>IFERROR(__xludf.DUMMYFUNCTION("""COMPUTED_VALUE"""),"Jim Miao")</f>
        <v>Jim Miao</v>
      </c>
      <c r="C137" s="76"/>
      <c r="D137" s="22"/>
      <c r="E137" s="23"/>
      <c r="F137" s="76"/>
      <c r="G137" s="22"/>
      <c r="H137" s="23"/>
      <c r="I137" s="76"/>
      <c r="J137" s="22"/>
      <c r="K137" s="22"/>
      <c r="L137" s="22"/>
      <c r="M137" s="23"/>
    </row>
    <row r="138">
      <c r="A138" s="75">
        <f t="shared" si="83"/>
        <v>16</v>
      </c>
      <c r="B138" s="51" t="str">
        <f>IFERROR(__xludf.DUMMYFUNCTION("""COMPUTED_VALUE"""),"Jimmy Awolesi")</f>
        <v>Jimmy Awolesi</v>
      </c>
      <c r="C138" s="76"/>
      <c r="D138" s="22"/>
      <c r="E138" s="23"/>
      <c r="F138" s="76"/>
      <c r="G138" s="22"/>
      <c r="H138" s="23"/>
    </row>
    <row r="139">
      <c r="A139" s="75">
        <f t="shared" si="83"/>
        <v>17</v>
      </c>
      <c r="B139" s="51" t="str">
        <f>IFERROR(__xludf.DUMMYFUNCTION("""COMPUTED_VALUE"""),"Joe Luzzi")</f>
        <v>Joe Luzzi</v>
      </c>
      <c r="C139" s="76"/>
      <c r="D139" s="22"/>
      <c r="E139" s="23"/>
      <c r="F139" s="76"/>
      <c r="G139" s="22"/>
      <c r="H139" s="23"/>
    </row>
    <row r="140">
      <c r="A140" s="75">
        <f t="shared" si="83"/>
        <v>18</v>
      </c>
      <c r="B140" s="51" t="str">
        <f>IFERROR(__xludf.DUMMYFUNCTION("""COMPUTED_VALUE"""),"Jonathan Phan")</f>
        <v>Jonathan Phan</v>
      </c>
      <c r="C140" s="76"/>
      <c r="D140" s="22"/>
      <c r="E140" s="23"/>
      <c r="F140" s="76"/>
      <c r="G140" s="22"/>
      <c r="H140" s="23"/>
    </row>
    <row r="141">
      <c r="A141" s="75">
        <f t="shared" si="83"/>
        <v>19</v>
      </c>
      <c r="B141" s="51" t="str">
        <f>IFERROR(__xludf.DUMMYFUNCTION("""COMPUTED_VALUE"""),"Joyce Zhu")</f>
        <v>Joyce Zhu</v>
      </c>
      <c r="C141" s="76"/>
      <c r="D141" s="22"/>
      <c r="E141" s="23"/>
      <c r="F141" s="76"/>
      <c r="G141" s="22"/>
      <c r="H141" s="23"/>
    </row>
    <row r="142">
      <c r="A142" s="75">
        <f t="shared" si="83"/>
        <v>20</v>
      </c>
      <c r="B142" s="51" t="str">
        <f>IFERROR(__xludf.DUMMYFUNCTION("""COMPUTED_VALUE"""),"Kumar Palakeel")</f>
        <v>Kumar Palakeel</v>
      </c>
      <c r="C142" s="76"/>
      <c r="D142" s="22"/>
      <c r="E142" s="23"/>
      <c r="F142" s="76"/>
      <c r="G142" s="22"/>
      <c r="H142" s="23"/>
    </row>
    <row r="143">
      <c r="A143" s="75">
        <f t="shared" si="83"/>
        <v>21</v>
      </c>
      <c r="B143" s="51" t="str">
        <f>IFERROR(__xludf.DUMMYFUNCTION("""COMPUTED_VALUE"""),"Lam Bui")</f>
        <v>Lam Bui</v>
      </c>
      <c r="C143" s="76"/>
      <c r="D143" s="22"/>
      <c r="E143" s="23"/>
      <c r="F143" s="76"/>
      <c r="G143" s="22"/>
      <c r="H143" s="23"/>
    </row>
    <row r="144">
      <c r="A144" s="75">
        <f t="shared" si="83"/>
        <v>22</v>
      </c>
      <c r="B144" s="51" t="str">
        <f>IFERROR(__xludf.DUMMYFUNCTION("""COMPUTED_VALUE"""),"Leigh-Anh Nguyen")</f>
        <v>Leigh-Anh Nguyen</v>
      </c>
      <c r="C144" s="76"/>
      <c r="D144" s="22"/>
      <c r="E144" s="23"/>
      <c r="F144" s="76"/>
      <c r="G144" s="22"/>
      <c r="H144" s="23"/>
    </row>
    <row r="145">
      <c r="A145" s="75">
        <f t="shared" si="83"/>
        <v>23</v>
      </c>
      <c r="B145" s="51" t="str">
        <f>IFERROR(__xludf.DUMMYFUNCTION("""COMPUTED_VALUE"""),"Lloyd Sagar")</f>
        <v>Lloyd Sagar</v>
      </c>
      <c r="C145" s="76"/>
      <c r="D145" s="22"/>
      <c r="E145" s="23"/>
      <c r="F145" s="76"/>
      <c r="G145" s="22"/>
      <c r="H145" s="23"/>
    </row>
    <row r="146">
      <c r="A146" s="75">
        <f t="shared" si="83"/>
        <v>24</v>
      </c>
      <c r="B146" s="51" t="str">
        <f>IFERROR(__xludf.DUMMYFUNCTION("""COMPUTED_VALUE"""),"Luis Hsu")</f>
        <v>Luis Hsu</v>
      </c>
      <c r="C146" s="76"/>
      <c r="D146" s="22"/>
      <c r="E146" s="23"/>
      <c r="F146" s="76"/>
      <c r="G146" s="22"/>
      <c r="H146" s="23"/>
    </row>
    <row r="147">
      <c r="A147" s="75">
        <f t="shared" si="83"/>
        <v>25</v>
      </c>
      <c r="B147" s="51" t="str">
        <f>IFERROR(__xludf.DUMMYFUNCTION("""COMPUTED_VALUE"""),"Manish Anand")</f>
        <v>Manish Anand</v>
      </c>
      <c r="C147" s="76"/>
      <c r="D147" s="22"/>
      <c r="E147" s="23"/>
      <c r="F147" s="76"/>
      <c r="G147" s="22"/>
      <c r="H147" s="23"/>
    </row>
    <row r="148">
      <c r="A148" s="75">
        <f t="shared" si="83"/>
        <v>26</v>
      </c>
      <c r="B148" s="51" t="str">
        <f>IFERROR(__xludf.DUMMYFUNCTION("""COMPUTED_VALUE"""),"Manuel Rivera")</f>
        <v>Manuel Rivera</v>
      </c>
      <c r="C148" s="76"/>
      <c r="D148" s="22"/>
      <c r="E148" s="23"/>
      <c r="F148" s="76"/>
      <c r="G148" s="22"/>
      <c r="H148" s="23"/>
    </row>
    <row r="149">
      <c r="A149" s="75">
        <f t="shared" si="83"/>
        <v>27</v>
      </c>
      <c r="B149" s="51" t="str">
        <f>IFERROR(__xludf.DUMMYFUNCTION("""COMPUTED_VALUE"""),"Matthew Huang")</f>
        <v>Matthew Huang</v>
      </c>
      <c r="C149" s="76"/>
      <c r="D149" s="22"/>
      <c r="E149" s="23"/>
      <c r="F149" s="76"/>
      <c r="G149" s="22"/>
      <c r="H149" s="23"/>
    </row>
    <row r="150">
      <c r="A150" s="75">
        <f t="shared" si="83"/>
        <v>28</v>
      </c>
      <c r="B150" s="51" t="str">
        <f>IFERROR(__xludf.DUMMYFUNCTION("""COMPUTED_VALUE"""),"Mauricio Palacios")</f>
        <v>Mauricio Palacios</v>
      </c>
      <c r="C150" s="76"/>
      <c r="D150" s="22"/>
      <c r="E150" s="23"/>
      <c r="F150" s="76"/>
      <c r="G150" s="22"/>
      <c r="H150" s="23"/>
    </row>
    <row r="151">
      <c r="A151" s="75">
        <f t="shared" si="83"/>
        <v>29</v>
      </c>
      <c r="B151" s="51" t="str">
        <f>IFERROR(__xludf.DUMMYFUNCTION("""COMPUTED_VALUE"""),"Naveen Raj")</f>
        <v>Naveen Raj</v>
      </c>
      <c r="C151" s="76"/>
      <c r="D151" s="22"/>
      <c r="E151" s="23"/>
      <c r="F151" s="76"/>
      <c r="G151" s="22"/>
      <c r="H151" s="23"/>
    </row>
    <row r="152">
      <c r="A152" s="75">
        <f t="shared" si="83"/>
        <v>30</v>
      </c>
      <c r="B152" s="51" t="str">
        <f>IFERROR(__xludf.DUMMYFUNCTION("""COMPUTED_VALUE"""),"Nicole Ni")</f>
        <v>Nicole Ni</v>
      </c>
      <c r="C152" s="76"/>
      <c r="D152" s="22"/>
      <c r="E152" s="23"/>
      <c r="F152" s="76"/>
      <c r="G152" s="22"/>
      <c r="H152" s="23"/>
    </row>
    <row r="153">
      <c r="A153" s="75">
        <f t="shared" si="83"/>
        <v>31</v>
      </c>
      <c r="B153" s="51" t="str">
        <f>IFERROR(__xludf.DUMMYFUNCTION("""COMPUTED_VALUE"""),"Oscar Bonilla")</f>
        <v>Oscar Bonilla</v>
      </c>
      <c r="C153" s="76"/>
      <c r="D153" s="22"/>
      <c r="E153" s="23"/>
      <c r="F153" s="76"/>
      <c r="G153" s="22"/>
      <c r="H153" s="23"/>
    </row>
    <row r="154">
      <c r="A154" s="75">
        <f t="shared" si="83"/>
        <v>32</v>
      </c>
      <c r="B154" s="51" t="str">
        <f>IFERROR(__xludf.DUMMYFUNCTION("""COMPUTED_VALUE"""),"Pavan Akkimsetty")</f>
        <v>Pavan Akkimsetty</v>
      </c>
      <c r="C154" s="76"/>
      <c r="D154" s="22"/>
      <c r="E154" s="23"/>
      <c r="F154" s="76"/>
      <c r="G154" s="22"/>
      <c r="H154" s="23"/>
    </row>
    <row r="155">
      <c r="A155" s="75">
        <f t="shared" si="83"/>
        <v>33</v>
      </c>
      <c r="B155" s="51" t="str">
        <f>IFERROR(__xludf.DUMMYFUNCTION("""COMPUTED_VALUE"""),"Pulkit Mathur")</f>
        <v>Pulkit Mathur</v>
      </c>
      <c r="C155" s="76"/>
      <c r="D155" s="22"/>
      <c r="E155" s="23"/>
      <c r="F155" s="76"/>
      <c r="G155" s="22"/>
      <c r="H155" s="23"/>
    </row>
    <row r="156">
      <c r="A156" s="75">
        <f t="shared" si="83"/>
        <v>34</v>
      </c>
      <c r="B156" s="51" t="str">
        <f>IFERROR(__xludf.DUMMYFUNCTION("""COMPUTED_VALUE"""),"Rajasekar Ramasamy")</f>
        <v>Rajasekar Ramasamy</v>
      </c>
      <c r="C156" s="76"/>
      <c r="D156" s="22"/>
      <c r="E156" s="23"/>
      <c r="F156" s="76"/>
      <c r="G156" s="22"/>
      <c r="H156" s="23"/>
    </row>
    <row r="157">
      <c r="A157" s="75">
        <f t="shared" si="83"/>
        <v>35</v>
      </c>
      <c r="B157" s="51" t="str">
        <f>IFERROR(__xludf.DUMMYFUNCTION("""COMPUTED_VALUE"""),"Rajesh Dorairaj")</f>
        <v>Rajesh Dorairaj</v>
      </c>
      <c r="C157" s="76"/>
      <c r="D157" s="22"/>
      <c r="E157" s="23"/>
      <c r="F157" s="76"/>
      <c r="G157" s="22"/>
      <c r="H157" s="23"/>
    </row>
    <row r="158">
      <c r="A158" s="75">
        <f t="shared" si="83"/>
        <v>36</v>
      </c>
      <c r="B158" s="51" t="str">
        <f>IFERROR(__xludf.DUMMYFUNCTION("""COMPUTED_VALUE"""),"Ramesh Bandaru")</f>
        <v>Ramesh Bandaru</v>
      </c>
      <c r="C158" s="76"/>
      <c r="D158" s="22"/>
      <c r="E158" s="23"/>
      <c r="F158" s="76"/>
      <c r="G158" s="22"/>
      <c r="H158" s="23"/>
    </row>
    <row r="159">
      <c r="A159" s="75">
        <f t="shared" si="83"/>
        <v>37</v>
      </c>
      <c r="B159" s="51" t="str">
        <f>IFERROR(__xludf.DUMMYFUNCTION("""COMPUTED_VALUE"""),"Robert Chang")</f>
        <v>Robert Chang</v>
      </c>
      <c r="C159" s="76"/>
      <c r="D159" s="22"/>
      <c r="E159" s="23"/>
      <c r="F159" s="76"/>
      <c r="G159" s="22"/>
      <c r="H159" s="23"/>
    </row>
    <row r="160">
      <c r="A160" s="75">
        <f t="shared" si="83"/>
        <v>38</v>
      </c>
      <c r="B160" s="51" t="str">
        <f>IFERROR(__xludf.DUMMYFUNCTION("""COMPUTED_VALUE"""),"Sandy Weyant")</f>
        <v>Sandy Weyant</v>
      </c>
      <c r="C160" s="76"/>
      <c r="D160" s="22"/>
      <c r="E160" s="23"/>
      <c r="F160" s="76"/>
      <c r="G160" s="22"/>
      <c r="H160" s="23"/>
    </row>
    <row r="161">
      <c r="A161" s="75">
        <f t="shared" si="83"/>
        <v>39</v>
      </c>
      <c r="B161" s="51" t="str">
        <f>IFERROR(__xludf.DUMMYFUNCTION("""COMPUTED_VALUE"""),"Sanjaye Elayattu")</f>
        <v>Sanjaye Elayattu</v>
      </c>
      <c r="C161" s="76"/>
      <c r="D161" s="22"/>
      <c r="E161" s="23"/>
      <c r="F161" s="76"/>
      <c r="G161" s="22"/>
      <c r="H161" s="23"/>
    </row>
    <row r="162">
      <c r="A162" s="75">
        <f t="shared" si="83"/>
        <v>40</v>
      </c>
      <c r="B162" s="51" t="str">
        <f>IFERROR(__xludf.DUMMYFUNCTION("""COMPUTED_VALUE"""),"Santosh Sundaresan ")</f>
        <v>Santosh Sundaresan </v>
      </c>
      <c r="C162" s="76"/>
      <c r="D162" s="22"/>
      <c r="E162" s="23"/>
      <c r="F162" s="76"/>
      <c r="G162" s="22"/>
      <c r="H162" s="23"/>
    </row>
    <row r="163">
      <c r="A163" s="75">
        <f t="shared" si="83"/>
        <v>41</v>
      </c>
      <c r="B163" s="51" t="str">
        <f>IFERROR(__xludf.DUMMYFUNCTION("""COMPUTED_VALUE"""),"Saravanan Veerapandian")</f>
        <v>Saravanan Veerapandian</v>
      </c>
      <c r="C163" s="76"/>
      <c r="D163" s="22"/>
      <c r="E163" s="23"/>
      <c r="F163" s="76"/>
      <c r="G163" s="22"/>
      <c r="H163" s="23"/>
    </row>
    <row r="164">
      <c r="A164" s="75">
        <f t="shared" si="83"/>
        <v>42</v>
      </c>
      <c r="B164" s="51" t="str">
        <f>IFERROR(__xludf.DUMMYFUNCTION("""COMPUTED_VALUE"""),"Scott Li")</f>
        <v>Scott Li</v>
      </c>
      <c r="C164" s="76"/>
      <c r="D164" s="22"/>
      <c r="E164" s="23"/>
      <c r="F164" s="76"/>
      <c r="G164" s="22"/>
      <c r="H164" s="23"/>
    </row>
    <row r="165">
      <c r="A165" s="75">
        <f t="shared" si="83"/>
        <v>43</v>
      </c>
      <c r="B165" s="51" t="str">
        <f>IFERROR(__xludf.DUMMYFUNCTION("""COMPUTED_VALUE"""),"Sean Chang")</f>
        <v>Sean Chang</v>
      </c>
      <c r="C165" s="76"/>
      <c r="D165" s="22"/>
      <c r="E165" s="23"/>
      <c r="F165" s="76"/>
      <c r="G165" s="22"/>
      <c r="H165" s="23"/>
    </row>
    <row r="166">
      <c r="A166" s="75">
        <f t="shared" si="83"/>
        <v>44</v>
      </c>
      <c r="B166" s="51" t="str">
        <f>IFERROR(__xludf.DUMMYFUNCTION("""COMPUTED_VALUE"""),"Suleman Alidina")</f>
        <v>Suleman Alidina</v>
      </c>
      <c r="C166" s="76"/>
      <c r="D166" s="22"/>
      <c r="E166" s="23"/>
      <c r="F166" s="76"/>
      <c r="G166" s="22"/>
      <c r="H166" s="23"/>
    </row>
    <row r="167">
      <c r="A167" s="75">
        <f t="shared" si="83"/>
        <v>45</v>
      </c>
      <c r="B167" s="51" t="str">
        <f>IFERROR(__xludf.DUMMYFUNCTION("""COMPUTED_VALUE"""),"Susanta Mishra")</f>
        <v>Susanta Mishra</v>
      </c>
      <c r="C167" s="76"/>
      <c r="D167" s="22"/>
      <c r="E167" s="23"/>
      <c r="F167" s="76"/>
      <c r="G167" s="22"/>
      <c r="H167" s="23"/>
    </row>
    <row r="168">
      <c r="A168" s="75">
        <f t="shared" si="83"/>
        <v>46</v>
      </c>
      <c r="B168" s="51" t="str">
        <f>IFERROR(__xludf.DUMMYFUNCTION("""COMPUTED_VALUE"""),"Ted Shen")</f>
        <v>Ted Shen</v>
      </c>
      <c r="C168" s="76"/>
      <c r="D168" s="22"/>
      <c r="E168" s="23"/>
      <c r="F168" s="76"/>
      <c r="G168" s="22"/>
      <c r="H168" s="23"/>
    </row>
    <row r="169">
      <c r="A169" s="75">
        <f t="shared" si="83"/>
        <v>47</v>
      </c>
      <c r="B169" s="51" t="str">
        <f>IFERROR(__xludf.DUMMYFUNCTION("""COMPUTED_VALUE"""),"Tom Le")</f>
        <v>Tom Le</v>
      </c>
      <c r="C169" s="76"/>
      <c r="D169" s="22"/>
      <c r="E169" s="23"/>
      <c r="F169" s="76"/>
      <c r="G169" s="22"/>
      <c r="H169" s="23"/>
    </row>
    <row r="170">
      <c r="A170" s="75">
        <f t="shared" si="83"/>
        <v>48</v>
      </c>
      <c r="B170" s="51" t="str">
        <f>IFERROR(__xludf.DUMMYFUNCTION("""COMPUTED_VALUE"""),"Trinath Goteti")</f>
        <v>Trinath Goteti</v>
      </c>
      <c r="C170" s="76"/>
      <c r="D170" s="22"/>
      <c r="E170" s="23"/>
      <c r="F170" s="76"/>
      <c r="G170" s="22"/>
      <c r="H170" s="23"/>
    </row>
    <row r="171">
      <c r="A171" s="75">
        <f t="shared" si="83"/>
        <v>49</v>
      </c>
      <c r="B171" s="51" t="str">
        <f>IFERROR(__xludf.DUMMYFUNCTION("""COMPUTED_VALUE"""),"Trish Newlin")</f>
        <v>Trish Newlin</v>
      </c>
      <c r="C171" s="76"/>
      <c r="D171" s="22"/>
      <c r="E171" s="23"/>
      <c r="F171" s="76"/>
      <c r="G171" s="22"/>
      <c r="H171" s="23"/>
    </row>
    <row r="172">
      <c r="A172" s="75">
        <f t="shared" si="83"/>
        <v>50</v>
      </c>
      <c r="B172" s="51" t="str">
        <f>IFERROR(__xludf.DUMMYFUNCTION("""COMPUTED_VALUE"""),"Troy Wong")</f>
        <v>Troy Wong</v>
      </c>
      <c r="C172" s="76"/>
      <c r="D172" s="22"/>
      <c r="E172" s="23"/>
      <c r="F172" s="76"/>
      <c r="G172" s="22"/>
      <c r="H172" s="23"/>
    </row>
    <row r="173">
      <c r="A173" s="75">
        <f t="shared" si="83"/>
        <v>51</v>
      </c>
      <c r="B173" s="51" t="str">
        <f>IFERROR(__xludf.DUMMYFUNCTION("""COMPUTED_VALUE"""),"Vinaya Kajla")</f>
        <v>Vinaya Kajla</v>
      </c>
      <c r="C173" s="76"/>
      <c r="D173" s="22"/>
      <c r="E173" s="23"/>
      <c r="F173" s="76"/>
      <c r="G173" s="22"/>
      <c r="H173" s="23"/>
    </row>
    <row r="174">
      <c r="A174" s="75">
        <f t="shared" si="83"/>
        <v>52</v>
      </c>
      <c r="B174" s="51" t="str">
        <f>IFERROR(__xludf.DUMMYFUNCTION("""COMPUTED_VALUE"""),"Vishnu Amarnath")</f>
        <v>Vishnu Amarnath</v>
      </c>
      <c r="C174" s="76"/>
      <c r="D174" s="22"/>
      <c r="E174" s="23"/>
      <c r="F174" s="76"/>
      <c r="G174" s="22"/>
      <c r="H174" s="23"/>
    </row>
    <row r="175">
      <c r="A175" s="75">
        <f t="shared" si="83"/>
        <v>53</v>
      </c>
      <c r="B175" s="51" t="str">
        <f>IFERROR(__xludf.DUMMYFUNCTION("""COMPUTED_VALUE"""),"Wayne Liu")</f>
        <v>Wayne Liu</v>
      </c>
      <c r="C175" s="76"/>
      <c r="D175" s="22"/>
      <c r="E175" s="23"/>
      <c r="F175" s="76"/>
      <c r="G175" s="22"/>
      <c r="H175" s="23"/>
    </row>
    <row r="176">
      <c r="A176" s="75">
        <f t="shared" si="83"/>
        <v>54</v>
      </c>
      <c r="B176" s="51"/>
      <c r="C176" s="76"/>
      <c r="D176" s="22"/>
      <c r="E176" s="23"/>
      <c r="F176" s="76"/>
      <c r="G176" s="22"/>
      <c r="H176" s="23"/>
    </row>
    <row r="177">
      <c r="A177" s="75">
        <f t="shared" si="83"/>
        <v>55</v>
      </c>
      <c r="B177" s="51"/>
      <c r="C177" s="76"/>
      <c r="D177" s="22"/>
      <c r="E177" s="23"/>
      <c r="F177" s="76"/>
      <c r="G177" s="22"/>
      <c r="H177" s="23"/>
    </row>
    <row r="178">
      <c r="A178" s="75">
        <f t="shared" si="83"/>
        <v>56</v>
      </c>
      <c r="B178" s="51"/>
      <c r="C178" s="76"/>
      <c r="D178" s="22"/>
      <c r="E178" s="23"/>
      <c r="F178" s="76"/>
      <c r="G178" s="22"/>
      <c r="H178" s="23"/>
    </row>
    <row r="179">
      <c r="A179" s="75">
        <f t="shared" si="83"/>
        <v>57</v>
      </c>
      <c r="B179" s="51"/>
      <c r="C179" s="76"/>
      <c r="D179" s="22"/>
      <c r="E179" s="23"/>
      <c r="F179" s="76"/>
      <c r="G179" s="22"/>
      <c r="H179" s="23"/>
    </row>
    <row r="180">
      <c r="A180" s="75">
        <f t="shared" si="83"/>
        <v>58</v>
      </c>
      <c r="B180" s="51"/>
      <c r="C180" s="76"/>
      <c r="D180" s="22"/>
      <c r="E180" s="23"/>
      <c r="F180" s="76"/>
      <c r="G180" s="22"/>
      <c r="H180" s="23"/>
    </row>
    <row r="181">
      <c r="A181" s="75">
        <f t="shared" si="83"/>
        <v>59</v>
      </c>
      <c r="B181" s="51"/>
      <c r="C181" s="76"/>
      <c r="D181" s="22"/>
      <c r="E181" s="23"/>
      <c r="F181" s="76"/>
      <c r="G181" s="22"/>
      <c r="H181" s="23"/>
    </row>
    <row r="182">
      <c r="A182" s="75">
        <f t="shared" si="83"/>
        <v>60</v>
      </c>
      <c r="B182" s="51"/>
      <c r="C182" s="76"/>
      <c r="D182" s="22"/>
      <c r="E182" s="23"/>
      <c r="F182" s="76"/>
      <c r="G182" s="22"/>
      <c r="H182" s="23"/>
    </row>
    <row r="183">
      <c r="A183" s="11"/>
      <c r="C183" s="11"/>
      <c r="D183" s="11"/>
      <c r="E183" s="11"/>
      <c r="F183" s="11"/>
    </row>
    <row r="184">
      <c r="A184" s="11"/>
      <c r="C184" s="11"/>
      <c r="D184" s="11"/>
      <c r="E184" s="11"/>
      <c r="F184" s="11"/>
    </row>
    <row r="185">
      <c r="A185" s="11"/>
      <c r="C185" s="11"/>
      <c r="D185" s="11"/>
      <c r="E185" s="11"/>
      <c r="F185" s="11"/>
    </row>
    <row r="186">
      <c r="A186" s="11"/>
      <c r="C186" s="11"/>
      <c r="D186" s="11"/>
      <c r="E186" s="11"/>
      <c r="F186" s="11"/>
    </row>
    <row r="187">
      <c r="A187" s="11"/>
      <c r="C187" s="11"/>
      <c r="D187" s="11"/>
      <c r="E187" s="11"/>
      <c r="F187" s="11"/>
    </row>
    <row r="188">
      <c r="A188" s="11"/>
      <c r="C188" s="11"/>
      <c r="D188" s="11"/>
      <c r="E188" s="11"/>
      <c r="F188" s="11"/>
    </row>
    <row r="189">
      <c r="A189" s="11"/>
      <c r="C189" s="11"/>
      <c r="D189" s="11"/>
      <c r="E189" s="11"/>
      <c r="F189" s="11"/>
    </row>
    <row r="190">
      <c r="A190" s="11"/>
      <c r="C190" s="11"/>
      <c r="D190" s="11"/>
      <c r="E190" s="11"/>
      <c r="F190" s="11"/>
    </row>
    <row r="191">
      <c r="A191" s="11"/>
      <c r="C191" s="11"/>
      <c r="D191" s="11"/>
      <c r="E191" s="11"/>
      <c r="F191" s="11"/>
    </row>
    <row r="192">
      <c r="A192" s="11"/>
      <c r="C192" s="11"/>
      <c r="D192" s="11"/>
      <c r="E192" s="11"/>
      <c r="F192" s="11"/>
    </row>
    <row r="193">
      <c r="A193" s="11"/>
      <c r="C193" s="11"/>
      <c r="D193" s="11"/>
      <c r="E193" s="11"/>
      <c r="F193" s="11"/>
    </row>
    <row r="194">
      <c r="A194" s="11"/>
      <c r="C194" s="11"/>
      <c r="D194" s="11"/>
      <c r="E194" s="11"/>
      <c r="F194" s="11"/>
    </row>
    <row r="195">
      <c r="A195" s="11"/>
      <c r="C195" s="11"/>
      <c r="D195" s="11"/>
      <c r="E195" s="11"/>
      <c r="F195" s="11"/>
    </row>
    <row r="196">
      <c r="A196" s="11"/>
      <c r="C196" s="11"/>
      <c r="D196" s="11"/>
      <c r="E196" s="11"/>
      <c r="F196" s="11"/>
    </row>
    <row r="197">
      <c r="A197" s="11"/>
      <c r="C197" s="11"/>
      <c r="D197" s="11"/>
      <c r="E197" s="11"/>
      <c r="F197" s="11"/>
    </row>
    <row r="198">
      <c r="A198" s="11"/>
      <c r="C198" s="11"/>
      <c r="D198" s="11"/>
      <c r="E198" s="11"/>
      <c r="F198" s="11"/>
    </row>
    <row r="199">
      <c r="A199" s="11"/>
      <c r="C199" s="11"/>
      <c r="D199" s="11"/>
      <c r="E199" s="11"/>
      <c r="F199" s="11"/>
    </row>
    <row r="200">
      <c r="A200" s="11"/>
      <c r="C200" s="11"/>
      <c r="D200" s="11"/>
      <c r="E200" s="11"/>
      <c r="F200" s="11"/>
    </row>
    <row r="201">
      <c r="A201" s="11"/>
      <c r="C201" s="11"/>
      <c r="D201" s="11"/>
      <c r="E201" s="11"/>
      <c r="F201" s="11"/>
    </row>
    <row r="202">
      <c r="A202" s="11"/>
      <c r="C202" s="11"/>
      <c r="D202" s="11"/>
      <c r="E202" s="11"/>
      <c r="F202" s="11"/>
    </row>
    <row r="203">
      <c r="A203" s="11"/>
      <c r="C203" s="11"/>
      <c r="D203" s="11"/>
      <c r="E203" s="11"/>
      <c r="F203" s="11"/>
    </row>
    <row r="204">
      <c r="A204" s="11"/>
      <c r="C204" s="11"/>
      <c r="D204" s="11"/>
      <c r="E204" s="11"/>
      <c r="F204" s="11"/>
    </row>
    <row r="205">
      <c r="A205" s="11"/>
      <c r="C205" s="11"/>
      <c r="D205" s="11"/>
      <c r="E205" s="11"/>
      <c r="F205" s="11"/>
    </row>
    <row r="206">
      <c r="A206" s="11"/>
      <c r="C206" s="11"/>
      <c r="D206" s="11"/>
      <c r="E206" s="11"/>
      <c r="F206" s="11"/>
    </row>
    <row r="207">
      <c r="A207" s="11"/>
      <c r="C207" s="11"/>
      <c r="D207" s="11"/>
      <c r="E207" s="11"/>
      <c r="F207" s="11"/>
    </row>
    <row r="208">
      <c r="A208" s="11"/>
      <c r="C208" s="11"/>
      <c r="D208" s="11"/>
      <c r="E208" s="11"/>
      <c r="F208" s="11"/>
    </row>
    <row r="209">
      <c r="A209" s="11"/>
      <c r="C209" s="11"/>
      <c r="D209" s="11"/>
      <c r="E209" s="11"/>
      <c r="F209" s="11"/>
    </row>
    <row r="210">
      <c r="A210" s="11"/>
      <c r="C210" s="11"/>
      <c r="D210" s="11"/>
      <c r="E210" s="11"/>
      <c r="F210" s="11"/>
    </row>
    <row r="211">
      <c r="A211" s="11"/>
      <c r="C211" s="11"/>
      <c r="D211" s="11"/>
      <c r="E211" s="11"/>
      <c r="F211" s="11"/>
    </row>
    <row r="212">
      <c r="A212" s="11"/>
      <c r="C212" s="11"/>
      <c r="D212" s="11"/>
      <c r="E212" s="11"/>
      <c r="F212" s="11"/>
    </row>
    <row r="213">
      <c r="A213" s="11"/>
      <c r="C213" s="11"/>
      <c r="D213" s="11"/>
      <c r="E213" s="11"/>
      <c r="F213" s="11"/>
    </row>
    <row r="214">
      <c r="A214" s="11"/>
      <c r="C214" s="11"/>
      <c r="D214" s="11"/>
      <c r="E214" s="11"/>
      <c r="F214" s="11"/>
    </row>
    <row r="215">
      <c r="A215" s="11"/>
      <c r="C215" s="11"/>
      <c r="D215" s="11"/>
      <c r="E215" s="11"/>
      <c r="F215" s="11"/>
    </row>
    <row r="216">
      <c r="A216" s="11"/>
      <c r="C216" s="11"/>
      <c r="D216" s="11"/>
      <c r="E216" s="11"/>
      <c r="F216" s="11"/>
    </row>
    <row r="217">
      <c r="A217" s="11"/>
      <c r="C217" s="11"/>
      <c r="D217" s="11"/>
      <c r="E217" s="11"/>
      <c r="F217" s="11"/>
    </row>
    <row r="218">
      <c r="A218" s="11"/>
      <c r="C218" s="11"/>
      <c r="D218" s="11"/>
      <c r="E218" s="11"/>
      <c r="F218" s="11"/>
    </row>
    <row r="219">
      <c r="A219" s="11"/>
      <c r="C219" s="11"/>
      <c r="D219" s="11"/>
      <c r="E219" s="11"/>
      <c r="F219" s="11"/>
    </row>
    <row r="220">
      <c r="A220" s="11"/>
      <c r="C220" s="11"/>
      <c r="D220" s="11"/>
      <c r="E220" s="11"/>
      <c r="F220" s="11"/>
    </row>
    <row r="221">
      <c r="A221" s="11"/>
      <c r="C221" s="11"/>
      <c r="D221" s="11"/>
      <c r="E221" s="11"/>
      <c r="F221" s="11"/>
    </row>
    <row r="222">
      <c r="A222" s="11"/>
      <c r="C222" s="11"/>
      <c r="D222" s="11"/>
      <c r="E222" s="11"/>
      <c r="F222" s="11"/>
    </row>
    <row r="223">
      <c r="A223" s="11"/>
      <c r="C223" s="11"/>
      <c r="D223" s="11"/>
      <c r="E223" s="11"/>
      <c r="F223" s="11"/>
    </row>
    <row r="224">
      <c r="A224" s="11"/>
      <c r="C224" s="11"/>
      <c r="D224" s="11"/>
      <c r="E224" s="11"/>
      <c r="F224" s="11"/>
    </row>
    <row r="225">
      <c r="A225" s="11"/>
      <c r="C225" s="11"/>
      <c r="D225" s="11"/>
      <c r="E225" s="11"/>
      <c r="F225" s="11"/>
    </row>
    <row r="226">
      <c r="A226" s="11"/>
      <c r="C226" s="11"/>
      <c r="D226" s="11"/>
      <c r="E226" s="11"/>
      <c r="F226" s="11"/>
    </row>
    <row r="227">
      <c r="A227" s="11"/>
      <c r="C227" s="11"/>
      <c r="D227" s="11"/>
      <c r="E227" s="11"/>
      <c r="F227" s="11"/>
    </row>
    <row r="228">
      <c r="A228" s="11"/>
      <c r="C228" s="11"/>
      <c r="D228" s="11"/>
      <c r="E228" s="11"/>
      <c r="F228" s="11"/>
    </row>
    <row r="229">
      <c r="A229" s="11"/>
      <c r="C229" s="11"/>
      <c r="D229" s="11"/>
      <c r="E229" s="11"/>
      <c r="F229" s="11"/>
    </row>
    <row r="230">
      <c r="A230" s="11"/>
      <c r="C230" s="11"/>
      <c r="D230" s="11"/>
      <c r="E230" s="11"/>
      <c r="F230" s="11"/>
    </row>
    <row r="231">
      <c r="A231" s="11"/>
      <c r="C231" s="11"/>
      <c r="D231" s="11"/>
      <c r="E231" s="11"/>
      <c r="F231" s="11"/>
    </row>
    <row r="232">
      <c r="A232" s="11"/>
      <c r="C232" s="11"/>
      <c r="D232" s="11"/>
      <c r="E232" s="11"/>
      <c r="F232" s="11"/>
    </row>
    <row r="233">
      <c r="A233" s="11"/>
      <c r="C233" s="11"/>
      <c r="D233" s="11"/>
      <c r="E233" s="11"/>
      <c r="F233" s="11"/>
    </row>
    <row r="234">
      <c r="A234" s="11"/>
      <c r="C234" s="11"/>
      <c r="D234" s="11"/>
      <c r="E234" s="11"/>
      <c r="F234" s="11"/>
    </row>
    <row r="235">
      <c r="A235" s="11"/>
      <c r="C235" s="11"/>
      <c r="D235" s="11"/>
      <c r="E235" s="11"/>
      <c r="F235" s="11"/>
    </row>
    <row r="236">
      <c r="A236" s="11"/>
      <c r="C236" s="11"/>
      <c r="D236" s="11"/>
      <c r="E236" s="11"/>
      <c r="F236" s="11"/>
    </row>
    <row r="237">
      <c r="A237" s="11"/>
      <c r="C237" s="11"/>
      <c r="D237" s="11"/>
      <c r="E237" s="11"/>
      <c r="F237" s="11"/>
    </row>
    <row r="238">
      <c r="A238" s="11"/>
      <c r="C238" s="11"/>
      <c r="D238" s="11"/>
      <c r="E238" s="11"/>
      <c r="F238" s="11"/>
    </row>
    <row r="239">
      <c r="A239" s="11"/>
      <c r="C239" s="11"/>
      <c r="D239" s="11"/>
      <c r="E239" s="11"/>
      <c r="F239" s="11"/>
    </row>
    <row r="240">
      <c r="A240" s="11"/>
      <c r="C240" s="11"/>
      <c r="D240" s="11"/>
      <c r="E240" s="11"/>
      <c r="F240" s="11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11"/>
      <c r="C261" s="11"/>
      <c r="D261" s="11"/>
      <c r="E261" s="11"/>
      <c r="F261" s="11"/>
    </row>
    <row r="262">
      <c r="A262" s="11"/>
      <c r="C262" s="11"/>
      <c r="D262" s="11"/>
      <c r="E262" s="11"/>
      <c r="F262" s="11"/>
    </row>
    <row r="263">
      <c r="A263" s="11"/>
      <c r="C263" s="11"/>
      <c r="D263" s="11"/>
      <c r="E263" s="11"/>
      <c r="F263" s="11"/>
    </row>
    <row r="264">
      <c r="A264" s="11"/>
      <c r="C264" s="11"/>
      <c r="D264" s="11"/>
      <c r="E264" s="11"/>
      <c r="F264" s="11"/>
    </row>
    <row r="265">
      <c r="A265" s="11"/>
      <c r="C265" s="11"/>
      <c r="D265" s="11"/>
      <c r="E265" s="11"/>
      <c r="F265" s="11"/>
    </row>
    <row r="266">
      <c r="A266" s="11"/>
      <c r="C266" s="11"/>
      <c r="D266" s="11"/>
      <c r="E266" s="11"/>
      <c r="F266" s="11"/>
    </row>
    <row r="267">
      <c r="A267" s="11"/>
      <c r="C267" s="11"/>
      <c r="D267" s="11"/>
      <c r="E267" s="11"/>
      <c r="F267" s="11"/>
    </row>
    <row r="268">
      <c r="A268" s="11"/>
      <c r="C268" s="11"/>
      <c r="D268" s="11"/>
      <c r="E268" s="11"/>
      <c r="F268" s="11"/>
    </row>
    <row r="269">
      <c r="A269" s="11"/>
      <c r="C269" s="11"/>
      <c r="D269" s="11"/>
      <c r="E269" s="11"/>
      <c r="F269" s="11"/>
    </row>
    <row r="270">
      <c r="A270" s="11"/>
      <c r="C270" s="11"/>
      <c r="D270" s="11"/>
      <c r="E270" s="11"/>
      <c r="F270" s="11"/>
    </row>
    <row r="271">
      <c r="A271" s="11"/>
      <c r="C271" s="11"/>
      <c r="D271" s="11"/>
      <c r="E271" s="11"/>
      <c r="F271" s="11"/>
    </row>
    <row r="272">
      <c r="A272" s="11"/>
      <c r="C272" s="11"/>
      <c r="D272" s="11"/>
      <c r="E272" s="11"/>
      <c r="F272" s="11"/>
    </row>
    <row r="273">
      <c r="A273" s="11"/>
      <c r="C273" s="11"/>
      <c r="D273" s="11"/>
      <c r="E273" s="11"/>
      <c r="F273" s="11"/>
    </row>
    <row r="274">
      <c r="A274" s="11"/>
      <c r="C274" s="11"/>
      <c r="D274" s="11"/>
      <c r="E274" s="11"/>
      <c r="F274" s="11"/>
    </row>
    <row r="275">
      <c r="A275" s="11"/>
      <c r="C275" s="11"/>
      <c r="D275" s="11"/>
      <c r="E275" s="11"/>
      <c r="F275" s="11"/>
    </row>
    <row r="276">
      <c r="A276" s="11"/>
      <c r="C276" s="11"/>
      <c r="D276" s="11"/>
      <c r="E276" s="11"/>
      <c r="F276" s="11"/>
    </row>
    <row r="277">
      <c r="A277" s="11"/>
      <c r="C277" s="11"/>
      <c r="D277" s="11"/>
      <c r="E277" s="11"/>
      <c r="F277" s="11"/>
    </row>
    <row r="278">
      <c r="A278" s="11"/>
      <c r="C278" s="11"/>
      <c r="D278" s="11"/>
      <c r="E278" s="11"/>
      <c r="F278" s="11"/>
    </row>
    <row r="279">
      <c r="A279" s="11"/>
      <c r="C279" s="11"/>
      <c r="D279" s="11"/>
      <c r="E279" s="11"/>
      <c r="F279" s="11"/>
    </row>
    <row r="280">
      <c r="A280" s="11"/>
      <c r="C280" s="11"/>
      <c r="D280" s="11"/>
      <c r="E280" s="11"/>
      <c r="F280" s="11"/>
    </row>
    <row r="281">
      <c r="A281" s="11"/>
      <c r="C281" s="11"/>
      <c r="D281" s="11"/>
      <c r="E281" s="11"/>
      <c r="F281" s="11"/>
    </row>
    <row r="282">
      <c r="A282" s="11"/>
      <c r="C282" s="11"/>
      <c r="D282" s="11"/>
      <c r="E282" s="11"/>
      <c r="F282" s="11"/>
    </row>
    <row r="283">
      <c r="A283" s="11"/>
      <c r="C283" s="11"/>
      <c r="D283" s="11"/>
      <c r="E283" s="11"/>
      <c r="F283" s="11"/>
    </row>
    <row r="284">
      <c r="A284" s="11"/>
      <c r="C284" s="11"/>
      <c r="D284" s="11"/>
      <c r="E284" s="11"/>
      <c r="F284" s="11"/>
    </row>
    <row r="285">
      <c r="A285" s="11"/>
      <c r="C285" s="11"/>
      <c r="D285" s="11"/>
      <c r="E285" s="11"/>
      <c r="F285" s="11"/>
    </row>
    <row r="286">
      <c r="A286" s="11"/>
      <c r="C286" s="11"/>
      <c r="D286" s="11"/>
      <c r="E286" s="11"/>
      <c r="F286" s="11"/>
    </row>
    <row r="287">
      <c r="A287" s="11"/>
      <c r="C287" s="11"/>
      <c r="D287" s="11"/>
      <c r="E287" s="11"/>
      <c r="F287" s="11"/>
    </row>
    <row r="288">
      <c r="A288" s="11"/>
      <c r="C288" s="11"/>
      <c r="D288" s="11"/>
      <c r="E288" s="11"/>
      <c r="F288" s="11"/>
    </row>
    <row r="289">
      <c r="A289" s="11"/>
      <c r="C289" s="11"/>
      <c r="D289" s="11"/>
      <c r="E289" s="11"/>
      <c r="F289" s="11"/>
    </row>
    <row r="290">
      <c r="A290" s="11"/>
      <c r="C290" s="11"/>
      <c r="D290" s="11"/>
      <c r="E290" s="11"/>
      <c r="F290" s="11"/>
    </row>
    <row r="291">
      <c r="A291" s="11"/>
      <c r="C291" s="11"/>
      <c r="D291" s="11"/>
      <c r="E291" s="11"/>
      <c r="F291" s="11"/>
    </row>
    <row r="292">
      <c r="A292" s="11"/>
      <c r="C292" s="11"/>
      <c r="D292" s="11"/>
      <c r="E292" s="11"/>
      <c r="F292" s="11"/>
    </row>
    <row r="293">
      <c r="A293" s="11"/>
      <c r="C293" s="11"/>
      <c r="D293" s="11"/>
      <c r="E293" s="11"/>
      <c r="F293" s="11"/>
    </row>
    <row r="294">
      <c r="A294" s="11"/>
      <c r="C294" s="11"/>
      <c r="D294" s="11"/>
      <c r="E294" s="11"/>
      <c r="F294" s="11"/>
    </row>
    <row r="295">
      <c r="A295" s="11"/>
      <c r="C295" s="11"/>
      <c r="D295" s="11"/>
      <c r="E295" s="11"/>
      <c r="F295" s="11"/>
    </row>
    <row r="296">
      <c r="A296" s="11"/>
      <c r="C296" s="11"/>
      <c r="D296" s="11"/>
      <c r="E296" s="11"/>
      <c r="F296" s="11"/>
    </row>
    <row r="297">
      <c r="A297" s="11"/>
      <c r="C297" s="11"/>
      <c r="D297" s="11"/>
      <c r="E297" s="11"/>
      <c r="F297" s="11"/>
    </row>
    <row r="298">
      <c r="A298" s="11"/>
      <c r="C298" s="11"/>
      <c r="D298" s="11"/>
      <c r="E298" s="11"/>
      <c r="F298" s="11"/>
    </row>
    <row r="299">
      <c r="A299" s="11"/>
      <c r="C299" s="11"/>
      <c r="D299" s="11"/>
      <c r="E299" s="11"/>
      <c r="F299" s="11"/>
    </row>
    <row r="300">
      <c r="A300" s="11"/>
      <c r="C300" s="11"/>
      <c r="D300" s="11"/>
      <c r="E300" s="11"/>
      <c r="F300" s="11"/>
    </row>
    <row r="301">
      <c r="A301" s="11"/>
      <c r="C301" s="11"/>
      <c r="D301" s="11"/>
      <c r="E301" s="11"/>
      <c r="F301" s="11"/>
    </row>
    <row r="302">
      <c r="A302" s="11"/>
      <c r="C302" s="11"/>
      <c r="D302" s="11"/>
      <c r="E302" s="11"/>
      <c r="F302" s="11"/>
    </row>
    <row r="303">
      <c r="A303" s="11"/>
      <c r="C303" s="11"/>
      <c r="D303" s="11"/>
      <c r="E303" s="11"/>
      <c r="F303" s="11"/>
    </row>
    <row r="304">
      <c r="A304" s="11"/>
      <c r="C304" s="11"/>
      <c r="D304" s="11"/>
      <c r="E304" s="11"/>
      <c r="F304" s="11"/>
    </row>
    <row r="305">
      <c r="A305" s="11"/>
      <c r="C305" s="11"/>
      <c r="D305" s="11"/>
      <c r="E305" s="11"/>
      <c r="F305" s="11"/>
    </row>
    <row r="306">
      <c r="A306" s="11"/>
      <c r="C306" s="11"/>
      <c r="D306" s="11"/>
      <c r="E306" s="11"/>
      <c r="F306" s="11"/>
    </row>
    <row r="307">
      <c r="A307" s="11"/>
      <c r="C307" s="11"/>
      <c r="D307" s="11"/>
      <c r="E307" s="11"/>
      <c r="F307" s="11"/>
    </row>
    <row r="308">
      <c r="A308" s="11"/>
      <c r="C308" s="11"/>
      <c r="D308" s="11"/>
      <c r="E308" s="11"/>
      <c r="F308" s="11"/>
    </row>
    <row r="309">
      <c r="A309" s="11"/>
      <c r="C309" s="11"/>
      <c r="D309" s="11"/>
      <c r="E309" s="11"/>
      <c r="F309" s="11"/>
    </row>
    <row r="310">
      <c r="A310" s="11"/>
      <c r="C310" s="11"/>
      <c r="D310" s="11"/>
      <c r="E310" s="11"/>
      <c r="F310" s="11"/>
    </row>
    <row r="311">
      <c r="A311" s="11"/>
      <c r="C311" s="11"/>
      <c r="D311" s="11"/>
      <c r="E311" s="11"/>
      <c r="F311" s="11"/>
    </row>
    <row r="312">
      <c r="A312" s="11"/>
      <c r="C312" s="11"/>
      <c r="D312" s="11"/>
      <c r="E312" s="11"/>
      <c r="F312" s="11"/>
    </row>
    <row r="313">
      <c r="A313" s="11"/>
      <c r="C313" s="11"/>
      <c r="D313" s="11"/>
      <c r="E313" s="11"/>
      <c r="F313" s="11"/>
    </row>
    <row r="314">
      <c r="A314" s="11"/>
      <c r="C314" s="11"/>
      <c r="D314" s="11"/>
      <c r="E314" s="11"/>
      <c r="F314" s="11"/>
    </row>
    <row r="315">
      <c r="A315" s="11"/>
      <c r="C315" s="11"/>
      <c r="D315" s="11"/>
      <c r="E315" s="11"/>
      <c r="F315" s="11"/>
    </row>
    <row r="316">
      <c r="A316" s="11"/>
      <c r="C316" s="11"/>
      <c r="D316" s="11"/>
      <c r="E316" s="11"/>
      <c r="F316" s="11"/>
    </row>
    <row r="317">
      <c r="A317" s="11"/>
      <c r="C317" s="11"/>
      <c r="D317" s="11"/>
      <c r="E317" s="11"/>
      <c r="F317" s="11"/>
    </row>
    <row r="318">
      <c r="A318" s="11"/>
      <c r="C318" s="11"/>
      <c r="D318" s="11"/>
      <c r="E318" s="11"/>
      <c r="F318" s="11"/>
    </row>
    <row r="319">
      <c r="A319" s="11"/>
      <c r="C319" s="11"/>
      <c r="D319" s="11"/>
      <c r="E319" s="11"/>
      <c r="F319" s="11"/>
    </row>
    <row r="320">
      <c r="A320" s="11"/>
      <c r="C320" s="11"/>
      <c r="D320" s="11"/>
      <c r="E320" s="11"/>
      <c r="F320" s="11"/>
    </row>
    <row r="321">
      <c r="A321" s="11"/>
      <c r="C321" s="11"/>
      <c r="D321" s="11"/>
      <c r="E321" s="11"/>
      <c r="F321" s="11"/>
    </row>
    <row r="322">
      <c r="A322" s="11"/>
      <c r="C322" s="11"/>
      <c r="D322" s="11"/>
      <c r="E322" s="11"/>
      <c r="F322" s="11"/>
    </row>
    <row r="323">
      <c r="A323" s="11"/>
      <c r="C323" s="11"/>
      <c r="D323" s="11"/>
      <c r="E323" s="11"/>
      <c r="F323" s="11"/>
    </row>
    <row r="324">
      <c r="A324" s="11"/>
      <c r="C324" s="11"/>
      <c r="D324" s="11"/>
      <c r="E324" s="11"/>
      <c r="F324" s="11"/>
    </row>
    <row r="325">
      <c r="A325" s="11"/>
      <c r="C325" s="11"/>
      <c r="D325" s="11"/>
      <c r="E325" s="11"/>
      <c r="F325" s="11"/>
    </row>
    <row r="326">
      <c r="A326" s="11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C343" s="11"/>
      <c r="D343" s="11"/>
      <c r="E343" s="11"/>
      <c r="F343" s="11"/>
    </row>
    <row r="344">
      <c r="A344" s="11"/>
      <c r="C344" s="11"/>
      <c r="D344" s="11"/>
      <c r="E344" s="11"/>
      <c r="F344" s="11"/>
    </row>
    <row r="345">
      <c r="A345" s="11"/>
      <c r="C345" s="11"/>
      <c r="D345" s="11"/>
      <c r="E345" s="11"/>
      <c r="F345" s="11"/>
    </row>
    <row r="346">
      <c r="A346" s="11"/>
      <c r="C346" s="11"/>
      <c r="D346" s="11"/>
      <c r="E346" s="11"/>
      <c r="F346" s="11"/>
    </row>
    <row r="347">
      <c r="A347" s="11"/>
      <c r="C347" s="11"/>
      <c r="D347" s="11"/>
      <c r="E347" s="11"/>
      <c r="F347" s="11"/>
    </row>
    <row r="348">
      <c r="A348" s="11"/>
      <c r="C348" s="11"/>
      <c r="D348" s="11"/>
      <c r="E348" s="11"/>
      <c r="F348" s="11"/>
    </row>
    <row r="349">
      <c r="A349" s="11"/>
      <c r="C349" s="11"/>
      <c r="D349" s="11"/>
      <c r="E349" s="11"/>
      <c r="F349" s="11"/>
    </row>
    <row r="350">
      <c r="A350" s="11"/>
      <c r="C350" s="11"/>
      <c r="D350" s="11"/>
      <c r="E350" s="11"/>
      <c r="F350" s="11"/>
    </row>
    <row r="351">
      <c r="A351" s="11"/>
      <c r="C351" s="11"/>
      <c r="D351" s="11"/>
      <c r="E351" s="11"/>
      <c r="F351" s="11"/>
    </row>
    <row r="352">
      <c r="A352" s="11"/>
      <c r="C352" s="11"/>
      <c r="D352" s="11"/>
      <c r="E352" s="11"/>
      <c r="F352" s="11"/>
    </row>
    <row r="353">
      <c r="A353" s="11"/>
      <c r="C353" s="11"/>
      <c r="D353" s="11"/>
      <c r="E353" s="11"/>
      <c r="F353" s="11"/>
    </row>
    <row r="354">
      <c r="A354" s="11"/>
      <c r="C354" s="11"/>
      <c r="D354" s="11"/>
      <c r="E354" s="11"/>
      <c r="F354" s="11"/>
    </row>
    <row r="355">
      <c r="A355" s="11"/>
      <c r="C355" s="11"/>
      <c r="D355" s="11"/>
      <c r="E355" s="11"/>
      <c r="F355" s="11"/>
    </row>
    <row r="356">
      <c r="A356" s="11"/>
      <c r="C356" s="11"/>
      <c r="D356" s="11"/>
      <c r="E356" s="11"/>
      <c r="F356" s="11"/>
    </row>
    <row r="357">
      <c r="A357" s="11"/>
      <c r="C357" s="11"/>
      <c r="D357" s="11"/>
      <c r="E357" s="11"/>
      <c r="F357" s="11"/>
    </row>
    <row r="358">
      <c r="A358" s="11"/>
      <c r="C358" s="11"/>
      <c r="D358" s="11"/>
      <c r="E358" s="11"/>
      <c r="F358" s="11"/>
    </row>
    <row r="359">
      <c r="A359" s="11"/>
      <c r="C359" s="11"/>
      <c r="D359" s="11"/>
      <c r="E359" s="11"/>
      <c r="F359" s="11"/>
    </row>
    <row r="360">
      <c r="A360" s="11"/>
      <c r="C360" s="11"/>
      <c r="D360" s="11"/>
      <c r="E360" s="11"/>
      <c r="F360" s="11"/>
    </row>
    <row r="361">
      <c r="A361" s="11"/>
      <c r="C361" s="11"/>
      <c r="D361" s="11"/>
      <c r="E361" s="11"/>
      <c r="F361" s="11"/>
    </row>
    <row r="362">
      <c r="A362" s="11"/>
      <c r="C362" s="11"/>
      <c r="D362" s="11"/>
      <c r="E362" s="11"/>
      <c r="F362" s="11"/>
    </row>
    <row r="363">
      <c r="A363" s="11"/>
      <c r="C363" s="11"/>
      <c r="D363" s="11"/>
      <c r="E363" s="11"/>
      <c r="F363" s="11"/>
    </row>
    <row r="364">
      <c r="A364" s="11"/>
      <c r="C364" s="11"/>
      <c r="D364" s="11"/>
      <c r="E364" s="11"/>
      <c r="F364" s="11"/>
    </row>
    <row r="365">
      <c r="A365" s="11"/>
      <c r="C365" s="11"/>
      <c r="D365" s="11"/>
      <c r="E365" s="11"/>
      <c r="F365" s="11"/>
    </row>
    <row r="366">
      <c r="A366" s="11"/>
      <c r="C366" s="11"/>
      <c r="D366" s="11"/>
      <c r="E366" s="11"/>
      <c r="F366" s="11"/>
    </row>
    <row r="367">
      <c r="A367" s="11"/>
      <c r="C367" s="11"/>
      <c r="D367" s="11"/>
      <c r="E367" s="11"/>
      <c r="F367" s="11"/>
    </row>
    <row r="368">
      <c r="A368" s="11"/>
      <c r="C368" s="11"/>
      <c r="D368" s="11"/>
      <c r="E368" s="11"/>
      <c r="F368" s="11"/>
    </row>
    <row r="369">
      <c r="A369" s="11"/>
      <c r="C369" s="11"/>
      <c r="D369" s="11"/>
      <c r="E369" s="11"/>
      <c r="F369" s="11"/>
    </row>
    <row r="370">
      <c r="A370" s="11"/>
      <c r="C370" s="11"/>
      <c r="D370" s="11"/>
      <c r="E370" s="11"/>
      <c r="F370" s="11"/>
    </row>
    <row r="371">
      <c r="A371" s="11"/>
      <c r="C371" s="11"/>
      <c r="D371" s="11"/>
      <c r="E371" s="11"/>
      <c r="F371" s="11"/>
    </row>
    <row r="372">
      <c r="A372" s="11"/>
      <c r="C372" s="11"/>
      <c r="D372" s="11"/>
      <c r="E372" s="11"/>
      <c r="F372" s="11"/>
    </row>
    <row r="373">
      <c r="A373" s="11"/>
      <c r="C373" s="11"/>
      <c r="D373" s="11"/>
      <c r="E373" s="11"/>
      <c r="F373" s="11"/>
    </row>
    <row r="374">
      <c r="A374" s="11"/>
      <c r="C374" s="11"/>
      <c r="D374" s="11"/>
      <c r="E374" s="11"/>
      <c r="F374" s="11"/>
    </row>
    <row r="375">
      <c r="A375" s="11"/>
      <c r="C375" s="11"/>
      <c r="D375" s="11"/>
      <c r="E375" s="11"/>
      <c r="F375" s="11"/>
    </row>
    <row r="376">
      <c r="A376" s="11"/>
      <c r="C376" s="11"/>
      <c r="D376" s="11"/>
      <c r="E376" s="11"/>
      <c r="F376" s="11"/>
    </row>
    <row r="377">
      <c r="A377" s="11"/>
      <c r="C377" s="11"/>
      <c r="D377" s="11"/>
      <c r="E377" s="11"/>
      <c r="F377" s="11"/>
    </row>
    <row r="378">
      <c r="A378" s="11"/>
      <c r="C378" s="11"/>
      <c r="D378" s="11"/>
      <c r="E378" s="11"/>
      <c r="F378" s="11"/>
    </row>
    <row r="379">
      <c r="A379" s="11"/>
      <c r="C379" s="11"/>
      <c r="D379" s="11"/>
      <c r="E379" s="11"/>
      <c r="F379" s="11"/>
    </row>
    <row r="380">
      <c r="A380" s="11"/>
      <c r="C380" s="11"/>
      <c r="D380" s="11"/>
      <c r="E380" s="11"/>
      <c r="F380" s="11"/>
    </row>
    <row r="381">
      <c r="A381" s="11"/>
      <c r="C381" s="11"/>
      <c r="D381" s="11"/>
      <c r="E381" s="11"/>
      <c r="F381" s="11"/>
    </row>
    <row r="382">
      <c r="A382" s="11"/>
      <c r="C382" s="11"/>
      <c r="D382" s="11"/>
      <c r="E382" s="11"/>
      <c r="F382" s="11"/>
    </row>
    <row r="383">
      <c r="A383" s="11"/>
      <c r="C383" s="11"/>
      <c r="D383" s="11"/>
      <c r="E383" s="11"/>
      <c r="F383" s="11"/>
    </row>
    <row r="384">
      <c r="A384" s="11"/>
      <c r="C384" s="11"/>
      <c r="D384" s="11"/>
      <c r="E384" s="11"/>
      <c r="F384" s="11"/>
    </row>
    <row r="385">
      <c r="A385" s="11"/>
      <c r="C385" s="11"/>
      <c r="D385" s="11"/>
      <c r="E385" s="11"/>
      <c r="F385" s="11"/>
    </row>
    <row r="386">
      <c r="A386" s="11"/>
      <c r="C386" s="11"/>
      <c r="D386" s="11"/>
      <c r="E386" s="11"/>
      <c r="F386" s="11"/>
    </row>
    <row r="387">
      <c r="A387" s="11"/>
      <c r="C387" s="11"/>
      <c r="D387" s="11"/>
      <c r="E387" s="11"/>
      <c r="F387" s="11"/>
    </row>
    <row r="388">
      <c r="A388" s="11"/>
      <c r="C388" s="11"/>
      <c r="D388" s="11"/>
      <c r="E388" s="11"/>
      <c r="F388" s="11"/>
    </row>
    <row r="389">
      <c r="A389" s="11"/>
      <c r="C389" s="11"/>
      <c r="D389" s="11"/>
      <c r="E389" s="11"/>
      <c r="F389" s="11"/>
    </row>
    <row r="390">
      <c r="A390" s="11"/>
      <c r="C390" s="11"/>
      <c r="D390" s="11"/>
      <c r="E390" s="11"/>
      <c r="F390" s="11"/>
    </row>
    <row r="391">
      <c r="A391" s="11"/>
      <c r="C391" s="11"/>
      <c r="D391" s="11"/>
      <c r="E391" s="11"/>
      <c r="F391" s="11"/>
    </row>
    <row r="392">
      <c r="A392" s="11"/>
      <c r="C392" s="11"/>
      <c r="D392" s="11"/>
      <c r="E392" s="11"/>
      <c r="F392" s="11"/>
    </row>
    <row r="393">
      <c r="A393" s="11"/>
      <c r="C393" s="11"/>
      <c r="D393" s="11"/>
      <c r="E393" s="11"/>
      <c r="F393" s="11"/>
    </row>
    <row r="394">
      <c r="A394" s="11"/>
      <c r="C394" s="11"/>
      <c r="D394" s="11"/>
      <c r="E394" s="11"/>
      <c r="F394" s="11"/>
    </row>
    <row r="395">
      <c r="A395" s="11"/>
      <c r="C395" s="11"/>
      <c r="D395" s="11"/>
      <c r="E395" s="11"/>
      <c r="F395" s="11"/>
    </row>
    <row r="396">
      <c r="A396" s="11"/>
      <c r="C396" s="11"/>
      <c r="D396" s="11"/>
      <c r="E396" s="11"/>
      <c r="F396" s="11"/>
    </row>
    <row r="397">
      <c r="A397" s="11"/>
      <c r="C397" s="11"/>
      <c r="D397" s="11"/>
      <c r="E397" s="11"/>
      <c r="F397" s="11"/>
    </row>
    <row r="398">
      <c r="A398" s="11"/>
      <c r="C398" s="11"/>
      <c r="D398" s="11"/>
      <c r="E398" s="11"/>
      <c r="F398" s="11"/>
    </row>
    <row r="399">
      <c r="A399" s="11"/>
      <c r="C399" s="11"/>
      <c r="D399" s="11"/>
      <c r="E399" s="11"/>
      <c r="F399" s="11"/>
    </row>
    <row r="400">
      <c r="A400" s="11"/>
      <c r="C400" s="11"/>
      <c r="D400" s="11"/>
      <c r="E400" s="11"/>
      <c r="F400" s="11"/>
    </row>
    <row r="401">
      <c r="A401" s="11"/>
      <c r="C401" s="11"/>
      <c r="D401" s="11"/>
      <c r="E401" s="11"/>
      <c r="F401" s="11"/>
    </row>
    <row r="402">
      <c r="A402" s="11"/>
      <c r="C402" s="11"/>
      <c r="D402" s="11"/>
      <c r="E402" s="11"/>
      <c r="F402" s="11"/>
    </row>
    <row r="403">
      <c r="A403" s="11"/>
      <c r="C403" s="11"/>
      <c r="D403" s="11"/>
      <c r="E403" s="11"/>
      <c r="F403" s="11"/>
    </row>
    <row r="404">
      <c r="A404" s="11"/>
      <c r="C404" s="11"/>
      <c r="D404" s="11"/>
      <c r="E404" s="11"/>
      <c r="F404" s="11"/>
    </row>
    <row r="405">
      <c r="A405" s="11"/>
      <c r="C405" s="11"/>
      <c r="D405" s="11"/>
      <c r="E405" s="11"/>
      <c r="F405" s="11"/>
    </row>
    <row r="406">
      <c r="A406" s="11"/>
      <c r="C406" s="11"/>
      <c r="D406" s="11"/>
      <c r="E406" s="11"/>
      <c r="F406" s="11"/>
    </row>
    <row r="407">
      <c r="A407" s="11"/>
      <c r="C407" s="11"/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</sheetData>
  <mergeCells count="145">
    <mergeCell ref="F132:H132"/>
    <mergeCell ref="I132:M132"/>
    <mergeCell ref="C130:E130"/>
    <mergeCell ref="F130:H130"/>
    <mergeCell ref="I130:M130"/>
    <mergeCell ref="C131:E131"/>
    <mergeCell ref="F131:H131"/>
    <mergeCell ref="I131:M131"/>
    <mergeCell ref="C132:E132"/>
    <mergeCell ref="C133:E133"/>
    <mergeCell ref="F133:H133"/>
    <mergeCell ref="C134:E134"/>
    <mergeCell ref="F134:H134"/>
    <mergeCell ref="I134:M134"/>
    <mergeCell ref="F135:H135"/>
    <mergeCell ref="I135:M135"/>
    <mergeCell ref="C135:E135"/>
    <mergeCell ref="C136:E136"/>
    <mergeCell ref="F136:H136"/>
    <mergeCell ref="I136:M136"/>
    <mergeCell ref="C137:E137"/>
    <mergeCell ref="F137:H137"/>
    <mergeCell ref="I137:M137"/>
    <mergeCell ref="C1:F1"/>
    <mergeCell ref="I1:K1"/>
    <mergeCell ref="L1:M1"/>
    <mergeCell ref="B2:C2"/>
    <mergeCell ref="C3:E3"/>
    <mergeCell ref="F3:M3"/>
    <mergeCell ref="N3:O3"/>
    <mergeCell ref="A121:M121"/>
    <mergeCell ref="C122:E122"/>
    <mergeCell ref="F122:H122"/>
    <mergeCell ref="I122:M122"/>
    <mergeCell ref="C123:E123"/>
    <mergeCell ref="F123:H123"/>
    <mergeCell ref="I123:M123"/>
    <mergeCell ref="F126:H126"/>
    <mergeCell ref="I126:M126"/>
    <mergeCell ref="C124:E124"/>
    <mergeCell ref="F124:H124"/>
    <mergeCell ref="I124:M124"/>
    <mergeCell ref="C125:E125"/>
    <mergeCell ref="F125:H125"/>
    <mergeCell ref="I125:M125"/>
    <mergeCell ref="C126:E126"/>
    <mergeCell ref="F129:H129"/>
    <mergeCell ref="I129:M129"/>
    <mergeCell ref="C127:E127"/>
    <mergeCell ref="F127:H127"/>
    <mergeCell ref="I127:M127"/>
    <mergeCell ref="C128:E128"/>
    <mergeCell ref="F128:H128"/>
    <mergeCell ref="I128:M128"/>
    <mergeCell ref="C129:E129"/>
    <mergeCell ref="F142:H142"/>
    <mergeCell ref="F143:H143"/>
    <mergeCell ref="F164:H164"/>
    <mergeCell ref="F165:H165"/>
    <mergeCell ref="F157:H157"/>
    <mergeCell ref="F158:H158"/>
    <mergeCell ref="F159:H159"/>
    <mergeCell ref="F160:H160"/>
    <mergeCell ref="F161:H161"/>
    <mergeCell ref="F162:H162"/>
    <mergeCell ref="F163:H163"/>
    <mergeCell ref="C168:E168"/>
    <mergeCell ref="F168:H168"/>
    <mergeCell ref="C169:E169"/>
    <mergeCell ref="F169:H169"/>
    <mergeCell ref="C170:E170"/>
    <mergeCell ref="F170:H170"/>
    <mergeCell ref="F171:H171"/>
    <mergeCell ref="C178:E178"/>
    <mergeCell ref="C179:E179"/>
    <mergeCell ref="C180:E180"/>
    <mergeCell ref="C181:E181"/>
    <mergeCell ref="C182:E182"/>
    <mergeCell ref="C171:E171"/>
    <mergeCell ref="C172:E172"/>
    <mergeCell ref="C173:E173"/>
    <mergeCell ref="C174:E174"/>
    <mergeCell ref="C175:E175"/>
    <mergeCell ref="C176:E176"/>
    <mergeCell ref="C177:E177"/>
    <mergeCell ref="F179:H179"/>
    <mergeCell ref="F180:H180"/>
    <mergeCell ref="F181:H181"/>
    <mergeCell ref="F182:H182"/>
    <mergeCell ref="F172:H172"/>
    <mergeCell ref="F173:H173"/>
    <mergeCell ref="F174:H174"/>
    <mergeCell ref="F175:H175"/>
    <mergeCell ref="F176:H176"/>
    <mergeCell ref="F177:H177"/>
    <mergeCell ref="F178:H178"/>
    <mergeCell ref="C138:E138"/>
    <mergeCell ref="F138:H138"/>
    <mergeCell ref="C139:E139"/>
    <mergeCell ref="F139:H139"/>
    <mergeCell ref="C140:E140"/>
    <mergeCell ref="F140:H140"/>
    <mergeCell ref="F141:H141"/>
    <mergeCell ref="C141:E141"/>
    <mergeCell ref="C142:E142"/>
    <mergeCell ref="C143:E143"/>
    <mergeCell ref="C144:E144"/>
    <mergeCell ref="F144:H144"/>
    <mergeCell ref="C145:E145"/>
    <mergeCell ref="F145:H145"/>
    <mergeCell ref="C146:E146"/>
    <mergeCell ref="F146:H146"/>
    <mergeCell ref="C147:E147"/>
    <mergeCell ref="F147:H147"/>
    <mergeCell ref="C148:E148"/>
    <mergeCell ref="F148:H148"/>
    <mergeCell ref="F149:H149"/>
    <mergeCell ref="C149:E149"/>
    <mergeCell ref="C150:E150"/>
    <mergeCell ref="C151:E151"/>
    <mergeCell ref="C152:E152"/>
    <mergeCell ref="C153:E153"/>
    <mergeCell ref="C154:E154"/>
    <mergeCell ref="C155:E155"/>
    <mergeCell ref="F150:H150"/>
    <mergeCell ref="F151:H151"/>
    <mergeCell ref="F152:H152"/>
    <mergeCell ref="F153:H153"/>
    <mergeCell ref="F154:H154"/>
    <mergeCell ref="F155:H155"/>
    <mergeCell ref="F156:H156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F166:H166"/>
    <mergeCell ref="C167:E167"/>
    <mergeCell ref="F167:H167"/>
  </mergeCells>
  <conditionalFormatting sqref="L5:L69">
    <cfRule type="expression" dxfId="1" priority="1">
      <formula> L5&gt;=18</formula>
    </cfRule>
  </conditionalFormatting>
  <conditionalFormatting sqref="C10 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13">
        <v>45619.0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21.0</v>
      </c>
      <c r="E2" s="11"/>
      <c r="F2" s="11"/>
      <c r="AB2" s="20" t="str">
        <f>text(C1-7,"mm/dd/yy")</f>
        <v>11/16/24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46">
        <v>318.0</v>
      </c>
      <c r="D5" s="46">
        <v>38.0</v>
      </c>
      <c r="E5" s="35">
        <f t="shared" ref="E5:E69" si="2">(C5-(U5*9)-(S5*13))/($D$2-U5-S5)</f>
        <v>16.5625</v>
      </c>
      <c r="F5" s="37">
        <v>1.0</v>
      </c>
      <c r="G5" s="39">
        <v>1.0</v>
      </c>
      <c r="H5" s="40">
        <v>0.0</v>
      </c>
      <c r="I5" s="39">
        <v>6.0</v>
      </c>
      <c r="J5" s="39">
        <v>6.0</v>
      </c>
      <c r="K5" s="39">
        <v>6.0</v>
      </c>
      <c r="L5" s="42">
        <v>18.0</v>
      </c>
      <c r="M5" s="39">
        <v>3.0</v>
      </c>
      <c r="N5" s="32">
        <f t="shared" ref="N5:O5" si="1">C5+L5</f>
        <v>336</v>
      </c>
      <c r="O5" s="32">
        <f t="shared" si="1"/>
        <v>41</v>
      </c>
      <c r="P5" s="43" t="s">
        <v>53</v>
      </c>
      <c r="Q5" s="43" t="s">
        <v>53</v>
      </c>
      <c r="R5" s="43"/>
      <c r="S5" s="39">
        <f t="shared" ref="S5:S65" si="4">if(H5=13,1,0)+VLOOKUP(B5,indirect($AB$2&amp;"!B:T"),18,false)</f>
        <v>2</v>
      </c>
      <c r="T5" s="39"/>
      <c r="U5" s="39">
        <f t="shared" ref="U5:U65" si="5">if(H5=9,1,0)+VLOOKUP(B5,indirect($AB$2&amp;"!B:U"),20,false)</f>
        <v>3</v>
      </c>
      <c r="V5" s="39">
        <f t="shared" ref="V5:V65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31" t="s">
        <v>61</v>
      </c>
      <c r="C6" s="46">
        <v>264.0</v>
      </c>
      <c r="D6" s="46">
        <v>27.0</v>
      </c>
      <c r="E6" s="35">
        <f t="shared" si="2"/>
        <v>14</v>
      </c>
      <c r="F6" s="37">
        <v>1.0</v>
      </c>
      <c r="G6" s="39">
        <v>1.0</v>
      </c>
      <c r="H6" s="40">
        <v>0.0</v>
      </c>
      <c r="I6" s="39">
        <v>2.0</v>
      </c>
      <c r="J6" s="39">
        <v>4.0</v>
      </c>
      <c r="K6" s="39">
        <v>6.0</v>
      </c>
      <c r="L6" s="42">
        <v>12.0</v>
      </c>
      <c r="M6" s="39">
        <v>1.0</v>
      </c>
      <c r="N6" s="32">
        <f t="shared" ref="N6:O6" si="3">C6+L6</f>
        <v>276</v>
      </c>
      <c r="O6" s="32">
        <f t="shared" si="3"/>
        <v>28</v>
      </c>
      <c r="P6" s="43" t="s">
        <v>53</v>
      </c>
      <c r="Q6" s="43" t="s">
        <v>53</v>
      </c>
      <c r="R6" s="43"/>
      <c r="S6" s="39">
        <f t="shared" si="4"/>
        <v>0</v>
      </c>
      <c r="T6" s="39"/>
      <c r="U6" s="39">
        <f t="shared" si="5"/>
        <v>6</v>
      </c>
      <c r="V6" s="39">
        <f t="shared" si="6"/>
        <v>1</v>
      </c>
      <c r="W6" s="30">
        <f t="shared" ref="W6:W69" si="9">W5+1</f>
        <v>2</v>
      </c>
    </row>
    <row r="7">
      <c r="A7" s="30">
        <f t="shared" si="7"/>
        <v>3</v>
      </c>
      <c r="B7" s="51" t="s">
        <v>54</v>
      </c>
      <c r="C7" s="46">
        <v>264.0</v>
      </c>
      <c r="D7" s="46">
        <v>26.0</v>
      </c>
      <c r="E7" s="35">
        <f t="shared" si="2"/>
        <v>13.4375</v>
      </c>
      <c r="F7" s="37">
        <v>1.0</v>
      </c>
      <c r="G7" s="39">
        <v>1.0</v>
      </c>
      <c r="H7" s="40">
        <v>0.0</v>
      </c>
      <c r="I7" s="39">
        <v>2.0</v>
      </c>
      <c r="J7" s="39">
        <v>6.0</v>
      </c>
      <c r="K7" s="39">
        <v>0.0</v>
      </c>
      <c r="L7" s="42">
        <v>8.0</v>
      </c>
      <c r="M7" s="39">
        <v>1.0</v>
      </c>
      <c r="N7" s="32">
        <f t="shared" ref="N7:O7" si="8">C7+L7</f>
        <v>272</v>
      </c>
      <c r="O7" s="32">
        <f t="shared" si="8"/>
        <v>27</v>
      </c>
      <c r="P7" s="43" t="s">
        <v>53</v>
      </c>
      <c r="Q7" s="43" t="s">
        <v>53</v>
      </c>
      <c r="R7" s="43" t="s">
        <v>53</v>
      </c>
      <c r="S7" s="39">
        <f t="shared" si="4"/>
        <v>1</v>
      </c>
      <c r="T7" s="39"/>
      <c r="U7" s="39">
        <f t="shared" si="5"/>
        <v>4</v>
      </c>
      <c r="V7" s="39">
        <f t="shared" si="6"/>
        <v>2</v>
      </c>
      <c r="W7" s="30">
        <f t="shared" si="9"/>
        <v>3</v>
      </c>
    </row>
    <row r="8">
      <c r="A8" s="30">
        <f t="shared" si="7"/>
        <v>4</v>
      </c>
      <c r="B8" s="31" t="s">
        <v>71</v>
      </c>
      <c r="C8" s="46">
        <v>262.0</v>
      </c>
      <c r="D8" s="46">
        <v>24.0</v>
      </c>
      <c r="E8" s="35">
        <f t="shared" si="2"/>
        <v>12.83333333</v>
      </c>
      <c r="F8" s="37">
        <v>3.0</v>
      </c>
      <c r="G8" s="39">
        <v>0.0</v>
      </c>
      <c r="H8" s="40">
        <v>9.0</v>
      </c>
      <c r="I8" s="39">
        <v>0.0</v>
      </c>
      <c r="J8" s="39">
        <v>0.0</v>
      </c>
      <c r="K8" s="39">
        <v>0.0</v>
      </c>
      <c r="L8" s="42">
        <v>9.0</v>
      </c>
      <c r="M8" s="39">
        <v>0.0</v>
      </c>
      <c r="N8" s="32">
        <f t="shared" ref="N8:O8" si="10">C8+L8</f>
        <v>271</v>
      </c>
      <c r="O8" s="32">
        <f t="shared" si="10"/>
        <v>24</v>
      </c>
      <c r="P8" s="43" t="s">
        <v>53</v>
      </c>
      <c r="Q8" s="43" t="s">
        <v>53</v>
      </c>
      <c r="R8" s="43"/>
      <c r="S8" s="39">
        <f t="shared" si="4"/>
        <v>1</v>
      </c>
      <c r="T8" s="39"/>
      <c r="U8" s="39">
        <f t="shared" si="5"/>
        <v>2</v>
      </c>
      <c r="V8" s="39">
        <f t="shared" si="6"/>
        <v>3</v>
      </c>
      <c r="W8" s="30">
        <f t="shared" si="9"/>
        <v>4</v>
      </c>
    </row>
    <row r="9">
      <c r="A9" s="30">
        <f t="shared" si="7"/>
        <v>5</v>
      </c>
      <c r="B9" s="51" t="s">
        <v>92</v>
      </c>
      <c r="C9" s="46">
        <v>262.0</v>
      </c>
      <c r="D9" s="46">
        <v>23.0</v>
      </c>
      <c r="E9" s="35">
        <f t="shared" si="2"/>
        <v>15.9</v>
      </c>
      <c r="F9" s="37">
        <v>3.0</v>
      </c>
      <c r="G9" s="39">
        <v>0.0</v>
      </c>
      <c r="H9" s="40">
        <v>9.0</v>
      </c>
      <c r="I9" s="39">
        <v>0.0</v>
      </c>
      <c r="J9" s="39">
        <v>0.0</v>
      </c>
      <c r="K9" s="39">
        <v>0.0</v>
      </c>
      <c r="L9" s="42">
        <v>9.0</v>
      </c>
      <c r="M9" s="39">
        <v>0.0</v>
      </c>
      <c r="N9" s="32">
        <f t="shared" ref="N9:O9" si="11">C9+L9</f>
        <v>271</v>
      </c>
      <c r="O9" s="32">
        <f t="shared" si="11"/>
        <v>23</v>
      </c>
      <c r="P9" s="43" t="s">
        <v>53</v>
      </c>
      <c r="Q9" s="43" t="s">
        <v>53</v>
      </c>
      <c r="R9" s="43" t="s">
        <v>88</v>
      </c>
      <c r="S9" s="39">
        <f t="shared" si="4"/>
        <v>1</v>
      </c>
      <c r="T9" s="39"/>
      <c r="U9" s="39">
        <f t="shared" si="5"/>
        <v>10</v>
      </c>
      <c r="V9" s="39">
        <f t="shared" si="6"/>
        <v>-3</v>
      </c>
      <c r="W9" s="30">
        <f t="shared" si="9"/>
        <v>5</v>
      </c>
    </row>
    <row r="10">
      <c r="A10" s="30">
        <f t="shared" si="7"/>
        <v>6</v>
      </c>
      <c r="B10" s="31" t="s">
        <v>57</v>
      </c>
      <c r="C10" s="46">
        <v>261.0</v>
      </c>
      <c r="D10" s="46">
        <v>21.0</v>
      </c>
      <c r="E10" s="35">
        <f t="shared" si="2"/>
        <v>13.28571429</v>
      </c>
      <c r="F10" s="37">
        <v>2.0</v>
      </c>
      <c r="G10" s="39">
        <v>1.0</v>
      </c>
      <c r="H10" s="40">
        <v>0.0</v>
      </c>
      <c r="I10" s="39">
        <v>6.0</v>
      </c>
      <c r="J10" s="39">
        <v>4.0</v>
      </c>
      <c r="K10" s="39">
        <v>0.0</v>
      </c>
      <c r="L10" s="42">
        <v>10.0</v>
      </c>
      <c r="M10" s="39">
        <v>1.0</v>
      </c>
      <c r="N10" s="32">
        <f t="shared" ref="N10:O10" si="12">C10+L10</f>
        <v>271</v>
      </c>
      <c r="O10" s="32">
        <f t="shared" si="12"/>
        <v>22</v>
      </c>
      <c r="P10" s="43" t="s">
        <v>53</v>
      </c>
      <c r="Q10" s="43" t="s">
        <v>53</v>
      </c>
      <c r="R10" s="43" t="s">
        <v>53</v>
      </c>
      <c r="S10" s="39">
        <f t="shared" si="4"/>
        <v>3</v>
      </c>
      <c r="T10" s="39"/>
      <c r="U10" s="39">
        <f t="shared" si="5"/>
        <v>4</v>
      </c>
      <c r="V10" s="39">
        <f t="shared" si="6"/>
        <v>5</v>
      </c>
      <c r="W10" s="30">
        <f t="shared" si="9"/>
        <v>6</v>
      </c>
    </row>
    <row r="11">
      <c r="A11" s="30">
        <f t="shared" si="7"/>
        <v>7</v>
      </c>
      <c r="B11" s="31" t="s">
        <v>34</v>
      </c>
      <c r="C11" s="46">
        <v>259.0</v>
      </c>
      <c r="D11" s="46">
        <v>28.0</v>
      </c>
      <c r="E11" s="35">
        <f t="shared" si="2"/>
        <v>13.375</v>
      </c>
      <c r="F11" s="37">
        <v>3.0</v>
      </c>
      <c r="G11" s="39">
        <v>0.0</v>
      </c>
      <c r="H11" s="40">
        <v>9.0</v>
      </c>
      <c r="I11" s="39">
        <v>0.0</v>
      </c>
      <c r="J11" s="39">
        <v>0.0</v>
      </c>
      <c r="K11" s="39">
        <v>0.0</v>
      </c>
      <c r="L11" s="42">
        <v>9.0</v>
      </c>
      <c r="M11" s="39">
        <v>0.0</v>
      </c>
      <c r="N11" s="32">
        <f t="shared" ref="N11:O11" si="13">C11+L11</f>
        <v>268</v>
      </c>
      <c r="O11" s="32">
        <f t="shared" si="13"/>
        <v>28</v>
      </c>
      <c r="P11" s="43" t="s">
        <v>53</v>
      </c>
      <c r="Q11" s="43" t="s">
        <v>53</v>
      </c>
      <c r="R11" s="43"/>
      <c r="S11" s="39">
        <f t="shared" si="4"/>
        <v>0</v>
      </c>
      <c r="T11" s="39"/>
      <c r="U11" s="39">
        <f t="shared" si="5"/>
        <v>5</v>
      </c>
      <c r="V11" s="39">
        <f t="shared" si="6"/>
        <v>-3</v>
      </c>
      <c r="W11" s="30">
        <f t="shared" si="9"/>
        <v>7</v>
      </c>
    </row>
    <row r="12">
      <c r="A12" s="30">
        <f t="shared" si="7"/>
        <v>8</v>
      </c>
      <c r="B12" s="51" t="s">
        <v>87</v>
      </c>
      <c r="C12" s="46">
        <v>259.0</v>
      </c>
      <c r="D12" s="46">
        <v>22.0</v>
      </c>
      <c r="E12" s="35">
        <f t="shared" si="2"/>
        <v>12.6</v>
      </c>
      <c r="F12" s="37">
        <v>3.0</v>
      </c>
      <c r="G12" s="39">
        <v>0.0</v>
      </c>
      <c r="H12" s="40">
        <v>9.0</v>
      </c>
      <c r="I12" s="39">
        <v>0.0</v>
      </c>
      <c r="J12" s="39">
        <v>0.0</v>
      </c>
      <c r="K12" s="39">
        <v>0.0</v>
      </c>
      <c r="L12" s="42">
        <v>9.0</v>
      </c>
      <c r="M12" s="39">
        <v>0.0</v>
      </c>
      <c r="N12" s="32">
        <f t="shared" ref="N12:O12" si="14">C12+L12</f>
        <v>268</v>
      </c>
      <c r="O12" s="32">
        <f t="shared" si="14"/>
        <v>22</v>
      </c>
      <c r="P12" s="43" t="s">
        <v>53</v>
      </c>
      <c r="Q12" s="43" t="s">
        <v>53</v>
      </c>
      <c r="R12" s="43"/>
      <c r="S12" s="39">
        <f t="shared" si="4"/>
        <v>4</v>
      </c>
      <c r="T12" s="39"/>
      <c r="U12" s="39">
        <f t="shared" si="5"/>
        <v>2</v>
      </c>
      <c r="V12" s="39">
        <f t="shared" si="6"/>
        <v>2</v>
      </c>
      <c r="W12" s="30">
        <f t="shared" si="9"/>
        <v>8</v>
      </c>
    </row>
    <row r="13">
      <c r="A13" s="30">
        <f t="shared" si="7"/>
        <v>9</v>
      </c>
      <c r="B13" s="31" t="s">
        <v>86</v>
      </c>
      <c r="C13" s="46">
        <v>259.0</v>
      </c>
      <c r="D13" s="46">
        <v>20.0</v>
      </c>
      <c r="E13" s="35">
        <f t="shared" si="2"/>
        <v>12.375</v>
      </c>
      <c r="F13" s="37">
        <v>1.0</v>
      </c>
      <c r="G13" s="39">
        <v>2.0</v>
      </c>
      <c r="H13" s="40">
        <v>0.0</v>
      </c>
      <c r="I13" s="39">
        <v>5.0</v>
      </c>
      <c r="J13" s="39">
        <v>1.0</v>
      </c>
      <c r="K13" s="39">
        <v>6.0</v>
      </c>
      <c r="L13" s="42">
        <v>12.0</v>
      </c>
      <c r="M13" s="39">
        <v>0.0</v>
      </c>
      <c r="N13" s="32">
        <f t="shared" ref="N13:O13" si="15">C13+L13</f>
        <v>271</v>
      </c>
      <c r="O13" s="32">
        <f t="shared" si="15"/>
        <v>20</v>
      </c>
      <c r="P13" s="43" t="s">
        <v>53</v>
      </c>
      <c r="Q13" s="43" t="s">
        <v>53</v>
      </c>
      <c r="R13" s="43" t="s">
        <v>53</v>
      </c>
      <c r="S13" s="39">
        <f t="shared" si="4"/>
        <v>4</v>
      </c>
      <c r="T13" s="39"/>
      <c r="U13" s="39">
        <f t="shared" si="5"/>
        <v>1</v>
      </c>
      <c r="V13" s="39">
        <f t="shared" si="6"/>
        <v>6</v>
      </c>
      <c r="W13" s="30">
        <f t="shared" si="9"/>
        <v>9</v>
      </c>
    </row>
    <row r="14">
      <c r="A14" s="30">
        <f t="shared" si="7"/>
        <v>10</v>
      </c>
      <c r="B14" s="51" t="s">
        <v>85</v>
      </c>
      <c r="C14" s="46">
        <v>258.0</v>
      </c>
      <c r="D14" s="46">
        <v>21.0</v>
      </c>
      <c r="E14" s="35">
        <f t="shared" si="2"/>
        <v>15.5</v>
      </c>
      <c r="F14" s="37">
        <v>2.0</v>
      </c>
      <c r="G14" s="39">
        <v>2.0</v>
      </c>
      <c r="H14" s="40">
        <v>0.0</v>
      </c>
      <c r="I14" s="39">
        <v>7.0</v>
      </c>
      <c r="J14" s="39">
        <v>6.0</v>
      </c>
      <c r="K14" s="39">
        <v>6.0</v>
      </c>
      <c r="L14" s="42">
        <v>19.0</v>
      </c>
      <c r="M14" s="39">
        <v>2.0</v>
      </c>
      <c r="N14" s="32">
        <f t="shared" ref="N14:O14" si="16">C14+L14</f>
        <v>277</v>
      </c>
      <c r="O14" s="32">
        <f t="shared" si="16"/>
        <v>23</v>
      </c>
      <c r="P14" s="43" t="s">
        <v>53</v>
      </c>
      <c r="Q14" s="43" t="s">
        <v>53</v>
      </c>
      <c r="R14" s="43" t="s">
        <v>53</v>
      </c>
      <c r="S14" s="39">
        <f t="shared" si="4"/>
        <v>1</v>
      </c>
      <c r="T14" s="39"/>
      <c r="U14" s="39">
        <f t="shared" si="5"/>
        <v>10</v>
      </c>
      <c r="V14" s="39">
        <f t="shared" si="6"/>
        <v>-2</v>
      </c>
      <c r="W14" s="30">
        <f t="shared" si="9"/>
        <v>10</v>
      </c>
    </row>
    <row r="15">
      <c r="A15" s="30">
        <f t="shared" si="7"/>
        <v>11</v>
      </c>
      <c r="B15" s="31" t="s">
        <v>91</v>
      </c>
      <c r="C15" s="46">
        <v>257.0</v>
      </c>
      <c r="D15" s="46">
        <v>23.0</v>
      </c>
      <c r="E15" s="35">
        <f t="shared" si="2"/>
        <v>13.26666667</v>
      </c>
      <c r="F15" s="37">
        <v>3.0</v>
      </c>
      <c r="G15" s="39">
        <v>0.0</v>
      </c>
      <c r="H15" s="40">
        <v>9.0</v>
      </c>
      <c r="I15" s="39">
        <v>0.0</v>
      </c>
      <c r="J15" s="39">
        <v>0.0</v>
      </c>
      <c r="K15" s="39">
        <v>0.0</v>
      </c>
      <c r="L15" s="42">
        <v>9.0</v>
      </c>
      <c r="M15" s="39">
        <v>0.0</v>
      </c>
      <c r="N15" s="32">
        <f t="shared" ref="N15:O15" si="17">C15+L15</f>
        <v>266</v>
      </c>
      <c r="O15" s="32">
        <f t="shared" si="17"/>
        <v>23</v>
      </c>
      <c r="P15" s="43" t="s">
        <v>53</v>
      </c>
      <c r="Q15" s="43" t="s">
        <v>53</v>
      </c>
      <c r="R15" s="43"/>
      <c r="S15" s="39">
        <f t="shared" si="4"/>
        <v>1</v>
      </c>
      <c r="T15" s="39"/>
      <c r="U15" s="39">
        <f t="shared" si="5"/>
        <v>5</v>
      </c>
      <c r="V15" s="39">
        <f t="shared" si="6"/>
        <v>1</v>
      </c>
      <c r="W15" s="30">
        <f t="shared" si="9"/>
        <v>11</v>
      </c>
    </row>
    <row r="16">
      <c r="A16" s="30">
        <f t="shared" si="7"/>
        <v>12</v>
      </c>
      <c r="B16" s="31" t="s">
        <v>82</v>
      </c>
      <c r="C16" s="46">
        <v>256.0</v>
      </c>
      <c r="D16" s="46">
        <v>21.0</v>
      </c>
      <c r="E16" s="35">
        <f t="shared" si="2"/>
        <v>14.9</v>
      </c>
      <c r="F16" s="37">
        <v>2.0</v>
      </c>
      <c r="G16" s="39">
        <v>2.0</v>
      </c>
      <c r="H16" s="40">
        <v>0.0</v>
      </c>
      <c r="I16" s="39">
        <v>5.0</v>
      </c>
      <c r="J16" s="39">
        <v>6.0</v>
      </c>
      <c r="K16" s="39">
        <v>7.0</v>
      </c>
      <c r="L16" s="42">
        <v>18.0</v>
      </c>
      <c r="M16" s="39">
        <v>2.0</v>
      </c>
      <c r="N16" s="32">
        <f t="shared" ref="N16:O16" si="18">C16+L16</f>
        <v>274</v>
      </c>
      <c r="O16" s="32">
        <f t="shared" si="18"/>
        <v>23</v>
      </c>
      <c r="P16" s="43" t="s">
        <v>53</v>
      </c>
      <c r="Q16" s="43" t="s">
        <v>53</v>
      </c>
      <c r="R16" s="43" t="s">
        <v>53</v>
      </c>
      <c r="S16" s="39">
        <f t="shared" si="4"/>
        <v>2</v>
      </c>
      <c r="T16" s="39"/>
      <c r="U16" s="39">
        <f t="shared" si="5"/>
        <v>9</v>
      </c>
      <c r="V16" s="39">
        <f t="shared" si="6"/>
        <v>-6</v>
      </c>
      <c r="W16" s="30">
        <f t="shared" si="9"/>
        <v>12</v>
      </c>
    </row>
    <row r="17">
      <c r="A17" s="30">
        <f t="shared" si="7"/>
        <v>13</v>
      </c>
      <c r="B17" s="51" t="s">
        <v>78</v>
      </c>
      <c r="C17" s="46">
        <v>255.0</v>
      </c>
      <c r="D17" s="46">
        <v>24.0</v>
      </c>
      <c r="E17" s="35">
        <f t="shared" si="2"/>
        <v>12.3</v>
      </c>
      <c r="F17" s="37">
        <v>1.0</v>
      </c>
      <c r="G17" s="39">
        <v>2.0</v>
      </c>
      <c r="H17" s="40">
        <v>0.0</v>
      </c>
      <c r="I17" s="39">
        <v>7.0</v>
      </c>
      <c r="J17" s="39">
        <v>1.0</v>
      </c>
      <c r="K17" s="39">
        <v>7.0</v>
      </c>
      <c r="L17" s="42">
        <v>15.0</v>
      </c>
      <c r="M17" s="39">
        <v>2.0</v>
      </c>
      <c r="N17" s="32">
        <f t="shared" ref="N17:O17" si="19">C17+L17</f>
        <v>270</v>
      </c>
      <c r="O17" s="32">
        <f t="shared" si="19"/>
        <v>26</v>
      </c>
      <c r="P17" s="43" t="s">
        <v>53</v>
      </c>
      <c r="Q17" s="43" t="s">
        <v>53</v>
      </c>
      <c r="R17" s="43"/>
      <c r="S17" s="39">
        <f t="shared" si="4"/>
        <v>0</v>
      </c>
      <c r="T17" s="39"/>
      <c r="U17" s="39">
        <f t="shared" si="5"/>
        <v>1</v>
      </c>
      <c r="V17" s="39">
        <f t="shared" si="6"/>
        <v>5</v>
      </c>
      <c r="W17" s="30">
        <f t="shared" si="9"/>
        <v>13</v>
      </c>
    </row>
    <row r="18">
      <c r="A18" s="30">
        <f t="shared" si="7"/>
        <v>14</v>
      </c>
      <c r="B18" s="51" t="s">
        <v>84</v>
      </c>
      <c r="C18" s="32">
        <v>263.0</v>
      </c>
      <c r="D18" s="46">
        <v>17.0</v>
      </c>
      <c r="E18" s="35">
        <f t="shared" si="2"/>
        <v>12.875</v>
      </c>
      <c r="F18" s="37">
        <v>1.0</v>
      </c>
      <c r="G18" s="39">
        <v>3.0</v>
      </c>
      <c r="H18" s="40">
        <v>0.0</v>
      </c>
      <c r="I18" s="39"/>
      <c r="J18" s="39"/>
      <c r="K18" s="39"/>
      <c r="L18" s="42">
        <v>0.0</v>
      </c>
      <c r="M18" s="39"/>
      <c r="N18" s="32">
        <f t="shared" ref="N18:O18" si="20">C18+L18</f>
        <v>263</v>
      </c>
      <c r="O18" s="32">
        <f t="shared" si="20"/>
        <v>17</v>
      </c>
      <c r="P18" s="43" t="s">
        <v>53</v>
      </c>
      <c r="Q18" s="43" t="s">
        <v>53</v>
      </c>
      <c r="R18" s="43"/>
      <c r="S18" s="39">
        <f t="shared" si="4"/>
        <v>3</v>
      </c>
      <c r="T18" s="39"/>
      <c r="U18" s="39">
        <f t="shared" si="5"/>
        <v>2</v>
      </c>
      <c r="V18" s="39">
        <f t="shared" si="6"/>
        <v>2</v>
      </c>
      <c r="W18" s="30">
        <f t="shared" si="9"/>
        <v>14</v>
      </c>
    </row>
    <row r="19">
      <c r="A19" s="30">
        <f t="shared" si="7"/>
        <v>15</v>
      </c>
      <c r="B19" s="31" t="s">
        <v>83</v>
      </c>
      <c r="C19" s="32">
        <v>266.0</v>
      </c>
      <c r="D19" s="46">
        <v>22.0</v>
      </c>
      <c r="E19" s="35">
        <f t="shared" si="2"/>
        <v>15.41666667</v>
      </c>
      <c r="F19" s="37">
        <v>1.0</v>
      </c>
      <c r="G19" s="39">
        <v>3.0</v>
      </c>
      <c r="H19" s="40">
        <v>0.0</v>
      </c>
      <c r="I19" s="39"/>
      <c r="J19" s="39"/>
      <c r="K19" s="39"/>
      <c r="L19" s="42">
        <v>0.0</v>
      </c>
      <c r="M19" s="39"/>
      <c r="N19" s="32">
        <f t="shared" ref="N19:O19" si="21">C19+L19</f>
        <v>266</v>
      </c>
      <c r="O19" s="32">
        <f t="shared" si="21"/>
        <v>22</v>
      </c>
      <c r="P19" s="43" t="s">
        <v>53</v>
      </c>
      <c r="Q19" s="43" t="s">
        <v>53</v>
      </c>
      <c r="R19" s="43" t="s">
        <v>53</v>
      </c>
      <c r="S19" s="39">
        <f t="shared" si="4"/>
        <v>0</v>
      </c>
      <c r="T19" s="39"/>
      <c r="U19" s="39">
        <f t="shared" si="5"/>
        <v>9</v>
      </c>
      <c r="V19" s="39">
        <f t="shared" si="6"/>
        <v>2</v>
      </c>
      <c r="W19" s="30">
        <f t="shared" si="9"/>
        <v>15</v>
      </c>
    </row>
    <row r="20">
      <c r="A20" s="30">
        <f t="shared" si="7"/>
        <v>16</v>
      </c>
      <c r="B20" s="31" t="s">
        <v>68</v>
      </c>
      <c r="C20" s="46">
        <v>252.0</v>
      </c>
      <c r="D20" s="46">
        <v>21.0</v>
      </c>
      <c r="E20" s="35">
        <f t="shared" si="2"/>
        <v>12.66666667</v>
      </c>
      <c r="F20" s="37">
        <v>3.0</v>
      </c>
      <c r="G20" s="39">
        <v>0.0</v>
      </c>
      <c r="H20" s="40">
        <v>9.0</v>
      </c>
      <c r="I20" s="39">
        <v>0.0</v>
      </c>
      <c r="J20" s="39">
        <v>0.0</v>
      </c>
      <c r="K20" s="39">
        <v>0.0</v>
      </c>
      <c r="L20" s="42">
        <v>9.0</v>
      </c>
      <c r="M20" s="39">
        <v>0.0</v>
      </c>
      <c r="N20" s="32">
        <f t="shared" ref="N20:O20" si="22">C20+L20</f>
        <v>261</v>
      </c>
      <c r="O20" s="32">
        <f t="shared" si="22"/>
        <v>21</v>
      </c>
      <c r="P20" s="43" t="s">
        <v>53</v>
      </c>
      <c r="Q20" s="43" t="s">
        <v>53</v>
      </c>
      <c r="R20" s="43" t="s">
        <v>53</v>
      </c>
      <c r="S20" s="39">
        <f t="shared" si="4"/>
        <v>2</v>
      </c>
      <c r="T20" s="39"/>
      <c r="U20" s="39">
        <f t="shared" si="5"/>
        <v>4</v>
      </c>
      <c r="V20" s="39">
        <f t="shared" si="6"/>
        <v>-7</v>
      </c>
      <c r="W20" s="30">
        <f t="shared" si="9"/>
        <v>16</v>
      </c>
    </row>
    <row r="21">
      <c r="A21" s="30">
        <f t="shared" si="7"/>
        <v>17</v>
      </c>
      <c r="B21" s="51" t="s">
        <v>100</v>
      </c>
      <c r="C21" s="46">
        <v>251.0</v>
      </c>
      <c r="D21" s="46">
        <v>19.0</v>
      </c>
      <c r="E21" s="35">
        <f t="shared" si="2"/>
        <v>13.90909091</v>
      </c>
      <c r="F21" s="37">
        <v>3.0</v>
      </c>
      <c r="G21" s="39">
        <v>0.0</v>
      </c>
      <c r="H21" s="40">
        <v>9.0</v>
      </c>
      <c r="I21" s="39">
        <v>0.0</v>
      </c>
      <c r="J21" s="39">
        <v>0.0</v>
      </c>
      <c r="K21" s="39">
        <v>0.0</v>
      </c>
      <c r="L21" s="42">
        <v>9.0</v>
      </c>
      <c r="M21" s="39">
        <v>0.0</v>
      </c>
      <c r="N21" s="32">
        <f t="shared" ref="N21:O21" si="23">C21+L21</f>
        <v>260</v>
      </c>
      <c r="O21" s="32">
        <f t="shared" si="23"/>
        <v>19</v>
      </c>
      <c r="P21" s="43" t="s">
        <v>53</v>
      </c>
      <c r="Q21" s="43" t="s">
        <v>53</v>
      </c>
      <c r="R21" s="43"/>
      <c r="S21" s="39">
        <f t="shared" si="4"/>
        <v>2</v>
      </c>
      <c r="T21" s="39"/>
      <c r="U21" s="39">
        <f t="shared" si="5"/>
        <v>8</v>
      </c>
      <c r="V21" s="39">
        <f t="shared" si="6"/>
        <v>-4</v>
      </c>
      <c r="W21" s="30">
        <f t="shared" si="9"/>
        <v>17</v>
      </c>
    </row>
    <row r="22">
      <c r="A22" s="30">
        <f t="shared" si="7"/>
        <v>18</v>
      </c>
      <c r="B22" s="31" t="s">
        <v>90</v>
      </c>
      <c r="C22" s="32">
        <v>264.0</v>
      </c>
      <c r="D22" s="46">
        <v>19.0</v>
      </c>
      <c r="E22" s="35">
        <f t="shared" si="2"/>
        <v>14.25</v>
      </c>
      <c r="F22" s="37">
        <v>1.0</v>
      </c>
      <c r="G22" s="39">
        <v>3.0</v>
      </c>
      <c r="H22" s="40">
        <v>0.0</v>
      </c>
      <c r="I22" s="39"/>
      <c r="J22" s="39"/>
      <c r="K22" s="39"/>
      <c r="L22" s="42">
        <v>0.0</v>
      </c>
      <c r="M22" s="39"/>
      <c r="N22" s="32">
        <f t="shared" ref="N22:O22" si="24">C22+L22</f>
        <v>264</v>
      </c>
      <c r="O22" s="32">
        <f t="shared" si="24"/>
        <v>19</v>
      </c>
      <c r="P22" s="43" t="s">
        <v>53</v>
      </c>
      <c r="Q22" s="43" t="s">
        <v>53</v>
      </c>
      <c r="R22" s="43" t="s">
        <v>53</v>
      </c>
      <c r="S22" s="39">
        <f t="shared" si="4"/>
        <v>3</v>
      </c>
      <c r="T22" s="39"/>
      <c r="U22" s="39">
        <f t="shared" si="5"/>
        <v>6</v>
      </c>
      <c r="V22" s="39">
        <f t="shared" si="6"/>
        <v>4</v>
      </c>
      <c r="W22" s="30">
        <f t="shared" si="9"/>
        <v>18</v>
      </c>
    </row>
    <row r="23">
      <c r="A23" s="30">
        <f t="shared" si="7"/>
        <v>19</v>
      </c>
      <c r="B23" s="56" t="s">
        <v>65</v>
      </c>
      <c r="C23" s="32">
        <v>264.0</v>
      </c>
      <c r="D23" s="46">
        <v>19.0</v>
      </c>
      <c r="E23" s="35">
        <f t="shared" si="2"/>
        <v>13.73333333</v>
      </c>
      <c r="F23" s="37">
        <v>1.0</v>
      </c>
      <c r="G23" s="39">
        <v>3.0</v>
      </c>
      <c r="H23" s="40">
        <v>0.0</v>
      </c>
      <c r="I23" s="39"/>
      <c r="J23" s="39"/>
      <c r="K23" s="39"/>
      <c r="L23" s="42">
        <v>0.0</v>
      </c>
      <c r="M23" s="39"/>
      <c r="N23" s="32">
        <f t="shared" ref="N23:O23" si="25">C23+L23</f>
        <v>264</v>
      </c>
      <c r="O23" s="32">
        <f t="shared" si="25"/>
        <v>19</v>
      </c>
      <c r="P23" s="43" t="s">
        <v>53</v>
      </c>
      <c r="Q23" s="43" t="s">
        <v>53</v>
      </c>
      <c r="R23" s="43"/>
      <c r="S23" s="39">
        <f t="shared" si="4"/>
        <v>1</v>
      </c>
      <c r="T23" s="39"/>
      <c r="U23" s="39">
        <f t="shared" si="5"/>
        <v>5</v>
      </c>
      <c r="V23" s="39">
        <f t="shared" si="6"/>
        <v>0</v>
      </c>
      <c r="W23" s="30">
        <f t="shared" si="9"/>
        <v>19</v>
      </c>
    </row>
    <row r="24">
      <c r="A24" s="30">
        <f t="shared" si="7"/>
        <v>20</v>
      </c>
      <c r="B24" s="31" t="s">
        <v>98</v>
      </c>
      <c r="C24" s="46">
        <v>250.0</v>
      </c>
      <c r="D24" s="46">
        <v>18.0</v>
      </c>
      <c r="E24" s="35">
        <f t="shared" si="2"/>
        <v>13.41666667</v>
      </c>
      <c r="F24" s="37">
        <v>3.0</v>
      </c>
      <c r="G24" s="39">
        <v>0.0</v>
      </c>
      <c r="H24" s="40">
        <v>9.0</v>
      </c>
      <c r="I24" s="39">
        <v>0.0</v>
      </c>
      <c r="J24" s="39">
        <v>0.0</v>
      </c>
      <c r="K24" s="39">
        <v>0.0</v>
      </c>
      <c r="L24" s="42">
        <v>9.0</v>
      </c>
      <c r="M24" s="39">
        <v>0.0</v>
      </c>
      <c r="N24" s="32">
        <f t="shared" ref="N24:O24" si="26">C24+L24</f>
        <v>259</v>
      </c>
      <c r="O24" s="32">
        <f t="shared" si="26"/>
        <v>18</v>
      </c>
      <c r="P24" s="43" t="s">
        <v>53</v>
      </c>
      <c r="Q24" s="43" t="s">
        <v>53</v>
      </c>
      <c r="R24" s="43" t="s">
        <v>53</v>
      </c>
      <c r="S24" s="39">
        <f t="shared" si="4"/>
        <v>2</v>
      </c>
      <c r="T24" s="39"/>
      <c r="U24" s="39">
        <f t="shared" si="5"/>
        <v>7</v>
      </c>
      <c r="V24" s="39">
        <f t="shared" si="6"/>
        <v>-6</v>
      </c>
      <c r="W24" s="30">
        <f t="shared" si="9"/>
        <v>20</v>
      </c>
    </row>
    <row r="25">
      <c r="A25" s="30">
        <f t="shared" si="7"/>
        <v>21</v>
      </c>
      <c r="B25" s="51" t="s">
        <v>93</v>
      </c>
      <c r="C25" s="46">
        <v>248.0</v>
      </c>
      <c r="D25" s="46">
        <v>20.0</v>
      </c>
      <c r="E25" s="35">
        <f t="shared" si="2"/>
        <v>11.95</v>
      </c>
      <c r="F25" s="37">
        <v>1.0</v>
      </c>
      <c r="G25" s="39">
        <v>4.0</v>
      </c>
      <c r="H25" s="40">
        <v>0.0</v>
      </c>
      <c r="I25" s="39">
        <v>3.0</v>
      </c>
      <c r="J25" s="39">
        <v>2.0</v>
      </c>
      <c r="K25" s="39">
        <v>1.0</v>
      </c>
      <c r="L25" s="42">
        <v>6.0</v>
      </c>
      <c r="M25" s="39">
        <v>0.0</v>
      </c>
      <c r="N25" s="32">
        <f t="shared" ref="N25:O25" si="27">C25+L25</f>
        <v>254</v>
      </c>
      <c r="O25" s="32">
        <f t="shared" si="27"/>
        <v>20</v>
      </c>
      <c r="P25" s="43" t="s">
        <v>53</v>
      </c>
      <c r="Q25" s="43" t="s">
        <v>53</v>
      </c>
      <c r="R25" s="43" t="s">
        <v>53</v>
      </c>
      <c r="S25" s="39">
        <f t="shared" si="4"/>
        <v>0</v>
      </c>
      <c r="T25" s="39"/>
      <c r="U25" s="39">
        <f t="shared" si="5"/>
        <v>1</v>
      </c>
      <c r="V25" s="39">
        <f t="shared" si="6"/>
        <v>-1</v>
      </c>
      <c r="W25" s="30">
        <f t="shared" si="9"/>
        <v>21</v>
      </c>
    </row>
    <row r="26">
      <c r="A26" s="30">
        <f t="shared" si="7"/>
        <v>22</v>
      </c>
      <c r="B26" s="31" t="s">
        <v>63</v>
      </c>
      <c r="C26" s="46">
        <v>245.0</v>
      </c>
      <c r="D26" s="46">
        <v>19.0</v>
      </c>
      <c r="E26" s="35">
        <f t="shared" si="2"/>
        <v>15.85714286</v>
      </c>
      <c r="F26" s="37">
        <v>3.0</v>
      </c>
      <c r="G26" s="39">
        <v>0.0</v>
      </c>
      <c r="H26" s="40">
        <v>9.0</v>
      </c>
      <c r="I26" s="39">
        <v>0.0</v>
      </c>
      <c r="J26" s="39">
        <v>0.0</v>
      </c>
      <c r="K26" s="39">
        <v>0.0</v>
      </c>
      <c r="L26" s="42">
        <v>9.0</v>
      </c>
      <c r="M26" s="39">
        <v>0.0</v>
      </c>
      <c r="N26" s="32">
        <f t="shared" ref="N26:O26" si="28">C26+L26</f>
        <v>254</v>
      </c>
      <c r="O26" s="32">
        <f t="shared" si="28"/>
        <v>19</v>
      </c>
      <c r="P26" s="43" t="s">
        <v>53</v>
      </c>
      <c r="Q26" s="43" t="s">
        <v>53</v>
      </c>
      <c r="R26" s="43"/>
      <c r="S26" s="39">
        <f t="shared" si="4"/>
        <v>2</v>
      </c>
      <c r="T26" s="39"/>
      <c r="U26" s="39">
        <f t="shared" si="5"/>
        <v>12</v>
      </c>
      <c r="V26" s="39">
        <f t="shared" si="6"/>
        <v>-1</v>
      </c>
      <c r="W26" s="30">
        <f t="shared" si="9"/>
        <v>22</v>
      </c>
    </row>
    <row r="27">
      <c r="A27" s="30">
        <f t="shared" si="7"/>
        <v>23</v>
      </c>
      <c r="B27" s="31" t="s">
        <v>96</v>
      </c>
      <c r="C27" s="46">
        <v>241.0</v>
      </c>
      <c r="D27" s="46">
        <v>18.0</v>
      </c>
      <c r="E27" s="35">
        <f t="shared" si="2"/>
        <v>13</v>
      </c>
      <c r="F27" s="37">
        <v>1.0</v>
      </c>
      <c r="G27" s="39">
        <v>4.0</v>
      </c>
      <c r="H27" s="40">
        <v>0.0</v>
      </c>
      <c r="I27" s="39">
        <v>6.0</v>
      </c>
      <c r="J27" s="39">
        <v>6.0</v>
      </c>
      <c r="K27" s="39">
        <v>1.0</v>
      </c>
      <c r="L27" s="42">
        <v>13.0</v>
      </c>
      <c r="M27" s="39">
        <v>2.0</v>
      </c>
      <c r="N27" s="32">
        <f t="shared" ref="N27:O27" si="29">C27+L27</f>
        <v>254</v>
      </c>
      <c r="O27" s="32">
        <f t="shared" si="29"/>
        <v>20</v>
      </c>
      <c r="P27" s="43" t="s">
        <v>53</v>
      </c>
      <c r="Q27" s="43" t="s">
        <v>53</v>
      </c>
      <c r="R27" s="43"/>
      <c r="S27" s="39">
        <f t="shared" si="4"/>
        <v>2</v>
      </c>
      <c r="T27" s="39"/>
      <c r="U27" s="39">
        <f t="shared" si="5"/>
        <v>8</v>
      </c>
      <c r="V27" s="39">
        <f t="shared" si="6"/>
        <v>3</v>
      </c>
      <c r="W27" s="30">
        <f t="shared" si="9"/>
        <v>23</v>
      </c>
    </row>
    <row r="28">
      <c r="A28" s="30">
        <f t="shared" si="7"/>
        <v>24</v>
      </c>
      <c r="B28" s="51" t="s">
        <v>94</v>
      </c>
      <c r="C28" s="46">
        <v>240.0</v>
      </c>
      <c r="D28" s="46">
        <v>13.0</v>
      </c>
      <c r="E28" s="35">
        <f t="shared" si="2"/>
        <v>12.90909091</v>
      </c>
      <c r="F28" s="37">
        <v>1.0</v>
      </c>
      <c r="G28" s="39">
        <v>4.0</v>
      </c>
      <c r="H28" s="40">
        <v>0.0</v>
      </c>
      <c r="I28" s="39">
        <v>3.0</v>
      </c>
      <c r="J28" s="39">
        <v>6.0</v>
      </c>
      <c r="K28" s="39">
        <v>6.0</v>
      </c>
      <c r="L28" s="42">
        <v>15.0</v>
      </c>
      <c r="M28" s="39">
        <v>2.0</v>
      </c>
      <c r="N28" s="32">
        <f t="shared" ref="N28:O28" si="30">C28+L28</f>
        <v>255</v>
      </c>
      <c r="O28" s="32">
        <f t="shared" si="30"/>
        <v>15</v>
      </c>
      <c r="P28" s="43" t="s">
        <v>53</v>
      </c>
      <c r="Q28" s="43" t="s">
        <v>53</v>
      </c>
      <c r="R28" s="43" t="s">
        <v>53</v>
      </c>
      <c r="S28" s="39">
        <f t="shared" si="4"/>
        <v>2</v>
      </c>
      <c r="T28" s="39"/>
      <c r="U28" s="39">
        <f t="shared" si="5"/>
        <v>8</v>
      </c>
      <c r="V28" s="39">
        <f t="shared" si="6"/>
        <v>-1</v>
      </c>
      <c r="W28" s="30">
        <f t="shared" si="9"/>
        <v>24</v>
      </c>
    </row>
    <row r="29">
      <c r="A29" s="30">
        <f t="shared" si="7"/>
        <v>25</v>
      </c>
      <c r="B29" s="51" t="s">
        <v>95</v>
      </c>
      <c r="C29" s="46">
        <v>239.0</v>
      </c>
      <c r="D29" s="46">
        <v>17.0</v>
      </c>
      <c r="E29" s="35">
        <f t="shared" si="2"/>
        <v>13.6</v>
      </c>
      <c r="F29" s="37">
        <v>2.0</v>
      </c>
      <c r="G29" s="39">
        <v>4.0</v>
      </c>
      <c r="H29" s="40">
        <v>0.0</v>
      </c>
      <c r="I29" s="39">
        <v>6.0</v>
      </c>
      <c r="J29" s="39">
        <v>2.0</v>
      </c>
      <c r="K29" s="39">
        <v>6.0</v>
      </c>
      <c r="L29" s="42">
        <v>14.0</v>
      </c>
      <c r="M29" s="39">
        <v>2.0</v>
      </c>
      <c r="N29" s="32">
        <f t="shared" ref="N29:O29" si="31">C29+L29</f>
        <v>253</v>
      </c>
      <c r="O29" s="32">
        <f t="shared" si="31"/>
        <v>19</v>
      </c>
      <c r="P29" s="43" t="s">
        <v>53</v>
      </c>
      <c r="Q29" s="43" t="s">
        <v>53</v>
      </c>
      <c r="R29" s="43" t="s">
        <v>53</v>
      </c>
      <c r="S29" s="39">
        <f t="shared" si="4"/>
        <v>1</v>
      </c>
      <c r="T29" s="39"/>
      <c r="U29" s="39">
        <f t="shared" si="5"/>
        <v>10</v>
      </c>
      <c r="V29" s="39">
        <f t="shared" si="6"/>
        <v>-1</v>
      </c>
      <c r="W29" s="30">
        <f t="shared" si="9"/>
        <v>25</v>
      </c>
    </row>
    <row r="30">
      <c r="A30" s="30">
        <f t="shared" si="7"/>
        <v>26</v>
      </c>
      <c r="B30" s="31" t="s">
        <v>73</v>
      </c>
      <c r="C30" s="46">
        <v>238.0</v>
      </c>
      <c r="D30" s="46">
        <v>14.0</v>
      </c>
      <c r="E30" s="35">
        <f t="shared" si="2"/>
        <v>12.7</v>
      </c>
      <c r="F30" s="37">
        <v>3.0</v>
      </c>
      <c r="G30" s="39">
        <v>0.0</v>
      </c>
      <c r="H30" s="40">
        <v>9.0</v>
      </c>
      <c r="I30" s="39">
        <v>0.0</v>
      </c>
      <c r="J30" s="39">
        <v>0.0</v>
      </c>
      <c r="K30" s="39">
        <v>0.0</v>
      </c>
      <c r="L30" s="42">
        <v>9.0</v>
      </c>
      <c r="M30" s="39">
        <v>0.0</v>
      </c>
      <c r="N30" s="32">
        <f t="shared" ref="N30:O30" si="32">C30+L30</f>
        <v>247</v>
      </c>
      <c r="O30" s="32">
        <f t="shared" si="32"/>
        <v>14</v>
      </c>
      <c r="P30" s="43" t="s">
        <v>53</v>
      </c>
      <c r="Q30" s="43" t="s">
        <v>53</v>
      </c>
      <c r="R30" s="43" t="s">
        <v>53</v>
      </c>
      <c r="S30" s="39">
        <f t="shared" si="4"/>
        <v>3</v>
      </c>
      <c r="T30" s="39"/>
      <c r="U30" s="39">
        <f t="shared" si="5"/>
        <v>8</v>
      </c>
      <c r="V30" s="39">
        <f t="shared" si="6"/>
        <v>2</v>
      </c>
      <c r="W30" s="30">
        <f t="shared" si="9"/>
        <v>26</v>
      </c>
    </row>
    <row r="31">
      <c r="A31" s="30">
        <f t="shared" si="7"/>
        <v>27</v>
      </c>
      <c r="B31" s="31" t="s">
        <v>89</v>
      </c>
      <c r="C31" s="46">
        <v>238.0</v>
      </c>
      <c r="D31" s="46">
        <v>12.0</v>
      </c>
      <c r="E31" s="35">
        <f t="shared" si="2"/>
        <v>13.83333333</v>
      </c>
      <c r="F31" s="37">
        <v>2.0</v>
      </c>
      <c r="G31" s="39">
        <v>5.0</v>
      </c>
      <c r="H31" s="40">
        <v>0.0</v>
      </c>
      <c r="I31" s="39">
        <v>7.0</v>
      </c>
      <c r="J31" s="39">
        <v>6.0</v>
      </c>
      <c r="K31" s="39">
        <v>6.0</v>
      </c>
      <c r="L31" s="42">
        <v>19.0</v>
      </c>
      <c r="M31" s="39">
        <v>3.0</v>
      </c>
      <c r="N31" s="32">
        <f t="shared" ref="N31:O31" si="33">C31+L31</f>
        <v>257</v>
      </c>
      <c r="O31" s="32">
        <f t="shared" si="33"/>
        <v>15</v>
      </c>
      <c r="P31" s="43" t="s">
        <v>53</v>
      </c>
      <c r="Q31" s="43" t="s">
        <v>53</v>
      </c>
      <c r="R31" s="43" t="s">
        <v>53</v>
      </c>
      <c r="S31" s="39">
        <f t="shared" si="4"/>
        <v>5</v>
      </c>
      <c r="T31" s="39"/>
      <c r="U31" s="39">
        <f t="shared" si="5"/>
        <v>10</v>
      </c>
      <c r="V31" s="39">
        <f t="shared" si="6"/>
        <v>-2</v>
      </c>
      <c r="W31" s="30">
        <f t="shared" si="9"/>
        <v>27</v>
      </c>
    </row>
    <row r="32">
      <c r="A32" s="30">
        <f t="shared" si="7"/>
        <v>28</v>
      </c>
      <c r="B32" s="56" t="s">
        <v>101</v>
      </c>
      <c r="C32" s="46">
        <v>237.0</v>
      </c>
      <c r="D32" s="46">
        <v>16.0</v>
      </c>
      <c r="E32" s="35">
        <f t="shared" si="2"/>
        <v>12.69230769</v>
      </c>
      <c r="F32" s="37">
        <v>3.0</v>
      </c>
      <c r="G32" s="39">
        <v>0.0</v>
      </c>
      <c r="H32" s="40">
        <v>9.0</v>
      </c>
      <c r="I32" s="39">
        <v>0.0</v>
      </c>
      <c r="J32" s="39">
        <v>0.0</v>
      </c>
      <c r="K32" s="39">
        <v>0.0</v>
      </c>
      <c r="L32" s="42">
        <v>9.0</v>
      </c>
      <c r="M32" s="39">
        <v>0.0</v>
      </c>
      <c r="N32" s="32">
        <f t="shared" ref="N32:O32" si="34">C32+L32</f>
        <v>246</v>
      </c>
      <c r="O32" s="32">
        <f t="shared" si="34"/>
        <v>16</v>
      </c>
      <c r="P32" s="43" t="s">
        <v>53</v>
      </c>
      <c r="Q32" s="43" t="s">
        <v>53</v>
      </c>
      <c r="R32" s="43" t="s">
        <v>53</v>
      </c>
      <c r="S32" s="39">
        <f t="shared" si="4"/>
        <v>0</v>
      </c>
      <c r="T32" s="39"/>
      <c r="U32" s="39">
        <f t="shared" si="5"/>
        <v>8</v>
      </c>
      <c r="V32" s="39">
        <f t="shared" si="6"/>
        <v>-1</v>
      </c>
      <c r="W32" s="30">
        <f t="shared" si="9"/>
        <v>28</v>
      </c>
    </row>
    <row r="33">
      <c r="A33" s="30">
        <f t="shared" si="7"/>
        <v>29</v>
      </c>
      <c r="B33" s="51" t="s">
        <v>76</v>
      </c>
      <c r="C33" s="46">
        <v>236.0</v>
      </c>
      <c r="D33" s="46">
        <v>23.0</v>
      </c>
      <c r="E33" s="35">
        <f t="shared" si="2"/>
        <v>12.61538462</v>
      </c>
      <c r="F33" s="37">
        <v>3.0</v>
      </c>
      <c r="G33" s="39">
        <v>0.0</v>
      </c>
      <c r="H33" s="40">
        <v>9.0</v>
      </c>
      <c r="I33" s="39">
        <v>0.0</v>
      </c>
      <c r="J33" s="39">
        <v>0.0</v>
      </c>
      <c r="K33" s="39">
        <v>0.0</v>
      </c>
      <c r="L33" s="42">
        <v>9.0</v>
      </c>
      <c r="M33" s="39">
        <v>0.0</v>
      </c>
      <c r="N33" s="32">
        <f t="shared" ref="N33:O33" si="35">C33+L33</f>
        <v>245</v>
      </c>
      <c r="O33" s="32">
        <f t="shared" si="35"/>
        <v>23</v>
      </c>
      <c r="P33" s="43" t="s">
        <v>53</v>
      </c>
      <c r="Q33" s="43" t="s">
        <v>53</v>
      </c>
      <c r="R33" s="43" t="s">
        <v>53</v>
      </c>
      <c r="S33" s="39">
        <f t="shared" si="4"/>
        <v>0</v>
      </c>
      <c r="T33" s="39"/>
      <c r="U33" s="39">
        <f t="shared" si="5"/>
        <v>8</v>
      </c>
      <c r="V33" s="39">
        <f t="shared" si="6"/>
        <v>4</v>
      </c>
      <c r="W33" s="30">
        <f t="shared" si="9"/>
        <v>29</v>
      </c>
    </row>
    <row r="34">
      <c r="A34" s="30">
        <f t="shared" si="7"/>
        <v>30</v>
      </c>
      <c r="B34" s="31" t="s">
        <v>97</v>
      </c>
      <c r="C34" s="46">
        <v>234.0</v>
      </c>
      <c r="D34" s="46">
        <v>16.0</v>
      </c>
      <c r="E34" s="35">
        <f t="shared" si="2"/>
        <v>12.72727273</v>
      </c>
      <c r="F34" s="37">
        <v>1.0</v>
      </c>
      <c r="G34" s="39">
        <v>5.0</v>
      </c>
      <c r="H34" s="40">
        <v>0.0</v>
      </c>
      <c r="I34" s="39">
        <v>6.0</v>
      </c>
      <c r="J34" s="39">
        <v>3.0</v>
      </c>
      <c r="K34" s="39">
        <v>6.0</v>
      </c>
      <c r="L34" s="42">
        <v>15.0</v>
      </c>
      <c r="M34" s="39">
        <v>1.0</v>
      </c>
      <c r="N34" s="32">
        <f t="shared" ref="N34:O34" si="36">C34+L34</f>
        <v>249</v>
      </c>
      <c r="O34" s="32">
        <f t="shared" si="36"/>
        <v>17</v>
      </c>
      <c r="P34" s="43" t="s">
        <v>53</v>
      </c>
      <c r="Q34" s="43" t="s">
        <v>53</v>
      </c>
      <c r="R34" s="43" t="s">
        <v>53</v>
      </c>
      <c r="S34" s="39">
        <f t="shared" si="4"/>
        <v>1</v>
      </c>
      <c r="T34" s="39"/>
      <c r="U34" s="39">
        <f t="shared" si="5"/>
        <v>9</v>
      </c>
      <c r="V34" s="39">
        <f t="shared" si="6"/>
        <v>0</v>
      </c>
      <c r="W34" s="30">
        <f t="shared" si="9"/>
        <v>30</v>
      </c>
    </row>
    <row r="35">
      <c r="A35" s="30">
        <f t="shared" si="7"/>
        <v>31</v>
      </c>
      <c r="B35" s="51" t="s">
        <v>99</v>
      </c>
      <c r="C35" s="46">
        <v>232.0</v>
      </c>
      <c r="D35" s="46">
        <v>18.0</v>
      </c>
      <c r="E35" s="35">
        <f t="shared" si="2"/>
        <v>11.4375</v>
      </c>
      <c r="F35" s="37">
        <v>5.0</v>
      </c>
      <c r="G35" s="39">
        <v>0.0</v>
      </c>
      <c r="H35" s="40">
        <v>13.0</v>
      </c>
      <c r="I35" s="39">
        <v>0.0</v>
      </c>
      <c r="J35" s="39">
        <v>0.0</v>
      </c>
      <c r="K35" s="39">
        <v>0.0</v>
      </c>
      <c r="L35" s="42">
        <v>13.0</v>
      </c>
      <c r="M35" s="39">
        <v>0.0</v>
      </c>
      <c r="N35" s="32">
        <f t="shared" ref="N35:O35" si="37">C35+L35</f>
        <v>245</v>
      </c>
      <c r="O35" s="32">
        <f t="shared" si="37"/>
        <v>18</v>
      </c>
      <c r="P35" s="43" t="s">
        <v>53</v>
      </c>
      <c r="Q35" s="43" t="s">
        <v>53</v>
      </c>
      <c r="R35" s="43" t="s">
        <v>53</v>
      </c>
      <c r="S35" s="39">
        <f t="shared" si="4"/>
        <v>1</v>
      </c>
      <c r="T35" s="39"/>
      <c r="U35" s="39">
        <f t="shared" si="5"/>
        <v>4</v>
      </c>
      <c r="V35" s="39">
        <f t="shared" si="6"/>
        <v>0</v>
      </c>
      <c r="W35" s="30">
        <f t="shared" si="9"/>
        <v>31</v>
      </c>
    </row>
    <row r="36">
      <c r="A36" s="30">
        <f t="shared" si="7"/>
        <v>32</v>
      </c>
      <c r="B36" s="51" t="s">
        <v>103</v>
      </c>
      <c r="C36" s="46">
        <v>231.0</v>
      </c>
      <c r="D36" s="46">
        <v>15.0</v>
      </c>
      <c r="E36" s="35">
        <f t="shared" si="2"/>
        <v>12.77777778</v>
      </c>
      <c r="F36" s="37">
        <v>3.0</v>
      </c>
      <c r="G36" s="39">
        <v>0.0</v>
      </c>
      <c r="H36" s="40">
        <v>9.0</v>
      </c>
      <c r="I36" s="39">
        <v>0.0</v>
      </c>
      <c r="J36" s="39">
        <v>0.0</v>
      </c>
      <c r="K36" s="39">
        <v>0.0</v>
      </c>
      <c r="L36" s="42">
        <v>9.0</v>
      </c>
      <c r="M36" s="39">
        <v>0.0</v>
      </c>
      <c r="N36" s="32">
        <f t="shared" ref="N36:O36" si="38">C36+L36</f>
        <v>240</v>
      </c>
      <c r="O36" s="32">
        <f t="shared" si="38"/>
        <v>15</v>
      </c>
      <c r="P36" s="43" t="s">
        <v>53</v>
      </c>
      <c r="Q36" s="43" t="s">
        <v>53</v>
      </c>
      <c r="R36" s="43"/>
      <c r="S36" s="39">
        <f t="shared" si="4"/>
        <v>2</v>
      </c>
      <c r="T36" s="39"/>
      <c r="U36" s="39">
        <f t="shared" si="5"/>
        <v>10</v>
      </c>
      <c r="V36" s="39">
        <f t="shared" si="6"/>
        <v>0</v>
      </c>
      <c r="W36" s="30">
        <f t="shared" si="9"/>
        <v>32</v>
      </c>
    </row>
    <row r="37">
      <c r="A37" s="30">
        <f t="shared" si="7"/>
        <v>33</v>
      </c>
      <c r="B37" s="31" t="s">
        <v>105</v>
      </c>
      <c r="C37" s="46">
        <v>229.0</v>
      </c>
      <c r="D37" s="46">
        <v>10.0</v>
      </c>
      <c r="E37" s="35">
        <f t="shared" si="2"/>
        <v>12.6</v>
      </c>
      <c r="F37" s="37">
        <v>1.0</v>
      </c>
      <c r="G37" s="39">
        <v>5.0</v>
      </c>
      <c r="H37" s="40">
        <v>0.0</v>
      </c>
      <c r="I37" s="39">
        <v>6.0</v>
      </c>
      <c r="J37" s="39">
        <v>6.0</v>
      </c>
      <c r="K37" s="39">
        <v>1.0</v>
      </c>
      <c r="L37" s="42">
        <v>13.0</v>
      </c>
      <c r="M37" s="39">
        <v>1.0</v>
      </c>
      <c r="N37" s="32">
        <f t="shared" ref="N37:O37" si="39">C37+L37</f>
        <v>242</v>
      </c>
      <c r="O37" s="32">
        <f t="shared" si="39"/>
        <v>11</v>
      </c>
      <c r="P37" s="43" t="s">
        <v>53</v>
      </c>
      <c r="Q37" s="43" t="s">
        <v>53</v>
      </c>
      <c r="R37" s="43"/>
      <c r="S37" s="39">
        <f t="shared" si="4"/>
        <v>1</v>
      </c>
      <c r="T37" s="39"/>
      <c r="U37" s="39">
        <f t="shared" si="5"/>
        <v>10</v>
      </c>
      <c r="V37" s="39">
        <f t="shared" si="6"/>
        <v>-4</v>
      </c>
      <c r="W37" s="30">
        <f t="shared" si="9"/>
        <v>33</v>
      </c>
    </row>
    <row r="38">
      <c r="A38" s="30">
        <f t="shared" si="7"/>
        <v>34</v>
      </c>
      <c r="B38" s="51" t="s">
        <v>108</v>
      </c>
      <c r="C38" s="46">
        <v>228.0</v>
      </c>
      <c r="D38" s="46">
        <v>13.0</v>
      </c>
      <c r="E38" s="35">
        <f t="shared" si="2"/>
        <v>14.16666667</v>
      </c>
      <c r="F38" s="37">
        <v>3.0</v>
      </c>
      <c r="G38" s="39">
        <v>0.0</v>
      </c>
      <c r="H38" s="40">
        <v>9.0</v>
      </c>
      <c r="I38" s="39">
        <v>0.0</v>
      </c>
      <c r="J38" s="39">
        <v>0.0</v>
      </c>
      <c r="K38" s="39">
        <v>0.0</v>
      </c>
      <c r="L38" s="42">
        <v>9.0</v>
      </c>
      <c r="M38" s="39">
        <v>0.0</v>
      </c>
      <c r="N38" s="32">
        <f t="shared" ref="N38:O38" si="40">C38+L38</f>
        <v>237</v>
      </c>
      <c r="O38" s="32">
        <f t="shared" si="40"/>
        <v>13</v>
      </c>
      <c r="P38" s="43" t="s">
        <v>53</v>
      </c>
      <c r="Q38" s="43" t="s">
        <v>53</v>
      </c>
      <c r="R38" s="43" t="s">
        <v>88</v>
      </c>
      <c r="S38" s="39">
        <f t="shared" si="4"/>
        <v>2</v>
      </c>
      <c r="T38" s="39"/>
      <c r="U38" s="39">
        <f t="shared" si="5"/>
        <v>13</v>
      </c>
      <c r="V38" s="39">
        <f t="shared" si="6"/>
        <v>3</v>
      </c>
      <c r="W38" s="30">
        <f t="shared" si="9"/>
        <v>34</v>
      </c>
    </row>
    <row r="39">
      <c r="A39" s="30">
        <f t="shared" si="7"/>
        <v>35</v>
      </c>
      <c r="B39" s="31" t="s">
        <v>109</v>
      </c>
      <c r="C39" s="46">
        <v>226.0</v>
      </c>
      <c r="D39" s="46">
        <v>9.0</v>
      </c>
      <c r="E39" s="35">
        <f t="shared" si="2"/>
        <v>14.25</v>
      </c>
      <c r="F39" s="37">
        <v>3.0</v>
      </c>
      <c r="G39" s="39">
        <v>0.0</v>
      </c>
      <c r="H39" s="40">
        <v>9.0</v>
      </c>
      <c r="I39" s="39">
        <v>0.0</v>
      </c>
      <c r="J39" s="39">
        <v>0.0</v>
      </c>
      <c r="K39" s="39">
        <v>0.0</v>
      </c>
      <c r="L39" s="42">
        <v>9.0</v>
      </c>
      <c r="M39" s="39">
        <v>0.0</v>
      </c>
      <c r="N39" s="32">
        <f t="shared" ref="N39:O39" si="41">C39+L39</f>
        <v>235</v>
      </c>
      <c r="O39" s="32">
        <f t="shared" si="41"/>
        <v>9</v>
      </c>
      <c r="P39" s="43" t="s">
        <v>53</v>
      </c>
      <c r="Q39" s="43"/>
      <c r="R39" s="43"/>
      <c r="S39" s="39">
        <f t="shared" si="4"/>
        <v>4</v>
      </c>
      <c r="T39" s="39"/>
      <c r="U39" s="39">
        <f t="shared" si="5"/>
        <v>13</v>
      </c>
      <c r="V39" s="39">
        <f t="shared" si="6"/>
        <v>0</v>
      </c>
      <c r="W39" s="30">
        <f t="shared" si="9"/>
        <v>35</v>
      </c>
    </row>
    <row r="40">
      <c r="A40" s="30">
        <f t="shared" si="7"/>
        <v>36</v>
      </c>
      <c r="B40" s="51" t="s">
        <v>104</v>
      </c>
      <c r="C40" s="46">
        <v>224.0</v>
      </c>
      <c r="D40" s="46">
        <v>19.0</v>
      </c>
      <c r="E40" s="35">
        <f t="shared" si="2"/>
        <v>11.1875</v>
      </c>
      <c r="F40" s="37">
        <v>3.0</v>
      </c>
      <c r="G40" s="39">
        <v>0.0</v>
      </c>
      <c r="H40" s="40">
        <v>9.0</v>
      </c>
      <c r="I40" s="39">
        <v>0.0</v>
      </c>
      <c r="J40" s="39">
        <v>0.0</v>
      </c>
      <c r="K40" s="39">
        <v>0.0</v>
      </c>
      <c r="L40" s="42">
        <v>9.0</v>
      </c>
      <c r="M40" s="39">
        <v>0.0</v>
      </c>
      <c r="N40" s="32">
        <f t="shared" ref="N40:O40" si="42">C40+L40</f>
        <v>233</v>
      </c>
      <c r="O40" s="32">
        <f t="shared" si="42"/>
        <v>19</v>
      </c>
      <c r="P40" s="43" t="s">
        <v>53</v>
      </c>
      <c r="Q40" s="43" t="s">
        <v>53</v>
      </c>
      <c r="R40" s="43"/>
      <c r="S40" s="39">
        <f t="shared" si="4"/>
        <v>0</v>
      </c>
      <c r="T40" s="39"/>
      <c r="U40" s="39">
        <f t="shared" si="5"/>
        <v>5</v>
      </c>
      <c r="V40" s="39">
        <f t="shared" si="6"/>
        <v>0</v>
      </c>
      <c r="W40" s="30">
        <f t="shared" si="9"/>
        <v>36</v>
      </c>
    </row>
    <row r="41">
      <c r="A41" s="30">
        <f t="shared" si="7"/>
        <v>37</v>
      </c>
      <c r="B41" s="31" t="s">
        <v>46</v>
      </c>
      <c r="C41" s="46">
        <v>224.0</v>
      </c>
      <c r="D41" s="46">
        <v>16.0</v>
      </c>
      <c r="E41" s="35">
        <f t="shared" si="2"/>
        <v>11.5</v>
      </c>
      <c r="F41" s="37">
        <v>1.0</v>
      </c>
      <c r="G41" s="39">
        <v>5.0</v>
      </c>
      <c r="H41" s="40">
        <v>0.0</v>
      </c>
      <c r="I41" s="39">
        <v>7.0</v>
      </c>
      <c r="J41" s="39">
        <v>3.0</v>
      </c>
      <c r="K41" s="39">
        <v>1.0</v>
      </c>
      <c r="L41" s="42">
        <v>11.0</v>
      </c>
      <c r="M41" s="39">
        <v>1.0</v>
      </c>
      <c r="N41" s="32">
        <f t="shared" ref="N41:O41" si="43">C41+L41</f>
        <v>235</v>
      </c>
      <c r="O41" s="32">
        <f t="shared" si="43"/>
        <v>17</v>
      </c>
      <c r="P41" s="43" t="s">
        <v>53</v>
      </c>
      <c r="Q41" s="43" t="s">
        <v>53</v>
      </c>
      <c r="R41" s="43"/>
      <c r="S41" s="39">
        <f t="shared" si="4"/>
        <v>0</v>
      </c>
      <c r="T41" s="39"/>
      <c r="U41" s="39">
        <f t="shared" si="5"/>
        <v>7</v>
      </c>
      <c r="V41" s="39">
        <f t="shared" si="6"/>
        <v>-3</v>
      </c>
      <c r="W41" s="30">
        <f t="shared" si="9"/>
        <v>37</v>
      </c>
    </row>
    <row r="42">
      <c r="A42" s="30">
        <f t="shared" si="7"/>
        <v>38</v>
      </c>
      <c r="B42" s="56" t="s">
        <v>110</v>
      </c>
      <c r="C42" s="46">
        <v>223.0</v>
      </c>
      <c r="D42" s="46">
        <v>12.0</v>
      </c>
      <c r="E42" s="35">
        <f t="shared" si="2"/>
        <v>10.5</v>
      </c>
      <c r="F42" s="37">
        <v>2.0</v>
      </c>
      <c r="G42" s="39">
        <v>6.0</v>
      </c>
      <c r="H42" s="40">
        <v>0.0</v>
      </c>
      <c r="I42" s="39">
        <v>1.0</v>
      </c>
      <c r="J42" s="39">
        <v>7.0</v>
      </c>
      <c r="K42" s="39">
        <v>3.0</v>
      </c>
      <c r="L42" s="42">
        <v>11.0</v>
      </c>
      <c r="M42" s="39">
        <v>1.0</v>
      </c>
      <c r="N42" s="32">
        <f t="shared" ref="N42:O42" si="44">C42+L42</f>
        <v>234</v>
      </c>
      <c r="O42" s="32">
        <f t="shared" si="44"/>
        <v>13</v>
      </c>
      <c r="P42" s="43" t="s">
        <v>53</v>
      </c>
      <c r="Q42" s="43" t="s">
        <v>53</v>
      </c>
      <c r="R42" s="43"/>
      <c r="S42" s="39">
        <f t="shared" si="4"/>
        <v>4</v>
      </c>
      <c r="T42" s="39"/>
      <c r="U42" s="39">
        <f t="shared" si="5"/>
        <v>5</v>
      </c>
      <c r="V42" s="39">
        <f t="shared" si="6"/>
        <v>0</v>
      </c>
      <c r="W42" s="30">
        <f t="shared" si="9"/>
        <v>38</v>
      </c>
    </row>
    <row r="43">
      <c r="A43" s="30">
        <f t="shared" si="7"/>
        <v>39</v>
      </c>
      <c r="B43" s="51" t="s">
        <v>102</v>
      </c>
      <c r="C43" s="46">
        <v>222.0</v>
      </c>
      <c r="D43" s="46">
        <v>11.0</v>
      </c>
      <c r="E43" s="35">
        <f t="shared" si="2"/>
        <v>12.57142857</v>
      </c>
      <c r="F43" s="37">
        <v>1.0</v>
      </c>
      <c r="G43" s="39">
        <v>6.0</v>
      </c>
      <c r="H43" s="40">
        <v>0.0</v>
      </c>
      <c r="I43" s="39">
        <v>6.0</v>
      </c>
      <c r="J43" s="39">
        <v>5.0</v>
      </c>
      <c r="K43" s="39">
        <v>3.0</v>
      </c>
      <c r="L43" s="42">
        <v>14.0</v>
      </c>
      <c r="M43" s="39">
        <v>1.0</v>
      </c>
      <c r="N43" s="32">
        <f t="shared" ref="N43:O43" si="45">C43+L43</f>
        <v>236</v>
      </c>
      <c r="O43" s="32">
        <f t="shared" si="45"/>
        <v>12</v>
      </c>
      <c r="P43" s="43" t="s">
        <v>53</v>
      </c>
      <c r="Q43" s="43" t="s">
        <v>53</v>
      </c>
      <c r="R43" s="43"/>
      <c r="S43" s="39">
        <f t="shared" si="4"/>
        <v>2</v>
      </c>
      <c r="T43" s="39"/>
      <c r="U43" s="39">
        <f t="shared" si="5"/>
        <v>12</v>
      </c>
      <c r="V43" s="39">
        <f t="shared" si="6"/>
        <v>0</v>
      </c>
      <c r="W43" s="30">
        <f t="shared" si="9"/>
        <v>39</v>
      </c>
    </row>
    <row r="44">
      <c r="A44" s="30">
        <f t="shared" si="7"/>
        <v>40</v>
      </c>
      <c r="B44" s="31" t="s">
        <v>106</v>
      </c>
      <c r="C44" s="46">
        <v>221.0</v>
      </c>
      <c r="D44" s="46">
        <v>12.0</v>
      </c>
      <c r="E44" s="35">
        <f t="shared" si="2"/>
        <v>13.57142857</v>
      </c>
      <c r="F44" s="37">
        <v>1.0</v>
      </c>
      <c r="G44" s="39">
        <v>6.0</v>
      </c>
      <c r="H44" s="40">
        <v>0.0</v>
      </c>
      <c r="I44" s="39">
        <v>6.0</v>
      </c>
      <c r="J44" s="39">
        <v>7.0</v>
      </c>
      <c r="K44" s="39">
        <v>6.0</v>
      </c>
      <c r="L44" s="42">
        <v>19.0</v>
      </c>
      <c r="M44" s="39">
        <v>3.0</v>
      </c>
      <c r="N44" s="32">
        <f t="shared" ref="N44:O44" si="46">C44+L44</f>
        <v>240</v>
      </c>
      <c r="O44" s="32">
        <f t="shared" si="46"/>
        <v>15</v>
      </c>
      <c r="P44" s="43" t="s">
        <v>53</v>
      </c>
      <c r="Q44" s="43" t="s">
        <v>53</v>
      </c>
      <c r="R44" s="43" t="s">
        <v>88</v>
      </c>
      <c r="S44" s="39">
        <f t="shared" si="4"/>
        <v>0</v>
      </c>
      <c r="T44" s="39"/>
      <c r="U44" s="39">
        <f t="shared" si="5"/>
        <v>14</v>
      </c>
      <c r="V44" s="39">
        <f t="shared" si="6"/>
        <v>1</v>
      </c>
      <c r="W44" s="30">
        <f t="shared" si="9"/>
        <v>40</v>
      </c>
    </row>
    <row r="45">
      <c r="A45" s="30">
        <f t="shared" si="7"/>
        <v>41</v>
      </c>
      <c r="B45" s="57" t="s">
        <v>79</v>
      </c>
      <c r="C45" s="46">
        <v>218.0</v>
      </c>
      <c r="D45" s="46">
        <v>11.0</v>
      </c>
      <c r="E45" s="35">
        <f t="shared" si="2"/>
        <v>11.42857143</v>
      </c>
      <c r="F45" s="37">
        <v>3.0</v>
      </c>
      <c r="G45" s="39">
        <v>0.0</v>
      </c>
      <c r="H45" s="40">
        <v>9.0</v>
      </c>
      <c r="I45" s="39">
        <v>0.0</v>
      </c>
      <c r="J45" s="39">
        <v>0.0</v>
      </c>
      <c r="K45" s="39">
        <v>0.0</v>
      </c>
      <c r="L45" s="42">
        <v>9.0</v>
      </c>
      <c r="M45" s="39">
        <v>0.0</v>
      </c>
      <c r="N45" s="32">
        <f t="shared" ref="N45:O45" si="47">C45+L45</f>
        <v>227</v>
      </c>
      <c r="O45" s="32">
        <f t="shared" si="47"/>
        <v>11</v>
      </c>
      <c r="P45" s="43" t="s">
        <v>53</v>
      </c>
      <c r="Q45" s="43" t="s">
        <v>53</v>
      </c>
      <c r="R45" s="43" t="s">
        <v>53</v>
      </c>
      <c r="S45" s="39">
        <f t="shared" si="4"/>
        <v>3</v>
      </c>
      <c r="T45" s="39"/>
      <c r="U45" s="39">
        <f t="shared" si="5"/>
        <v>11</v>
      </c>
      <c r="V45" s="39">
        <f t="shared" si="6"/>
        <v>2</v>
      </c>
      <c r="W45" s="30">
        <f t="shared" si="9"/>
        <v>41</v>
      </c>
    </row>
    <row r="46">
      <c r="A46" s="30">
        <f t="shared" si="7"/>
        <v>42</v>
      </c>
      <c r="B46" s="51" t="s">
        <v>114</v>
      </c>
      <c r="C46" s="46">
        <v>216.0</v>
      </c>
      <c r="D46" s="46">
        <v>13.0</v>
      </c>
      <c r="E46" s="35">
        <f t="shared" si="2"/>
        <v>10.72727273</v>
      </c>
      <c r="F46" s="37">
        <v>3.0</v>
      </c>
      <c r="G46" s="39">
        <v>0.0</v>
      </c>
      <c r="H46" s="40">
        <v>9.0</v>
      </c>
      <c r="I46" s="39">
        <v>0.0</v>
      </c>
      <c r="J46" s="39">
        <v>0.0</v>
      </c>
      <c r="K46" s="39">
        <v>0.0</v>
      </c>
      <c r="L46" s="42">
        <v>9.0</v>
      </c>
      <c r="M46" s="39">
        <v>0.0</v>
      </c>
      <c r="N46" s="32">
        <f t="shared" ref="N46:O46" si="48">C46+L46</f>
        <v>225</v>
      </c>
      <c r="O46" s="32">
        <f t="shared" si="48"/>
        <v>13</v>
      </c>
      <c r="P46" s="43" t="s">
        <v>53</v>
      </c>
      <c r="Q46" s="43" t="s">
        <v>53</v>
      </c>
      <c r="R46" s="43"/>
      <c r="S46" s="39">
        <f t="shared" si="4"/>
        <v>2</v>
      </c>
      <c r="T46" s="39"/>
      <c r="U46" s="39">
        <f t="shared" si="5"/>
        <v>8</v>
      </c>
      <c r="V46" s="39">
        <f t="shared" si="6"/>
        <v>-2</v>
      </c>
      <c r="W46" s="30">
        <f t="shared" si="9"/>
        <v>42</v>
      </c>
    </row>
    <row r="47">
      <c r="A47" s="30">
        <f t="shared" si="7"/>
        <v>43</v>
      </c>
      <c r="B47" s="51" t="s">
        <v>111</v>
      </c>
      <c r="C47" s="46">
        <v>216.0</v>
      </c>
      <c r="D47" s="46">
        <v>11.0</v>
      </c>
      <c r="E47" s="35">
        <f t="shared" si="2"/>
        <v>11.7</v>
      </c>
      <c r="F47" s="37">
        <v>3.0</v>
      </c>
      <c r="G47" s="39">
        <v>0.0</v>
      </c>
      <c r="H47" s="40">
        <v>9.0</v>
      </c>
      <c r="I47" s="39">
        <v>0.0</v>
      </c>
      <c r="J47" s="39">
        <v>0.0</v>
      </c>
      <c r="K47" s="39">
        <v>0.0</v>
      </c>
      <c r="L47" s="42">
        <v>9.0</v>
      </c>
      <c r="M47" s="39">
        <v>0.0</v>
      </c>
      <c r="N47" s="32">
        <f t="shared" ref="N47:O47" si="49">C47+L47</f>
        <v>225</v>
      </c>
      <c r="O47" s="32">
        <f t="shared" si="49"/>
        <v>11</v>
      </c>
      <c r="P47" s="43" t="s">
        <v>53</v>
      </c>
      <c r="Q47" s="43" t="s">
        <v>53</v>
      </c>
      <c r="R47" s="43" t="s">
        <v>53</v>
      </c>
      <c r="S47" s="39">
        <f t="shared" si="4"/>
        <v>0</v>
      </c>
      <c r="T47" s="39"/>
      <c r="U47" s="39">
        <f t="shared" si="5"/>
        <v>11</v>
      </c>
      <c r="V47" s="39">
        <f t="shared" si="6"/>
        <v>1</v>
      </c>
      <c r="W47" s="30">
        <f t="shared" si="9"/>
        <v>43</v>
      </c>
    </row>
    <row r="48">
      <c r="A48" s="30">
        <f t="shared" si="7"/>
        <v>44</v>
      </c>
      <c r="B48" s="51" t="s">
        <v>116</v>
      </c>
      <c r="C48" s="46">
        <v>213.0</v>
      </c>
      <c r="D48" s="46">
        <v>12.0</v>
      </c>
      <c r="E48" s="35">
        <f t="shared" si="2"/>
        <v>10.42857143</v>
      </c>
      <c r="F48" s="37">
        <v>1.0</v>
      </c>
      <c r="G48" s="39">
        <v>6.0</v>
      </c>
      <c r="H48" s="40">
        <v>0.0</v>
      </c>
      <c r="I48" s="39">
        <v>1.0</v>
      </c>
      <c r="J48" s="39">
        <v>5.0</v>
      </c>
      <c r="K48" s="39">
        <v>6.0</v>
      </c>
      <c r="L48" s="42">
        <v>12.0</v>
      </c>
      <c r="M48" s="39">
        <v>1.0</v>
      </c>
      <c r="N48" s="32">
        <f t="shared" ref="N48:O48" si="50">C48+L48</f>
        <v>225</v>
      </c>
      <c r="O48" s="32">
        <f t="shared" si="50"/>
        <v>13</v>
      </c>
      <c r="P48" s="43" t="s">
        <v>53</v>
      </c>
      <c r="Q48" s="43" t="s">
        <v>53</v>
      </c>
      <c r="R48" s="43" t="s">
        <v>53</v>
      </c>
      <c r="S48" s="39">
        <f t="shared" si="4"/>
        <v>1</v>
      </c>
      <c r="T48" s="39"/>
      <c r="U48" s="39">
        <f t="shared" si="5"/>
        <v>6</v>
      </c>
      <c r="V48" s="39">
        <f t="shared" si="6"/>
        <v>4</v>
      </c>
      <c r="W48" s="30">
        <f t="shared" si="9"/>
        <v>44</v>
      </c>
    </row>
    <row r="49">
      <c r="A49" s="30">
        <f t="shared" si="7"/>
        <v>45</v>
      </c>
      <c r="B49" s="56" t="s">
        <v>107</v>
      </c>
      <c r="C49" s="46">
        <v>212.0</v>
      </c>
      <c r="D49" s="46">
        <v>17.0</v>
      </c>
      <c r="E49" s="35">
        <f t="shared" si="2"/>
        <v>10.35294118</v>
      </c>
      <c r="F49" s="37">
        <v>1.0</v>
      </c>
      <c r="G49" s="39">
        <v>7.0</v>
      </c>
      <c r="H49" s="40">
        <v>0.0</v>
      </c>
      <c r="I49" s="39">
        <v>6.0</v>
      </c>
      <c r="J49" s="39">
        <v>6.0</v>
      </c>
      <c r="K49" s="39">
        <v>3.0</v>
      </c>
      <c r="L49" s="42">
        <v>15.0</v>
      </c>
      <c r="M49" s="39">
        <v>2.0</v>
      </c>
      <c r="N49" s="32">
        <f t="shared" ref="N49:O49" si="51">C49+L49</f>
        <v>227</v>
      </c>
      <c r="O49" s="32">
        <f t="shared" si="51"/>
        <v>19</v>
      </c>
      <c r="P49" s="43" t="s">
        <v>53</v>
      </c>
      <c r="Q49" s="43" t="s">
        <v>53</v>
      </c>
      <c r="R49" s="43" t="s">
        <v>53</v>
      </c>
      <c r="S49" s="39">
        <f t="shared" si="4"/>
        <v>0</v>
      </c>
      <c r="T49" s="39"/>
      <c r="U49" s="39">
        <f t="shared" si="5"/>
        <v>4</v>
      </c>
      <c r="V49" s="39">
        <f t="shared" si="6"/>
        <v>-3</v>
      </c>
      <c r="W49" s="30">
        <f t="shared" si="9"/>
        <v>45</v>
      </c>
    </row>
    <row r="50">
      <c r="A50" s="30">
        <f t="shared" si="7"/>
        <v>46</v>
      </c>
      <c r="B50" s="51" t="s">
        <v>113</v>
      </c>
      <c r="C50" s="46">
        <v>211.0</v>
      </c>
      <c r="D50" s="46">
        <v>14.0</v>
      </c>
      <c r="E50" s="35">
        <f t="shared" si="2"/>
        <v>9.933333333</v>
      </c>
      <c r="F50" s="37">
        <v>2.0</v>
      </c>
      <c r="G50" s="39">
        <v>7.0</v>
      </c>
      <c r="H50" s="40">
        <v>0.0</v>
      </c>
      <c r="I50" s="39">
        <v>6.0</v>
      </c>
      <c r="J50" s="39">
        <v>2.0</v>
      </c>
      <c r="K50" s="39">
        <v>6.0</v>
      </c>
      <c r="L50" s="42">
        <v>14.0</v>
      </c>
      <c r="M50" s="39">
        <v>2.0</v>
      </c>
      <c r="N50" s="32">
        <f t="shared" ref="N50:O50" si="52">C50+L50</f>
        <v>225</v>
      </c>
      <c r="O50" s="32">
        <f t="shared" si="52"/>
        <v>16</v>
      </c>
      <c r="P50" s="43" t="s">
        <v>53</v>
      </c>
      <c r="Q50" s="43" t="s">
        <v>53</v>
      </c>
      <c r="R50" s="43"/>
      <c r="S50" s="39">
        <f t="shared" si="4"/>
        <v>2</v>
      </c>
      <c r="T50" s="39"/>
      <c r="U50" s="39">
        <f t="shared" si="5"/>
        <v>4</v>
      </c>
      <c r="V50" s="39">
        <f t="shared" si="6"/>
        <v>1</v>
      </c>
      <c r="W50" s="30">
        <f t="shared" si="9"/>
        <v>46</v>
      </c>
    </row>
    <row r="51">
      <c r="A51" s="30">
        <f t="shared" si="7"/>
        <v>47</v>
      </c>
      <c r="B51" s="51" t="s">
        <v>118</v>
      </c>
      <c r="C51" s="46">
        <v>210.0</v>
      </c>
      <c r="D51" s="46">
        <v>12.0</v>
      </c>
      <c r="E51" s="35">
        <f t="shared" si="2"/>
        <v>11.1</v>
      </c>
      <c r="F51" s="37">
        <v>1.0</v>
      </c>
      <c r="G51" s="39">
        <v>7.0</v>
      </c>
      <c r="H51" s="40">
        <v>0.0</v>
      </c>
      <c r="I51" s="39">
        <v>2.0</v>
      </c>
      <c r="J51" s="39">
        <v>2.0</v>
      </c>
      <c r="K51" s="39">
        <v>3.0</v>
      </c>
      <c r="L51" s="42">
        <v>7.0</v>
      </c>
      <c r="M51" s="39">
        <v>0.0</v>
      </c>
      <c r="N51" s="32">
        <f t="shared" ref="N51:O51" si="53">C51+L51</f>
        <v>217</v>
      </c>
      <c r="O51" s="32">
        <f t="shared" si="53"/>
        <v>12</v>
      </c>
      <c r="P51" s="43" t="s">
        <v>53</v>
      </c>
      <c r="Q51" s="43" t="s">
        <v>53</v>
      </c>
      <c r="R51" s="43" t="s">
        <v>53</v>
      </c>
      <c r="S51" s="39">
        <f t="shared" si="4"/>
        <v>0</v>
      </c>
      <c r="T51" s="39"/>
      <c r="U51" s="39">
        <f t="shared" si="5"/>
        <v>11</v>
      </c>
      <c r="V51" s="39">
        <f t="shared" si="6"/>
        <v>4</v>
      </c>
      <c r="W51" s="30">
        <f t="shared" si="9"/>
        <v>47</v>
      </c>
    </row>
    <row r="52">
      <c r="A52" s="30">
        <f t="shared" si="7"/>
        <v>48</v>
      </c>
      <c r="B52" s="56" t="s">
        <v>115</v>
      </c>
      <c r="C52" s="46">
        <v>209.0</v>
      </c>
      <c r="D52" s="46">
        <v>14.0</v>
      </c>
      <c r="E52" s="35">
        <f t="shared" si="2"/>
        <v>10.17647059</v>
      </c>
      <c r="F52" s="37">
        <v>1.0</v>
      </c>
      <c r="G52" s="39">
        <v>7.0</v>
      </c>
      <c r="H52" s="40">
        <v>0.0</v>
      </c>
      <c r="I52" s="39">
        <v>2.0</v>
      </c>
      <c r="J52" s="39">
        <v>6.0</v>
      </c>
      <c r="K52" s="39">
        <v>6.0</v>
      </c>
      <c r="L52" s="42">
        <v>14.0</v>
      </c>
      <c r="M52" s="39">
        <v>2.0</v>
      </c>
      <c r="N52" s="32">
        <f t="shared" ref="N52:O52" si="54">C52+L52</f>
        <v>223</v>
      </c>
      <c r="O52" s="32">
        <f t="shared" si="54"/>
        <v>16</v>
      </c>
      <c r="P52" s="43" t="s">
        <v>53</v>
      </c>
      <c r="Q52" s="43" t="s">
        <v>53</v>
      </c>
      <c r="R52" s="43" t="s">
        <v>53</v>
      </c>
      <c r="S52" s="39">
        <f t="shared" si="4"/>
        <v>0</v>
      </c>
      <c r="T52" s="39"/>
      <c r="U52" s="39">
        <f t="shared" si="5"/>
        <v>4</v>
      </c>
      <c r="V52" s="39">
        <f t="shared" si="6"/>
        <v>4</v>
      </c>
      <c r="W52" s="30">
        <f t="shared" si="9"/>
        <v>48</v>
      </c>
    </row>
    <row r="53">
      <c r="A53" s="30">
        <f t="shared" si="7"/>
        <v>49</v>
      </c>
      <c r="B53" s="31" t="s">
        <v>81</v>
      </c>
      <c r="C53" s="46">
        <v>208.0</v>
      </c>
      <c r="D53" s="46">
        <v>7.0</v>
      </c>
      <c r="E53" s="35">
        <f t="shared" si="2"/>
        <v>11.2</v>
      </c>
      <c r="F53" s="37">
        <v>3.0</v>
      </c>
      <c r="G53" s="39">
        <v>0.0</v>
      </c>
      <c r="H53" s="40">
        <v>9.0</v>
      </c>
      <c r="I53" s="39">
        <v>0.0</v>
      </c>
      <c r="J53" s="39">
        <v>0.0</v>
      </c>
      <c r="K53" s="39">
        <v>0.0</v>
      </c>
      <c r="L53" s="42">
        <v>9.0</v>
      </c>
      <c r="M53" s="39">
        <v>0.0</v>
      </c>
      <c r="N53" s="32">
        <f t="shared" ref="N53:O53" si="55">C53+L53</f>
        <v>217</v>
      </c>
      <c r="O53" s="32">
        <f t="shared" si="55"/>
        <v>7</v>
      </c>
      <c r="P53" s="43" t="s">
        <v>53</v>
      </c>
      <c r="Q53" s="43" t="s">
        <v>53</v>
      </c>
      <c r="R53" s="43" t="s">
        <v>53</v>
      </c>
      <c r="S53" s="39">
        <f t="shared" si="4"/>
        <v>2</v>
      </c>
      <c r="T53" s="39"/>
      <c r="U53" s="39">
        <f t="shared" si="5"/>
        <v>14</v>
      </c>
      <c r="V53" s="39">
        <f t="shared" si="6"/>
        <v>-4</v>
      </c>
      <c r="W53" s="30">
        <f t="shared" si="9"/>
        <v>49</v>
      </c>
    </row>
    <row r="54">
      <c r="A54" s="30">
        <f t="shared" si="7"/>
        <v>50</v>
      </c>
      <c r="B54" s="51" t="s">
        <v>75</v>
      </c>
      <c r="C54" s="46">
        <v>208.0</v>
      </c>
      <c r="D54" s="46">
        <v>6.0</v>
      </c>
      <c r="E54" s="35">
        <f t="shared" si="2"/>
        <v>14.5</v>
      </c>
      <c r="F54" s="37">
        <v>3.0</v>
      </c>
      <c r="G54" s="39">
        <v>0.0</v>
      </c>
      <c r="H54" s="40">
        <v>9.0</v>
      </c>
      <c r="I54" s="39">
        <v>0.0</v>
      </c>
      <c r="J54" s="39">
        <v>0.0</v>
      </c>
      <c r="K54" s="39">
        <v>0.0</v>
      </c>
      <c r="L54" s="42">
        <v>9.0</v>
      </c>
      <c r="M54" s="39">
        <v>0.0</v>
      </c>
      <c r="N54" s="32">
        <f t="shared" ref="N54:O54" si="56">C54+L54</f>
        <v>217</v>
      </c>
      <c r="O54" s="32">
        <f t="shared" si="56"/>
        <v>6</v>
      </c>
      <c r="P54" s="43" t="s">
        <v>53</v>
      </c>
      <c r="Q54" s="43" t="s">
        <v>53</v>
      </c>
      <c r="R54" s="43"/>
      <c r="S54" s="39">
        <f t="shared" si="4"/>
        <v>2</v>
      </c>
      <c r="T54" s="39"/>
      <c r="U54" s="39">
        <f t="shared" si="5"/>
        <v>17</v>
      </c>
      <c r="V54" s="39">
        <f t="shared" si="6"/>
        <v>-4</v>
      </c>
      <c r="W54" s="30">
        <f t="shared" si="9"/>
        <v>50</v>
      </c>
    </row>
    <row r="55">
      <c r="A55" s="30">
        <f t="shared" si="7"/>
        <v>51</v>
      </c>
      <c r="B55" s="31" t="s">
        <v>117</v>
      </c>
      <c r="C55" s="46">
        <v>205.0</v>
      </c>
      <c r="D55" s="46">
        <v>5.0</v>
      </c>
      <c r="E55" s="35">
        <f t="shared" si="2"/>
        <v>11.66666667</v>
      </c>
      <c r="F55" s="37">
        <v>3.0</v>
      </c>
      <c r="G55" s="39">
        <v>0.0</v>
      </c>
      <c r="H55" s="40">
        <v>9.0</v>
      </c>
      <c r="I55" s="39">
        <v>0.0</v>
      </c>
      <c r="J55" s="39">
        <v>0.0</v>
      </c>
      <c r="K55" s="39">
        <v>0.0</v>
      </c>
      <c r="L55" s="42">
        <v>9.0</v>
      </c>
      <c r="M55" s="39">
        <v>0.0</v>
      </c>
      <c r="N55" s="32">
        <f t="shared" ref="N55:O55" si="57">C55+L55</f>
        <v>214</v>
      </c>
      <c r="O55" s="32">
        <f t="shared" si="57"/>
        <v>5</v>
      </c>
      <c r="P55" s="43" t="s">
        <v>53</v>
      </c>
      <c r="Q55" s="43" t="s">
        <v>53</v>
      </c>
      <c r="R55" s="43" t="s">
        <v>53</v>
      </c>
      <c r="S55" s="39">
        <f t="shared" si="4"/>
        <v>2</v>
      </c>
      <c r="T55" s="39"/>
      <c r="U55" s="39">
        <f t="shared" si="5"/>
        <v>16</v>
      </c>
      <c r="V55" s="39">
        <f t="shared" si="6"/>
        <v>-2</v>
      </c>
      <c r="W55" s="30">
        <f t="shared" si="9"/>
        <v>51</v>
      </c>
    </row>
    <row r="56">
      <c r="A56" s="30">
        <f t="shared" si="7"/>
        <v>52</v>
      </c>
      <c r="B56" s="31" t="s">
        <v>120</v>
      </c>
      <c r="C56" s="46">
        <v>205.0</v>
      </c>
      <c r="D56" s="46">
        <v>5.0</v>
      </c>
      <c r="E56" s="35">
        <f t="shared" si="2"/>
        <v>11.4</v>
      </c>
      <c r="F56" s="37">
        <v>1.0</v>
      </c>
      <c r="G56" s="39">
        <v>8.0</v>
      </c>
      <c r="H56" s="40">
        <v>0.0</v>
      </c>
      <c r="I56" s="39">
        <v>3.0</v>
      </c>
      <c r="J56" s="39">
        <v>1.0</v>
      </c>
      <c r="K56" s="39">
        <v>6.0</v>
      </c>
      <c r="L56" s="42">
        <v>10.0</v>
      </c>
      <c r="M56" s="39">
        <v>1.0</v>
      </c>
      <c r="N56" s="32">
        <f t="shared" ref="N56:O56" si="58">C56+L56</f>
        <v>215</v>
      </c>
      <c r="O56" s="32">
        <f t="shared" si="58"/>
        <v>6</v>
      </c>
      <c r="P56" s="43" t="s">
        <v>53</v>
      </c>
      <c r="Q56" s="43" t="s">
        <v>53</v>
      </c>
      <c r="R56" s="43" t="s">
        <v>53</v>
      </c>
      <c r="S56" s="39">
        <f t="shared" si="4"/>
        <v>1</v>
      </c>
      <c r="T56" s="39"/>
      <c r="U56" s="39">
        <f t="shared" si="5"/>
        <v>15</v>
      </c>
      <c r="V56" s="39">
        <f t="shared" si="6"/>
        <v>-2</v>
      </c>
      <c r="W56" s="30">
        <f t="shared" si="9"/>
        <v>52</v>
      </c>
    </row>
    <row r="57">
      <c r="A57" s="30">
        <f t="shared" si="7"/>
        <v>53</v>
      </c>
      <c r="B57" s="51" t="s">
        <v>112</v>
      </c>
      <c r="C57" s="46">
        <v>201.0</v>
      </c>
      <c r="D57" s="46">
        <v>9.0</v>
      </c>
      <c r="E57" s="35">
        <f t="shared" si="2"/>
        <v>10.2</v>
      </c>
      <c r="F57" s="37">
        <v>1.0</v>
      </c>
      <c r="G57" s="39">
        <v>8.0</v>
      </c>
      <c r="H57" s="40">
        <v>0.0</v>
      </c>
      <c r="I57" s="39">
        <v>3.0</v>
      </c>
      <c r="J57" s="39">
        <v>6.0</v>
      </c>
      <c r="K57" s="39">
        <v>0.0</v>
      </c>
      <c r="L57" s="42">
        <v>9.0</v>
      </c>
      <c r="M57" s="39">
        <v>1.0</v>
      </c>
      <c r="N57" s="32">
        <f t="shared" ref="N57:O57" si="59">C57+L57</f>
        <v>210</v>
      </c>
      <c r="O57" s="32">
        <f t="shared" si="59"/>
        <v>10</v>
      </c>
      <c r="P57" s="43" t="s">
        <v>53</v>
      </c>
      <c r="Q57" s="43" t="s">
        <v>53</v>
      </c>
      <c r="R57" s="43" t="s">
        <v>53</v>
      </c>
      <c r="S57" s="39">
        <f t="shared" si="4"/>
        <v>0</v>
      </c>
      <c r="T57" s="39"/>
      <c r="U57" s="39">
        <f t="shared" si="5"/>
        <v>11</v>
      </c>
      <c r="V57" s="39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31" t="s">
        <v>56</v>
      </c>
      <c r="C58" s="46">
        <v>200.0</v>
      </c>
      <c r="D58" s="46">
        <v>3.0</v>
      </c>
      <c r="E58" s="35">
        <f t="shared" si="2"/>
        <v>10.5</v>
      </c>
      <c r="F58" s="37">
        <v>3.0</v>
      </c>
      <c r="G58" s="39">
        <v>0.0</v>
      </c>
      <c r="H58" s="40">
        <v>9.0</v>
      </c>
      <c r="I58" s="39">
        <v>0.0</v>
      </c>
      <c r="J58" s="39">
        <v>0.0</v>
      </c>
      <c r="K58" s="39">
        <v>0.0</v>
      </c>
      <c r="L58" s="42">
        <v>9.0</v>
      </c>
      <c r="M58" s="39">
        <v>0.0</v>
      </c>
      <c r="N58" s="32">
        <f t="shared" ref="N58:O58" si="60">C58+L58</f>
        <v>209</v>
      </c>
      <c r="O58" s="32">
        <f t="shared" si="60"/>
        <v>3</v>
      </c>
      <c r="P58" s="43" t="s">
        <v>53</v>
      </c>
      <c r="Q58" s="43" t="s">
        <v>53</v>
      </c>
      <c r="R58" s="43" t="s">
        <v>53</v>
      </c>
      <c r="S58" s="39">
        <f t="shared" si="4"/>
        <v>2</v>
      </c>
      <c r="T58" s="39"/>
      <c r="U58" s="39">
        <f t="shared" si="5"/>
        <v>17</v>
      </c>
      <c r="V58" s="39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31" t="s">
        <v>119</v>
      </c>
      <c r="C59" s="46">
        <v>197.0</v>
      </c>
      <c r="D59" s="46">
        <v>4.0</v>
      </c>
      <c r="E59" s="35">
        <f t="shared" si="2"/>
        <v>10.33333333</v>
      </c>
      <c r="F59" s="37">
        <v>2.0</v>
      </c>
      <c r="G59" s="39">
        <v>8.0</v>
      </c>
      <c r="H59" s="40">
        <v>0.0</v>
      </c>
      <c r="I59" s="39">
        <v>6.0</v>
      </c>
      <c r="J59" s="39">
        <v>6.0</v>
      </c>
      <c r="K59" s="39">
        <v>6.0</v>
      </c>
      <c r="L59" s="42">
        <v>18.0</v>
      </c>
      <c r="M59" s="39">
        <v>3.0</v>
      </c>
      <c r="N59" s="32">
        <f t="shared" ref="N59:O59" si="61">C59+L59</f>
        <v>215</v>
      </c>
      <c r="O59" s="32">
        <f t="shared" si="61"/>
        <v>7</v>
      </c>
      <c r="P59" s="43" t="s">
        <v>53</v>
      </c>
      <c r="Q59" s="43" t="s">
        <v>53</v>
      </c>
      <c r="R59" s="43"/>
      <c r="S59" s="39">
        <f t="shared" si="4"/>
        <v>1</v>
      </c>
      <c r="T59" s="39"/>
      <c r="U59" s="39">
        <f t="shared" si="5"/>
        <v>17</v>
      </c>
      <c r="V59" s="39">
        <f t="shared" si="6"/>
        <v>1</v>
      </c>
      <c r="W59" s="30">
        <f t="shared" si="9"/>
        <v>55</v>
      </c>
    </row>
    <row r="60">
      <c r="A60" s="30">
        <f t="shared" si="7"/>
        <v>56</v>
      </c>
      <c r="B60" s="56" t="s">
        <v>51</v>
      </c>
      <c r="C60" s="46">
        <v>196.0</v>
      </c>
      <c r="D60" s="46">
        <v>9.0</v>
      </c>
      <c r="E60" s="35">
        <f t="shared" si="2"/>
        <v>9.375</v>
      </c>
      <c r="F60" s="37">
        <v>3.0</v>
      </c>
      <c r="G60" s="39">
        <v>0.0</v>
      </c>
      <c r="H60" s="40">
        <v>9.0</v>
      </c>
      <c r="I60" s="39">
        <v>0.0</v>
      </c>
      <c r="J60" s="39">
        <v>0.0</v>
      </c>
      <c r="K60" s="39">
        <v>0.0</v>
      </c>
      <c r="L60" s="42">
        <v>9.0</v>
      </c>
      <c r="M60" s="39">
        <v>0.0</v>
      </c>
      <c r="N60" s="32">
        <f t="shared" ref="N60:O60" si="62">C60+L60</f>
        <v>205</v>
      </c>
      <c r="O60" s="32">
        <f t="shared" si="62"/>
        <v>9</v>
      </c>
      <c r="P60" s="43" t="s">
        <v>53</v>
      </c>
      <c r="Q60" s="43" t="s">
        <v>53</v>
      </c>
      <c r="R60" s="43" t="s">
        <v>53</v>
      </c>
      <c r="S60" s="39">
        <f t="shared" si="4"/>
        <v>1</v>
      </c>
      <c r="T60" s="39"/>
      <c r="U60" s="39">
        <f t="shared" si="5"/>
        <v>12</v>
      </c>
      <c r="V60" s="39">
        <f t="shared" si="6"/>
        <v>-1</v>
      </c>
      <c r="W60" s="30">
        <f t="shared" si="9"/>
        <v>56</v>
      </c>
    </row>
    <row r="61">
      <c r="A61" s="30">
        <f t="shared" si="7"/>
        <v>57</v>
      </c>
      <c r="B61" s="56" t="s">
        <v>122</v>
      </c>
      <c r="C61" s="46">
        <v>193.0</v>
      </c>
      <c r="D61" s="46">
        <v>3.0</v>
      </c>
      <c r="E61" s="35">
        <f t="shared" si="2"/>
        <v>9</v>
      </c>
      <c r="F61" s="37">
        <v>3.0</v>
      </c>
      <c r="G61" s="39">
        <v>0.0</v>
      </c>
      <c r="H61" s="40">
        <v>9.0</v>
      </c>
      <c r="I61" s="39">
        <v>0.0</v>
      </c>
      <c r="J61" s="39">
        <v>0.0</v>
      </c>
      <c r="K61" s="39">
        <v>0.0</v>
      </c>
      <c r="L61" s="42">
        <v>9.0</v>
      </c>
      <c r="M61" s="39">
        <v>0.0</v>
      </c>
      <c r="N61" s="32">
        <f t="shared" ref="N61:O61" si="63">C61+L61</f>
        <v>202</v>
      </c>
      <c r="O61" s="32">
        <f t="shared" si="63"/>
        <v>3</v>
      </c>
      <c r="P61" s="43" t="s">
        <v>53</v>
      </c>
      <c r="Q61" s="43" t="s">
        <v>53</v>
      </c>
      <c r="R61" s="43" t="s">
        <v>53</v>
      </c>
      <c r="S61" s="39">
        <f t="shared" si="4"/>
        <v>1</v>
      </c>
      <c r="T61" s="39"/>
      <c r="U61" s="39">
        <f t="shared" si="5"/>
        <v>16</v>
      </c>
      <c r="V61" s="39">
        <f t="shared" si="6"/>
        <v>0</v>
      </c>
      <c r="W61" s="30">
        <f t="shared" si="9"/>
        <v>57</v>
      </c>
    </row>
    <row r="62">
      <c r="A62" s="30">
        <f t="shared" si="7"/>
        <v>58</v>
      </c>
      <c r="B62" s="31" t="s">
        <v>123</v>
      </c>
      <c r="C62" s="46">
        <v>192.0</v>
      </c>
      <c r="D62" s="46">
        <v>5.0</v>
      </c>
      <c r="E62" s="35">
        <f t="shared" si="2"/>
        <v>10.5</v>
      </c>
      <c r="F62" s="37">
        <v>3.0</v>
      </c>
      <c r="G62" s="39">
        <v>0.0</v>
      </c>
      <c r="H62" s="40">
        <v>9.0</v>
      </c>
      <c r="I62" s="39">
        <v>0.0</v>
      </c>
      <c r="J62" s="39">
        <v>0.0</v>
      </c>
      <c r="K62" s="39">
        <v>0.0</v>
      </c>
      <c r="L62" s="42">
        <v>9.0</v>
      </c>
      <c r="M62" s="39">
        <v>0.0</v>
      </c>
      <c r="N62" s="32">
        <f t="shared" ref="N62:O62" si="64">C62+L62</f>
        <v>201</v>
      </c>
      <c r="O62" s="32">
        <f t="shared" si="64"/>
        <v>5</v>
      </c>
      <c r="P62" s="43" t="s">
        <v>53</v>
      </c>
      <c r="Q62" s="43" t="s">
        <v>53</v>
      </c>
      <c r="R62" s="43" t="s">
        <v>53</v>
      </c>
      <c r="S62" s="39">
        <f t="shared" si="4"/>
        <v>0</v>
      </c>
      <c r="T62" s="39"/>
      <c r="U62" s="39">
        <f t="shared" si="5"/>
        <v>19</v>
      </c>
      <c r="V62" s="39">
        <f t="shared" si="6"/>
        <v>0</v>
      </c>
      <c r="W62" s="30">
        <f t="shared" si="9"/>
        <v>58</v>
      </c>
    </row>
    <row r="63">
      <c r="A63" s="30">
        <f t="shared" si="7"/>
        <v>59</v>
      </c>
      <c r="B63" s="31" t="s">
        <v>124</v>
      </c>
      <c r="C63" s="46">
        <v>190.0</v>
      </c>
      <c r="D63" s="46">
        <v>3.0</v>
      </c>
      <c r="E63" s="35">
        <f t="shared" si="2"/>
        <v>7.5</v>
      </c>
      <c r="F63" s="37">
        <v>4.0</v>
      </c>
      <c r="G63" s="39">
        <v>0.0</v>
      </c>
      <c r="H63" s="40">
        <v>9.0</v>
      </c>
      <c r="I63" s="39">
        <v>0.0</v>
      </c>
      <c r="J63" s="39">
        <v>0.0</v>
      </c>
      <c r="K63" s="39">
        <v>0.0</v>
      </c>
      <c r="L63" s="42">
        <v>9.0</v>
      </c>
      <c r="M63" s="39">
        <v>0.0</v>
      </c>
      <c r="N63" s="32">
        <f t="shared" ref="N63:O63" si="65">C63+L63</f>
        <v>199</v>
      </c>
      <c r="O63" s="32">
        <f t="shared" si="65"/>
        <v>3</v>
      </c>
      <c r="P63" s="43" t="s">
        <v>53</v>
      </c>
      <c r="Q63" s="43" t="s">
        <v>53</v>
      </c>
      <c r="R63" s="43"/>
      <c r="S63" s="39">
        <f t="shared" si="4"/>
        <v>1</v>
      </c>
      <c r="T63" s="39"/>
      <c r="U63" s="39">
        <f t="shared" si="5"/>
        <v>18</v>
      </c>
      <c r="V63" s="39">
        <f t="shared" si="6"/>
        <v>0</v>
      </c>
      <c r="W63" s="30">
        <f t="shared" si="9"/>
        <v>59</v>
      </c>
    </row>
    <row r="64">
      <c r="A64" s="30">
        <f t="shared" si="7"/>
        <v>60</v>
      </c>
      <c r="B64" s="31" t="s">
        <v>125</v>
      </c>
      <c r="C64" s="46">
        <v>189.0</v>
      </c>
      <c r="D64" s="46">
        <v>3.0</v>
      </c>
      <c r="E64" s="35">
        <f t="shared" si="2"/>
        <v>9</v>
      </c>
      <c r="F64" s="37">
        <v>3.0</v>
      </c>
      <c r="G64" s="39">
        <v>0.0</v>
      </c>
      <c r="H64" s="40">
        <v>9.0</v>
      </c>
      <c r="I64" s="39">
        <v>0.0</v>
      </c>
      <c r="J64" s="39">
        <v>0.0</v>
      </c>
      <c r="K64" s="39">
        <v>0.0</v>
      </c>
      <c r="L64" s="42">
        <v>9.0</v>
      </c>
      <c r="M64" s="39">
        <v>0.0</v>
      </c>
      <c r="N64" s="32">
        <f t="shared" ref="N64:O64" si="66">C64+L64</f>
        <v>198</v>
      </c>
      <c r="O64" s="32">
        <f t="shared" si="66"/>
        <v>3</v>
      </c>
      <c r="P64" s="43" t="s">
        <v>53</v>
      </c>
      <c r="Q64" s="43" t="s">
        <v>53</v>
      </c>
      <c r="R64" s="43"/>
      <c r="S64" s="39">
        <f t="shared" si="4"/>
        <v>0</v>
      </c>
      <c r="T64" s="39"/>
      <c r="U64" s="39">
        <f t="shared" si="5"/>
        <v>20</v>
      </c>
      <c r="V64" s="39">
        <f t="shared" si="6"/>
        <v>0</v>
      </c>
      <c r="W64" s="30">
        <f t="shared" si="9"/>
        <v>60</v>
      </c>
    </row>
    <row r="65">
      <c r="A65" s="30">
        <f t="shared" si="7"/>
        <v>61</v>
      </c>
      <c r="B65" s="51" t="s">
        <v>121</v>
      </c>
      <c r="C65" s="46">
        <v>185.0</v>
      </c>
      <c r="D65" s="46">
        <v>4.0</v>
      </c>
      <c r="E65" s="35">
        <f t="shared" si="2"/>
        <v>7.666666667</v>
      </c>
      <c r="F65" s="37">
        <v>3.0</v>
      </c>
      <c r="G65" s="39">
        <v>0.0</v>
      </c>
      <c r="H65" s="40">
        <v>9.0</v>
      </c>
      <c r="I65" s="39">
        <v>0.0</v>
      </c>
      <c r="J65" s="39">
        <v>0.0</v>
      </c>
      <c r="K65" s="39">
        <v>0.0</v>
      </c>
      <c r="L65" s="42">
        <v>9.0</v>
      </c>
      <c r="M65" s="39">
        <v>0.0</v>
      </c>
      <c r="N65" s="32">
        <f t="shared" ref="N65:O65" si="67">C65+L65</f>
        <v>194</v>
      </c>
      <c r="O65" s="32">
        <f t="shared" si="67"/>
        <v>4</v>
      </c>
      <c r="P65" s="43" t="s">
        <v>53</v>
      </c>
      <c r="Q65" s="43" t="s">
        <v>53</v>
      </c>
      <c r="R65" s="43"/>
      <c r="S65" s="39">
        <f t="shared" si="4"/>
        <v>0</v>
      </c>
      <c r="T65" s="39"/>
      <c r="U65" s="39">
        <f t="shared" si="5"/>
        <v>18</v>
      </c>
      <c r="V65" s="39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31" t="s">
        <v>72</v>
      </c>
      <c r="C66" s="32">
        <v>184.0</v>
      </c>
      <c r="D66" s="32">
        <v>0.0</v>
      </c>
      <c r="E66" s="35">
        <f t="shared" si="2"/>
        <v>0</v>
      </c>
      <c r="F66" s="37">
        <v>3.0</v>
      </c>
      <c r="G66" s="39"/>
      <c r="H66" s="40">
        <v>9.0</v>
      </c>
      <c r="I66" s="39"/>
      <c r="J66" s="39"/>
      <c r="K66" s="39"/>
      <c r="L66" s="42">
        <v>9.0</v>
      </c>
      <c r="M66" s="39"/>
      <c r="N66" s="32">
        <f t="shared" ref="N66:O66" si="68">C66+L66</f>
        <v>193</v>
      </c>
      <c r="O66" s="32">
        <f t="shared" si="68"/>
        <v>0</v>
      </c>
      <c r="P66" s="43" t="s">
        <v>53</v>
      </c>
      <c r="Q66" s="43" t="s">
        <v>53</v>
      </c>
      <c r="R66" s="43" t="s">
        <v>88</v>
      </c>
      <c r="S66" s="39">
        <v>1.0</v>
      </c>
      <c r="T66" s="39"/>
      <c r="U66" s="39">
        <v>19.0</v>
      </c>
      <c r="V66" s="39"/>
      <c r="W66" s="30">
        <f t="shared" si="9"/>
        <v>62</v>
      </c>
    </row>
    <row r="67">
      <c r="A67" s="30">
        <f t="shared" si="7"/>
        <v>63</v>
      </c>
      <c r="B67" s="31" t="s">
        <v>126</v>
      </c>
      <c r="C67" s="46">
        <v>184.0</v>
      </c>
      <c r="D67" s="46">
        <v>0.0</v>
      </c>
      <c r="E67" s="35">
        <f t="shared" si="2"/>
        <v>0</v>
      </c>
      <c r="F67" s="37">
        <v>4.0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193</v>
      </c>
      <c r="O67" s="32">
        <f t="shared" si="69"/>
        <v>0</v>
      </c>
      <c r="P67" s="43" t="s">
        <v>53</v>
      </c>
      <c r="Q67" s="43" t="s">
        <v>53</v>
      </c>
      <c r="R67" s="43" t="s">
        <v>88</v>
      </c>
      <c r="S67" s="39">
        <f t="shared" ref="S67:S69" si="71">if(H67=13,1,0)+VLOOKUP(B67,indirect($AB$2&amp;"!B:T"),18,false)</f>
        <v>1</v>
      </c>
      <c r="T67" s="39"/>
      <c r="U67" s="39">
        <f t="shared" ref="U67:U69" si="72">if(H67=9,1,0)+VLOOKUP(B67,indirect($AB$2&amp;"!B:U"),20,false)</f>
        <v>19</v>
      </c>
      <c r="V67" s="39">
        <f t="shared" ref="V67:V69" si="73">VLOOKUP(B67,indirect($AB$2&amp;"!B$5:w$70"),22,false)-A67</f>
        <v>0</v>
      </c>
      <c r="W67" s="30">
        <f t="shared" si="9"/>
        <v>63</v>
      </c>
    </row>
    <row r="68">
      <c r="A68" s="30">
        <f t="shared" si="7"/>
        <v>64</v>
      </c>
      <c r="B68" s="51" t="s">
        <v>80</v>
      </c>
      <c r="C68" s="46">
        <v>175.0</v>
      </c>
      <c r="D68" s="46">
        <v>8.0</v>
      </c>
      <c r="E68" s="35">
        <f t="shared" si="2"/>
        <v>7.833333333</v>
      </c>
      <c r="F68" s="37">
        <v>1.0</v>
      </c>
      <c r="G68" s="39">
        <v>8.0</v>
      </c>
      <c r="H68" s="40">
        <v>0.0</v>
      </c>
      <c r="I68" s="39">
        <v>6.0</v>
      </c>
      <c r="J68" s="39">
        <v>1.0</v>
      </c>
      <c r="K68" s="39">
        <v>0.0</v>
      </c>
      <c r="L68" s="42">
        <v>7.0</v>
      </c>
      <c r="M68" s="39">
        <v>1.0</v>
      </c>
      <c r="N68" s="32">
        <f t="shared" ref="N68:O68" si="70">C68+L68</f>
        <v>182</v>
      </c>
      <c r="O68" s="32">
        <f t="shared" si="70"/>
        <v>9</v>
      </c>
      <c r="P68" s="43" t="s">
        <v>53</v>
      </c>
      <c r="Q68" s="43" t="s">
        <v>53</v>
      </c>
      <c r="R68" s="43" t="s">
        <v>53</v>
      </c>
      <c r="S68" s="39">
        <f t="shared" si="71"/>
        <v>0</v>
      </c>
      <c r="T68" s="39"/>
      <c r="U68" s="39">
        <f t="shared" si="72"/>
        <v>9</v>
      </c>
      <c r="V68" s="39">
        <f t="shared" si="73"/>
        <v>0</v>
      </c>
      <c r="W68" s="30">
        <f t="shared" si="9"/>
        <v>64</v>
      </c>
    </row>
    <row r="69">
      <c r="A69" s="30">
        <f t="shared" si="7"/>
        <v>65</v>
      </c>
      <c r="B69" s="51" t="s">
        <v>74</v>
      </c>
      <c r="C69" s="46">
        <v>171.0</v>
      </c>
      <c r="D69" s="46">
        <v>0.0</v>
      </c>
      <c r="E69" s="35" t="str">
        <f t="shared" si="2"/>
        <v>#DIV/0!</v>
      </c>
      <c r="F69" s="37">
        <v>3.0</v>
      </c>
      <c r="G69" s="39">
        <v>0.0</v>
      </c>
      <c r="H69" s="40">
        <v>9.0</v>
      </c>
      <c r="I69" s="39">
        <v>0.0</v>
      </c>
      <c r="J69" s="39">
        <v>0.0</v>
      </c>
      <c r="K69" s="39">
        <v>0.0</v>
      </c>
      <c r="L69" s="42">
        <v>9.0</v>
      </c>
      <c r="M69" s="39">
        <v>0.0</v>
      </c>
      <c r="N69" s="32">
        <f t="shared" ref="N69:O69" si="74">C69+L69</f>
        <v>180</v>
      </c>
      <c r="O69" s="32">
        <f t="shared" si="74"/>
        <v>0</v>
      </c>
      <c r="P69" s="43" t="s">
        <v>53</v>
      </c>
      <c r="Q69" s="43" t="s">
        <v>53</v>
      </c>
      <c r="R69" s="43"/>
      <c r="S69" s="39">
        <f t="shared" si="71"/>
        <v>0</v>
      </c>
      <c r="T69" s="39"/>
      <c r="U69" s="39">
        <f t="shared" si="72"/>
        <v>21</v>
      </c>
      <c r="V69" s="39">
        <f t="shared" si="73"/>
        <v>0</v>
      </c>
      <c r="W69" s="30">
        <f t="shared" si="9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10"/>
    </row>
    <row r="73">
      <c r="A73" s="11"/>
      <c r="C73" s="11"/>
      <c r="D73" s="11"/>
      <c r="E73" s="11"/>
      <c r="F73" s="11"/>
      <c r="P73" s="10"/>
    </row>
    <row r="74">
      <c r="A74" s="11"/>
      <c r="C74" s="11"/>
      <c r="D74" s="11"/>
      <c r="K74" s="49"/>
      <c r="L74" s="59"/>
      <c r="M74" s="60"/>
      <c r="P74" s="10"/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7" t="s">
        <v>128</v>
      </c>
      <c r="Q77" s="8"/>
      <c r="R77" s="8">
        <f>COUNTIF(R5:R69,"X")</f>
        <v>33</v>
      </c>
    </row>
    <row r="78">
      <c r="A78" s="11"/>
      <c r="B78" s="62" t="s">
        <v>129</v>
      </c>
      <c r="C78" s="62" t="s">
        <v>130</v>
      </c>
      <c r="D78" s="62" t="s">
        <v>131</v>
      </c>
      <c r="K78" s="49"/>
      <c r="L78" s="59"/>
      <c r="M78" s="60"/>
      <c r="P78" s="7" t="s">
        <v>132</v>
      </c>
      <c r="Q78" s="8"/>
      <c r="R78" s="8">
        <f>countif(R5:R69,"N")</f>
        <v>5</v>
      </c>
    </row>
    <row r="79">
      <c r="A79" s="11"/>
      <c r="B79" s="51" t="str">
        <f>IFERROR(__xludf.DUMMYFUNCTION("QUERY(B5:M69,""Select B, L, M where L &gt;= 18 order by L desc,M desc"",0)"),"Robert Chang")</f>
        <v>Robert Chang</v>
      </c>
      <c r="C79" s="71">
        <f>IFERROR(__xludf.DUMMYFUNCTION("""COMPUTED_VALUE"""),19.0)</f>
        <v>19</v>
      </c>
      <c r="D79" s="71">
        <f>IFERROR(__xludf.DUMMYFUNCTION("""COMPUTED_VALUE"""),3.0)</f>
        <v>3</v>
      </c>
      <c r="E79" s="11"/>
      <c r="F79" s="11"/>
      <c r="L79" s="59"/>
      <c r="M79" s="60"/>
      <c r="P79" s="7" t="s">
        <v>133</v>
      </c>
      <c r="Q79" s="8"/>
      <c r="R79" s="8">
        <f>countif(R5:R69,"")</f>
        <v>27</v>
      </c>
    </row>
    <row r="80">
      <c r="A80" s="11"/>
      <c r="B80" s="51" t="str">
        <f>IFERROR(__xludf.DUMMYFUNCTION("""COMPUTED_VALUE"""),"Sai Dilip Ponnaganti")</f>
        <v>Sai Dilip Ponnaganti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F80" s="11"/>
      <c r="M80" s="65"/>
      <c r="P80" s="7" t="s">
        <v>60</v>
      </c>
      <c r="Q80" s="8"/>
      <c r="R80" s="8">
        <f>sum(R77:R79)</f>
        <v>65</v>
      </c>
    </row>
    <row r="81">
      <c r="A81" s="11"/>
      <c r="B81" s="51" t="str">
        <f>IFERROR(__xludf.DUMMYFUNCTION("""COMPUTED_VALUE"""),"James Phan")</f>
        <v>James Phan</v>
      </c>
      <c r="C81" s="71">
        <f>IFERROR(__xludf.DUMMYFUNCTION("""COMPUTED_VALUE"""),19.0)</f>
        <v>19</v>
      </c>
      <c r="D81" s="71">
        <f>IFERROR(__xludf.DUMMYFUNCTION("""COMPUTED_VALUE"""),2.0)</f>
        <v>2</v>
      </c>
      <c r="E81" s="11"/>
      <c r="F81" s="11"/>
    </row>
    <row r="82">
      <c r="A82" s="11"/>
      <c r="B82" s="51" t="str">
        <f>IFERROR(__xludf.DUMMYFUNCTION("""COMPUTED_VALUE"""),"Adrian Tay")</f>
        <v>Adrian Tay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  <c r="F82" s="11"/>
    </row>
    <row r="83">
      <c r="A83" s="11"/>
      <c r="B83" s="51" t="str">
        <f>IFERROR(__xludf.DUMMYFUNCTION("""COMPUTED_VALUE"""),"Trinath Goteti")</f>
        <v>Trinath Goteti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  <c r="F83" s="11"/>
      <c r="L83" s="10"/>
    </row>
    <row r="84">
      <c r="A84" s="11"/>
      <c r="B84" s="51" t="str">
        <f>IFERROR(__xludf.DUMMYFUNCTION("""COMPUTED_VALUE"""),"Lam Bui")</f>
        <v>Lam Bui</v>
      </c>
      <c r="C84" s="71">
        <f>IFERROR(__xludf.DUMMYFUNCTION("""COMPUTED_VALUE"""),18.0)</f>
        <v>18</v>
      </c>
      <c r="D84" s="71">
        <f>IFERROR(__xludf.DUMMYFUNCTION("""COMPUTED_VALUE"""),2.0)</f>
        <v>2</v>
      </c>
      <c r="E84" s="11"/>
      <c r="F84" s="11"/>
      <c r="L84" s="10"/>
    </row>
    <row r="85">
      <c r="A85" s="11"/>
      <c r="B85" s="51"/>
      <c r="C85" s="71"/>
      <c r="D85" s="71"/>
      <c r="E85" s="11"/>
      <c r="F85" s="11"/>
      <c r="L85" s="10"/>
    </row>
    <row r="86">
      <c r="A86" s="11"/>
      <c r="B86" s="51"/>
      <c r="C86" s="71"/>
      <c r="D86" s="71"/>
      <c r="E86" s="11"/>
      <c r="F86" s="11"/>
      <c r="L86" s="10"/>
    </row>
    <row r="87">
      <c r="A87" s="11"/>
      <c r="B87" s="51"/>
      <c r="C87" s="71"/>
      <c r="D87" s="71"/>
      <c r="E87" s="11"/>
      <c r="F87" s="11"/>
    </row>
    <row r="88">
      <c r="A88" s="11"/>
      <c r="B88" s="51"/>
      <c r="C88" s="71"/>
      <c r="D88" s="71"/>
      <c r="E88" s="11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10"")"),"Joe Luzzi")</f>
        <v>Joe Luzzi</v>
      </c>
      <c r="C93" s="64">
        <f>IFERROR(__xludf.DUMMYFUNCTION("""COMPUTED_VALUE"""),6.0)</f>
        <v>6</v>
      </c>
      <c r="D93" s="64">
        <f t="shared" ref="D93:D102" si="75">VLOOKUP(B93,indirect($AB$2&amp;"!B$5:w$70"),22, false)</f>
        <v>15</v>
      </c>
      <c r="E93" s="64">
        <f t="shared" ref="E93:E102" si="76">VLOOKUP(B93,B$5:W$69,22, false)</f>
        <v>9</v>
      </c>
      <c r="F93" s="64">
        <f t="shared" ref="F93:F102" si="77">VLOOKUP(B93,indirect($AB$2&amp;"!B$5:U$70"),11, false)</f>
        <v>18</v>
      </c>
      <c r="G93" s="64">
        <f t="shared" ref="G93:G102" si="78">VLOOKUP(B93,indirect($AB$2&amp;"!B$5:U$70"),6, false)</f>
        <v>3</v>
      </c>
      <c r="L93" s="64" t="str">
        <f t="shared" ref="L93:L102" si="79">if(D93-E93=C93,"ok","Error")</f>
        <v>ok</v>
      </c>
    </row>
    <row r="94">
      <c r="A94" s="11"/>
      <c r="B94" s="51" t="str">
        <f>IFERROR(__xludf.DUMMYFUNCTION("""COMPUTED_VALUE"""),"David Shin")</f>
        <v>David Shin</v>
      </c>
      <c r="C94" s="64">
        <f>IFERROR(__xludf.DUMMYFUNCTION("""COMPUTED_VALUE"""),5.0)</f>
        <v>5</v>
      </c>
      <c r="D94" s="64">
        <f t="shared" si="75"/>
        <v>11</v>
      </c>
      <c r="E94" s="64">
        <f t="shared" si="76"/>
        <v>6</v>
      </c>
      <c r="F94" s="64">
        <f t="shared" si="77"/>
        <v>17</v>
      </c>
      <c r="G94" s="64">
        <f t="shared" si="78"/>
        <v>2</v>
      </c>
      <c r="L94" s="64" t="str">
        <f t="shared" si="79"/>
        <v>ok</v>
      </c>
    </row>
    <row r="95">
      <c r="A95" s="11"/>
      <c r="B95" s="51" t="str">
        <f>IFERROR(__xludf.DUMMYFUNCTION("""COMPUTED_VALUE"""),"Frank Moon")</f>
        <v>Frank Moon</v>
      </c>
      <c r="C95" s="64">
        <f>IFERROR(__xludf.DUMMYFUNCTION("""COMPUTED_VALUE"""),5.0)</f>
        <v>5</v>
      </c>
      <c r="D95" s="64">
        <f t="shared" si="75"/>
        <v>18</v>
      </c>
      <c r="E95" s="64">
        <f t="shared" si="76"/>
        <v>13</v>
      </c>
      <c r="F95" s="64">
        <f t="shared" si="77"/>
        <v>16</v>
      </c>
      <c r="G95" s="64">
        <f t="shared" si="78"/>
        <v>3</v>
      </c>
      <c r="L95" s="64" t="str">
        <f t="shared" si="79"/>
        <v>ok</v>
      </c>
      <c r="Q95" s="70"/>
    </row>
    <row r="96">
      <c r="A96" s="11"/>
      <c r="B96" s="51" t="str">
        <f>IFERROR(__xludf.DUMMYFUNCTION("""COMPUTED_VALUE"""),"Matthew Huang")</f>
        <v>Matthew Huang</v>
      </c>
      <c r="C96" s="64">
        <f>IFERROR(__xludf.DUMMYFUNCTION("""COMPUTED_VALUE"""),4.0)</f>
        <v>4</v>
      </c>
      <c r="D96" s="64">
        <f t="shared" si="75"/>
        <v>22</v>
      </c>
      <c r="E96" s="64">
        <f t="shared" si="76"/>
        <v>18</v>
      </c>
      <c r="F96" s="64">
        <f t="shared" si="77"/>
        <v>18</v>
      </c>
      <c r="G96" s="64">
        <f t="shared" si="78"/>
        <v>4</v>
      </c>
      <c r="L96" s="64" t="str">
        <f t="shared" si="79"/>
        <v>ok</v>
      </c>
    </row>
    <row r="97">
      <c r="A97" s="11"/>
      <c r="B97" s="51" t="str">
        <f>IFERROR(__xludf.DUMMYFUNCTION("""COMPUTED_VALUE"""),"Chinna Ponnaganti")</f>
        <v>Chinna Ponnaganti</v>
      </c>
      <c r="C97" s="64">
        <f>IFERROR(__xludf.DUMMYFUNCTION("""COMPUTED_VALUE"""),4.0)</f>
        <v>4</v>
      </c>
      <c r="D97" s="64">
        <f t="shared" si="75"/>
        <v>33</v>
      </c>
      <c r="E97" s="64">
        <f t="shared" si="76"/>
        <v>29</v>
      </c>
      <c r="F97" s="64">
        <f t="shared" si="77"/>
        <v>19</v>
      </c>
      <c r="G97" s="64">
        <f t="shared" si="78"/>
        <v>5</v>
      </c>
      <c r="L97" s="64" t="str">
        <f t="shared" si="79"/>
        <v>ok</v>
      </c>
    </row>
    <row r="98">
      <c r="A98" s="11"/>
      <c r="B98" s="51" t="str">
        <f>IFERROR(__xludf.DUMMYFUNCTION("""COMPUTED_VALUE"""),"Saravanan Veerapandian")</f>
        <v>Saravanan Veerapandian</v>
      </c>
      <c r="C98" s="64">
        <f>IFERROR(__xludf.DUMMYFUNCTION("""COMPUTED_VALUE"""),4.0)</f>
        <v>4</v>
      </c>
      <c r="D98" s="64">
        <f t="shared" si="75"/>
        <v>48</v>
      </c>
      <c r="E98" s="64">
        <f t="shared" si="76"/>
        <v>44</v>
      </c>
      <c r="F98" s="64">
        <f t="shared" si="77"/>
        <v>17</v>
      </c>
      <c r="G98" s="64">
        <f t="shared" si="78"/>
        <v>8</v>
      </c>
      <c r="L98" s="64" t="str">
        <f t="shared" si="79"/>
        <v>ok</v>
      </c>
    </row>
    <row r="99">
      <c r="A99" s="11"/>
      <c r="B99" s="51" t="str">
        <f>IFERROR(__xludf.DUMMYFUNCTION("""COMPUTED_VALUE"""),"Rajesh Dorairaj")</f>
        <v>Rajesh Dorairaj</v>
      </c>
      <c r="C99" s="64">
        <f>IFERROR(__xludf.DUMMYFUNCTION("""COMPUTED_VALUE"""),4.0)</f>
        <v>4</v>
      </c>
      <c r="D99" s="64">
        <f t="shared" si="75"/>
        <v>51</v>
      </c>
      <c r="E99" s="64">
        <f t="shared" si="76"/>
        <v>47</v>
      </c>
      <c r="F99" s="64">
        <f t="shared" si="77"/>
        <v>16</v>
      </c>
      <c r="G99" s="64">
        <f t="shared" si="78"/>
        <v>8</v>
      </c>
      <c r="L99" s="64" t="str">
        <f t="shared" si="79"/>
        <v>ok</v>
      </c>
    </row>
    <row r="100">
      <c r="A100" s="11"/>
      <c r="B100" s="51" t="str">
        <f>IFERROR(__xludf.DUMMYFUNCTION("""COMPUTED_VALUE"""),"Eric Tan")</f>
        <v>Eric Tan</v>
      </c>
      <c r="C100" s="64">
        <f>IFERROR(__xludf.DUMMYFUNCTION("""COMPUTED_VALUE"""),4.0)</f>
        <v>4</v>
      </c>
      <c r="D100" s="64">
        <f t="shared" si="75"/>
        <v>52</v>
      </c>
      <c r="E100" s="64">
        <f t="shared" si="76"/>
        <v>48</v>
      </c>
      <c r="F100" s="64">
        <f t="shared" si="77"/>
        <v>16</v>
      </c>
      <c r="G100" s="64">
        <f t="shared" si="78"/>
        <v>8</v>
      </c>
      <c r="L100" s="64" t="str">
        <f t="shared" si="79"/>
        <v>ok</v>
      </c>
    </row>
    <row r="101">
      <c r="A101" s="11"/>
      <c r="B101" s="51" t="str">
        <f>IFERROR(__xludf.DUMMYFUNCTION("""COMPUTED_VALUE"""),"Ted Shen")</f>
        <v>Ted Shen</v>
      </c>
      <c r="C101" s="64">
        <f>IFERROR(__xludf.DUMMYFUNCTION("""COMPUTED_VALUE"""),3.0)</f>
        <v>3</v>
      </c>
      <c r="D101" s="64">
        <f t="shared" si="75"/>
        <v>7</v>
      </c>
      <c r="E101" s="64">
        <f t="shared" si="76"/>
        <v>4</v>
      </c>
      <c r="F101" s="64">
        <f t="shared" si="77"/>
        <v>16</v>
      </c>
      <c r="G101" s="64">
        <f t="shared" si="78"/>
        <v>1</v>
      </c>
      <c r="L101" s="64" t="str">
        <f t="shared" si="79"/>
        <v>ok</v>
      </c>
    </row>
    <row r="102">
      <c r="A102" s="11"/>
      <c r="B102" s="51" t="str">
        <f>IFERROR(__xludf.DUMMYFUNCTION("""COMPUTED_VALUE"""),"Erik Hoeckmann")</f>
        <v>Erik Hoeckmann</v>
      </c>
      <c r="C102" s="64">
        <f>IFERROR(__xludf.DUMMYFUNCTION("""COMPUTED_VALUE"""),3.0)</f>
        <v>3</v>
      </c>
      <c r="D102" s="64">
        <f t="shared" si="75"/>
        <v>26</v>
      </c>
      <c r="E102" s="64">
        <f t="shared" si="76"/>
        <v>23</v>
      </c>
      <c r="F102" s="64">
        <f t="shared" si="77"/>
        <v>13</v>
      </c>
      <c r="G102" s="64">
        <f t="shared" si="78"/>
        <v>4</v>
      </c>
      <c r="L102" s="64" t="str">
        <f t="shared" si="79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10"")"),"Peter Homsey")</f>
        <v>Peter Homsey</v>
      </c>
      <c r="C106" s="64"/>
      <c r="D106" s="64">
        <f t="shared" ref="D106:D115" si="80">VLOOKUP(B106,indirect($AB$2&amp;"!B$5:w$70"),22, false)</f>
        <v>62</v>
      </c>
      <c r="E106" s="64">
        <f t="shared" ref="E106:E115" si="81">VLOOKUP(B106,B$5:W$69,22, false)</f>
        <v>62</v>
      </c>
      <c r="F106" s="64">
        <f t="shared" ref="F106:F115" si="82">VLOOKUP(B106,indirect($AB$2&amp;"!B$5:U$70"),11, false)</f>
        <v>9</v>
      </c>
      <c r="G106" s="64">
        <f t="shared" ref="G106:G115" si="83">VLOOKUP(B106,indirect($AB$2&amp;"!B$5:U$70"),6, false)</f>
        <v>0</v>
      </c>
      <c r="L106" s="64" t="str">
        <f t="shared" ref="L106:L115" si="84">if(D106-E106=C106,"ok","Error")</f>
        <v>ok</v>
      </c>
    </row>
    <row r="107">
      <c r="A107" s="11"/>
      <c r="B107" s="51" t="str">
        <f>IFERROR(__xludf.DUMMYFUNCTION("""COMPUTED_VALUE"""),"Rajasekar Ramasamy")</f>
        <v>Rajasekar Ramasamy</v>
      </c>
      <c r="C107" s="64">
        <f>IFERROR(__xludf.DUMMYFUNCTION("""COMPUTED_VALUE"""),-7.0)</f>
        <v>-7</v>
      </c>
      <c r="D107" s="64">
        <f t="shared" si="80"/>
        <v>9</v>
      </c>
      <c r="E107" s="64">
        <f t="shared" si="81"/>
        <v>16</v>
      </c>
      <c r="F107" s="64">
        <f t="shared" si="82"/>
        <v>8</v>
      </c>
      <c r="G107" s="64">
        <f t="shared" si="83"/>
        <v>2</v>
      </c>
      <c r="L107" s="64" t="str">
        <f t="shared" si="84"/>
        <v>ok</v>
      </c>
    </row>
    <row r="108">
      <c r="A108" s="11"/>
      <c r="B108" s="51" t="str">
        <f>IFERROR(__xludf.DUMMYFUNCTION("""COMPUTED_VALUE"""),"Lam Bui")</f>
        <v>Lam Bui</v>
      </c>
      <c r="C108" s="64">
        <f>IFERROR(__xludf.DUMMYFUNCTION("""COMPUTED_VALUE"""),-6.0)</f>
        <v>-6</v>
      </c>
      <c r="D108" s="64">
        <f t="shared" si="80"/>
        <v>6</v>
      </c>
      <c r="E108" s="64">
        <f t="shared" si="81"/>
        <v>12</v>
      </c>
      <c r="F108" s="64">
        <f t="shared" si="82"/>
        <v>9</v>
      </c>
      <c r="G108" s="64">
        <f t="shared" si="83"/>
        <v>0</v>
      </c>
      <c r="L108" s="64" t="str">
        <f t="shared" si="84"/>
        <v>ok</v>
      </c>
    </row>
    <row r="109">
      <c r="A109" s="11"/>
      <c r="B109" s="51" t="str">
        <f>IFERROR(__xludf.DUMMYFUNCTION("""COMPUTED_VALUE"""),"Sean Chang")</f>
        <v>Sean Chang</v>
      </c>
      <c r="C109" s="64">
        <f>IFERROR(__xludf.DUMMYFUNCTION("""COMPUTED_VALUE"""),-6.0)</f>
        <v>-6</v>
      </c>
      <c r="D109" s="64">
        <f t="shared" si="80"/>
        <v>14</v>
      </c>
      <c r="E109" s="64">
        <f t="shared" si="81"/>
        <v>20</v>
      </c>
      <c r="F109" s="64">
        <f t="shared" si="82"/>
        <v>9</v>
      </c>
      <c r="G109" s="64">
        <f t="shared" si="83"/>
        <v>3</v>
      </c>
      <c r="L109" s="64" t="str">
        <f t="shared" si="84"/>
        <v>ok</v>
      </c>
    </row>
    <row r="110">
      <c r="A110" s="11"/>
      <c r="B110" s="51" t="str">
        <f>IFERROR(__xludf.DUMMYFUNCTION("""COMPUTED_VALUE"""),"Luis Hsu")</f>
        <v>Luis Hsu</v>
      </c>
      <c r="C110" s="64">
        <f>IFERROR(__xludf.DUMMYFUNCTION("""COMPUTED_VALUE"""),-4.0)</f>
        <v>-4</v>
      </c>
      <c r="D110" s="64">
        <f t="shared" si="80"/>
        <v>13</v>
      </c>
      <c r="E110" s="64">
        <f t="shared" si="81"/>
        <v>17</v>
      </c>
      <c r="F110" s="64">
        <f t="shared" si="82"/>
        <v>9</v>
      </c>
      <c r="G110" s="64">
        <f t="shared" si="83"/>
        <v>0</v>
      </c>
      <c r="L110" s="64" t="str">
        <f t="shared" si="84"/>
        <v>ok</v>
      </c>
    </row>
    <row r="111">
      <c r="A111" s="11"/>
      <c r="B111" s="51" t="str">
        <f>IFERROR(__xludf.DUMMYFUNCTION("""COMPUTED_VALUE"""),"Oscar Bonilla")</f>
        <v>Oscar Bonilla</v>
      </c>
      <c r="C111" s="64">
        <f>IFERROR(__xludf.DUMMYFUNCTION("""COMPUTED_VALUE"""),-4.0)</f>
        <v>-4</v>
      </c>
      <c r="D111" s="64">
        <f t="shared" si="80"/>
        <v>29</v>
      </c>
      <c r="E111" s="64">
        <f t="shared" si="81"/>
        <v>33</v>
      </c>
      <c r="F111" s="64">
        <f t="shared" si="82"/>
        <v>9</v>
      </c>
      <c r="G111" s="64">
        <f t="shared" si="83"/>
        <v>0</v>
      </c>
      <c r="L111" s="64" t="str">
        <f t="shared" si="84"/>
        <v>ok</v>
      </c>
    </row>
    <row r="112">
      <c r="A112" s="11"/>
      <c r="B112" s="51" t="str">
        <f>IFERROR(__xludf.DUMMYFUNCTION("""COMPUTED_VALUE"""),"Balaji Alahari")</f>
        <v>Balaji Alahari</v>
      </c>
      <c r="C112" s="64">
        <f>IFERROR(__xludf.DUMMYFUNCTION("""COMPUTED_VALUE"""),-4.0)</f>
        <v>-4</v>
      </c>
      <c r="D112" s="64">
        <f t="shared" si="80"/>
        <v>45</v>
      </c>
      <c r="E112" s="64">
        <f t="shared" si="81"/>
        <v>49</v>
      </c>
      <c r="F112" s="64">
        <f t="shared" si="82"/>
        <v>9</v>
      </c>
      <c r="G112" s="64">
        <f t="shared" si="83"/>
        <v>0</v>
      </c>
      <c r="L112" s="64" t="str">
        <f t="shared" si="84"/>
        <v>ok</v>
      </c>
    </row>
    <row r="113">
      <c r="A113" s="11"/>
      <c r="B113" s="51" t="str">
        <f>IFERROR(__xludf.DUMMYFUNCTION("""COMPUTED_VALUE"""),"Tony Lin")</f>
        <v>Tony Lin</v>
      </c>
      <c r="C113" s="64">
        <f>IFERROR(__xludf.DUMMYFUNCTION("""COMPUTED_VALUE"""),-4.0)</f>
        <v>-4</v>
      </c>
      <c r="D113" s="64">
        <f t="shared" si="80"/>
        <v>46</v>
      </c>
      <c r="E113" s="64">
        <f t="shared" si="81"/>
        <v>50</v>
      </c>
      <c r="F113" s="64">
        <f t="shared" si="82"/>
        <v>9</v>
      </c>
      <c r="G113" s="64">
        <f t="shared" si="83"/>
        <v>0</v>
      </c>
      <c r="L113" s="64" t="str">
        <f t="shared" si="84"/>
        <v>ok</v>
      </c>
    </row>
    <row r="114">
      <c r="A114" s="11"/>
      <c r="B114" s="51" t="str">
        <f>IFERROR(__xludf.DUMMYFUNCTION("""COMPUTED_VALUE"""),"Christopher Li")</f>
        <v>Christopher Li</v>
      </c>
      <c r="C114" s="64">
        <f>IFERROR(__xludf.DUMMYFUNCTION("""COMPUTED_VALUE"""),-3.0)</f>
        <v>-3</v>
      </c>
      <c r="D114" s="64">
        <f t="shared" si="80"/>
        <v>2</v>
      </c>
      <c r="E114" s="64">
        <f t="shared" si="81"/>
        <v>5</v>
      </c>
      <c r="F114" s="64">
        <f t="shared" si="82"/>
        <v>9</v>
      </c>
      <c r="G114" s="64">
        <f t="shared" si="83"/>
        <v>0</v>
      </c>
      <c r="L114" s="64" t="str">
        <f t="shared" si="84"/>
        <v>ok</v>
      </c>
    </row>
    <row r="115">
      <c r="A115" s="11"/>
      <c r="B115" s="51" t="str">
        <f>IFERROR(__xludf.DUMMYFUNCTION("""COMPUTED_VALUE"""),"Alejandro Mejia")</f>
        <v>Alejandro Mejia</v>
      </c>
      <c r="C115" s="64">
        <f>IFERROR(__xludf.DUMMYFUNCTION("""COMPUTED_VALUE"""),-3.0)</f>
        <v>-3</v>
      </c>
      <c r="D115" s="64">
        <f t="shared" si="80"/>
        <v>4</v>
      </c>
      <c r="E115" s="64">
        <f t="shared" si="81"/>
        <v>7</v>
      </c>
      <c r="F115" s="64">
        <f t="shared" si="82"/>
        <v>10</v>
      </c>
      <c r="G115" s="64">
        <f t="shared" si="83"/>
        <v>1</v>
      </c>
      <c r="L115" s="64" t="str">
        <f t="shared" si="84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72" t="s">
        <v>144</v>
      </c>
      <c r="B121" s="22"/>
      <c r="C121" s="22"/>
      <c r="D121" s="22"/>
      <c r="E121" s="22"/>
      <c r="F121" s="22"/>
      <c r="G121" s="22"/>
      <c r="H121" s="23"/>
    </row>
    <row r="122">
      <c r="A122" s="53"/>
      <c r="B122" s="62" t="s">
        <v>145</v>
      </c>
      <c r="C122" s="73" t="s">
        <v>146</v>
      </c>
      <c r="D122" s="22"/>
      <c r="E122" s="23"/>
      <c r="F122" s="73" t="s">
        <v>147</v>
      </c>
      <c r="G122" s="22"/>
      <c r="H122" s="23"/>
    </row>
    <row r="123">
      <c r="A123" s="75">
        <v>1.0</v>
      </c>
      <c r="B123" s="51" t="str">
        <f>IFERROR(__xludf.DUMMYFUNCTION("query(B5:V69,""select B where R = 'X' order by B asc"")"),"Alex Hou")</f>
        <v>Alex Hou</v>
      </c>
      <c r="C123" s="76" t="str">
        <f>IFERROR(__xludf.DUMMYFUNCTION("query(B5:V69,""select B where R = '' order by B asc"")"),"Adrian Tay")</f>
        <v>Adrian Tay</v>
      </c>
      <c r="D123" s="22"/>
      <c r="E123" s="23"/>
      <c r="F123" s="76" t="str">
        <f>IFERROR(__xludf.DUMMYFUNCTION("query(B5:V69,""select B where R = 'N' order by B asc"")"),"Amit Patel")</f>
        <v>Amit Patel</v>
      </c>
      <c r="G123" s="22"/>
      <c r="H123" s="23"/>
    </row>
    <row r="124">
      <c r="A124" s="75">
        <f t="shared" ref="A124:A182" si="85">A123+1</f>
        <v>2</v>
      </c>
      <c r="B124" s="51" t="str">
        <f>IFERROR(__xludf.DUMMYFUNCTION("""COMPUTED_VALUE"""),"Balaji Alahari")</f>
        <v>Balaji Alahari</v>
      </c>
      <c r="C124" s="76" t="str">
        <f>IFERROR(__xludf.DUMMYFUNCTION("""COMPUTED_VALUE"""),"Alejandro Mejia")</f>
        <v>Alejandro Mejia</v>
      </c>
      <c r="D124" s="22"/>
      <c r="E124" s="23"/>
      <c r="F124" s="76" t="str">
        <f>IFERROR(__xludf.DUMMYFUNCTION("""COMPUTED_VALUE"""),"Christopher Li")</f>
        <v>Christopher Li</v>
      </c>
      <c r="G124" s="22"/>
      <c r="H124" s="23"/>
    </row>
    <row r="125">
      <c r="A125" s="75">
        <f t="shared" si="85"/>
        <v>3</v>
      </c>
      <c r="B125" s="51" t="str">
        <f>IFERROR(__xludf.DUMMYFUNCTION("""COMPUTED_VALUE"""),"Chinna Ponnaganti")</f>
        <v>Chinna Ponnaganti</v>
      </c>
      <c r="C125" s="76" t="str">
        <f>IFERROR(__xludf.DUMMYFUNCTION("""COMPUTED_VALUE"""),"Andrew Wen")</f>
        <v>Andrew Wen</v>
      </c>
      <c r="D125" s="22"/>
      <c r="E125" s="23"/>
      <c r="F125" s="76" t="str">
        <f>IFERROR(__xludf.DUMMYFUNCTION("""COMPUTED_VALUE"""),"Peter Homsey")</f>
        <v>Peter Homsey</v>
      </c>
      <c r="G125" s="22"/>
      <c r="H125" s="23"/>
    </row>
    <row r="126">
      <c r="A126" s="75">
        <f t="shared" si="85"/>
        <v>4</v>
      </c>
      <c r="B126" s="51" t="str">
        <f>IFERROR(__xludf.DUMMYFUNCTION("""COMPUTED_VALUE"""),"Cid Macaraeg")</f>
        <v>Cid Macaraeg</v>
      </c>
      <c r="C126" s="76" t="str">
        <f>IFERROR(__xludf.DUMMYFUNCTION("""COMPUTED_VALUE"""),"Arun Mallikarjuna")</f>
        <v>Arun Mallikarjuna</v>
      </c>
      <c r="D126" s="22"/>
      <c r="E126" s="23"/>
      <c r="F126" s="76" t="str">
        <f>IFERROR(__xludf.DUMMYFUNCTION("""COMPUTED_VALUE"""),"Sai Dilip Ponnaganti")</f>
        <v>Sai Dilip Ponnaganti</v>
      </c>
      <c r="G126" s="22"/>
      <c r="H126" s="23"/>
    </row>
    <row r="127">
      <c r="A127" s="75">
        <f t="shared" si="85"/>
        <v>5</v>
      </c>
      <c r="B127" s="51" t="str">
        <f>IFERROR(__xludf.DUMMYFUNCTION("""COMPUTED_VALUE"""),"David Shin")</f>
        <v>David Shin</v>
      </c>
      <c r="C127" s="76" t="str">
        <f>IFERROR(__xludf.DUMMYFUNCTION("""COMPUTED_VALUE"""),"Coco Yan")</f>
        <v>Coco Yan</v>
      </c>
      <c r="D127" s="22"/>
      <c r="E127" s="23"/>
      <c r="F127" s="76" t="str">
        <f>IFERROR(__xludf.DUMMYFUNCTION("""COMPUTED_VALUE"""),"Vinz Solano")</f>
        <v>Vinz Solano</v>
      </c>
      <c r="G127" s="22"/>
      <c r="H127" s="23"/>
    </row>
    <row r="128">
      <c r="A128" s="75">
        <f t="shared" si="85"/>
        <v>6</v>
      </c>
      <c r="B128" s="51" t="str">
        <f>IFERROR(__xludf.DUMMYFUNCTION("""COMPUTED_VALUE"""),"Eric Tan")</f>
        <v>Eric Tan</v>
      </c>
      <c r="C128" s="76" t="str">
        <f>IFERROR(__xludf.DUMMYFUNCTION("""COMPUTED_VALUE"""),"Elayaraja Thangaraj ")</f>
        <v>Elayaraja Thangaraj </v>
      </c>
      <c r="D128" s="22"/>
      <c r="E128" s="23"/>
      <c r="F128" s="76"/>
      <c r="G128" s="22"/>
      <c r="H128" s="23"/>
    </row>
    <row r="129">
      <c r="A129" s="75">
        <f t="shared" si="85"/>
        <v>7</v>
      </c>
      <c r="B129" s="51" t="str">
        <f>IFERROR(__xludf.DUMMYFUNCTION("""COMPUTED_VALUE"""),"James Phan")</f>
        <v>James Phan</v>
      </c>
      <c r="C129" s="76" t="str">
        <f>IFERROR(__xludf.DUMMYFUNCTION("""COMPUTED_VALUE"""),"Eric Pan")</f>
        <v>Eric Pan</v>
      </c>
      <c r="D129" s="22"/>
      <c r="E129" s="23"/>
      <c r="F129" s="76"/>
      <c r="G129" s="22"/>
      <c r="H129" s="23"/>
    </row>
    <row r="130">
      <c r="A130" s="75">
        <f t="shared" si="85"/>
        <v>8</v>
      </c>
      <c r="B130" s="51" t="str">
        <f>IFERROR(__xludf.DUMMYFUNCTION("""COMPUTED_VALUE"""),"Jim Miao")</f>
        <v>Jim Miao</v>
      </c>
      <c r="C130" s="76" t="str">
        <f>IFERROR(__xludf.DUMMYFUNCTION("""COMPUTED_VALUE"""),"Erik Hoeckmann")</f>
        <v>Erik Hoeckmann</v>
      </c>
      <c r="D130" s="22"/>
      <c r="E130" s="23"/>
      <c r="F130" s="76"/>
      <c r="G130" s="22"/>
      <c r="H130" s="23"/>
    </row>
    <row r="131">
      <c r="A131" s="75">
        <f t="shared" si="85"/>
        <v>9</v>
      </c>
      <c r="B131" s="51" t="str">
        <f>IFERROR(__xludf.DUMMYFUNCTION("""COMPUTED_VALUE"""),"Joe Luzzi")</f>
        <v>Joe Luzzi</v>
      </c>
      <c r="C131" s="76" t="str">
        <f>IFERROR(__xludf.DUMMYFUNCTION("""COMPUTED_VALUE"""),"Frank Moon")</f>
        <v>Frank Moon</v>
      </c>
      <c r="D131" s="22"/>
      <c r="E131" s="23"/>
      <c r="F131" s="76"/>
      <c r="G131" s="22"/>
      <c r="H131" s="23"/>
    </row>
    <row r="132">
      <c r="A132" s="75">
        <f t="shared" si="85"/>
        <v>10</v>
      </c>
      <c r="B132" s="51" t="str">
        <f>IFERROR(__xludf.DUMMYFUNCTION("""COMPUTED_VALUE"""),"Joyce Zhu")</f>
        <v>Joyce Zhu</v>
      </c>
      <c r="C132" s="76" t="str">
        <f>IFERROR(__xludf.DUMMYFUNCTION("""COMPUTED_VALUE"""),"Herman Au")</f>
        <v>Herman Au</v>
      </c>
      <c r="D132" s="22"/>
      <c r="E132" s="23"/>
      <c r="F132" s="76"/>
      <c r="G132" s="22"/>
      <c r="H132" s="23"/>
    </row>
    <row r="133">
      <c r="A133" s="75">
        <f t="shared" si="85"/>
        <v>11</v>
      </c>
      <c r="B133" s="51" t="str">
        <f>IFERROR(__xludf.DUMMYFUNCTION("""COMPUTED_VALUE"""),"Kumar Palakeel")</f>
        <v>Kumar Palakeel</v>
      </c>
      <c r="C133" s="76" t="str">
        <f>IFERROR(__xludf.DUMMYFUNCTION("""COMPUTED_VALUE"""),"Jimmy Awolesi")</f>
        <v>Jimmy Awolesi</v>
      </c>
      <c r="D133" s="22"/>
      <c r="E133" s="23"/>
      <c r="F133" s="76"/>
      <c r="G133" s="22"/>
      <c r="H133" s="23"/>
    </row>
    <row r="134">
      <c r="A134" s="75">
        <f t="shared" si="85"/>
        <v>12</v>
      </c>
      <c r="B134" s="51" t="str">
        <f>IFERROR(__xludf.DUMMYFUNCTION("""COMPUTED_VALUE"""),"Lam Bui")</f>
        <v>Lam Bui</v>
      </c>
      <c r="C134" s="76" t="str">
        <f>IFERROR(__xludf.DUMMYFUNCTION("""COMPUTED_VALUE"""),"Jonathan Phan")</f>
        <v>Jonathan Phan</v>
      </c>
      <c r="D134" s="22"/>
      <c r="E134" s="23"/>
      <c r="F134" s="76"/>
      <c r="G134" s="22"/>
      <c r="H134" s="23"/>
    </row>
    <row r="135">
      <c r="A135" s="75">
        <f t="shared" si="85"/>
        <v>13</v>
      </c>
      <c r="B135" s="51" t="str">
        <f>IFERROR(__xludf.DUMMYFUNCTION("""COMPUTED_VALUE"""),"Manish Anand")</f>
        <v>Manish Anand</v>
      </c>
      <c r="C135" s="76" t="str">
        <f>IFERROR(__xludf.DUMMYFUNCTION("""COMPUTED_VALUE"""),"Jose Ortiz")</f>
        <v>Jose Ortiz</v>
      </c>
      <c r="D135" s="22"/>
      <c r="E135" s="23"/>
      <c r="F135" s="76"/>
      <c r="G135" s="22"/>
      <c r="H135" s="23"/>
    </row>
    <row r="136">
      <c r="A136" s="75">
        <f t="shared" si="85"/>
        <v>14</v>
      </c>
      <c r="B136" s="51" t="str">
        <f>IFERROR(__xludf.DUMMYFUNCTION("""COMPUTED_VALUE"""),"Manuel Rivera")</f>
        <v>Manuel Rivera</v>
      </c>
      <c r="C136" s="76" t="str">
        <f>IFERROR(__xludf.DUMMYFUNCTION("""COMPUTED_VALUE"""),"Leigh-Anh Nguyen")</f>
        <v>Leigh-Anh Nguyen</v>
      </c>
      <c r="D136" s="22"/>
      <c r="E136" s="23"/>
      <c r="F136" s="76"/>
      <c r="G136" s="22"/>
      <c r="H136" s="23"/>
    </row>
    <row r="137">
      <c r="A137" s="75">
        <f t="shared" si="85"/>
        <v>15</v>
      </c>
      <c r="B137" s="51" t="str">
        <f>IFERROR(__xludf.DUMMYFUNCTION("""COMPUTED_VALUE"""),"Matthew Huang")</f>
        <v>Matthew Huang</v>
      </c>
      <c r="C137" s="76" t="str">
        <f>IFERROR(__xludf.DUMMYFUNCTION("""COMPUTED_VALUE"""),"Lloyd Sagar")</f>
        <v>Lloyd Sagar</v>
      </c>
      <c r="D137" s="22"/>
      <c r="E137" s="23"/>
      <c r="F137" s="76"/>
      <c r="G137" s="22"/>
      <c r="H137" s="23"/>
    </row>
    <row r="138">
      <c r="A138" s="75">
        <f t="shared" si="85"/>
        <v>16</v>
      </c>
      <c r="B138" s="51" t="str">
        <f>IFERROR(__xludf.DUMMYFUNCTION("""COMPUTED_VALUE"""),"Mauricio Palacios")</f>
        <v>Mauricio Palacios</v>
      </c>
      <c r="C138" s="76" t="str">
        <f>IFERROR(__xludf.DUMMYFUNCTION("""COMPUTED_VALUE"""),"Luis Hsu")</f>
        <v>Luis Hsu</v>
      </c>
      <c r="D138" s="22"/>
      <c r="E138" s="23"/>
      <c r="F138" s="76"/>
      <c r="G138" s="22"/>
      <c r="H138" s="23"/>
    </row>
    <row r="139">
      <c r="A139" s="75">
        <f t="shared" si="85"/>
        <v>17</v>
      </c>
      <c r="B139" s="51" t="str">
        <f>IFERROR(__xludf.DUMMYFUNCTION("""COMPUTED_VALUE"""),"Naveen Raj")</f>
        <v>Naveen Raj</v>
      </c>
      <c r="C139" s="76" t="str">
        <f>IFERROR(__xludf.DUMMYFUNCTION("""COMPUTED_VALUE"""),"Nicole Ni")</f>
        <v>Nicole Ni</v>
      </c>
      <c r="D139" s="22"/>
      <c r="E139" s="23"/>
      <c r="F139" s="76"/>
      <c r="G139" s="22"/>
      <c r="H139" s="23"/>
    </row>
    <row r="140">
      <c r="A140" s="75">
        <f t="shared" si="85"/>
        <v>18</v>
      </c>
      <c r="B140" s="51" t="str">
        <f>IFERROR(__xludf.DUMMYFUNCTION("""COMPUTED_VALUE"""),"Pavan Akkimsetty")</f>
        <v>Pavan Akkimsetty</v>
      </c>
      <c r="C140" s="76" t="str">
        <f>IFERROR(__xludf.DUMMYFUNCTION("""COMPUTED_VALUE"""),"Nohely Mejia")</f>
        <v>Nohely Mejia</v>
      </c>
      <c r="D140" s="22"/>
      <c r="E140" s="23"/>
      <c r="F140" s="76"/>
      <c r="G140" s="22"/>
      <c r="H140" s="23"/>
    </row>
    <row r="141">
      <c r="A141" s="75">
        <f t="shared" si="85"/>
        <v>19</v>
      </c>
      <c r="B141" s="51" t="str">
        <f>IFERROR(__xludf.DUMMYFUNCTION("""COMPUTED_VALUE"""),"Rajasekar Ramasamy")</f>
        <v>Rajasekar Ramasamy</v>
      </c>
      <c r="C141" s="76" t="str">
        <f>IFERROR(__xludf.DUMMYFUNCTION("""COMPUTED_VALUE"""),"Oscar Bonilla")</f>
        <v>Oscar Bonilla</v>
      </c>
      <c r="D141" s="22"/>
      <c r="E141" s="23"/>
      <c r="F141" s="76"/>
      <c r="G141" s="22"/>
      <c r="H141" s="23"/>
    </row>
    <row r="142">
      <c r="A142" s="75">
        <f t="shared" si="85"/>
        <v>20</v>
      </c>
      <c r="B142" s="51" t="str">
        <f>IFERROR(__xludf.DUMMYFUNCTION("""COMPUTED_VALUE"""),"Rajesh Dorairaj")</f>
        <v>Rajesh Dorairaj</v>
      </c>
      <c r="C142" s="76" t="str">
        <f>IFERROR(__xludf.DUMMYFUNCTION("""COMPUTED_VALUE"""),"Peter Cheng")</f>
        <v>Peter Cheng</v>
      </c>
      <c r="D142" s="22"/>
      <c r="E142" s="23"/>
      <c r="F142" s="76"/>
      <c r="G142" s="22"/>
      <c r="H142" s="23"/>
    </row>
    <row r="143">
      <c r="A143" s="75">
        <f t="shared" si="85"/>
        <v>21</v>
      </c>
      <c r="B143" s="51" t="str">
        <f>IFERROR(__xludf.DUMMYFUNCTION("""COMPUTED_VALUE"""),"Ramesh Bandaru")</f>
        <v>Ramesh Bandaru</v>
      </c>
      <c r="C143" s="76" t="str">
        <f>IFERROR(__xludf.DUMMYFUNCTION("""COMPUTED_VALUE"""),"Pulkit Mathur")</f>
        <v>Pulkit Mathur</v>
      </c>
      <c r="D143" s="22"/>
      <c r="E143" s="23"/>
      <c r="F143" s="76"/>
      <c r="G143" s="22"/>
      <c r="H143" s="23"/>
    </row>
    <row r="144">
      <c r="A144" s="75">
        <f t="shared" si="85"/>
        <v>22</v>
      </c>
      <c r="B144" s="51" t="str">
        <f>IFERROR(__xludf.DUMMYFUNCTION("""COMPUTED_VALUE"""),"Robert Chang")</f>
        <v>Robert Chang</v>
      </c>
      <c r="C144" s="76" t="str">
        <f>IFERROR(__xludf.DUMMYFUNCTION("""COMPUTED_VALUE"""),"Scott Li")</f>
        <v>Scott Li</v>
      </c>
      <c r="D144" s="22"/>
      <c r="E144" s="23"/>
      <c r="F144" s="76"/>
      <c r="G144" s="22"/>
      <c r="H144" s="23"/>
    </row>
    <row r="145">
      <c r="A145" s="75">
        <f t="shared" si="85"/>
        <v>23</v>
      </c>
      <c r="B145" s="51" t="str">
        <f>IFERROR(__xludf.DUMMYFUNCTION("""COMPUTED_VALUE"""),"Sandy Weyant")</f>
        <v>Sandy Weyant</v>
      </c>
      <c r="C145" s="76" t="str">
        <f>IFERROR(__xludf.DUMMYFUNCTION("""COMPUTED_VALUE"""),"Ted Shen")</f>
        <v>Ted Shen</v>
      </c>
      <c r="D145" s="22"/>
      <c r="E145" s="23"/>
      <c r="F145" s="76"/>
      <c r="G145" s="22"/>
      <c r="H145" s="23"/>
    </row>
    <row r="146">
      <c r="A146" s="75">
        <f t="shared" si="85"/>
        <v>24</v>
      </c>
      <c r="B146" s="51" t="str">
        <f>IFERROR(__xludf.DUMMYFUNCTION("""COMPUTED_VALUE"""),"Sanjaye Elayattu")</f>
        <v>Sanjaye Elayattu</v>
      </c>
      <c r="C146" s="76" t="str">
        <f>IFERROR(__xludf.DUMMYFUNCTION("""COMPUTED_VALUE"""),"Tom Le")</f>
        <v>Tom Le</v>
      </c>
      <c r="D146" s="22"/>
      <c r="E146" s="23"/>
      <c r="F146" s="76"/>
      <c r="G146" s="22"/>
      <c r="H146" s="23"/>
    </row>
    <row r="147">
      <c r="A147" s="75">
        <f t="shared" si="85"/>
        <v>25</v>
      </c>
      <c r="B147" s="51" t="str">
        <f>IFERROR(__xludf.DUMMYFUNCTION("""COMPUTED_VALUE"""),"Santosh Sundaresan ")</f>
        <v>Santosh Sundaresan </v>
      </c>
      <c r="C147" s="76" t="str">
        <f>IFERROR(__xludf.DUMMYFUNCTION("""COMPUTED_VALUE"""),"Tony Lin")</f>
        <v>Tony Lin</v>
      </c>
      <c r="D147" s="22"/>
      <c r="E147" s="23"/>
      <c r="F147" s="76"/>
      <c r="G147" s="22"/>
      <c r="H147" s="23"/>
    </row>
    <row r="148">
      <c r="A148" s="75">
        <f t="shared" si="85"/>
        <v>26</v>
      </c>
      <c r="B148" s="51" t="str">
        <f>IFERROR(__xludf.DUMMYFUNCTION("""COMPUTED_VALUE"""),"Saravanan Veerapandian")</f>
        <v>Saravanan Veerapandian</v>
      </c>
      <c r="C148" s="76" t="str">
        <f>IFERROR(__xludf.DUMMYFUNCTION("""COMPUTED_VALUE"""),"Trinath Goteti")</f>
        <v>Trinath Goteti</v>
      </c>
      <c r="D148" s="22"/>
      <c r="E148" s="23"/>
      <c r="F148" s="76"/>
      <c r="G148" s="22"/>
      <c r="H148" s="23"/>
    </row>
    <row r="149">
      <c r="A149" s="75">
        <f t="shared" si="85"/>
        <v>27</v>
      </c>
      <c r="B149" s="51" t="str">
        <f>IFERROR(__xludf.DUMMYFUNCTION("""COMPUTED_VALUE"""),"Sean Chang")</f>
        <v>Sean Chang</v>
      </c>
      <c r="C149" s="76" t="str">
        <f>IFERROR(__xludf.DUMMYFUNCTION("""COMPUTED_VALUE"""),"Wayne Liu")</f>
        <v>Wayne Liu</v>
      </c>
      <c r="D149" s="22"/>
      <c r="E149" s="23"/>
      <c r="F149" s="76"/>
      <c r="G149" s="22"/>
      <c r="H149" s="23"/>
    </row>
    <row r="150">
      <c r="A150" s="75">
        <f t="shared" si="85"/>
        <v>28</v>
      </c>
      <c r="B150" s="51" t="str">
        <f>IFERROR(__xludf.DUMMYFUNCTION("""COMPUTED_VALUE"""),"Suleman Alidina")</f>
        <v>Suleman Alidina</v>
      </c>
      <c r="C150" s="76"/>
      <c r="D150" s="22"/>
      <c r="E150" s="23"/>
      <c r="F150" s="76"/>
      <c r="G150" s="22"/>
      <c r="H150" s="23"/>
    </row>
    <row r="151">
      <c r="A151" s="75">
        <f t="shared" si="85"/>
        <v>29</v>
      </c>
      <c r="B151" s="51" t="str">
        <f>IFERROR(__xludf.DUMMYFUNCTION("""COMPUTED_VALUE"""),"Susanta Mishra")</f>
        <v>Susanta Mishra</v>
      </c>
      <c r="C151" s="76"/>
      <c r="D151" s="22"/>
      <c r="E151" s="23"/>
      <c r="F151" s="76"/>
      <c r="G151" s="22"/>
      <c r="H151" s="23"/>
    </row>
    <row r="152">
      <c r="A152" s="75">
        <f t="shared" si="85"/>
        <v>30</v>
      </c>
      <c r="B152" s="51" t="str">
        <f>IFERROR(__xludf.DUMMYFUNCTION("""COMPUTED_VALUE"""),"Trish Newlin")</f>
        <v>Trish Newlin</v>
      </c>
      <c r="C152" s="76"/>
      <c r="D152" s="22"/>
      <c r="E152" s="23"/>
      <c r="F152" s="76"/>
      <c r="G152" s="22"/>
      <c r="H152" s="23"/>
    </row>
    <row r="153">
      <c r="A153" s="75">
        <f t="shared" si="85"/>
        <v>31</v>
      </c>
      <c r="B153" s="51" t="str">
        <f>IFERROR(__xludf.DUMMYFUNCTION("""COMPUTED_VALUE"""),"Troy Wong")</f>
        <v>Troy Wong</v>
      </c>
      <c r="C153" s="76"/>
      <c r="D153" s="22"/>
      <c r="E153" s="23"/>
      <c r="F153" s="76"/>
      <c r="G153" s="22"/>
      <c r="H153" s="23"/>
    </row>
    <row r="154">
      <c r="A154" s="75">
        <f t="shared" si="85"/>
        <v>32</v>
      </c>
      <c r="B154" s="51" t="str">
        <f>IFERROR(__xludf.DUMMYFUNCTION("""COMPUTED_VALUE"""),"Vinaya Kajla")</f>
        <v>Vinaya Kajla</v>
      </c>
      <c r="C154" s="76"/>
      <c r="D154" s="22"/>
      <c r="E154" s="23"/>
      <c r="F154" s="76"/>
      <c r="G154" s="22"/>
      <c r="H154" s="23"/>
    </row>
    <row r="155">
      <c r="A155" s="75">
        <f t="shared" si="85"/>
        <v>33</v>
      </c>
      <c r="B155" s="51" t="str">
        <f>IFERROR(__xludf.DUMMYFUNCTION("""COMPUTED_VALUE"""),"Vishnu Amarnath")</f>
        <v>Vishnu Amarnath</v>
      </c>
      <c r="C155" s="76"/>
      <c r="D155" s="22"/>
      <c r="E155" s="23"/>
      <c r="F155" s="76"/>
      <c r="G155" s="22"/>
      <c r="H155" s="23"/>
    </row>
    <row r="156">
      <c r="A156" s="75">
        <f t="shared" si="85"/>
        <v>34</v>
      </c>
      <c r="B156" s="51"/>
      <c r="C156" s="76"/>
      <c r="D156" s="22"/>
      <c r="E156" s="23"/>
      <c r="F156" s="76"/>
      <c r="G156" s="22"/>
      <c r="H156" s="23"/>
    </row>
    <row r="157">
      <c r="A157" s="75">
        <f t="shared" si="85"/>
        <v>35</v>
      </c>
      <c r="B157" s="51"/>
      <c r="C157" s="76"/>
      <c r="D157" s="22"/>
      <c r="E157" s="23"/>
      <c r="F157" s="76"/>
      <c r="G157" s="22"/>
      <c r="H157" s="23"/>
    </row>
    <row r="158">
      <c r="A158" s="75">
        <f t="shared" si="85"/>
        <v>36</v>
      </c>
      <c r="B158" s="51"/>
      <c r="C158" s="76"/>
      <c r="D158" s="22"/>
      <c r="E158" s="23"/>
      <c r="F158" s="76"/>
      <c r="G158" s="22"/>
      <c r="H158" s="23"/>
    </row>
    <row r="159">
      <c r="A159" s="75">
        <f t="shared" si="85"/>
        <v>37</v>
      </c>
      <c r="B159" s="51"/>
      <c r="C159" s="76"/>
      <c r="D159" s="22"/>
      <c r="E159" s="23"/>
      <c r="F159" s="76"/>
      <c r="G159" s="22"/>
      <c r="H159" s="23"/>
    </row>
    <row r="160">
      <c r="A160" s="75">
        <f t="shared" si="85"/>
        <v>38</v>
      </c>
      <c r="B160" s="51"/>
      <c r="C160" s="76"/>
      <c r="D160" s="22"/>
      <c r="E160" s="23"/>
      <c r="F160" s="76"/>
      <c r="G160" s="22"/>
      <c r="H160" s="23"/>
    </row>
    <row r="161">
      <c r="A161" s="75">
        <f t="shared" si="85"/>
        <v>39</v>
      </c>
      <c r="B161" s="51"/>
      <c r="C161" s="76"/>
      <c r="D161" s="22"/>
      <c r="E161" s="23"/>
      <c r="F161" s="76"/>
      <c r="G161" s="22"/>
      <c r="H161" s="23"/>
    </row>
    <row r="162">
      <c r="A162" s="75">
        <f t="shared" si="85"/>
        <v>40</v>
      </c>
      <c r="B162" s="51"/>
      <c r="C162" s="76"/>
      <c r="D162" s="22"/>
      <c r="E162" s="23"/>
      <c r="F162" s="76"/>
      <c r="G162" s="22"/>
      <c r="H162" s="23"/>
    </row>
    <row r="163">
      <c r="A163" s="75">
        <f t="shared" si="85"/>
        <v>41</v>
      </c>
      <c r="B163" s="51"/>
      <c r="C163" s="76"/>
      <c r="D163" s="22"/>
      <c r="E163" s="23"/>
      <c r="F163" s="76"/>
      <c r="G163" s="22"/>
      <c r="H163" s="23"/>
    </row>
    <row r="164">
      <c r="A164" s="75">
        <f t="shared" si="85"/>
        <v>42</v>
      </c>
      <c r="B164" s="51"/>
      <c r="C164" s="76"/>
      <c r="D164" s="22"/>
      <c r="E164" s="23"/>
      <c r="F164" s="76"/>
      <c r="G164" s="22"/>
      <c r="H164" s="23"/>
    </row>
    <row r="165">
      <c r="A165" s="75">
        <f t="shared" si="85"/>
        <v>43</v>
      </c>
      <c r="B165" s="51"/>
      <c r="C165" s="76"/>
      <c r="D165" s="22"/>
      <c r="E165" s="23"/>
      <c r="F165" s="76"/>
      <c r="G165" s="22"/>
      <c r="H165" s="23"/>
    </row>
    <row r="166">
      <c r="A166" s="75">
        <f t="shared" si="85"/>
        <v>44</v>
      </c>
      <c r="B166" s="51"/>
      <c r="C166" s="76"/>
      <c r="D166" s="22"/>
      <c r="E166" s="23"/>
      <c r="F166" s="76"/>
      <c r="G166" s="22"/>
      <c r="H166" s="23"/>
    </row>
    <row r="167">
      <c r="A167" s="75">
        <f t="shared" si="85"/>
        <v>45</v>
      </c>
      <c r="B167" s="51"/>
      <c r="C167" s="76"/>
      <c r="D167" s="22"/>
      <c r="E167" s="23"/>
      <c r="F167" s="76"/>
      <c r="G167" s="22"/>
      <c r="H167" s="23"/>
    </row>
    <row r="168">
      <c r="A168" s="75">
        <f t="shared" si="85"/>
        <v>46</v>
      </c>
      <c r="B168" s="51"/>
      <c r="C168" s="76"/>
      <c r="D168" s="22"/>
      <c r="E168" s="23"/>
      <c r="F168" s="76"/>
      <c r="G168" s="22"/>
      <c r="H168" s="23"/>
    </row>
    <row r="169">
      <c r="A169" s="75">
        <f t="shared" si="85"/>
        <v>47</v>
      </c>
      <c r="B169" s="51"/>
      <c r="C169" s="76"/>
      <c r="D169" s="22"/>
      <c r="E169" s="23"/>
      <c r="F169" s="76"/>
      <c r="G169" s="22"/>
      <c r="H169" s="23"/>
    </row>
    <row r="170">
      <c r="A170" s="75">
        <f t="shared" si="85"/>
        <v>48</v>
      </c>
      <c r="B170" s="51"/>
      <c r="C170" s="76"/>
      <c r="D170" s="22"/>
      <c r="E170" s="23"/>
      <c r="F170" s="76"/>
      <c r="G170" s="22"/>
      <c r="H170" s="23"/>
    </row>
    <row r="171">
      <c r="A171" s="75">
        <f t="shared" si="85"/>
        <v>49</v>
      </c>
      <c r="B171" s="51"/>
      <c r="C171" s="76"/>
      <c r="D171" s="22"/>
      <c r="E171" s="23"/>
      <c r="F171" s="76"/>
      <c r="G171" s="22"/>
      <c r="H171" s="23"/>
    </row>
    <row r="172">
      <c r="A172" s="75">
        <f t="shared" si="85"/>
        <v>50</v>
      </c>
      <c r="B172" s="51"/>
      <c r="C172" s="76"/>
      <c r="D172" s="22"/>
      <c r="E172" s="23"/>
      <c r="F172" s="76"/>
      <c r="G172" s="22"/>
      <c r="H172" s="23"/>
    </row>
    <row r="173">
      <c r="A173" s="75">
        <f t="shared" si="85"/>
        <v>51</v>
      </c>
      <c r="B173" s="51"/>
      <c r="C173" s="76"/>
      <c r="D173" s="22"/>
      <c r="E173" s="23"/>
      <c r="F173" s="76"/>
      <c r="G173" s="22"/>
      <c r="H173" s="23"/>
    </row>
    <row r="174">
      <c r="A174" s="75">
        <f t="shared" si="85"/>
        <v>52</v>
      </c>
      <c r="B174" s="51"/>
      <c r="C174" s="76"/>
      <c r="D174" s="22"/>
      <c r="E174" s="23"/>
      <c r="F174" s="76"/>
      <c r="G174" s="22"/>
      <c r="H174" s="23"/>
    </row>
    <row r="175">
      <c r="A175" s="75">
        <f t="shared" si="85"/>
        <v>53</v>
      </c>
      <c r="B175" s="51"/>
      <c r="C175" s="76"/>
      <c r="D175" s="22"/>
      <c r="E175" s="23"/>
      <c r="F175" s="76"/>
      <c r="G175" s="22"/>
      <c r="H175" s="23"/>
    </row>
    <row r="176">
      <c r="A176" s="75">
        <f t="shared" si="85"/>
        <v>54</v>
      </c>
      <c r="B176" s="51"/>
      <c r="C176" s="76"/>
      <c r="D176" s="22"/>
      <c r="E176" s="23"/>
      <c r="F176" s="76"/>
      <c r="G176" s="22"/>
      <c r="H176" s="23"/>
    </row>
    <row r="177">
      <c r="A177" s="75">
        <f t="shared" si="85"/>
        <v>55</v>
      </c>
      <c r="B177" s="51"/>
      <c r="C177" s="76"/>
      <c r="D177" s="22"/>
      <c r="E177" s="23"/>
      <c r="F177" s="76"/>
      <c r="G177" s="22"/>
      <c r="H177" s="23"/>
    </row>
    <row r="178">
      <c r="A178" s="75">
        <f t="shared" si="85"/>
        <v>56</v>
      </c>
      <c r="B178" s="51"/>
      <c r="C178" s="76"/>
      <c r="D178" s="22"/>
      <c r="E178" s="23"/>
      <c r="F178" s="76"/>
      <c r="G178" s="22"/>
      <c r="H178" s="23"/>
    </row>
    <row r="179">
      <c r="A179" s="75">
        <f t="shared" si="85"/>
        <v>57</v>
      </c>
      <c r="B179" s="51"/>
      <c r="C179" s="76"/>
      <c r="D179" s="22"/>
      <c r="E179" s="23"/>
      <c r="F179" s="76"/>
      <c r="G179" s="22"/>
      <c r="H179" s="23"/>
    </row>
    <row r="180">
      <c r="A180" s="75">
        <f t="shared" si="85"/>
        <v>58</v>
      </c>
      <c r="B180" s="51"/>
      <c r="C180" s="76"/>
      <c r="D180" s="22"/>
      <c r="E180" s="23"/>
      <c r="F180" s="76"/>
      <c r="G180" s="22"/>
      <c r="H180" s="23"/>
    </row>
    <row r="181">
      <c r="A181" s="75">
        <f t="shared" si="85"/>
        <v>59</v>
      </c>
      <c r="B181" s="51"/>
      <c r="C181" s="76"/>
      <c r="D181" s="22"/>
      <c r="E181" s="23"/>
      <c r="F181" s="76"/>
      <c r="G181" s="22"/>
      <c r="H181" s="23"/>
    </row>
    <row r="182">
      <c r="A182" s="75">
        <f t="shared" si="85"/>
        <v>60</v>
      </c>
      <c r="B182" s="51"/>
      <c r="C182" s="76"/>
      <c r="D182" s="22"/>
      <c r="E182" s="23"/>
      <c r="F182" s="76"/>
      <c r="G182" s="22"/>
      <c r="H182" s="23"/>
    </row>
    <row r="183">
      <c r="A183" s="11"/>
      <c r="C183" s="11"/>
      <c r="D183" s="11"/>
      <c r="E183" s="11"/>
      <c r="F183" s="11"/>
    </row>
    <row r="184">
      <c r="A184" s="11"/>
      <c r="C184" s="11"/>
      <c r="D184" s="11"/>
      <c r="E184" s="11"/>
      <c r="F184" s="11"/>
    </row>
    <row r="185">
      <c r="A185" s="11"/>
      <c r="C185" s="11"/>
      <c r="D185" s="11"/>
      <c r="E185" s="11"/>
      <c r="F185" s="11"/>
    </row>
    <row r="186">
      <c r="A186" s="11"/>
      <c r="C186" s="11"/>
      <c r="D186" s="11"/>
      <c r="E186" s="11"/>
      <c r="F186" s="11"/>
    </row>
    <row r="187">
      <c r="A187" s="11"/>
      <c r="C187" s="11"/>
      <c r="D187" s="11"/>
      <c r="E187" s="11"/>
      <c r="F187" s="11"/>
    </row>
    <row r="188">
      <c r="A188" s="11"/>
      <c r="C188" s="11"/>
      <c r="D188" s="11"/>
      <c r="E188" s="11"/>
      <c r="F188" s="11"/>
    </row>
    <row r="189">
      <c r="A189" s="11"/>
      <c r="C189" s="11"/>
      <c r="D189" s="11"/>
      <c r="E189" s="11"/>
      <c r="F189" s="11"/>
    </row>
    <row r="190">
      <c r="A190" s="11"/>
      <c r="C190" s="11"/>
      <c r="D190" s="11"/>
      <c r="E190" s="11"/>
      <c r="F190" s="11"/>
    </row>
    <row r="191">
      <c r="A191" s="11"/>
      <c r="C191" s="11"/>
      <c r="D191" s="11"/>
      <c r="E191" s="11"/>
      <c r="F191" s="11"/>
    </row>
    <row r="192">
      <c r="A192" s="11"/>
      <c r="C192" s="11"/>
      <c r="D192" s="11"/>
      <c r="E192" s="11"/>
      <c r="F192" s="11"/>
    </row>
    <row r="193">
      <c r="A193" s="11"/>
      <c r="C193" s="11"/>
      <c r="D193" s="11"/>
      <c r="E193" s="11"/>
      <c r="F193" s="11"/>
    </row>
    <row r="194">
      <c r="A194" s="11"/>
      <c r="C194" s="11"/>
      <c r="D194" s="11"/>
      <c r="E194" s="11"/>
      <c r="F194" s="11"/>
    </row>
    <row r="195">
      <c r="A195" s="11"/>
      <c r="C195" s="11"/>
      <c r="D195" s="11"/>
      <c r="E195" s="11"/>
      <c r="F195" s="11"/>
    </row>
    <row r="196">
      <c r="A196" s="11"/>
      <c r="C196" s="11"/>
      <c r="D196" s="11"/>
      <c r="E196" s="11"/>
      <c r="F196" s="11"/>
    </row>
    <row r="197">
      <c r="A197" s="11"/>
      <c r="C197" s="11"/>
      <c r="D197" s="11"/>
      <c r="E197" s="11"/>
      <c r="F197" s="11"/>
    </row>
    <row r="198">
      <c r="A198" s="11"/>
      <c r="C198" s="11"/>
      <c r="D198" s="11"/>
      <c r="E198" s="11"/>
      <c r="F198" s="11"/>
    </row>
    <row r="199">
      <c r="A199" s="11"/>
      <c r="C199" s="11"/>
      <c r="D199" s="11"/>
      <c r="E199" s="11"/>
      <c r="F199" s="11"/>
    </row>
    <row r="200">
      <c r="A200" s="11"/>
      <c r="C200" s="11"/>
      <c r="D200" s="11"/>
      <c r="E200" s="11"/>
      <c r="F200" s="11"/>
    </row>
    <row r="201">
      <c r="A201" s="11"/>
      <c r="C201" s="11"/>
      <c r="D201" s="11"/>
      <c r="E201" s="11"/>
      <c r="F201" s="11"/>
    </row>
    <row r="202">
      <c r="A202" s="11"/>
      <c r="C202" s="11"/>
      <c r="D202" s="11"/>
      <c r="E202" s="11"/>
      <c r="F202" s="11"/>
    </row>
    <row r="203">
      <c r="A203" s="11"/>
      <c r="C203" s="11"/>
      <c r="D203" s="11"/>
      <c r="E203" s="11"/>
      <c r="F203" s="11"/>
    </row>
    <row r="204">
      <c r="A204" s="11"/>
      <c r="C204" s="11"/>
      <c r="D204" s="11"/>
      <c r="E204" s="11"/>
      <c r="F204" s="11"/>
    </row>
    <row r="205">
      <c r="A205" s="11"/>
      <c r="C205" s="11"/>
      <c r="D205" s="11"/>
      <c r="E205" s="11"/>
      <c r="F205" s="11"/>
    </row>
    <row r="206">
      <c r="A206" s="11"/>
      <c r="C206" s="11"/>
      <c r="D206" s="11"/>
      <c r="E206" s="11"/>
      <c r="F206" s="11"/>
    </row>
    <row r="207">
      <c r="A207" s="11"/>
      <c r="C207" s="11"/>
      <c r="D207" s="11"/>
      <c r="E207" s="11"/>
      <c r="F207" s="11"/>
    </row>
    <row r="208">
      <c r="A208" s="11"/>
      <c r="C208" s="11"/>
      <c r="D208" s="11"/>
      <c r="E208" s="11"/>
      <c r="F208" s="11"/>
    </row>
    <row r="209">
      <c r="A209" s="11"/>
      <c r="C209" s="11"/>
      <c r="D209" s="11"/>
      <c r="E209" s="11"/>
      <c r="F209" s="11"/>
    </row>
    <row r="210">
      <c r="A210" s="11"/>
      <c r="C210" s="11"/>
      <c r="D210" s="11"/>
      <c r="E210" s="11"/>
      <c r="F210" s="11"/>
    </row>
    <row r="211">
      <c r="A211" s="11"/>
      <c r="C211" s="11"/>
      <c r="D211" s="11"/>
      <c r="E211" s="11"/>
      <c r="F211" s="11"/>
    </row>
    <row r="212">
      <c r="A212" s="11"/>
      <c r="C212" s="11"/>
      <c r="D212" s="11"/>
      <c r="E212" s="11"/>
      <c r="F212" s="11"/>
    </row>
    <row r="213">
      <c r="A213" s="11"/>
      <c r="C213" s="11"/>
      <c r="D213" s="11"/>
      <c r="E213" s="11"/>
      <c r="F213" s="11"/>
    </row>
    <row r="214">
      <c r="A214" s="11"/>
      <c r="C214" s="11"/>
      <c r="D214" s="11"/>
      <c r="E214" s="11"/>
      <c r="F214" s="11"/>
    </row>
    <row r="215">
      <c r="A215" s="11"/>
      <c r="C215" s="11"/>
      <c r="D215" s="11"/>
      <c r="E215" s="11"/>
      <c r="F215" s="11"/>
    </row>
    <row r="216">
      <c r="A216" s="11"/>
      <c r="C216" s="11"/>
      <c r="D216" s="11"/>
      <c r="E216" s="11"/>
      <c r="F216" s="11"/>
    </row>
    <row r="217">
      <c r="A217" s="11"/>
      <c r="C217" s="11"/>
      <c r="D217" s="11"/>
      <c r="E217" s="11"/>
      <c r="F217" s="11"/>
    </row>
    <row r="218">
      <c r="A218" s="11"/>
      <c r="C218" s="11"/>
      <c r="D218" s="11"/>
      <c r="E218" s="11"/>
      <c r="F218" s="11"/>
    </row>
    <row r="219">
      <c r="A219" s="11"/>
      <c r="C219" s="11"/>
      <c r="D219" s="11"/>
      <c r="E219" s="11"/>
      <c r="F219" s="11"/>
    </row>
    <row r="220">
      <c r="A220" s="11"/>
      <c r="C220" s="11"/>
      <c r="D220" s="11"/>
      <c r="E220" s="11"/>
      <c r="F220" s="11"/>
    </row>
    <row r="221">
      <c r="A221" s="11"/>
      <c r="C221" s="11"/>
      <c r="D221" s="11"/>
      <c r="E221" s="11"/>
      <c r="F221" s="11"/>
    </row>
    <row r="222">
      <c r="A222" s="11"/>
      <c r="C222" s="11"/>
      <c r="D222" s="11"/>
      <c r="E222" s="11"/>
      <c r="F222" s="11"/>
    </row>
    <row r="223">
      <c r="A223" s="11"/>
      <c r="C223" s="11"/>
      <c r="D223" s="11"/>
      <c r="E223" s="11"/>
      <c r="F223" s="11"/>
    </row>
    <row r="224">
      <c r="A224" s="11"/>
      <c r="C224" s="11"/>
      <c r="D224" s="11"/>
      <c r="E224" s="11"/>
      <c r="F224" s="11"/>
    </row>
    <row r="225">
      <c r="A225" s="11"/>
      <c r="C225" s="11"/>
      <c r="D225" s="11"/>
      <c r="E225" s="11"/>
      <c r="F225" s="11"/>
    </row>
    <row r="226">
      <c r="A226" s="11"/>
      <c r="C226" s="11"/>
      <c r="D226" s="11"/>
      <c r="E226" s="11"/>
      <c r="F226" s="11"/>
    </row>
    <row r="227">
      <c r="A227" s="11"/>
      <c r="C227" s="11"/>
      <c r="D227" s="11"/>
      <c r="E227" s="11"/>
      <c r="F227" s="11"/>
    </row>
    <row r="228">
      <c r="A228" s="11"/>
      <c r="C228" s="11"/>
      <c r="D228" s="11"/>
      <c r="E228" s="11"/>
      <c r="F228" s="11"/>
    </row>
    <row r="229">
      <c r="A229" s="11"/>
      <c r="C229" s="11"/>
      <c r="D229" s="11"/>
      <c r="E229" s="11"/>
      <c r="F229" s="11"/>
    </row>
    <row r="230">
      <c r="A230" s="11"/>
      <c r="C230" s="11"/>
      <c r="D230" s="11"/>
      <c r="E230" s="11"/>
      <c r="F230" s="11"/>
    </row>
    <row r="231">
      <c r="A231" s="11"/>
      <c r="C231" s="11"/>
      <c r="D231" s="11"/>
      <c r="E231" s="11"/>
      <c r="F231" s="11"/>
    </row>
    <row r="232">
      <c r="A232" s="11"/>
      <c r="C232" s="11"/>
      <c r="D232" s="11"/>
      <c r="E232" s="11"/>
      <c r="F232" s="11"/>
    </row>
    <row r="233">
      <c r="A233" s="11"/>
      <c r="C233" s="11"/>
      <c r="D233" s="11"/>
      <c r="E233" s="11"/>
      <c r="F233" s="11"/>
    </row>
    <row r="234">
      <c r="A234" s="11"/>
      <c r="C234" s="11"/>
      <c r="D234" s="11"/>
      <c r="E234" s="11"/>
      <c r="F234" s="11"/>
    </row>
    <row r="235">
      <c r="A235" s="11"/>
      <c r="C235" s="11"/>
      <c r="D235" s="11"/>
      <c r="E235" s="11"/>
      <c r="F235" s="11"/>
    </row>
    <row r="236">
      <c r="A236" s="11"/>
      <c r="C236" s="11"/>
      <c r="D236" s="11"/>
      <c r="E236" s="11"/>
      <c r="F236" s="11"/>
    </row>
    <row r="237">
      <c r="A237" s="11"/>
      <c r="C237" s="11"/>
      <c r="D237" s="11"/>
      <c r="E237" s="11"/>
      <c r="F237" s="11"/>
    </row>
    <row r="238">
      <c r="A238" s="11"/>
      <c r="C238" s="11"/>
      <c r="D238" s="11"/>
      <c r="E238" s="11"/>
      <c r="F238" s="11"/>
    </row>
    <row r="239">
      <c r="A239" s="11"/>
      <c r="C239" s="11"/>
      <c r="D239" s="11"/>
      <c r="E239" s="11"/>
      <c r="F239" s="11"/>
    </row>
    <row r="240">
      <c r="A240" s="11"/>
      <c r="C240" s="11"/>
      <c r="D240" s="11"/>
      <c r="E240" s="11"/>
      <c r="F240" s="11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11"/>
      <c r="C261" s="11"/>
      <c r="D261" s="11"/>
      <c r="E261" s="11"/>
      <c r="F261" s="11"/>
    </row>
    <row r="262">
      <c r="A262" s="11"/>
      <c r="C262" s="11"/>
      <c r="D262" s="11"/>
      <c r="E262" s="11"/>
      <c r="F262" s="11"/>
    </row>
    <row r="263">
      <c r="A263" s="11"/>
      <c r="C263" s="11"/>
      <c r="D263" s="11"/>
      <c r="E263" s="11"/>
      <c r="F263" s="11"/>
    </row>
    <row r="264">
      <c r="A264" s="11"/>
      <c r="C264" s="11"/>
      <c r="D264" s="11"/>
      <c r="E264" s="11"/>
      <c r="F264" s="11"/>
    </row>
    <row r="265">
      <c r="A265" s="11"/>
      <c r="C265" s="11"/>
      <c r="D265" s="11"/>
      <c r="E265" s="11"/>
      <c r="F265" s="11"/>
    </row>
    <row r="266">
      <c r="A266" s="11"/>
      <c r="C266" s="11"/>
      <c r="D266" s="11"/>
      <c r="E266" s="11"/>
      <c r="F266" s="11"/>
    </row>
    <row r="267">
      <c r="A267" s="11"/>
      <c r="C267" s="11"/>
      <c r="D267" s="11"/>
      <c r="E267" s="11"/>
      <c r="F267" s="11"/>
    </row>
    <row r="268">
      <c r="A268" s="11"/>
      <c r="C268" s="11"/>
      <c r="D268" s="11"/>
      <c r="E268" s="11"/>
      <c r="F268" s="11"/>
    </row>
    <row r="269">
      <c r="A269" s="11"/>
      <c r="C269" s="11"/>
      <c r="D269" s="11"/>
      <c r="E269" s="11"/>
      <c r="F269" s="11"/>
    </row>
    <row r="270">
      <c r="A270" s="11"/>
      <c r="C270" s="11"/>
      <c r="D270" s="11"/>
      <c r="E270" s="11"/>
      <c r="F270" s="11"/>
    </row>
    <row r="271">
      <c r="A271" s="11"/>
      <c r="C271" s="11"/>
      <c r="D271" s="11"/>
      <c r="E271" s="11"/>
      <c r="F271" s="11"/>
    </row>
    <row r="272">
      <c r="A272" s="11"/>
      <c r="C272" s="11"/>
      <c r="D272" s="11"/>
      <c r="E272" s="11"/>
      <c r="F272" s="11"/>
    </row>
    <row r="273">
      <c r="A273" s="11"/>
      <c r="C273" s="11"/>
      <c r="D273" s="11"/>
      <c r="E273" s="11"/>
      <c r="F273" s="11"/>
    </row>
    <row r="274">
      <c r="A274" s="11"/>
      <c r="C274" s="11"/>
      <c r="D274" s="11"/>
      <c r="E274" s="11"/>
      <c r="F274" s="11"/>
    </row>
    <row r="275">
      <c r="A275" s="11"/>
      <c r="C275" s="11"/>
      <c r="D275" s="11"/>
      <c r="E275" s="11"/>
      <c r="F275" s="11"/>
    </row>
    <row r="276">
      <c r="A276" s="11"/>
      <c r="C276" s="11"/>
      <c r="D276" s="11"/>
      <c r="E276" s="11"/>
      <c r="F276" s="11"/>
    </row>
    <row r="277">
      <c r="A277" s="11"/>
      <c r="C277" s="11"/>
      <c r="D277" s="11"/>
      <c r="E277" s="11"/>
      <c r="F277" s="11"/>
    </row>
    <row r="278">
      <c r="A278" s="11"/>
      <c r="C278" s="11"/>
      <c r="D278" s="11"/>
      <c r="E278" s="11"/>
      <c r="F278" s="11"/>
    </row>
    <row r="279">
      <c r="A279" s="11"/>
      <c r="C279" s="11"/>
      <c r="D279" s="11"/>
      <c r="E279" s="11"/>
      <c r="F279" s="11"/>
    </row>
    <row r="280">
      <c r="A280" s="11"/>
      <c r="C280" s="11"/>
      <c r="D280" s="11"/>
      <c r="E280" s="11"/>
      <c r="F280" s="11"/>
    </row>
    <row r="281">
      <c r="A281" s="11"/>
      <c r="C281" s="11"/>
      <c r="D281" s="11"/>
      <c r="E281" s="11"/>
      <c r="F281" s="11"/>
    </row>
    <row r="282">
      <c r="A282" s="11"/>
      <c r="C282" s="11"/>
      <c r="D282" s="11"/>
      <c r="E282" s="11"/>
      <c r="F282" s="11"/>
    </row>
    <row r="283">
      <c r="A283" s="11"/>
      <c r="C283" s="11"/>
      <c r="D283" s="11"/>
      <c r="E283" s="11"/>
      <c r="F283" s="11"/>
    </row>
    <row r="284">
      <c r="A284" s="11"/>
      <c r="C284" s="11"/>
      <c r="D284" s="11"/>
      <c r="E284" s="11"/>
      <c r="F284" s="11"/>
    </row>
    <row r="285">
      <c r="A285" s="11"/>
      <c r="C285" s="11"/>
      <c r="D285" s="11"/>
      <c r="E285" s="11"/>
      <c r="F285" s="11"/>
    </row>
    <row r="286">
      <c r="A286" s="11"/>
      <c r="C286" s="11"/>
      <c r="D286" s="11"/>
      <c r="E286" s="11"/>
      <c r="F286" s="11"/>
    </row>
    <row r="287">
      <c r="A287" s="11"/>
      <c r="C287" s="11"/>
      <c r="D287" s="11"/>
      <c r="E287" s="11"/>
      <c r="F287" s="11"/>
    </row>
    <row r="288">
      <c r="A288" s="11"/>
      <c r="C288" s="11"/>
      <c r="D288" s="11"/>
      <c r="E288" s="11"/>
      <c r="F288" s="11"/>
    </row>
    <row r="289">
      <c r="A289" s="11"/>
      <c r="C289" s="11"/>
      <c r="D289" s="11"/>
      <c r="E289" s="11"/>
      <c r="F289" s="11"/>
    </row>
    <row r="290">
      <c r="A290" s="11"/>
      <c r="C290" s="11"/>
      <c r="D290" s="11"/>
      <c r="E290" s="11"/>
      <c r="F290" s="11"/>
    </row>
    <row r="291">
      <c r="A291" s="11"/>
      <c r="C291" s="11"/>
      <c r="D291" s="11"/>
      <c r="E291" s="11"/>
      <c r="F291" s="11"/>
    </row>
    <row r="292">
      <c r="A292" s="11"/>
      <c r="C292" s="11"/>
      <c r="D292" s="11"/>
      <c r="E292" s="11"/>
      <c r="F292" s="11"/>
    </row>
    <row r="293">
      <c r="A293" s="11"/>
      <c r="C293" s="11"/>
      <c r="D293" s="11"/>
      <c r="E293" s="11"/>
      <c r="F293" s="11"/>
    </row>
    <row r="294">
      <c r="A294" s="11"/>
      <c r="C294" s="11"/>
      <c r="D294" s="11"/>
      <c r="E294" s="11"/>
      <c r="F294" s="11"/>
    </row>
    <row r="295">
      <c r="A295" s="11"/>
      <c r="C295" s="11"/>
      <c r="D295" s="11"/>
      <c r="E295" s="11"/>
      <c r="F295" s="11"/>
    </row>
    <row r="296">
      <c r="A296" s="11"/>
      <c r="C296" s="11"/>
      <c r="D296" s="11"/>
      <c r="E296" s="11"/>
      <c r="F296" s="11"/>
    </row>
    <row r="297">
      <c r="A297" s="11"/>
      <c r="C297" s="11"/>
      <c r="D297" s="11"/>
      <c r="E297" s="11"/>
      <c r="F297" s="11"/>
    </row>
    <row r="298">
      <c r="A298" s="11"/>
      <c r="C298" s="11"/>
      <c r="D298" s="11"/>
      <c r="E298" s="11"/>
      <c r="F298" s="11"/>
    </row>
    <row r="299">
      <c r="A299" s="11"/>
      <c r="C299" s="11"/>
      <c r="D299" s="11"/>
      <c r="E299" s="11"/>
      <c r="F299" s="11"/>
    </row>
    <row r="300">
      <c r="A300" s="11"/>
      <c r="C300" s="11"/>
      <c r="D300" s="11"/>
      <c r="E300" s="11"/>
      <c r="F300" s="11"/>
    </row>
    <row r="301">
      <c r="A301" s="11"/>
      <c r="C301" s="11"/>
      <c r="D301" s="11"/>
      <c r="E301" s="11"/>
      <c r="F301" s="11"/>
    </row>
    <row r="302">
      <c r="A302" s="11"/>
      <c r="C302" s="11"/>
      <c r="D302" s="11"/>
      <c r="E302" s="11"/>
      <c r="F302" s="11"/>
    </row>
    <row r="303">
      <c r="A303" s="11"/>
      <c r="C303" s="11"/>
      <c r="D303" s="11"/>
      <c r="E303" s="11"/>
      <c r="F303" s="11"/>
    </row>
    <row r="304">
      <c r="A304" s="11"/>
      <c r="C304" s="11"/>
      <c r="D304" s="11"/>
      <c r="E304" s="11"/>
      <c r="F304" s="11"/>
    </row>
    <row r="305">
      <c r="A305" s="11"/>
      <c r="C305" s="11"/>
      <c r="D305" s="11"/>
      <c r="E305" s="11"/>
      <c r="F305" s="11"/>
    </row>
    <row r="306">
      <c r="A306" s="11"/>
      <c r="C306" s="11"/>
      <c r="D306" s="11"/>
      <c r="E306" s="11"/>
      <c r="F306" s="11"/>
    </row>
    <row r="307">
      <c r="A307" s="11"/>
      <c r="C307" s="11"/>
      <c r="D307" s="11"/>
      <c r="E307" s="11"/>
      <c r="F307" s="11"/>
    </row>
    <row r="308">
      <c r="A308" s="11"/>
      <c r="C308" s="11"/>
      <c r="D308" s="11"/>
      <c r="E308" s="11"/>
      <c r="F308" s="11"/>
    </row>
    <row r="309">
      <c r="A309" s="11"/>
      <c r="C309" s="11"/>
      <c r="D309" s="11"/>
      <c r="E309" s="11"/>
      <c r="F309" s="11"/>
    </row>
    <row r="310">
      <c r="A310" s="11"/>
      <c r="C310" s="11"/>
      <c r="D310" s="11"/>
      <c r="E310" s="11"/>
      <c r="F310" s="11"/>
    </row>
    <row r="311">
      <c r="A311" s="11"/>
      <c r="C311" s="11"/>
      <c r="D311" s="11"/>
      <c r="E311" s="11"/>
      <c r="F311" s="11"/>
    </row>
    <row r="312">
      <c r="A312" s="11"/>
      <c r="C312" s="11"/>
      <c r="D312" s="11"/>
      <c r="E312" s="11"/>
      <c r="F312" s="11"/>
    </row>
    <row r="313">
      <c r="A313" s="11"/>
      <c r="C313" s="11"/>
      <c r="D313" s="11"/>
      <c r="E313" s="11"/>
      <c r="F313" s="11"/>
    </row>
    <row r="314">
      <c r="A314" s="11"/>
      <c r="C314" s="11"/>
      <c r="D314" s="11"/>
      <c r="E314" s="11"/>
      <c r="F314" s="11"/>
    </row>
    <row r="315">
      <c r="A315" s="11"/>
      <c r="C315" s="11"/>
      <c r="D315" s="11"/>
      <c r="E315" s="11"/>
      <c r="F315" s="11"/>
    </row>
    <row r="316">
      <c r="A316" s="11"/>
      <c r="C316" s="11"/>
      <c r="D316" s="11"/>
      <c r="E316" s="11"/>
      <c r="F316" s="11"/>
    </row>
    <row r="317">
      <c r="A317" s="11"/>
      <c r="C317" s="11"/>
      <c r="D317" s="11"/>
      <c r="E317" s="11"/>
      <c r="F317" s="11"/>
    </row>
    <row r="318">
      <c r="A318" s="11"/>
      <c r="C318" s="11"/>
      <c r="D318" s="11"/>
      <c r="E318" s="11"/>
      <c r="F318" s="11"/>
    </row>
    <row r="319">
      <c r="A319" s="11"/>
      <c r="C319" s="11"/>
      <c r="D319" s="11"/>
      <c r="E319" s="11"/>
      <c r="F319" s="11"/>
    </row>
    <row r="320">
      <c r="A320" s="11"/>
      <c r="C320" s="11"/>
      <c r="D320" s="11"/>
      <c r="E320" s="11"/>
      <c r="F320" s="11"/>
    </row>
    <row r="321">
      <c r="A321" s="11"/>
      <c r="C321" s="11"/>
      <c r="D321" s="11"/>
      <c r="E321" s="11"/>
      <c r="F321" s="11"/>
    </row>
    <row r="322">
      <c r="A322" s="11"/>
      <c r="C322" s="11"/>
      <c r="D322" s="11"/>
      <c r="E322" s="11"/>
      <c r="F322" s="11"/>
    </row>
    <row r="323">
      <c r="A323" s="11"/>
      <c r="C323" s="11"/>
      <c r="D323" s="11"/>
      <c r="E323" s="11"/>
      <c r="F323" s="11"/>
    </row>
    <row r="324">
      <c r="A324" s="11"/>
      <c r="C324" s="11"/>
      <c r="D324" s="11"/>
      <c r="E324" s="11"/>
      <c r="F324" s="11"/>
    </row>
    <row r="325">
      <c r="A325" s="11"/>
      <c r="C325" s="11"/>
      <c r="D325" s="11"/>
      <c r="E325" s="11"/>
      <c r="F325" s="11"/>
    </row>
    <row r="326">
      <c r="A326" s="11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C343" s="11"/>
      <c r="D343" s="11"/>
      <c r="E343" s="11"/>
      <c r="F343" s="11"/>
    </row>
    <row r="344">
      <c r="A344" s="11"/>
      <c r="C344" s="11"/>
      <c r="D344" s="11"/>
      <c r="E344" s="11"/>
      <c r="F344" s="11"/>
    </row>
    <row r="345">
      <c r="A345" s="11"/>
      <c r="C345" s="11"/>
      <c r="D345" s="11"/>
      <c r="E345" s="11"/>
      <c r="F345" s="11"/>
    </row>
    <row r="346">
      <c r="A346" s="11"/>
      <c r="C346" s="11"/>
      <c r="D346" s="11"/>
      <c r="E346" s="11"/>
      <c r="F346" s="11"/>
    </row>
    <row r="347">
      <c r="A347" s="11"/>
      <c r="C347" s="11"/>
      <c r="D347" s="11"/>
      <c r="E347" s="11"/>
      <c r="F347" s="11"/>
    </row>
    <row r="348">
      <c r="A348" s="11"/>
      <c r="C348" s="11"/>
      <c r="D348" s="11"/>
      <c r="E348" s="11"/>
      <c r="F348" s="11"/>
    </row>
    <row r="349">
      <c r="A349" s="11"/>
      <c r="C349" s="11"/>
      <c r="D349" s="11"/>
      <c r="E349" s="11"/>
      <c r="F349" s="11"/>
    </row>
    <row r="350">
      <c r="A350" s="11"/>
      <c r="C350" s="11"/>
      <c r="D350" s="11"/>
      <c r="E350" s="11"/>
      <c r="F350" s="11"/>
    </row>
    <row r="351">
      <c r="A351" s="11"/>
      <c r="C351" s="11"/>
      <c r="D351" s="11"/>
      <c r="E351" s="11"/>
      <c r="F351" s="11"/>
    </row>
    <row r="352">
      <c r="A352" s="11"/>
      <c r="C352" s="11"/>
      <c r="D352" s="11"/>
      <c r="E352" s="11"/>
      <c r="F352" s="11"/>
    </row>
    <row r="353">
      <c r="A353" s="11"/>
      <c r="C353" s="11"/>
      <c r="D353" s="11"/>
      <c r="E353" s="11"/>
      <c r="F353" s="11"/>
    </row>
    <row r="354">
      <c r="A354" s="11"/>
      <c r="C354" s="11"/>
      <c r="D354" s="11"/>
      <c r="E354" s="11"/>
      <c r="F354" s="11"/>
    </row>
    <row r="355">
      <c r="A355" s="11"/>
      <c r="C355" s="11"/>
      <c r="D355" s="11"/>
      <c r="E355" s="11"/>
      <c r="F355" s="11"/>
    </row>
    <row r="356">
      <c r="A356" s="11"/>
      <c r="C356" s="11"/>
      <c r="D356" s="11"/>
      <c r="E356" s="11"/>
      <c r="F356" s="11"/>
    </row>
    <row r="357">
      <c r="A357" s="11"/>
      <c r="C357" s="11"/>
      <c r="D357" s="11"/>
      <c r="E357" s="11"/>
      <c r="F357" s="11"/>
    </row>
    <row r="358">
      <c r="A358" s="11"/>
      <c r="C358" s="11"/>
      <c r="D358" s="11"/>
      <c r="E358" s="11"/>
      <c r="F358" s="11"/>
    </row>
    <row r="359">
      <c r="A359" s="11"/>
      <c r="C359" s="11"/>
      <c r="D359" s="11"/>
      <c r="E359" s="11"/>
      <c r="F359" s="11"/>
    </row>
    <row r="360">
      <c r="A360" s="11"/>
      <c r="C360" s="11"/>
      <c r="D360" s="11"/>
      <c r="E360" s="11"/>
      <c r="F360" s="11"/>
    </row>
    <row r="361">
      <c r="A361" s="11"/>
      <c r="C361" s="11"/>
      <c r="D361" s="11"/>
      <c r="E361" s="11"/>
      <c r="F361" s="11"/>
    </row>
    <row r="362">
      <c r="A362" s="11"/>
      <c r="C362" s="11"/>
      <c r="D362" s="11"/>
      <c r="E362" s="11"/>
      <c r="F362" s="11"/>
    </row>
    <row r="363">
      <c r="A363" s="11"/>
      <c r="C363" s="11"/>
      <c r="D363" s="11"/>
      <c r="E363" s="11"/>
      <c r="F363" s="11"/>
    </row>
    <row r="364">
      <c r="A364" s="11"/>
      <c r="C364" s="11"/>
      <c r="D364" s="11"/>
      <c r="E364" s="11"/>
      <c r="F364" s="11"/>
    </row>
    <row r="365">
      <c r="A365" s="11"/>
      <c r="C365" s="11"/>
      <c r="D365" s="11"/>
      <c r="E365" s="11"/>
      <c r="F365" s="11"/>
    </row>
    <row r="366">
      <c r="A366" s="11"/>
      <c r="C366" s="11"/>
      <c r="D366" s="11"/>
      <c r="E366" s="11"/>
      <c r="F366" s="11"/>
    </row>
    <row r="367">
      <c r="A367" s="11"/>
      <c r="C367" s="11"/>
      <c r="D367" s="11"/>
      <c r="E367" s="11"/>
      <c r="F367" s="11"/>
    </row>
    <row r="368">
      <c r="A368" s="11"/>
      <c r="C368" s="11"/>
      <c r="D368" s="11"/>
      <c r="E368" s="11"/>
      <c r="F368" s="11"/>
    </row>
    <row r="369">
      <c r="A369" s="11"/>
      <c r="C369" s="11"/>
      <c r="D369" s="11"/>
      <c r="E369" s="11"/>
      <c r="F369" s="11"/>
    </row>
    <row r="370">
      <c r="A370" s="11"/>
      <c r="C370" s="11"/>
      <c r="D370" s="11"/>
      <c r="E370" s="11"/>
      <c r="F370" s="11"/>
    </row>
    <row r="371">
      <c r="A371" s="11"/>
      <c r="C371" s="11"/>
      <c r="D371" s="11"/>
      <c r="E371" s="11"/>
      <c r="F371" s="11"/>
    </row>
    <row r="372">
      <c r="A372" s="11"/>
      <c r="C372" s="11"/>
      <c r="D372" s="11"/>
      <c r="E372" s="11"/>
      <c r="F372" s="11"/>
    </row>
    <row r="373">
      <c r="A373" s="11"/>
      <c r="C373" s="11"/>
      <c r="D373" s="11"/>
      <c r="E373" s="11"/>
      <c r="F373" s="11"/>
    </row>
    <row r="374">
      <c r="A374" s="11"/>
      <c r="C374" s="11"/>
      <c r="D374" s="11"/>
      <c r="E374" s="11"/>
      <c r="F374" s="11"/>
    </row>
    <row r="375">
      <c r="A375" s="11"/>
      <c r="C375" s="11"/>
      <c r="D375" s="11"/>
      <c r="E375" s="11"/>
      <c r="F375" s="11"/>
    </row>
    <row r="376">
      <c r="A376" s="11"/>
      <c r="C376" s="11"/>
      <c r="D376" s="11"/>
      <c r="E376" s="11"/>
      <c r="F376" s="11"/>
    </row>
    <row r="377">
      <c r="A377" s="11"/>
      <c r="C377" s="11"/>
      <c r="D377" s="11"/>
      <c r="E377" s="11"/>
      <c r="F377" s="11"/>
    </row>
    <row r="378">
      <c r="A378" s="11"/>
      <c r="C378" s="11"/>
      <c r="D378" s="11"/>
      <c r="E378" s="11"/>
      <c r="F378" s="11"/>
    </row>
    <row r="379">
      <c r="A379" s="11"/>
      <c r="C379" s="11"/>
      <c r="D379" s="11"/>
      <c r="E379" s="11"/>
      <c r="F379" s="11"/>
    </row>
    <row r="380">
      <c r="A380" s="11"/>
      <c r="C380" s="11"/>
      <c r="D380" s="11"/>
      <c r="E380" s="11"/>
      <c r="F380" s="11"/>
    </row>
    <row r="381">
      <c r="A381" s="11"/>
      <c r="C381" s="11"/>
      <c r="D381" s="11"/>
      <c r="E381" s="11"/>
      <c r="F381" s="11"/>
    </row>
    <row r="382">
      <c r="A382" s="11"/>
      <c r="C382" s="11"/>
      <c r="D382" s="11"/>
      <c r="E382" s="11"/>
      <c r="F382" s="11"/>
    </row>
    <row r="383">
      <c r="A383" s="11"/>
      <c r="C383" s="11"/>
      <c r="D383" s="11"/>
      <c r="E383" s="11"/>
      <c r="F383" s="11"/>
    </row>
    <row r="384">
      <c r="A384" s="11"/>
      <c r="C384" s="11"/>
      <c r="D384" s="11"/>
      <c r="E384" s="11"/>
      <c r="F384" s="11"/>
    </row>
    <row r="385">
      <c r="A385" s="11"/>
      <c r="C385" s="11"/>
      <c r="D385" s="11"/>
      <c r="E385" s="11"/>
      <c r="F385" s="11"/>
    </row>
    <row r="386">
      <c r="A386" s="11"/>
      <c r="C386" s="11"/>
      <c r="D386" s="11"/>
      <c r="E386" s="11"/>
      <c r="F386" s="11"/>
    </row>
    <row r="387">
      <c r="A387" s="11"/>
      <c r="C387" s="11"/>
      <c r="D387" s="11"/>
      <c r="E387" s="11"/>
      <c r="F387" s="11"/>
    </row>
    <row r="388">
      <c r="A388" s="11"/>
      <c r="C388" s="11"/>
      <c r="D388" s="11"/>
      <c r="E388" s="11"/>
      <c r="F388" s="11"/>
    </row>
    <row r="389">
      <c r="A389" s="11"/>
      <c r="C389" s="11"/>
      <c r="D389" s="11"/>
      <c r="E389" s="11"/>
      <c r="F389" s="11"/>
    </row>
    <row r="390">
      <c r="A390" s="11"/>
      <c r="C390" s="11"/>
      <c r="D390" s="11"/>
      <c r="E390" s="11"/>
      <c r="F390" s="11"/>
    </row>
    <row r="391">
      <c r="A391" s="11"/>
      <c r="C391" s="11"/>
      <c r="D391" s="11"/>
      <c r="E391" s="11"/>
      <c r="F391" s="11"/>
    </row>
    <row r="392">
      <c r="A392" s="11"/>
      <c r="C392" s="11"/>
      <c r="D392" s="11"/>
      <c r="E392" s="11"/>
      <c r="F392" s="11"/>
    </row>
    <row r="393">
      <c r="A393" s="11"/>
      <c r="C393" s="11"/>
      <c r="D393" s="11"/>
      <c r="E393" s="11"/>
      <c r="F393" s="11"/>
    </row>
    <row r="394">
      <c r="A394" s="11"/>
      <c r="C394" s="11"/>
      <c r="D394" s="11"/>
      <c r="E394" s="11"/>
      <c r="F394" s="11"/>
    </row>
    <row r="395">
      <c r="A395" s="11"/>
      <c r="C395" s="11"/>
      <c r="D395" s="11"/>
      <c r="E395" s="11"/>
      <c r="F395" s="11"/>
    </row>
    <row r="396">
      <c r="A396" s="11"/>
      <c r="C396" s="11"/>
      <c r="D396" s="11"/>
      <c r="E396" s="11"/>
      <c r="F396" s="11"/>
    </row>
    <row r="397">
      <c r="A397" s="11"/>
      <c r="C397" s="11"/>
      <c r="D397" s="11"/>
      <c r="E397" s="11"/>
      <c r="F397" s="11"/>
    </row>
    <row r="398">
      <c r="A398" s="11"/>
      <c r="C398" s="11"/>
      <c r="D398" s="11"/>
      <c r="E398" s="11"/>
      <c r="F398" s="11"/>
    </row>
    <row r="399">
      <c r="A399" s="11"/>
      <c r="C399" s="11"/>
      <c r="D399" s="11"/>
      <c r="E399" s="11"/>
      <c r="F399" s="11"/>
    </row>
    <row r="400">
      <c r="A400" s="11"/>
      <c r="C400" s="11"/>
      <c r="D400" s="11"/>
      <c r="E400" s="11"/>
      <c r="F400" s="11"/>
    </row>
    <row r="401">
      <c r="A401" s="11"/>
      <c r="C401" s="11"/>
      <c r="D401" s="11"/>
      <c r="E401" s="11"/>
      <c r="F401" s="11"/>
    </row>
    <row r="402">
      <c r="A402" s="11"/>
      <c r="C402" s="11"/>
      <c r="D402" s="11"/>
      <c r="E402" s="11"/>
      <c r="F402" s="11"/>
    </row>
    <row r="403">
      <c r="A403" s="11"/>
      <c r="C403" s="11"/>
      <c r="D403" s="11"/>
      <c r="E403" s="11"/>
      <c r="F403" s="11"/>
    </row>
    <row r="404">
      <c r="A404" s="11"/>
      <c r="C404" s="11"/>
      <c r="D404" s="11"/>
      <c r="E404" s="11"/>
      <c r="F404" s="11"/>
    </row>
    <row r="405">
      <c r="A405" s="11"/>
      <c r="C405" s="11"/>
      <c r="D405" s="11"/>
      <c r="E405" s="11"/>
      <c r="F405" s="11"/>
    </row>
    <row r="406">
      <c r="A406" s="11"/>
      <c r="C406" s="11"/>
      <c r="D406" s="11"/>
      <c r="E406" s="11"/>
      <c r="F406" s="11"/>
    </row>
    <row r="407">
      <c r="A407" s="11"/>
      <c r="C407" s="11"/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</sheetData>
  <mergeCells count="130">
    <mergeCell ref="F143:H143"/>
    <mergeCell ref="F144:H144"/>
    <mergeCell ref="F136:H136"/>
    <mergeCell ref="F137:H137"/>
    <mergeCell ref="F138:H138"/>
    <mergeCell ref="F139:H139"/>
    <mergeCell ref="F140:H140"/>
    <mergeCell ref="F141:H141"/>
    <mergeCell ref="F142:H142"/>
    <mergeCell ref="C1:F1"/>
    <mergeCell ref="I1:K1"/>
    <mergeCell ref="L1:M1"/>
    <mergeCell ref="B2:C2"/>
    <mergeCell ref="C3:E3"/>
    <mergeCell ref="F3:M3"/>
    <mergeCell ref="N3:O3"/>
    <mergeCell ref="A121:H121"/>
    <mergeCell ref="C122:E122"/>
    <mergeCell ref="F122:H122"/>
    <mergeCell ref="C123:E123"/>
    <mergeCell ref="F123:H123"/>
    <mergeCell ref="C124:E124"/>
    <mergeCell ref="F124:H124"/>
    <mergeCell ref="C125:E125"/>
    <mergeCell ref="F125:H125"/>
    <mergeCell ref="C126:E126"/>
    <mergeCell ref="F126:H126"/>
    <mergeCell ref="C127:E127"/>
    <mergeCell ref="F127:H127"/>
    <mergeCell ref="F128:H128"/>
    <mergeCell ref="C128:E128"/>
    <mergeCell ref="C129:E129"/>
    <mergeCell ref="C130:E130"/>
    <mergeCell ref="C131:E131"/>
    <mergeCell ref="C132:E132"/>
    <mergeCell ref="C133:E133"/>
    <mergeCell ref="C134:E134"/>
    <mergeCell ref="F129:H129"/>
    <mergeCell ref="F130:H130"/>
    <mergeCell ref="F131:H131"/>
    <mergeCell ref="F132:H132"/>
    <mergeCell ref="F133:H133"/>
    <mergeCell ref="F134:H134"/>
    <mergeCell ref="F135:H135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F145:H145"/>
    <mergeCell ref="C146:E146"/>
    <mergeCell ref="F146:H146"/>
    <mergeCell ref="F172:H172"/>
    <mergeCell ref="F173:H173"/>
    <mergeCell ref="F165:H165"/>
    <mergeCell ref="F166:H166"/>
    <mergeCell ref="F167:H167"/>
    <mergeCell ref="F168:H168"/>
    <mergeCell ref="F169:H169"/>
    <mergeCell ref="F170:H170"/>
    <mergeCell ref="F171:H171"/>
    <mergeCell ref="C179:E179"/>
    <mergeCell ref="C180:E180"/>
    <mergeCell ref="C181:E181"/>
    <mergeCell ref="C182:E182"/>
    <mergeCell ref="F180:H180"/>
    <mergeCell ref="F181:H181"/>
    <mergeCell ref="F182:H182"/>
    <mergeCell ref="C176:E176"/>
    <mergeCell ref="F176:H176"/>
    <mergeCell ref="C177:E177"/>
    <mergeCell ref="F177:H177"/>
    <mergeCell ref="C178:E178"/>
    <mergeCell ref="F178:H178"/>
    <mergeCell ref="F179:H179"/>
    <mergeCell ref="C147:E147"/>
    <mergeCell ref="F147:H147"/>
    <mergeCell ref="C148:E148"/>
    <mergeCell ref="F148:H148"/>
    <mergeCell ref="C149:E149"/>
    <mergeCell ref="F149:H149"/>
    <mergeCell ref="F150:H150"/>
    <mergeCell ref="C150:E150"/>
    <mergeCell ref="C151:E151"/>
    <mergeCell ref="C152:E152"/>
    <mergeCell ref="C153:E153"/>
    <mergeCell ref="C154:E154"/>
    <mergeCell ref="C155:E155"/>
    <mergeCell ref="C156:E156"/>
    <mergeCell ref="F151:H151"/>
    <mergeCell ref="F152:H152"/>
    <mergeCell ref="F153:H153"/>
    <mergeCell ref="F154:H154"/>
    <mergeCell ref="F155:H155"/>
    <mergeCell ref="F156:H156"/>
    <mergeCell ref="F157:H157"/>
    <mergeCell ref="C157:E157"/>
    <mergeCell ref="C158:E158"/>
    <mergeCell ref="C159:E159"/>
    <mergeCell ref="C160:E160"/>
    <mergeCell ref="C161:E161"/>
    <mergeCell ref="C162:E162"/>
    <mergeCell ref="C163:E163"/>
    <mergeCell ref="F158:H158"/>
    <mergeCell ref="F159:H159"/>
    <mergeCell ref="F160:H160"/>
    <mergeCell ref="F161:H161"/>
    <mergeCell ref="F162:H162"/>
    <mergeCell ref="F163:H163"/>
    <mergeCell ref="F164:H164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F174:H174"/>
    <mergeCell ref="C175:E175"/>
    <mergeCell ref="F175:H175"/>
  </mergeCells>
  <conditionalFormatting sqref="L5:L69">
    <cfRule type="expression" dxfId="1" priority="1">
      <formula> L5&gt;=18</formula>
    </cfRule>
  </conditionalFormatting>
  <conditionalFormatting sqref="C10 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7.13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81">
        <v>45612.0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20.0</v>
      </c>
      <c r="E2" s="11"/>
      <c r="F2" s="11"/>
      <c r="AB2" s="20" t="str">
        <f>text(C1-7,"mm/dd/yy")</f>
        <v>11/09/24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32">
        <v>309.0</v>
      </c>
      <c r="D5" s="32">
        <v>38.0</v>
      </c>
      <c r="E5" s="35">
        <f t="shared" ref="E5:E69" si="2">(C5-(U5*9)-(S5*13))/($D$2-U5-S5)</f>
        <v>17.06666667</v>
      </c>
      <c r="F5" s="37">
        <v>3.0</v>
      </c>
      <c r="G5" s="39">
        <v>0.0</v>
      </c>
      <c r="H5" s="40">
        <v>9.0</v>
      </c>
      <c r="I5" s="39">
        <v>0.0</v>
      </c>
      <c r="J5" s="39">
        <v>0.0</v>
      </c>
      <c r="K5" s="39">
        <v>0.0</v>
      </c>
      <c r="L5" s="42">
        <v>9.0</v>
      </c>
      <c r="M5" s="39">
        <v>0.0</v>
      </c>
      <c r="N5" s="32">
        <f t="shared" ref="N5:O5" si="1">C5+L5</f>
        <v>318</v>
      </c>
      <c r="O5" s="32">
        <f t="shared" si="1"/>
        <v>38</v>
      </c>
      <c r="P5" s="43" t="s">
        <v>53</v>
      </c>
      <c r="Q5" s="43" t="s">
        <v>53</v>
      </c>
      <c r="R5" s="43"/>
      <c r="S5" s="39">
        <f t="shared" ref="S5:S69" si="4">if(H5=13,1,0)+VLOOKUP(B5,indirect($AB$2&amp;"!B:T"),18,false)</f>
        <v>2</v>
      </c>
      <c r="T5" s="39"/>
      <c r="U5" s="39">
        <f t="shared" ref="U5:U69" si="5">if(H5=9,1,0)+VLOOKUP(B5,indirect($AB$2&amp;"!B:U"),20,false)</f>
        <v>3</v>
      </c>
      <c r="V5" s="39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51" t="s">
        <v>92</v>
      </c>
      <c r="C6" s="32">
        <v>253.0</v>
      </c>
      <c r="D6" s="32">
        <v>23.0</v>
      </c>
      <c r="E6" s="35">
        <f t="shared" si="2"/>
        <v>15.9</v>
      </c>
      <c r="F6" s="37">
        <v>3.0</v>
      </c>
      <c r="G6" s="39">
        <v>0.0</v>
      </c>
      <c r="H6" s="40">
        <v>9.0</v>
      </c>
      <c r="I6" s="39">
        <v>0.0</v>
      </c>
      <c r="J6" s="39">
        <v>0.0</v>
      </c>
      <c r="K6" s="39">
        <v>0.0</v>
      </c>
      <c r="L6" s="42">
        <v>9.0</v>
      </c>
      <c r="M6" s="39">
        <v>0.0</v>
      </c>
      <c r="N6" s="32">
        <f t="shared" ref="N6:O6" si="3">C6+L6</f>
        <v>262</v>
      </c>
      <c r="O6" s="32">
        <f t="shared" si="3"/>
        <v>23</v>
      </c>
      <c r="P6" s="43" t="s">
        <v>53</v>
      </c>
      <c r="Q6" s="43" t="s">
        <v>53</v>
      </c>
      <c r="R6" s="43" t="s">
        <v>88</v>
      </c>
      <c r="S6" s="39">
        <f t="shared" si="4"/>
        <v>1</v>
      </c>
      <c r="T6" s="39"/>
      <c r="U6" s="39">
        <f t="shared" si="5"/>
        <v>9</v>
      </c>
      <c r="V6" s="39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31" t="s">
        <v>61</v>
      </c>
      <c r="C7" s="32">
        <v>250.0</v>
      </c>
      <c r="D7" s="32">
        <v>25.0</v>
      </c>
      <c r="E7" s="35">
        <f t="shared" si="2"/>
        <v>14</v>
      </c>
      <c r="F7" s="37">
        <v>1.0</v>
      </c>
      <c r="G7" s="39">
        <v>1.0</v>
      </c>
      <c r="H7" s="40">
        <v>0.0</v>
      </c>
      <c r="I7" s="39">
        <v>6.0</v>
      </c>
      <c r="J7" s="39">
        <v>6.0</v>
      </c>
      <c r="K7" s="39">
        <v>2.0</v>
      </c>
      <c r="L7" s="42">
        <v>14.0</v>
      </c>
      <c r="M7" s="39">
        <v>2.0</v>
      </c>
      <c r="N7" s="32">
        <f t="shared" ref="N7:O7" si="8">C7+L7</f>
        <v>264</v>
      </c>
      <c r="O7" s="32">
        <f t="shared" si="8"/>
        <v>27</v>
      </c>
      <c r="P7" s="43" t="s">
        <v>53</v>
      </c>
      <c r="Q7" s="43" t="s">
        <v>53</v>
      </c>
      <c r="R7" s="43"/>
      <c r="S7" s="39">
        <f t="shared" si="4"/>
        <v>0</v>
      </c>
      <c r="T7" s="39"/>
      <c r="U7" s="39">
        <f t="shared" si="5"/>
        <v>6</v>
      </c>
      <c r="V7" s="39">
        <f t="shared" si="6"/>
        <v>0</v>
      </c>
      <c r="W7" s="30">
        <f t="shared" si="9"/>
        <v>3</v>
      </c>
    </row>
    <row r="8">
      <c r="A8" s="30">
        <f t="shared" si="7"/>
        <v>4</v>
      </c>
      <c r="B8" s="31" t="s">
        <v>34</v>
      </c>
      <c r="C8" s="32">
        <v>249.0</v>
      </c>
      <c r="D8" s="32">
        <v>28.0</v>
      </c>
      <c r="E8" s="35">
        <f t="shared" si="2"/>
        <v>13.3125</v>
      </c>
      <c r="F8" s="37">
        <v>1.0</v>
      </c>
      <c r="G8" s="39">
        <v>1.0</v>
      </c>
      <c r="H8" s="40">
        <v>0.0</v>
      </c>
      <c r="I8" s="39">
        <v>4.0</v>
      </c>
      <c r="J8" s="39">
        <v>4.0</v>
      </c>
      <c r="K8" s="39">
        <v>2.0</v>
      </c>
      <c r="L8" s="42">
        <v>10.0</v>
      </c>
      <c r="M8" s="39">
        <v>0.0</v>
      </c>
      <c r="N8" s="32">
        <f t="shared" ref="N8:O8" si="10">C8+L8</f>
        <v>259</v>
      </c>
      <c r="O8" s="32">
        <f t="shared" si="10"/>
        <v>28</v>
      </c>
      <c r="P8" s="43" t="s">
        <v>53</v>
      </c>
      <c r="Q8" s="43" t="s">
        <v>53</v>
      </c>
      <c r="R8" s="43"/>
      <c r="S8" s="39">
        <f t="shared" si="4"/>
        <v>0</v>
      </c>
      <c r="T8" s="39"/>
      <c r="U8" s="39">
        <f t="shared" si="5"/>
        <v>4</v>
      </c>
      <c r="V8" s="39">
        <f t="shared" si="6"/>
        <v>0</v>
      </c>
      <c r="W8" s="30">
        <f t="shared" si="9"/>
        <v>4</v>
      </c>
    </row>
    <row r="9">
      <c r="A9" s="30">
        <f t="shared" si="7"/>
        <v>5</v>
      </c>
      <c r="B9" s="51" t="s">
        <v>54</v>
      </c>
      <c r="C9" s="32">
        <v>248.0</v>
      </c>
      <c r="D9" s="32">
        <v>24.0</v>
      </c>
      <c r="E9" s="35">
        <f t="shared" si="2"/>
        <v>13.26666667</v>
      </c>
      <c r="F9" s="37">
        <v>1.0</v>
      </c>
      <c r="G9" s="39">
        <v>1.0</v>
      </c>
      <c r="H9" s="40">
        <v>0.0</v>
      </c>
      <c r="I9" s="39">
        <v>6.0</v>
      </c>
      <c r="J9" s="39">
        <v>4.0</v>
      </c>
      <c r="K9" s="39">
        <v>6.0</v>
      </c>
      <c r="L9" s="42">
        <v>16.0</v>
      </c>
      <c r="M9" s="39">
        <v>2.0</v>
      </c>
      <c r="N9" s="32">
        <f t="shared" ref="N9:O9" si="11">C9+L9</f>
        <v>264</v>
      </c>
      <c r="O9" s="32">
        <f t="shared" si="11"/>
        <v>26</v>
      </c>
      <c r="P9" s="43" t="s">
        <v>53</v>
      </c>
      <c r="Q9" s="43" t="s">
        <v>53</v>
      </c>
      <c r="R9" s="43"/>
      <c r="S9" s="39">
        <f t="shared" si="4"/>
        <v>1</v>
      </c>
      <c r="T9" s="39"/>
      <c r="U9" s="39">
        <f t="shared" si="5"/>
        <v>4</v>
      </c>
      <c r="V9" s="39">
        <f t="shared" si="6"/>
        <v>0</v>
      </c>
      <c r="W9" s="30">
        <f t="shared" si="9"/>
        <v>5</v>
      </c>
    </row>
    <row r="10">
      <c r="A10" s="30">
        <f t="shared" si="7"/>
        <v>6</v>
      </c>
      <c r="B10" s="31" t="s">
        <v>82</v>
      </c>
      <c r="C10" s="32">
        <v>247.0</v>
      </c>
      <c r="D10" s="32">
        <v>21.0</v>
      </c>
      <c r="E10" s="35">
        <f t="shared" si="2"/>
        <v>15.55555556</v>
      </c>
      <c r="F10" s="37">
        <v>3.0</v>
      </c>
      <c r="G10" s="39">
        <v>0.0</v>
      </c>
      <c r="H10" s="40">
        <v>9.0</v>
      </c>
      <c r="I10" s="39">
        <v>0.0</v>
      </c>
      <c r="J10" s="39">
        <v>0.0</v>
      </c>
      <c r="K10" s="39">
        <v>0.0</v>
      </c>
      <c r="L10" s="42">
        <v>9.0</v>
      </c>
      <c r="M10" s="39">
        <v>0.0</v>
      </c>
      <c r="N10" s="32">
        <f t="shared" ref="N10:O10" si="12">C10+L10</f>
        <v>256</v>
      </c>
      <c r="O10" s="32">
        <f t="shared" si="12"/>
        <v>21</v>
      </c>
      <c r="P10" s="43" t="s">
        <v>53</v>
      </c>
      <c r="Q10" s="43" t="s">
        <v>53</v>
      </c>
      <c r="R10" s="43"/>
      <c r="S10" s="39">
        <f t="shared" si="4"/>
        <v>2</v>
      </c>
      <c r="T10" s="39"/>
      <c r="U10" s="39">
        <f t="shared" si="5"/>
        <v>9</v>
      </c>
      <c r="V10" s="39">
        <f t="shared" si="6"/>
        <v>0</v>
      </c>
      <c r="W10" s="30">
        <f t="shared" si="9"/>
        <v>6</v>
      </c>
    </row>
    <row r="11">
      <c r="A11" s="30">
        <f t="shared" si="7"/>
        <v>7</v>
      </c>
      <c r="B11" s="31" t="s">
        <v>71</v>
      </c>
      <c r="C11" s="32">
        <v>246.0</v>
      </c>
      <c r="D11" s="32">
        <v>22.0</v>
      </c>
      <c r="E11" s="35">
        <f t="shared" si="2"/>
        <v>12.44444444</v>
      </c>
      <c r="F11" s="37">
        <v>1.0</v>
      </c>
      <c r="G11" s="39">
        <v>1.0</v>
      </c>
      <c r="H11" s="40">
        <v>0.0</v>
      </c>
      <c r="I11" s="39">
        <v>4.0</v>
      </c>
      <c r="J11" s="39">
        <v>6.0</v>
      </c>
      <c r="K11" s="39">
        <v>6.0</v>
      </c>
      <c r="L11" s="42">
        <v>16.0</v>
      </c>
      <c r="M11" s="39">
        <v>2.0</v>
      </c>
      <c r="N11" s="32">
        <f t="shared" ref="N11:O11" si="13">C11+L11</f>
        <v>262</v>
      </c>
      <c r="O11" s="32">
        <f t="shared" si="13"/>
        <v>24</v>
      </c>
      <c r="P11" s="43" t="s">
        <v>53</v>
      </c>
      <c r="Q11" s="43" t="s">
        <v>53</v>
      </c>
      <c r="R11" s="43"/>
      <c r="S11" s="39">
        <f t="shared" si="4"/>
        <v>1</v>
      </c>
      <c r="T11" s="39"/>
      <c r="U11" s="39">
        <f t="shared" si="5"/>
        <v>1</v>
      </c>
      <c r="V11" s="39">
        <f t="shared" si="6"/>
        <v>0</v>
      </c>
      <c r="W11" s="30">
        <f t="shared" si="9"/>
        <v>7</v>
      </c>
    </row>
    <row r="12">
      <c r="A12" s="30">
        <f t="shared" si="7"/>
        <v>8</v>
      </c>
      <c r="B12" s="51" t="s">
        <v>85</v>
      </c>
      <c r="C12" s="32">
        <v>245.0</v>
      </c>
      <c r="D12" s="32">
        <v>21.0</v>
      </c>
      <c r="E12" s="35">
        <f t="shared" si="2"/>
        <v>15.77777778</v>
      </c>
      <c r="F12" s="37">
        <v>5.0</v>
      </c>
      <c r="G12" s="39">
        <v>0.0</v>
      </c>
      <c r="H12" s="40">
        <v>13.0</v>
      </c>
      <c r="I12" s="39">
        <v>0.0</v>
      </c>
      <c r="J12" s="39">
        <v>0.0</v>
      </c>
      <c r="K12" s="39">
        <v>0.0</v>
      </c>
      <c r="L12" s="42">
        <v>13.0</v>
      </c>
      <c r="M12" s="39">
        <v>0.0</v>
      </c>
      <c r="N12" s="32">
        <f t="shared" ref="N12:O12" si="14">C12+L12</f>
        <v>258</v>
      </c>
      <c r="O12" s="32">
        <f t="shared" si="14"/>
        <v>21</v>
      </c>
      <c r="P12" s="43" t="s">
        <v>53</v>
      </c>
      <c r="Q12" s="43" t="s">
        <v>53</v>
      </c>
      <c r="R12" s="43"/>
      <c r="S12" s="39">
        <f t="shared" si="4"/>
        <v>1</v>
      </c>
      <c r="T12" s="39"/>
      <c r="U12" s="39">
        <f t="shared" si="5"/>
        <v>10</v>
      </c>
      <c r="V12" s="39">
        <f t="shared" si="6"/>
        <v>8</v>
      </c>
      <c r="W12" s="30">
        <f t="shared" si="9"/>
        <v>8</v>
      </c>
    </row>
    <row r="13">
      <c r="A13" s="30">
        <f t="shared" si="7"/>
        <v>9</v>
      </c>
      <c r="B13" s="31" t="s">
        <v>68</v>
      </c>
      <c r="C13" s="32">
        <v>244.0</v>
      </c>
      <c r="D13" s="32">
        <v>21.0</v>
      </c>
      <c r="E13" s="35">
        <f t="shared" si="2"/>
        <v>12.73333333</v>
      </c>
      <c r="F13" s="37">
        <v>1.0</v>
      </c>
      <c r="G13" s="39">
        <v>2.0</v>
      </c>
      <c r="H13" s="40">
        <v>0.0</v>
      </c>
      <c r="I13" s="39">
        <v>5.0</v>
      </c>
      <c r="J13" s="39">
        <v>2.0</v>
      </c>
      <c r="K13" s="39">
        <v>1.0</v>
      </c>
      <c r="L13" s="42">
        <v>8.0</v>
      </c>
      <c r="M13" s="39">
        <v>0.0</v>
      </c>
      <c r="N13" s="32">
        <f t="shared" ref="N13:O13" si="15">C13+L13</f>
        <v>252</v>
      </c>
      <c r="O13" s="32">
        <f t="shared" si="15"/>
        <v>21</v>
      </c>
      <c r="P13" s="43" t="s">
        <v>53</v>
      </c>
      <c r="Q13" s="43" t="s">
        <v>53</v>
      </c>
      <c r="R13" s="43"/>
      <c r="S13" s="39">
        <f t="shared" si="4"/>
        <v>2</v>
      </c>
      <c r="T13" s="39"/>
      <c r="U13" s="39">
        <f t="shared" si="5"/>
        <v>3</v>
      </c>
      <c r="V13" s="39">
        <f t="shared" si="6"/>
        <v>2</v>
      </c>
      <c r="W13" s="30">
        <f t="shared" si="9"/>
        <v>9</v>
      </c>
    </row>
    <row r="14">
      <c r="A14" s="30">
        <f t="shared" si="7"/>
        <v>10</v>
      </c>
      <c r="B14" s="51" t="s">
        <v>87</v>
      </c>
      <c r="C14" s="32">
        <v>244.0</v>
      </c>
      <c r="D14" s="32">
        <v>20.0</v>
      </c>
      <c r="E14" s="35">
        <f t="shared" si="2"/>
        <v>12.2</v>
      </c>
      <c r="F14" s="37">
        <v>1.0</v>
      </c>
      <c r="G14" s="39">
        <v>2.0</v>
      </c>
      <c r="H14" s="40">
        <v>0.0</v>
      </c>
      <c r="I14" s="39">
        <v>7.0</v>
      </c>
      <c r="J14" s="39">
        <v>2.0</v>
      </c>
      <c r="K14" s="39">
        <v>6.0</v>
      </c>
      <c r="L14" s="42">
        <v>15.0</v>
      </c>
      <c r="M14" s="39">
        <v>2.0</v>
      </c>
      <c r="N14" s="32">
        <f t="shared" ref="N14:O14" si="16">C14+L14</f>
        <v>259</v>
      </c>
      <c r="O14" s="32">
        <f t="shared" si="16"/>
        <v>22</v>
      </c>
      <c r="P14" s="43" t="s">
        <v>53</v>
      </c>
      <c r="Q14" s="43" t="s">
        <v>53</v>
      </c>
      <c r="R14" s="43"/>
      <c r="S14" s="39">
        <f t="shared" si="4"/>
        <v>4</v>
      </c>
      <c r="T14" s="39"/>
      <c r="U14" s="39">
        <f t="shared" si="5"/>
        <v>1</v>
      </c>
      <c r="V14" s="39">
        <f t="shared" si="6"/>
        <v>2</v>
      </c>
      <c r="W14" s="30">
        <f t="shared" si="9"/>
        <v>10</v>
      </c>
    </row>
    <row r="15">
      <c r="A15" s="30">
        <f t="shared" si="7"/>
        <v>11</v>
      </c>
      <c r="B15" s="31" t="s">
        <v>57</v>
      </c>
      <c r="C15" s="32">
        <v>244.0</v>
      </c>
      <c r="D15" s="32">
        <v>19.0</v>
      </c>
      <c r="E15" s="35">
        <f t="shared" si="2"/>
        <v>13</v>
      </c>
      <c r="F15" s="37">
        <v>2.0</v>
      </c>
      <c r="G15" s="39">
        <v>2.0</v>
      </c>
      <c r="H15" s="40">
        <v>0.0</v>
      </c>
      <c r="I15" s="39">
        <v>5.0</v>
      </c>
      <c r="J15" s="39">
        <v>6.0</v>
      </c>
      <c r="K15" s="39">
        <v>6.0</v>
      </c>
      <c r="L15" s="42">
        <v>17.0</v>
      </c>
      <c r="M15" s="39">
        <v>2.0</v>
      </c>
      <c r="N15" s="32">
        <f t="shared" ref="N15:O15" si="17">C15+L15</f>
        <v>261</v>
      </c>
      <c r="O15" s="32">
        <f t="shared" si="17"/>
        <v>21</v>
      </c>
      <c r="P15" s="43" t="s">
        <v>53</v>
      </c>
      <c r="Q15" s="43" t="s">
        <v>53</v>
      </c>
      <c r="R15" s="43"/>
      <c r="S15" s="39">
        <f t="shared" si="4"/>
        <v>3</v>
      </c>
      <c r="T15" s="39"/>
      <c r="U15" s="39">
        <f t="shared" si="5"/>
        <v>4</v>
      </c>
      <c r="V15" s="39">
        <f t="shared" si="6"/>
        <v>2</v>
      </c>
      <c r="W15" s="30">
        <f t="shared" si="9"/>
        <v>11</v>
      </c>
    </row>
    <row r="16">
      <c r="A16" s="30">
        <f t="shared" si="7"/>
        <v>12</v>
      </c>
      <c r="B16" s="31" t="s">
        <v>91</v>
      </c>
      <c r="C16" s="32">
        <v>243.0</v>
      </c>
      <c r="D16" s="32">
        <v>21.0</v>
      </c>
      <c r="E16" s="35">
        <f t="shared" si="2"/>
        <v>12.93333333</v>
      </c>
      <c r="F16" s="37">
        <v>1.0</v>
      </c>
      <c r="G16" s="39">
        <v>2.0</v>
      </c>
      <c r="H16" s="40">
        <v>0.0</v>
      </c>
      <c r="I16" s="39">
        <v>7.0</v>
      </c>
      <c r="J16" s="39">
        <v>6.0</v>
      </c>
      <c r="K16" s="39">
        <v>1.0</v>
      </c>
      <c r="L16" s="42">
        <v>14.0</v>
      </c>
      <c r="M16" s="39">
        <v>2.0</v>
      </c>
      <c r="N16" s="32">
        <f t="shared" ref="N16:O16" si="18">C16+L16</f>
        <v>257</v>
      </c>
      <c r="O16" s="32">
        <f t="shared" si="18"/>
        <v>23</v>
      </c>
      <c r="P16" s="43" t="s">
        <v>53</v>
      </c>
      <c r="Q16" s="43" t="s">
        <v>53</v>
      </c>
      <c r="R16" s="43"/>
      <c r="S16" s="39">
        <f t="shared" si="4"/>
        <v>1</v>
      </c>
      <c r="T16" s="39"/>
      <c r="U16" s="39">
        <f t="shared" si="5"/>
        <v>4</v>
      </c>
      <c r="V16" s="39">
        <f t="shared" si="6"/>
        <v>-4</v>
      </c>
      <c r="W16" s="30">
        <f t="shared" si="9"/>
        <v>12</v>
      </c>
    </row>
    <row r="17">
      <c r="A17" s="30">
        <f t="shared" si="7"/>
        <v>13</v>
      </c>
      <c r="B17" s="51" t="s">
        <v>100</v>
      </c>
      <c r="C17" s="32">
        <v>242.0</v>
      </c>
      <c r="D17" s="32">
        <v>19.0</v>
      </c>
      <c r="E17" s="35">
        <f t="shared" si="2"/>
        <v>13.90909091</v>
      </c>
      <c r="F17" s="37">
        <v>3.0</v>
      </c>
      <c r="G17" s="39">
        <v>0.0</v>
      </c>
      <c r="H17" s="40">
        <v>9.0</v>
      </c>
      <c r="I17" s="39">
        <v>0.0</v>
      </c>
      <c r="J17" s="39">
        <v>0.0</v>
      </c>
      <c r="K17" s="39">
        <v>0.0</v>
      </c>
      <c r="L17" s="42">
        <v>9.0</v>
      </c>
      <c r="M17" s="39">
        <v>0.0</v>
      </c>
      <c r="N17" s="32">
        <f t="shared" ref="N17:O17" si="19">C17+L17</f>
        <v>251</v>
      </c>
      <c r="O17" s="32">
        <f t="shared" si="19"/>
        <v>19</v>
      </c>
      <c r="P17" s="43" t="s">
        <v>53</v>
      </c>
      <c r="Q17" s="43" t="s">
        <v>53</v>
      </c>
      <c r="R17" s="43"/>
      <c r="S17" s="39">
        <f t="shared" si="4"/>
        <v>2</v>
      </c>
      <c r="T17" s="39"/>
      <c r="U17" s="39">
        <f t="shared" si="5"/>
        <v>7</v>
      </c>
      <c r="V17" s="39">
        <f t="shared" si="6"/>
        <v>-4</v>
      </c>
      <c r="W17" s="30">
        <f t="shared" si="9"/>
        <v>13</v>
      </c>
    </row>
    <row r="18">
      <c r="A18" s="30">
        <f t="shared" si="7"/>
        <v>14</v>
      </c>
      <c r="B18" s="31" t="s">
        <v>98</v>
      </c>
      <c r="C18" s="32">
        <v>241.0</v>
      </c>
      <c r="D18" s="32">
        <v>18.0</v>
      </c>
      <c r="E18" s="35">
        <f t="shared" si="2"/>
        <v>13.41666667</v>
      </c>
      <c r="F18" s="37">
        <v>2.0</v>
      </c>
      <c r="G18" s="39">
        <v>3.0</v>
      </c>
      <c r="H18" s="40">
        <v>0.0</v>
      </c>
      <c r="I18" s="39">
        <v>6.0</v>
      </c>
      <c r="J18" s="39">
        <v>3.0</v>
      </c>
      <c r="K18" s="39">
        <v>0.0</v>
      </c>
      <c r="L18" s="42">
        <v>9.0</v>
      </c>
      <c r="M18" s="39">
        <v>0.0</v>
      </c>
      <c r="N18" s="32">
        <f t="shared" ref="N18:O18" si="20">C18+L18</f>
        <v>250</v>
      </c>
      <c r="O18" s="32">
        <f t="shared" si="20"/>
        <v>18</v>
      </c>
      <c r="P18" s="43" t="s">
        <v>53</v>
      </c>
      <c r="Q18" s="43" t="s">
        <v>53</v>
      </c>
      <c r="R18" s="43"/>
      <c r="S18" s="39">
        <f t="shared" si="4"/>
        <v>2</v>
      </c>
      <c r="T18" s="39"/>
      <c r="U18" s="39">
        <f t="shared" si="5"/>
        <v>6</v>
      </c>
      <c r="V18" s="39">
        <f t="shared" si="6"/>
        <v>0</v>
      </c>
      <c r="W18" s="30">
        <f t="shared" si="9"/>
        <v>14</v>
      </c>
    </row>
    <row r="19">
      <c r="A19" s="30">
        <f t="shared" si="7"/>
        <v>15</v>
      </c>
      <c r="B19" s="31" t="s">
        <v>86</v>
      </c>
      <c r="C19" s="32">
        <v>241.0</v>
      </c>
      <c r="D19" s="32">
        <v>18.0</v>
      </c>
      <c r="E19" s="35">
        <f t="shared" si="2"/>
        <v>12</v>
      </c>
      <c r="F19" s="37">
        <v>2.0</v>
      </c>
      <c r="G19" s="39">
        <v>3.0</v>
      </c>
      <c r="H19" s="40">
        <v>0.0</v>
      </c>
      <c r="I19" s="39">
        <v>6.0</v>
      </c>
      <c r="J19" s="39">
        <v>6.0</v>
      </c>
      <c r="K19" s="39">
        <v>6.0</v>
      </c>
      <c r="L19" s="42">
        <v>18.0</v>
      </c>
      <c r="M19" s="39">
        <v>2.0</v>
      </c>
      <c r="N19" s="32">
        <f t="shared" ref="N19:O19" si="21">C19+L19</f>
        <v>259</v>
      </c>
      <c r="O19" s="32">
        <f t="shared" si="21"/>
        <v>20</v>
      </c>
      <c r="P19" s="43" t="s">
        <v>53</v>
      </c>
      <c r="Q19" s="43" t="s">
        <v>53</v>
      </c>
      <c r="R19" s="43"/>
      <c r="S19" s="39">
        <f t="shared" si="4"/>
        <v>4</v>
      </c>
      <c r="T19" s="39"/>
      <c r="U19" s="39">
        <f t="shared" si="5"/>
        <v>1</v>
      </c>
      <c r="V19" s="39">
        <f t="shared" si="6"/>
        <v>-5</v>
      </c>
      <c r="W19" s="30">
        <f t="shared" si="9"/>
        <v>15</v>
      </c>
    </row>
    <row r="20">
      <c r="A20" s="30">
        <f t="shared" si="7"/>
        <v>16</v>
      </c>
      <c r="B20" s="51" t="s">
        <v>84</v>
      </c>
      <c r="C20" s="32">
        <v>241.0</v>
      </c>
      <c r="D20" s="32">
        <v>17.0</v>
      </c>
      <c r="E20" s="35">
        <f t="shared" si="2"/>
        <v>12.26666667</v>
      </c>
      <c r="F20" s="37">
        <v>5.0</v>
      </c>
      <c r="G20" s="39">
        <v>0.0</v>
      </c>
      <c r="H20" s="40">
        <v>13.0</v>
      </c>
      <c r="I20" s="39">
        <v>0.0</v>
      </c>
      <c r="J20" s="39">
        <v>0.0</v>
      </c>
      <c r="K20" s="39">
        <v>0.0</v>
      </c>
      <c r="L20" s="42">
        <v>13.0</v>
      </c>
      <c r="M20" s="39">
        <v>0.0</v>
      </c>
      <c r="N20" s="32">
        <f t="shared" ref="N20:O20" si="22">C20+L20</f>
        <v>254</v>
      </c>
      <c r="O20" s="32">
        <f t="shared" si="22"/>
        <v>17</v>
      </c>
      <c r="P20" s="43" t="s">
        <v>53</v>
      </c>
      <c r="Q20" s="43" t="s">
        <v>53</v>
      </c>
      <c r="R20" s="43"/>
      <c r="S20" s="39">
        <f t="shared" si="4"/>
        <v>3</v>
      </c>
      <c r="T20" s="39"/>
      <c r="U20" s="39">
        <f t="shared" si="5"/>
        <v>2</v>
      </c>
      <c r="V20" s="39">
        <f t="shared" si="6"/>
        <v>2</v>
      </c>
      <c r="W20" s="30">
        <f t="shared" si="9"/>
        <v>16</v>
      </c>
    </row>
    <row r="21">
      <c r="A21" s="30">
        <f t="shared" si="7"/>
        <v>17</v>
      </c>
      <c r="B21" s="31" t="s">
        <v>83</v>
      </c>
      <c r="C21" s="32">
        <v>240.0</v>
      </c>
      <c r="D21" s="32">
        <v>20.0</v>
      </c>
      <c r="E21" s="35">
        <f t="shared" si="2"/>
        <v>14.45454545</v>
      </c>
      <c r="F21" s="37">
        <v>1.0</v>
      </c>
      <c r="G21" s="39">
        <v>3.0</v>
      </c>
      <c r="H21" s="40">
        <v>0.0</v>
      </c>
      <c r="I21" s="39">
        <v>7.0</v>
      </c>
      <c r="J21" s="39">
        <v>6.0</v>
      </c>
      <c r="K21" s="39">
        <v>0.0</v>
      </c>
      <c r="L21" s="42">
        <v>13.0</v>
      </c>
      <c r="M21" s="39">
        <v>2.0</v>
      </c>
      <c r="N21" s="32">
        <f t="shared" ref="N21:O21" si="23">C21+L21</f>
        <v>253</v>
      </c>
      <c r="O21" s="32">
        <f t="shared" si="23"/>
        <v>22</v>
      </c>
      <c r="P21" s="43" t="s">
        <v>53</v>
      </c>
      <c r="Q21" s="43" t="s">
        <v>53</v>
      </c>
      <c r="R21" s="43"/>
      <c r="S21" s="39">
        <f t="shared" si="4"/>
        <v>0</v>
      </c>
      <c r="T21" s="39"/>
      <c r="U21" s="39">
        <f t="shared" si="5"/>
        <v>9</v>
      </c>
      <c r="V21" s="39">
        <f t="shared" si="6"/>
        <v>4</v>
      </c>
      <c r="W21" s="30">
        <f t="shared" si="9"/>
        <v>17</v>
      </c>
    </row>
    <row r="22">
      <c r="A22" s="30">
        <f t="shared" si="7"/>
        <v>18</v>
      </c>
      <c r="B22" s="51" t="s">
        <v>78</v>
      </c>
      <c r="C22" s="32">
        <v>239.0</v>
      </c>
      <c r="D22" s="32">
        <v>22.0</v>
      </c>
      <c r="E22" s="35">
        <f t="shared" si="2"/>
        <v>12.10526316</v>
      </c>
      <c r="F22" s="37">
        <v>1.0</v>
      </c>
      <c r="G22" s="39">
        <v>3.0</v>
      </c>
      <c r="H22" s="40">
        <v>0.0</v>
      </c>
      <c r="I22" s="39">
        <v>7.0</v>
      </c>
      <c r="J22" s="39">
        <v>3.0</v>
      </c>
      <c r="K22" s="39">
        <v>6.0</v>
      </c>
      <c r="L22" s="42">
        <v>16.0</v>
      </c>
      <c r="M22" s="39">
        <v>2.0</v>
      </c>
      <c r="N22" s="32">
        <f t="shared" ref="N22:O22" si="24">C22+L22</f>
        <v>255</v>
      </c>
      <c r="O22" s="32">
        <f t="shared" si="24"/>
        <v>24</v>
      </c>
      <c r="P22" s="43" t="s">
        <v>53</v>
      </c>
      <c r="Q22" s="43" t="s">
        <v>53</v>
      </c>
      <c r="R22" s="43"/>
      <c r="S22" s="39">
        <f t="shared" si="4"/>
        <v>0</v>
      </c>
      <c r="T22" s="39"/>
      <c r="U22" s="39">
        <f t="shared" si="5"/>
        <v>1</v>
      </c>
      <c r="V22" s="39">
        <f t="shared" si="6"/>
        <v>-3</v>
      </c>
      <c r="W22" s="30">
        <f t="shared" si="9"/>
        <v>18</v>
      </c>
    </row>
    <row r="23">
      <c r="A23" s="30">
        <f t="shared" si="7"/>
        <v>19</v>
      </c>
      <c r="B23" s="56" t="s">
        <v>65</v>
      </c>
      <c r="C23" s="32">
        <v>238.0</v>
      </c>
      <c r="D23" s="32">
        <v>19.0</v>
      </c>
      <c r="E23" s="35">
        <f t="shared" si="2"/>
        <v>12.85714286</v>
      </c>
      <c r="F23" s="37">
        <v>5.0</v>
      </c>
      <c r="G23" s="39">
        <v>0.0</v>
      </c>
      <c r="H23" s="40">
        <v>13.0</v>
      </c>
      <c r="I23" s="39">
        <v>0.0</v>
      </c>
      <c r="J23" s="39">
        <v>0.0</v>
      </c>
      <c r="K23" s="39">
        <v>0.0</v>
      </c>
      <c r="L23" s="42">
        <v>13.0</v>
      </c>
      <c r="M23" s="39">
        <v>0.0</v>
      </c>
      <c r="N23" s="32">
        <f t="shared" ref="N23:O23" si="25">C23+L23</f>
        <v>251</v>
      </c>
      <c r="O23" s="32">
        <f t="shared" si="25"/>
        <v>19</v>
      </c>
      <c r="P23" s="43" t="s">
        <v>53</v>
      </c>
      <c r="Q23" s="43" t="s">
        <v>53</v>
      </c>
      <c r="R23" s="43"/>
      <c r="S23" s="39">
        <f t="shared" si="4"/>
        <v>1</v>
      </c>
      <c r="T23" s="39"/>
      <c r="U23" s="39">
        <f t="shared" si="5"/>
        <v>5</v>
      </c>
      <c r="V23" s="39">
        <f t="shared" si="6"/>
        <v>-2</v>
      </c>
      <c r="W23" s="30">
        <f t="shared" si="9"/>
        <v>19</v>
      </c>
    </row>
    <row r="24">
      <c r="A24" s="30">
        <f t="shared" si="7"/>
        <v>20</v>
      </c>
      <c r="B24" s="51" t="s">
        <v>93</v>
      </c>
      <c r="C24" s="32">
        <v>237.0</v>
      </c>
      <c r="D24" s="32">
        <v>19.0</v>
      </c>
      <c r="E24" s="35">
        <f t="shared" si="2"/>
        <v>12</v>
      </c>
      <c r="F24" s="37">
        <v>1.0</v>
      </c>
      <c r="G24" s="39">
        <v>4.0</v>
      </c>
      <c r="H24" s="40">
        <v>0.0</v>
      </c>
      <c r="I24" s="39">
        <v>2.0</v>
      </c>
      <c r="J24" s="39">
        <v>6.0</v>
      </c>
      <c r="K24" s="39">
        <v>3.0</v>
      </c>
      <c r="L24" s="42">
        <v>11.0</v>
      </c>
      <c r="M24" s="39">
        <v>1.0</v>
      </c>
      <c r="N24" s="32">
        <f t="shared" ref="N24:O24" si="26">C24+L24</f>
        <v>248</v>
      </c>
      <c r="O24" s="32">
        <f t="shared" si="26"/>
        <v>20</v>
      </c>
      <c r="P24" s="43" t="s">
        <v>53</v>
      </c>
      <c r="Q24" s="43" t="s">
        <v>53</v>
      </c>
      <c r="R24" s="43"/>
      <c r="S24" s="39">
        <f t="shared" si="4"/>
        <v>0</v>
      </c>
      <c r="T24" s="39"/>
      <c r="U24" s="39">
        <f t="shared" si="5"/>
        <v>1</v>
      </c>
      <c r="V24" s="39">
        <f t="shared" si="6"/>
        <v>-1</v>
      </c>
      <c r="W24" s="30">
        <f t="shared" si="9"/>
        <v>20</v>
      </c>
    </row>
    <row r="25">
      <c r="A25" s="30">
        <f t="shared" si="7"/>
        <v>21</v>
      </c>
      <c r="B25" s="31" t="s">
        <v>63</v>
      </c>
      <c r="C25" s="32">
        <v>236.0</v>
      </c>
      <c r="D25" s="32">
        <v>19.0</v>
      </c>
      <c r="E25" s="35">
        <f t="shared" si="2"/>
        <v>15.85714286</v>
      </c>
      <c r="F25" s="37">
        <v>3.0</v>
      </c>
      <c r="G25" s="39">
        <v>0.0</v>
      </c>
      <c r="H25" s="40">
        <v>9.0</v>
      </c>
      <c r="I25" s="39">
        <v>0.0</v>
      </c>
      <c r="J25" s="39">
        <v>0.0</v>
      </c>
      <c r="K25" s="39">
        <v>0.0</v>
      </c>
      <c r="L25" s="42">
        <v>9.0</v>
      </c>
      <c r="M25" s="39">
        <v>0.0</v>
      </c>
      <c r="N25" s="32">
        <f t="shared" ref="N25:O25" si="27">C25+L25</f>
        <v>245</v>
      </c>
      <c r="O25" s="32">
        <f t="shared" si="27"/>
        <v>19</v>
      </c>
      <c r="P25" s="43" t="s">
        <v>53</v>
      </c>
      <c r="Q25" s="43" t="s">
        <v>53</v>
      </c>
      <c r="R25" s="43"/>
      <c r="S25" s="39">
        <f t="shared" si="4"/>
        <v>2</v>
      </c>
      <c r="T25" s="39"/>
      <c r="U25" s="39">
        <f t="shared" si="5"/>
        <v>11</v>
      </c>
      <c r="V25" s="39">
        <f t="shared" si="6"/>
        <v>5</v>
      </c>
      <c r="W25" s="30">
        <f t="shared" si="9"/>
        <v>21</v>
      </c>
    </row>
    <row r="26">
      <c r="A26" s="30">
        <f t="shared" si="7"/>
        <v>22</v>
      </c>
      <c r="B26" s="31" t="s">
        <v>90</v>
      </c>
      <c r="C26" s="32">
        <v>233.0</v>
      </c>
      <c r="D26" s="32">
        <v>16.0</v>
      </c>
      <c r="E26" s="35">
        <f t="shared" si="2"/>
        <v>12.72727273</v>
      </c>
      <c r="F26" s="37">
        <v>2.0</v>
      </c>
      <c r="G26" s="39">
        <v>4.0</v>
      </c>
      <c r="H26" s="40">
        <v>0.0</v>
      </c>
      <c r="I26" s="39">
        <v>6.0</v>
      </c>
      <c r="J26" s="39">
        <v>6.0</v>
      </c>
      <c r="K26" s="39">
        <v>6.0</v>
      </c>
      <c r="L26" s="42">
        <v>18.0</v>
      </c>
      <c r="M26" s="39">
        <v>3.0</v>
      </c>
      <c r="N26" s="32">
        <f t="shared" ref="N26:O26" si="28">C26+L26</f>
        <v>251</v>
      </c>
      <c r="O26" s="32">
        <f t="shared" si="28"/>
        <v>19</v>
      </c>
      <c r="P26" s="43" t="s">
        <v>53</v>
      </c>
      <c r="Q26" s="43" t="s">
        <v>53</v>
      </c>
      <c r="R26" s="43"/>
      <c r="S26" s="39">
        <f t="shared" si="4"/>
        <v>3</v>
      </c>
      <c r="T26" s="39"/>
      <c r="U26" s="39">
        <f t="shared" si="5"/>
        <v>6</v>
      </c>
      <c r="V26" s="39">
        <f t="shared" si="6"/>
        <v>-2</v>
      </c>
      <c r="W26" s="30">
        <f t="shared" si="9"/>
        <v>22</v>
      </c>
    </row>
    <row r="27">
      <c r="A27" s="30">
        <f t="shared" si="7"/>
        <v>23</v>
      </c>
      <c r="B27" s="51" t="s">
        <v>94</v>
      </c>
      <c r="C27" s="32">
        <v>231.0</v>
      </c>
      <c r="D27" s="32">
        <v>13.0</v>
      </c>
      <c r="E27" s="35">
        <f t="shared" si="2"/>
        <v>13.3</v>
      </c>
      <c r="F27" s="37">
        <v>3.0</v>
      </c>
      <c r="G27" s="39">
        <v>0.0</v>
      </c>
      <c r="H27" s="40">
        <v>9.0</v>
      </c>
      <c r="I27" s="39">
        <v>0.0</v>
      </c>
      <c r="J27" s="39">
        <v>0.0</v>
      </c>
      <c r="K27" s="39">
        <v>0.0</v>
      </c>
      <c r="L27" s="42">
        <v>9.0</v>
      </c>
      <c r="M27" s="39">
        <v>0.0</v>
      </c>
      <c r="N27" s="32">
        <f t="shared" ref="N27:O27" si="29">C27+L27</f>
        <v>240</v>
      </c>
      <c r="O27" s="32">
        <f t="shared" si="29"/>
        <v>13</v>
      </c>
      <c r="P27" s="43" t="s">
        <v>53</v>
      </c>
      <c r="Q27" s="43" t="s">
        <v>53</v>
      </c>
      <c r="R27" s="43"/>
      <c r="S27" s="39">
        <f t="shared" si="4"/>
        <v>2</v>
      </c>
      <c r="T27" s="39"/>
      <c r="U27" s="39">
        <f t="shared" si="5"/>
        <v>8</v>
      </c>
      <c r="V27" s="39">
        <f t="shared" si="6"/>
        <v>-1</v>
      </c>
      <c r="W27" s="30">
        <f t="shared" si="9"/>
        <v>23</v>
      </c>
    </row>
    <row r="28">
      <c r="A28" s="30">
        <f t="shared" si="7"/>
        <v>24</v>
      </c>
      <c r="B28" s="51" t="s">
        <v>95</v>
      </c>
      <c r="C28" s="32">
        <v>230.0</v>
      </c>
      <c r="D28" s="32">
        <v>17.0</v>
      </c>
      <c r="E28" s="35">
        <f t="shared" si="2"/>
        <v>14.11111111</v>
      </c>
      <c r="F28" s="37">
        <v>3.0</v>
      </c>
      <c r="G28" s="39">
        <v>0.0</v>
      </c>
      <c r="H28" s="40">
        <v>9.0</v>
      </c>
      <c r="I28" s="39">
        <v>0.0</v>
      </c>
      <c r="J28" s="39">
        <v>0.0</v>
      </c>
      <c r="K28" s="39">
        <v>0.0</v>
      </c>
      <c r="L28" s="42">
        <v>9.0</v>
      </c>
      <c r="M28" s="39">
        <v>0.0</v>
      </c>
      <c r="N28" s="32">
        <f t="shared" ref="N28:O28" si="30">C28+L28</f>
        <v>239</v>
      </c>
      <c r="O28" s="32">
        <f t="shared" si="30"/>
        <v>17</v>
      </c>
      <c r="P28" s="43" t="s">
        <v>53</v>
      </c>
      <c r="Q28" s="43" t="s">
        <v>53</v>
      </c>
      <c r="R28" s="43"/>
      <c r="S28" s="39">
        <f t="shared" si="4"/>
        <v>1</v>
      </c>
      <c r="T28" s="39"/>
      <c r="U28" s="39">
        <f t="shared" si="5"/>
        <v>10</v>
      </c>
      <c r="V28" s="39">
        <f t="shared" si="6"/>
        <v>-1</v>
      </c>
      <c r="W28" s="30">
        <f t="shared" si="9"/>
        <v>24</v>
      </c>
    </row>
    <row r="29">
      <c r="A29" s="30">
        <f t="shared" si="7"/>
        <v>25</v>
      </c>
      <c r="B29" s="31" t="s">
        <v>89</v>
      </c>
      <c r="C29" s="32">
        <v>229.0</v>
      </c>
      <c r="D29" s="32">
        <v>12.0</v>
      </c>
      <c r="E29" s="35">
        <f t="shared" si="2"/>
        <v>14.8</v>
      </c>
      <c r="F29" s="37">
        <v>3.0</v>
      </c>
      <c r="G29" s="39">
        <v>0.0</v>
      </c>
      <c r="H29" s="40">
        <v>9.0</v>
      </c>
      <c r="I29" s="39">
        <v>0.0</v>
      </c>
      <c r="J29" s="39">
        <v>0.0</v>
      </c>
      <c r="K29" s="39">
        <v>0.0</v>
      </c>
      <c r="L29" s="42">
        <v>9.0</v>
      </c>
      <c r="M29" s="39">
        <v>0.0</v>
      </c>
      <c r="N29" s="32">
        <f t="shared" ref="N29:O29" si="31">C29+L29</f>
        <v>238</v>
      </c>
      <c r="O29" s="32">
        <f t="shared" si="31"/>
        <v>12</v>
      </c>
      <c r="P29" s="43" t="s">
        <v>53</v>
      </c>
      <c r="Q29" s="43" t="s">
        <v>53</v>
      </c>
      <c r="R29" s="43"/>
      <c r="S29" s="39">
        <f t="shared" si="4"/>
        <v>5</v>
      </c>
      <c r="T29" s="39"/>
      <c r="U29" s="39">
        <f t="shared" si="5"/>
        <v>10</v>
      </c>
      <c r="V29" s="39">
        <f t="shared" si="6"/>
        <v>-1</v>
      </c>
      <c r="W29" s="30">
        <f t="shared" si="9"/>
        <v>25</v>
      </c>
    </row>
    <row r="30">
      <c r="A30" s="30">
        <f t="shared" si="7"/>
        <v>26</v>
      </c>
      <c r="B30" s="31" t="s">
        <v>96</v>
      </c>
      <c r="C30" s="32">
        <v>228.0</v>
      </c>
      <c r="D30" s="32">
        <v>17.0</v>
      </c>
      <c r="E30" s="35">
        <f t="shared" si="2"/>
        <v>13</v>
      </c>
      <c r="F30" s="37">
        <v>2.0</v>
      </c>
      <c r="G30" s="39">
        <v>4.0</v>
      </c>
      <c r="H30" s="40">
        <v>0.0</v>
      </c>
      <c r="I30" s="39">
        <v>6.0</v>
      </c>
      <c r="J30" s="39">
        <v>4.0</v>
      </c>
      <c r="K30" s="39">
        <v>3.0</v>
      </c>
      <c r="L30" s="42">
        <v>13.0</v>
      </c>
      <c r="M30" s="39">
        <v>1.0</v>
      </c>
      <c r="N30" s="32">
        <f t="shared" ref="N30:O30" si="32">C30+L30</f>
        <v>241</v>
      </c>
      <c r="O30" s="32">
        <f t="shared" si="32"/>
        <v>18</v>
      </c>
      <c r="P30" s="43" t="s">
        <v>53</v>
      </c>
      <c r="Q30" s="43" t="s">
        <v>53</v>
      </c>
      <c r="R30" s="43"/>
      <c r="S30" s="39">
        <f t="shared" si="4"/>
        <v>2</v>
      </c>
      <c r="T30" s="39"/>
      <c r="U30" s="39">
        <f t="shared" si="5"/>
        <v>8</v>
      </c>
      <c r="V30" s="39">
        <f t="shared" si="6"/>
        <v>-1</v>
      </c>
      <c r="W30" s="30">
        <f t="shared" si="9"/>
        <v>26</v>
      </c>
    </row>
    <row r="31">
      <c r="A31" s="30">
        <f t="shared" si="7"/>
        <v>27</v>
      </c>
      <c r="B31" s="56" t="s">
        <v>101</v>
      </c>
      <c r="C31" s="32">
        <v>225.0</v>
      </c>
      <c r="D31" s="32">
        <v>15.0</v>
      </c>
      <c r="E31" s="35">
        <f t="shared" si="2"/>
        <v>12.46153846</v>
      </c>
      <c r="F31" s="37">
        <v>1.0</v>
      </c>
      <c r="G31" s="39">
        <v>4.0</v>
      </c>
      <c r="H31" s="40">
        <v>0.0</v>
      </c>
      <c r="I31" s="39">
        <v>2.0</v>
      </c>
      <c r="J31" s="39">
        <v>4.0</v>
      </c>
      <c r="K31" s="39">
        <v>6.0</v>
      </c>
      <c r="L31" s="42">
        <v>12.0</v>
      </c>
      <c r="M31" s="39">
        <v>1.0</v>
      </c>
      <c r="N31" s="32">
        <f t="shared" ref="N31:O31" si="33">C31+L31</f>
        <v>237</v>
      </c>
      <c r="O31" s="32">
        <f t="shared" si="33"/>
        <v>16</v>
      </c>
      <c r="P31" s="43" t="s">
        <v>53</v>
      </c>
      <c r="Q31" s="43" t="s">
        <v>53</v>
      </c>
      <c r="R31" s="43"/>
      <c r="S31" s="39">
        <f t="shared" si="4"/>
        <v>0</v>
      </c>
      <c r="T31" s="39"/>
      <c r="U31" s="39">
        <f t="shared" si="5"/>
        <v>7</v>
      </c>
      <c r="V31" s="39">
        <f t="shared" si="6"/>
        <v>4</v>
      </c>
      <c r="W31" s="30">
        <f t="shared" si="9"/>
        <v>27</v>
      </c>
    </row>
    <row r="32">
      <c r="A32" s="30">
        <f t="shared" si="7"/>
        <v>28</v>
      </c>
      <c r="B32" s="31" t="s">
        <v>73</v>
      </c>
      <c r="C32" s="32">
        <v>222.0</v>
      </c>
      <c r="D32" s="32">
        <v>13.0</v>
      </c>
      <c r="E32" s="35">
        <f t="shared" si="2"/>
        <v>12</v>
      </c>
      <c r="F32" s="37">
        <v>1.0</v>
      </c>
      <c r="G32" s="39">
        <v>5.0</v>
      </c>
      <c r="H32" s="40">
        <v>0.0</v>
      </c>
      <c r="I32" s="39">
        <v>6.0</v>
      </c>
      <c r="J32" s="39">
        <v>4.0</v>
      </c>
      <c r="K32" s="39">
        <v>6.0</v>
      </c>
      <c r="L32" s="42">
        <v>16.0</v>
      </c>
      <c r="M32" s="39">
        <v>1.0</v>
      </c>
      <c r="N32" s="32">
        <f t="shared" ref="N32:O32" si="34">C32+L32</f>
        <v>238</v>
      </c>
      <c r="O32" s="32">
        <f t="shared" si="34"/>
        <v>14</v>
      </c>
      <c r="P32" s="43" t="s">
        <v>53</v>
      </c>
      <c r="Q32" s="43" t="s">
        <v>53</v>
      </c>
      <c r="R32" s="43"/>
      <c r="S32" s="39">
        <f t="shared" si="4"/>
        <v>3</v>
      </c>
      <c r="T32" s="39"/>
      <c r="U32" s="39">
        <f t="shared" si="5"/>
        <v>7</v>
      </c>
      <c r="V32" s="39">
        <f t="shared" si="6"/>
        <v>6</v>
      </c>
      <c r="W32" s="30">
        <f t="shared" si="9"/>
        <v>28</v>
      </c>
    </row>
    <row r="33">
      <c r="A33" s="30">
        <f t="shared" si="7"/>
        <v>29</v>
      </c>
      <c r="B33" s="31" t="s">
        <v>105</v>
      </c>
      <c r="C33" s="32">
        <v>220.0</v>
      </c>
      <c r="D33" s="32">
        <v>10.0</v>
      </c>
      <c r="E33" s="35">
        <f t="shared" si="2"/>
        <v>13</v>
      </c>
      <c r="F33" s="37">
        <v>3.0</v>
      </c>
      <c r="G33" s="39">
        <v>0.0</v>
      </c>
      <c r="H33" s="40">
        <v>9.0</v>
      </c>
      <c r="I33" s="39">
        <v>0.0</v>
      </c>
      <c r="J33" s="39">
        <v>0.0</v>
      </c>
      <c r="K33" s="39">
        <v>0.0</v>
      </c>
      <c r="L33" s="42">
        <v>9.0</v>
      </c>
      <c r="M33" s="39">
        <v>0.0</v>
      </c>
      <c r="N33" s="32">
        <f t="shared" ref="N33:O33" si="35">C33+L33</f>
        <v>229</v>
      </c>
      <c r="O33" s="32">
        <f t="shared" si="35"/>
        <v>10</v>
      </c>
      <c r="P33" s="43" t="s">
        <v>53</v>
      </c>
      <c r="Q33" s="43" t="s">
        <v>53</v>
      </c>
      <c r="R33" s="43"/>
      <c r="S33" s="39">
        <f t="shared" si="4"/>
        <v>1</v>
      </c>
      <c r="T33" s="39"/>
      <c r="U33" s="39">
        <f t="shared" si="5"/>
        <v>10</v>
      </c>
      <c r="V33" s="39">
        <f t="shared" si="6"/>
        <v>-2</v>
      </c>
      <c r="W33" s="30">
        <f t="shared" si="9"/>
        <v>29</v>
      </c>
    </row>
    <row r="34">
      <c r="A34" s="30">
        <f t="shared" si="7"/>
        <v>30</v>
      </c>
      <c r="B34" s="31" t="s">
        <v>97</v>
      </c>
      <c r="C34" s="32">
        <v>219.0</v>
      </c>
      <c r="D34" s="32">
        <v>15.0</v>
      </c>
      <c r="E34" s="35">
        <f t="shared" si="2"/>
        <v>12.5</v>
      </c>
      <c r="F34" s="37">
        <v>1.0</v>
      </c>
      <c r="G34" s="39">
        <v>5.0</v>
      </c>
      <c r="H34" s="40">
        <v>0.0</v>
      </c>
      <c r="I34" s="39">
        <v>3.0</v>
      </c>
      <c r="J34" s="39">
        <v>6.0</v>
      </c>
      <c r="K34" s="39">
        <v>6.0</v>
      </c>
      <c r="L34" s="42">
        <v>15.0</v>
      </c>
      <c r="M34" s="39">
        <v>1.0</v>
      </c>
      <c r="N34" s="32">
        <f t="shared" ref="N34:O34" si="36">C34+L34</f>
        <v>234</v>
      </c>
      <c r="O34" s="32">
        <f t="shared" si="36"/>
        <v>16</v>
      </c>
      <c r="P34" s="43" t="s">
        <v>53</v>
      </c>
      <c r="Q34" s="43" t="s">
        <v>53</v>
      </c>
      <c r="R34" s="43"/>
      <c r="S34" s="39">
        <f t="shared" si="4"/>
        <v>1</v>
      </c>
      <c r="T34" s="39"/>
      <c r="U34" s="39">
        <f t="shared" si="5"/>
        <v>9</v>
      </c>
      <c r="V34" s="39">
        <f t="shared" si="6"/>
        <v>6</v>
      </c>
      <c r="W34" s="30">
        <f t="shared" si="9"/>
        <v>30</v>
      </c>
    </row>
    <row r="35">
      <c r="A35" s="30">
        <f t="shared" si="7"/>
        <v>31</v>
      </c>
      <c r="B35" s="51" t="s">
        <v>99</v>
      </c>
      <c r="C35" s="32">
        <v>218.0</v>
      </c>
      <c r="D35" s="32">
        <v>17.0</v>
      </c>
      <c r="E35" s="35">
        <f t="shared" si="2"/>
        <v>11.375</v>
      </c>
      <c r="F35" s="37">
        <v>1.0</v>
      </c>
      <c r="G35" s="39">
        <v>5.0</v>
      </c>
      <c r="H35" s="40">
        <v>0.0</v>
      </c>
      <c r="I35" s="39">
        <v>3.0</v>
      </c>
      <c r="J35" s="39">
        <v>4.0</v>
      </c>
      <c r="K35" s="39">
        <v>7.0</v>
      </c>
      <c r="L35" s="42">
        <v>14.0</v>
      </c>
      <c r="M35" s="39">
        <v>1.0</v>
      </c>
      <c r="N35" s="32">
        <f t="shared" ref="N35:O35" si="37">C35+L35</f>
        <v>232</v>
      </c>
      <c r="O35" s="32">
        <f t="shared" si="37"/>
        <v>18</v>
      </c>
      <c r="P35" s="43" t="s">
        <v>53</v>
      </c>
      <c r="Q35" s="43" t="s">
        <v>53</v>
      </c>
      <c r="R35" s="43"/>
      <c r="S35" s="39">
        <f t="shared" si="4"/>
        <v>0</v>
      </c>
      <c r="T35" s="39"/>
      <c r="U35" s="39">
        <f t="shared" si="5"/>
        <v>4</v>
      </c>
      <c r="V35" s="39">
        <f t="shared" si="6"/>
        <v>-2</v>
      </c>
      <c r="W35" s="30">
        <f t="shared" si="9"/>
        <v>31</v>
      </c>
    </row>
    <row r="36">
      <c r="A36" s="30">
        <f t="shared" si="7"/>
        <v>32</v>
      </c>
      <c r="B36" s="51" t="s">
        <v>103</v>
      </c>
      <c r="C36" s="32">
        <v>218.0</v>
      </c>
      <c r="D36" s="32">
        <v>15.0</v>
      </c>
      <c r="E36" s="35">
        <f t="shared" si="2"/>
        <v>12.33333333</v>
      </c>
      <c r="F36" s="37">
        <v>5.0</v>
      </c>
      <c r="G36" s="39">
        <v>0.0</v>
      </c>
      <c r="H36" s="40">
        <v>13.0</v>
      </c>
      <c r="I36" s="39">
        <v>0.0</v>
      </c>
      <c r="J36" s="39">
        <v>0.0</v>
      </c>
      <c r="K36" s="39">
        <v>0.0</v>
      </c>
      <c r="L36" s="42">
        <v>13.0</v>
      </c>
      <c r="M36" s="39">
        <v>0.0</v>
      </c>
      <c r="N36" s="32">
        <f t="shared" ref="N36:O36" si="38">C36+L36</f>
        <v>231</v>
      </c>
      <c r="O36" s="32">
        <f t="shared" si="38"/>
        <v>15</v>
      </c>
      <c r="P36" s="43" t="s">
        <v>53</v>
      </c>
      <c r="Q36" s="43" t="s">
        <v>53</v>
      </c>
      <c r="R36" s="43"/>
      <c r="S36" s="39">
        <f t="shared" si="4"/>
        <v>2</v>
      </c>
      <c r="T36" s="39"/>
      <c r="U36" s="39">
        <f t="shared" si="5"/>
        <v>9</v>
      </c>
      <c r="V36" s="39">
        <f t="shared" si="6"/>
        <v>-2</v>
      </c>
      <c r="W36" s="30">
        <f t="shared" si="9"/>
        <v>32</v>
      </c>
    </row>
    <row r="37">
      <c r="A37" s="30">
        <f t="shared" si="7"/>
        <v>33</v>
      </c>
      <c r="B37" s="51" t="s">
        <v>76</v>
      </c>
      <c r="C37" s="32">
        <v>217.0</v>
      </c>
      <c r="D37" s="32">
        <v>20.0</v>
      </c>
      <c r="E37" s="35">
        <f t="shared" si="2"/>
        <v>11.84615385</v>
      </c>
      <c r="F37" s="37">
        <v>1.0</v>
      </c>
      <c r="G37" s="39">
        <v>5.0</v>
      </c>
      <c r="H37" s="40">
        <v>0.0</v>
      </c>
      <c r="I37" s="39">
        <v>6.0</v>
      </c>
      <c r="J37" s="39">
        <v>6.0</v>
      </c>
      <c r="K37" s="39">
        <v>7.0</v>
      </c>
      <c r="L37" s="42">
        <v>19.0</v>
      </c>
      <c r="M37" s="39">
        <v>3.0</v>
      </c>
      <c r="N37" s="32">
        <f t="shared" ref="N37:O37" si="39">C37+L37</f>
        <v>236</v>
      </c>
      <c r="O37" s="32">
        <f t="shared" si="39"/>
        <v>23</v>
      </c>
      <c r="P37" s="43" t="s">
        <v>53</v>
      </c>
      <c r="Q37" s="43" t="s">
        <v>53</v>
      </c>
      <c r="R37" s="43"/>
      <c r="S37" s="39">
        <f t="shared" si="4"/>
        <v>0</v>
      </c>
      <c r="T37" s="39"/>
      <c r="U37" s="39">
        <f t="shared" si="5"/>
        <v>7</v>
      </c>
      <c r="V37" s="39">
        <f t="shared" si="6"/>
        <v>-5</v>
      </c>
      <c r="W37" s="30">
        <f t="shared" si="9"/>
        <v>33</v>
      </c>
    </row>
    <row r="38">
      <c r="A38" s="30">
        <f t="shared" si="7"/>
        <v>34</v>
      </c>
      <c r="B38" s="31" t="s">
        <v>46</v>
      </c>
      <c r="C38" s="32">
        <v>217.0</v>
      </c>
      <c r="D38" s="32">
        <v>16.0</v>
      </c>
      <c r="E38" s="35">
        <f t="shared" si="2"/>
        <v>11.84615385</v>
      </c>
      <c r="F38" s="37">
        <v>1.0</v>
      </c>
      <c r="G38" s="39">
        <v>6.0</v>
      </c>
      <c r="H38" s="40">
        <v>0.0</v>
      </c>
      <c r="I38" s="39">
        <v>2.0</v>
      </c>
      <c r="J38" s="39">
        <v>4.0</v>
      </c>
      <c r="K38" s="39">
        <v>1.0</v>
      </c>
      <c r="L38" s="42">
        <v>7.0</v>
      </c>
      <c r="M38" s="39">
        <v>0.0</v>
      </c>
      <c r="N38" s="32">
        <f t="shared" ref="N38:O38" si="40">C38+L38</f>
        <v>224</v>
      </c>
      <c r="O38" s="32">
        <f t="shared" si="40"/>
        <v>16</v>
      </c>
      <c r="P38" s="43" t="s">
        <v>53</v>
      </c>
      <c r="Q38" s="43" t="s">
        <v>53</v>
      </c>
      <c r="R38" s="43"/>
      <c r="S38" s="39">
        <f t="shared" si="4"/>
        <v>0</v>
      </c>
      <c r="T38" s="39"/>
      <c r="U38" s="39">
        <f t="shared" si="5"/>
        <v>7</v>
      </c>
      <c r="V38" s="39">
        <f t="shared" si="6"/>
        <v>1</v>
      </c>
      <c r="W38" s="30">
        <f t="shared" si="9"/>
        <v>34</v>
      </c>
    </row>
    <row r="39">
      <c r="A39" s="30">
        <f t="shared" si="7"/>
        <v>35</v>
      </c>
      <c r="B39" s="31" t="s">
        <v>109</v>
      </c>
      <c r="C39" s="32">
        <v>217.0</v>
      </c>
      <c r="D39" s="32">
        <v>9.0</v>
      </c>
      <c r="E39" s="35">
        <f t="shared" si="2"/>
        <v>14.25</v>
      </c>
      <c r="F39" s="37">
        <v>3.0</v>
      </c>
      <c r="G39" s="39">
        <v>0.0</v>
      </c>
      <c r="H39" s="40">
        <v>9.0</v>
      </c>
      <c r="I39" s="39">
        <v>0.0</v>
      </c>
      <c r="J39" s="39">
        <v>0.0</v>
      </c>
      <c r="K39" s="39">
        <v>0.0</v>
      </c>
      <c r="L39" s="42">
        <v>9.0</v>
      </c>
      <c r="M39" s="39">
        <v>0.0</v>
      </c>
      <c r="N39" s="32">
        <f t="shared" ref="N39:O39" si="41">C39+L39</f>
        <v>226</v>
      </c>
      <c r="O39" s="32">
        <f t="shared" si="41"/>
        <v>9</v>
      </c>
      <c r="P39" s="43" t="s">
        <v>53</v>
      </c>
      <c r="Q39" s="43"/>
      <c r="R39" s="43"/>
      <c r="S39" s="39">
        <f t="shared" si="4"/>
        <v>4</v>
      </c>
      <c r="T39" s="39"/>
      <c r="U39" s="39">
        <f t="shared" si="5"/>
        <v>12</v>
      </c>
      <c r="V39" s="39">
        <f t="shared" si="6"/>
        <v>-3</v>
      </c>
      <c r="W39" s="30">
        <f t="shared" si="9"/>
        <v>35</v>
      </c>
    </row>
    <row r="40">
      <c r="A40" s="30">
        <f t="shared" si="7"/>
        <v>36</v>
      </c>
      <c r="B40" s="51" t="s">
        <v>104</v>
      </c>
      <c r="C40" s="32">
        <v>215.0</v>
      </c>
      <c r="D40" s="32">
        <v>19.0</v>
      </c>
      <c r="E40" s="35">
        <f t="shared" si="2"/>
        <v>11.1875</v>
      </c>
      <c r="F40" s="37">
        <v>3.0</v>
      </c>
      <c r="G40" s="39">
        <v>0.0</v>
      </c>
      <c r="H40" s="40">
        <v>9.0</v>
      </c>
      <c r="I40" s="39">
        <v>0.0</v>
      </c>
      <c r="J40" s="39">
        <v>0.0</v>
      </c>
      <c r="K40" s="39">
        <v>0.0</v>
      </c>
      <c r="L40" s="42">
        <v>9.0</v>
      </c>
      <c r="M40" s="39">
        <v>0.0</v>
      </c>
      <c r="N40" s="32">
        <f t="shared" ref="N40:O40" si="42">C40+L40</f>
        <v>224</v>
      </c>
      <c r="O40" s="32">
        <f t="shared" si="42"/>
        <v>19</v>
      </c>
      <c r="P40" s="43" t="s">
        <v>53</v>
      </c>
      <c r="Q40" s="43" t="s">
        <v>53</v>
      </c>
      <c r="R40" s="43"/>
      <c r="S40" s="39">
        <f t="shared" si="4"/>
        <v>0</v>
      </c>
      <c r="T40" s="39"/>
      <c r="U40" s="39">
        <f t="shared" si="5"/>
        <v>4</v>
      </c>
      <c r="V40" s="39">
        <f t="shared" si="6"/>
        <v>-3</v>
      </c>
      <c r="W40" s="30">
        <f t="shared" si="9"/>
        <v>36</v>
      </c>
    </row>
    <row r="41">
      <c r="A41" s="30">
        <f t="shared" si="7"/>
        <v>37</v>
      </c>
      <c r="B41" s="51" t="s">
        <v>108</v>
      </c>
      <c r="C41" s="32">
        <v>215.0</v>
      </c>
      <c r="D41" s="32">
        <v>13.0</v>
      </c>
      <c r="E41" s="35">
        <f t="shared" si="2"/>
        <v>13.5</v>
      </c>
      <c r="F41" s="37">
        <v>5.0</v>
      </c>
      <c r="G41" s="39">
        <v>0.0</v>
      </c>
      <c r="H41" s="40">
        <v>13.0</v>
      </c>
      <c r="I41" s="39">
        <v>0.0</v>
      </c>
      <c r="J41" s="39">
        <v>0.0</v>
      </c>
      <c r="K41" s="39">
        <v>0.0</v>
      </c>
      <c r="L41" s="42">
        <v>13.0</v>
      </c>
      <c r="M41" s="39">
        <v>0.0</v>
      </c>
      <c r="N41" s="32">
        <f t="shared" ref="N41:O41" si="43">C41+L41</f>
        <v>228</v>
      </c>
      <c r="O41" s="32">
        <f t="shared" si="43"/>
        <v>13</v>
      </c>
      <c r="P41" s="43" t="s">
        <v>53</v>
      </c>
      <c r="Q41" s="43" t="s">
        <v>53</v>
      </c>
      <c r="R41" s="43"/>
      <c r="S41" s="39">
        <f t="shared" si="4"/>
        <v>2</v>
      </c>
      <c r="T41" s="39"/>
      <c r="U41" s="39">
        <f t="shared" si="5"/>
        <v>12</v>
      </c>
      <c r="V41" s="39">
        <f t="shared" si="6"/>
        <v>2</v>
      </c>
      <c r="W41" s="30">
        <f t="shared" si="9"/>
        <v>37</v>
      </c>
    </row>
    <row r="42">
      <c r="A42" s="30">
        <f t="shared" si="7"/>
        <v>38</v>
      </c>
      <c r="B42" s="56" t="s">
        <v>110</v>
      </c>
      <c r="C42" s="32">
        <v>209.0</v>
      </c>
      <c r="D42" s="32">
        <v>10.0</v>
      </c>
      <c r="E42" s="35">
        <f t="shared" si="2"/>
        <v>10.18181818</v>
      </c>
      <c r="F42" s="37">
        <v>2.0</v>
      </c>
      <c r="G42" s="39">
        <v>6.0</v>
      </c>
      <c r="H42" s="40">
        <v>0.0</v>
      </c>
      <c r="I42" s="39">
        <v>2.0</v>
      </c>
      <c r="J42" s="39">
        <v>6.0</v>
      </c>
      <c r="K42" s="39">
        <v>6.0</v>
      </c>
      <c r="L42" s="42">
        <v>14.0</v>
      </c>
      <c r="M42" s="39">
        <v>2.0</v>
      </c>
      <c r="N42" s="32">
        <f t="shared" ref="N42:O42" si="44">C42+L42</f>
        <v>223</v>
      </c>
      <c r="O42" s="32">
        <f t="shared" si="44"/>
        <v>12</v>
      </c>
      <c r="P42" s="43" t="s">
        <v>53</v>
      </c>
      <c r="Q42" s="43" t="s">
        <v>53</v>
      </c>
      <c r="R42" s="43"/>
      <c r="S42" s="39">
        <f t="shared" si="4"/>
        <v>4</v>
      </c>
      <c r="T42" s="39"/>
      <c r="U42" s="39">
        <f t="shared" si="5"/>
        <v>5</v>
      </c>
      <c r="V42" s="39">
        <f t="shared" si="6"/>
        <v>-1</v>
      </c>
      <c r="W42" s="30">
        <f t="shared" si="9"/>
        <v>38</v>
      </c>
    </row>
    <row r="43">
      <c r="A43" s="30">
        <f t="shared" si="7"/>
        <v>39</v>
      </c>
      <c r="B43" s="51" t="s">
        <v>102</v>
      </c>
      <c r="C43" s="32">
        <v>209.0</v>
      </c>
      <c r="D43" s="32">
        <v>9.0</v>
      </c>
      <c r="E43" s="35">
        <f t="shared" si="2"/>
        <v>12.5</v>
      </c>
      <c r="F43" s="37">
        <v>1.0</v>
      </c>
      <c r="G43" s="39">
        <v>6.0</v>
      </c>
      <c r="H43" s="40">
        <v>0.0</v>
      </c>
      <c r="I43" s="39">
        <v>6.0</v>
      </c>
      <c r="J43" s="39">
        <v>6.0</v>
      </c>
      <c r="K43" s="39">
        <v>1.0</v>
      </c>
      <c r="L43" s="42">
        <v>13.0</v>
      </c>
      <c r="M43" s="39">
        <v>2.0</v>
      </c>
      <c r="N43" s="32">
        <f t="shared" ref="N43:O43" si="45">C43+L43</f>
        <v>222</v>
      </c>
      <c r="O43" s="32">
        <f t="shared" si="45"/>
        <v>11</v>
      </c>
      <c r="P43" s="43" t="s">
        <v>53</v>
      </c>
      <c r="Q43" s="43" t="s">
        <v>53</v>
      </c>
      <c r="R43" s="43"/>
      <c r="S43" s="39">
        <f t="shared" si="4"/>
        <v>2</v>
      </c>
      <c r="T43" s="39"/>
      <c r="U43" s="39">
        <f t="shared" si="5"/>
        <v>12</v>
      </c>
      <c r="V43" s="39">
        <f t="shared" si="6"/>
        <v>6</v>
      </c>
      <c r="W43" s="30">
        <f t="shared" si="9"/>
        <v>39</v>
      </c>
    </row>
    <row r="44">
      <c r="A44" s="30">
        <f t="shared" si="7"/>
        <v>40</v>
      </c>
      <c r="B44" s="51" t="s">
        <v>114</v>
      </c>
      <c r="C44" s="32">
        <v>207.0</v>
      </c>
      <c r="D44" s="32">
        <v>13.0</v>
      </c>
      <c r="E44" s="35">
        <f t="shared" si="2"/>
        <v>10.72727273</v>
      </c>
      <c r="F44" s="37">
        <v>3.0</v>
      </c>
      <c r="G44" s="39">
        <v>0.0</v>
      </c>
      <c r="H44" s="40">
        <v>9.0</v>
      </c>
      <c r="I44" s="39">
        <v>0.0</v>
      </c>
      <c r="J44" s="39">
        <v>0.0</v>
      </c>
      <c r="K44" s="39">
        <v>0.0</v>
      </c>
      <c r="L44" s="42">
        <v>9.0</v>
      </c>
      <c r="M44" s="39">
        <v>0.0</v>
      </c>
      <c r="N44" s="32">
        <f t="shared" ref="N44:O44" si="46">C44+L44</f>
        <v>216</v>
      </c>
      <c r="O44" s="32">
        <f t="shared" si="46"/>
        <v>13</v>
      </c>
      <c r="P44" s="43" t="s">
        <v>53</v>
      </c>
      <c r="Q44" s="43" t="s">
        <v>53</v>
      </c>
      <c r="R44" s="43"/>
      <c r="S44" s="39">
        <f t="shared" si="4"/>
        <v>2</v>
      </c>
      <c r="T44" s="39"/>
      <c r="U44" s="39">
        <f t="shared" si="5"/>
        <v>7</v>
      </c>
      <c r="V44" s="39">
        <f t="shared" si="6"/>
        <v>-2</v>
      </c>
      <c r="W44" s="30">
        <f t="shared" si="9"/>
        <v>40</v>
      </c>
    </row>
    <row r="45">
      <c r="A45" s="30">
        <f t="shared" si="7"/>
        <v>41</v>
      </c>
      <c r="B45" s="57" t="s">
        <v>106</v>
      </c>
      <c r="C45" s="32">
        <v>205.0</v>
      </c>
      <c r="D45" s="32">
        <v>10.0</v>
      </c>
      <c r="E45" s="35">
        <f t="shared" si="2"/>
        <v>13.16666667</v>
      </c>
      <c r="F45" s="37">
        <v>1.0</v>
      </c>
      <c r="G45" s="39">
        <v>6.0</v>
      </c>
      <c r="H45" s="40">
        <v>0.0</v>
      </c>
      <c r="I45" s="39">
        <v>6.0</v>
      </c>
      <c r="J45" s="39">
        <v>4.0</v>
      </c>
      <c r="K45" s="39">
        <v>6.0</v>
      </c>
      <c r="L45" s="42">
        <v>16.0</v>
      </c>
      <c r="M45" s="39">
        <v>2.0</v>
      </c>
      <c r="N45" s="32">
        <f t="shared" ref="N45:O45" si="47">C45+L45</f>
        <v>221</v>
      </c>
      <c r="O45" s="32">
        <f t="shared" si="47"/>
        <v>12</v>
      </c>
      <c r="P45" s="43" t="s">
        <v>53</v>
      </c>
      <c r="Q45" s="43" t="s">
        <v>53</v>
      </c>
      <c r="R45" s="43"/>
      <c r="S45" s="39">
        <f t="shared" si="4"/>
        <v>0</v>
      </c>
      <c r="T45" s="39"/>
      <c r="U45" s="39">
        <f t="shared" si="5"/>
        <v>14</v>
      </c>
      <c r="V45" s="39">
        <f t="shared" si="6"/>
        <v>-1</v>
      </c>
      <c r="W45" s="30">
        <f t="shared" si="9"/>
        <v>41</v>
      </c>
    </row>
    <row r="46">
      <c r="A46" s="30">
        <f t="shared" si="7"/>
        <v>42</v>
      </c>
      <c r="B46" s="56" t="s">
        <v>107</v>
      </c>
      <c r="C46" s="32">
        <v>204.0</v>
      </c>
      <c r="D46" s="32">
        <v>17.0</v>
      </c>
      <c r="E46" s="35">
        <f t="shared" si="2"/>
        <v>10.5</v>
      </c>
      <c r="F46" s="37">
        <v>1.0</v>
      </c>
      <c r="G46" s="39">
        <v>7.0</v>
      </c>
      <c r="H46" s="40">
        <v>0.0</v>
      </c>
      <c r="I46" s="39">
        <v>3.0</v>
      </c>
      <c r="J46" s="39">
        <v>3.0</v>
      </c>
      <c r="K46" s="39">
        <v>2.0</v>
      </c>
      <c r="L46" s="42">
        <v>8.0</v>
      </c>
      <c r="M46" s="39">
        <v>0.0</v>
      </c>
      <c r="N46" s="32">
        <f t="shared" ref="N46:O46" si="48">C46+L46</f>
        <v>212</v>
      </c>
      <c r="O46" s="32">
        <f t="shared" si="48"/>
        <v>17</v>
      </c>
      <c r="P46" s="43" t="s">
        <v>53</v>
      </c>
      <c r="Q46" s="43" t="s">
        <v>53</v>
      </c>
      <c r="R46" s="43"/>
      <c r="S46" s="39">
        <f t="shared" si="4"/>
        <v>0</v>
      </c>
      <c r="T46" s="39"/>
      <c r="U46" s="39">
        <f t="shared" si="5"/>
        <v>4</v>
      </c>
      <c r="V46" s="39">
        <f t="shared" si="6"/>
        <v>4</v>
      </c>
      <c r="W46" s="30">
        <f t="shared" si="9"/>
        <v>42</v>
      </c>
    </row>
    <row r="47">
      <c r="A47" s="30">
        <f t="shared" si="7"/>
        <v>43</v>
      </c>
      <c r="B47" s="31" t="s">
        <v>79</v>
      </c>
      <c r="C47" s="32">
        <v>204.0</v>
      </c>
      <c r="D47" s="32">
        <v>9.0</v>
      </c>
      <c r="E47" s="35">
        <f t="shared" si="2"/>
        <v>10.71428571</v>
      </c>
      <c r="F47" s="37">
        <v>1.0</v>
      </c>
      <c r="G47" s="39">
        <v>7.0</v>
      </c>
      <c r="H47" s="40">
        <v>0.0</v>
      </c>
      <c r="I47" s="39">
        <v>6.0</v>
      </c>
      <c r="J47" s="39">
        <v>6.0</v>
      </c>
      <c r="K47" s="39">
        <v>2.0</v>
      </c>
      <c r="L47" s="42">
        <v>14.0</v>
      </c>
      <c r="M47" s="39">
        <v>2.0</v>
      </c>
      <c r="N47" s="32">
        <f t="shared" ref="N47:O47" si="49">C47+L47</f>
        <v>218</v>
      </c>
      <c r="O47" s="32">
        <f t="shared" si="49"/>
        <v>11</v>
      </c>
      <c r="P47" s="43" t="s">
        <v>53</v>
      </c>
      <c r="Q47" s="43" t="s">
        <v>53</v>
      </c>
      <c r="R47" s="43"/>
      <c r="S47" s="39">
        <f t="shared" si="4"/>
        <v>3</v>
      </c>
      <c r="T47" s="39"/>
      <c r="U47" s="39">
        <f t="shared" si="5"/>
        <v>10</v>
      </c>
      <c r="V47" s="39">
        <f t="shared" si="6"/>
        <v>-2</v>
      </c>
      <c r="W47" s="30">
        <f t="shared" si="9"/>
        <v>43</v>
      </c>
    </row>
    <row r="48">
      <c r="A48" s="30">
        <f t="shared" si="7"/>
        <v>44</v>
      </c>
      <c r="B48" s="51" t="s">
        <v>111</v>
      </c>
      <c r="C48" s="32">
        <v>201.0</v>
      </c>
      <c r="D48" s="32">
        <v>9.0</v>
      </c>
      <c r="E48" s="35">
        <f t="shared" si="2"/>
        <v>11.1</v>
      </c>
      <c r="F48" s="37">
        <v>1.0</v>
      </c>
      <c r="G48" s="39">
        <v>7.0</v>
      </c>
      <c r="H48" s="40">
        <v>0.0</v>
      </c>
      <c r="I48" s="39">
        <v>3.0</v>
      </c>
      <c r="J48" s="39">
        <v>6.0</v>
      </c>
      <c r="K48" s="39">
        <v>6.0</v>
      </c>
      <c r="L48" s="42">
        <v>15.0</v>
      </c>
      <c r="M48" s="39">
        <v>2.0</v>
      </c>
      <c r="N48" s="32">
        <f t="shared" ref="N48:O48" si="50">C48+L48</f>
        <v>216</v>
      </c>
      <c r="O48" s="32">
        <f t="shared" si="50"/>
        <v>11</v>
      </c>
      <c r="P48" s="43" t="s">
        <v>53</v>
      </c>
      <c r="Q48" s="43" t="s">
        <v>53</v>
      </c>
      <c r="R48" s="43"/>
      <c r="S48" s="39">
        <f t="shared" si="4"/>
        <v>0</v>
      </c>
      <c r="T48" s="39"/>
      <c r="U48" s="39">
        <f t="shared" si="5"/>
        <v>10</v>
      </c>
      <c r="V48" s="39">
        <f t="shared" si="6"/>
        <v>-2</v>
      </c>
      <c r="W48" s="30">
        <f t="shared" si="9"/>
        <v>44</v>
      </c>
    </row>
    <row r="49">
      <c r="A49" s="30">
        <f t="shared" si="7"/>
        <v>45</v>
      </c>
      <c r="B49" s="31" t="s">
        <v>81</v>
      </c>
      <c r="C49" s="32">
        <v>199.0</v>
      </c>
      <c r="D49" s="32">
        <v>7.0</v>
      </c>
      <c r="E49" s="35">
        <f t="shared" si="2"/>
        <v>11.2</v>
      </c>
      <c r="F49" s="37">
        <v>3.0</v>
      </c>
      <c r="G49" s="39">
        <v>0.0</v>
      </c>
      <c r="H49" s="40">
        <v>9.0</v>
      </c>
      <c r="I49" s="39">
        <v>0.0</v>
      </c>
      <c r="J49" s="39">
        <v>0.0</v>
      </c>
      <c r="K49" s="39">
        <v>0.0</v>
      </c>
      <c r="L49" s="42">
        <v>9.0</v>
      </c>
      <c r="M49" s="39">
        <v>0.0</v>
      </c>
      <c r="N49" s="32">
        <f t="shared" ref="N49:O49" si="51">C49+L49</f>
        <v>208</v>
      </c>
      <c r="O49" s="32">
        <f t="shared" si="51"/>
        <v>7</v>
      </c>
      <c r="P49" s="43" t="s">
        <v>53</v>
      </c>
      <c r="Q49" s="43" t="s">
        <v>53</v>
      </c>
      <c r="R49" s="43"/>
      <c r="S49" s="39">
        <f t="shared" si="4"/>
        <v>2</v>
      </c>
      <c r="T49" s="39"/>
      <c r="U49" s="39">
        <f t="shared" si="5"/>
        <v>13</v>
      </c>
      <c r="V49" s="39">
        <f t="shared" si="6"/>
        <v>-2</v>
      </c>
      <c r="W49" s="30">
        <f t="shared" si="9"/>
        <v>45</v>
      </c>
    </row>
    <row r="50">
      <c r="A50" s="30">
        <f t="shared" si="7"/>
        <v>46</v>
      </c>
      <c r="B50" s="51" t="s">
        <v>75</v>
      </c>
      <c r="C50" s="32">
        <v>199.0</v>
      </c>
      <c r="D50" s="32">
        <v>6.0</v>
      </c>
      <c r="E50" s="35">
        <f t="shared" si="2"/>
        <v>14.5</v>
      </c>
      <c r="F50" s="37">
        <v>3.0</v>
      </c>
      <c r="G50" s="39">
        <v>0.0</v>
      </c>
      <c r="H50" s="40">
        <v>9.0</v>
      </c>
      <c r="I50" s="39">
        <v>0.0</v>
      </c>
      <c r="J50" s="39">
        <v>0.0</v>
      </c>
      <c r="K50" s="39">
        <v>0.0</v>
      </c>
      <c r="L50" s="42">
        <v>9.0</v>
      </c>
      <c r="M50" s="39">
        <v>0.0</v>
      </c>
      <c r="N50" s="32">
        <f t="shared" ref="N50:O50" si="52">C50+L50</f>
        <v>208</v>
      </c>
      <c r="O50" s="32">
        <f t="shared" si="52"/>
        <v>6</v>
      </c>
      <c r="P50" s="43" t="s">
        <v>53</v>
      </c>
      <c r="Q50" s="43" t="s">
        <v>53</v>
      </c>
      <c r="R50" s="43"/>
      <c r="S50" s="39">
        <f t="shared" si="4"/>
        <v>2</v>
      </c>
      <c r="T50" s="39"/>
      <c r="U50" s="39">
        <f t="shared" si="5"/>
        <v>16</v>
      </c>
      <c r="V50" s="39">
        <f t="shared" si="6"/>
        <v>-2</v>
      </c>
      <c r="W50" s="30">
        <f t="shared" si="9"/>
        <v>46</v>
      </c>
    </row>
    <row r="51">
      <c r="A51" s="30">
        <f t="shared" si="7"/>
        <v>47</v>
      </c>
      <c r="B51" s="51" t="s">
        <v>113</v>
      </c>
      <c r="C51" s="32">
        <v>196.0</v>
      </c>
      <c r="D51" s="32">
        <v>12.0</v>
      </c>
      <c r="E51" s="35">
        <f t="shared" si="2"/>
        <v>9.571428571</v>
      </c>
      <c r="F51" s="37">
        <v>2.0</v>
      </c>
      <c r="G51" s="39">
        <v>7.0</v>
      </c>
      <c r="H51" s="40">
        <v>0.0</v>
      </c>
      <c r="I51" s="39">
        <v>6.0</v>
      </c>
      <c r="J51" s="39">
        <v>3.0</v>
      </c>
      <c r="K51" s="39">
        <v>6.0</v>
      </c>
      <c r="L51" s="42">
        <v>15.0</v>
      </c>
      <c r="M51" s="39">
        <v>2.0</v>
      </c>
      <c r="N51" s="32">
        <f t="shared" ref="N51:O51" si="53">C51+L51</f>
        <v>211</v>
      </c>
      <c r="O51" s="32">
        <f t="shared" si="53"/>
        <v>14</v>
      </c>
      <c r="P51" s="43" t="s">
        <v>53</v>
      </c>
      <c r="Q51" s="43" t="s">
        <v>53</v>
      </c>
      <c r="R51" s="43"/>
      <c r="S51" s="39">
        <f t="shared" si="4"/>
        <v>2</v>
      </c>
      <c r="T51" s="39"/>
      <c r="U51" s="39">
        <f t="shared" si="5"/>
        <v>4</v>
      </c>
      <c r="V51" s="39">
        <f t="shared" si="6"/>
        <v>7</v>
      </c>
      <c r="W51" s="30">
        <f t="shared" si="9"/>
        <v>47</v>
      </c>
    </row>
    <row r="52">
      <c r="A52" s="30">
        <f t="shared" si="7"/>
        <v>48</v>
      </c>
      <c r="B52" s="51" t="s">
        <v>116</v>
      </c>
      <c r="C52" s="32">
        <v>196.0</v>
      </c>
      <c r="D52" s="32">
        <v>10.0</v>
      </c>
      <c r="E52" s="35">
        <f t="shared" si="2"/>
        <v>9.923076923</v>
      </c>
      <c r="F52" s="37">
        <v>1.0</v>
      </c>
      <c r="G52" s="39">
        <v>8.0</v>
      </c>
      <c r="H52" s="40">
        <v>0.0</v>
      </c>
      <c r="I52" s="39">
        <v>5.0</v>
      </c>
      <c r="J52" s="39">
        <v>6.0</v>
      </c>
      <c r="K52" s="39">
        <v>6.0</v>
      </c>
      <c r="L52" s="42">
        <v>17.0</v>
      </c>
      <c r="M52" s="39">
        <v>2.0</v>
      </c>
      <c r="N52" s="32">
        <f t="shared" ref="N52:O52" si="54">C52+L52</f>
        <v>213</v>
      </c>
      <c r="O52" s="32">
        <f t="shared" si="54"/>
        <v>12</v>
      </c>
      <c r="P52" s="43" t="s">
        <v>53</v>
      </c>
      <c r="Q52" s="43" t="s">
        <v>53</v>
      </c>
      <c r="R52" s="43"/>
      <c r="S52" s="39">
        <f t="shared" si="4"/>
        <v>1</v>
      </c>
      <c r="T52" s="39"/>
      <c r="U52" s="39">
        <f t="shared" si="5"/>
        <v>6</v>
      </c>
      <c r="V52" s="39">
        <f t="shared" si="6"/>
        <v>-1</v>
      </c>
      <c r="W52" s="30">
        <f t="shared" si="9"/>
        <v>48</v>
      </c>
    </row>
    <row r="53">
      <c r="A53" s="30">
        <f t="shared" si="7"/>
        <v>49</v>
      </c>
      <c r="B53" s="31" t="s">
        <v>117</v>
      </c>
      <c r="C53" s="32">
        <v>196.0</v>
      </c>
      <c r="D53" s="32">
        <v>5.0</v>
      </c>
      <c r="E53" s="35">
        <f t="shared" si="2"/>
        <v>11.66666667</v>
      </c>
      <c r="F53" s="37">
        <v>3.0</v>
      </c>
      <c r="G53" s="39">
        <v>0.0</v>
      </c>
      <c r="H53" s="40">
        <v>9.0</v>
      </c>
      <c r="I53" s="39">
        <v>0.0</v>
      </c>
      <c r="J53" s="39">
        <v>0.0</v>
      </c>
      <c r="K53" s="39">
        <v>0.0</v>
      </c>
      <c r="L53" s="42">
        <v>9.0</v>
      </c>
      <c r="M53" s="39">
        <v>0.0</v>
      </c>
      <c r="N53" s="32">
        <f t="shared" ref="N53:O53" si="55">C53+L53</f>
        <v>205</v>
      </c>
      <c r="O53" s="32">
        <f t="shared" si="55"/>
        <v>5</v>
      </c>
      <c r="P53" s="43" t="s">
        <v>53</v>
      </c>
      <c r="Q53" s="43" t="s">
        <v>53</v>
      </c>
      <c r="R53" s="43"/>
      <c r="S53" s="39">
        <f t="shared" si="4"/>
        <v>2</v>
      </c>
      <c r="T53" s="39"/>
      <c r="U53" s="39">
        <f t="shared" si="5"/>
        <v>15</v>
      </c>
      <c r="V53" s="39">
        <f t="shared" si="6"/>
        <v>-1</v>
      </c>
      <c r="W53" s="30">
        <f t="shared" si="9"/>
        <v>49</v>
      </c>
    </row>
    <row r="54">
      <c r="A54" s="30">
        <f t="shared" si="7"/>
        <v>50</v>
      </c>
      <c r="B54" s="31" t="s">
        <v>120</v>
      </c>
      <c r="C54" s="32">
        <v>196.0</v>
      </c>
      <c r="D54" s="32">
        <v>5.0</v>
      </c>
      <c r="E54" s="35">
        <f t="shared" si="2"/>
        <v>12</v>
      </c>
      <c r="F54" s="37">
        <v>3.0</v>
      </c>
      <c r="G54" s="39">
        <v>0.0</v>
      </c>
      <c r="H54" s="40">
        <v>9.0</v>
      </c>
      <c r="I54" s="39">
        <v>0.0</v>
      </c>
      <c r="J54" s="39">
        <v>0.0</v>
      </c>
      <c r="K54" s="39">
        <v>0.0</v>
      </c>
      <c r="L54" s="42">
        <v>9.0</v>
      </c>
      <c r="M54" s="39">
        <v>0.0</v>
      </c>
      <c r="N54" s="32">
        <f t="shared" ref="N54:O54" si="56">C54+L54</f>
        <v>205</v>
      </c>
      <c r="O54" s="32">
        <f t="shared" si="56"/>
        <v>5</v>
      </c>
      <c r="P54" s="43" t="s">
        <v>53</v>
      </c>
      <c r="Q54" s="43" t="s">
        <v>53</v>
      </c>
      <c r="R54" s="43"/>
      <c r="S54" s="39">
        <f t="shared" si="4"/>
        <v>1</v>
      </c>
      <c r="T54" s="39"/>
      <c r="U54" s="39">
        <f t="shared" si="5"/>
        <v>15</v>
      </c>
      <c r="V54" s="39">
        <f t="shared" si="6"/>
        <v>0</v>
      </c>
      <c r="W54" s="30">
        <f t="shared" si="9"/>
        <v>50</v>
      </c>
    </row>
    <row r="55">
      <c r="A55" s="30">
        <f t="shared" si="7"/>
        <v>51</v>
      </c>
      <c r="B55" s="51" t="s">
        <v>118</v>
      </c>
      <c r="C55" s="32">
        <v>194.0</v>
      </c>
      <c r="D55" s="32">
        <v>10.0</v>
      </c>
      <c r="E55" s="35">
        <f t="shared" si="2"/>
        <v>10.55555556</v>
      </c>
      <c r="F55" s="37">
        <v>1.0</v>
      </c>
      <c r="G55" s="39">
        <v>8.0</v>
      </c>
      <c r="H55" s="40">
        <v>0.0</v>
      </c>
      <c r="I55" s="39">
        <v>7.0</v>
      </c>
      <c r="J55" s="39">
        <v>6.0</v>
      </c>
      <c r="K55" s="39">
        <v>3.0</v>
      </c>
      <c r="L55" s="42">
        <v>16.0</v>
      </c>
      <c r="M55" s="39">
        <v>2.0</v>
      </c>
      <c r="N55" s="32">
        <f t="shared" ref="N55:O55" si="57">C55+L55</f>
        <v>210</v>
      </c>
      <c r="O55" s="32">
        <f t="shared" si="57"/>
        <v>12</v>
      </c>
      <c r="P55" s="43" t="s">
        <v>53</v>
      </c>
      <c r="Q55" s="43" t="s">
        <v>53</v>
      </c>
      <c r="R55" s="43"/>
      <c r="S55" s="39">
        <f t="shared" si="4"/>
        <v>0</v>
      </c>
      <c r="T55" s="39"/>
      <c r="U55" s="39">
        <f t="shared" si="5"/>
        <v>11</v>
      </c>
      <c r="V55" s="39">
        <f t="shared" si="6"/>
        <v>2</v>
      </c>
      <c r="W55" s="30">
        <f t="shared" si="9"/>
        <v>51</v>
      </c>
    </row>
    <row r="56">
      <c r="A56" s="30">
        <f t="shared" si="7"/>
        <v>52</v>
      </c>
      <c r="B56" s="56" t="s">
        <v>115</v>
      </c>
      <c r="C56" s="32">
        <v>193.0</v>
      </c>
      <c r="D56" s="32">
        <v>12.0</v>
      </c>
      <c r="E56" s="35">
        <f t="shared" si="2"/>
        <v>9.8125</v>
      </c>
      <c r="F56" s="37">
        <v>1.0</v>
      </c>
      <c r="G56" s="39">
        <v>8.0</v>
      </c>
      <c r="H56" s="40">
        <v>0.0</v>
      </c>
      <c r="I56" s="39">
        <v>7.0</v>
      </c>
      <c r="J56" s="39">
        <v>3.0</v>
      </c>
      <c r="K56" s="39">
        <v>6.0</v>
      </c>
      <c r="L56" s="42">
        <v>16.0</v>
      </c>
      <c r="M56" s="39">
        <v>2.0</v>
      </c>
      <c r="N56" s="32">
        <f t="shared" ref="N56:O56" si="58">C56+L56</f>
        <v>209</v>
      </c>
      <c r="O56" s="32">
        <f t="shared" si="58"/>
        <v>14</v>
      </c>
      <c r="P56" s="43" t="s">
        <v>53</v>
      </c>
      <c r="Q56" s="43" t="s">
        <v>53</v>
      </c>
      <c r="R56" s="43"/>
      <c r="S56" s="39">
        <f t="shared" si="4"/>
        <v>0</v>
      </c>
      <c r="T56" s="39"/>
      <c r="U56" s="39">
        <f t="shared" si="5"/>
        <v>4</v>
      </c>
      <c r="V56" s="39">
        <f t="shared" si="6"/>
        <v>-1</v>
      </c>
      <c r="W56" s="30">
        <f t="shared" si="9"/>
        <v>52</v>
      </c>
    </row>
    <row r="57">
      <c r="A57" s="30">
        <f t="shared" si="7"/>
        <v>53</v>
      </c>
      <c r="B57" s="51" t="s">
        <v>112</v>
      </c>
      <c r="C57" s="32">
        <v>192.0</v>
      </c>
      <c r="D57" s="32">
        <v>9.0</v>
      </c>
      <c r="E57" s="35">
        <f t="shared" si="2"/>
        <v>10.33333333</v>
      </c>
      <c r="F57" s="37">
        <v>3.0</v>
      </c>
      <c r="G57" s="39">
        <v>0.0</v>
      </c>
      <c r="H57" s="40">
        <v>9.0</v>
      </c>
      <c r="I57" s="39">
        <v>0.0</v>
      </c>
      <c r="J57" s="39">
        <v>0.0</v>
      </c>
      <c r="K57" s="39">
        <v>0.0</v>
      </c>
      <c r="L57" s="42">
        <v>9.0</v>
      </c>
      <c r="M57" s="39">
        <v>0.0</v>
      </c>
      <c r="N57" s="32">
        <f t="shared" ref="N57:O57" si="59">C57+L57</f>
        <v>201</v>
      </c>
      <c r="O57" s="32">
        <f t="shared" si="59"/>
        <v>9</v>
      </c>
      <c r="P57" s="43" t="s">
        <v>53</v>
      </c>
      <c r="Q57" s="43" t="s">
        <v>53</v>
      </c>
      <c r="R57" s="43"/>
      <c r="S57" s="39">
        <f t="shared" si="4"/>
        <v>0</v>
      </c>
      <c r="T57" s="39"/>
      <c r="U57" s="39">
        <f t="shared" si="5"/>
        <v>11</v>
      </c>
      <c r="V57" s="39">
        <f t="shared" si="6"/>
        <v>3</v>
      </c>
      <c r="W57" s="30">
        <f t="shared" si="9"/>
        <v>53</v>
      </c>
    </row>
    <row r="58">
      <c r="A58" s="30">
        <f t="shared" si="7"/>
        <v>54</v>
      </c>
      <c r="B58" s="31" t="s">
        <v>56</v>
      </c>
      <c r="C58" s="32">
        <v>191.0</v>
      </c>
      <c r="D58" s="32">
        <v>3.0</v>
      </c>
      <c r="E58" s="35">
        <f t="shared" si="2"/>
        <v>10.5</v>
      </c>
      <c r="F58" s="37">
        <v>3.0</v>
      </c>
      <c r="G58" s="39">
        <v>0.0</v>
      </c>
      <c r="H58" s="40">
        <v>9.0</v>
      </c>
      <c r="I58" s="39">
        <v>0.0</v>
      </c>
      <c r="J58" s="39">
        <v>0.0</v>
      </c>
      <c r="K58" s="39">
        <v>0.0</v>
      </c>
      <c r="L58" s="42">
        <v>9.0</v>
      </c>
      <c r="M58" s="39">
        <v>0.0</v>
      </c>
      <c r="N58" s="32">
        <f t="shared" ref="N58:O58" si="60">C58+L58</f>
        <v>200</v>
      </c>
      <c r="O58" s="32">
        <f t="shared" si="60"/>
        <v>3</v>
      </c>
      <c r="P58" s="43" t="s">
        <v>53</v>
      </c>
      <c r="Q58" s="43" t="s">
        <v>53</v>
      </c>
      <c r="R58" s="43"/>
      <c r="S58" s="39">
        <f t="shared" si="4"/>
        <v>2</v>
      </c>
      <c r="T58" s="39"/>
      <c r="U58" s="39">
        <f t="shared" si="5"/>
        <v>16</v>
      </c>
      <c r="V58" s="39">
        <f t="shared" si="6"/>
        <v>-5</v>
      </c>
      <c r="W58" s="30">
        <f t="shared" si="9"/>
        <v>54</v>
      </c>
    </row>
    <row r="59">
      <c r="A59" s="30">
        <f t="shared" si="7"/>
        <v>55</v>
      </c>
      <c r="B59" s="56" t="s">
        <v>51</v>
      </c>
      <c r="C59" s="32">
        <v>187.0</v>
      </c>
      <c r="D59" s="32">
        <v>9.0</v>
      </c>
      <c r="E59" s="35">
        <f t="shared" si="2"/>
        <v>9.375</v>
      </c>
      <c r="F59" s="37">
        <v>3.0</v>
      </c>
      <c r="G59" s="39">
        <v>0.0</v>
      </c>
      <c r="H59" s="40">
        <v>9.0</v>
      </c>
      <c r="I59" s="39">
        <v>0.0</v>
      </c>
      <c r="J59" s="39">
        <v>0.0</v>
      </c>
      <c r="K59" s="39">
        <v>0.0</v>
      </c>
      <c r="L59" s="42">
        <v>9.0</v>
      </c>
      <c r="M59" s="39">
        <v>0.0</v>
      </c>
      <c r="N59" s="32">
        <f t="shared" ref="N59:O59" si="61">C59+L59</f>
        <v>196</v>
      </c>
      <c r="O59" s="32">
        <f t="shared" si="61"/>
        <v>9</v>
      </c>
      <c r="P59" s="43" t="s">
        <v>53</v>
      </c>
      <c r="Q59" s="43" t="s">
        <v>53</v>
      </c>
      <c r="R59" s="43"/>
      <c r="S59" s="39">
        <f t="shared" si="4"/>
        <v>1</v>
      </c>
      <c r="T59" s="39"/>
      <c r="U59" s="39">
        <f t="shared" si="5"/>
        <v>11</v>
      </c>
      <c r="V59" s="39">
        <f t="shared" si="6"/>
        <v>-3</v>
      </c>
      <c r="W59" s="30">
        <f t="shared" si="9"/>
        <v>55</v>
      </c>
    </row>
    <row r="60">
      <c r="A60" s="30">
        <f t="shared" si="7"/>
        <v>56</v>
      </c>
      <c r="B60" s="31" t="s">
        <v>119</v>
      </c>
      <c r="C60" s="32">
        <v>184.0</v>
      </c>
      <c r="D60" s="32">
        <v>4.0</v>
      </c>
      <c r="E60" s="35">
        <f t="shared" si="2"/>
        <v>9</v>
      </c>
      <c r="F60" s="37">
        <v>5.0</v>
      </c>
      <c r="G60" s="39">
        <v>0.0</v>
      </c>
      <c r="H60" s="40">
        <v>13.0</v>
      </c>
      <c r="I60" s="39">
        <v>0.0</v>
      </c>
      <c r="J60" s="39">
        <v>0.0</v>
      </c>
      <c r="K60" s="39">
        <v>0.0</v>
      </c>
      <c r="L60" s="42">
        <v>13.0</v>
      </c>
      <c r="M60" s="39">
        <v>0.0</v>
      </c>
      <c r="N60" s="32">
        <f t="shared" ref="N60:O60" si="62">C60+L60</f>
        <v>197</v>
      </c>
      <c r="O60" s="32">
        <f t="shared" si="62"/>
        <v>4</v>
      </c>
      <c r="P60" s="43" t="s">
        <v>53</v>
      </c>
      <c r="Q60" s="43" t="s">
        <v>53</v>
      </c>
      <c r="R60" s="43"/>
      <c r="S60" s="39">
        <f t="shared" si="4"/>
        <v>1</v>
      </c>
      <c r="T60" s="39"/>
      <c r="U60" s="39">
        <f t="shared" si="5"/>
        <v>17</v>
      </c>
      <c r="V60" s="39">
        <f t="shared" si="6"/>
        <v>-1</v>
      </c>
      <c r="W60" s="30">
        <f t="shared" si="9"/>
        <v>56</v>
      </c>
    </row>
    <row r="61">
      <c r="A61" s="30">
        <f t="shared" si="7"/>
        <v>57</v>
      </c>
      <c r="B61" s="56" t="s">
        <v>122</v>
      </c>
      <c r="C61" s="32">
        <v>184.0</v>
      </c>
      <c r="D61" s="32">
        <v>3.0</v>
      </c>
      <c r="E61" s="35">
        <f t="shared" si="2"/>
        <v>9</v>
      </c>
      <c r="F61" s="37">
        <v>3.0</v>
      </c>
      <c r="G61" s="39">
        <v>0.0</v>
      </c>
      <c r="H61" s="40">
        <v>9.0</v>
      </c>
      <c r="I61" s="39">
        <v>0.0</v>
      </c>
      <c r="J61" s="39">
        <v>0.0</v>
      </c>
      <c r="K61" s="39">
        <v>0.0</v>
      </c>
      <c r="L61" s="42">
        <v>9.0</v>
      </c>
      <c r="M61" s="39">
        <v>0.0</v>
      </c>
      <c r="N61" s="32">
        <f t="shared" ref="N61:O61" si="63">C61+L61</f>
        <v>193</v>
      </c>
      <c r="O61" s="32">
        <f t="shared" si="63"/>
        <v>3</v>
      </c>
      <c r="P61" s="43" t="s">
        <v>53</v>
      </c>
      <c r="Q61" s="43" t="s">
        <v>53</v>
      </c>
      <c r="R61" s="43"/>
      <c r="S61" s="39">
        <f t="shared" si="4"/>
        <v>1</v>
      </c>
      <c r="T61" s="39"/>
      <c r="U61" s="39">
        <f t="shared" si="5"/>
        <v>15</v>
      </c>
      <c r="V61" s="39">
        <f t="shared" si="6"/>
        <v>3</v>
      </c>
      <c r="W61" s="30">
        <f t="shared" si="9"/>
        <v>57</v>
      </c>
    </row>
    <row r="62">
      <c r="A62" s="30">
        <f t="shared" si="7"/>
        <v>58</v>
      </c>
      <c r="B62" s="31" t="s">
        <v>123</v>
      </c>
      <c r="C62" s="32">
        <v>183.0</v>
      </c>
      <c r="D62" s="32">
        <v>5.0</v>
      </c>
      <c r="E62" s="35">
        <f t="shared" si="2"/>
        <v>10.5</v>
      </c>
      <c r="F62" s="37">
        <v>3.0</v>
      </c>
      <c r="G62" s="39">
        <v>0.0</v>
      </c>
      <c r="H62" s="40">
        <v>9.0</v>
      </c>
      <c r="I62" s="39">
        <v>0.0</v>
      </c>
      <c r="J62" s="39">
        <v>0.0</v>
      </c>
      <c r="K62" s="39">
        <v>0.0</v>
      </c>
      <c r="L62" s="42">
        <v>9.0</v>
      </c>
      <c r="M62" s="39">
        <v>0.0</v>
      </c>
      <c r="N62" s="32">
        <f t="shared" ref="N62:O62" si="64">C62+L62</f>
        <v>192</v>
      </c>
      <c r="O62" s="32">
        <f t="shared" si="64"/>
        <v>5</v>
      </c>
      <c r="P62" s="43" t="s">
        <v>53</v>
      </c>
      <c r="Q62" s="43" t="s">
        <v>53</v>
      </c>
      <c r="R62" s="43"/>
      <c r="S62" s="39">
        <f t="shared" si="4"/>
        <v>0</v>
      </c>
      <c r="T62" s="39"/>
      <c r="U62" s="39">
        <f t="shared" si="5"/>
        <v>18</v>
      </c>
      <c r="V62" s="39">
        <f t="shared" si="6"/>
        <v>-1</v>
      </c>
      <c r="W62" s="30">
        <f t="shared" si="9"/>
        <v>58</v>
      </c>
    </row>
    <row r="63">
      <c r="A63" s="30">
        <f t="shared" si="7"/>
        <v>59</v>
      </c>
      <c r="B63" s="31" t="s">
        <v>124</v>
      </c>
      <c r="C63" s="32">
        <v>181.0</v>
      </c>
      <c r="D63" s="32">
        <v>3.0</v>
      </c>
      <c r="E63" s="35">
        <f t="shared" si="2"/>
        <v>7.5</v>
      </c>
      <c r="F63" s="37">
        <v>3.0</v>
      </c>
      <c r="G63" s="39">
        <v>0.0</v>
      </c>
      <c r="H63" s="40">
        <v>9.0</v>
      </c>
      <c r="I63" s="39">
        <v>0.0</v>
      </c>
      <c r="J63" s="39">
        <v>0.0</v>
      </c>
      <c r="K63" s="39">
        <v>0.0</v>
      </c>
      <c r="L63" s="42">
        <v>9.0</v>
      </c>
      <c r="M63" s="39">
        <v>0.0</v>
      </c>
      <c r="N63" s="32">
        <f t="shared" ref="N63:O63" si="65">C63+L63</f>
        <v>190</v>
      </c>
      <c r="O63" s="32">
        <f t="shared" si="65"/>
        <v>3</v>
      </c>
      <c r="P63" s="43" t="s">
        <v>53</v>
      </c>
      <c r="Q63" s="43" t="s">
        <v>53</v>
      </c>
      <c r="R63" s="43"/>
      <c r="S63" s="39">
        <f t="shared" si="4"/>
        <v>1</v>
      </c>
      <c r="T63" s="39"/>
      <c r="U63" s="39">
        <f t="shared" si="5"/>
        <v>17</v>
      </c>
      <c r="V63" s="39">
        <f t="shared" si="6"/>
        <v>-1</v>
      </c>
      <c r="W63" s="30">
        <f t="shared" si="9"/>
        <v>59</v>
      </c>
    </row>
    <row r="64">
      <c r="A64" s="30">
        <f t="shared" si="7"/>
        <v>60</v>
      </c>
      <c r="B64" s="31" t="s">
        <v>125</v>
      </c>
      <c r="C64" s="32">
        <v>180.0</v>
      </c>
      <c r="D64" s="32">
        <v>3.0</v>
      </c>
      <c r="E64" s="35">
        <f t="shared" si="2"/>
        <v>9</v>
      </c>
      <c r="F64" s="37">
        <v>3.0</v>
      </c>
      <c r="G64" s="39">
        <v>0.0</v>
      </c>
      <c r="H64" s="40">
        <v>9.0</v>
      </c>
      <c r="I64" s="39">
        <v>0.0</v>
      </c>
      <c r="J64" s="39">
        <v>0.0</v>
      </c>
      <c r="K64" s="39">
        <v>0.0</v>
      </c>
      <c r="L64" s="42">
        <v>9.0</v>
      </c>
      <c r="M64" s="39">
        <v>0.0</v>
      </c>
      <c r="N64" s="32">
        <f t="shared" ref="N64:O64" si="66">C64+L64</f>
        <v>189</v>
      </c>
      <c r="O64" s="32">
        <f t="shared" si="66"/>
        <v>3</v>
      </c>
      <c r="P64" s="43" t="s">
        <v>53</v>
      </c>
      <c r="Q64" s="43" t="s">
        <v>53</v>
      </c>
      <c r="R64" s="43"/>
      <c r="S64" s="39">
        <f t="shared" si="4"/>
        <v>0</v>
      </c>
      <c r="T64" s="39"/>
      <c r="U64" s="39">
        <f t="shared" si="5"/>
        <v>19</v>
      </c>
      <c r="V64" s="39">
        <f t="shared" si="6"/>
        <v>-1</v>
      </c>
      <c r="W64" s="30">
        <f t="shared" si="9"/>
        <v>60</v>
      </c>
    </row>
    <row r="65">
      <c r="A65" s="30">
        <f t="shared" si="7"/>
        <v>61</v>
      </c>
      <c r="B65" s="51" t="s">
        <v>121</v>
      </c>
      <c r="C65" s="32">
        <v>176.0</v>
      </c>
      <c r="D65" s="32">
        <v>4.0</v>
      </c>
      <c r="E65" s="35">
        <f t="shared" si="2"/>
        <v>7.666666667</v>
      </c>
      <c r="F65" s="37">
        <v>3.0</v>
      </c>
      <c r="G65" s="39">
        <v>0.0</v>
      </c>
      <c r="H65" s="40">
        <v>9.0</v>
      </c>
      <c r="I65" s="39">
        <v>0.0</v>
      </c>
      <c r="J65" s="39">
        <v>0.0</v>
      </c>
      <c r="K65" s="39">
        <v>0.0</v>
      </c>
      <c r="L65" s="42">
        <v>9.0</v>
      </c>
      <c r="M65" s="39">
        <v>0.0</v>
      </c>
      <c r="N65" s="32">
        <f t="shared" ref="N65:O65" si="67">C65+L65</f>
        <v>185</v>
      </c>
      <c r="O65" s="32">
        <f t="shared" si="67"/>
        <v>4</v>
      </c>
      <c r="P65" s="43" t="s">
        <v>53</v>
      </c>
      <c r="Q65" s="43" t="s">
        <v>53</v>
      </c>
      <c r="R65" s="43"/>
      <c r="S65" s="39">
        <f t="shared" si="4"/>
        <v>0</v>
      </c>
      <c r="T65" s="39"/>
      <c r="U65" s="39">
        <f t="shared" si="5"/>
        <v>17</v>
      </c>
      <c r="V65" s="39">
        <f t="shared" si="6"/>
        <v>0</v>
      </c>
      <c r="W65" s="30">
        <f t="shared" si="9"/>
        <v>61</v>
      </c>
    </row>
    <row r="66">
      <c r="A66" s="30">
        <f t="shared" si="7"/>
        <v>62</v>
      </c>
      <c r="B66" s="31" t="s">
        <v>72</v>
      </c>
      <c r="C66" s="32">
        <v>175.0</v>
      </c>
      <c r="D66" s="32">
        <v>0.0</v>
      </c>
      <c r="E66" s="35" t="str">
        <f t="shared" si="2"/>
        <v>#DIV/0!</v>
      </c>
      <c r="F66" s="37">
        <v>3.0</v>
      </c>
      <c r="G66" s="39">
        <v>0.0</v>
      </c>
      <c r="H66" s="40">
        <v>9.0</v>
      </c>
      <c r="I66" s="39">
        <v>0.0</v>
      </c>
      <c r="J66" s="39">
        <v>0.0</v>
      </c>
      <c r="K66" s="39">
        <v>0.0</v>
      </c>
      <c r="L66" s="42">
        <v>9.0</v>
      </c>
      <c r="M66" s="39">
        <v>0.0</v>
      </c>
      <c r="N66" s="32">
        <f t="shared" ref="N66:O66" si="68">C66+L66</f>
        <v>184</v>
      </c>
      <c r="O66" s="32">
        <f t="shared" si="68"/>
        <v>0</v>
      </c>
      <c r="P66" s="43" t="s">
        <v>53</v>
      </c>
      <c r="Q66" s="43" t="s">
        <v>53</v>
      </c>
      <c r="R66" s="43"/>
      <c r="S66" s="39">
        <f t="shared" si="4"/>
        <v>1</v>
      </c>
      <c r="T66" s="39"/>
      <c r="U66" s="39">
        <f t="shared" si="5"/>
        <v>19</v>
      </c>
      <c r="V66" s="39">
        <f t="shared" si="6"/>
        <v>1</v>
      </c>
      <c r="W66" s="30">
        <f t="shared" si="9"/>
        <v>62</v>
      </c>
    </row>
    <row r="67">
      <c r="A67" s="30">
        <f t="shared" si="7"/>
        <v>63</v>
      </c>
      <c r="B67" s="31" t="s">
        <v>126</v>
      </c>
      <c r="C67" s="32">
        <v>175.0</v>
      </c>
      <c r="D67" s="32">
        <v>0.0</v>
      </c>
      <c r="E67" s="35">
        <f t="shared" si="2"/>
        <v>0</v>
      </c>
      <c r="F67" s="37">
        <v>3.0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184</v>
      </c>
      <c r="O67" s="32">
        <f t="shared" si="69"/>
        <v>0</v>
      </c>
      <c r="P67" s="43" t="s">
        <v>53</v>
      </c>
      <c r="Q67" s="43" t="s">
        <v>53</v>
      </c>
      <c r="R67" s="43"/>
      <c r="S67" s="39">
        <f t="shared" si="4"/>
        <v>1</v>
      </c>
      <c r="T67" s="39"/>
      <c r="U67" s="39">
        <f t="shared" si="5"/>
        <v>18</v>
      </c>
      <c r="V67" s="39">
        <f t="shared" si="6"/>
        <v>-1</v>
      </c>
      <c r="W67" s="30">
        <f t="shared" si="9"/>
        <v>63</v>
      </c>
    </row>
    <row r="68">
      <c r="A68" s="30">
        <f t="shared" si="7"/>
        <v>64</v>
      </c>
      <c r="B68" s="51" t="s">
        <v>80</v>
      </c>
      <c r="C68" s="32">
        <v>164.0</v>
      </c>
      <c r="D68" s="32">
        <v>8.0</v>
      </c>
      <c r="E68" s="35">
        <f t="shared" si="2"/>
        <v>7.545454545</v>
      </c>
      <c r="F68" s="37">
        <v>1.0</v>
      </c>
      <c r="G68" s="39">
        <v>8.0</v>
      </c>
      <c r="H68" s="40">
        <v>0.0</v>
      </c>
      <c r="I68" s="39">
        <v>5.0</v>
      </c>
      <c r="J68" s="39">
        <v>3.0</v>
      </c>
      <c r="K68" s="39">
        <v>3.0</v>
      </c>
      <c r="L68" s="42">
        <v>11.0</v>
      </c>
      <c r="M68" s="39">
        <v>0.0</v>
      </c>
      <c r="N68" s="32">
        <f t="shared" ref="N68:O68" si="70">C68+L68</f>
        <v>175</v>
      </c>
      <c r="O68" s="32">
        <f t="shared" si="70"/>
        <v>8</v>
      </c>
      <c r="P68" s="43" t="s">
        <v>53</v>
      </c>
      <c r="Q68" s="43" t="s">
        <v>53</v>
      </c>
      <c r="R68" s="43"/>
      <c r="S68" s="39">
        <f t="shared" si="4"/>
        <v>0</v>
      </c>
      <c r="T68" s="39"/>
      <c r="U68" s="39">
        <f t="shared" si="5"/>
        <v>9</v>
      </c>
      <c r="V68" s="39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51" t="s">
        <v>74</v>
      </c>
      <c r="C69" s="32">
        <v>162.0</v>
      </c>
      <c r="D69" s="32">
        <v>0.0</v>
      </c>
      <c r="E69" s="35" t="str">
        <f t="shared" si="2"/>
        <v>#DIV/0!</v>
      </c>
      <c r="F69" s="37">
        <v>3.0</v>
      </c>
      <c r="G69" s="39">
        <v>0.0</v>
      </c>
      <c r="H69" s="40">
        <v>9.0</v>
      </c>
      <c r="I69" s="39">
        <v>0.0</v>
      </c>
      <c r="J69" s="39">
        <v>0.0</v>
      </c>
      <c r="K69" s="39">
        <v>0.0</v>
      </c>
      <c r="L69" s="42">
        <v>9.0</v>
      </c>
      <c r="M69" s="39">
        <v>0.0</v>
      </c>
      <c r="N69" s="32">
        <f t="shared" ref="N69:O69" si="71">C69+L69</f>
        <v>171</v>
      </c>
      <c r="O69" s="32">
        <f t="shared" si="71"/>
        <v>0</v>
      </c>
      <c r="P69" s="43" t="s">
        <v>53</v>
      </c>
      <c r="Q69" s="43" t="s">
        <v>53</v>
      </c>
      <c r="R69" s="43"/>
      <c r="S69" s="39">
        <f t="shared" si="4"/>
        <v>0</v>
      </c>
      <c r="T69" s="39"/>
      <c r="U69" s="39">
        <f t="shared" si="5"/>
        <v>20</v>
      </c>
      <c r="V69" s="39">
        <f t="shared" si="6"/>
        <v>0</v>
      </c>
      <c r="W69" s="30">
        <f t="shared" si="9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7" t="s">
        <v>163</v>
      </c>
      <c r="Q72" s="8">
        <f t="shared" ref="Q72:R72" si="72">COUNTA(Q5:Q69)</f>
        <v>64</v>
      </c>
      <c r="R72" s="8">
        <f t="shared" si="72"/>
        <v>1</v>
      </c>
    </row>
    <row r="73">
      <c r="A73" s="11"/>
      <c r="C73" s="11"/>
      <c r="D73" s="11"/>
      <c r="E73" s="11"/>
      <c r="F73" s="11"/>
      <c r="P73" s="7" t="s">
        <v>164</v>
      </c>
      <c r="Q73" s="8">
        <f t="shared" ref="Q73:R73" si="73">Q74-Q72</f>
        <v>1</v>
      </c>
      <c r="R73" s="8">
        <f t="shared" si="73"/>
        <v>64</v>
      </c>
    </row>
    <row r="74">
      <c r="A74" s="11"/>
      <c r="C74" s="11"/>
      <c r="D74" s="11"/>
      <c r="K74" s="49"/>
      <c r="L74" s="59"/>
      <c r="M74" s="60"/>
      <c r="P74" s="7" t="s">
        <v>60</v>
      </c>
      <c r="Q74" s="8">
        <f>B72</f>
        <v>65</v>
      </c>
      <c r="R74" s="8">
        <f>Q74</f>
        <v>65</v>
      </c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7" t="s">
        <v>163</v>
      </c>
      <c r="Q77" s="8"/>
      <c r="R77" s="8">
        <f>COUNTIF(R5:R69,"X")</f>
        <v>0</v>
      </c>
    </row>
    <row r="78">
      <c r="A78" s="11"/>
      <c r="B78" s="62" t="s">
        <v>129</v>
      </c>
      <c r="C78" s="62" t="s">
        <v>130</v>
      </c>
      <c r="D78" s="62" t="s">
        <v>131</v>
      </c>
      <c r="E78" s="62" t="s">
        <v>35</v>
      </c>
      <c r="K78" s="49"/>
      <c r="L78" s="59"/>
      <c r="M78" s="60"/>
      <c r="P78" s="7" t="s">
        <v>132</v>
      </c>
      <c r="Q78" s="8"/>
      <c r="R78" s="8">
        <f>countif(R5:R69,"N")</f>
        <v>1</v>
      </c>
    </row>
    <row r="79">
      <c r="A79" s="11"/>
      <c r="B79" s="51" t="str">
        <f>IFERROR(__xludf.DUMMYFUNCTION("QUERY(B5:M69,""Select B, L, M,G where L &gt;= 18 order by L desc,M desc"",0)"),"Chinna Ponnaganti")</f>
        <v>Chinna Ponnaganti</v>
      </c>
      <c r="C79" s="71">
        <f>IFERROR(__xludf.DUMMYFUNCTION("""COMPUTED_VALUE"""),19.0)</f>
        <v>19</v>
      </c>
      <c r="D79" s="71">
        <f>IFERROR(__xludf.DUMMYFUNCTION("""COMPUTED_VALUE"""),3.0)</f>
        <v>3</v>
      </c>
      <c r="E79" s="71">
        <f>IFERROR(__xludf.DUMMYFUNCTION("""COMPUTED_VALUE"""),5.0)</f>
        <v>5</v>
      </c>
      <c r="F79" s="11"/>
      <c r="L79" s="59"/>
      <c r="M79" s="60"/>
      <c r="P79" s="7" t="s">
        <v>164</v>
      </c>
      <c r="Q79" s="8"/>
      <c r="R79" s="8">
        <f>countif(R5:R69,"")</f>
        <v>64</v>
      </c>
    </row>
    <row r="80">
      <c r="A80" s="11"/>
      <c r="B80" s="51" t="str">
        <f>IFERROR(__xludf.DUMMYFUNCTION("""COMPUTED_VALUE"""),"Matthew Huang")</f>
        <v>Matthew Huang</v>
      </c>
      <c r="C80" s="71">
        <f>IFERROR(__xludf.DUMMYFUNCTION("""COMPUTED_VALUE"""),18.0)</f>
        <v>18</v>
      </c>
      <c r="D80" s="71">
        <f>IFERROR(__xludf.DUMMYFUNCTION("""COMPUTED_VALUE"""),3.0)</f>
        <v>3</v>
      </c>
      <c r="E80" s="71">
        <f>IFERROR(__xludf.DUMMYFUNCTION("""COMPUTED_VALUE"""),4.0)</f>
        <v>4</v>
      </c>
      <c r="F80" s="11"/>
      <c r="M80" s="65"/>
      <c r="P80" s="7" t="s">
        <v>60</v>
      </c>
      <c r="Q80" s="8"/>
      <c r="R80" s="8">
        <f>sum(R77:R79)</f>
        <v>65</v>
      </c>
    </row>
    <row r="81">
      <c r="A81" s="11"/>
      <c r="B81" s="51" t="str">
        <f>IFERROR(__xludf.DUMMYFUNCTION("""COMPUTED_VALUE"""),"Joe Luzzi")</f>
        <v>Joe Luzzi</v>
      </c>
      <c r="C81" s="71">
        <f>IFERROR(__xludf.DUMMYFUNCTION("""COMPUTED_VALUE"""),18.0)</f>
        <v>18</v>
      </c>
      <c r="D81" s="71">
        <f>IFERROR(__xludf.DUMMYFUNCTION("""COMPUTED_VALUE"""),2.0)</f>
        <v>2</v>
      </c>
      <c r="E81" s="71">
        <f>IFERROR(__xludf.DUMMYFUNCTION("""COMPUTED_VALUE"""),3.0)</f>
        <v>3</v>
      </c>
      <c r="F81" s="11"/>
    </row>
    <row r="82">
      <c r="A82" s="11"/>
      <c r="B82" s="51"/>
      <c r="C82" s="51"/>
      <c r="D82" s="51"/>
      <c r="E82" s="71"/>
      <c r="F82" s="11"/>
    </row>
    <row r="83">
      <c r="A83" s="11"/>
      <c r="B83" s="51"/>
      <c r="C83" s="71"/>
      <c r="D83" s="71"/>
      <c r="E83" s="71"/>
      <c r="F83" s="11"/>
      <c r="L83" s="10"/>
    </row>
    <row r="84">
      <c r="A84" s="11"/>
      <c r="B84" s="51"/>
      <c r="C84" s="71"/>
      <c r="D84" s="71"/>
      <c r="E84" s="71"/>
      <c r="F84" s="11"/>
      <c r="L84" s="10"/>
    </row>
    <row r="85">
      <c r="A85" s="11"/>
      <c r="B85" s="51"/>
      <c r="C85" s="71"/>
      <c r="D85" s="71"/>
      <c r="E85" s="71"/>
      <c r="F85" s="11"/>
      <c r="L85" s="10"/>
    </row>
    <row r="86">
      <c r="A86" s="11"/>
      <c r="B86" s="51"/>
      <c r="C86" s="71"/>
      <c r="D86" s="71"/>
      <c r="E86" s="71"/>
      <c r="F86" s="11"/>
      <c r="L86" s="10"/>
    </row>
    <row r="87">
      <c r="A87" s="11"/>
      <c r="B87" s="51"/>
      <c r="C87" s="71"/>
      <c r="D87" s="71"/>
      <c r="E87" s="71"/>
      <c r="F87" s="11"/>
    </row>
    <row r="88">
      <c r="A88" s="11"/>
      <c r="B88" s="51"/>
      <c r="C88" s="71"/>
      <c r="D88" s="71"/>
      <c r="E88" s="71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10"")"),"James Phan")</f>
        <v>James Phan</v>
      </c>
      <c r="C93" s="64">
        <f>IFERROR(__xludf.DUMMYFUNCTION("""COMPUTED_VALUE"""),8.0)</f>
        <v>8</v>
      </c>
      <c r="D93" s="64">
        <f t="shared" ref="D93:D102" si="74">VLOOKUP(B93,indirect($AB$2&amp;"!B$5:w$70"),22, false)</f>
        <v>16</v>
      </c>
      <c r="E93" s="64">
        <f t="shared" ref="E93:E102" si="75">VLOOKUP(B93,B$5:W$69,22, false)</f>
        <v>8</v>
      </c>
      <c r="F93" s="64">
        <f t="shared" ref="F93:F102" si="76">VLOOKUP(B93,indirect($AB$2&amp;"!B$5:U$70"),11, false)</f>
        <v>18</v>
      </c>
      <c r="G93" s="64">
        <f t="shared" ref="G93:G102" si="77">VLOOKUP(B93,indirect($AB$2&amp;"!B$5:U$70"),6, false)</f>
        <v>2</v>
      </c>
      <c r="L93" s="64" t="str">
        <f t="shared" ref="L93:L102" si="78">if(D93-E93=C93,"ok","Error")</f>
        <v>ok</v>
      </c>
    </row>
    <row r="94">
      <c r="A94" s="11"/>
      <c r="B94" s="51" t="str">
        <f>IFERROR(__xludf.DUMMYFUNCTION("""COMPUTED_VALUE"""),"Nicole Ni")</f>
        <v>Nicole Ni</v>
      </c>
      <c r="C94" s="64">
        <f>IFERROR(__xludf.DUMMYFUNCTION("""COMPUTED_VALUE"""),7.0)</f>
        <v>7</v>
      </c>
      <c r="D94" s="64">
        <f t="shared" si="74"/>
        <v>54</v>
      </c>
      <c r="E94" s="64">
        <f t="shared" si="75"/>
        <v>47</v>
      </c>
      <c r="F94" s="64">
        <f t="shared" si="76"/>
        <v>19</v>
      </c>
      <c r="G94" s="64">
        <f t="shared" si="77"/>
        <v>8</v>
      </c>
      <c r="L94" s="64" t="str">
        <f t="shared" si="78"/>
        <v>ok</v>
      </c>
    </row>
    <row r="95">
      <c r="A95" s="11"/>
      <c r="B95" s="51" t="str">
        <f>IFERROR(__xludf.DUMMYFUNCTION("""COMPUTED_VALUE"""),"Manuel Rivera")</f>
        <v>Manuel Rivera</v>
      </c>
      <c r="C95" s="64">
        <f>IFERROR(__xludf.DUMMYFUNCTION("""COMPUTED_VALUE"""),6.0)</f>
        <v>6</v>
      </c>
      <c r="D95" s="64">
        <f t="shared" si="74"/>
        <v>34</v>
      </c>
      <c r="E95" s="64">
        <f t="shared" si="75"/>
        <v>28</v>
      </c>
      <c r="F95" s="64">
        <f t="shared" si="76"/>
        <v>18</v>
      </c>
      <c r="G95" s="64">
        <f t="shared" si="77"/>
        <v>5</v>
      </c>
      <c r="L95" s="64" t="str">
        <f t="shared" si="78"/>
        <v>ok</v>
      </c>
      <c r="Q95" s="70"/>
    </row>
    <row r="96">
      <c r="A96" s="11"/>
      <c r="B96" s="51" t="str">
        <f>IFERROR(__xludf.DUMMYFUNCTION("""COMPUTED_VALUE"""),"Sanjaye Elayattu")</f>
        <v>Sanjaye Elayattu</v>
      </c>
      <c r="C96" s="64">
        <f>IFERROR(__xludf.DUMMYFUNCTION("""COMPUTED_VALUE"""),6.0)</f>
        <v>6</v>
      </c>
      <c r="D96" s="64">
        <f t="shared" si="74"/>
        <v>36</v>
      </c>
      <c r="E96" s="64">
        <f t="shared" si="75"/>
        <v>30</v>
      </c>
      <c r="F96" s="64">
        <f t="shared" si="76"/>
        <v>20</v>
      </c>
      <c r="G96" s="64">
        <f t="shared" si="77"/>
        <v>5</v>
      </c>
      <c r="L96" s="64" t="str">
        <f t="shared" si="78"/>
        <v>ok</v>
      </c>
    </row>
    <row r="97">
      <c r="A97" s="11"/>
      <c r="B97" s="51" t="str">
        <f>IFERROR(__xludf.DUMMYFUNCTION("""COMPUTED_VALUE"""),"Elayaraja Thangaraj ")</f>
        <v>Elayaraja Thangaraj </v>
      </c>
      <c r="C97" s="64">
        <f>IFERROR(__xludf.DUMMYFUNCTION("""COMPUTED_VALUE"""),6.0)</f>
        <v>6</v>
      </c>
      <c r="D97" s="64">
        <f t="shared" si="74"/>
        <v>45</v>
      </c>
      <c r="E97" s="64">
        <f t="shared" si="75"/>
        <v>39</v>
      </c>
      <c r="F97" s="64">
        <f t="shared" si="76"/>
        <v>19</v>
      </c>
      <c r="G97" s="64">
        <f t="shared" si="77"/>
        <v>7</v>
      </c>
      <c r="L97" s="64" t="str">
        <f t="shared" si="78"/>
        <v>ok</v>
      </c>
    </row>
    <row r="98">
      <c r="A98" s="11"/>
      <c r="B98" s="51" t="str">
        <f>IFERROR(__xludf.DUMMYFUNCTION("""COMPUTED_VALUE"""),"Pulkit Mathur")</f>
        <v>Pulkit Mathur</v>
      </c>
      <c r="C98" s="64">
        <f>IFERROR(__xludf.DUMMYFUNCTION("""COMPUTED_VALUE"""),5.0)</f>
        <v>5</v>
      </c>
      <c r="D98" s="64">
        <f t="shared" si="74"/>
        <v>26</v>
      </c>
      <c r="E98" s="64">
        <f t="shared" si="75"/>
        <v>21</v>
      </c>
      <c r="F98" s="64">
        <f t="shared" si="76"/>
        <v>18</v>
      </c>
      <c r="G98" s="64">
        <f t="shared" si="77"/>
        <v>4</v>
      </c>
      <c r="L98" s="64" t="str">
        <f t="shared" si="78"/>
        <v>ok</v>
      </c>
    </row>
    <row r="99">
      <c r="A99" s="11"/>
      <c r="B99" s="51" t="str">
        <f>IFERROR(__xludf.DUMMYFUNCTION("""COMPUTED_VALUE"""),"Pavan Akkimsetty")</f>
        <v>Pavan Akkimsetty</v>
      </c>
      <c r="C99" s="64">
        <f>IFERROR(__xludf.DUMMYFUNCTION("""COMPUTED_VALUE"""),4.0)</f>
        <v>4</v>
      </c>
      <c r="D99" s="64">
        <f t="shared" si="74"/>
        <v>21</v>
      </c>
      <c r="E99" s="64">
        <f t="shared" si="75"/>
        <v>17</v>
      </c>
      <c r="F99" s="64">
        <f t="shared" si="76"/>
        <v>18</v>
      </c>
      <c r="G99" s="64">
        <f t="shared" si="77"/>
        <v>3</v>
      </c>
      <c r="L99" s="64" t="str">
        <f t="shared" si="78"/>
        <v>ok</v>
      </c>
    </row>
    <row r="100">
      <c r="A100" s="11"/>
      <c r="B100" s="51" t="str">
        <f>IFERROR(__xludf.DUMMYFUNCTION("""COMPUTED_VALUE"""),"Ramesh Bandaru")</f>
        <v>Ramesh Bandaru</v>
      </c>
      <c r="C100" s="64">
        <f>IFERROR(__xludf.DUMMYFUNCTION("""COMPUTED_VALUE"""),4.0)</f>
        <v>4</v>
      </c>
      <c r="D100" s="64">
        <f t="shared" si="74"/>
        <v>31</v>
      </c>
      <c r="E100" s="64">
        <f t="shared" si="75"/>
        <v>27</v>
      </c>
      <c r="F100" s="64">
        <f t="shared" si="76"/>
        <v>16</v>
      </c>
      <c r="G100" s="64">
        <f t="shared" si="77"/>
        <v>5</v>
      </c>
      <c r="L100" s="64" t="str">
        <f t="shared" si="78"/>
        <v>ok</v>
      </c>
    </row>
    <row r="101">
      <c r="A101" s="11"/>
      <c r="B101" s="51" t="str">
        <f>IFERROR(__xludf.DUMMYFUNCTION("""COMPUTED_VALUE"""),"Kumar Palakeel")</f>
        <v>Kumar Palakeel</v>
      </c>
      <c r="C101" s="64">
        <f>IFERROR(__xludf.DUMMYFUNCTION("""COMPUTED_VALUE"""),4.0)</f>
        <v>4</v>
      </c>
      <c r="D101" s="64">
        <f t="shared" si="74"/>
        <v>46</v>
      </c>
      <c r="E101" s="64">
        <f t="shared" si="75"/>
        <v>42</v>
      </c>
      <c r="F101" s="64">
        <f t="shared" si="76"/>
        <v>15</v>
      </c>
      <c r="G101" s="64">
        <f t="shared" si="77"/>
        <v>7</v>
      </c>
      <c r="L101" s="64" t="str">
        <f t="shared" si="78"/>
        <v>ok</v>
      </c>
    </row>
    <row r="102">
      <c r="A102" s="11"/>
      <c r="B102" s="51" t="str">
        <f>IFERROR(__xludf.DUMMYFUNCTION("""COMPUTED_VALUE"""),"Sandy Weyant")</f>
        <v>Sandy Weyant</v>
      </c>
      <c r="C102" s="64">
        <f>IFERROR(__xludf.DUMMYFUNCTION("""COMPUTED_VALUE"""),3.0)</f>
        <v>3</v>
      </c>
      <c r="D102" s="64">
        <f t="shared" si="74"/>
        <v>56</v>
      </c>
      <c r="E102" s="64">
        <f t="shared" si="75"/>
        <v>53</v>
      </c>
      <c r="F102" s="64">
        <f t="shared" si="76"/>
        <v>18</v>
      </c>
      <c r="G102" s="64">
        <f t="shared" si="77"/>
        <v>8</v>
      </c>
      <c r="L102" s="64" t="str">
        <f t="shared" si="78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10"")"),"Joe Luzzi")</f>
        <v>Joe Luzzi</v>
      </c>
      <c r="C106" s="64">
        <f>IFERROR(__xludf.DUMMYFUNCTION("""COMPUTED_VALUE"""),-5.0)</f>
        <v>-5</v>
      </c>
      <c r="D106" s="64">
        <f t="shared" ref="D106:D115" si="79">VLOOKUP(B106,indirect($AB$2&amp;"!B$5:w$70"),22, false)</f>
        <v>10</v>
      </c>
      <c r="E106" s="64">
        <f t="shared" ref="E106:E115" si="80">VLOOKUP(B106,B$5:W$69,22, false)</f>
        <v>15</v>
      </c>
      <c r="F106" s="64">
        <f t="shared" ref="F106:F115" si="81">VLOOKUP(B106,indirect($AB$2&amp;"!B$5:U$70"),11, false)</f>
        <v>8</v>
      </c>
      <c r="G106" s="64">
        <f t="shared" ref="G106:G115" si="82">VLOOKUP(B106,indirect($AB$2&amp;"!B$5:U$70"),6, false)</f>
        <v>1</v>
      </c>
      <c r="L106" s="64" t="str">
        <f t="shared" ref="L106:L115" si="83">if(D106-E106=C106,"ok","Error")</f>
        <v>ok</v>
      </c>
    </row>
    <row r="107">
      <c r="A107" s="11"/>
      <c r="B107" s="51" t="str">
        <f>IFERROR(__xludf.DUMMYFUNCTION("""COMPUTED_VALUE"""),"Chinna Ponnaganti")</f>
        <v>Chinna Ponnaganti</v>
      </c>
      <c r="C107" s="64">
        <f>IFERROR(__xludf.DUMMYFUNCTION("""COMPUTED_VALUE"""),-5.0)</f>
        <v>-5</v>
      </c>
      <c r="D107" s="64">
        <f t="shared" si="79"/>
        <v>28</v>
      </c>
      <c r="E107" s="64">
        <f t="shared" si="80"/>
        <v>33</v>
      </c>
      <c r="F107" s="64">
        <f t="shared" si="81"/>
        <v>8</v>
      </c>
      <c r="G107" s="64">
        <f t="shared" si="82"/>
        <v>4</v>
      </c>
      <c r="L107" s="64" t="str">
        <f t="shared" si="83"/>
        <v>ok</v>
      </c>
    </row>
    <row r="108">
      <c r="A108" s="11"/>
      <c r="B108" s="51" t="str">
        <f>IFERROR(__xludf.DUMMYFUNCTION("""COMPUTED_VALUE"""),"Susanta Mishra")</f>
        <v>Susanta Mishra</v>
      </c>
      <c r="C108" s="64">
        <f>IFERROR(__xludf.DUMMYFUNCTION("""COMPUTED_VALUE"""),-5.0)</f>
        <v>-5</v>
      </c>
      <c r="D108" s="64">
        <f t="shared" si="79"/>
        <v>49</v>
      </c>
      <c r="E108" s="64">
        <f t="shared" si="80"/>
        <v>54</v>
      </c>
      <c r="F108" s="64">
        <f t="shared" si="81"/>
        <v>9</v>
      </c>
      <c r="G108" s="64">
        <f t="shared" si="82"/>
        <v>0</v>
      </c>
      <c r="L108" s="64" t="str">
        <f t="shared" si="83"/>
        <v>ok</v>
      </c>
    </row>
    <row r="109">
      <c r="A109" s="11"/>
      <c r="B109" s="51" t="str">
        <f>IFERROR(__xludf.DUMMYFUNCTION("""COMPUTED_VALUE"""),"Jonathan Phan")</f>
        <v>Jonathan Phan</v>
      </c>
      <c r="C109" s="64">
        <f>IFERROR(__xludf.DUMMYFUNCTION("""COMPUTED_VALUE"""),-4.0)</f>
        <v>-4</v>
      </c>
      <c r="D109" s="64">
        <f t="shared" si="79"/>
        <v>8</v>
      </c>
      <c r="E109" s="64">
        <f t="shared" si="80"/>
        <v>12</v>
      </c>
      <c r="F109" s="64">
        <f t="shared" si="81"/>
        <v>10</v>
      </c>
      <c r="G109" s="64">
        <f t="shared" si="82"/>
        <v>1</v>
      </c>
      <c r="L109" s="64" t="str">
        <f t="shared" si="83"/>
        <v>ok</v>
      </c>
    </row>
    <row r="110">
      <c r="A110" s="11"/>
      <c r="B110" s="51" t="str">
        <f>IFERROR(__xludf.DUMMYFUNCTION("""COMPUTED_VALUE"""),"Luis Hsu")</f>
        <v>Luis Hsu</v>
      </c>
      <c r="C110" s="64">
        <f>IFERROR(__xludf.DUMMYFUNCTION("""COMPUTED_VALUE"""),-4.0)</f>
        <v>-4</v>
      </c>
      <c r="D110" s="64">
        <f t="shared" si="79"/>
        <v>9</v>
      </c>
      <c r="E110" s="64">
        <f t="shared" si="80"/>
        <v>13</v>
      </c>
      <c r="F110" s="64">
        <f t="shared" si="81"/>
        <v>9</v>
      </c>
      <c r="G110" s="64">
        <f t="shared" si="82"/>
        <v>0</v>
      </c>
      <c r="L110" s="64" t="str">
        <f t="shared" si="83"/>
        <v>ok</v>
      </c>
    </row>
    <row r="111">
      <c r="A111" s="11"/>
      <c r="B111" s="51" t="str">
        <f>IFERROR(__xludf.DUMMYFUNCTION("""COMPUTED_VALUE"""),"Frank Moon")</f>
        <v>Frank Moon</v>
      </c>
      <c r="C111" s="64">
        <f>IFERROR(__xludf.DUMMYFUNCTION("""COMPUTED_VALUE"""),-3.0)</f>
        <v>-3</v>
      </c>
      <c r="D111" s="64">
        <f t="shared" si="79"/>
        <v>15</v>
      </c>
      <c r="E111" s="64">
        <f t="shared" si="80"/>
        <v>18</v>
      </c>
      <c r="F111" s="64">
        <f t="shared" si="81"/>
        <v>11</v>
      </c>
      <c r="G111" s="64">
        <f t="shared" si="82"/>
        <v>2</v>
      </c>
      <c r="L111" s="64" t="str">
        <f t="shared" si="83"/>
        <v>ok</v>
      </c>
    </row>
    <row r="112">
      <c r="A112" s="11"/>
      <c r="B112" s="51" t="str">
        <f>IFERROR(__xludf.DUMMYFUNCTION("""COMPUTED_VALUE"""),"Peter Cheng")</f>
        <v>Peter Cheng</v>
      </c>
      <c r="C112" s="64">
        <f>IFERROR(__xludf.DUMMYFUNCTION("""COMPUTED_VALUE"""),-3.0)</f>
        <v>-3</v>
      </c>
      <c r="D112" s="64">
        <f t="shared" si="79"/>
        <v>32</v>
      </c>
      <c r="E112" s="64">
        <f t="shared" si="80"/>
        <v>35</v>
      </c>
      <c r="F112" s="64">
        <f t="shared" si="81"/>
        <v>9</v>
      </c>
      <c r="G112" s="64">
        <f t="shared" si="82"/>
        <v>0</v>
      </c>
      <c r="L112" s="64" t="str">
        <f t="shared" si="83"/>
        <v>ok</v>
      </c>
    </row>
    <row r="113">
      <c r="A113" s="11"/>
      <c r="B113" s="51" t="str">
        <f>IFERROR(__xludf.DUMMYFUNCTION("""COMPUTED_VALUE"""),"Wayne Liu")</f>
        <v>Wayne Liu</v>
      </c>
      <c r="C113" s="64">
        <f>IFERROR(__xludf.DUMMYFUNCTION("""COMPUTED_VALUE"""),-3.0)</f>
        <v>-3</v>
      </c>
      <c r="D113" s="64">
        <f t="shared" si="79"/>
        <v>33</v>
      </c>
      <c r="E113" s="64">
        <f t="shared" si="80"/>
        <v>36</v>
      </c>
      <c r="F113" s="64">
        <f t="shared" si="81"/>
        <v>9</v>
      </c>
      <c r="G113" s="64">
        <f t="shared" si="82"/>
        <v>0</v>
      </c>
      <c r="L113" s="64" t="str">
        <f t="shared" si="83"/>
        <v>ok</v>
      </c>
    </row>
    <row r="114">
      <c r="A114" s="11"/>
      <c r="B114" s="51" t="str">
        <f>IFERROR(__xludf.DUMMYFUNCTION("""COMPUTED_VALUE"""),"Vinaya Kajla")</f>
        <v>Vinaya Kajla</v>
      </c>
      <c r="C114" s="64">
        <f>IFERROR(__xludf.DUMMYFUNCTION("""COMPUTED_VALUE"""),-3.0)</f>
        <v>-3</v>
      </c>
      <c r="D114" s="64">
        <f t="shared" si="79"/>
        <v>52</v>
      </c>
      <c r="E114" s="64">
        <f t="shared" si="80"/>
        <v>55</v>
      </c>
      <c r="F114" s="64">
        <f t="shared" si="81"/>
        <v>9</v>
      </c>
      <c r="G114" s="64">
        <f t="shared" si="82"/>
        <v>0</v>
      </c>
      <c r="L114" s="64" t="str">
        <f t="shared" si="83"/>
        <v>ok</v>
      </c>
    </row>
    <row r="115">
      <c r="A115" s="11"/>
      <c r="B115" s="51" t="str">
        <f>IFERROR(__xludf.DUMMYFUNCTION("""COMPUTED_VALUE"""),"Scott Li")</f>
        <v>Scott Li</v>
      </c>
      <c r="C115" s="64">
        <f>IFERROR(__xludf.DUMMYFUNCTION("""COMPUTED_VALUE"""),-2.0)</f>
        <v>-2</v>
      </c>
      <c r="D115" s="64">
        <f t="shared" si="79"/>
        <v>17</v>
      </c>
      <c r="E115" s="64">
        <f t="shared" si="80"/>
        <v>19</v>
      </c>
      <c r="F115" s="64">
        <f t="shared" si="81"/>
        <v>11</v>
      </c>
      <c r="G115" s="64">
        <f t="shared" si="82"/>
        <v>3</v>
      </c>
      <c r="L115" s="64" t="str">
        <f t="shared" si="83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11"/>
      <c r="B121" s="10"/>
      <c r="C121" s="11"/>
      <c r="D121" s="11"/>
      <c r="E121" s="11"/>
      <c r="F121" s="11"/>
    </row>
    <row r="122">
      <c r="A122" s="11"/>
      <c r="B122" s="10"/>
      <c r="C122" s="11"/>
      <c r="D122" s="11"/>
      <c r="E122" s="11"/>
      <c r="F122" s="11"/>
    </row>
    <row r="123">
      <c r="A123" s="11"/>
      <c r="B123" s="10"/>
      <c r="C123" s="11"/>
      <c r="D123" s="11"/>
      <c r="E123" s="11"/>
      <c r="F123" s="11"/>
    </row>
    <row r="124">
      <c r="A124" s="11"/>
      <c r="B124" s="10"/>
      <c r="C124" s="11"/>
      <c r="D124" s="11"/>
      <c r="E124" s="11"/>
      <c r="F124" s="11"/>
    </row>
    <row r="125">
      <c r="A125" s="11"/>
      <c r="B125" s="10"/>
      <c r="C125" s="11"/>
      <c r="D125" s="11"/>
      <c r="E125" s="11"/>
      <c r="F125" s="11"/>
    </row>
    <row r="126">
      <c r="A126" s="11"/>
      <c r="B126" s="10"/>
      <c r="C126" s="11"/>
      <c r="D126" s="11"/>
      <c r="E126" s="11"/>
      <c r="F126" s="11"/>
    </row>
    <row r="127">
      <c r="A127" s="11"/>
      <c r="B127" s="10"/>
      <c r="C127" s="11"/>
      <c r="D127" s="11"/>
      <c r="E127" s="11"/>
      <c r="F127" s="11"/>
    </row>
    <row r="128">
      <c r="A128" s="11"/>
      <c r="B128" s="10"/>
      <c r="C128" s="11"/>
      <c r="D128" s="11"/>
      <c r="E128" s="11"/>
      <c r="F128" s="11"/>
    </row>
    <row r="129">
      <c r="A129" s="11"/>
      <c r="B129" s="10" t="s">
        <v>165</v>
      </c>
      <c r="C129" s="11"/>
      <c r="D129" s="11"/>
      <c r="E129" s="11"/>
      <c r="F129" s="11"/>
    </row>
    <row r="130">
      <c r="A130" s="11"/>
      <c r="B130" s="27" t="s">
        <v>31</v>
      </c>
      <c r="C130" s="29" t="s">
        <v>2</v>
      </c>
      <c r="D130" s="29" t="s">
        <v>4</v>
      </c>
      <c r="E130" s="29"/>
      <c r="F130" s="29" t="s">
        <v>33</v>
      </c>
      <c r="G130" s="29" t="s">
        <v>35</v>
      </c>
      <c r="H130" s="29" t="s">
        <v>36</v>
      </c>
      <c r="I130" s="29" t="s">
        <v>6</v>
      </c>
      <c r="J130" s="29" t="s">
        <v>7</v>
      </c>
      <c r="K130" s="29" t="s">
        <v>8</v>
      </c>
      <c r="L130" s="29" t="s">
        <v>2</v>
      </c>
      <c r="M130" s="29" t="s">
        <v>4</v>
      </c>
      <c r="N130" s="28" t="s">
        <v>2</v>
      </c>
      <c r="O130" s="28" t="s">
        <v>4</v>
      </c>
    </row>
    <row r="131">
      <c r="A131" s="11"/>
      <c r="B131" s="82" t="str">
        <f>IFERROR(__xludf.DUMMYFUNCTION("QUERY(B5:O69, ""Select B, C, D, E, F, G, H, I, J, K, L, M, N   where F &gt;= 1"")"),"#REF!")</f>
        <v>#REF!</v>
      </c>
      <c r="C131" s="83"/>
      <c r="D131" s="83"/>
      <c r="E131" s="83"/>
      <c r="F131" s="83"/>
      <c r="G131" s="82"/>
      <c r="H131" s="82"/>
      <c r="I131" s="82"/>
      <c r="J131" s="82"/>
      <c r="K131" s="82"/>
      <c r="L131" s="82"/>
      <c r="M131" s="82"/>
      <c r="N131" s="82"/>
      <c r="O131" s="82"/>
    </row>
    <row r="132">
      <c r="A132" s="11"/>
      <c r="B132" s="82"/>
      <c r="C132" s="83"/>
      <c r="D132" s="83"/>
      <c r="E132" s="83"/>
      <c r="F132" s="83"/>
      <c r="G132" s="82"/>
      <c r="H132" s="82"/>
      <c r="I132" s="82"/>
      <c r="J132" s="82"/>
      <c r="K132" s="82"/>
      <c r="L132" s="82"/>
      <c r="M132" s="82"/>
      <c r="N132" s="82"/>
      <c r="O132" s="82"/>
    </row>
    <row r="133">
      <c r="A133" s="11"/>
      <c r="B133" s="82"/>
      <c r="C133" s="83"/>
      <c r="D133" s="83"/>
      <c r="E133" s="83"/>
      <c r="F133" s="83"/>
      <c r="G133" s="82"/>
      <c r="H133" s="82"/>
      <c r="I133" s="82"/>
      <c r="J133" s="82"/>
      <c r="K133" s="82"/>
      <c r="L133" s="82"/>
      <c r="M133" s="82"/>
      <c r="N133" s="82"/>
      <c r="O133" s="82"/>
    </row>
    <row r="134">
      <c r="A134" s="11"/>
      <c r="B134" s="82"/>
      <c r="C134" s="83"/>
      <c r="D134" s="83"/>
      <c r="E134" s="83"/>
      <c r="F134" s="83"/>
      <c r="G134" s="82"/>
      <c r="H134" s="82"/>
      <c r="I134" s="82"/>
      <c r="J134" s="82"/>
      <c r="K134" s="82"/>
      <c r="L134" s="82"/>
      <c r="M134" s="82"/>
      <c r="N134" s="82"/>
      <c r="O134" s="82"/>
    </row>
    <row r="135">
      <c r="A135" s="11"/>
      <c r="B135" s="84"/>
      <c r="C135" s="85"/>
      <c r="D135" s="85"/>
      <c r="E135" s="85"/>
      <c r="F135" s="85"/>
      <c r="G135" s="84"/>
      <c r="H135" s="84"/>
      <c r="I135" s="84"/>
      <c r="J135" s="84"/>
      <c r="K135" s="84"/>
      <c r="L135" s="84"/>
      <c r="M135" s="84"/>
      <c r="N135" s="84"/>
      <c r="O135" s="84"/>
    </row>
    <row r="136">
      <c r="A136" s="11"/>
      <c r="B136" s="84"/>
      <c r="C136" s="85"/>
      <c r="D136" s="85"/>
      <c r="E136" s="85"/>
      <c r="F136" s="85"/>
      <c r="G136" s="84"/>
      <c r="H136" s="84"/>
      <c r="I136" s="84"/>
      <c r="J136" s="84"/>
      <c r="K136" s="84"/>
      <c r="L136" s="84"/>
      <c r="M136" s="84"/>
      <c r="N136" s="84"/>
      <c r="O136" s="84"/>
    </row>
    <row r="137">
      <c r="A137" s="11"/>
      <c r="B137" s="84"/>
      <c r="C137" s="85"/>
      <c r="D137" s="85"/>
      <c r="E137" s="85"/>
      <c r="F137" s="85"/>
      <c r="G137" s="84"/>
      <c r="H137" s="84"/>
      <c r="I137" s="84"/>
      <c r="J137" s="84"/>
      <c r="K137" s="84"/>
      <c r="L137" s="84"/>
      <c r="M137" s="84"/>
      <c r="N137" s="84"/>
      <c r="O137" s="84"/>
    </row>
    <row r="138">
      <c r="A138" s="11"/>
      <c r="B138" s="84"/>
      <c r="C138" s="85"/>
      <c r="D138" s="85"/>
      <c r="E138" s="85"/>
      <c r="F138" s="85"/>
      <c r="G138" s="84"/>
      <c r="H138" s="84"/>
      <c r="I138" s="84"/>
      <c r="J138" s="84"/>
      <c r="K138" s="84"/>
      <c r="L138" s="84"/>
      <c r="M138" s="84"/>
      <c r="N138" s="84"/>
      <c r="O138" s="84"/>
    </row>
    <row r="139">
      <c r="A139" s="11"/>
      <c r="B139" s="84"/>
      <c r="C139" s="83"/>
      <c r="D139" s="83"/>
      <c r="E139" s="83"/>
      <c r="F139" s="83"/>
      <c r="G139" s="82"/>
      <c r="H139" s="82"/>
      <c r="I139" s="82"/>
      <c r="J139" s="82"/>
      <c r="K139" s="82"/>
      <c r="L139" s="82"/>
      <c r="M139" s="82"/>
      <c r="N139" s="82"/>
      <c r="O139" s="82"/>
    </row>
    <row r="140">
      <c r="A140" s="11"/>
      <c r="B140" s="84"/>
      <c r="C140" s="83"/>
      <c r="D140" s="83"/>
      <c r="E140" s="83"/>
      <c r="F140" s="83"/>
      <c r="G140" s="82"/>
      <c r="H140" s="82"/>
      <c r="I140" s="82"/>
      <c r="J140" s="82"/>
      <c r="K140" s="82"/>
      <c r="L140" s="82"/>
      <c r="M140" s="82"/>
      <c r="N140" s="82"/>
      <c r="O140" s="82"/>
    </row>
    <row r="141">
      <c r="A141" s="11"/>
      <c r="B141" s="82"/>
      <c r="C141" s="83"/>
      <c r="D141" s="83"/>
      <c r="E141" s="83"/>
      <c r="F141" s="83"/>
      <c r="G141" s="82"/>
      <c r="H141" s="82"/>
      <c r="I141" s="82"/>
      <c r="J141" s="82"/>
      <c r="K141" s="82"/>
      <c r="L141" s="82"/>
      <c r="M141" s="82"/>
      <c r="N141" s="82"/>
      <c r="O141" s="82"/>
    </row>
    <row r="142">
      <c r="A142" s="11"/>
      <c r="B142" s="82"/>
      <c r="C142" s="83"/>
      <c r="D142" s="83"/>
      <c r="E142" s="83"/>
      <c r="F142" s="83"/>
      <c r="G142" s="82"/>
      <c r="H142" s="82"/>
      <c r="I142" s="82"/>
      <c r="J142" s="82"/>
      <c r="K142" s="82"/>
      <c r="L142" s="82"/>
      <c r="M142" s="82"/>
      <c r="N142" s="82"/>
      <c r="O142" s="82"/>
    </row>
    <row r="143">
      <c r="A143" s="11"/>
      <c r="B143" s="84"/>
      <c r="C143" s="85"/>
      <c r="D143" s="85"/>
      <c r="E143" s="85"/>
      <c r="F143" s="85"/>
      <c r="G143" s="84"/>
      <c r="H143" s="84"/>
      <c r="I143" s="84"/>
      <c r="J143" s="84"/>
      <c r="K143" s="84"/>
      <c r="L143" s="84"/>
      <c r="M143" s="84"/>
      <c r="N143" s="84"/>
      <c r="O143" s="84"/>
    </row>
    <row r="144">
      <c r="A144" s="11"/>
      <c r="B144" s="84"/>
      <c r="C144" s="85"/>
      <c r="D144" s="85"/>
      <c r="E144" s="85"/>
      <c r="F144" s="85"/>
      <c r="G144" s="84"/>
      <c r="H144" s="84"/>
      <c r="I144" s="84"/>
      <c r="J144" s="84"/>
      <c r="K144" s="84"/>
      <c r="L144" s="84"/>
      <c r="M144" s="84"/>
      <c r="N144" s="84"/>
      <c r="O144" s="84"/>
    </row>
    <row r="145">
      <c r="A145" s="11"/>
      <c r="B145" s="84"/>
      <c r="C145" s="85"/>
      <c r="D145" s="85"/>
      <c r="E145" s="85"/>
      <c r="F145" s="85"/>
      <c r="G145" s="84"/>
      <c r="H145" s="84"/>
      <c r="I145" s="84"/>
      <c r="J145" s="84"/>
      <c r="K145" s="84"/>
      <c r="L145" s="84"/>
      <c r="M145" s="84"/>
      <c r="N145" s="84"/>
      <c r="O145" s="84"/>
    </row>
    <row r="146">
      <c r="A146" s="11"/>
      <c r="B146" s="84"/>
      <c r="C146" s="85"/>
      <c r="D146" s="85"/>
      <c r="E146" s="85"/>
      <c r="F146" s="85"/>
      <c r="G146" s="84"/>
      <c r="H146" s="84"/>
      <c r="I146" s="84"/>
      <c r="J146" s="84"/>
      <c r="K146" s="84"/>
      <c r="L146" s="84"/>
      <c r="M146" s="84"/>
      <c r="N146" s="84"/>
      <c r="O146" s="84"/>
    </row>
    <row r="147">
      <c r="A147" s="11"/>
      <c r="B147" s="82"/>
      <c r="C147" s="83"/>
      <c r="D147" s="83"/>
      <c r="E147" s="83"/>
      <c r="F147" s="83"/>
      <c r="G147" s="82"/>
      <c r="H147" s="82"/>
      <c r="I147" s="82"/>
      <c r="J147" s="82"/>
      <c r="K147" s="82"/>
      <c r="L147" s="82"/>
      <c r="M147" s="82"/>
      <c r="N147" s="82"/>
      <c r="O147" s="82"/>
    </row>
    <row r="148">
      <c r="A148" s="11"/>
      <c r="B148" s="82"/>
      <c r="C148" s="83"/>
      <c r="D148" s="83"/>
      <c r="E148" s="83"/>
      <c r="F148" s="83"/>
      <c r="G148" s="82"/>
      <c r="H148" s="82"/>
      <c r="I148" s="82"/>
      <c r="J148" s="82"/>
      <c r="K148" s="82"/>
      <c r="L148" s="82"/>
      <c r="M148" s="82"/>
      <c r="N148" s="82"/>
      <c r="O148" s="82"/>
    </row>
    <row r="149">
      <c r="A149" s="11"/>
      <c r="B149" s="82"/>
      <c r="C149" s="83"/>
      <c r="D149" s="83"/>
      <c r="E149" s="83"/>
      <c r="F149" s="83"/>
      <c r="G149" s="82"/>
      <c r="H149" s="82"/>
      <c r="I149" s="82"/>
      <c r="J149" s="82"/>
      <c r="K149" s="82"/>
      <c r="L149" s="82"/>
      <c r="M149" s="82"/>
      <c r="N149" s="82"/>
      <c r="O149" s="82"/>
    </row>
    <row r="150">
      <c r="A150" s="11"/>
      <c r="B150" s="82"/>
      <c r="C150" s="83"/>
      <c r="D150" s="83"/>
      <c r="E150" s="83"/>
      <c r="F150" s="83"/>
      <c r="G150" s="82"/>
      <c r="H150" s="82"/>
      <c r="I150" s="82"/>
      <c r="J150" s="82"/>
      <c r="K150" s="82"/>
      <c r="L150" s="82"/>
      <c r="M150" s="82"/>
      <c r="N150" s="82"/>
      <c r="O150" s="82"/>
    </row>
    <row r="151">
      <c r="A151" s="11"/>
      <c r="B151" s="84"/>
      <c r="C151" s="85"/>
      <c r="D151" s="85"/>
      <c r="E151" s="85"/>
      <c r="F151" s="85"/>
      <c r="G151" s="84"/>
      <c r="H151" s="84"/>
      <c r="I151" s="84"/>
      <c r="J151" s="84"/>
      <c r="K151" s="84"/>
      <c r="L151" s="84"/>
      <c r="M151" s="84"/>
      <c r="N151" s="84"/>
      <c r="O151" s="84"/>
    </row>
    <row r="152">
      <c r="A152" s="11"/>
      <c r="B152" s="84"/>
      <c r="C152" s="85"/>
      <c r="D152" s="85"/>
      <c r="E152" s="85"/>
      <c r="F152" s="85"/>
      <c r="G152" s="84"/>
      <c r="H152" s="84"/>
      <c r="I152" s="84"/>
      <c r="J152" s="84"/>
      <c r="K152" s="84"/>
      <c r="L152" s="84"/>
      <c r="M152" s="84"/>
      <c r="N152" s="84"/>
      <c r="O152" s="84"/>
    </row>
    <row r="153">
      <c r="A153" s="11"/>
      <c r="B153" s="84"/>
      <c r="C153" s="85"/>
      <c r="D153" s="85"/>
      <c r="E153" s="85"/>
      <c r="F153" s="85"/>
      <c r="G153" s="84"/>
      <c r="H153" s="84"/>
      <c r="I153" s="84"/>
      <c r="J153" s="84"/>
      <c r="K153" s="84"/>
      <c r="L153" s="84"/>
      <c r="M153" s="84"/>
      <c r="N153" s="84"/>
      <c r="O153" s="84"/>
    </row>
    <row r="154">
      <c r="A154" s="11"/>
      <c r="B154" s="84"/>
      <c r="C154" s="85"/>
      <c r="D154" s="85"/>
      <c r="E154" s="85"/>
      <c r="F154" s="85"/>
      <c r="G154" s="84"/>
      <c r="H154" s="84"/>
      <c r="I154" s="84"/>
      <c r="J154" s="84"/>
      <c r="K154" s="84"/>
      <c r="L154" s="84"/>
      <c r="M154" s="84"/>
      <c r="N154" s="84"/>
      <c r="O154" s="84"/>
    </row>
    <row r="155">
      <c r="A155" s="11"/>
      <c r="B155" s="82"/>
      <c r="C155" s="83"/>
      <c r="D155" s="83"/>
      <c r="E155" s="83"/>
      <c r="F155" s="83"/>
      <c r="G155" s="82"/>
      <c r="H155" s="82"/>
      <c r="I155" s="82"/>
      <c r="J155" s="82"/>
      <c r="K155" s="82"/>
      <c r="L155" s="82"/>
      <c r="M155" s="82"/>
      <c r="N155" s="82"/>
      <c r="O155" s="82"/>
    </row>
    <row r="156">
      <c r="A156" s="11"/>
      <c r="B156" s="82"/>
      <c r="C156" s="83"/>
      <c r="D156" s="83"/>
      <c r="E156" s="83"/>
      <c r="F156" s="83"/>
      <c r="G156" s="82"/>
      <c r="H156" s="82"/>
      <c r="I156" s="82"/>
      <c r="J156" s="82"/>
      <c r="K156" s="82"/>
      <c r="L156" s="82"/>
      <c r="M156" s="82"/>
      <c r="N156" s="82"/>
      <c r="O156" s="82"/>
    </row>
    <row r="157">
      <c r="A157" s="11"/>
      <c r="B157" s="82"/>
      <c r="C157" s="83"/>
      <c r="D157" s="83"/>
      <c r="E157" s="83"/>
      <c r="F157" s="83"/>
      <c r="G157" s="82"/>
      <c r="H157" s="82"/>
      <c r="I157" s="82"/>
      <c r="J157" s="82"/>
      <c r="K157" s="82"/>
      <c r="L157" s="82"/>
      <c r="M157" s="82"/>
      <c r="N157" s="82"/>
      <c r="O157" s="82"/>
    </row>
    <row r="158">
      <c r="A158" s="11"/>
      <c r="B158" s="82"/>
      <c r="C158" s="83"/>
      <c r="D158" s="83"/>
      <c r="E158" s="83"/>
      <c r="F158" s="83"/>
      <c r="G158" s="82"/>
      <c r="H158" s="82"/>
      <c r="I158" s="82"/>
      <c r="J158" s="82"/>
      <c r="K158" s="82"/>
      <c r="L158" s="82"/>
      <c r="M158" s="82"/>
      <c r="N158" s="82"/>
      <c r="O158" s="82"/>
    </row>
    <row r="159">
      <c r="A159" s="11"/>
      <c r="B159" s="84"/>
      <c r="C159" s="85"/>
      <c r="D159" s="85"/>
      <c r="E159" s="85"/>
      <c r="F159" s="85"/>
      <c r="G159" s="84"/>
      <c r="H159" s="84"/>
      <c r="I159" s="84"/>
      <c r="J159" s="84"/>
      <c r="K159" s="84"/>
      <c r="L159" s="84"/>
      <c r="M159" s="84"/>
      <c r="N159" s="84"/>
      <c r="O159" s="84"/>
    </row>
    <row r="160">
      <c r="A160" s="11"/>
      <c r="B160" s="84"/>
      <c r="C160" s="85"/>
      <c r="D160" s="85"/>
      <c r="E160" s="85"/>
      <c r="F160" s="85"/>
      <c r="G160" s="84"/>
      <c r="H160" s="84"/>
      <c r="I160" s="84"/>
      <c r="J160" s="84"/>
      <c r="K160" s="84"/>
      <c r="L160" s="84"/>
      <c r="M160" s="84"/>
      <c r="N160" s="84"/>
      <c r="O160" s="84"/>
    </row>
    <row r="161">
      <c r="A161" s="11"/>
      <c r="B161" s="84"/>
      <c r="C161" s="85"/>
      <c r="D161" s="85"/>
      <c r="E161" s="85"/>
      <c r="F161" s="85"/>
      <c r="G161" s="84"/>
      <c r="H161" s="84"/>
      <c r="I161" s="84"/>
      <c r="J161" s="84"/>
      <c r="K161" s="84"/>
      <c r="L161" s="84"/>
      <c r="M161" s="84"/>
      <c r="N161" s="84"/>
      <c r="O161" s="84"/>
    </row>
    <row r="162">
      <c r="A162" s="11"/>
      <c r="B162" s="84"/>
      <c r="C162" s="85"/>
      <c r="D162" s="85"/>
      <c r="E162" s="85"/>
      <c r="F162" s="85"/>
      <c r="G162" s="84"/>
      <c r="H162" s="84"/>
      <c r="I162" s="84"/>
      <c r="J162" s="84"/>
      <c r="K162" s="84"/>
      <c r="L162" s="84"/>
      <c r="M162" s="84"/>
      <c r="N162" s="84"/>
      <c r="O162" s="84"/>
    </row>
    <row r="163">
      <c r="A163" s="11"/>
      <c r="B163" s="17"/>
      <c r="C163" s="11"/>
      <c r="D163" s="11"/>
      <c r="E163" s="11"/>
      <c r="F163" s="11"/>
      <c r="G163" s="17"/>
      <c r="H163" s="17"/>
      <c r="I163" s="17"/>
      <c r="J163" s="17"/>
      <c r="K163" s="17"/>
      <c r="L163" s="17"/>
      <c r="M163" s="17"/>
      <c r="N163" s="17"/>
    </row>
    <row r="164">
      <c r="A164" s="11"/>
      <c r="B164" s="17"/>
      <c r="C164" s="11"/>
      <c r="D164" s="11"/>
      <c r="E164" s="11"/>
      <c r="F164" s="11"/>
      <c r="G164" s="17"/>
      <c r="H164" s="17"/>
      <c r="I164" s="17"/>
      <c r="J164" s="17"/>
      <c r="K164" s="17"/>
      <c r="L164" s="17"/>
      <c r="M164" s="17"/>
      <c r="N164" s="17"/>
    </row>
    <row r="165">
      <c r="A165" s="11"/>
      <c r="B165" s="17"/>
      <c r="C165" s="11"/>
      <c r="D165" s="11"/>
      <c r="E165" s="11"/>
      <c r="F165" s="11"/>
      <c r="G165" s="17"/>
      <c r="H165" s="17"/>
      <c r="I165" s="17"/>
      <c r="J165" s="17"/>
      <c r="K165" s="17"/>
      <c r="L165" s="17"/>
      <c r="M165" s="17"/>
      <c r="N165" s="17"/>
    </row>
    <row r="166">
      <c r="A166" s="11"/>
      <c r="B166" s="17"/>
      <c r="C166" s="11"/>
      <c r="D166" s="11"/>
      <c r="E166" s="11"/>
      <c r="F166" s="11"/>
      <c r="G166" s="17"/>
      <c r="H166" s="17"/>
      <c r="I166" s="17"/>
      <c r="J166" s="17"/>
      <c r="K166" s="17"/>
      <c r="L166" s="17"/>
      <c r="M166" s="17"/>
      <c r="N166" s="17"/>
    </row>
    <row r="167">
      <c r="A167" s="11"/>
      <c r="B167" s="17"/>
      <c r="C167" s="11"/>
      <c r="D167" s="11"/>
      <c r="E167" s="11"/>
      <c r="F167" s="11"/>
      <c r="G167" s="17"/>
      <c r="H167" s="17"/>
      <c r="I167" s="17"/>
      <c r="J167" s="17"/>
      <c r="K167" s="17"/>
      <c r="L167" s="17"/>
      <c r="M167" s="17"/>
      <c r="N167" s="17"/>
    </row>
    <row r="168">
      <c r="A168" s="11"/>
      <c r="B168" s="17"/>
      <c r="C168" s="11"/>
      <c r="D168" s="11"/>
      <c r="E168" s="11"/>
      <c r="F168" s="11"/>
      <c r="G168" s="17"/>
      <c r="H168" s="17"/>
      <c r="I168" s="17"/>
      <c r="J168" s="17"/>
      <c r="K168" s="17"/>
      <c r="L168" s="17"/>
      <c r="M168" s="17"/>
      <c r="N168" s="17"/>
    </row>
    <row r="169">
      <c r="A169" s="11"/>
      <c r="B169" s="17"/>
      <c r="C169" s="11"/>
      <c r="D169" s="11"/>
      <c r="E169" s="11"/>
      <c r="F169" s="11"/>
      <c r="G169" s="17"/>
      <c r="H169" s="17"/>
      <c r="I169" s="17"/>
      <c r="J169" s="17"/>
      <c r="K169" s="17"/>
      <c r="L169" s="17"/>
      <c r="M169" s="17"/>
      <c r="N169" s="17"/>
    </row>
    <row r="170">
      <c r="A170" s="11"/>
      <c r="B170" s="17"/>
      <c r="C170" s="11"/>
      <c r="D170" s="11"/>
      <c r="E170" s="11"/>
      <c r="F170" s="11"/>
      <c r="G170" s="17"/>
      <c r="H170" s="17"/>
      <c r="I170" s="17"/>
      <c r="J170" s="17"/>
      <c r="K170" s="17"/>
      <c r="L170" s="17"/>
      <c r="M170" s="17"/>
      <c r="N170" s="17"/>
    </row>
    <row r="171">
      <c r="A171" s="11"/>
      <c r="B171" s="17"/>
      <c r="C171" s="11"/>
      <c r="D171" s="11"/>
      <c r="E171" s="11"/>
      <c r="F171" s="11"/>
      <c r="G171" s="17"/>
      <c r="H171" s="17"/>
      <c r="I171" s="17"/>
      <c r="J171" s="17"/>
      <c r="K171" s="17"/>
      <c r="L171" s="17"/>
      <c r="M171" s="17"/>
      <c r="N171" s="17"/>
    </row>
    <row r="172">
      <c r="A172" s="11"/>
      <c r="B172" s="17"/>
      <c r="C172" s="11"/>
      <c r="D172" s="11"/>
      <c r="E172" s="11"/>
      <c r="F172" s="11"/>
      <c r="G172" s="17"/>
      <c r="H172" s="17"/>
      <c r="I172" s="17"/>
      <c r="J172" s="17"/>
      <c r="K172" s="17"/>
      <c r="L172" s="17"/>
      <c r="M172" s="17"/>
      <c r="N172" s="17"/>
    </row>
    <row r="173">
      <c r="A173" s="11"/>
      <c r="B173" s="10" t="s">
        <v>166</v>
      </c>
      <c r="C173" s="11"/>
      <c r="D173" s="11"/>
      <c r="E173" s="11"/>
      <c r="F173" s="11"/>
    </row>
    <row r="174">
      <c r="A174" s="11"/>
      <c r="B174" s="27" t="s">
        <v>31</v>
      </c>
      <c r="C174" s="29" t="s">
        <v>2</v>
      </c>
      <c r="D174" s="29" t="s">
        <v>4</v>
      </c>
      <c r="E174" s="29"/>
      <c r="F174" s="29" t="s">
        <v>33</v>
      </c>
      <c r="G174" s="29" t="s">
        <v>35</v>
      </c>
      <c r="H174" s="29" t="s">
        <v>36</v>
      </c>
      <c r="I174" s="29" t="s">
        <v>6</v>
      </c>
      <c r="J174" s="29" t="s">
        <v>7</v>
      </c>
      <c r="K174" s="29" t="s">
        <v>8</v>
      </c>
      <c r="L174" s="29" t="s">
        <v>2</v>
      </c>
      <c r="M174" s="29" t="s">
        <v>4</v>
      </c>
      <c r="N174" s="28" t="s">
        <v>2</v>
      </c>
      <c r="O174" s="28" t="s">
        <v>4</v>
      </c>
    </row>
    <row r="175">
      <c r="A175" s="11"/>
      <c r="B175" s="82" t="str">
        <f>IFERROR(__xludf.DUMMYFUNCTION("QUERY(B5:O69, ""Select B, C, D, E, F, G, H, I, J, K, L, M, N   where F = 0"")"),"#N/A")</f>
        <v>#N/A</v>
      </c>
      <c r="C175" s="83"/>
      <c r="D175" s="83"/>
      <c r="E175" s="83"/>
      <c r="F175" s="83"/>
      <c r="G175" s="82"/>
      <c r="H175" s="82"/>
      <c r="I175" s="82"/>
      <c r="J175" s="82"/>
      <c r="K175" s="82"/>
      <c r="L175" s="82"/>
      <c r="M175" s="82"/>
      <c r="N175" s="82"/>
      <c r="O175" s="82"/>
    </row>
    <row r="176">
      <c r="A176" s="11"/>
      <c r="B176" s="82"/>
      <c r="C176" s="83"/>
      <c r="D176" s="83"/>
      <c r="E176" s="83"/>
      <c r="F176" s="83"/>
      <c r="G176" s="82"/>
      <c r="H176" s="82"/>
      <c r="I176" s="82"/>
      <c r="J176" s="82"/>
      <c r="K176" s="82"/>
      <c r="L176" s="82"/>
      <c r="M176" s="82"/>
      <c r="N176" s="82"/>
      <c r="O176" s="82"/>
    </row>
    <row r="177">
      <c r="A177" s="11"/>
      <c r="B177" s="82"/>
      <c r="C177" s="83"/>
      <c r="D177" s="83"/>
      <c r="E177" s="83"/>
      <c r="F177" s="83"/>
      <c r="G177" s="82"/>
      <c r="H177" s="82"/>
      <c r="I177" s="82"/>
      <c r="J177" s="82"/>
      <c r="K177" s="82"/>
      <c r="L177" s="82"/>
      <c r="M177" s="82"/>
      <c r="N177" s="82"/>
      <c r="O177" s="82"/>
    </row>
    <row r="178">
      <c r="A178" s="11"/>
      <c r="B178" s="82"/>
      <c r="C178" s="83"/>
      <c r="D178" s="83"/>
      <c r="E178" s="83"/>
      <c r="F178" s="83"/>
      <c r="G178" s="82"/>
      <c r="H178" s="82"/>
      <c r="I178" s="82"/>
      <c r="J178" s="82"/>
      <c r="K178" s="82"/>
      <c r="L178" s="82"/>
      <c r="M178" s="82"/>
      <c r="N178" s="82"/>
      <c r="O178" s="82"/>
    </row>
    <row r="179">
      <c r="A179" s="11"/>
      <c r="B179" s="82"/>
      <c r="C179" s="83"/>
      <c r="D179" s="83"/>
      <c r="E179" s="83"/>
      <c r="F179" s="83"/>
      <c r="G179" s="82"/>
      <c r="H179" s="82"/>
      <c r="I179" s="82"/>
      <c r="J179" s="82"/>
      <c r="K179" s="82"/>
      <c r="L179" s="82"/>
      <c r="M179" s="82"/>
      <c r="N179" s="82"/>
      <c r="O179" s="82"/>
    </row>
    <row r="180">
      <c r="A180" s="11"/>
      <c r="B180" s="82"/>
      <c r="C180" s="83"/>
      <c r="D180" s="83"/>
      <c r="E180" s="83"/>
      <c r="F180" s="83"/>
      <c r="G180" s="82"/>
      <c r="H180" s="82"/>
      <c r="I180" s="82"/>
      <c r="J180" s="82"/>
      <c r="K180" s="82"/>
      <c r="L180" s="82"/>
      <c r="M180" s="82"/>
      <c r="N180" s="82"/>
      <c r="O180" s="82"/>
    </row>
    <row r="181">
      <c r="A181" s="11"/>
      <c r="B181" s="82"/>
      <c r="C181" s="83"/>
      <c r="D181" s="83"/>
      <c r="E181" s="83"/>
      <c r="F181" s="83"/>
      <c r="G181" s="82"/>
      <c r="H181" s="82"/>
      <c r="I181" s="82"/>
      <c r="J181" s="82"/>
      <c r="K181" s="82"/>
      <c r="L181" s="82"/>
      <c r="M181" s="82"/>
      <c r="N181" s="82"/>
      <c r="O181" s="82"/>
    </row>
    <row r="182">
      <c r="A182" s="11"/>
      <c r="B182" s="82"/>
      <c r="C182" s="83"/>
      <c r="D182" s="83"/>
      <c r="E182" s="83"/>
      <c r="F182" s="83"/>
      <c r="G182" s="82"/>
      <c r="H182" s="82"/>
      <c r="I182" s="82"/>
      <c r="J182" s="82"/>
      <c r="K182" s="82"/>
      <c r="L182" s="82"/>
      <c r="M182" s="82"/>
      <c r="N182" s="82"/>
      <c r="O182" s="82"/>
    </row>
    <row r="183">
      <c r="A183" s="11"/>
      <c r="B183" s="82"/>
      <c r="C183" s="83"/>
      <c r="D183" s="83"/>
      <c r="E183" s="83"/>
      <c r="F183" s="83"/>
      <c r="G183" s="82"/>
      <c r="H183" s="82"/>
      <c r="I183" s="82"/>
      <c r="J183" s="82"/>
      <c r="K183" s="82"/>
      <c r="L183" s="82"/>
      <c r="M183" s="82"/>
      <c r="N183" s="82"/>
      <c r="O183" s="82"/>
    </row>
    <row r="184">
      <c r="A184" s="11"/>
      <c r="B184" s="82"/>
      <c r="C184" s="83"/>
      <c r="D184" s="83"/>
      <c r="E184" s="83"/>
      <c r="F184" s="83"/>
      <c r="G184" s="82"/>
      <c r="H184" s="82"/>
      <c r="I184" s="82"/>
      <c r="J184" s="82"/>
      <c r="K184" s="82"/>
      <c r="L184" s="82"/>
      <c r="M184" s="82"/>
      <c r="N184" s="82"/>
      <c r="O184" s="82"/>
    </row>
    <row r="185">
      <c r="A185" s="11"/>
      <c r="B185" s="82"/>
      <c r="C185" s="83"/>
      <c r="D185" s="83"/>
      <c r="E185" s="83"/>
      <c r="F185" s="83"/>
      <c r="G185" s="82"/>
      <c r="H185" s="82"/>
      <c r="I185" s="82"/>
      <c r="J185" s="82"/>
      <c r="K185" s="82"/>
      <c r="L185" s="82"/>
      <c r="M185" s="82"/>
      <c r="N185" s="82"/>
      <c r="O185" s="82"/>
    </row>
    <row r="186">
      <c r="A186" s="11"/>
      <c r="B186" s="82"/>
      <c r="C186" s="83"/>
      <c r="D186" s="83"/>
      <c r="E186" s="83"/>
      <c r="F186" s="83"/>
      <c r="G186" s="82"/>
      <c r="H186" s="82"/>
      <c r="I186" s="82"/>
      <c r="J186" s="82"/>
      <c r="K186" s="82"/>
      <c r="L186" s="82"/>
      <c r="M186" s="82"/>
      <c r="N186" s="82"/>
      <c r="O186" s="82"/>
    </row>
    <row r="187">
      <c r="A187" s="11"/>
      <c r="B187" s="82"/>
      <c r="C187" s="83"/>
      <c r="D187" s="83"/>
      <c r="E187" s="83"/>
      <c r="F187" s="83"/>
      <c r="G187" s="82"/>
      <c r="H187" s="82"/>
      <c r="I187" s="82"/>
      <c r="J187" s="82"/>
      <c r="K187" s="82"/>
      <c r="L187" s="82"/>
      <c r="M187" s="82"/>
      <c r="N187" s="82"/>
      <c r="O187" s="82"/>
    </row>
    <row r="188">
      <c r="A188" s="11"/>
      <c r="B188" s="82"/>
      <c r="C188" s="83"/>
      <c r="D188" s="83"/>
      <c r="E188" s="83"/>
      <c r="F188" s="83"/>
      <c r="G188" s="82"/>
      <c r="H188" s="82"/>
      <c r="I188" s="82"/>
      <c r="J188" s="82"/>
      <c r="K188" s="82"/>
      <c r="L188" s="82"/>
      <c r="M188" s="82"/>
      <c r="N188" s="82"/>
      <c r="O188" s="82"/>
    </row>
    <row r="189">
      <c r="A189" s="11"/>
      <c r="B189" s="82"/>
      <c r="C189" s="83"/>
      <c r="D189" s="83"/>
      <c r="E189" s="83"/>
      <c r="F189" s="83"/>
      <c r="G189" s="82"/>
      <c r="H189" s="82"/>
      <c r="I189" s="82"/>
      <c r="J189" s="82"/>
      <c r="K189" s="82"/>
      <c r="L189" s="82"/>
      <c r="M189" s="82"/>
      <c r="N189" s="82"/>
      <c r="O189" s="82"/>
    </row>
    <row r="190">
      <c r="A190" s="11"/>
      <c r="B190" s="82"/>
      <c r="C190" s="83"/>
      <c r="D190" s="83"/>
      <c r="E190" s="83"/>
      <c r="F190" s="83"/>
      <c r="G190" s="82"/>
      <c r="H190" s="82"/>
      <c r="I190" s="82"/>
      <c r="J190" s="82"/>
      <c r="K190" s="82"/>
      <c r="L190" s="82"/>
      <c r="M190" s="82"/>
      <c r="N190" s="82"/>
      <c r="O190" s="82"/>
    </row>
    <row r="191">
      <c r="A191" s="11"/>
      <c r="B191" s="82"/>
      <c r="C191" s="83"/>
      <c r="D191" s="83"/>
      <c r="E191" s="83"/>
      <c r="F191" s="83"/>
      <c r="G191" s="82"/>
      <c r="H191" s="82"/>
      <c r="I191" s="82"/>
      <c r="J191" s="82"/>
      <c r="K191" s="82"/>
      <c r="L191" s="82"/>
      <c r="M191" s="82"/>
      <c r="N191" s="82"/>
      <c r="O191" s="82"/>
    </row>
    <row r="192">
      <c r="A192" s="11"/>
      <c r="B192" s="82"/>
      <c r="C192" s="83"/>
      <c r="D192" s="83"/>
      <c r="E192" s="83"/>
      <c r="F192" s="83"/>
      <c r="G192" s="82"/>
      <c r="H192" s="82"/>
      <c r="I192" s="82"/>
      <c r="J192" s="82"/>
      <c r="K192" s="82"/>
      <c r="L192" s="82"/>
      <c r="M192" s="82"/>
      <c r="N192" s="82"/>
      <c r="O192" s="82"/>
    </row>
    <row r="193">
      <c r="A193" s="11"/>
      <c r="B193" s="82"/>
      <c r="C193" s="83"/>
      <c r="D193" s="83"/>
      <c r="E193" s="83"/>
      <c r="F193" s="83"/>
      <c r="G193" s="82"/>
      <c r="H193" s="82"/>
      <c r="I193" s="82"/>
      <c r="J193" s="82"/>
      <c r="K193" s="82"/>
      <c r="L193" s="82"/>
      <c r="M193" s="82"/>
      <c r="N193" s="82"/>
      <c r="O193" s="82"/>
    </row>
    <row r="194">
      <c r="A194" s="11"/>
      <c r="B194" s="82"/>
      <c r="C194" s="83"/>
      <c r="D194" s="83"/>
      <c r="E194" s="83"/>
      <c r="F194" s="83"/>
      <c r="G194" s="82"/>
      <c r="H194" s="82"/>
      <c r="I194" s="82"/>
      <c r="J194" s="82"/>
      <c r="K194" s="82"/>
      <c r="L194" s="82"/>
      <c r="M194" s="82"/>
      <c r="N194" s="82"/>
      <c r="O194" s="82"/>
    </row>
    <row r="195">
      <c r="A195" s="11"/>
      <c r="B195" s="82"/>
      <c r="C195" s="83"/>
      <c r="D195" s="83"/>
      <c r="E195" s="83"/>
      <c r="F195" s="83"/>
      <c r="G195" s="82"/>
      <c r="H195" s="82"/>
      <c r="I195" s="82"/>
      <c r="J195" s="82"/>
      <c r="K195" s="82"/>
      <c r="L195" s="82"/>
      <c r="M195" s="82"/>
      <c r="N195" s="82"/>
      <c r="O195" s="82"/>
    </row>
    <row r="196">
      <c r="A196" s="11"/>
      <c r="B196" s="82"/>
      <c r="C196" s="83"/>
      <c r="D196" s="83"/>
      <c r="E196" s="83"/>
      <c r="F196" s="83"/>
      <c r="G196" s="82"/>
      <c r="H196" s="82"/>
      <c r="I196" s="82"/>
      <c r="J196" s="82"/>
      <c r="K196" s="82"/>
      <c r="L196" s="82"/>
      <c r="M196" s="82"/>
      <c r="N196" s="82"/>
      <c r="O196" s="82"/>
    </row>
    <row r="197">
      <c r="A197" s="11"/>
      <c r="B197" s="82"/>
      <c r="C197" s="83"/>
      <c r="D197" s="83"/>
      <c r="E197" s="83"/>
      <c r="F197" s="83"/>
      <c r="G197" s="82"/>
      <c r="H197" s="82"/>
      <c r="I197" s="82"/>
      <c r="J197" s="82"/>
      <c r="K197" s="82"/>
      <c r="L197" s="82"/>
      <c r="M197" s="82"/>
      <c r="N197" s="82"/>
      <c r="O197" s="82"/>
    </row>
    <row r="198">
      <c r="A198" s="11"/>
      <c r="B198" s="82"/>
      <c r="C198" s="83"/>
      <c r="D198" s="83"/>
      <c r="E198" s="83"/>
      <c r="F198" s="83"/>
      <c r="G198" s="82"/>
      <c r="H198" s="82"/>
      <c r="I198" s="82"/>
      <c r="J198" s="82"/>
      <c r="K198" s="82"/>
      <c r="L198" s="82"/>
      <c r="M198" s="82"/>
      <c r="N198" s="82"/>
      <c r="O198" s="82"/>
    </row>
    <row r="199">
      <c r="A199" s="11"/>
      <c r="B199" s="82"/>
      <c r="C199" s="83"/>
      <c r="D199" s="83"/>
      <c r="E199" s="83"/>
      <c r="F199" s="83"/>
      <c r="G199" s="82"/>
      <c r="H199" s="82"/>
      <c r="I199" s="82"/>
      <c r="J199" s="82"/>
      <c r="K199" s="82"/>
      <c r="L199" s="82"/>
      <c r="M199" s="82"/>
      <c r="N199" s="82"/>
      <c r="O199" s="82"/>
    </row>
    <row r="200">
      <c r="A200" s="11"/>
      <c r="B200" s="82"/>
      <c r="C200" s="83"/>
      <c r="D200" s="83"/>
      <c r="E200" s="83"/>
      <c r="F200" s="83"/>
      <c r="G200" s="82"/>
      <c r="H200" s="82"/>
      <c r="I200" s="82"/>
      <c r="J200" s="82"/>
      <c r="K200" s="82"/>
      <c r="L200" s="82"/>
      <c r="M200" s="82"/>
      <c r="N200" s="82"/>
      <c r="O200" s="82"/>
    </row>
    <row r="201">
      <c r="A201" s="11"/>
      <c r="B201" s="82"/>
      <c r="C201" s="83"/>
      <c r="D201" s="83"/>
      <c r="E201" s="83"/>
      <c r="F201" s="83"/>
      <c r="G201" s="82"/>
      <c r="H201" s="82"/>
      <c r="I201" s="82"/>
      <c r="J201" s="82"/>
      <c r="K201" s="82"/>
      <c r="L201" s="82"/>
      <c r="M201" s="82"/>
      <c r="N201" s="82"/>
      <c r="O201" s="82"/>
    </row>
    <row r="202">
      <c r="A202" s="11"/>
      <c r="B202" s="82"/>
      <c r="C202" s="83"/>
      <c r="D202" s="83"/>
      <c r="E202" s="83"/>
      <c r="F202" s="83"/>
      <c r="G202" s="82"/>
      <c r="H202" s="82"/>
      <c r="I202" s="82"/>
      <c r="J202" s="82"/>
      <c r="K202" s="82"/>
      <c r="L202" s="82"/>
      <c r="M202" s="82"/>
      <c r="N202" s="82"/>
      <c r="O202" s="82"/>
    </row>
    <row r="203">
      <c r="A203" s="11"/>
      <c r="B203" s="82"/>
      <c r="C203" s="83"/>
      <c r="D203" s="83"/>
      <c r="E203" s="83"/>
      <c r="F203" s="83"/>
      <c r="G203" s="82"/>
      <c r="H203" s="82"/>
      <c r="I203" s="82"/>
      <c r="J203" s="82"/>
      <c r="K203" s="82"/>
      <c r="L203" s="82"/>
      <c r="M203" s="82"/>
      <c r="N203" s="82"/>
      <c r="O203" s="82"/>
    </row>
    <row r="204">
      <c r="A204" s="11"/>
      <c r="B204" s="82"/>
      <c r="C204" s="83"/>
      <c r="D204" s="83"/>
      <c r="E204" s="83"/>
      <c r="F204" s="83"/>
      <c r="G204" s="82"/>
      <c r="H204" s="82"/>
      <c r="I204" s="82"/>
      <c r="J204" s="82"/>
      <c r="K204" s="82"/>
      <c r="L204" s="82"/>
      <c r="M204" s="82"/>
      <c r="N204" s="82"/>
      <c r="O204" s="82"/>
    </row>
    <row r="205">
      <c r="A205" s="11"/>
      <c r="B205" s="82"/>
      <c r="C205" s="83"/>
      <c r="D205" s="83"/>
      <c r="E205" s="83"/>
      <c r="F205" s="83"/>
      <c r="G205" s="82"/>
      <c r="H205" s="82"/>
      <c r="I205" s="82"/>
      <c r="J205" s="82"/>
      <c r="K205" s="82"/>
      <c r="L205" s="82"/>
      <c r="M205" s="82"/>
      <c r="N205" s="82"/>
      <c r="O205" s="82"/>
    </row>
    <row r="206">
      <c r="A206" s="11"/>
      <c r="B206" s="82"/>
      <c r="C206" s="86"/>
      <c r="D206" s="87"/>
      <c r="E206" s="86"/>
      <c r="F206" s="86"/>
      <c r="G206" s="88"/>
      <c r="H206" s="88"/>
      <c r="I206" s="88"/>
      <c r="J206" s="88"/>
      <c r="K206" s="88"/>
      <c r="L206" s="88"/>
      <c r="M206" s="88"/>
      <c r="N206" s="88"/>
      <c r="O206" s="89"/>
    </row>
    <row r="207">
      <c r="A207" s="11"/>
      <c r="B207" s="82"/>
      <c r="C207" s="86"/>
      <c r="D207" s="87"/>
      <c r="E207" s="86"/>
      <c r="F207" s="86"/>
      <c r="G207" s="88"/>
      <c r="H207" s="88"/>
      <c r="I207" s="88"/>
      <c r="J207" s="88"/>
      <c r="K207" s="88"/>
      <c r="L207" s="88"/>
      <c r="M207" s="88"/>
      <c r="N207" s="88"/>
      <c r="O207" s="89"/>
    </row>
    <row r="208">
      <c r="A208" s="11"/>
      <c r="B208" s="82"/>
      <c r="C208" s="86"/>
      <c r="D208" s="87"/>
      <c r="E208" s="86"/>
      <c r="F208" s="86"/>
      <c r="G208" s="88"/>
      <c r="H208" s="88"/>
      <c r="I208" s="88"/>
      <c r="J208" s="88"/>
      <c r="K208" s="88"/>
      <c r="L208" s="88"/>
      <c r="M208" s="88"/>
      <c r="N208" s="88"/>
      <c r="O208" s="89"/>
    </row>
    <row r="209">
      <c r="A209" s="11"/>
      <c r="B209" s="82"/>
      <c r="C209" s="86"/>
      <c r="D209" s="87"/>
      <c r="E209" s="86"/>
      <c r="F209" s="86"/>
      <c r="G209" s="88"/>
      <c r="H209" s="88"/>
      <c r="I209" s="88"/>
      <c r="J209" s="88"/>
      <c r="K209" s="88"/>
      <c r="L209" s="88"/>
      <c r="M209" s="88"/>
      <c r="N209" s="88"/>
      <c r="O209" s="89"/>
    </row>
    <row r="210">
      <c r="A210" s="11"/>
      <c r="B210" s="82"/>
      <c r="C210" s="86"/>
      <c r="D210" s="87"/>
      <c r="E210" s="86"/>
      <c r="F210" s="86"/>
      <c r="G210" s="88"/>
      <c r="H210" s="88"/>
      <c r="I210" s="88"/>
      <c r="J210" s="88"/>
      <c r="K210" s="88"/>
      <c r="L210" s="88"/>
      <c r="M210" s="88"/>
      <c r="N210" s="88"/>
      <c r="O210" s="89"/>
    </row>
    <row r="211">
      <c r="A211" s="11"/>
      <c r="B211" s="82"/>
      <c r="C211" s="86"/>
      <c r="D211" s="87"/>
      <c r="E211" s="86"/>
      <c r="F211" s="86"/>
      <c r="G211" s="88"/>
      <c r="H211" s="88"/>
      <c r="I211" s="88"/>
      <c r="J211" s="88"/>
      <c r="K211" s="88"/>
      <c r="L211" s="88"/>
      <c r="M211" s="88"/>
      <c r="N211" s="88"/>
      <c r="O211" s="89"/>
    </row>
    <row r="212">
      <c r="A212" s="11"/>
      <c r="B212" s="82"/>
      <c r="C212" s="86"/>
      <c r="D212" s="87"/>
      <c r="E212" s="86"/>
      <c r="F212" s="86"/>
      <c r="G212" s="88"/>
      <c r="H212" s="88"/>
      <c r="I212" s="88"/>
      <c r="J212" s="88"/>
      <c r="K212" s="88"/>
      <c r="L212" s="88"/>
      <c r="M212" s="88"/>
      <c r="N212" s="88"/>
      <c r="O212" s="89"/>
    </row>
    <row r="213">
      <c r="A213" s="11"/>
      <c r="B213" s="82"/>
      <c r="C213" s="86"/>
      <c r="D213" s="87"/>
      <c r="E213" s="86"/>
      <c r="F213" s="86"/>
      <c r="G213" s="88"/>
      <c r="H213" s="88"/>
      <c r="I213" s="88"/>
      <c r="J213" s="88"/>
      <c r="K213" s="88"/>
      <c r="L213" s="88"/>
      <c r="M213" s="88"/>
      <c r="N213" s="88"/>
      <c r="O213" s="89"/>
    </row>
    <row r="214">
      <c r="A214" s="11"/>
      <c r="B214" s="82"/>
      <c r="C214" s="86"/>
      <c r="D214" s="87"/>
      <c r="E214" s="86"/>
      <c r="F214" s="86"/>
      <c r="G214" s="88"/>
      <c r="H214" s="88"/>
      <c r="I214" s="88"/>
      <c r="J214" s="88"/>
      <c r="K214" s="88"/>
      <c r="L214" s="88"/>
      <c r="M214" s="88"/>
      <c r="N214" s="88"/>
      <c r="O214" s="89"/>
    </row>
    <row r="215">
      <c r="A215" s="11"/>
      <c r="B215" s="82"/>
      <c r="C215" s="86"/>
      <c r="D215" s="87"/>
      <c r="E215" s="86"/>
      <c r="F215" s="86"/>
      <c r="G215" s="88"/>
      <c r="H215" s="88"/>
      <c r="I215" s="88"/>
      <c r="J215" s="88"/>
      <c r="K215" s="88"/>
      <c r="L215" s="88"/>
      <c r="M215" s="88"/>
      <c r="N215" s="88"/>
      <c r="O215" s="89"/>
    </row>
    <row r="216">
      <c r="A216" s="11"/>
      <c r="B216" s="82"/>
      <c r="C216" s="86"/>
      <c r="D216" s="87"/>
      <c r="E216" s="86"/>
      <c r="F216" s="86"/>
      <c r="G216" s="88"/>
      <c r="H216" s="88"/>
      <c r="I216" s="88"/>
      <c r="J216" s="88"/>
      <c r="K216" s="88"/>
      <c r="L216" s="88"/>
      <c r="M216" s="88"/>
      <c r="N216" s="88"/>
      <c r="O216" s="89"/>
    </row>
    <row r="217">
      <c r="A217" s="11"/>
      <c r="B217" s="82"/>
      <c r="C217" s="86"/>
      <c r="D217" s="87"/>
      <c r="E217" s="86"/>
      <c r="F217" s="86"/>
      <c r="G217" s="88"/>
      <c r="H217" s="88"/>
      <c r="I217" s="88"/>
      <c r="J217" s="88"/>
      <c r="K217" s="88"/>
      <c r="L217" s="88"/>
      <c r="M217" s="88"/>
      <c r="N217" s="88"/>
      <c r="O217" s="89"/>
    </row>
    <row r="218">
      <c r="A218" s="11"/>
      <c r="B218" s="82"/>
      <c r="C218" s="86"/>
      <c r="D218" s="87"/>
      <c r="E218" s="86"/>
      <c r="F218" s="86"/>
      <c r="G218" s="88"/>
      <c r="H218" s="88"/>
      <c r="I218" s="88"/>
      <c r="J218" s="88"/>
      <c r="K218" s="88"/>
      <c r="L218" s="88"/>
      <c r="M218" s="88"/>
      <c r="N218" s="88"/>
      <c r="O218" s="89"/>
    </row>
    <row r="219">
      <c r="A219" s="11"/>
      <c r="B219" s="82"/>
      <c r="C219" s="86"/>
      <c r="D219" s="87"/>
      <c r="E219" s="86"/>
      <c r="F219" s="86"/>
      <c r="G219" s="88"/>
      <c r="H219" s="88"/>
      <c r="I219" s="88"/>
      <c r="J219" s="88"/>
      <c r="K219" s="88"/>
      <c r="L219" s="88"/>
      <c r="M219" s="88"/>
      <c r="N219" s="88"/>
      <c r="O219" s="89"/>
    </row>
    <row r="220">
      <c r="A220" s="11"/>
      <c r="B220" s="82"/>
      <c r="C220" s="86"/>
      <c r="D220" s="87"/>
      <c r="E220" s="86"/>
      <c r="F220" s="86"/>
      <c r="G220" s="88"/>
      <c r="H220" s="88"/>
      <c r="I220" s="88"/>
      <c r="J220" s="88"/>
      <c r="K220" s="88"/>
      <c r="L220" s="88"/>
      <c r="M220" s="88"/>
      <c r="N220" s="88"/>
      <c r="O220" s="89"/>
    </row>
    <row r="221">
      <c r="A221" s="11"/>
      <c r="B221" s="82"/>
      <c r="C221" s="86"/>
      <c r="D221" s="87"/>
      <c r="E221" s="86"/>
      <c r="F221" s="86"/>
      <c r="G221" s="88"/>
      <c r="H221" s="88"/>
      <c r="I221" s="88"/>
      <c r="J221" s="88"/>
      <c r="K221" s="88"/>
      <c r="L221" s="88"/>
      <c r="M221" s="88"/>
      <c r="N221" s="88"/>
      <c r="O221" s="89"/>
    </row>
    <row r="222">
      <c r="A222" s="11"/>
      <c r="B222" s="82"/>
      <c r="C222" s="86"/>
      <c r="D222" s="87"/>
      <c r="E222" s="86"/>
      <c r="F222" s="86"/>
      <c r="G222" s="88"/>
      <c r="H222" s="88"/>
      <c r="I222" s="88"/>
      <c r="J222" s="88"/>
      <c r="K222" s="88"/>
      <c r="L222" s="88"/>
      <c r="M222" s="88"/>
      <c r="N222" s="88"/>
      <c r="O222" s="89"/>
    </row>
    <row r="223">
      <c r="A223" s="11"/>
      <c r="B223" s="82"/>
      <c r="C223" s="86"/>
      <c r="D223" s="87"/>
      <c r="E223" s="86"/>
      <c r="F223" s="86"/>
      <c r="G223" s="88"/>
      <c r="H223" s="88"/>
      <c r="I223" s="88"/>
      <c r="J223" s="88"/>
      <c r="K223" s="88"/>
      <c r="L223" s="88"/>
      <c r="M223" s="88"/>
      <c r="N223" s="88"/>
      <c r="O223" s="89"/>
    </row>
    <row r="224">
      <c r="A224" s="11"/>
      <c r="B224" s="82"/>
      <c r="C224" s="86"/>
      <c r="D224" s="87"/>
      <c r="E224" s="86"/>
      <c r="F224" s="86"/>
      <c r="G224" s="88"/>
      <c r="H224" s="88"/>
      <c r="I224" s="88"/>
      <c r="J224" s="88"/>
      <c r="K224" s="88"/>
      <c r="L224" s="88"/>
      <c r="M224" s="88"/>
      <c r="N224" s="88"/>
      <c r="O224" s="89"/>
    </row>
    <row r="225">
      <c r="A225" s="11"/>
      <c r="B225" s="82"/>
      <c r="C225" s="86"/>
      <c r="D225" s="87"/>
      <c r="E225" s="86"/>
      <c r="F225" s="86"/>
      <c r="G225" s="88"/>
      <c r="H225" s="88"/>
      <c r="I225" s="88"/>
      <c r="J225" s="88"/>
      <c r="K225" s="88"/>
      <c r="L225" s="88"/>
      <c r="M225" s="88"/>
      <c r="N225" s="88"/>
      <c r="O225" s="89"/>
    </row>
    <row r="226">
      <c r="A226" s="11"/>
      <c r="B226" s="82"/>
      <c r="C226" s="86"/>
      <c r="D226" s="87"/>
      <c r="E226" s="86"/>
      <c r="F226" s="86"/>
      <c r="G226" s="88"/>
      <c r="H226" s="88"/>
      <c r="I226" s="88"/>
      <c r="J226" s="88"/>
      <c r="K226" s="88"/>
      <c r="L226" s="88"/>
      <c r="M226" s="88"/>
      <c r="N226" s="88"/>
      <c r="O226" s="89"/>
    </row>
    <row r="227">
      <c r="A227" s="11"/>
      <c r="B227" s="82"/>
      <c r="C227" s="86"/>
      <c r="D227" s="87"/>
      <c r="E227" s="86"/>
      <c r="F227" s="86"/>
      <c r="G227" s="88"/>
      <c r="H227" s="88"/>
      <c r="I227" s="88"/>
      <c r="J227" s="88"/>
      <c r="K227" s="88"/>
      <c r="L227" s="88"/>
      <c r="M227" s="88"/>
      <c r="N227" s="88"/>
      <c r="O227" s="89"/>
    </row>
    <row r="228">
      <c r="A228" s="11"/>
      <c r="B228" s="82"/>
      <c r="C228" s="86"/>
      <c r="D228" s="87"/>
      <c r="E228" s="86"/>
      <c r="F228" s="86"/>
      <c r="G228" s="88"/>
      <c r="H228" s="88"/>
      <c r="I228" s="88"/>
      <c r="J228" s="88"/>
      <c r="K228" s="88"/>
      <c r="L228" s="88"/>
      <c r="M228" s="88"/>
      <c r="N228" s="88"/>
      <c r="O228" s="89"/>
    </row>
    <row r="229">
      <c r="A229" s="11"/>
      <c r="B229" s="82"/>
      <c r="C229" s="86"/>
      <c r="D229" s="87"/>
      <c r="E229" s="86"/>
      <c r="F229" s="86"/>
      <c r="G229" s="88"/>
      <c r="H229" s="88"/>
      <c r="I229" s="88"/>
      <c r="J229" s="88"/>
      <c r="K229" s="88"/>
      <c r="L229" s="88"/>
      <c r="M229" s="88"/>
      <c r="N229" s="88"/>
      <c r="O229" s="89"/>
    </row>
    <row r="230">
      <c r="A230" s="11"/>
      <c r="B230" s="82"/>
      <c r="C230" s="86"/>
      <c r="D230" s="87"/>
      <c r="E230" s="86"/>
      <c r="F230" s="86"/>
      <c r="G230" s="88"/>
      <c r="H230" s="88"/>
      <c r="I230" s="88"/>
      <c r="J230" s="88"/>
      <c r="K230" s="88"/>
      <c r="L230" s="88"/>
      <c r="M230" s="88"/>
      <c r="N230" s="88"/>
      <c r="O230" s="89"/>
    </row>
    <row r="231">
      <c r="A231" s="11"/>
      <c r="B231" s="82"/>
      <c r="C231" s="86"/>
      <c r="D231" s="87"/>
      <c r="E231" s="86"/>
      <c r="F231" s="86"/>
      <c r="G231" s="88"/>
      <c r="H231" s="88"/>
      <c r="I231" s="88"/>
      <c r="J231" s="88"/>
      <c r="K231" s="88"/>
      <c r="L231" s="88"/>
      <c r="M231" s="88"/>
      <c r="N231" s="88"/>
      <c r="O231" s="89"/>
    </row>
    <row r="232">
      <c r="A232" s="11"/>
      <c r="B232" s="82"/>
      <c r="C232" s="86"/>
      <c r="D232" s="87"/>
      <c r="E232" s="86"/>
      <c r="F232" s="86"/>
      <c r="G232" s="88"/>
      <c r="H232" s="88"/>
      <c r="I232" s="88"/>
      <c r="J232" s="88"/>
      <c r="K232" s="88"/>
      <c r="L232" s="88"/>
      <c r="M232" s="88"/>
      <c r="N232" s="88"/>
      <c r="O232" s="89"/>
    </row>
    <row r="233">
      <c r="A233" s="11"/>
      <c r="B233" s="82"/>
      <c r="C233" s="86"/>
      <c r="D233" s="87"/>
      <c r="E233" s="86"/>
      <c r="F233" s="86"/>
      <c r="G233" s="88"/>
      <c r="H233" s="88"/>
      <c r="I233" s="88"/>
      <c r="J233" s="88"/>
      <c r="K233" s="88"/>
      <c r="L233" s="88"/>
      <c r="M233" s="88"/>
      <c r="N233" s="88"/>
      <c r="O233" s="89"/>
    </row>
    <row r="234">
      <c r="A234" s="11"/>
      <c r="B234" s="82"/>
      <c r="C234" s="86"/>
      <c r="D234" s="87"/>
      <c r="E234" s="86"/>
      <c r="F234" s="86"/>
      <c r="G234" s="88"/>
      <c r="H234" s="88"/>
      <c r="I234" s="88"/>
      <c r="J234" s="88"/>
      <c r="K234" s="88"/>
      <c r="L234" s="88"/>
      <c r="M234" s="88"/>
      <c r="N234" s="88"/>
      <c r="O234" s="89"/>
    </row>
    <row r="235">
      <c r="A235" s="11"/>
      <c r="B235" s="82"/>
      <c r="C235" s="86"/>
      <c r="D235" s="87"/>
      <c r="E235" s="86"/>
      <c r="F235" s="86"/>
      <c r="G235" s="88"/>
      <c r="H235" s="88"/>
      <c r="I235" s="88"/>
      <c r="J235" s="88"/>
      <c r="K235" s="88"/>
      <c r="L235" s="88"/>
      <c r="M235" s="88"/>
      <c r="N235" s="88"/>
      <c r="O235" s="89"/>
    </row>
    <row r="236">
      <c r="A236" s="11"/>
      <c r="B236" s="82"/>
      <c r="C236" s="86"/>
      <c r="D236" s="87"/>
      <c r="E236" s="86"/>
      <c r="F236" s="86"/>
      <c r="G236" s="88"/>
      <c r="H236" s="88"/>
      <c r="I236" s="88"/>
      <c r="J236" s="88"/>
      <c r="K236" s="88"/>
      <c r="L236" s="88"/>
      <c r="M236" s="88"/>
      <c r="N236" s="88"/>
      <c r="O236" s="89"/>
    </row>
    <row r="237">
      <c r="A237" s="11"/>
      <c r="B237" s="82"/>
      <c r="C237" s="86"/>
      <c r="D237" s="87"/>
      <c r="E237" s="86"/>
      <c r="F237" s="86"/>
      <c r="G237" s="88"/>
      <c r="H237" s="88"/>
      <c r="I237" s="88"/>
      <c r="J237" s="88"/>
      <c r="K237" s="88"/>
      <c r="L237" s="88"/>
      <c r="M237" s="88"/>
      <c r="N237" s="88"/>
      <c r="O237" s="89"/>
    </row>
    <row r="238">
      <c r="A238" s="11"/>
      <c r="B238" s="82"/>
      <c r="C238" s="86"/>
      <c r="D238" s="87"/>
      <c r="E238" s="86"/>
      <c r="F238" s="86"/>
      <c r="G238" s="88"/>
      <c r="H238" s="88"/>
      <c r="I238" s="88"/>
      <c r="J238" s="88"/>
      <c r="K238" s="88"/>
      <c r="L238" s="88"/>
      <c r="M238" s="88"/>
      <c r="N238" s="88"/>
      <c r="O238" s="89"/>
    </row>
    <row r="239">
      <c r="A239" s="11"/>
      <c r="B239" s="82"/>
      <c r="C239" s="86"/>
      <c r="D239" s="87"/>
      <c r="E239" s="86"/>
      <c r="F239" s="86"/>
      <c r="G239" s="88"/>
      <c r="H239" s="88"/>
      <c r="I239" s="88"/>
      <c r="J239" s="88"/>
      <c r="K239" s="88"/>
      <c r="L239" s="88"/>
      <c r="M239" s="88"/>
      <c r="N239" s="88"/>
      <c r="O239" s="89"/>
    </row>
    <row r="240">
      <c r="A240" s="11"/>
      <c r="B240" s="82"/>
      <c r="C240" s="86"/>
      <c r="D240" s="87"/>
      <c r="E240" s="86"/>
      <c r="F240" s="86"/>
      <c r="G240" s="88"/>
      <c r="H240" s="88"/>
      <c r="I240" s="88"/>
      <c r="J240" s="88"/>
      <c r="K240" s="88"/>
      <c r="L240" s="88"/>
      <c r="M240" s="88"/>
      <c r="N240" s="88"/>
      <c r="O240" s="89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53"/>
      <c r="B261" s="90" t="s">
        <v>167</v>
      </c>
      <c r="C261" s="11"/>
      <c r="D261" s="11"/>
      <c r="E261" s="11"/>
      <c r="F261" s="11"/>
      <c r="V261" s="90" t="s">
        <v>168</v>
      </c>
    </row>
    <row r="262">
      <c r="A262" s="50">
        <v>1.0</v>
      </c>
      <c r="B262" s="82" t="str">
        <f>IFERROR(__xludf.DUMMYFUNCTION("QUERY(B5:R69, ""Select B   where Q is null"")"),"Peter Cheng")</f>
        <v>Peter Cheng</v>
      </c>
      <c r="C262" s="11"/>
      <c r="D262" s="11"/>
      <c r="E262" s="11"/>
      <c r="F262" s="11"/>
      <c r="U262" s="82">
        <v>1.0</v>
      </c>
      <c r="V262" s="82" t="str">
        <f>IFERROR(__xludf.DUMMYFUNCTION("QUERY(B5:R69, ""Select B   where Q = 'N' "")"),"#N/A")</f>
        <v>#N/A</v>
      </c>
    </row>
    <row r="263">
      <c r="A263" s="53">
        <f t="shared" ref="A263:A283" si="84">A262+1</f>
        <v>2</v>
      </c>
      <c r="B263" s="82"/>
      <c r="C263" s="11"/>
      <c r="D263" s="11"/>
      <c r="E263" s="11"/>
      <c r="F263" s="11"/>
      <c r="U263" s="82">
        <f t="shared" ref="U263:U274" si="85">U262+1</f>
        <v>2</v>
      </c>
      <c r="V263" s="82"/>
    </row>
    <row r="264">
      <c r="A264" s="53">
        <f t="shared" si="84"/>
        <v>3</v>
      </c>
      <c r="B264" s="82"/>
      <c r="C264" s="11"/>
      <c r="D264" s="11"/>
      <c r="E264" s="11"/>
      <c r="F264" s="11"/>
      <c r="U264" s="82">
        <f t="shared" si="85"/>
        <v>3</v>
      </c>
      <c r="V264" s="82"/>
    </row>
    <row r="265">
      <c r="A265" s="53">
        <f t="shared" si="84"/>
        <v>4</v>
      </c>
      <c r="B265" s="82"/>
      <c r="C265" s="11"/>
      <c r="D265" s="11"/>
      <c r="E265" s="11"/>
      <c r="F265" s="11"/>
      <c r="U265" s="82">
        <f t="shared" si="85"/>
        <v>4</v>
      </c>
      <c r="V265" s="82"/>
    </row>
    <row r="266">
      <c r="A266" s="53">
        <f t="shared" si="84"/>
        <v>5</v>
      </c>
      <c r="B266" s="82"/>
      <c r="C266" s="11"/>
      <c r="D266" s="11"/>
      <c r="E266" s="11"/>
      <c r="F266" s="11"/>
      <c r="U266" s="82">
        <f t="shared" si="85"/>
        <v>5</v>
      </c>
      <c r="V266" s="82"/>
    </row>
    <row r="267">
      <c r="A267" s="53">
        <f t="shared" si="84"/>
        <v>6</v>
      </c>
      <c r="B267" s="82"/>
      <c r="C267" s="11"/>
      <c r="D267" s="11"/>
      <c r="E267" s="11"/>
      <c r="F267" s="11"/>
      <c r="U267" s="82">
        <f t="shared" si="85"/>
        <v>6</v>
      </c>
      <c r="V267" s="82"/>
    </row>
    <row r="268">
      <c r="A268" s="53">
        <f t="shared" si="84"/>
        <v>7</v>
      </c>
      <c r="B268" s="82"/>
      <c r="C268" s="11"/>
      <c r="D268" s="11"/>
      <c r="E268" s="11"/>
      <c r="F268" s="11"/>
      <c r="U268" s="82">
        <f t="shared" si="85"/>
        <v>7</v>
      </c>
      <c r="V268" s="82"/>
    </row>
    <row r="269">
      <c r="A269" s="53">
        <f t="shared" si="84"/>
        <v>8</v>
      </c>
      <c r="B269" s="82"/>
      <c r="C269" s="11"/>
      <c r="D269" s="11"/>
      <c r="E269" s="11"/>
      <c r="F269" s="11"/>
      <c r="U269" s="82">
        <f t="shared" si="85"/>
        <v>8</v>
      </c>
      <c r="V269" s="82"/>
    </row>
    <row r="270">
      <c r="A270" s="53">
        <f t="shared" si="84"/>
        <v>9</v>
      </c>
      <c r="B270" s="82"/>
      <c r="C270" s="11"/>
      <c r="D270" s="11"/>
      <c r="E270" s="11"/>
      <c r="F270" s="11"/>
      <c r="U270" s="82">
        <f t="shared" si="85"/>
        <v>9</v>
      </c>
      <c r="V270" s="82"/>
    </row>
    <row r="271">
      <c r="A271" s="53">
        <f t="shared" si="84"/>
        <v>10</v>
      </c>
      <c r="B271" s="82"/>
      <c r="C271" s="11"/>
      <c r="D271" s="11"/>
      <c r="E271" s="11"/>
      <c r="F271" s="11"/>
      <c r="U271" s="82">
        <f t="shared" si="85"/>
        <v>10</v>
      </c>
      <c r="V271" s="82"/>
    </row>
    <row r="272">
      <c r="A272" s="53">
        <f t="shared" si="84"/>
        <v>11</v>
      </c>
      <c r="B272" s="82"/>
      <c r="C272" s="11"/>
      <c r="D272" s="11"/>
      <c r="E272" s="11"/>
      <c r="F272" s="11"/>
      <c r="U272" s="82">
        <f t="shared" si="85"/>
        <v>11</v>
      </c>
      <c r="V272" s="82"/>
    </row>
    <row r="273">
      <c r="A273" s="53">
        <f t="shared" si="84"/>
        <v>12</v>
      </c>
      <c r="B273" s="82"/>
      <c r="C273" s="11"/>
      <c r="D273" s="11"/>
      <c r="E273" s="11"/>
      <c r="F273" s="11"/>
      <c r="U273" s="82">
        <f t="shared" si="85"/>
        <v>12</v>
      </c>
      <c r="V273" s="82"/>
    </row>
    <row r="274">
      <c r="A274" s="53">
        <f t="shared" si="84"/>
        <v>13</v>
      </c>
      <c r="B274" s="82"/>
      <c r="C274" s="11"/>
      <c r="D274" s="11"/>
      <c r="E274" s="11"/>
      <c r="F274" s="11"/>
      <c r="U274" s="82">
        <f t="shared" si="85"/>
        <v>13</v>
      </c>
      <c r="V274" s="82"/>
    </row>
    <row r="275">
      <c r="A275" s="53">
        <f t="shared" si="84"/>
        <v>14</v>
      </c>
      <c r="B275" s="82"/>
      <c r="C275" s="11"/>
      <c r="D275" s="11"/>
      <c r="E275" s="11"/>
      <c r="F275" s="11"/>
      <c r="U275" s="82"/>
      <c r="V275" s="82"/>
    </row>
    <row r="276">
      <c r="A276" s="53">
        <f t="shared" si="84"/>
        <v>15</v>
      </c>
      <c r="B276" s="82"/>
      <c r="C276" s="11"/>
      <c r="D276" s="11"/>
      <c r="E276" s="11"/>
      <c r="F276" s="11"/>
      <c r="U276" s="82"/>
      <c r="V276" s="82"/>
    </row>
    <row r="277">
      <c r="A277" s="53">
        <f t="shared" si="84"/>
        <v>16</v>
      </c>
      <c r="B277" s="82"/>
      <c r="C277" s="11"/>
      <c r="D277" s="11"/>
      <c r="E277" s="11"/>
      <c r="F277" s="11"/>
      <c r="U277" s="82"/>
      <c r="V277" s="82"/>
    </row>
    <row r="278">
      <c r="A278" s="53">
        <f t="shared" si="84"/>
        <v>17</v>
      </c>
      <c r="B278" s="82"/>
      <c r="C278" s="11"/>
      <c r="D278" s="11"/>
      <c r="E278" s="11"/>
      <c r="F278" s="11"/>
      <c r="U278" s="82"/>
      <c r="V278" s="82"/>
    </row>
    <row r="279">
      <c r="A279" s="53">
        <f t="shared" si="84"/>
        <v>18</v>
      </c>
      <c r="B279" s="82"/>
      <c r="C279" s="11"/>
      <c r="D279" s="11"/>
      <c r="E279" s="11"/>
      <c r="F279" s="11"/>
      <c r="U279" s="82"/>
      <c r="V279" s="82"/>
    </row>
    <row r="280">
      <c r="A280" s="53">
        <f t="shared" si="84"/>
        <v>19</v>
      </c>
      <c r="B280" s="82"/>
      <c r="C280" s="11"/>
      <c r="D280" s="11"/>
      <c r="E280" s="11"/>
      <c r="F280" s="11"/>
      <c r="U280" s="82"/>
      <c r="V280" s="82"/>
    </row>
    <row r="281">
      <c r="A281" s="53">
        <f t="shared" si="84"/>
        <v>20</v>
      </c>
      <c r="B281" s="82"/>
      <c r="C281" s="11"/>
      <c r="D281" s="11"/>
      <c r="E281" s="11"/>
      <c r="F281" s="11"/>
      <c r="U281" s="82"/>
      <c r="V281" s="82"/>
    </row>
    <row r="282">
      <c r="A282" s="53">
        <f t="shared" si="84"/>
        <v>21</v>
      </c>
      <c r="B282" s="82"/>
      <c r="C282" s="11"/>
      <c r="D282" s="11"/>
      <c r="E282" s="11"/>
      <c r="F282" s="11"/>
      <c r="U282" s="82"/>
      <c r="V282" s="82"/>
    </row>
    <row r="283">
      <c r="A283" s="82">
        <f t="shared" si="84"/>
        <v>22</v>
      </c>
      <c r="B283" s="82"/>
      <c r="C283" s="11"/>
      <c r="D283" s="11"/>
      <c r="E283" s="11"/>
      <c r="F283" s="11"/>
    </row>
    <row r="284">
      <c r="A284" s="82"/>
      <c r="B284" s="82"/>
      <c r="C284" s="11"/>
      <c r="D284" s="11"/>
      <c r="E284" s="11"/>
      <c r="F284" s="11"/>
    </row>
    <row r="285">
      <c r="A285" s="82"/>
      <c r="B285" s="82"/>
      <c r="C285" s="11"/>
      <c r="D285" s="11"/>
      <c r="E285" s="11"/>
      <c r="F285" s="11"/>
    </row>
    <row r="286">
      <c r="A286" s="82"/>
      <c r="B286" s="82"/>
      <c r="C286" s="11"/>
      <c r="D286" s="11"/>
      <c r="E286" s="11"/>
      <c r="F286" s="11"/>
    </row>
    <row r="287">
      <c r="A287" s="82"/>
      <c r="B287" s="82"/>
      <c r="C287" s="11"/>
      <c r="D287" s="11"/>
      <c r="E287" s="11"/>
      <c r="F287" s="11"/>
    </row>
    <row r="288">
      <c r="A288" s="82"/>
      <c r="B288" s="82"/>
      <c r="C288" s="11"/>
      <c r="D288" s="11"/>
      <c r="E288" s="11"/>
      <c r="F288" s="11"/>
    </row>
    <row r="289">
      <c r="A289" s="82"/>
      <c r="B289" s="82"/>
      <c r="C289" s="11"/>
      <c r="D289" s="11"/>
      <c r="E289" s="11"/>
      <c r="F289" s="11"/>
    </row>
    <row r="290">
      <c r="A290" s="82"/>
      <c r="B290" s="82"/>
      <c r="C290" s="11"/>
      <c r="D290" s="11"/>
      <c r="E290" s="11"/>
      <c r="F290" s="11"/>
    </row>
    <row r="291">
      <c r="A291" s="82"/>
      <c r="B291" s="82"/>
      <c r="C291" s="11"/>
      <c r="D291" s="11"/>
      <c r="E291" s="11"/>
      <c r="F291" s="11"/>
    </row>
    <row r="292">
      <c r="A292" s="82"/>
      <c r="B292" s="82"/>
      <c r="C292" s="11"/>
      <c r="D292" s="11"/>
      <c r="E292" s="11"/>
      <c r="F292" s="11"/>
    </row>
    <row r="293">
      <c r="A293" s="82"/>
      <c r="B293" s="82"/>
      <c r="C293" s="11"/>
      <c r="D293" s="11"/>
      <c r="E293" s="11"/>
      <c r="F293" s="11"/>
    </row>
    <row r="294">
      <c r="A294" s="82"/>
      <c r="B294" s="82"/>
      <c r="C294" s="11"/>
      <c r="D294" s="11"/>
      <c r="E294" s="11"/>
      <c r="F294" s="11"/>
    </row>
    <row r="295">
      <c r="A295" s="82"/>
      <c r="B295" s="82"/>
      <c r="C295" s="11"/>
      <c r="D295" s="11"/>
      <c r="E295" s="11"/>
      <c r="F295" s="11"/>
    </row>
    <row r="296">
      <c r="A296" s="82"/>
      <c r="B296" s="82"/>
      <c r="C296" s="11"/>
      <c r="D296" s="11"/>
      <c r="E296" s="11"/>
      <c r="F296" s="11"/>
    </row>
    <row r="297">
      <c r="A297" s="82"/>
      <c r="B297" s="82"/>
      <c r="C297" s="11"/>
      <c r="D297" s="11"/>
      <c r="E297" s="11"/>
      <c r="F297" s="11"/>
    </row>
    <row r="298">
      <c r="A298" s="82"/>
      <c r="B298" s="82"/>
      <c r="C298" s="11"/>
      <c r="D298" s="11"/>
      <c r="E298" s="11"/>
      <c r="F298" s="11"/>
    </row>
    <row r="299">
      <c r="A299" s="82"/>
      <c r="B299" s="82"/>
      <c r="C299" s="11"/>
      <c r="D299" s="11"/>
      <c r="E299" s="11"/>
      <c r="F299" s="11"/>
    </row>
    <row r="300">
      <c r="A300" s="82"/>
      <c r="B300" s="82"/>
      <c r="C300" s="11"/>
      <c r="D300" s="11"/>
      <c r="E300" s="11"/>
      <c r="F300" s="11"/>
    </row>
    <row r="301">
      <c r="A301" s="82"/>
      <c r="B301" s="82"/>
      <c r="C301" s="11"/>
      <c r="D301" s="11"/>
      <c r="E301" s="11"/>
      <c r="F301" s="11"/>
    </row>
    <row r="302">
      <c r="A302" s="82"/>
      <c r="B302" s="82"/>
      <c r="C302" s="11"/>
      <c r="D302" s="11"/>
      <c r="E302" s="11"/>
      <c r="F302" s="11"/>
    </row>
    <row r="303">
      <c r="A303" s="82"/>
      <c r="B303" s="82"/>
      <c r="C303" s="11"/>
      <c r="D303" s="11"/>
      <c r="E303" s="11"/>
      <c r="F303" s="11"/>
    </row>
    <row r="304">
      <c r="A304" s="82"/>
      <c r="B304" s="82"/>
      <c r="C304" s="11"/>
      <c r="D304" s="11"/>
      <c r="E304" s="11"/>
      <c r="F304" s="11"/>
    </row>
    <row r="305">
      <c r="A305" s="82"/>
      <c r="B305" s="82"/>
      <c r="C305" s="11"/>
      <c r="D305" s="11"/>
      <c r="E305" s="11"/>
      <c r="F305" s="11"/>
    </row>
    <row r="306">
      <c r="A306" s="82"/>
      <c r="B306" s="82"/>
      <c r="C306" s="11"/>
      <c r="D306" s="11"/>
      <c r="E306" s="11"/>
      <c r="F306" s="11"/>
    </row>
    <row r="307">
      <c r="A307" s="82"/>
      <c r="B307" s="82"/>
      <c r="C307" s="11"/>
      <c r="D307" s="11"/>
      <c r="E307" s="11"/>
      <c r="F307" s="11"/>
    </row>
    <row r="308">
      <c r="A308" s="82"/>
      <c r="B308" s="82"/>
      <c r="C308" s="11"/>
      <c r="D308" s="11"/>
      <c r="E308" s="11"/>
      <c r="F308" s="11"/>
    </row>
    <row r="309">
      <c r="A309" s="82"/>
      <c r="B309" s="82"/>
      <c r="C309" s="11"/>
      <c r="D309" s="11"/>
      <c r="E309" s="11"/>
      <c r="F309" s="11"/>
    </row>
    <row r="310">
      <c r="A310" s="82"/>
      <c r="B310" s="82"/>
      <c r="C310" s="11"/>
      <c r="D310" s="11"/>
      <c r="E310" s="11"/>
      <c r="F310" s="11"/>
    </row>
    <row r="311">
      <c r="A311" s="82"/>
      <c r="B311" s="82"/>
      <c r="C311" s="11"/>
      <c r="D311" s="11"/>
      <c r="E311" s="11"/>
      <c r="F311" s="11"/>
    </row>
    <row r="312">
      <c r="A312" s="82"/>
      <c r="B312" s="82"/>
      <c r="C312" s="11"/>
      <c r="D312" s="11"/>
      <c r="E312" s="11"/>
      <c r="F312" s="11"/>
    </row>
    <row r="313">
      <c r="A313" s="82"/>
      <c r="B313" s="82"/>
      <c r="C313" s="11"/>
      <c r="D313" s="11"/>
      <c r="E313" s="11"/>
      <c r="F313" s="11"/>
    </row>
    <row r="314">
      <c r="A314" s="82"/>
      <c r="B314" s="82"/>
      <c r="C314" s="11"/>
      <c r="D314" s="11"/>
      <c r="E314" s="11"/>
      <c r="F314" s="11"/>
    </row>
    <row r="315">
      <c r="A315" s="82"/>
      <c r="B315" s="82"/>
      <c r="C315" s="11"/>
      <c r="D315" s="11"/>
      <c r="E315" s="11"/>
      <c r="F315" s="11"/>
    </row>
    <row r="316">
      <c r="A316" s="82"/>
      <c r="B316" s="82"/>
      <c r="C316" s="11"/>
      <c r="D316" s="11"/>
      <c r="E316" s="11"/>
      <c r="F316" s="11"/>
    </row>
    <row r="317">
      <c r="A317" s="82"/>
      <c r="B317" s="82"/>
      <c r="C317" s="11"/>
      <c r="D317" s="11"/>
      <c r="E317" s="11"/>
      <c r="F317" s="11"/>
    </row>
    <row r="318">
      <c r="A318" s="82"/>
      <c r="B318" s="82"/>
      <c r="C318" s="11"/>
      <c r="D318" s="11"/>
      <c r="E318" s="11"/>
      <c r="F318" s="11"/>
    </row>
    <row r="319">
      <c r="A319" s="82"/>
      <c r="B319" s="82"/>
      <c r="C319" s="11"/>
      <c r="D319" s="11"/>
      <c r="E319" s="11"/>
      <c r="F319" s="11"/>
    </row>
    <row r="320">
      <c r="A320" s="82"/>
      <c r="B320" s="82"/>
      <c r="C320" s="11"/>
      <c r="D320" s="11"/>
      <c r="E320" s="11"/>
      <c r="F320" s="11"/>
    </row>
    <row r="321">
      <c r="A321" s="82"/>
      <c r="B321" s="82"/>
      <c r="C321" s="11"/>
      <c r="D321" s="11"/>
      <c r="E321" s="11"/>
      <c r="F321" s="11"/>
    </row>
    <row r="322">
      <c r="A322" s="82"/>
      <c r="B322" s="82"/>
      <c r="C322" s="11"/>
      <c r="D322" s="11"/>
      <c r="E322" s="11"/>
      <c r="F322" s="11"/>
    </row>
    <row r="323">
      <c r="A323" s="82"/>
      <c r="B323" s="82"/>
      <c r="C323" s="11"/>
      <c r="D323" s="11"/>
      <c r="E323" s="11"/>
      <c r="F323" s="11"/>
    </row>
    <row r="324">
      <c r="A324" s="82"/>
      <c r="B324" s="82"/>
      <c r="C324" s="11"/>
      <c r="D324" s="11"/>
      <c r="E324" s="11"/>
      <c r="F324" s="11"/>
    </row>
    <row r="325">
      <c r="A325" s="82"/>
      <c r="B325" s="82"/>
      <c r="C325" s="11"/>
      <c r="D325" s="11"/>
      <c r="E325" s="11"/>
      <c r="F325" s="11"/>
    </row>
    <row r="326">
      <c r="A326" s="82"/>
      <c r="B326" s="82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B343" s="17" t="str">
        <f>IFERROR(__xludf.DUMMYFUNCTION("query(B5:V69,""select B, U order by U Desc"")"),"Jose Ortiz")</f>
        <v>Jose Ortiz</v>
      </c>
      <c r="C343" s="92">
        <f>IFERROR(__xludf.DUMMYFUNCTION("""COMPUTED_VALUE"""),20.0)</f>
        <v>20</v>
      </c>
      <c r="D343" s="11"/>
      <c r="E343" s="11"/>
      <c r="F343" s="11"/>
    </row>
    <row r="344">
      <c r="A344" s="11"/>
      <c r="B344" s="17" t="str">
        <f>IFERROR(__xludf.DUMMYFUNCTION("""COMPUTED_VALUE"""),"Eric Pan")</f>
        <v>Eric Pan</v>
      </c>
      <c r="C344" s="92">
        <f>IFERROR(__xludf.DUMMYFUNCTION("""COMPUTED_VALUE"""),19.0)</f>
        <v>19</v>
      </c>
      <c r="D344" s="11"/>
      <c r="E344" s="11"/>
      <c r="F344" s="11"/>
    </row>
    <row r="345">
      <c r="A345" s="11"/>
      <c r="B345" s="17" t="str">
        <f>IFERROR(__xludf.DUMMYFUNCTION("""COMPUTED_VALUE"""),"Peter Homsey")</f>
        <v>Peter Homsey</v>
      </c>
      <c r="C345" s="92">
        <f>IFERROR(__xludf.DUMMYFUNCTION("""COMPUTED_VALUE"""),19.0)</f>
        <v>19</v>
      </c>
      <c r="D345" s="11"/>
      <c r="E345" s="11"/>
      <c r="F345" s="11"/>
    </row>
    <row r="346">
      <c r="A346" s="11"/>
      <c r="B346" s="17" t="str">
        <f>IFERROR(__xludf.DUMMYFUNCTION("""COMPUTED_VALUE"""),"Manish Anand")</f>
        <v>Manish Anand</v>
      </c>
      <c r="C346" s="92">
        <f>IFERROR(__xludf.DUMMYFUNCTION("""COMPUTED_VALUE"""),18.0)</f>
        <v>18</v>
      </c>
      <c r="D346" s="11"/>
      <c r="E346" s="11"/>
      <c r="F346" s="11"/>
      <c r="O346" s="93" t="str">
        <f>getAllSheetNames()</f>
        <v>#NAME?</v>
      </c>
    </row>
    <row r="347">
      <c r="A347" s="11"/>
      <c r="B347" s="17" t="str">
        <f>IFERROR(__xludf.DUMMYFUNCTION("""COMPUTED_VALUE"""),"Amit Patel")</f>
        <v>Amit Patel</v>
      </c>
      <c r="C347" s="92">
        <f>IFERROR(__xludf.DUMMYFUNCTION("""COMPUTED_VALUE"""),18.0)</f>
        <v>18</v>
      </c>
      <c r="D347" s="11"/>
      <c r="E347" s="11"/>
      <c r="F347" s="11"/>
    </row>
    <row r="348">
      <c r="A348" s="11"/>
      <c r="B348" s="17" t="str">
        <f>IFERROR(__xludf.DUMMYFUNCTION("""COMPUTED_VALUE"""),"Trinath Goteti")</f>
        <v>Trinath Goteti</v>
      </c>
      <c r="C348" s="92">
        <f>IFERROR(__xludf.DUMMYFUNCTION("""COMPUTED_VALUE"""),17.0)</f>
        <v>17</v>
      </c>
      <c r="D348" s="11"/>
      <c r="E348" s="11"/>
      <c r="F348" s="11"/>
    </row>
    <row r="349">
      <c r="A349" s="11"/>
      <c r="B349" s="17" t="str">
        <f>IFERROR(__xludf.DUMMYFUNCTION("""COMPUTED_VALUE"""),"Nohely Mejia")</f>
        <v>Nohely Mejia</v>
      </c>
      <c r="C349" s="92">
        <f>IFERROR(__xludf.DUMMYFUNCTION("""COMPUTED_VALUE"""),17.0)</f>
        <v>17</v>
      </c>
      <c r="D349" s="11"/>
      <c r="E349" s="11"/>
      <c r="F349" s="11"/>
    </row>
    <row r="350">
      <c r="A350" s="11"/>
      <c r="B350" s="17" t="str">
        <f>IFERROR(__xludf.DUMMYFUNCTION("""COMPUTED_VALUE"""),"Leigh-Anh Nguyen")</f>
        <v>Leigh-Anh Nguyen</v>
      </c>
      <c r="C350" s="92">
        <f>IFERROR(__xludf.DUMMYFUNCTION("""COMPUTED_VALUE"""),17.0)</f>
        <v>17</v>
      </c>
      <c r="D350" s="11"/>
      <c r="E350" s="11"/>
      <c r="F350" s="11"/>
    </row>
    <row r="351">
      <c r="A351" s="11"/>
      <c r="B351" s="17" t="str">
        <f>IFERROR(__xludf.DUMMYFUNCTION("""COMPUTED_VALUE"""),"Tony Lin")</f>
        <v>Tony Lin</v>
      </c>
      <c r="C351" s="92">
        <f>IFERROR(__xludf.DUMMYFUNCTION("""COMPUTED_VALUE"""),16.0)</f>
        <v>16</v>
      </c>
      <c r="D351" s="11"/>
      <c r="E351" s="11"/>
      <c r="F351" s="11"/>
    </row>
    <row r="352">
      <c r="A352" s="11"/>
      <c r="B352" s="17" t="str">
        <f>IFERROR(__xludf.DUMMYFUNCTION("""COMPUTED_VALUE"""),"Susanta Mishra")</f>
        <v>Susanta Mishra</v>
      </c>
      <c r="C352" s="92">
        <f>IFERROR(__xludf.DUMMYFUNCTION("""COMPUTED_VALUE"""),16.0)</f>
        <v>16</v>
      </c>
      <c r="D352" s="11"/>
      <c r="E352" s="11"/>
      <c r="F352" s="11"/>
    </row>
    <row r="353">
      <c r="A353" s="11"/>
      <c r="B353" s="17" t="str">
        <f>IFERROR(__xludf.DUMMYFUNCTION("""COMPUTED_VALUE"""),"Santosh Sundaresan ")</f>
        <v>Santosh Sundaresan </v>
      </c>
      <c r="C353" s="92">
        <f>IFERROR(__xludf.DUMMYFUNCTION("""COMPUTED_VALUE"""),15.0)</f>
        <v>15</v>
      </c>
      <c r="D353" s="11"/>
      <c r="E353" s="11"/>
      <c r="F353" s="11"/>
    </row>
    <row r="354">
      <c r="A354" s="11"/>
      <c r="B354" s="17" t="str">
        <f>IFERROR(__xludf.DUMMYFUNCTION("""COMPUTED_VALUE"""),"Naveen Raj")</f>
        <v>Naveen Raj</v>
      </c>
      <c r="C354" s="92">
        <f>IFERROR(__xludf.DUMMYFUNCTION("""COMPUTED_VALUE"""),15.0)</f>
        <v>15</v>
      </c>
      <c r="D354" s="11"/>
      <c r="E354" s="11"/>
      <c r="F354" s="11"/>
    </row>
    <row r="355">
      <c r="A355" s="11"/>
      <c r="B355" s="17" t="str">
        <f>IFERROR(__xludf.DUMMYFUNCTION("""COMPUTED_VALUE"""),"Vishnu Amarnath")</f>
        <v>Vishnu Amarnath</v>
      </c>
      <c r="C355" s="92">
        <f>IFERROR(__xludf.DUMMYFUNCTION("""COMPUTED_VALUE"""),15.0)</f>
        <v>15</v>
      </c>
      <c r="D355" s="11"/>
      <c r="E355" s="11"/>
      <c r="F355" s="11"/>
    </row>
    <row r="356">
      <c r="A356" s="11"/>
      <c r="B356" s="17" t="str">
        <f>IFERROR(__xludf.DUMMYFUNCTION("""COMPUTED_VALUE"""),"Sai Dilip Ponnaganti")</f>
        <v>Sai Dilip Ponnaganti</v>
      </c>
      <c r="C356" s="92">
        <f>IFERROR(__xludf.DUMMYFUNCTION("""COMPUTED_VALUE"""),14.0)</f>
        <v>14</v>
      </c>
      <c r="D356" s="11"/>
      <c r="E356" s="11"/>
      <c r="F356" s="11"/>
    </row>
    <row r="357">
      <c r="A357" s="11"/>
      <c r="B357" s="17" t="str">
        <f>IFERROR(__xludf.DUMMYFUNCTION("""COMPUTED_VALUE"""),"Balaji Alahari")</f>
        <v>Balaji Alahari</v>
      </c>
      <c r="C357" s="92">
        <f>IFERROR(__xludf.DUMMYFUNCTION("""COMPUTED_VALUE"""),13.0)</f>
        <v>13</v>
      </c>
      <c r="D357" s="11"/>
      <c r="E357" s="11"/>
      <c r="F357" s="11"/>
    </row>
    <row r="358">
      <c r="A358" s="11"/>
      <c r="B358" s="17" t="str">
        <f>IFERROR(__xludf.DUMMYFUNCTION("""COMPUTED_VALUE"""),"Peter Cheng")</f>
        <v>Peter Cheng</v>
      </c>
      <c r="C358" s="92">
        <f>IFERROR(__xludf.DUMMYFUNCTION("""COMPUTED_VALUE"""),12.0)</f>
        <v>12</v>
      </c>
      <c r="D358" s="11"/>
      <c r="E358" s="11"/>
      <c r="F358" s="11"/>
    </row>
    <row r="359">
      <c r="A359" s="11"/>
      <c r="B359" s="17" t="str">
        <f>IFERROR(__xludf.DUMMYFUNCTION("""COMPUTED_VALUE"""),"Vinz Solano")</f>
        <v>Vinz Solano</v>
      </c>
      <c r="C359" s="92">
        <f>IFERROR(__xludf.DUMMYFUNCTION("""COMPUTED_VALUE"""),12.0)</f>
        <v>12</v>
      </c>
      <c r="D359" s="11"/>
      <c r="E359" s="11"/>
      <c r="F359" s="11"/>
    </row>
    <row r="360">
      <c r="A360" s="11"/>
      <c r="B360" s="17" t="str">
        <f>IFERROR(__xludf.DUMMYFUNCTION("""COMPUTED_VALUE"""),"Elayaraja Thangaraj ")</f>
        <v>Elayaraja Thangaraj </v>
      </c>
      <c r="C360" s="92">
        <f>IFERROR(__xludf.DUMMYFUNCTION("""COMPUTED_VALUE"""),12.0)</f>
        <v>12</v>
      </c>
      <c r="D360" s="11"/>
      <c r="E360" s="11"/>
      <c r="F360" s="11"/>
    </row>
    <row r="361">
      <c r="A361" s="11"/>
      <c r="B361" s="17" t="str">
        <f>IFERROR(__xludf.DUMMYFUNCTION("""COMPUTED_VALUE"""),"Pulkit Mathur")</f>
        <v>Pulkit Mathur</v>
      </c>
      <c r="C361" s="92">
        <f>IFERROR(__xludf.DUMMYFUNCTION("""COMPUTED_VALUE"""),11.0)</f>
        <v>11</v>
      </c>
      <c r="D361" s="11"/>
      <c r="E361" s="11"/>
      <c r="F361" s="11"/>
    </row>
    <row r="362">
      <c r="A362" s="11"/>
      <c r="B362" s="17" t="str">
        <f>IFERROR(__xludf.DUMMYFUNCTION("""COMPUTED_VALUE"""),"Rajesh Dorairaj")</f>
        <v>Rajesh Dorairaj</v>
      </c>
      <c r="C362" s="92">
        <f>IFERROR(__xludf.DUMMYFUNCTION("""COMPUTED_VALUE"""),11.0)</f>
        <v>11</v>
      </c>
      <c r="D362" s="11"/>
      <c r="E362" s="11"/>
      <c r="F362" s="11"/>
    </row>
    <row r="363">
      <c r="A363" s="11"/>
      <c r="B363" s="17" t="str">
        <f>IFERROR(__xludf.DUMMYFUNCTION("""COMPUTED_VALUE"""),"Sandy Weyant")</f>
        <v>Sandy Weyant</v>
      </c>
      <c r="C363" s="92">
        <f>IFERROR(__xludf.DUMMYFUNCTION("""COMPUTED_VALUE"""),11.0)</f>
        <v>11</v>
      </c>
      <c r="D363" s="11"/>
      <c r="E363" s="11"/>
      <c r="F363" s="11"/>
    </row>
    <row r="364">
      <c r="A364" s="11"/>
      <c r="B364" s="17" t="str">
        <f>IFERROR(__xludf.DUMMYFUNCTION("""COMPUTED_VALUE"""),"Vinaya Kajla")</f>
        <v>Vinaya Kajla</v>
      </c>
      <c r="C364" s="92">
        <f>IFERROR(__xludf.DUMMYFUNCTION("""COMPUTED_VALUE"""),11.0)</f>
        <v>11</v>
      </c>
      <c r="D364" s="11"/>
      <c r="E364" s="11"/>
      <c r="F364" s="11"/>
    </row>
    <row r="365">
      <c r="A365" s="11"/>
      <c r="B365" s="17" t="str">
        <f>IFERROR(__xludf.DUMMYFUNCTION("""COMPUTED_VALUE"""),"James Phan")</f>
        <v>James Phan</v>
      </c>
      <c r="C365" s="92">
        <f>IFERROR(__xludf.DUMMYFUNCTION("""COMPUTED_VALUE"""),10.0)</f>
        <v>10</v>
      </c>
      <c r="D365" s="11"/>
      <c r="E365" s="11"/>
      <c r="F365" s="11"/>
    </row>
    <row r="366">
      <c r="A366" s="11"/>
      <c r="B366" s="17" t="str">
        <f>IFERROR(__xludf.DUMMYFUNCTION("""COMPUTED_VALUE"""),"Cid Macaraeg")</f>
        <v>Cid Macaraeg</v>
      </c>
      <c r="C366" s="92">
        <f>IFERROR(__xludf.DUMMYFUNCTION("""COMPUTED_VALUE"""),10.0)</f>
        <v>10</v>
      </c>
      <c r="D366" s="11"/>
      <c r="E366" s="11"/>
      <c r="F366" s="11"/>
    </row>
    <row r="367">
      <c r="A367" s="11"/>
      <c r="B367" s="17" t="str">
        <f>IFERROR(__xludf.DUMMYFUNCTION("""COMPUTED_VALUE"""),"Robert Chang")</f>
        <v>Robert Chang</v>
      </c>
      <c r="C367" s="92">
        <f>IFERROR(__xludf.DUMMYFUNCTION("""COMPUTED_VALUE"""),10.0)</f>
        <v>10</v>
      </c>
      <c r="D367" s="11"/>
      <c r="E367" s="11"/>
      <c r="F367" s="11"/>
    </row>
    <row r="368">
      <c r="A368" s="11"/>
      <c r="B368" s="17" t="str">
        <f>IFERROR(__xludf.DUMMYFUNCTION("""COMPUTED_VALUE"""),"Oscar Bonilla")</f>
        <v>Oscar Bonilla</v>
      </c>
      <c r="C368" s="92">
        <f>IFERROR(__xludf.DUMMYFUNCTION("""COMPUTED_VALUE"""),10.0)</f>
        <v>10</v>
      </c>
      <c r="D368" s="11"/>
      <c r="E368" s="11"/>
      <c r="F368" s="11"/>
    </row>
    <row r="369">
      <c r="A369" s="11"/>
      <c r="B369" s="17" t="str">
        <f>IFERROR(__xludf.DUMMYFUNCTION("""COMPUTED_VALUE"""),"Mauricio Palacios")</f>
        <v>Mauricio Palacios</v>
      </c>
      <c r="C369" s="92">
        <f>IFERROR(__xludf.DUMMYFUNCTION("""COMPUTED_VALUE"""),10.0)</f>
        <v>10</v>
      </c>
      <c r="D369" s="11"/>
      <c r="E369" s="11"/>
      <c r="F369" s="11"/>
    </row>
    <row r="370">
      <c r="A370" s="11"/>
      <c r="B370" s="17" t="str">
        <f>IFERROR(__xludf.DUMMYFUNCTION("""COMPUTED_VALUE"""),"Trish Newlin")</f>
        <v>Trish Newlin</v>
      </c>
      <c r="C370" s="92">
        <f>IFERROR(__xludf.DUMMYFUNCTION("""COMPUTED_VALUE"""),10.0)</f>
        <v>10</v>
      </c>
      <c r="D370" s="11"/>
      <c r="E370" s="11"/>
      <c r="F370" s="11"/>
    </row>
    <row r="371">
      <c r="A371" s="11"/>
      <c r="B371" s="17" t="str">
        <f>IFERROR(__xludf.DUMMYFUNCTION("""COMPUTED_VALUE"""),"Christopher Li")</f>
        <v>Christopher Li</v>
      </c>
      <c r="C371" s="92">
        <f>IFERROR(__xludf.DUMMYFUNCTION("""COMPUTED_VALUE"""),9.0)</f>
        <v>9</v>
      </c>
      <c r="D371" s="11"/>
      <c r="E371" s="11"/>
      <c r="F371" s="11"/>
    </row>
    <row r="372">
      <c r="A372" s="11"/>
      <c r="B372" s="17" t="str">
        <f>IFERROR(__xludf.DUMMYFUNCTION("""COMPUTED_VALUE"""),"Lam Bui")</f>
        <v>Lam Bui</v>
      </c>
      <c r="C372" s="92">
        <f>IFERROR(__xludf.DUMMYFUNCTION("""COMPUTED_VALUE"""),9.0)</f>
        <v>9</v>
      </c>
      <c r="D372" s="11"/>
      <c r="E372" s="11"/>
      <c r="F372" s="11"/>
    </row>
    <row r="373">
      <c r="A373" s="11"/>
      <c r="B373" s="17" t="str">
        <f>IFERROR(__xludf.DUMMYFUNCTION("""COMPUTED_VALUE"""),"Pavan Akkimsetty")</f>
        <v>Pavan Akkimsetty</v>
      </c>
      <c r="C373" s="92">
        <f>IFERROR(__xludf.DUMMYFUNCTION("""COMPUTED_VALUE"""),9.0)</f>
        <v>9</v>
      </c>
      <c r="D373" s="11"/>
      <c r="E373" s="11"/>
      <c r="F373" s="11"/>
    </row>
    <row r="374">
      <c r="A374" s="11"/>
      <c r="B374" s="17" t="str">
        <f>IFERROR(__xludf.DUMMYFUNCTION("""COMPUTED_VALUE"""),"Sanjaye Elayattu")</f>
        <v>Sanjaye Elayattu</v>
      </c>
      <c r="C374" s="92">
        <f>IFERROR(__xludf.DUMMYFUNCTION("""COMPUTED_VALUE"""),9.0)</f>
        <v>9</v>
      </c>
      <c r="D374" s="11"/>
      <c r="E374" s="11"/>
      <c r="F374" s="11"/>
    </row>
    <row r="375">
      <c r="A375" s="11"/>
      <c r="B375" s="17" t="str">
        <f>IFERROR(__xludf.DUMMYFUNCTION("""COMPUTED_VALUE"""),"Lloyd Sagar")</f>
        <v>Lloyd Sagar</v>
      </c>
      <c r="C375" s="92">
        <f>IFERROR(__xludf.DUMMYFUNCTION("""COMPUTED_VALUE"""),9.0)</f>
        <v>9</v>
      </c>
      <c r="D375" s="11"/>
      <c r="E375" s="11"/>
      <c r="F375" s="11"/>
    </row>
    <row r="376">
      <c r="A376" s="11"/>
      <c r="B376" s="17" t="str">
        <f>IFERROR(__xludf.DUMMYFUNCTION("""COMPUTED_VALUE"""),"Joyce Zhu")</f>
        <v>Joyce Zhu</v>
      </c>
      <c r="C376" s="92">
        <f>IFERROR(__xludf.DUMMYFUNCTION("""COMPUTED_VALUE"""),9.0)</f>
        <v>9</v>
      </c>
      <c r="D376" s="11"/>
      <c r="E376" s="11"/>
      <c r="F376" s="11"/>
    </row>
    <row r="377">
      <c r="A377" s="11"/>
      <c r="B377" s="17" t="str">
        <f>IFERROR(__xludf.DUMMYFUNCTION("""COMPUTED_VALUE"""),"Troy Wong")</f>
        <v>Troy Wong</v>
      </c>
      <c r="C377" s="92">
        <f>IFERROR(__xludf.DUMMYFUNCTION("""COMPUTED_VALUE"""),8.0)</f>
        <v>8</v>
      </c>
      <c r="D377" s="11"/>
      <c r="E377" s="11"/>
      <c r="F377" s="11"/>
    </row>
    <row r="378">
      <c r="A378" s="11"/>
      <c r="B378" s="17" t="str">
        <f>IFERROR(__xludf.DUMMYFUNCTION("""COMPUTED_VALUE"""),"Erik Hoeckmann")</f>
        <v>Erik Hoeckmann</v>
      </c>
      <c r="C378" s="92">
        <f>IFERROR(__xludf.DUMMYFUNCTION("""COMPUTED_VALUE"""),8.0)</f>
        <v>8</v>
      </c>
      <c r="D378" s="11"/>
      <c r="E378" s="11"/>
      <c r="F378" s="11"/>
    </row>
    <row r="379">
      <c r="A379" s="11"/>
      <c r="B379" s="17" t="str">
        <f>IFERROR(__xludf.DUMMYFUNCTION("""COMPUTED_VALUE"""),"Luis Hsu")</f>
        <v>Luis Hsu</v>
      </c>
      <c r="C379" s="92">
        <f>IFERROR(__xludf.DUMMYFUNCTION("""COMPUTED_VALUE"""),7.0)</f>
        <v>7</v>
      </c>
      <c r="D379" s="11"/>
      <c r="E379" s="11"/>
      <c r="F379" s="11"/>
    </row>
    <row r="380">
      <c r="A380" s="11"/>
      <c r="B380" s="17" t="str">
        <f>IFERROR(__xludf.DUMMYFUNCTION("""COMPUTED_VALUE"""),"Ramesh Bandaru")</f>
        <v>Ramesh Bandaru</v>
      </c>
      <c r="C380" s="92">
        <f>IFERROR(__xludf.DUMMYFUNCTION("""COMPUTED_VALUE"""),7.0)</f>
        <v>7</v>
      </c>
      <c r="D380" s="11"/>
      <c r="E380" s="11"/>
      <c r="F380" s="11"/>
    </row>
    <row r="381">
      <c r="A381" s="11"/>
      <c r="B381" s="17" t="str">
        <f>IFERROR(__xludf.DUMMYFUNCTION("""COMPUTED_VALUE"""),"Manuel Rivera")</f>
        <v>Manuel Rivera</v>
      </c>
      <c r="C381" s="92">
        <f>IFERROR(__xludf.DUMMYFUNCTION("""COMPUTED_VALUE"""),7.0)</f>
        <v>7</v>
      </c>
      <c r="D381" s="11"/>
      <c r="E381" s="11"/>
      <c r="F381" s="11"/>
    </row>
    <row r="382">
      <c r="A382" s="11"/>
      <c r="B382" s="17" t="str">
        <f>IFERROR(__xludf.DUMMYFUNCTION("""COMPUTED_VALUE"""),"Chinna Ponnaganti")</f>
        <v>Chinna Ponnaganti</v>
      </c>
      <c r="C382" s="92">
        <f>IFERROR(__xludf.DUMMYFUNCTION("""COMPUTED_VALUE"""),7.0)</f>
        <v>7</v>
      </c>
      <c r="D382" s="11"/>
      <c r="E382" s="11"/>
      <c r="F382" s="11"/>
    </row>
    <row r="383">
      <c r="A383" s="11"/>
      <c r="B383" s="17" t="str">
        <f>IFERROR(__xludf.DUMMYFUNCTION("""COMPUTED_VALUE"""),"Jimmy Awolesi")</f>
        <v>Jimmy Awolesi</v>
      </c>
      <c r="C383" s="92">
        <f>IFERROR(__xludf.DUMMYFUNCTION("""COMPUTED_VALUE"""),7.0)</f>
        <v>7</v>
      </c>
      <c r="D383" s="11"/>
      <c r="E383" s="11"/>
      <c r="F383" s="11"/>
    </row>
    <row r="384">
      <c r="A384" s="11"/>
      <c r="B384" s="17" t="str">
        <f>IFERROR(__xludf.DUMMYFUNCTION("""COMPUTED_VALUE"""),"Coco Yan")</f>
        <v>Coco Yan</v>
      </c>
      <c r="C384" s="92">
        <f>IFERROR(__xludf.DUMMYFUNCTION("""COMPUTED_VALUE"""),7.0)</f>
        <v>7</v>
      </c>
      <c r="D384" s="11"/>
      <c r="E384" s="11"/>
      <c r="F384" s="11"/>
    </row>
    <row r="385">
      <c r="A385" s="11"/>
      <c r="B385" s="17" t="str">
        <f>IFERROR(__xludf.DUMMYFUNCTION("""COMPUTED_VALUE"""),"Tom Le")</f>
        <v>Tom Le</v>
      </c>
      <c r="C385" s="92">
        <f>IFERROR(__xludf.DUMMYFUNCTION("""COMPUTED_VALUE"""),6.0)</f>
        <v>6</v>
      </c>
      <c r="D385" s="11"/>
      <c r="E385" s="11"/>
      <c r="F385" s="11"/>
    </row>
    <row r="386">
      <c r="A386" s="11"/>
      <c r="B386" s="17" t="str">
        <f>IFERROR(__xludf.DUMMYFUNCTION("""COMPUTED_VALUE"""),"Sean Chang")</f>
        <v>Sean Chang</v>
      </c>
      <c r="C386" s="92">
        <f>IFERROR(__xludf.DUMMYFUNCTION("""COMPUTED_VALUE"""),6.0)</f>
        <v>6</v>
      </c>
      <c r="D386" s="11"/>
      <c r="E386" s="11"/>
      <c r="F386" s="11"/>
    </row>
    <row r="387">
      <c r="A387" s="11"/>
      <c r="B387" s="17" t="str">
        <f>IFERROR(__xludf.DUMMYFUNCTION("""COMPUTED_VALUE"""),"Matthew Huang")</f>
        <v>Matthew Huang</v>
      </c>
      <c r="C387" s="92">
        <f>IFERROR(__xludf.DUMMYFUNCTION("""COMPUTED_VALUE"""),6.0)</f>
        <v>6</v>
      </c>
      <c r="D387" s="11"/>
      <c r="E387" s="11"/>
      <c r="F387" s="11"/>
    </row>
    <row r="388">
      <c r="A388" s="11"/>
      <c r="B388" s="17" t="str">
        <f>IFERROR(__xludf.DUMMYFUNCTION("""COMPUTED_VALUE"""),"Saravanan Veerapandian")</f>
        <v>Saravanan Veerapandian</v>
      </c>
      <c r="C388" s="92">
        <f>IFERROR(__xludf.DUMMYFUNCTION("""COMPUTED_VALUE"""),6.0)</f>
        <v>6</v>
      </c>
      <c r="D388" s="11"/>
      <c r="E388" s="11"/>
      <c r="F388" s="11"/>
    </row>
    <row r="389">
      <c r="A389" s="11"/>
      <c r="B389" s="17" t="str">
        <f>IFERROR(__xludf.DUMMYFUNCTION("""COMPUTED_VALUE"""),"Scott Li")</f>
        <v>Scott Li</v>
      </c>
      <c r="C389" s="92">
        <f>IFERROR(__xludf.DUMMYFUNCTION("""COMPUTED_VALUE"""),5.0)</f>
        <v>5</v>
      </c>
      <c r="D389" s="11"/>
      <c r="E389" s="11"/>
      <c r="F389" s="11"/>
    </row>
    <row r="390">
      <c r="A390" s="11"/>
      <c r="B390" s="17" t="str">
        <f>IFERROR(__xludf.DUMMYFUNCTION("""COMPUTED_VALUE"""),"Andrew Wen")</f>
        <v>Andrew Wen</v>
      </c>
      <c r="C390" s="92">
        <f>IFERROR(__xludf.DUMMYFUNCTION("""COMPUTED_VALUE"""),5.0)</f>
        <v>5</v>
      </c>
      <c r="D390" s="11"/>
      <c r="E390" s="11"/>
      <c r="F390" s="11"/>
    </row>
    <row r="391">
      <c r="A391" s="11"/>
      <c r="B391" s="17" t="str">
        <f>IFERROR(__xludf.DUMMYFUNCTION("""COMPUTED_VALUE"""),"Alejandro Mejia")</f>
        <v>Alejandro Mejia</v>
      </c>
      <c r="C391" s="92">
        <f>IFERROR(__xludf.DUMMYFUNCTION("""COMPUTED_VALUE"""),4.0)</f>
        <v>4</v>
      </c>
      <c r="D391" s="11"/>
      <c r="E391" s="11"/>
      <c r="F391" s="11"/>
    </row>
    <row r="392">
      <c r="A392" s="11"/>
      <c r="B392" s="17" t="str">
        <f>IFERROR(__xludf.DUMMYFUNCTION("""COMPUTED_VALUE"""),"Suleman Alidina")</f>
        <v>Suleman Alidina</v>
      </c>
      <c r="C392" s="92">
        <f>IFERROR(__xludf.DUMMYFUNCTION("""COMPUTED_VALUE"""),4.0)</f>
        <v>4</v>
      </c>
      <c r="D392" s="11"/>
      <c r="E392" s="11"/>
      <c r="F392" s="11"/>
    </row>
    <row r="393">
      <c r="A393" s="11"/>
      <c r="B393" s="17" t="str">
        <f>IFERROR(__xludf.DUMMYFUNCTION("""COMPUTED_VALUE"""),"David Shin")</f>
        <v>David Shin</v>
      </c>
      <c r="C393" s="92">
        <f>IFERROR(__xludf.DUMMYFUNCTION("""COMPUTED_VALUE"""),4.0)</f>
        <v>4</v>
      </c>
      <c r="D393" s="11"/>
      <c r="E393" s="11"/>
      <c r="F393" s="11"/>
    </row>
    <row r="394">
      <c r="A394" s="11"/>
      <c r="B394" s="17" t="str">
        <f>IFERROR(__xludf.DUMMYFUNCTION("""COMPUTED_VALUE"""),"Jonathan Phan")</f>
        <v>Jonathan Phan</v>
      </c>
      <c r="C394" s="92">
        <f>IFERROR(__xludf.DUMMYFUNCTION("""COMPUTED_VALUE"""),4.0)</f>
        <v>4</v>
      </c>
      <c r="D394" s="11"/>
      <c r="E394" s="11"/>
      <c r="F394" s="11"/>
    </row>
    <row r="395">
      <c r="A395" s="11"/>
      <c r="B395" s="17" t="str">
        <f>IFERROR(__xludf.DUMMYFUNCTION("""COMPUTED_VALUE"""),"Jim Miao")</f>
        <v>Jim Miao</v>
      </c>
      <c r="C395" s="92">
        <f>IFERROR(__xludf.DUMMYFUNCTION("""COMPUTED_VALUE"""),4.0)</f>
        <v>4</v>
      </c>
      <c r="D395" s="11"/>
      <c r="E395" s="11"/>
      <c r="F395" s="11"/>
    </row>
    <row r="396">
      <c r="A396" s="11"/>
      <c r="B396" s="17" t="str">
        <f>IFERROR(__xludf.DUMMYFUNCTION("""COMPUTED_VALUE"""),"Wayne Liu")</f>
        <v>Wayne Liu</v>
      </c>
      <c r="C396" s="92">
        <f>IFERROR(__xludf.DUMMYFUNCTION("""COMPUTED_VALUE"""),4.0)</f>
        <v>4</v>
      </c>
      <c r="D396" s="11"/>
      <c r="E396" s="11"/>
      <c r="F396" s="11"/>
    </row>
    <row r="397">
      <c r="A397" s="11"/>
      <c r="B397" s="17" t="str">
        <f>IFERROR(__xludf.DUMMYFUNCTION("""COMPUTED_VALUE"""),"Kumar Palakeel")</f>
        <v>Kumar Palakeel</v>
      </c>
      <c r="C397" s="92">
        <f>IFERROR(__xludf.DUMMYFUNCTION("""COMPUTED_VALUE"""),4.0)</f>
        <v>4</v>
      </c>
      <c r="D397" s="11"/>
      <c r="E397" s="11"/>
      <c r="F397" s="11"/>
    </row>
    <row r="398">
      <c r="A398" s="11"/>
      <c r="B398" s="17" t="str">
        <f>IFERROR(__xludf.DUMMYFUNCTION("""COMPUTED_VALUE"""),"Nicole Ni")</f>
        <v>Nicole Ni</v>
      </c>
      <c r="C398" s="92">
        <f>IFERROR(__xludf.DUMMYFUNCTION("""COMPUTED_VALUE"""),4.0)</f>
        <v>4</v>
      </c>
      <c r="D398" s="11"/>
      <c r="E398" s="11"/>
      <c r="F398" s="11"/>
    </row>
    <row r="399">
      <c r="A399" s="11"/>
      <c r="B399" s="17" t="str">
        <f>IFERROR(__xludf.DUMMYFUNCTION("""COMPUTED_VALUE"""),"Eric Tan")</f>
        <v>Eric Tan</v>
      </c>
      <c r="C399" s="92">
        <f>IFERROR(__xludf.DUMMYFUNCTION("""COMPUTED_VALUE"""),4.0)</f>
        <v>4</v>
      </c>
      <c r="D399" s="11"/>
      <c r="E399" s="11"/>
      <c r="F399" s="11"/>
    </row>
    <row r="400">
      <c r="A400" s="11"/>
      <c r="B400" s="17" t="str">
        <f>IFERROR(__xludf.DUMMYFUNCTION("""COMPUTED_VALUE"""),"Adrian Tay")</f>
        <v>Adrian Tay</v>
      </c>
      <c r="C400" s="92">
        <f>IFERROR(__xludf.DUMMYFUNCTION("""COMPUTED_VALUE"""),3.0)</f>
        <v>3</v>
      </c>
      <c r="D400" s="11"/>
      <c r="E400" s="11"/>
      <c r="F400" s="11"/>
    </row>
    <row r="401">
      <c r="A401" s="11"/>
      <c r="B401" s="17" t="str">
        <f>IFERROR(__xludf.DUMMYFUNCTION("""COMPUTED_VALUE"""),"Rajasekar Ramasamy")</f>
        <v>Rajasekar Ramasamy</v>
      </c>
      <c r="C401" s="92">
        <f>IFERROR(__xludf.DUMMYFUNCTION("""COMPUTED_VALUE"""),3.0)</f>
        <v>3</v>
      </c>
      <c r="D401" s="11"/>
      <c r="E401" s="11"/>
      <c r="F401" s="11"/>
    </row>
    <row r="402">
      <c r="A402" s="11"/>
      <c r="B402" s="17" t="str">
        <f>IFERROR(__xludf.DUMMYFUNCTION("""COMPUTED_VALUE"""),"Herman Au")</f>
        <v>Herman Au</v>
      </c>
      <c r="C402" s="92">
        <f>IFERROR(__xludf.DUMMYFUNCTION("""COMPUTED_VALUE"""),2.0)</f>
        <v>2</v>
      </c>
      <c r="D402" s="11"/>
      <c r="E402" s="11"/>
      <c r="F402" s="11"/>
    </row>
    <row r="403">
      <c r="A403" s="11"/>
      <c r="B403" s="17" t="str">
        <f>IFERROR(__xludf.DUMMYFUNCTION("""COMPUTED_VALUE"""),"Ted Shen")</f>
        <v>Ted Shen</v>
      </c>
      <c r="C403" s="92">
        <f>IFERROR(__xludf.DUMMYFUNCTION("""COMPUTED_VALUE"""),1.0)</f>
        <v>1</v>
      </c>
      <c r="D403" s="11"/>
      <c r="E403" s="11"/>
      <c r="F403" s="11"/>
    </row>
    <row r="404">
      <c r="A404" s="11"/>
      <c r="B404" s="17" t="str">
        <f>IFERROR(__xludf.DUMMYFUNCTION("""COMPUTED_VALUE"""),"Arun Mallikarjuna")</f>
        <v>Arun Mallikarjuna</v>
      </c>
      <c r="C404" s="92">
        <f>IFERROR(__xludf.DUMMYFUNCTION("""COMPUTED_VALUE"""),1.0)</f>
        <v>1</v>
      </c>
      <c r="D404" s="11"/>
      <c r="E404" s="11"/>
      <c r="F404" s="11"/>
    </row>
    <row r="405">
      <c r="A405" s="11"/>
      <c r="B405" s="17" t="str">
        <f>IFERROR(__xludf.DUMMYFUNCTION("""COMPUTED_VALUE"""),"Joe Luzzi")</f>
        <v>Joe Luzzi</v>
      </c>
      <c r="C405" s="92">
        <f>IFERROR(__xludf.DUMMYFUNCTION("""COMPUTED_VALUE"""),1.0)</f>
        <v>1</v>
      </c>
      <c r="D405" s="11"/>
      <c r="E405" s="11"/>
      <c r="F405" s="11"/>
    </row>
    <row r="406">
      <c r="A406" s="11"/>
      <c r="B406" s="17" t="str">
        <f>IFERROR(__xludf.DUMMYFUNCTION("""COMPUTED_VALUE"""),"Frank Moon")</f>
        <v>Frank Moon</v>
      </c>
      <c r="C406" s="92">
        <f>IFERROR(__xludf.DUMMYFUNCTION("""COMPUTED_VALUE"""),1.0)</f>
        <v>1</v>
      </c>
      <c r="D406" s="11"/>
      <c r="E406" s="11"/>
      <c r="F406" s="11"/>
    </row>
    <row r="407">
      <c r="A407" s="11"/>
      <c r="B407" s="17" t="str">
        <f>IFERROR(__xludf.DUMMYFUNCTION("""COMPUTED_VALUE"""),"Alex Hou")</f>
        <v>Alex Hou</v>
      </c>
      <c r="C407" s="92">
        <f>IFERROR(__xludf.DUMMYFUNCTION("""COMPUTED_VALUE"""),1.0)</f>
        <v>1</v>
      </c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  <row r="708">
      <c r="A708" s="11"/>
      <c r="C708" s="11"/>
      <c r="D708" s="11"/>
      <c r="E708" s="11"/>
      <c r="F708" s="11"/>
    </row>
    <row r="709">
      <c r="A709" s="11"/>
      <c r="C709" s="11"/>
      <c r="D709" s="11"/>
      <c r="E709" s="11"/>
      <c r="F709" s="11"/>
    </row>
    <row r="710">
      <c r="A710" s="11"/>
      <c r="C710" s="11"/>
      <c r="D710" s="11"/>
      <c r="E710" s="11"/>
      <c r="F710" s="11"/>
    </row>
    <row r="711">
      <c r="A711" s="11"/>
      <c r="C711" s="11"/>
      <c r="D711" s="11"/>
      <c r="E711" s="11"/>
      <c r="F711" s="11"/>
    </row>
    <row r="712">
      <c r="A712" s="11"/>
      <c r="C712" s="11"/>
      <c r="D712" s="11"/>
      <c r="E712" s="11"/>
      <c r="F712" s="11"/>
    </row>
    <row r="713">
      <c r="A713" s="11"/>
      <c r="C713" s="11"/>
      <c r="D713" s="11"/>
      <c r="E713" s="11"/>
      <c r="F713" s="11"/>
    </row>
    <row r="714">
      <c r="A714" s="11"/>
      <c r="C714" s="11"/>
      <c r="D714" s="11"/>
      <c r="E714" s="11"/>
      <c r="F714" s="11"/>
    </row>
    <row r="715">
      <c r="A715" s="11"/>
      <c r="C715" s="11"/>
      <c r="D715" s="11"/>
      <c r="E715" s="11"/>
      <c r="F715" s="11"/>
    </row>
    <row r="716">
      <c r="A716" s="11"/>
      <c r="C716" s="11"/>
      <c r="D716" s="11"/>
      <c r="E716" s="11"/>
      <c r="F716" s="11"/>
    </row>
    <row r="717">
      <c r="A717" s="11"/>
      <c r="C717" s="11"/>
      <c r="D717" s="11"/>
      <c r="E717" s="11"/>
      <c r="F717" s="11"/>
    </row>
    <row r="718">
      <c r="A718" s="11"/>
      <c r="C718" s="11"/>
      <c r="D718" s="11"/>
      <c r="E718" s="11"/>
      <c r="F718" s="11"/>
    </row>
    <row r="719">
      <c r="A719" s="11"/>
      <c r="C719" s="11"/>
      <c r="D719" s="11"/>
      <c r="E719" s="11"/>
      <c r="F719" s="11"/>
    </row>
    <row r="720">
      <c r="A720" s="11"/>
      <c r="C720" s="11"/>
      <c r="D720" s="11"/>
      <c r="E720" s="11"/>
      <c r="F720" s="11"/>
    </row>
    <row r="721">
      <c r="A721" s="11"/>
      <c r="C721" s="11"/>
      <c r="D721" s="11"/>
      <c r="E721" s="11"/>
      <c r="F721" s="11"/>
    </row>
    <row r="722">
      <c r="A722" s="11"/>
      <c r="C722" s="11"/>
      <c r="D722" s="11"/>
      <c r="E722" s="11"/>
      <c r="F722" s="11"/>
    </row>
    <row r="723">
      <c r="A723" s="11"/>
      <c r="C723" s="11"/>
      <c r="D723" s="11"/>
      <c r="E723" s="11"/>
      <c r="F723" s="11"/>
    </row>
    <row r="724">
      <c r="A724" s="11"/>
      <c r="C724" s="11"/>
      <c r="D724" s="11"/>
      <c r="E724" s="11"/>
      <c r="F724" s="11"/>
    </row>
    <row r="725">
      <c r="A725" s="11"/>
      <c r="C725" s="11"/>
      <c r="D725" s="11"/>
      <c r="E725" s="11"/>
      <c r="F725" s="11"/>
    </row>
    <row r="726">
      <c r="A726" s="11"/>
      <c r="C726" s="11"/>
      <c r="D726" s="11"/>
      <c r="E726" s="11"/>
      <c r="F726" s="11"/>
    </row>
    <row r="727">
      <c r="A727" s="11"/>
      <c r="C727" s="11"/>
      <c r="D727" s="11"/>
      <c r="E727" s="11"/>
      <c r="F727" s="11"/>
    </row>
    <row r="728">
      <c r="A728" s="11"/>
      <c r="C728" s="11"/>
      <c r="D728" s="11"/>
      <c r="E728" s="11"/>
      <c r="F728" s="11"/>
    </row>
    <row r="729">
      <c r="A729" s="11"/>
      <c r="C729" s="11"/>
      <c r="D729" s="11"/>
      <c r="E729" s="11"/>
      <c r="F729" s="11"/>
    </row>
    <row r="730">
      <c r="A730" s="11"/>
      <c r="C730" s="11"/>
      <c r="D730" s="11"/>
      <c r="E730" s="11"/>
      <c r="F730" s="11"/>
    </row>
    <row r="731">
      <c r="A731" s="11"/>
      <c r="C731" s="11"/>
      <c r="D731" s="11"/>
      <c r="E731" s="11"/>
      <c r="F731" s="11"/>
    </row>
    <row r="732">
      <c r="A732" s="11"/>
      <c r="C732" s="11"/>
      <c r="D732" s="11"/>
      <c r="E732" s="11"/>
      <c r="F732" s="11"/>
    </row>
    <row r="733">
      <c r="A733" s="11"/>
      <c r="C733" s="11"/>
      <c r="D733" s="11"/>
      <c r="E733" s="11"/>
      <c r="F733" s="11"/>
    </row>
    <row r="734">
      <c r="A734" s="11"/>
      <c r="C734" s="11"/>
      <c r="D734" s="11"/>
      <c r="E734" s="11"/>
      <c r="F734" s="11"/>
    </row>
    <row r="735">
      <c r="A735" s="11"/>
      <c r="C735" s="11"/>
      <c r="D735" s="11"/>
      <c r="E735" s="11"/>
      <c r="F735" s="11"/>
    </row>
    <row r="736">
      <c r="A736" s="11"/>
      <c r="C736" s="11"/>
      <c r="D736" s="11"/>
      <c r="E736" s="11"/>
      <c r="F736" s="11"/>
    </row>
    <row r="737">
      <c r="A737" s="11"/>
      <c r="C737" s="11"/>
      <c r="D737" s="11"/>
      <c r="E737" s="11"/>
      <c r="F737" s="11"/>
    </row>
    <row r="738">
      <c r="A738" s="11"/>
      <c r="C738" s="11"/>
      <c r="D738" s="11"/>
      <c r="E738" s="11"/>
      <c r="F738" s="11"/>
    </row>
    <row r="739">
      <c r="A739" s="11"/>
      <c r="C739" s="11"/>
      <c r="D739" s="11"/>
      <c r="E739" s="11"/>
      <c r="F739" s="11"/>
    </row>
    <row r="740">
      <c r="A740" s="11"/>
      <c r="C740" s="11"/>
      <c r="D740" s="11"/>
      <c r="E740" s="11"/>
      <c r="F740" s="11"/>
    </row>
    <row r="741">
      <c r="A741" s="11"/>
      <c r="C741" s="11"/>
      <c r="D741" s="11"/>
      <c r="E741" s="11"/>
      <c r="F741" s="11"/>
    </row>
    <row r="742">
      <c r="A742" s="11"/>
      <c r="C742" s="11"/>
      <c r="D742" s="11"/>
      <c r="E742" s="11"/>
      <c r="F742" s="11"/>
    </row>
    <row r="743">
      <c r="A743" s="11"/>
      <c r="C743" s="11"/>
      <c r="D743" s="11"/>
      <c r="E743" s="11"/>
      <c r="F743" s="11"/>
    </row>
    <row r="744">
      <c r="A744" s="11"/>
      <c r="C744" s="11"/>
      <c r="D744" s="11"/>
      <c r="E744" s="11"/>
      <c r="F744" s="11"/>
    </row>
    <row r="745">
      <c r="A745" s="11"/>
      <c r="C745" s="11"/>
      <c r="D745" s="11"/>
      <c r="E745" s="11"/>
      <c r="F745" s="11"/>
    </row>
    <row r="746">
      <c r="A746" s="11"/>
      <c r="C746" s="11"/>
      <c r="D746" s="11"/>
      <c r="E746" s="11"/>
      <c r="F746" s="11"/>
    </row>
    <row r="747">
      <c r="A747" s="11"/>
      <c r="C747" s="11"/>
      <c r="D747" s="11"/>
      <c r="E747" s="11"/>
      <c r="F747" s="11"/>
    </row>
    <row r="748">
      <c r="A748" s="11"/>
      <c r="C748" s="11"/>
      <c r="D748" s="11"/>
      <c r="E748" s="11"/>
      <c r="F748" s="11"/>
    </row>
    <row r="749">
      <c r="A749" s="11"/>
      <c r="C749" s="11"/>
      <c r="D749" s="11"/>
      <c r="E749" s="11"/>
      <c r="F749" s="11"/>
    </row>
    <row r="750">
      <c r="A750" s="11"/>
      <c r="C750" s="11"/>
      <c r="D750" s="11"/>
      <c r="E750" s="11"/>
      <c r="F750" s="11"/>
    </row>
    <row r="751">
      <c r="A751" s="11"/>
      <c r="C751" s="11"/>
      <c r="D751" s="11"/>
      <c r="E751" s="11"/>
      <c r="F751" s="11"/>
    </row>
    <row r="752">
      <c r="A752" s="11"/>
      <c r="C752" s="11"/>
      <c r="D752" s="11"/>
      <c r="E752" s="11"/>
      <c r="F752" s="11"/>
    </row>
    <row r="753">
      <c r="A753" s="11"/>
      <c r="C753" s="11"/>
      <c r="D753" s="11"/>
      <c r="E753" s="11"/>
      <c r="F753" s="11"/>
    </row>
    <row r="754">
      <c r="A754" s="11"/>
      <c r="C754" s="11"/>
      <c r="D754" s="11"/>
      <c r="E754" s="11"/>
      <c r="F754" s="11"/>
    </row>
    <row r="755">
      <c r="A755" s="11"/>
      <c r="C755" s="11"/>
      <c r="D755" s="11"/>
      <c r="E755" s="11"/>
      <c r="F755" s="11"/>
    </row>
    <row r="756">
      <c r="A756" s="11"/>
      <c r="C756" s="11"/>
      <c r="D756" s="11"/>
      <c r="E756" s="11"/>
      <c r="F756" s="11"/>
    </row>
    <row r="757">
      <c r="A757" s="11"/>
      <c r="C757" s="11"/>
      <c r="D757" s="11"/>
      <c r="E757" s="11"/>
      <c r="F757" s="11"/>
    </row>
    <row r="758">
      <c r="A758" s="11"/>
      <c r="C758" s="11"/>
      <c r="D758" s="11"/>
      <c r="E758" s="11"/>
      <c r="F758" s="11"/>
    </row>
    <row r="759">
      <c r="A759" s="11"/>
      <c r="C759" s="11"/>
      <c r="D759" s="11"/>
      <c r="E759" s="11"/>
      <c r="F759" s="11"/>
    </row>
    <row r="760">
      <c r="A760" s="11"/>
      <c r="C760" s="11"/>
      <c r="D760" s="11"/>
      <c r="E760" s="11"/>
      <c r="F760" s="11"/>
    </row>
    <row r="761">
      <c r="A761" s="11"/>
      <c r="C761" s="11"/>
      <c r="D761" s="11"/>
      <c r="E761" s="11"/>
      <c r="F761" s="11"/>
    </row>
    <row r="762">
      <c r="A762" s="11"/>
      <c r="C762" s="11"/>
      <c r="D762" s="11"/>
      <c r="E762" s="11"/>
      <c r="F762" s="11"/>
    </row>
    <row r="763">
      <c r="A763" s="11"/>
      <c r="C763" s="11"/>
      <c r="D763" s="11"/>
      <c r="E763" s="11"/>
      <c r="F763" s="11"/>
    </row>
    <row r="764">
      <c r="A764" s="11"/>
      <c r="C764" s="11"/>
      <c r="D764" s="11"/>
      <c r="E764" s="11"/>
      <c r="F764" s="11"/>
    </row>
    <row r="765">
      <c r="A765" s="11"/>
      <c r="C765" s="11"/>
      <c r="D765" s="11"/>
      <c r="E765" s="11"/>
      <c r="F765" s="11"/>
    </row>
    <row r="766">
      <c r="A766" s="11"/>
      <c r="C766" s="11"/>
      <c r="D766" s="11"/>
      <c r="E766" s="11"/>
      <c r="F766" s="11"/>
    </row>
    <row r="767">
      <c r="A767" s="11"/>
      <c r="C767" s="11"/>
      <c r="D767" s="11"/>
      <c r="E767" s="11"/>
      <c r="F767" s="11"/>
    </row>
    <row r="768">
      <c r="A768" s="11"/>
      <c r="C768" s="11"/>
      <c r="D768" s="11"/>
      <c r="E768" s="11"/>
      <c r="F768" s="11"/>
    </row>
    <row r="769">
      <c r="A769" s="11"/>
      <c r="C769" s="11"/>
      <c r="D769" s="11"/>
      <c r="E769" s="11"/>
      <c r="F769" s="11"/>
    </row>
    <row r="770">
      <c r="A770" s="11"/>
      <c r="C770" s="11"/>
      <c r="D770" s="11"/>
      <c r="E770" s="11"/>
      <c r="F770" s="11"/>
    </row>
    <row r="771">
      <c r="A771" s="11"/>
      <c r="C771" s="11"/>
      <c r="D771" s="11"/>
      <c r="E771" s="11"/>
      <c r="F771" s="11"/>
    </row>
    <row r="772">
      <c r="A772" s="11"/>
      <c r="C772" s="11"/>
      <c r="D772" s="11"/>
      <c r="E772" s="11"/>
      <c r="F772" s="11"/>
    </row>
    <row r="773">
      <c r="A773" s="11"/>
      <c r="C773" s="11"/>
      <c r="D773" s="11"/>
      <c r="E773" s="11"/>
      <c r="F773" s="11"/>
    </row>
    <row r="774">
      <c r="A774" s="11"/>
      <c r="C774" s="11"/>
      <c r="D774" s="11"/>
      <c r="E774" s="11"/>
      <c r="F774" s="11"/>
    </row>
    <row r="775">
      <c r="A775" s="11"/>
      <c r="C775" s="11"/>
      <c r="D775" s="11"/>
      <c r="E775" s="11"/>
      <c r="F775" s="11"/>
    </row>
    <row r="776">
      <c r="A776" s="11"/>
      <c r="C776" s="11"/>
      <c r="D776" s="11"/>
      <c r="E776" s="11"/>
      <c r="F776" s="11"/>
    </row>
    <row r="777">
      <c r="A777" s="11"/>
      <c r="C777" s="11"/>
      <c r="D777" s="11"/>
      <c r="E777" s="11"/>
      <c r="F777" s="11"/>
    </row>
    <row r="778">
      <c r="A778" s="11"/>
      <c r="C778" s="11"/>
      <c r="D778" s="11"/>
      <c r="E778" s="11"/>
      <c r="F778" s="11"/>
    </row>
    <row r="779">
      <c r="A779" s="11"/>
      <c r="C779" s="11"/>
      <c r="D779" s="11"/>
      <c r="E779" s="11"/>
      <c r="F779" s="11"/>
    </row>
    <row r="780">
      <c r="A780" s="11"/>
      <c r="C780" s="11"/>
      <c r="D780" s="11"/>
      <c r="E780" s="11"/>
      <c r="F780" s="11"/>
    </row>
    <row r="781">
      <c r="A781" s="11"/>
      <c r="C781" s="11"/>
      <c r="D781" s="11"/>
      <c r="E781" s="11"/>
      <c r="F781" s="11"/>
    </row>
    <row r="782">
      <c r="A782" s="11"/>
      <c r="C782" s="11"/>
      <c r="D782" s="11"/>
      <c r="E782" s="11"/>
      <c r="F782" s="11"/>
    </row>
    <row r="783">
      <c r="A783" s="11"/>
      <c r="C783" s="11"/>
      <c r="D783" s="11"/>
      <c r="E783" s="11"/>
      <c r="F783" s="11"/>
    </row>
    <row r="784">
      <c r="A784" s="11"/>
      <c r="C784" s="11"/>
      <c r="D784" s="11"/>
      <c r="E784" s="11"/>
      <c r="F784" s="11"/>
    </row>
    <row r="785">
      <c r="A785" s="11"/>
      <c r="C785" s="11"/>
      <c r="D785" s="11"/>
      <c r="E785" s="11"/>
      <c r="F785" s="11"/>
    </row>
    <row r="786">
      <c r="A786" s="11"/>
      <c r="C786" s="11"/>
      <c r="D786" s="11"/>
      <c r="E786" s="11"/>
      <c r="F786" s="11"/>
    </row>
    <row r="787">
      <c r="A787" s="11"/>
      <c r="C787" s="11"/>
      <c r="D787" s="11"/>
      <c r="E787" s="11"/>
      <c r="F787" s="11"/>
    </row>
    <row r="788">
      <c r="A788" s="11"/>
      <c r="C788" s="11"/>
      <c r="D788" s="11"/>
      <c r="E788" s="11"/>
      <c r="F788" s="11"/>
    </row>
    <row r="789">
      <c r="A789" s="11"/>
      <c r="C789" s="11"/>
      <c r="D789" s="11"/>
      <c r="E789" s="11"/>
      <c r="F789" s="11"/>
    </row>
    <row r="790">
      <c r="A790" s="11"/>
      <c r="C790" s="11"/>
      <c r="D790" s="11"/>
      <c r="E790" s="11"/>
      <c r="F790" s="11"/>
    </row>
    <row r="791">
      <c r="A791" s="11"/>
      <c r="C791" s="11"/>
      <c r="D791" s="11"/>
      <c r="E791" s="11"/>
      <c r="F791" s="11"/>
    </row>
    <row r="792">
      <c r="A792" s="11"/>
      <c r="C792" s="11"/>
      <c r="D792" s="11"/>
      <c r="E792" s="11"/>
      <c r="F792" s="11"/>
    </row>
    <row r="793">
      <c r="A793" s="11"/>
      <c r="C793" s="11"/>
      <c r="D793" s="11"/>
      <c r="E793" s="11"/>
      <c r="F793" s="11"/>
    </row>
    <row r="794">
      <c r="A794" s="11"/>
      <c r="C794" s="11"/>
      <c r="D794" s="11"/>
      <c r="E794" s="11"/>
      <c r="F794" s="11"/>
    </row>
    <row r="795">
      <c r="A795" s="11"/>
      <c r="C795" s="11"/>
      <c r="D795" s="11"/>
      <c r="E795" s="11"/>
      <c r="F795" s="11"/>
    </row>
    <row r="796">
      <c r="A796" s="11"/>
      <c r="C796" s="11"/>
      <c r="D796" s="11"/>
      <c r="E796" s="11"/>
      <c r="F796" s="11"/>
    </row>
    <row r="797">
      <c r="A797" s="11"/>
      <c r="C797" s="11"/>
      <c r="D797" s="11"/>
      <c r="E797" s="11"/>
      <c r="F797" s="11"/>
    </row>
    <row r="798">
      <c r="A798" s="11"/>
      <c r="C798" s="11"/>
      <c r="D798" s="11"/>
      <c r="E798" s="11"/>
      <c r="F798" s="11"/>
    </row>
    <row r="799">
      <c r="A799" s="11"/>
      <c r="C799" s="11"/>
      <c r="D799" s="11"/>
      <c r="E799" s="11"/>
      <c r="F799" s="11"/>
    </row>
    <row r="800">
      <c r="A800" s="11"/>
      <c r="C800" s="11"/>
      <c r="D800" s="11"/>
      <c r="E800" s="11"/>
      <c r="F800" s="11"/>
    </row>
    <row r="801">
      <c r="A801" s="11"/>
      <c r="C801" s="11"/>
      <c r="D801" s="11"/>
      <c r="E801" s="11"/>
      <c r="F801" s="11"/>
    </row>
    <row r="802">
      <c r="A802" s="11"/>
      <c r="C802" s="11"/>
      <c r="D802" s="11"/>
      <c r="E802" s="11"/>
      <c r="F802" s="11"/>
    </row>
    <row r="803">
      <c r="A803" s="11"/>
      <c r="C803" s="11"/>
      <c r="D803" s="11"/>
      <c r="E803" s="11"/>
      <c r="F803" s="11"/>
    </row>
    <row r="804">
      <c r="A804" s="11"/>
      <c r="C804" s="11"/>
      <c r="D804" s="11"/>
      <c r="E804" s="11"/>
      <c r="F804" s="11"/>
    </row>
    <row r="805">
      <c r="A805" s="11"/>
      <c r="C805" s="11"/>
      <c r="D805" s="11"/>
      <c r="E805" s="11"/>
      <c r="F805" s="11"/>
    </row>
    <row r="806">
      <c r="A806" s="11"/>
      <c r="C806" s="11"/>
      <c r="D806" s="11"/>
      <c r="E806" s="11"/>
      <c r="F806" s="11"/>
    </row>
    <row r="807">
      <c r="A807" s="11"/>
      <c r="C807" s="11"/>
      <c r="D807" s="11"/>
      <c r="E807" s="11"/>
      <c r="F807" s="11"/>
    </row>
    <row r="808">
      <c r="A808" s="11"/>
      <c r="C808" s="11"/>
      <c r="D808" s="11"/>
      <c r="E808" s="11"/>
      <c r="F808" s="11"/>
    </row>
    <row r="809">
      <c r="A809" s="11"/>
      <c r="C809" s="11"/>
      <c r="D809" s="11"/>
      <c r="E809" s="11"/>
      <c r="F809" s="11"/>
    </row>
    <row r="810">
      <c r="A810" s="11"/>
      <c r="C810" s="11"/>
      <c r="D810" s="11"/>
      <c r="E810" s="11"/>
      <c r="F810" s="11"/>
    </row>
    <row r="811">
      <c r="A811" s="11"/>
      <c r="C811" s="11"/>
      <c r="D811" s="11"/>
      <c r="E811" s="11"/>
      <c r="F811" s="11"/>
    </row>
    <row r="812">
      <c r="A812" s="11"/>
      <c r="C812" s="11"/>
      <c r="D812" s="11"/>
      <c r="E812" s="11"/>
      <c r="F812" s="11"/>
    </row>
    <row r="813">
      <c r="A813" s="11"/>
      <c r="C813" s="11"/>
      <c r="D813" s="11"/>
      <c r="E813" s="11"/>
      <c r="F813" s="11"/>
    </row>
    <row r="814">
      <c r="A814" s="11"/>
      <c r="C814" s="11"/>
      <c r="D814" s="11"/>
      <c r="E814" s="11"/>
      <c r="F814" s="11"/>
    </row>
    <row r="815">
      <c r="A815" s="11"/>
      <c r="C815" s="11"/>
      <c r="D815" s="11"/>
      <c r="E815" s="11"/>
      <c r="F815" s="11"/>
    </row>
    <row r="816">
      <c r="A816" s="11"/>
      <c r="C816" s="11"/>
      <c r="D816" s="11"/>
      <c r="E816" s="11"/>
      <c r="F816" s="11"/>
    </row>
    <row r="817">
      <c r="A817" s="11"/>
      <c r="C817" s="11"/>
      <c r="D817" s="11"/>
      <c r="E817" s="11"/>
      <c r="F817" s="11"/>
    </row>
    <row r="818">
      <c r="A818" s="11"/>
      <c r="C818" s="11"/>
      <c r="D818" s="11"/>
      <c r="E818" s="11"/>
      <c r="F818" s="11"/>
    </row>
    <row r="819">
      <c r="A819" s="11"/>
      <c r="C819" s="11"/>
      <c r="D819" s="11"/>
      <c r="E819" s="11"/>
      <c r="F819" s="11"/>
    </row>
    <row r="820">
      <c r="A820" s="11"/>
      <c r="C820" s="11"/>
      <c r="D820" s="11"/>
      <c r="E820" s="11"/>
      <c r="F820" s="11"/>
    </row>
    <row r="821">
      <c r="A821" s="11"/>
      <c r="C821" s="11"/>
      <c r="D821" s="11"/>
      <c r="E821" s="11"/>
      <c r="F821" s="11"/>
    </row>
    <row r="822">
      <c r="A822" s="11"/>
      <c r="C822" s="11"/>
      <c r="D822" s="11"/>
      <c r="E822" s="11"/>
      <c r="F822" s="11"/>
    </row>
    <row r="823">
      <c r="A823" s="11"/>
      <c r="C823" s="11"/>
      <c r="D823" s="11"/>
      <c r="E823" s="11"/>
      <c r="F823" s="11"/>
    </row>
    <row r="824">
      <c r="A824" s="11"/>
      <c r="C824" s="11"/>
      <c r="D824" s="11"/>
      <c r="E824" s="11"/>
      <c r="F824" s="11"/>
    </row>
    <row r="825">
      <c r="A825" s="11"/>
      <c r="C825" s="11"/>
      <c r="D825" s="11"/>
      <c r="E825" s="11"/>
      <c r="F825" s="11"/>
    </row>
    <row r="826">
      <c r="A826" s="11"/>
      <c r="C826" s="11"/>
      <c r="D826" s="11"/>
      <c r="E826" s="11"/>
      <c r="F826" s="11"/>
    </row>
    <row r="827">
      <c r="A827" s="11"/>
      <c r="C827" s="11"/>
      <c r="D827" s="11"/>
      <c r="E827" s="11"/>
      <c r="F827" s="11"/>
    </row>
    <row r="828">
      <c r="A828" s="11"/>
      <c r="C828" s="11"/>
      <c r="D828" s="11"/>
      <c r="E828" s="11"/>
      <c r="F828" s="11"/>
    </row>
    <row r="829">
      <c r="A829" s="11"/>
      <c r="C829" s="11"/>
      <c r="D829" s="11"/>
      <c r="E829" s="11"/>
      <c r="F829" s="11"/>
    </row>
    <row r="830">
      <c r="A830" s="11"/>
      <c r="C830" s="11"/>
      <c r="D830" s="11"/>
      <c r="E830" s="11"/>
      <c r="F830" s="11"/>
    </row>
    <row r="831">
      <c r="A831" s="11"/>
      <c r="C831" s="11"/>
      <c r="D831" s="11"/>
      <c r="E831" s="11"/>
      <c r="F831" s="11"/>
    </row>
    <row r="832">
      <c r="A832" s="11"/>
      <c r="C832" s="11"/>
      <c r="D832" s="11"/>
      <c r="E832" s="11"/>
      <c r="F832" s="11"/>
    </row>
    <row r="833">
      <c r="A833" s="11"/>
      <c r="C833" s="11"/>
      <c r="D833" s="11"/>
      <c r="E833" s="11"/>
      <c r="F833" s="11"/>
    </row>
    <row r="834">
      <c r="A834" s="11"/>
      <c r="C834" s="11"/>
      <c r="D834" s="11"/>
      <c r="E834" s="11"/>
      <c r="F834" s="11"/>
    </row>
    <row r="835">
      <c r="A835" s="11"/>
      <c r="C835" s="11"/>
      <c r="D835" s="11"/>
      <c r="E835" s="11"/>
      <c r="F835" s="11"/>
    </row>
    <row r="836">
      <c r="A836" s="11"/>
      <c r="C836" s="11"/>
      <c r="D836" s="11"/>
      <c r="E836" s="11"/>
      <c r="F836" s="11"/>
    </row>
    <row r="837">
      <c r="A837" s="11"/>
      <c r="C837" s="11"/>
      <c r="D837" s="11"/>
      <c r="E837" s="11"/>
      <c r="F837" s="11"/>
    </row>
    <row r="838">
      <c r="A838" s="11"/>
      <c r="C838" s="11"/>
      <c r="D838" s="11"/>
      <c r="E838" s="11"/>
      <c r="F838" s="11"/>
    </row>
    <row r="839">
      <c r="A839" s="11"/>
      <c r="C839" s="11"/>
      <c r="D839" s="11"/>
      <c r="E839" s="11"/>
      <c r="F839" s="11"/>
    </row>
    <row r="840">
      <c r="A840" s="11"/>
      <c r="C840" s="11"/>
      <c r="D840" s="11"/>
      <c r="E840" s="11"/>
      <c r="F840" s="11"/>
    </row>
    <row r="841">
      <c r="A841" s="11"/>
      <c r="C841" s="11"/>
      <c r="D841" s="11"/>
      <c r="E841" s="11"/>
      <c r="F841" s="11"/>
    </row>
    <row r="842">
      <c r="A842" s="11"/>
      <c r="C842" s="11"/>
      <c r="D842" s="11"/>
      <c r="E842" s="11"/>
      <c r="F842" s="11"/>
    </row>
    <row r="843">
      <c r="A843" s="11"/>
      <c r="C843" s="11"/>
      <c r="D843" s="11"/>
      <c r="E843" s="11"/>
      <c r="F843" s="11"/>
    </row>
    <row r="844">
      <c r="A844" s="11"/>
      <c r="C844" s="11"/>
      <c r="D844" s="11"/>
      <c r="E844" s="11"/>
      <c r="F844" s="11"/>
    </row>
    <row r="845">
      <c r="A845" s="11"/>
      <c r="C845" s="11"/>
      <c r="D845" s="11"/>
      <c r="E845" s="11"/>
      <c r="F845" s="11"/>
    </row>
    <row r="846">
      <c r="A846" s="11"/>
      <c r="C846" s="11"/>
      <c r="D846" s="11"/>
      <c r="E846" s="11"/>
      <c r="F846" s="11"/>
    </row>
    <row r="847">
      <c r="A847" s="11"/>
      <c r="C847" s="11"/>
      <c r="D847" s="11"/>
      <c r="E847" s="11"/>
      <c r="F847" s="11"/>
    </row>
    <row r="848">
      <c r="A848" s="11"/>
      <c r="C848" s="11"/>
      <c r="D848" s="11"/>
      <c r="E848" s="11"/>
      <c r="F848" s="11"/>
    </row>
    <row r="849">
      <c r="A849" s="11"/>
      <c r="C849" s="11"/>
      <c r="D849" s="11"/>
      <c r="E849" s="11"/>
      <c r="F849" s="11"/>
    </row>
    <row r="850">
      <c r="A850" s="11"/>
      <c r="C850" s="11"/>
      <c r="D850" s="11"/>
      <c r="E850" s="11"/>
      <c r="F850" s="11"/>
    </row>
    <row r="851">
      <c r="A851" s="11"/>
      <c r="C851" s="11"/>
      <c r="D851" s="11"/>
      <c r="E851" s="11"/>
      <c r="F851" s="11"/>
    </row>
    <row r="852">
      <c r="A852" s="11"/>
      <c r="C852" s="11"/>
      <c r="D852" s="11"/>
      <c r="E852" s="11"/>
      <c r="F852" s="11"/>
    </row>
    <row r="853">
      <c r="A853" s="11"/>
      <c r="C853" s="11"/>
      <c r="D853" s="11"/>
      <c r="E853" s="11"/>
      <c r="F853" s="11"/>
    </row>
    <row r="854">
      <c r="A854" s="11"/>
      <c r="C854" s="11"/>
      <c r="D854" s="11"/>
      <c r="E854" s="11"/>
      <c r="F854" s="11"/>
    </row>
    <row r="855">
      <c r="A855" s="11"/>
      <c r="C855" s="11"/>
      <c r="D855" s="11"/>
      <c r="E855" s="11"/>
      <c r="F855" s="11"/>
    </row>
    <row r="856">
      <c r="A856" s="11"/>
      <c r="C856" s="11"/>
      <c r="D856" s="11"/>
      <c r="E856" s="11"/>
      <c r="F856" s="11"/>
    </row>
    <row r="857">
      <c r="A857" s="11"/>
      <c r="C857" s="11"/>
      <c r="D857" s="11"/>
      <c r="E857" s="11"/>
      <c r="F857" s="11"/>
    </row>
    <row r="858">
      <c r="A858" s="11"/>
      <c r="C858" s="11"/>
      <c r="D858" s="11"/>
      <c r="E858" s="11"/>
      <c r="F858" s="11"/>
    </row>
    <row r="859">
      <c r="A859" s="11"/>
      <c r="C859" s="11"/>
      <c r="D859" s="11"/>
      <c r="E859" s="11"/>
      <c r="F859" s="11"/>
    </row>
    <row r="860">
      <c r="A860" s="11"/>
      <c r="C860" s="11"/>
      <c r="D860" s="11"/>
      <c r="E860" s="11"/>
      <c r="F860" s="11"/>
    </row>
    <row r="861">
      <c r="A861" s="11"/>
      <c r="C861" s="11"/>
      <c r="D861" s="11"/>
      <c r="E861" s="11"/>
      <c r="F861" s="11"/>
    </row>
    <row r="862">
      <c r="A862" s="11"/>
      <c r="C862" s="11"/>
      <c r="D862" s="11"/>
      <c r="E862" s="11"/>
      <c r="F862" s="11"/>
    </row>
    <row r="863">
      <c r="A863" s="11"/>
      <c r="C863" s="11"/>
      <c r="D863" s="11"/>
      <c r="E863" s="11"/>
      <c r="F863" s="11"/>
    </row>
    <row r="864">
      <c r="A864" s="11"/>
      <c r="C864" s="11"/>
      <c r="D864" s="11"/>
      <c r="E864" s="11"/>
      <c r="F864" s="11"/>
    </row>
    <row r="865">
      <c r="A865" s="11"/>
      <c r="C865" s="11"/>
      <c r="D865" s="11"/>
      <c r="E865" s="11"/>
      <c r="F865" s="11"/>
    </row>
    <row r="866">
      <c r="A866" s="11"/>
      <c r="C866" s="11"/>
      <c r="D866" s="11"/>
      <c r="E866" s="11"/>
      <c r="F866" s="11"/>
    </row>
    <row r="867">
      <c r="A867" s="11"/>
      <c r="C867" s="11"/>
      <c r="D867" s="11"/>
      <c r="E867" s="11"/>
      <c r="F867" s="11"/>
    </row>
    <row r="868">
      <c r="A868" s="11"/>
      <c r="C868" s="11"/>
      <c r="D868" s="11"/>
      <c r="E868" s="11"/>
      <c r="F868" s="11"/>
    </row>
    <row r="869">
      <c r="A869" s="11"/>
      <c r="C869" s="11"/>
      <c r="D869" s="11"/>
      <c r="E869" s="11"/>
      <c r="F869" s="11"/>
    </row>
    <row r="870">
      <c r="A870" s="11"/>
      <c r="C870" s="11"/>
      <c r="D870" s="11"/>
      <c r="E870" s="11"/>
      <c r="F870" s="11"/>
    </row>
    <row r="871">
      <c r="A871" s="11"/>
      <c r="C871" s="11"/>
      <c r="D871" s="11"/>
      <c r="E871" s="11"/>
      <c r="F871" s="11"/>
    </row>
    <row r="872">
      <c r="A872" s="11"/>
      <c r="C872" s="11"/>
      <c r="D872" s="11"/>
      <c r="E872" s="11"/>
      <c r="F872" s="11"/>
    </row>
    <row r="873">
      <c r="A873" s="11"/>
      <c r="C873" s="11"/>
      <c r="D873" s="11"/>
      <c r="E873" s="11"/>
      <c r="F873" s="11"/>
    </row>
    <row r="874">
      <c r="A874" s="11"/>
      <c r="C874" s="11"/>
      <c r="D874" s="11"/>
      <c r="E874" s="11"/>
      <c r="F874" s="11"/>
    </row>
    <row r="875">
      <c r="A875" s="11"/>
      <c r="C875" s="11"/>
      <c r="D875" s="11"/>
      <c r="E875" s="11"/>
      <c r="F875" s="11"/>
    </row>
    <row r="876">
      <c r="A876" s="11"/>
      <c r="C876" s="11"/>
      <c r="D876" s="11"/>
      <c r="E876" s="11"/>
      <c r="F876" s="11"/>
    </row>
    <row r="877">
      <c r="A877" s="11"/>
      <c r="C877" s="11"/>
      <c r="D877" s="11"/>
      <c r="E877" s="11"/>
      <c r="F877" s="11"/>
    </row>
    <row r="878">
      <c r="A878" s="11"/>
      <c r="C878" s="11"/>
      <c r="D878" s="11"/>
      <c r="E878" s="11"/>
      <c r="F878" s="11"/>
    </row>
    <row r="879">
      <c r="A879" s="11"/>
      <c r="C879" s="11"/>
      <c r="D879" s="11"/>
      <c r="E879" s="11"/>
      <c r="F879" s="11"/>
    </row>
    <row r="880">
      <c r="A880" s="11"/>
      <c r="C880" s="11"/>
      <c r="D880" s="11"/>
      <c r="E880" s="11"/>
      <c r="F880" s="11"/>
    </row>
    <row r="881">
      <c r="A881" s="11"/>
      <c r="C881" s="11"/>
      <c r="D881" s="11"/>
      <c r="E881" s="11"/>
      <c r="F881" s="11"/>
    </row>
    <row r="882">
      <c r="A882" s="11"/>
      <c r="C882" s="11"/>
      <c r="D882" s="11"/>
      <c r="E882" s="11"/>
      <c r="F882" s="11"/>
    </row>
    <row r="883">
      <c r="A883" s="11"/>
      <c r="C883" s="11"/>
      <c r="D883" s="11"/>
      <c r="E883" s="11"/>
      <c r="F883" s="11"/>
    </row>
    <row r="884">
      <c r="A884" s="11"/>
      <c r="C884" s="11"/>
      <c r="D884" s="11"/>
      <c r="E884" s="11"/>
      <c r="F884" s="11"/>
    </row>
    <row r="885">
      <c r="A885" s="11"/>
      <c r="C885" s="11"/>
      <c r="D885" s="11"/>
      <c r="E885" s="11"/>
      <c r="F885" s="11"/>
    </row>
    <row r="886">
      <c r="A886" s="11"/>
      <c r="C886" s="11"/>
      <c r="D886" s="11"/>
      <c r="E886" s="11"/>
      <c r="F886" s="11"/>
    </row>
    <row r="887">
      <c r="A887" s="11"/>
      <c r="C887" s="11"/>
      <c r="D887" s="11"/>
      <c r="E887" s="11"/>
      <c r="F887" s="11"/>
    </row>
    <row r="888">
      <c r="A888" s="11"/>
      <c r="C888" s="11"/>
      <c r="D888" s="11"/>
      <c r="E888" s="11"/>
      <c r="F888" s="11"/>
    </row>
    <row r="889">
      <c r="A889" s="11"/>
      <c r="C889" s="11"/>
      <c r="D889" s="11"/>
      <c r="E889" s="11"/>
      <c r="F889" s="11"/>
    </row>
    <row r="890">
      <c r="A890" s="11"/>
      <c r="C890" s="11"/>
      <c r="D890" s="11"/>
      <c r="E890" s="11"/>
      <c r="F890" s="11"/>
    </row>
    <row r="891">
      <c r="A891" s="11"/>
      <c r="C891" s="11"/>
      <c r="D891" s="11"/>
      <c r="E891" s="11"/>
      <c r="F891" s="11"/>
    </row>
    <row r="892">
      <c r="A892" s="11"/>
      <c r="C892" s="11"/>
      <c r="D892" s="11"/>
      <c r="E892" s="11"/>
      <c r="F892" s="11"/>
    </row>
    <row r="893">
      <c r="A893" s="11"/>
      <c r="C893" s="11"/>
      <c r="D893" s="11"/>
      <c r="E893" s="11"/>
      <c r="F893" s="11"/>
    </row>
    <row r="894">
      <c r="A894" s="11"/>
      <c r="C894" s="11"/>
      <c r="D894" s="11"/>
      <c r="E894" s="11"/>
      <c r="F894" s="11"/>
    </row>
    <row r="895">
      <c r="A895" s="11"/>
      <c r="C895" s="11"/>
      <c r="D895" s="11"/>
      <c r="E895" s="11"/>
      <c r="F895" s="11"/>
    </row>
    <row r="896">
      <c r="A896" s="11"/>
      <c r="C896" s="11"/>
      <c r="D896" s="11"/>
      <c r="E896" s="11"/>
      <c r="F896" s="11"/>
    </row>
    <row r="897">
      <c r="A897" s="11"/>
      <c r="C897" s="11"/>
      <c r="D897" s="11"/>
      <c r="E897" s="11"/>
      <c r="F897" s="11"/>
    </row>
    <row r="898">
      <c r="A898" s="11"/>
      <c r="C898" s="11"/>
      <c r="D898" s="11"/>
      <c r="E898" s="11"/>
      <c r="F898" s="11"/>
    </row>
    <row r="899">
      <c r="A899" s="11"/>
      <c r="C899" s="11"/>
      <c r="D899" s="11"/>
      <c r="E899" s="11"/>
      <c r="F899" s="11"/>
    </row>
    <row r="900">
      <c r="A900" s="11"/>
      <c r="C900" s="11"/>
      <c r="D900" s="11"/>
      <c r="E900" s="11"/>
      <c r="F900" s="11"/>
    </row>
    <row r="901">
      <c r="A901" s="11"/>
      <c r="C901" s="11"/>
      <c r="D901" s="11"/>
      <c r="E901" s="11"/>
      <c r="F901" s="11"/>
    </row>
    <row r="902">
      <c r="A902" s="11"/>
      <c r="C902" s="11"/>
      <c r="D902" s="11"/>
      <c r="E902" s="11"/>
      <c r="F902" s="11"/>
    </row>
    <row r="903">
      <c r="A903" s="11"/>
      <c r="C903" s="11"/>
      <c r="D903" s="11"/>
      <c r="E903" s="11"/>
      <c r="F903" s="11"/>
    </row>
    <row r="904">
      <c r="A904" s="11"/>
      <c r="C904" s="11"/>
      <c r="D904" s="11"/>
      <c r="E904" s="11"/>
      <c r="F904" s="11"/>
    </row>
    <row r="905">
      <c r="A905" s="11"/>
      <c r="C905" s="11"/>
      <c r="D905" s="11"/>
      <c r="E905" s="11"/>
      <c r="F905" s="11"/>
    </row>
    <row r="906">
      <c r="A906" s="11"/>
      <c r="C906" s="11"/>
      <c r="D906" s="11"/>
      <c r="E906" s="11"/>
      <c r="F906" s="11"/>
    </row>
    <row r="907">
      <c r="A907" s="11"/>
      <c r="C907" s="11"/>
      <c r="D907" s="11"/>
      <c r="E907" s="11"/>
      <c r="F907" s="11"/>
    </row>
    <row r="908">
      <c r="A908" s="11"/>
      <c r="C908" s="11"/>
      <c r="D908" s="11"/>
      <c r="E908" s="11"/>
      <c r="F908" s="11"/>
    </row>
    <row r="909">
      <c r="A909" s="11"/>
      <c r="C909" s="11"/>
      <c r="D909" s="11"/>
      <c r="E909" s="11"/>
      <c r="F909" s="11"/>
    </row>
    <row r="910">
      <c r="A910" s="11"/>
      <c r="C910" s="11"/>
      <c r="D910" s="11"/>
      <c r="E910" s="11"/>
      <c r="F910" s="11"/>
    </row>
    <row r="911">
      <c r="A911" s="11"/>
      <c r="C911" s="11"/>
      <c r="D911" s="11"/>
      <c r="E911" s="11"/>
      <c r="F911" s="11"/>
    </row>
    <row r="912">
      <c r="A912" s="11"/>
      <c r="C912" s="11"/>
      <c r="D912" s="11"/>
      <c r="E912" s="11"/>
      <c r="F912" s="11"/>
    </row>
    <row r="913">
      <c r="A913" s="11"/>
      <c r="C913" s="11"/>
      <c r="D913" s="11"/>
      <c r="E913" s="11"/>
      <c r="F913" s="11"/>
    </row>
    <row r="914">
      <c r="A914" s="11"/>
      <c r="C914" s="11"/>
      <c r="D914" s="11"/>
      <c r="E914" s="11"/>
      <c r="F914" s="11"/>
    </row>
    <row r="915">
      <c r="A915" s="11"/>
      <c r="C915" s="11"/>
      <c r="D915" s="11"/>
      <c r="E915" s="11"/>
      <c r="F915" s="11"/>
    </row>
    <row r="916">
      <c r="A916" s="11"/>
      <c r="C916" s="11"/>
      <c r="D916" s="11"/>
      <c r="E916" s="11"/>
      <c r="F916" s="11"/>
    </row>
    <row r="917">
      <c r="A917" s="11"/>
      <c r="C917" s="11"/>
      <c r="D917" s="11"/>
      <c r="E917" s="11"/>
      <c r="F917" s="11"/>
    </row>
    <row r="918">
      <c r="A918" s="11"/>
      <c r="C918" s="11"/>
      <c r="D918" s="11"/>
      <c r="E918" s="11"/>
      <c r="F918" s="11"/>
    </row>
    <row r="919">
      <c r="A919" s="11"/>
      <c r="C919" s="11"/>
      <c r="D919" s="11"/>
      <c r="E919" s="11"/>
      <c r="F919" s="11"/>
    </row>
    <row r="920">
      <c r="A920" s="11"/>
      <c r="C920" s="11"/>
      <c r="D920" s="11"/>
      <c r="E920" s="11"/>
      <c r="F920" s="11"/>
    </row>
    <row r="921">
      <c r="A921" s="11"/>
      <c r="C921" s="11"/>
      <c r="D921" s="11"/>
      <c r="E921" s="11"/>
      <c r="F921" s="11"/>
    </row>
    <row r="922">
      <c r="A922" s="11"/>
      <c r="C922" s="11"/>
      <c r="D922" s="11"/>
      <c r="E922" s="11"/>
      <c r="F922" s="11"/>
    </row>
    <row r="923">
      <c r="A923" s="11"/>
      <c r="C923" s="11"/>
      <c r="D923" s="11"/>
      <c r="E923" s="11"/>
      <c r="F923" s="11"/>
    </row>
    <row r="924">
      <c r="A924" s="11"/>
      <c r="C924" s="11"/>
      <c r="D924" s="11"/>
      <c r="E924" s="11"/>
      <c r="F924" s="11"/>
    </row>
    <row r="925">
      <c r="A925" s="11"/>
      <c r="C925" s="11"/>
      <c r="D925" s="11"/>
      <c r="E925" s="11"/>
      <c r="F925" s="11"/>
    </row>
    <row r="926">
      <c r="A926" s="11"/>
      <c r="C926" s="11"/>
      <c r="D926" s="11"/>
      <c r="E926" s="11"/>
      <c r="F926" s="11"/>
    </row>
    <row r="927">
      <c r="A927" s="11"/>
      <c r="C927" s="11"/>
      <c r="D927" s="11"/>
      <c r="E927" s="11"/>
      <c r="F927" s="11"/>
    </row>
    <row r="928">
      <c r="A928" s="11"/>
      <c r="C928" s="11"/>
      <c r="D928" s="11"/>
      <c r="E928" s="11"/>
      <c r="F928" s="11"/>
    </row>
    <row r="929">
      <c r="A929" s="11"/>
      <c r="C929" s="11"/>
      <c r="D929" s="11"/>
      <c r="E929" s="11"/>
      <c r="F929" s="11"/>
    </row>
    <row r="930">
      <c r="A930" s="11"/>
      <c r="C930" s="11"/>
      <c r="D930" s="11"/>
      <c r="E930" s="11"/>
      <c r="F930" s="11"/>
    </row>
    <row r="931">
      <c r="A931" s="11"/>
      <c r="C931" s="11"/>
      <c r="D931" s="11"/>
      <c r="E931" s="11"/>
      <c r="F931" s="11"/>
    </row>
    <row r="932">
      <c r="A932" s="11"/>
      <c r="C932" s="11"/>
      <c r="D932" s="11"/>
      <c r="E932" s="11"/>
      <c r="F932" s="11"/>
    </row>
    <row r="933">
      <c r="A933" s="11"/>
      <c r="C933" s="11"/>
      <c r="D933" s="11"/>
      <c r="E933" s="11"/>
      <c r="F933" s="11"/>
    </row>
    <row r="934">
      <c r="A934" s="11"/>
      <c r="C934" s="11"/>
      <c r="D934" s="11"/>
      <c r="E934" s="11"/>
      <c r="F934" s="11"/>
    </row>
    <row r="935">
      <c r="A935" s="11"/>
      <c r="C935" s="11"/>
      <c r="D935" s="11"/>
      <c r="E935" s="11"/>
      <c r="F935" s="11"/>
    </row>
    <row r="936">
      <c r="A936" s="11"/>
      <c r="C936" s="11"/>
      <c r="D936" s="11"/>
      <c r="E936" s="11"/>
      <c r="F936" s="11"/>
    </row>
    <row r="937">
      <c r="A937" s="11"/>
      <c r="C937" s="11"/>
      <c r="D937" s="11"/>
      <c r="E937" s="11"/>
      <c r="F937" s="11"/>
    </row>
    <row r="938">
      <c r="A938" s="11"/>
      <c r="C938" s="11"/>
      <c r="D938" s="11"/>
      <c r="E938" s="11"/>
      <c r="F938" s="11"/>
    </row>
    <row r="939">
      <c r="A939" s="11"/>
      <c r="C939" s="11"/>
      <c r="D939" s="11"/>
      <c r="E939" s="11"/>
      <c r="F939" s="11"/>
    </row>
    <row r="940">
      <c r="A940" s="11"/>
      <c r="C940" s="11"/>
      <c r="D940" s="11"/>
      <c r="E940" s="11"/>
      <c r="F940" s="11"/>
    </row>
    <row r="941">
      <c r="A941" s="11"/>
      <c r="C941" s="11"/>
      <c r="D941" s="11"/>
      <c r="E941" s="11"/>
      <c r="F941" s="11"/>
    </row>
    <row r="942">
      <c r="A942" s="11"/>
      <c r="C942" s="11"/>
      <c r="D942" s="11"/>
      <c r="E942" s="11"/>
      <c r="F942" s="11"/>
    </row>
    <row r="943">
      <c r="A943" s="11"/>
      <c r="C943" s="11"/>
      <c r="D943" s="11"/>
      <c r="E943" s="11"/>
      <c r="F943" s="11"/>
    </row>
    <row r="944">
      <c r="A944" s="11"/>
      <c r="C944" s="11"/>
      <c r="D944" s="11"/>
      <c r="E944" s="11"/>
      <c r="F944" s="11"/>
    </row>
    <row r="945">
      <c r="A945" s="11"/>
      <c r="C945" s="11"/>
      <c r="D945" s="11"/>
      <c r="E945" s="11"/>
      <c r="F945" s="11"/>
    </row>
    <row r="946">
      <c r="A946" s="11"/>
      <c r="C946" s="11"/>
      <c r="D946" s="11"/>
      <c r="E946" s="11"/>
      <c r="F946" s="11"/>
    </row>
    <row r="947">
      <c r="A947" s="11"/>
      <c r="C947" s="11"/>
      <c r="D947" s="11"/>
      <c r="E947" s="11"/>
      <c r="F947" s="11"/>
    </row>
    <row r="948">
      <c r="A948" s="11"/>
      <c r="C948" s="11"/>
      <c r="D948" s="11"/>
      <c r="E948" s="11"/>
      <c r="F948" s="11"/>
    </row>
    <row r="949">
      <c r="A949" s="11"/>
      <c r="C949" s="11"/>
      <c r="D949" s="11"/>
      <c r="E949" s="11"/>
      <c r="F949" s="11"/>
    </row>
    <row r="950">
      <c r="A950" s="11"/>
      <c r="C950" s="11"/>
      <c r="D950" s="11"/>
      <c r="E950" s="11"/>
      <c r="F950" s="11"/>
    </row>
    <row r="951">
      <c r="A951" s="11"/>
      <c r="C951" s="11"/>
      <c r="D951" s="11"/>
      <c r="E951" s="11"/>
      <c r="F951" s="11"/>
    </row>
    <row r="952">
      <c r="A952" s="11"/>
      <c r="C952" s="11"/>
      <c r="D952" s="11"/>
      <c r="E952" s="11"/>
      <c r="F952" s="11"/>
    </row>
    <row r="953">
      <c r="A953" s="11"/>
      <c r="C953" s="11"/>
      <c r="D953" s="11"/>
      <c r="E953" s="11"/>
      <c r="F953" s="11"/>
    </row>
    <row r="954">
      <c r="A954" s="11"/>
      <c r="C954" s="11"/>
      <c r="D954" s="11"/>
      <c r="E954" s="11"/>
      <c r="F954" s="11"/>
    </row>
    <row r="955">
      <c r="A955" s="11"/>
      <c r="C955" s="11"/>
      <c r="D955" s="11"/>
      <c r="E955" s="11"/>
      <c r="F955" s="11"/>
    </row>
    <row r="956">
      <c r="A956" s="11"/>
      <c r="C956" s="11"/>
      <c r="D956" s="11"/>
      <c r="E956" s="11"/>
      <c r="F956" s="11"/>
    </row>
    <row r="957">
      <c r="A957" s="11"/>
      <c r="C957" s="11"/>
      <c r="D957" s="11"/>
      <c r="E957" s="11"/>
      <c r="F957" s="11"/>
    </row>
    <row r="958">
      <c r="A958" s="11"/>
      <c r="C958" s="11"/>
      <c r="D958" s="11"/>
      <c r="E958" s="11"/>
      <c r="F958" s="11"/>
    </row>
    <row r="959">
      <c r="A959" s="11"/>
      <c r="C959" s="11"/>
      <c r="D959" s="11"/>
      <c r="E959" s="11"/>
      <c r="F959" s="11"/>
    </row>
    <row r="960">
      <c r="A960" s="11"/>
      <c r="C960" s="11"/>
      <c r="D960" s="11"/>
      <c r="E960" s="11"/>
      <c r="F960" s="11"/>
    </row>
    <row r="961">
      <c r="A961" s="11"/>
      <c r="C961" s="11"/>
      <c r="D961" s="11"/>
      <c r="E961" s="11"/>
      <c r="F961" s="11"/>
    </row>
    <row r="962">
      <c r="A962" s="11"/>
      <c r="C962" s="11"/>
      <c r="D962" s="11"/>
      <c r="E962" s="11"/>
      <c r="F962" s="11"/>
    </row>
    <row r="963">
      <c r="A963" s="11"/>
      <c r="C963" s="11"/>
      <c r="D963" s="11"/>
      <c r="E963" s="11"/>
      <c r="F963" s="11"/>
    </row>
    <row r="964">
      <c r="A964" s="11"/>
      <c r="C964" s="11"/>
      <c r="D964" s="11"/>
      <c r="E964" s="11"/>
      <c r="F964" s="11"/>
    </row>
    <row r="965">
      <c r="A965" s="11"/>
      <c r="C965" s="11"/>
      <c r="D965" s="11"/>
      <c r="E965" s="11"/>
      <c r="F965" s="11"/>
    </row>
    <row r="966">
      <c r="A966" s="11"/>
      <c r="C966" s="11"/>
      <c r="D966" s="11"/>
      <c r="E966" s="11"/>
      <c r="F966" s="11"/>
    </row>
    <row r="967">
      <c r="A967" s="11"/>
      <c r="C967" s="11"/>
      <c r="D967" s="11"/>
      <c r="E967" s="11"/>
      <c r="F967" s="11"/>
    </row>
    <row r="968">
      <c r="A968" s="11"/>
      <c r="C968" s="11"/>
      <c r="D968" s="11"/>
      <c r="E968" s="11"/>
      <c r="F968" s="11"/>
    </row>
    <row r="969">
      <c r="A969" s="11"/>
      <c r="C969" s="11"/>
      <c r="D969" s="11"/>
      <c r="E969" s="11"/>
      <c r="F969" s="11"/>
    </row>
    <row r="970">
      <c r="A970" s="11"/>
      <c r="C970" s="11"/>
      <c r="D970" s="11"/>
      <c r="E970" s="11"/>
      <c r="F970" s="11"/>
    </row>
    <row r="971">
      <c r="A971" s="11"/>
      <c r="C971" s="11"/>
      <c r="D971" s="11"/>
      <c r="E971" s="11"/>
      <c r="F971" s="11"/>
    </row>
    <row r="972">
      <c r="A972" s="11"/>
      <c r="C972" s="11"/>
      <c r="D972" s="11"/>
      <c r="E972" s="11"/>
      <c r="F972" s="11"/>
    </row>
    <row r="973">
      <c r="A973" s="11"/>
      <c r="C973" s="11"/>
      <c r="D973" s="11"/>
      <c r="E973" s="11"/>
      <c r="F973" s="11"/>
    </row>
    <row r="974">
      <c r="A974" s="11"/>
      <c r="C974" s="11"/>
      <c r="D974" s="11"/>
      <c r="E974" s="11"/>
      <c r="F974" s="11"/>
    </row>
    <row r="975">
      <c r="A975" s="11"/>
      <c r="C975" s="11"/>
      <c r="D975" s="11"/>
      <c r="E975" s="11"/>
      <c r="F975" s="11"/>
    </row>
    <row r="976">
      <c r="A976" s="11"/>
      <c r="C976" s="11"/>
      <c r="D976" s="11"/>
      <c r="E976" s="11"/>
      <c r="F976" s="11"/>
    </row>
    <row r="977">
      <c r="A977" s="11"/>
      <c r="C977" s="11"/>
      <c r="D977" s="11"/>
      <c r="E977" s="11"/>
      <c r="F977" s="11"/>
    </row>
    <row r="978">
      <c r="A978" s="11"/>
      <c r="C978" s="11"/>
      <c r="D978" s="11"/>
      <c r="E978" s="11"/>
      <c r="F978" s="11"/>
    </row>
    <row r="979">
      <c r="A979" s="11"/>
      <c r="C979" s="11"/>
      <c r="D979" s="11"/>
      <c r="E979" s="11"/>
      <c r="F979" s="11"/>
    </row>
    <row r="980">
      <c r="A980" s="11"/>
      <c r="C980" s="11"/>
      <c r="D980" s="11"/>
      <c r="E980" s="11"/>
      <c r="F980" s="11"/>
    </row>
    <row r="981">
      <c r="A981" s="11"/>
      <c r="C981" s="11"/>
      <c r="D981" s="11"/>
      <c r="E981" s="11"/>
      <c r="F981" s="11"/>
    </row>
    <row r="982">
      <c r="A982" s="11"/>
      <c r="C982" s="11"/>
      <c r="D982" s="11"/>
      <c r="E982" s="11"/>
      <c r="F982" s="11"/>
    </row>
    <row r="983">
      <c r="A983" s="11"/>
      <c r="C983" s="11"/>
      <c r="D983" s="11"/>
      <c r="E983" s="11"/>
      <c r="F983" s="11"/>
    </row>
    <row r="984">
      <c r="A984" s="11"/>
      <c r="C984" s="11"/>
      <c r="D984" s="11"/>
      <c r="E984" s="11"/>
      <c r="F984" s="11"/>
    </row>
    <row r="985">
      <c r="A985" s="11"/>
      <c r="C985" s="11"/>
      <c r="D985" s="11"/>
      <c r="E985" s="11"/>
      <c r="F985" s="11"/>
    </row>
    <row r="986">
      <c r="A986" s="11"/>
      <c r="C986" s="11"/>
      <c r="D986" s="11"/>
      <c r="E986" s="11"/>
      <c r="F986" s="11"/>
    </row>
    <row r="987">
      <c r="A987" s="11"/>
      <c r="C987" s="11"/>
      <c r="D987" s="11"/>
      <c r="E987" s="11"/>
      <c r="F987" s="11"/>
    </row>
    <row r="988">
      <c r="A988" s="11"/>
      <c r="C988" s="11"/>
      <c r="D988" s="11"/>
      <c r="E988" s="11"/>
      <c r="F988" s="11"/>
    </row>
    <row r="989">
      <c r="A989" s="11"/>
      <c r="C989" s="11"/>
      <c r="D989" s="11"/>
      <c r="E989" s="11"/>
      <c r="F989" s="11"/>
    </row>
    <row r="990">
      <c r="A990" s="11"/>
      <c r="C990" s="11"/>
      <c r="D990" s="11"/>
      <c r="E990" s="11"/>
      <c r="F990" s="11"/>
    </row>
    <row r="991">
      <c r="A991" s="11"/>
      <c r="C991" s="11"/>
      <c r="D991" s="11"/>
      <c r="E991" s="11"/>
      <c r="F991" s="11"/>
    </row>
    <row r="992">
      <c r="A992" s="11"/>
      <c r="C992" s="11"/>
      <c r="D992" s="11"/>
      <c r="E992" s="11"/>
      <c r="F992" s="11"/>
    </row>
    <row r="993">
      <c r="A993" s="11"/>
      <c r="C993" s="11"/>
      <c r="D993" s="11"/>
      <c r="E993" s="11"/>
      <c r="F993" s="11"/>
    </row>
    <row r="994">
      <c r="A994" s="11"/>
      <c r="C994" s="11"/>
      <c r="D994" s="11"/>
      <c r="E994" s="11"/>
      <c r="F994" s="11"/>
    </row>
    <row r="995">
      <c r="A995" s="11"/>
      <c r="C995" s="11"/>
      <c r="D995" s="11"/>
      <c r="E995" s="11"/>
      <c r="F995" s="11"/>
    </row>
    <row r="996">
      <c r="A996" s="11"/>
      <c r="C996" s="11"/>
      <c r="D996" s="11"/>
      <c r="E996" s="11"/>
      <c r="F996" s="11"/>
    </row>
    <row r="997">
      <c r="A997" s="11"/>
      <c r="C997" s="11"/>
      <c r="D997" s="11"/>
      <c r="E997" s="11"/>
      <c r="F997" s="11"/>
    </row>
    <row r="998">
      <c r="A998" s="11"/>
      <c r="C998" s="11"/>
      <c r="D998" s="11"/>
      <c r="E998" s="11"/>
      <c r="F998" s="11"/>
    </row>
    <row r="999">
      <c r="A999" s="11"/>
      <c r="C999" s="11"/>
      <c r="D999" s="11"/>
      <c r="E999" s="11"/>
      <c r="F999" s="11"/>
    </row>
    <row r="1000">
      <c r="A1000" s="11"/>
      <c r="C1000" s="11"/>
      <c r="D1000" s="11"/>
      <c r="E1000" s="11"/>
      <c r="F1000" s="11"/>
    </row>
    <row r="1001">
      <c r="A1001" s="11"/>
      <c r="C1001" s="11"/>
      <c r="D1001" s="11"/>
      <c r="E1001" s="11"/>
      <c r="F1001" s="11"/>
    </row>
    <row r="1002">
      <c r="A1002" s="11"/>
      <c r="C1002" s="11"/>
      <c r="D1002" s="11"/>
      <c r="E1002" s="11"/>
      <c r="F1002" s="11"/>
    </row>
    <row r="1003">
      <c r="A1003" s="11"/>
      <c r="C1003" s="11"/>
      <c r="D1003" s="11"/>
      <c r="E1003" s="11"/>
      <c r="F1003" s="11"/>
    </row>
    <row r="1004">
      <c r="A1004" s="11"/>
      <c r="C1004" s="11"/>
      <c r="D1004" s="11"/>
      <c r="E1004" s="11"/>
      <c r="F1004" s="11"/>
    </row>
    <row r="1005">
      <c r="A1005" s="11"/>
      <c r="C1005" s="11"/>
      <c r="D1005" s="11"/>
      <c r="E1005" s="11"/>
      <c r="F1005" s="11"/>
    </row>
    <row r="1006">
      <c r="A1006" s="11"/>
      <c r="C1006" s="11"/>
      <c r="D1006" s="11"/>
      <c r="E1006" s="11"/>
      <c r="F1006" s="11"/>
    </row>
    <row r="1007">
      <c r="A1007" s="11"/>
      <c r="C1007" s="11"/>
      <c r="D1007" s="11"/>
      <c r="E1007" s="11"/>
      <c r="F1007" s="11"/>
    </row>
    <row r="1008">
      <c r="A1008" s="11"/>
      <c r="C1008" s="11"/>
      <c r="D1008" s="11"/>
      <c r="E1008" s="11"/>
      <c r="F1008" s="11"/>
    </row>
    <row r="1009">
      <c r="A1009" s="11"/>
      <c r="C1009" s="11"/>
      <c r="D1009" s="11"/>
      <c r="E1009" s="11"/>
      <c r="F1009" s="11"/>
    </row>
    <row r="1010">
      <c r="A1010" s="11"/>
      <c r="C1010" s="11"/>
      <c r="D1010" s="11"/>
      <c r="E1010" s="11"/>
      <c r="F1010" s="11"/>
    </row>
    <row r="1011">
      <c r="A1011" s="11"/>
      <c r="C1011" s="11"/>
      <c r="D1011" s="11"/>
      <c r="E1011" s="11"/>
      <c r="F1011" s="11"/>
    </row>
    <row r="1012">
      <c r="A1012" s="11"/>
      <c r="C1012" s="11"/>
      <c r="D1012" s="11"/>
      <c r="E1012" s="11"/>
      <c r="F1012" s="11"/>
    </row>
    <row r="1013">
      <c r="A1013" s="11"/>
      <c r="C1013" s="11"/>
      <c r="D1013" s="11"/>
      <c r="E1013" s="11"/>
      <c r="F1013" s="11"/>
    </row>
    <row r="1014">
      <c r="A1014" s="11"/>
      <c r="C1014" s="11"/>
      <c r="D1014" s="11"/>
      <c r="E1014" s="11"/>
      <c r="F1014" s="11"/>
    </row>
    <row r="1015">
      <c r="A1015" s="11"/>
      <c r="C1015" s="11"/>
      <c r="D1015" s="11"/>
      <c r="E1015" s="11"/>
      <c r="F1015" s="11"/>
    </row>
    <row r="1016">
      <c r="A1016" s="11"/>
      <c r="C1016" s="11"/>
      <c r="D1016" s="11"/>
      <c r="E1016" s="11"/>
      <c r="F1016" s="11"/>
    </row>
    <row r="1017">
      <c r="A1017" s="11"/>
      <c r="C1017" s="11"/>
      <c r="D1017" s="11"/>
      <c r="E1017" s="11"/>
      <c r="F1017" s="11"/>
    </row>
    <row r="1018">
      <c r="A1018" s="11"/>
      <c r="C1018" s="11"/>
      <c r="D1018" s="11"/>
      <c r="E1018" s="11"/>
      <c r="F1018" s="11"/>
    </row>
    <row r="1019">
      <c r="A1019" s="11"/>
      <c r="C1019" s="11"/>
      <c r="D1019" s="11"/>
      <c r="E1019" s="11"/>
      <c r="F1019" s="11"/>
    </row>
    <row r="1020">
      <c r="A1020" s="11"/>
      <c r="C1020" s="11"/>
      <c r="D1020" s="11"/>
      <c r="E1020" s="11"/>
      <c r="F1020" s="11"/>
    </row>
    <row r="1021">
      <c r="A1021" s="11"/>
      <c r="C1021" s="11"/>
      <c r="D1021" s="11"/>
      <c r="E1021" s="11"/>
      <c r="F1021" s="11"/>
    </row>
    <row r="1022">
      <c r="A1022" s="11"/>
      <c r="C1022" s="11"/>
      <c r="D1022" s="11"/>
      <c r="E1022" s="11"/>
      <c r="F1022" s="11"/>
    </row>
    <row r="1023">
      <c r="A1023" s="11"/>
      <c r="C1023" s="11"/>
      <c r="D1023" s="11"/>
      <c r="E1023" s="11"/>
      <c r="F1023" s="11"/>
    </row>
    <row r="1024">
      <c r="A1024" s="11"/>
      <c r="C1024" s="11"/>
      <c r="D1024" s="11"/>
      <c r="E1024" s="11"/>
      <c r="F1024" s="11"/>
    </row>
    <row r="1025">
      <c r="A1025" s="11"/>
      <c r="C1025" s="11"/>
      <c r="D1025" s="11"/>
      <c r="E1025" s="11"/>
      <c r="F1025" s="11"/>
    </row>
    <row r="1026">
      <c r="A1026" s="11"/>
      <c r="C1026" s="11"/>
      <c r="D1026" s="11"/>
      <c r="E1026" s="11"/>
      <c r="F1026" s="11"/>
    </row>
    <row r="1027">
      <c r="A1027" s="11"/>
      <c r="C1027" s="11"/>
      <c r="D1027" s="11"/>
      <c r="E1027" s="11"/>
      <c r="F1027" s="11"/>
    </row>
    <row r="1028">
      <c r="A1028" s="11"/>
      <c r="C1028" s="11"/>
      <c r="D1028" s="11"/>
      <c r="E1028" s="11"/>
      <c r="F1028" s="11"/>
    </row>
    <row r="1029">
      <c r="A1029" s="11"/>
      <c r="C1029" s="11"/>
      <c r="D1029" s="11"/>
      <c r="E1029" s="11"/>
      <c r="F1029" s="11"/>
    </row>
    <row r="1030">
      <c r="A1030" s="11"/>
      <c r="C1030" s="11"/>
      <c r="D1030" s="11"/>
      <c r="E1030" s="11"/>
      <c r="F1030" s="11"/>
    </row>
    <row r="1031">
      <c r="A1031" s="11"/>
      <c r="C1031" s="11"/>
      <c r="D1031" s="11"/>
      <c r="E1031" s="11"/>
      <c r="F1031" s="11"/>
    </row>
    <row r="1032">
      <c r="A1032" s="11"/>
      <c r="C1032" s="11"/>
      <c r="D1032" s="11"/>
      <c r="E1032" s="11"/>
      <c r="F1032" s="11"/>
    </row>
    <row r="1033">
      <c r="A1033" s="11"/>
      <c r="C1033" s="11"/>
      <c r="D1033" s="11"/>
      <c r="E1033" s="11"/>
      <c r="F1033" s="11"/>
    </row>
    <row r="1034">
      <c r="A1034" s="11"/>
      <c r="C1034" s="11"/>
      <c r="D1034" s="11"/>
      <c r="E1034" s="11"/>
      <c r="F1034" s="11"/>
    </row>
    <row r="1035">
      <c r="A1035" s="11"/>
      <c r="C1035" s="11"/>
      <c r="D1035" s="11"/>
      <c r="E1035" s="11"/>
      <c r="F1035" s="11"/>
    </row>
    <row r="1036">
      <c r="A1036" s="11"/>
      <c r="C1036" s="11"/>
      <c r="D1036" s="11"/>
      <c r="E1036" s="11"/>
      <c r="F1036" s="11"/>
    </row>
    <row r="1037">
      <c r="A1037" s="11"/>
      <c r="C1037" s="11"/>
      <c r="D1037" s="11"/>
      <c r="E1037" s="11"/>
      <c r="F1037" s="11"/>
    </row>
    <row r="1038">
      <c r="A1038" s="11"/>
      <c r="C1038" s="11"/>
      <c r="D1038" s="11"/>
      <c r="E1038" s="11"/>
      <c r="F1038" s="11"/>
    </row>
    <row r="1039">
      <c r="A1039" s="11"/>
      <c r="C1039" s="11"/>
      <c r="D1039" s="11"/>
      <c r="E1039" s="11"/>
      <c r="F1039" s="11"/>
    </row>
    <row r="1040">
      <c r="A1040" s="11"/>
      <c r="C1040" s="11"/>
      <c r="D1040" s="11"/>
      <c r="E1040" s="11"/>
      <c r="F1040" s="11"/>
    </row>
    <row r="1041">
      <c r="A1041" s="11"/>
      <c r="C1041" s="11"/>
      <c r="D1041" s="11"/>
      <c r="E1041" s="11"/>
      <c r="F1041" s="11"/>
    </row>
    <row r="1042">
      <c r="A1042" s="11"/>
      <c r="C1042" s="11"/>
      <c r="D1042" s="11"/>
      <c r="E1042" s="11"/>
      <c r="F1042" s="11"/>
    </row>
    <row r="1043">
      <c r="A1043" s="11"/>
      <c r="C1043" s="11"/>
      <c r="D1043" s="11"/>
      <c r="E1043" s="11"/>
      <c r="F1043" s="11"/>
    </row>
    <row r="1044">
      <c r="A1044" s="11"/>
      <c r="C1044" s="11"/>
      <c r="D1044" s="11"/>
      <c r="E1044" s="11"/>
      <c r="F1044" s="11"/>
    </row>
    <row r="1045">
      <c r="A1045" s="11"/>
      <c r="C1045" s="11"/>
      <c r="D1045" s="11"/>
      <c r="E1045" s="11"/>
      <c r="F1045" s="11"/>
    </row>
    <row r="1046">
      <c r="A1046" s="11"/>
      <c r="C1046" s="11"/>
      <c r="D1046" s="11"/>
      <c r="E1046" s="11"/>
      <c r="F1046" s="11"/>
    </row>
    <row r="1047">
      <c r="A1047" s="11"/>
      <c r="C1047" s="11"/>
      <c r="D1047" s="11"/>
      <c r="E1047" s="11"/>
      <c r="F1047" s="11"/>
    </row>
    <row r="1048">
      <c r="A1048" s="11"/>
      <c r="C1048" s="11"/>
      <c r="D1048" s="11"/>
      <c r="E1048" s="11"/>
      <c r="F1048" s="11"/>
    </row>
    <row r="1049">
      <c r="A1049" s="11"/>
      <c r="C1049" s="11"/>
      <c r="D1049" s="11"/>
      <c r="E1049" s="11"/>
      <c r="F1049" s="11"/>
    </row>
    <row r="1050">
      <c r="A1050" s="11"/>
      <c r="C1050" s="11"/>
      <c r="D1050" s="11"/>
      <c r="E1050" s="11"/>
      <c r="F1050" s="11"/>
    </row>
    <row r="1051">
      <c r="A1051" s="11"/>
      <c r="C1051" s="11"/>
      <c r="D1051" s="11"/>
      <c r="E1051" s="11"/>
      <c r="F1051" s="11"/>
    </row>
    <row r="1052">
      <c r="A1052" s="11"/>
      <c r="C1052" s="11"/>
      <c r="D1052" s="11"/>
      <c r="E1052" s="11"/>
      <c r="F1052" s="11"/>
    </row>
    <row r="1053">
      <c r="A1053" s="11"/>
      <c r="C1053" s="11"/>
      <c r="D1053" s="11"/>
      <c r="E1053" s="11"/>
      <c r="F1053" s="11"/>
    </row>
    <row r="1054">
      <c r="A1054" s="11"/>
      <c r="C1054" s="11"/>
      <c r="D1054" s="11"/>
      <c r="E1054" s="11"/>
      <c r="F1054" s="11"/>
    </row>
    <row r="1055">
      <c r="A1055" s="11"/>
      <c r="C1055" s="11"/>
      <c r="D1055" s="11"/>
      <c r="E1055" s="11"/>
      <c r="F1055" s="11"/>
    </row>
    <row r="1056">
      <c r="A1056" s="11"/>
      <c r="C1056" s="11"/>
      <c r="D1056" s="11"/>
      <c r="E1056" s="11"/>
      <c r="F1056" s="11"/>
    </row>
    <row r="1057">
      <c r="A1057" s="11"/>
      <c r="C1057" s="11"/>
      <c r="D1057" s="11"/>
      <c r="E1057" s="11"/>
      <c r="F1057" s="11"/>
    </row>
    <row r="1058">
      <c r="A1058" s="11"/>
      <c r="C1058" s="11"/>
      <c r="D1058" s="11"/>
      <c r="E1058" s="11"/>
      <c r="F1058" s="11"/>
    </row>
    <row r="1059">
      <c r="A1059" s="11"/>
      <c r="C1059" s="11"/>
      <c r="D1059" s="11"/>
      <c r="E1059" s="11"/>
      <c r="F1059" s="11"/>
    </row>
    <row r="1060">
      <c r="A1060" s="11"/>
      <c r="C1060" s="11"/>
      <c r="D1060" s="11"/>
      <c r="E1060" s="11"/>
      <c r="F1060" s="11"/>
    </row>
    <row r="1061">
      <c r="A1061" s="11"/>
      <c r="C1061" s="11"/>
      <c r="D1061" s="11"/>
      <c r="E1061" s="11"/>
      <c r="F1061" s="11"/>
    </row>
    <row r="1062">
      <c r="A1062" s="11"/>
      <c r="C1062" s="11"/>
      <c r="D1062" s="11"/>
      <c r="E1062" s="11"/>
      <c r="F1062" s="11"/>
    </row>
    <row r="1063">
      <c r="A1063" s="11"/>
      <c r="C1063" s="11"/>
      <c r="D1063" s="11"/>
      <c r="E1063" s="11"/>
      <c r="F1063" s="11"/>
    </row>
    <row r="1064">
      <c r="A1064" s="11"/>
      <c r="C1064" s="11"/>
      <c r="D1064" s="11"/>
      <c r="E1064" s="11"/>
      <c r="F1064" s="11"/>
    </row>
    <row r="1065">
      <c r="A1065" s="11"/>
      <c r="C1065" s="11"/>
      <c r="D1065" s="11"/>
      <c r="E1065" s="11"/>
      <c r="F1065" s="11"/>
    </row>
    <row r="1066">
      <c r="A1066" s="11"/>
      <c r="C1066" s="11"/>
      <c r="D1066" s="11"/>
      <c r="E1066" s="11"/>
      <c r="F1066" s="11"/>
    </row>
    <row r="1067">
      <c r="A1067" s="11"/>
      <c r="C1067" s="11"/>
      <c r="D1067" s="11"/>
      <c r="E1067" s="11"/>
      <c r="F1067" s="11"/>
    </row>
  </sheetData>
  <mergeCells count="7"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1" priority="1">
      <formula> L5&gt;=18</formula>
    </cfRule>
  </conditionalFormatting>
  <conditionalFormatting sqref="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7.13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81">
        <v>45605.0</v>
      </c>
      <c r="G1" s="14"/>
      <c r="H1" s="14"/>
      <c r="I1" s="14"/>
      <c r="L1" s="14"/>
      <c r="N1" s="14"/>
      <c r="V1" s="16"/>
    </row>
    <row r="2">
      <c r="A2" s="11"/>
      <c r="B2" s="18" t="s">
        <v>24</v>
      </c>
      <c r="D2" s="19">
        <v>19.0</v>
      </c>
      <c r="E2" s="11"/>
      <c r="F2" s="11"/>
      <c r="AB2" s="20" t="str">
        <f>text(C1-7,"mm/dd/yy")</f>
        <v>11/02/24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32">
        <v>291.0</v>
      </c>
      <c r="D5" s="32">
        <v>35.0</v>
      </c>
      <c r="E5" s="35">
        <f t="shared" ref="E5:E69" si="2">(C5-(U5*9)-(S5*13))/($D$2-U5-S5)</f>
        <v>16.46666667</v>
      </c>
      <c r="F5" s="37">
        <v>1.0</v>
      </c>
      <c r="G5" s="39">
        <v>1.0</v>
      </c>
      <c r="H5" s="40">
        <v>0.0</v>
      </c>
      <c r="I5" s="39">
        <v>6.0</v>
      </c>
      <c r="J5" s="39">
        <v>6.0</v>
      </c>
      <c r="K5" s="39">
        <v>6.0</v>
      </c>
      <c r="L5" s="42">
        <v>18.0</v>
      </c>
      <c r="M5" s="39">
        <v>3.0</v>
      </c>
      <c r="N5" s="32">
        <f t="shared" ref="N5:O5" si="1">C5+L5</f>
        <v>309</v>
      </c>
      <c r="O5" s="32">
        <f t="shared" si="1"/>
        <v>38</v>
      </c>
      <c r="P5" s="43" t="s">
        <v>53</v>
      </c>
      <c r="Q5" s="43" t="s">
        <v>53</v>
      </c>
      <c r="R5" s="43"/>
      <c r="S5" s="39">
        <f t="shared" ref="S5:S69" si="4">if(H5=13,1,0)+VLOOKUP(B5,indirect($AB$2&amp;"!B:T"),18,false)</f>
        <v>2</v>
      </c>
      <c r="T5" s="39"/>
      <c r="U5" s="39">
        <f t="shared" ref="U5:U69" si="5">if(H5=9,1,0)+VLOOKUP(B5,indirect($AB$2&amp;"!B:U"),20,false)</f>
        <v>2</v>
      </c>
      <c r="V5" s="39">
        <f t="shared" ref="V5:V69" si="6">VLOOKUP(B5,indirect($AB$2&amp;"!B$5:w$70"),22,false)-A5</f>
        <v>0</v>
      </c>
      <c r="W5" s="30">
        <v>1.0</v>
      </c>
    </row>
    <row r="6">
      <c r="A6" s="30">
        <f t="shared" ref="A6:A69" si="7">A5+1</f>
        <v>2</v>
      </c>
      <c r="B6" s="51" t="s">
        <v>92</v>
      </c>
      <c r="C6" s="32">
        <v>244.0</v>
      </c>
      <c r="D6" s="32">
        <v>23.0</v>
      </c>
      <c r="E6" s="35">
        <f t="shared" si="2"/>
        <v>15.9</v>
      </c>
      <c r="F6" s="37">
        <v>3.0</v>
      </c>
      <c r="G6" s="39">
        <v>0.0</v>
      </c>
      <c r="H6" s="40">
        <v>9.0</v>
      </c>
      <c r="I6" s="39">
        <v>0.0</v>
      </c>
      <c r="J6" s="39">
        <v>0.0</v>
      </c>
      <c r="K6" s="39">
        <v>0.0</v>
      </c>
      <c r="L6" s="42">
        <v>9.0</v>
      </c>
      <c r="M6" s="39">
        <v>0.0</v>
      </c>
      <c r="N6" s="32">
        <f t="shared" ref="N6:O6" si="3">C6+L6</f>
        <v>253</v>
      </c>
      <c r="O6" s="32">
        <f t="shared" si="3"/>
        <v>23</v>
      </c>
      <c r="P6" s="43" t="s">
        <v>53</v>
      </c>
      <c r="Q6" s="43" t="s">
        <v>53</v>
      </c>
      <c r="R6" s="43" t="s">
        <v>88</v>
      </c>
      <c r="S6" s="39">
        <f t="shared" si="4"/>
        <v>1</v>
      </c>
      <c r="T6" s="39"/>
      <c r="U6" s="39">
        <f t="shared" si="5"/>
        <v>8</v>
      </c>
      <c r="V6" s="39">
        <f t="shared" si="6"/>
        <v>0</v>
      </c>
      <c r="W6" s="30">
        <f t="shared" ref="W6:W69" si="9">W5+1</f>
        <v>2</v>
      </c>
    </row>
    <row r="7">
      <c r="A7" s="30">
        <f t="shared" si="7"/>
        <v>3</v>
      </c>
      <c r="B7" s="31" t="s">
        <v>61</v>
      </c>
      <c r="C7" s="32">
        <v>241.0</v>
      </c>
      <c r="D7" s="32">
        <v>25.0</v>
      </c>
      <c r="E7" s="35">
        <f t="shared" si="2"/>
        <v>14.38461538</v>
      </c>
      <c r="F7" s="37">
        <v>3.0</v>
      </c>
      <c r="G7" s="39">
        <v>0.0</v>
      </c>
      <c r="H7" s="40">
        <v>9.0</v>
      </c>
      <c r="I7" s="39">
        <v>0.0</v>
      </c>
      <c r="J7" s="39">
        <v>0.0</v>
      </c>
      <c r="K7" s="39">
        <v>0.0</v>
      </c>
      <c r="L7" s="42">
        <v>9.0</v>
      </c>
      <c r="M7" s="39">
        <v>0.0</v>
      </c>
      <c r="N7" s="32">
        <f t="shared" ref="N7:O7" si="8">C7+L7</f>
        <v>250</v>
      </c>
      <c r="O7" s="32">
        <f t="shared" si="8"/>
        <v>25</v>
      </c>
      <c r="P7" s="43" t="s">
        <v>53</v>
      </c>
      <c r="Q7" s="43" t="s">
        <v>53</v>
      </c>
      <c r="R7" s="43"/>
      <c r="S7" s="39">
        <f t="shared" si="4"/>
        <v>0</v>
      </c>
      <c r="T7" s="39"/>
      <c r="U7" s="39">
        <f t="shared" si="5"/>
        <v>6</v>
      </c>
      <c r="V7" s="39">
        <f t="shared" si="6"/>
        <v>0</v>
      </c>
      <c r="W7" s="30">
        <f t="shared" si="9"/>
        <v>3</v>
      </c>
    </row>
    <row r="8">
      <c r="A8" s="30">
        <f t="shared" si="7"/>
        <v>4</v>
      </c>
      <c r="B8" s="31" t="s">
        <v>34</v>
      </c>
      <c r="C8" s="32">
        <v>240.0</v>
      </c>
      <c r="D8" s="32">
        <v>28.0</v>
      </c>
      <c r="E8" s="35">
        <f t="shared" si="2"/>
        <v>13.6</v>
      </c>
      <c r="F8" s="37">
        <v>3.0</v>
      </c>
      <c r="G8" s="39">
        <v>0.0</v>
      </c>
      <c r="H8" s="40">
        <v>9.0</v>
      </c>
      <c r="I8" s="39">
        <v>0.0</v>
      </c>
      <c r="J8" s="39">
        <v>0.0</v>
      </c>
      <c r="K8" s="39">
        <v>0.0</v>
      </c>
      <c r="L8" s="42">
        <v>9.0</v>
      </c>
      <c r="M8" s="39">
        <v>0.0</v>
      </c>
      <c r="N8" s="32">
        <f t="shared" ref="N8:O8" si="10">C8+L8</f>
        <v>249</v>
      </c>
      <c r="O8" s="32">
        <f t="shared" si="10"/>
        <v>28</v>
      </c>
      <c r="P8" s="43" t="s">
        <v>53</v>
      </c>
      <c r="Q8" s="43" t="s">
        <v>53</v>
      </c>
      <c r="R8" s="43"/>
      <c r="S8" s="39">
        <f t="shared" si="4"/>
        <v>0</v>
      </c>
      <c r="T8" s="39"/>
      <c r="U8" s="39">
        <f t="shared" si="5"/>
        <v>4</v>
      </c>
      <c r="V8" s="39">
        <f t="shared" si="6"/>
        <v>4</v>
      </c>
      <c r="W8" s="30">
        <f t="shared" si="9"/>
        <v>4</v>
      </c>
    </row>
    <row r="9">
      <c r="A9" s="30">
        <f t="shared" si="7"/>
        <v>5</v>
      </c>
      <c r="B9" s="51" t="s">
        <v>54</v>
      </c>
      <c r="C9" s="32">
        <v>239.0</v>
      </c>
      <c r="D9" s="32">
        <v>24.0</v>
      </c>
      <c r="E9" s="35">
        <f t="shared" si="2"/>
        <v>13.57142857</v>
      </c>
      <c r="F9" s="37">
        <v>3.0</v>
      </c>
      <c r="G9" s="39">
        <v>0.0</v>
      </c>
      <c r="H9" s="40">
        <v>9.0</v>
      </c>
      <c r="I9" s="39">
        <v>0.0</v>
      </c>
      <c r="J9" s="39">
        <v>0.0</v>
      </c>
      <c r="K9" s="39">
        <v>0.0</v>
      </c>
      <c r="L9" s="42">
        <v>9.0</v>
      </c>
      <c r="M9" s="39">
        <v>0.0</v>
      </c>
      <c r="N9" s="32">
        <f t="shared" ref="N9:O9" si="11">C9+L9</f>
        <v>248</v>
      </c>
      <c r="O9" s="32">
        <f t="shared" si="11"/>
        <v>24</v>
      </c>
      <c r="P9" s="43" t="s">
        <v>53</v>
      </c>
      <c r="Q9" s="43" t="s">
        <v>53</v>
      </c>
      <c r="R9" s="43"/>
      <c r="S9" s="39">
        <f t="shared" si="4"/>
        <v>1</v>
      </c>
      <c r="T9" s="39"/>
      <c r="U9" s="39">
        <f t="shared" si="5"/>
        <v>4</v>
      </c>
      <c r="V9" s="39">
        <f t="shared" si="6"/>
        <v>-1</v>
      </c>
      <c r="W9" s="30">
        <f t="shared" si="9"/>
        <v>5</v>
      </c>
    </row>
    <row r="10">
      <c r="A10" s="30">
        <f t="shared" si="7"/>
        <v>6</v>
      </c>
      <c r="B10" s="31" t="s">
        <v>82</v>
      </c>
      <c r="C10" s="32">
        <v>238.0</v>
      </c>
      <c r="D10" s="32">
        <v>21.0</v>
      </c>
      <c r="E10" s="35">
        <f t="shared" si="2"/>
        <v>15.55555556</v>
      </c>
      <c r="F10" s="37">
        <v>3.0</v>
      </c>
      <c r="G10" s="39">
        <v>0.0</v>
      </c>
      <c r="H10" s="40">
        <v>9.0</v>
      </c>
      <c r="I10" s="39">
        <v>0.0</v>
      </c>
      <c r="J10" s="39">
        <v>0.0</v>
      </c>
      <c r="K10" s="39">
        <v>0.0</v>
      </c>
      <c r="L10" s="42">
        <v>9.0</v>
      </c>
      <c r="M10" s="39">
        <v>0.0</v>
      </c>
      <c r="N10" s="32">
        <f t="shared" ref="N10:O10" si="12">C10+L10</f>
        <v>247</v>
      </c>
      <c r="O10" s="32">
        <f t="shared" si="12"/>
        <v>21</v>
      </c>
      <c r="P10" s="43" t="s">
        <v>53</v>
      </c>
      <c r="Q10" s="43" t="s">
        <v>53</v>
      </c>
      <c r="R10" s="43"/>
      <c r="S10" s="39">
        <f t="shared" si="4"/>
        <v>2</v>
      </c>
      <c r="T10" s="39"/>
      <c r="U10" s="39">
        <f t="shared" si="5"/>
        <v>8</v>
      </c>
      <c r="V10" s="39">
        <f t="shared" si="6"/>
        <v>-1</v>
      </c>
      <c r="W10" s="30">
        <f t="shared" si="9"/>
        <v>6</v>
      </c>
    </row>
    <row r="11">
      <c r="A11" s="30">
        <f t="shared" si="7"/>
        <v>7</v>
      </c>
      <c r="B11" s="31" t="s">
        <v>71</v>
      </c>
      <c r="C11" s="32">
        <v>236.0</v>
      </c>
      <c r="D11" s="32">
        <v>21.0</v>
      </c>
      <c r="E11" s="35">
        <f t="shared" si="2"/>
        <v>12.58823529</v>
      </c>
      <c r="F11" s="37">
        <v>1.0</v>
      </c>
      <c r="G11" s="39">
        <v>1.0</v>
      </c>
      <c r="H11" s="40">
        <v>0.0</v>
      </c>
      <c r="I11" s="39">
        <v>6.0</v>
      </c>
      <c r="J11" s="39">
        <v>3.0</v>
      </c>
      <c r="K11" s="39">
        <v>1.0</v>
      </c>
      <c r="L11" s="42">
        <v>10.0</v>
      </c>
      <c r="M11" s="39">
        <v>1.0</v>
      </c>
      <c r="N11" s="32">
        <f t="shared" ref="N11:O11" si="13">C11+L11</f>
        <v>246</v>
      </c>
      <c r="O11" s="32">
        <f t="shared" si="13"/>
        <v>22</v>
      </c>
      <c r="P11" s="43" t="s">
        <v>53</v>
      </c>
      <c r="Q11" s="43" t="s">
        <v>53</v>
      </c>
      <c r="R11" s="43"/>
      <c r="S11" s="39">
        <f t="shared" si="4"/>
        <v>1</v>
      </c>
      <c r="T11" s="39"/>
      <c r="U11" s="39">
        <f t="shared" si="5"/>
        <v>1</v>
      </c>
      <c r="V11" s="39">
        <f t="shared" si="6"/>
        <v>-1</v>
      </c>
      <c r="W11" s="30">
        <f t="shared" si="9"/>
        <v>7</v>
      </c>
    </row>
    <row r="12">
      <c r="A12" s="30">
        <f t="shared" si="7"/>
        <v>8</v>
      </c>
      <c r="B12" s="31" t="s">
        <v>91</v>
      </c>
      <c r="C12" s="32">
        <v>233.0</v>
      </c>
      <c r="D12" s="32">
        <v>20.0</v>
      </c>
      <c r="E12" s="35">
        <f t="shared" si="2"/>
        <v>13.14285714</v>
      </c>
      <c r="F12" s="37">
        <v>1.0</v>
      </c>
      <c r="G12" s="39">
        <v>1.0</v>
      </c>
      <c r="H12" s="40">
        <v>0.0</v>
      </c>
      <c r="I12" s="39">
        <v>1.0</v>
      </c>
      <c r="J12" s="39">
        <v>3.0</v>
      </c>
      <c r="K12" s="39">
        <v>6.0</v>
      </c>
      <c r="L12" s="42">
        <v>10.0</v>
      </c>
      <c r="M12" s="39">
        <v>1.0</v>
      </c>
      <c r="N12" s="32">
        <f t="shared" ref="N12:O12" si="14">C12+L12</f>
        <v>243</v>
      </c>
      <c r="O12" s="32">
        <f t="shared" si="14"/>
        <v>21</v>
      </c>
      <c r="P12" s="43" t="s">
        <v>53</v>
      </c>
      <c r="Q12" s="43" t="s">
        <v>53</v>
      </c>
      <c r="R12" s="43"/>
      <c r="S12" s="39">
        <f t="shared" si="4"/>
        <v>1</v>
      </c>
      <c r="T12" s="39"/>
      <c r="U12" s="39">
        <f t="shared" si="5"/>
        <v>4</v>
      </c>
      <c r="V12" s="39">
        <f t="shared" si="6"/>
        <v>6</v>
      </c>
      <c r="W12" s="30">
        <f t="shared" si="9"/>
        <v>8</v>
      </c>
    </row>
    <row r="13">
      <c r="A13" s="30">
        <f t="shared" si="7"/>
        <v>9</v>
      </c>
      <c r="B13" s="51" t="s">
        <v>100</v>
      </c>
      <c r="C13" s="32">
        <v>233.0</v>
      </c>
      <c r="D13" s="32">
        <v>19.0</v>
      </c>
      <c r="E13" s="35">
        <f t="shared" si="2"/>
        <v>13.90909091</v>
      </c>
      <c r="F13" s="37">
        <v>3.0</v>
      </c>
      <c r="G13" s="39">
        <v>0.0</v>
      </c>
      <c r="H13" s="40">
        <v>9.0</v>
      </c>
      <c r="I13" s="39">
        <v>0.0</v>
      </c>
      <c r="J13" s="39">
        <v>0.0</v>
      </c>
      <c r="K13" s="39">
        <v>0.0</v>
      </c>
      <c r="L13" s="42">
        <v>9.0</v>
      </c>
      <c r="M13" s="39">
        <v>0.0</v>
      </c>
      <c r="N13" s="32">
        <f t="shared" ref="N13:O13" si="15">C13+L13</f>
        <v>242</v>
      </c>
      <c r="O13" s="32">
        <f t="shared" si="15"/>
        <v>19</v>
      </c>
      <c r="P13" s="43" t="s">
        <v>53</v>
      </c>
      <c r="Q13" s="43" t="s">
        <v>53</v>
      </c>
      <c r="R13" s="43"/>
      <c r="S13" s="39">
        <f t="shared" si="4"/>
        <v>2</v>
      </c>
      <c r="T13" s="39"/>
      <c r="U13" s="39">
        <f t="shared" si="5"/>
        <v>6</v>
      </c>
      <c r="V13" s="39">
        <f t="shared" si="6"/>
        <v>-2</v>
      </c>
      <c r="W13" s="30">
        <f t="shared" si="9"/>
        <v>9</v>
      </c>
    </row>
    <row r="14">
      <c r="A14" s="30">
        <f t="shared" si="7"/>
        <v>10</v>
      </c>
      <c r="B14" s="31" t="s">
        <v>86</v>
      </c>
      <c r="C14" s="32">
        <v>233.0</v>
      </c>
      <c r="D14" s="32">
        <v>17.0</v>
      </c>
      <c r="E14" s="35">
        <f t="shared" si="2"/>
        <v>12.28571429</v>
      </c>
      <c r="F14" s="37">
        <v>2.0</v>
      </c>
      <c r="G14" s="39">
        <v>1.0</v>
      </c>
      <c r="H14" s="40">
        <v>0.0</v>
      </c>
      <c r="I14" s="39">
        <v>1.0</v>
      </c>
      <c r="J14" s="39">
        <v>6.0</v>
      </c>
      <c r="K14" s="39">
        <v>1.0</v>
      </c>
      <c r="L14" s="42">
        <v>8.0</v>
      </c>
      <c r="M14" s="39">
        <v>1.0</v>
      </c>
      <c r="N14" s="32">
        <f t="shared" ref="N14:O14" si="16">C14+L14</f>
        <v>241</v>
      </c>
      <c r="O14" s="32">
        <f t="shared" si="16"/>
        <v>18</v>
      </c>
      <c r="P14" s="43" t="s">
        <v>53</v>
      </c>
      <c r="Q14" s="43" t="s">
        <v>53</v>
      </c>
      <c r="R14" s="43"/>
      <c r="S14" s="39">
        <f t="shared" si="4"/>
        <v>4</v>
      </c>
      <c r="T14" s="39"/>
      <c r="U14" s="39">
        <f t="shared" si="5"/>
        <v>1</v>
      </c>
      <c r="V14" s="39">
        <f t="shared" si="6"/>
        <v>-1</v>
      </c>
      <c r="W14" s="30">
        <f t="shared" si="9"/>
        <v>10</v>
      </c>
    </row>
    <row r="15">
      <c r="A15" s="30">
        <f t="shared" si="7"/>
        <v>11</v>
      </c>
      <c r="B15" s="31" t="s">
        <v>68</v>
      </c>
      <c r="C15" s="32">
        <v>231.0</v>
      </c>
      <c r="D15" s="32">
        <v>20.0</v>
      </c>
      <c r="E15" s="35">
        <f t="shared" si="2"/>
        <v>12.71428571</v>
      </c>
      <c r="F15" s="37">
        <v>1.0</v>
      </c>
      <c r="G15" s="39">
        <v>2.0</v>
      </c>
      <c r="H15" s="40">
        <v>0.0</v>
      </c>
      <c r="I15" s="39">
        <v>6.0</v>
      </c>
      <c r="J15" s="39">
        <v>3.0</v>
      </c>
      <c r="K15" s="39">
        <v>4.0</v>
      </c>
      <c r="L15" s="42">
        <v>13.0</v>
      </c>
      <c r="M15" s="39">
        <v>1.0</v>
      </c>
      <c r="N15" s="32">
        <f t="shared" ref="N15:O15" si="17">C15+L15</f>
        <v>244</v>
      </c>
      <c r="O15" s="32">
        <f t="shared" si="17"/>
        <v>21</v>
      </c>
      <c r="P15" s="43" t="s">
        <v>53</v>
      </c>
      <c r="Q15" s="43" t="s">
        <v>53</v>
      </c>
      <c r="R15" s="43"/>
      <c r="S15" s="39">
        <f t="shared" si="4"/>
        <v>2</v>
      </c>
      <c r="T15" s="39"/>
      <c r="U15" s="39">
        <f t="shared" si="5"/>
        <v>3</v>
      </c>
      <c r="V15" s="39">
        <f t="shared" si="6"/>
        <v>4</v>
      </c>
      <c r="W15" s="30">
        <f t="shared" si="9"/>
        <v>11</v>
      </c>
    </row>
    <row r="16">
      <c r="A16" s="30">
        <f t="shared" si="7"/>
        <v>12</v>
      </c>
      <c r="B16" s="51" t="s">
        <v>87</v>
      </c>
      <c r="C16" s="32">
        <v>231.0</v>
      </c>
      <c r="D16" s="32">
        <v>20.0</v>
      </c>
      <c r="E16" s="35">
        <f t="shared" si="2"/>
        <v>12.14285714</v>
      </c>
      <c r="F16" s="37">
        <v>5.0</v>
      </c>
      <c r="G16" s="39">
        <v>0.0</v>
      </c>
      <c r="H16" s="40">
        <v>13.0</v>
      </c>
      <c r="I16" s="39">
        <v>0.0</v>
      </c>
      <c r="J16" s="39">
        <v>0.0</v>
      </c>
      <c r="K16" s="39">
        <v>0.0</v>
      </c>
      <c r="L16" s="42">
        <v>13.0</v>
      </c>
      <c r="M16" s="39">
        <v>0.0</v>
      </c>
      <c r="N16" s="32">
        <f t="shared" ref="N16:O16" si="18">C16+L16</f>
        <v>244</v>
      </c>
      <c r="O16" s="32">
        <f t="shared" si="18"/>
        <v>20</v>
      </c>
      <c r="P16" s="43" t="s">
        <v>53</v>
      </c>
      <c r="Q16" s="43" t="s">
        <v>53</v>
      </c>
      <c r="R16" s="43"/>
      <c r="S16" s="39">
        <f t="shared" si="4"/>
        <v>4</v>
      </c>
      <c r="T16" s="39"/>
      <c r="U16" s="39">
        <f t="shared" si="5"/>
        <v>1</v>
      </c>
      <c r="V16" s="39">
        <f t="shared" si="6"/>
        <v>-1</v>
      </c>
      <c r="W16" s="30">
        <f t="shared" si="9"/>
        <v>12</v>
      </c>
    </row>
    <row r="17">
      <c r="A17" s="30">
        <f t="shared" si="7"/>
        <v>13</v>
      </c>
      <c r="B17" s="31" t="s">
        <v>57</v>
      </c>
      <c r="C17" s="32">
        <v>231.0</v>
      </c>
      <c r="D17" s="32">
        <v>19.0</v>
      </c>
      <c r="E17" s="35">
        <f t="shared" si="2"/>
        <v>13</v>
      </c>
      <c r="F17" s="37">
        <v>5.0</v>
      </c>
      <c r="G17" s="39">
        <v>0.0</v>
      </c>
      <c r="H17" s="40">
        <v>13.0</v>
      </c>
      <c r="I17" s="39">
        <v>0.0</v>
      </c>
      <c r="J17" s="39">
        <v>0.0</v>
      </c>
      <c r="K17" s="39">
        <v>0.0</v>
      </c>
      <c r="L17" s="42">
        <v>13.0</v>
      </c>
      <c r="M17" s="39">
        <v>0.0</v>
      </c>
      <c r="N17" s="32">
        <f t="shared" ref="N17:O17" si="19">C17+L17</f>
        <v>244</v>
      </c>
      <c r="O17" s="32">
        <f t="shared" si="19"/>
        <v>19</v>
      </c>
      <c r="P17" s="43" t="s">
        <v>53</v>
      </c>
      <c r="Q17" s="43" t="s">
        <v>53</v>
      </c>
      <c r="R17" s="43"/>
      <c r="S17" s="39">
        <f t="shared" si="4"/>
        <v>3</v>
      </c>
      <c r="T17" s="39"/>
      <c r="U17" s="39">
        <f t="shared" si="5"/>
        <v>4</v>
      </c>
      <c r="V17" s="39">
        <f t="shared" si="6"/>
        <v>5</v>
      </c>
      <c r="W17" s="30">
        <f t="shared" si="9"/>
        <v>13</v>
      </c>
    </row>
    <row r="18">
      <c r="A18" s="30">
        <f t="shared" si="7"/>
        <v>14</v>
      </c>
      <c r="B18" s="31" t="s">
        <v>98</v>
      </c>
      <c r="C18" s="32">
        <v>229.0</v>
      </c>
      <c r="D18" s="32">
        <v>17.0</v>
      </c>
      <c r="E18" s="35">
        <f t="shared" si="2"/>
        <v>13.54545455</v>
      </c>
      <c r="F18" s="37">
        <v>1.0</v>
      </c>
      <c r="G18" s="39">
        <v>2.0</v>
      </c>
      <c r="H18" s="40">
        <v>0.0</v>
      </c>
      <c r="I18" s="39">
        <v>2.0</v>
      </c>
      <c r="J18" s="39">
        <v>6.0</v>
      </c>
      <c r="K18" s="39">
        <v>4.0</v>
      </c>
      <c r="L18" s="42">
        <v>12.0</v>
      </c>
      <c r="M18" s="39">
        <v>1.0</v>
      </c>
      <c r="N18" s="32">
        <f t="shared" ref="N18:O18" si="20">C18+L18</f>
        <v>241</v>
      </c>
      <c r="O18" s="32">
        <f t="shared" si="20"/>
        <v>18</v>
      </c>
      <c r="P18" s="43" t="s">
        <v>53</v>
      </c>
      <c r="Q18" s="43" t="s">
        <v>53</v>
      </c>
      <c r="R18" s="43"/>
      <c r="S18" s="39">
        <f t="shared" si="4"/>
        <v>2</v>
      </c>
      <c r="T18" s="39"/>
      <c r="U18" s="39">
        <f t="shared" si="5"/>
        <v>6</v>
      </c>
      <c r="V18" s="39">
        <f t="shared" si="6"/>
        <v>2</v>
      </c>
      <c r="W18" s="30">
        <f t="shared" si="9"/>
        <v>14</v>
      </c>
    </row>
    <row r="19">
      <c r="A19" s="30">
        <f t="shared" si="7"/>
        <v>15</v>
      </c>
      <c r="B19" s="51" t="s">
        <v>78</v>
      </c>
      <c r="C19" s="32">
        <v>228.0</v>
      </c>
      <c r="D19" s="32">
        <v>21.0</v>
      </c>
      <c r="E19" s="35">
        <f t="shared" si="2"/>
        <v>12.16666667</v>
      </c>
      <c r="F19" s="37">
        <v>1.0</v>
      </c>
      <c r="G19" s="39">
        <v>2.0</v>
      </c>
      <c r="H19" s="40">
        <v>0.0</v>
      </c>
      <c r="I19" s="39">
        <v>2.0</v>
      </c>
      <c r="J19" s="39">
        <v>3.0</v>
      </c>
      <c r="K19" s="39">
        <v>6.0</v>
      </c>
      <c r="L19" s="42">
        <v>11.0</v>
      </c>
      <c r="M19" s="39">
        <v>1.0</v>
      </c>
      <c r="N19" s="32">
        <f t="shared" ref="N19:O19" si="21">C19+L19</f>
        <v>239</v>
      </c>
      <c r="O19" s="32">
        <f t="shared" si="21"/>
        <v>22</v>
      </c>
      <c r="P19" s="43" t="s">
        <v>53</v>
      </c>
      <c r="Q19" s="43" t="s">
        <v>53</v>
      </c>
      <c r="R19" s="43"/>
      <c r="S19" s="39">
        <f t="shared" si="4"/>
        <v>0</v>
      </c>
      <c r="T19" s="39"/>
      <c r="U19" s="39">
        <f t="shared" si="5"/>
        <v>1</v>
      </c>
      <c r="V19" s="39">
        <f t="shared" si="6"/>
        <v>-5</v>
      </c>
      <c r="W19" s="30">
        <f t="shared" si="9"/>
        <v>15</v>
      </c>
    </row>
    <row r="20">
      <c r="A20" s="30">
        <f t="shared" si="7"/>
        <v>16</v>
      </c>
      <c r="B20" s="51" t="s">
        <v>85</v>
      </c>
      <c r="C20" s="32">
        <v>227.0</v>
      </c>
      <c r="D20" s="32">
        <v>18.0</v>
      </c>
      <c r="E20" s="35">
        <f t="shared" si="2"/>
        <v>15.22222222</v>
      </c>
      <c r="F20" s="37">
        <v>1.0</v>
      </c>
      <c r="G20" s="39">
        <v>2.0</v>
      </c>
      <c r="H20" s="40">
        <v>0.0</v>
      </c>
      <c r="I20" s="39">
        <v>6.0</v>
      </c>
      <c r="J20" s="39">
        <v>6.0</v>
      </c>
      <c r="K20" s="39">
        <v>6.0</v>
      </c>
      <c r="L20" s="42">
        <v>18.0</v>
      </c>
      <c r="M20" s="39">
        <v>3.0</v>
      </c>
      <c r="N20" s="32">
        <f t="shared" ref="N20:O20" si="22">C20+L20</f>
        <v>245</v>
      </c>
      <c r="O20" s="32">
        <f t="shared" si="22"/>
        <v>21</v>
      </c>
      <c r="P20" s="43" t="s">
        <v>53</v>
      </c>
      <c r="Q20" s="43" t="s">
        <v>53</v>
      </c>
      <c r="R20" s="43"/>
      <c r="S20" s="39">
        <f t="shared" si="4"/>
        <v>0</v>
      </c>
      <c r="T20" s="39"/>
      <c r="U20" s="39">
        <f t="shared" si="5"/>
        <v>10</v>
      </c>
      <c r="V20" s="39">
        <f t="shared" si="6"/>
        <v>-4</v>
      </c>
      <c r="W20" s="30">
        <f t="shared" si="9"/>
        <v>16</v>
      </c>
    </row>
    <row r="21">
      <c r="A21" s="30">
        <f t="shared" si="7"/>
        <v>17</v>
      </c>
      <c r="B21" s="56" t="s">
        <v>65</v>
      </c>
      <c r="C21" s="32">
        <v>227.0</v>
      </c>
      <c r="D21" s="32">
        <v>18.0</v>
      </c>
      <c r="E21" s="35">
        <f t="shared" si="2"/>
        <v>13</v>
      </c>
      <c r="F21" s="37">
        <v>1.0</v>
      </c>
      <c r="G21" s="39">
        <v>3.0</v>
      </c>
      <c r="H21" s="40">
        <v>0.0</v>
      </c>
      <c r="I21" s="39">
        <v>4.0</v>
      </c>
      <c r="J21" s="39">
        <v>1.0</v>
      </c>
      <c r="K21" s="39">
        <v>6.0</v>
      </c>
      <c r="L21" s="42">
        <v>11.0</v>
      </c>
      <c r="M21" s="39">
        <v>1.0</v>
      </c>
      <c r="N21" s="32">
        <f t="shared" ref="N21:O21" si="23">C21+L21</f>
        <v>238</v>
      </c>
      <c r="O21" s="32">
        <f t="shared" si="23"/>
        <v>19</v>
      </c>
      <c r="P21" s="43" t="s">
        <v>53</v>
      </c>
      <c r="Q21" s="43" t="s">
        <v>53</v>
      </c>
      <c r="R21" s="43"/>
      <c r="S21" s="39">
        <f t="shared" si="4"/>
        <v>0</v>
      </c>
      <c r="T21" s="39"/>
      <c r="U21" s="39">
        <f t="shared" si="5"/>
        <v>5</v>
      </c>
      <c r="V21" s="39">
        <f t="shared" si="6"/>
        <v>0</v>
      </c>
      <c r="W21" s="30">
        <f t="shared" si="9"/>
        <v>17</v>
      </c>
    </row>
    <row r="22">
      <c r="A22" s="30">
        <f t="shared" si="7"/>
        <v>18</v>
      </c>
      <c r="B22" s="51" t="s">
        <v>84</v>
      </c>
      <c r="C22" s="32">
        <v>227.0</v>
      </c>
      <c r="D22" s="32">
        <v>16.0</v>
      </c>
      <c r="E22" s="35">
        <f t="shared" si="2"/>
        <v>12.2</v>
      </c>
      <c r="F22" s="37">
        <v>1.0</v>
      </c>
      <c r="G22" s="39">
        <v>3.0</v>
      </c>
      <c r="H22" s="40">
        <v>0.0</v>
      </c>
      <c r="I22" s="39">
        <v>4.0</v>
      </c>
      <c r="J22" s="39">
        <v>6.0</v>
      </c>
      <c r="K22" s="39">
        <v>4.0</v>
      </c>
      <c r="L22" s="42">
        <v>14.0</v>
      </c>
      <c r="M22" s="39">
        <v>1.0</v>
      </c>
      <c r="N22" s="32">
        <f t="shared" ref="N22:O22" si="24">C22+L22</f>
        <v>241</v>
      </c>
      <c r="O22" s="32">
        <f t="shared" si="24"/>
        <v>17</v>
      </c>
      <c r="P22" s="43" t="s">
        <v>53</v>
      </c>
      <c r="Q22" s="43" t="s">
        <v>53</v>
      </c>
      <c r="R22" s="43"/>
      <c r="S22" s="39">
        <f t="shared" si="4"/>
        <v>2</v>
      </c>
      <c r="T22" s="39"/>
      <c r="U22" s="39">
        <f t="shared" si="5"/>
        <v>2</v>
      </c>
      <c r="V22" s="39">
        <f t="shared" si="6"/>
        <v>-5</v>
      </c>
      <c r="W22" s="30">
        <f t="shared" si="9"/>
        <v>18</v>
      </c>
    </row>
    <row r="23">
      <c r="A23" s="30">
        <f t="shared" si="7"/>
        <v>19</v>
      </c>
      <c r="B23" s="51" t="s">
        <v>93</v>
      </c>
      <c r="C23" s="32">
        <v>226.0</v>
      </c>
      <c r="D23" s="32">
        <v>18.0</v>
      </c>
      <c r="E23" s="35">
        <f t="shared" si="2"/>
        <v>12.05555556</v>
      </c>
      <c r="F23" s="37">
        <v>1.0</v>
      </c>
      <c r="G23" s="39">
        <v>3.0</v>
      </c>
      <c r="H23" s="40">
        <v>0.0</v>
      </c>
      <c r="I23" s="39">
        <v>6.0</v>
      </c>
      <c r="J23" s="39">
        <v>1.0</v>
      </c>
      <c r="K23" s="39">
        <v>4.0</v>
      </c>
      <c r="L23" s="42">
        <v>11.0</v>
      </c>
      <c r="M23" s="39">
        <v>1.0</v>
      </c>
      <c r="N23" s="32">
        <f t="shared" ref="N23:O23" si="25">C23+L23</f>
        <v>237</v>
      </c>
      <c r="O23" s="32">
        <f t="shared" si="25"/>
        <v>19</v>
      </c>
      <c r="P23" s="43" t="s">
        <v>53</v>
      </c>
      <c r="Q23" s="43" t="s">
        <v>53</v>
      </c>
      <c r="R23" s="43"/>
      <c r="S23" s="39">
        <f t="shared" si="4"/>
        <v>0</v>
      </c>
      <c r="T23" s="39"/>
      <c r="U23" s="39">
        <f t="shared" si="5"/>
        <v>1</v>
      </c>
      <c r="V23" s="39">
        <f t="shared" si="6"/>
        <v>1</v>
      </c>
      <c r="W23" s="30">
        <f t="shared" si="9"/>
        <v>19</v>
      </c>
    </row>
    <row r="24">
      <c r="A24" s="30">
        <f t="shared" si="7"/>
        <v>20</v>
      </c>
      <c r="B24" s="31" t="s">
        <v>90</v>
      </c>
      <c r="C24" s="32">
        <v>224.0</v>
      </c>
      <c r="D24" s="32">
        <v>16.0</v>
      </c>
      <c r="E24" s="35">
        <f t="shared" si="2"/>
        <v>13.1</v>
      </c>
      <c r="F24" s="37">
        <v>3.0</v>
      </c>
      <c r="G24" s="39">
        <v>0.0</v>
      </c>
      <c r="H24" s="40">
        <v>9.0</v>
      </c>
      <c r="I24" s="39">
        <v>0.0</v>
      </c>
      <c r="J24" s="39">
        <v>0.0</v>
      </c>
      <c r="K24" s="39">
        <v>0.0</v>
      </c>
      <c r="L24" s="42">
        <v>9.0</v>
      </c>
      <c r="M24" s="39">
        <v>0.0</v>
      </c>
      <c r="N24" s="32">
        <f t="shared" ref="N24:O24" si="26">C24+L24</f>
        <v>233</v>
      </c>
      <c r="O24" s="32">
        <f t="shared" si="26"/>
        <v>16</v>
      </c>
      <c r="P24" s="43" t="s">
        <v>53</v>
      </c>
      <c r="Q24" s="43" t="s">
        <v>53</v>
      </c>
      <c r="R24" s="43"/>
      <c r="S24" s="39">
        <f t="shared" si="4"/>
        <v>3</v>
      </c>
      <c r="T24" s="39"/>
      <c r="U24" s="39">
        <f t="shared" si="5"/>
        <v>6</v>
      </c>
      <c r="V24" s="39">
        <f t="shared" si="6"/>
        <v>2</v>
      </c>
      <c r="W24" s="30">
        <f t="shared" si="9"/>
        <v>20</v>
      </c>
    </row>
    <row r="25">
      <c r="A25" s="30">
        <f t="shared" si="7"/>
        <v>21</v>
      </c>
      <c r="B25" s="31" t="s">
        <v>83</v>
      </c>
      <c r="C25" s="32">
        <v>222.0</v>
      </c>
      <c r="D25" s="32">
        <v>17.0</v>
      </c>
      <c r="E25" s="35">
        <f t="shared" si="2"/>
        <v>14.1</v>
      </c>
      <c r="F25" s="37">
        <v>1.0</v>
      </c>
      <c r="G25" s="39">
        <v>3.0</v>
      </c>
      <c r="H25" s="40">
        <v>0.0</v>
      </c>
      <c r="I25" s="39">
        <v>6.0</v>
      </c>
      <c r="J25" s="39">
        <v>6.0</v>
      </c>
      <c r="K25" s="39">
        <v>6.0</v>
      </c>
      <c r="L25" s="42">
        <v>18.0</v>
      </c>
      <c r="M25" s="39">
        <v>3.0</v>
      </c>
      <c r="N25" s="32">
        <f t="shared" ref="N25:O25" si="27">C25+L25</f>
        <v>240</v>
      </c>
      <c r="O25" s="32">
        <f t="shared" si="27"/>
        <v>20</v>
      </c>
      <c r="P25" s="43" t="s">
        <v>53</v>
      </c>
      <c r="Q25" s="43" t="s">
        <v>53</v>
      </c>
      <c r="R25" s="43"/>
      <c r="S25" s="39">
        <f t="shared" si="4"/>
        <v>0</v>
      </c>
      <c r="T25" s="39"/>
      <c r="U25" s="39">
        <f t="shared" si="5"/>
        <v>9</v>
      </c>
      <c r="V25" s="39">
        <f t="shared" si="6"/>
        <v>2</v>
      </c>
      <c r="W25" s="30">
        <f t="shared" si="9"/>
        <v>21</v>
      </c>
    </row>
    <row r="26">
      <c r="A26" s="30">
        <f t="shared" si="7"/>
        <v>22</v>
      </c>
      <c r="B26" s="51" t="s">
        <v>94</v>
      </c>
      <c r="C26" s="32">
        <v>222.0</v>
      </c>
      <c r="D26" s="32">
        <v>13.0</v>
      </c>
      <c r="E26" s="35">
        <f t="shared" si="2"/>
        <v>13.3</v>
      </c>
      <c r="F26" s="37">
        <v>3.0</v>
      </c>
      <c r="G26" s="39">
        <v>0.0</v>
      </c>
      <c r="H26" s="40">
        <v>9.0</v>
      </c>
      <c r="I26" s="39">
        <v>0.0</v>
      </c>
      <c r="J26" s="39">
        <v>0.0</v>
      </c>
      <c r="K26" s="39">
        <v>0.0</v>
      </c>
      <c r="L26" s="42">
        <v>9.0</v>
      </c>
      <c r="M26" s="39">
        <v>0.0</v>
      </c>
      <c r="N26" s="32">
        <f t="shared" ref="N26:O26" si="28">C26+L26</f>
        <v>231</v>
      </c>
      <c r="O26" s="32">
        <f t="shared" si="28"/>
        <v>13</v>
      </c>
      <c r="P26" s="43" t="s">
        <v>53</v>
      </c>
      <c r="Q26" s="43" t="s">
        <v>53</v>
      </c>
      <c r="R26" s="43"/>
      <c r="S26" s="39">
        <f t="shared" si="4"/>
        <v>2</v>
      </c>
      <c r="T26" s="39"/>
      <c r="U26" s="39">
        <f t="shared" si="5"/>
        <v>7</v>
      </c>
      <c r="V26" s="39">
        <f t="shared" si="6"/>
        <v>-3</v>
      </c>
      <c r="W26" s="30">
        <f t="shared" si="9"/>
        <v>22</v>
      </c>
    </row>
    <row r="27">
      <c r="A27" s="30">
        <f t="shared" si="7"/>
        <v>23</v>
      </c>
      <c r="B27" s="51" t="s">
        <v>95</v>
      </c>
      <c r="C27" s="32">
        <v>221.0</v>
      </c>
      <c r="D27" s="32">
        <v>16.0</v>
      </c>
      <c r="E27" s="35">
        <f t="shared" si="2"/>
        <v>14.11111111</v>
      </c>
      <c r="F27" s="37">
        <v>1.0</v>
      </c>
      <c r="G27" s="39">
        <v>4.0</v>
      </c>
      <c r="H27" s="40">
        <v>0.0</v>
      </c>
      <c r="I27" s="39">
        <v>6.0</v>
      </c>
      <c r="J27" s="39">
        <v>2.0</v>
      </c>
      <c r="K27" s="39">
        <v>1.0</v>
      </c>
      <c r="L27" s="42">
        <v>9.0</v>
      </c>
      <c r="M27" s="39">
        <v>1.0</v>
      </c>
      <c r="N27" s="32">
        <f t="shared" ref="N27:O27" si="29">C27+L27</f>
        <v>230</v>
      </c>
      <c r="O27" s="32">
        <f t="shared" si="29"/>
        <v>17</v>
      </c>
      <c r="P27" s="43" t="s">
        <v>53</v>
      </c>
      <c r="Q27" s="43" t="s">
        <v>53</v>
      </c>
      <c r="R27" s="43"/>
      <c r="S27" s="39">
        <f t="shared" si="4"/>
        <v>1</v>
      </c>
      <c r="T27" s="39"/>
      <c r="U27" s="39">
        <f t="shared" si="5"/>
        <v>9</v>
      </c>
      <c r="V27" s="39">
        <f t="shared" si="6"/>
        <v>-2</v>
      </c>
      <c r="W27" s="30">
        <f t="shared" si="9"/>
        <v>23</v>
      </c>
    </row>
    <row r="28">
      <c r="A28" s="30">
        <f t="shared" si="7"/>
        <v>24</v>
      </c>
      <c r="B28" s="31" t="s">
        <v>89</v>
      </c>
      <c r="C28" s="32">
        <v>220.0</v>
      </c>
      <c r="D28" s="32">
        <v>12.0</v>
      </c>
      <c r="E28" s="35">
        <f t="shared" si="2"/>
        <v>14.8</v>
      </c>
      <c r="F28" s="37">
        <v>3.0</v>
      </c>
      <c r="G28" s="39">
        <v>0.0</v>
      </c>
      <c r="H28" s="40">
        <v>9.0</v>
      </c>
      <c r="I28" s="39">
        <v>0.0</v>
      </c>
      <c r="J28" s="39">
        <v>0.0</v>
      </c>
      <c r="K28" s="39">
        <v>0.0</v>
      </c>
      <c r="L28" s="42">
        <v>9.0</v>
      </c>
      <c r="M28" s="39">
        <v>0.0</v>
      </c>
      <c r="N28" s="32">
        <f t="shared" ref="N28:O28" si="30">C28+L28</f>
        <v>229</v>
      </c>
      <c r="O28" s="32">
        <f t="shared" si="30"/>
        <v>12</v>
      </c>
      <c r="P28" s="43" t="s">
        <v>53</v>
      </c>
      <c r="Q28" s="43" t="s">
        <v>53</v>
      </c>
      <c r="R28" s="43"/>
      <c r="S28" s="39">
        <f t="shared" si="4"/>
        <v>5</v>
      </c>
      <c r="T28" s="39"/>
      <c r="U28" s="39">
        <f t="shared" si="5"/>
        <v>9</v>
      </c>
      <c r="V28" s="39">
        <f t="shared" si="6"/>
        <v>3</v>
      </c>
      <c r="W28" s="30">
        <f t="shared" si="9"/>
        <v>24</v>
      </c>
    </row>
    <row r="29">
      <c r="A29" s="30">
        <f t="shared" si="7"/>
        <v>25</v>
      </c>
      <c r="B29" s="31" t="s">
        <v>96</v>
      </c>
      <c r="C29" s="32">
        <v>219.0</v>
      </c>
      <c r="D29" s="32">
        <v>17.0</v>
      </c>
      <c r="E29" s="35">
        <f t="shared" si="2"/>
        <v>13.44444444</v>
      </c>
      <c r="F29" s="37">
        <v>3.0</v>
      </c>
      <c r="G29" s="39">
        <v>0.0</v>
      </c>
      <c r="H29" s="40">
        <v>9.0</v>
      </c>
      <c r="I29" s="39">
        <v>0.0</v>
      </c>
      <c r="J29" s="39">
        <v>0.0</v>
      </c>
      <c r="K29" s="39">
        <v>0.0</v>
      </c>
      <c r="L29" s="42">
        <v>9.0</v>
      </c>
      <c r="M29" s="39">
        <v>0.0</v>
      </c>
      <c r="N29" s="32">
        <f t="shared" ref="N29:O29" si="31">C29+L29</f>
        <v>228</v>
      </c>
      <c r="O29" s="32">
        <f t="shared" si="31"/>
        <v>17</v>
      </c>
      <c r="P29" s="43" t="s">
        <v>53</v>
      </c>
      <c r="Q29" s="43" t="s">
        <v>53</v>
      </c>
      <c r="R29" s="43"/>
      <c r="S29" s="39">
        <f t="shared" si="4"/>
        <v>2</v>
      </c>
      <c r="T29" s="39"/>
      <c r="U29" s="39">
        <f t="shared" si="5"/>
        <v>8</v>
      </c>
      <c r="V29" s="39">
        <f t="shared" si="6"/>
        <v>-1</v>
      </c>
      <c r="W29" s="30">
        <f t="shared" si="9"/>
        <v>25</v>
      </c>
    </row>
    <row r="30">
      <c r="A30" s="30">
        <f t="shared" si="7"/>
        <v>26</v>
      </c>
      <c r="B30" s="31" t="s">
        <v>63</v>
      </c>
      <c r="C30" s="32">
        <v>218.0</v>
      </c>
      <c r="D30" s="32">
        <v>16.0</v>
      </c>
      <c r="E30" s="35">
        <f t="shared" si="2"/>
        <v>14.57142857</v>
      </c>
      <c r="F30" s="37">
        <v>1.0</v>
      </c>
      <c r="G30" s="39">
        <v>4.0</v>
      </c>
      <c r="H30" s="40">
        <v>0.0</v>
      </c>
      <c r="I30" s="39">
        <v>6.0</v>
      </c>
      <c r="J30" s="39">
        <v>6.0</v>
      </c>
      <c r="K30" s="39">
        <v>6.0</v>
      </c>
      <c r="L30" s="42">
        <v>18.0</v>
      </c>
      <c r="M30" s="39">
        <v>3.0</v>
      </c>
      <c r="N30" s="32">
        <f t="shared" ref="N30:O30" si="32">C30+L30</f>
        <v>236</v>
      </c>
      <c r="O30" s="32">
        <f t="shared" si="32"/>
        <v>19</v>
      </c>
      <c r="P30" s="43" t="s">
        <v>53</v>
      </c>
      <c r="Q30" s="43" t="s">
        <v>53</v>
      </c>
      <c r="R30" s="43"/>
      <c r="S30" s="39">
        <f t="shared" si="4"/>
        <v>2</v>
      </c>
      <c r="T30" s="39"/>
      <c r="U30" s="39">
        <f t="shared" si="5"/>
        <v>10</v>
      </c>
      <c r="V30" s="39">
        <f t="shared" si="6"/>
        <v>-1</v>
      </c>
      <c r="W30" s="30">
        <f t="shared" si="9"/>
        <v>26</v>
      </c>
    </row>
    <row r="31">
      <c r="A31" s="30">
        <f t="shared" si="7"/>
        <v>27</v>
      </c>
      <c r="B31" s="31" t="s">
        <v>105</v>
      </c>
      <c r="C31" s="32">
        <v>211.0</v>
      </c>
      <c r="D31" s="32">
        <v>10.0</v>
      </c>
      <c r="E31" s="35">
        <f t="shared" si="2"/>
        <v>13</v>
      </c>
      <c r="F31" s="37">
        <v>3.0</v>
      </c>
      <c r="G31" s="39">
        <v>0.0</v>
      </c>
      <c r="H31" s="40">
        <v>9.0</v>
      </c>
      <c r="I31" s="39">
        <v>0.0</v>
      </c>
      <c r="J31" s="39">
        <v>0.0</v>
      </c>
      <c r="K31" s="39">
        <v>0.0</v>
      </c>
      <c r="L31" s="42">
        <v>9.0</v>
      </c>
      <c r="M31" s="39">
        <v>0.0</v>
      </c>
      <c r="N31" s="32">
        <f t="shared" ref="N31:O31" si="33">C31+L31</f>
        <v>220</v>
      </c>
      <c r="O31" s="32">
        <f t="shared" si="33"/>
        <v>10</v>
      </c>
      <c r="P31" s="43" t="s">
        <v>53</v>
      </c>
      <c r="Q31" s="43" t="s">
        <v>53</v>
      </c>
      <c r="R31" s="43"/>
      <c r="S31" s="39">
        <f t="shared" si="4"/>
        <v>1</v>
      </c>
      <c r="T31" s="39"/>
      <c r="U31" s="39">
        <f t="shared" si="5"/>
        <v>9</v>
      </c>
      <c r="V31" s="39">
        <f t="shared" si="6"/>
        <v>1</v>
      </c>
      <c r="W31" s="30">
        <f t="shared" si="9"/>
        <v>27</v>
      </c>
    </row>
    <row r="32">
      <c r="A32" s="30">
        <f t="shared" si="7"/>
        <v>28</v>
      </c>
      <c r="B32" s="51" t="s">
        <v>76</v>
      </c>
      <c r="C32" s="32">
        <v>209.0</v>
      </c>
      <c r="D32" s="32">
        <v>19.0</v>
      </c>
      <c r="E32" s="35">
        <f t="shared" si="2"/>
        <v>12.16666667</v>
      </c>
      <c r="F32" s="37">
        <v>1.0</v>
      </c>
      <c r="G32" s="39">
        <v>4.0</v>
      </c>
      <c r="H32" s="40">
        <v>0.0</v>
      </c>
      <c r="I32" s="39">
        <v>1.0</v>
      </c>
      <c r="J32" s="39">
        <v>6.0</v>
      </c>
      <c r="K32" s="39">
        <v>1.0</v>
      </c>
      <c r="L32" s="42">
        <v>8.0</v>
      </c>
      <c r="M32" s="39">
        <v>1.0</v>
      </c>
      <c r="N32" s="32">
        <f t="shared" ref="N32:O32" si="34">C32+L32</f>
        <v>217</v>
      </c>
      <c r="O32" s="32">
        <f t="shared" si="34"/>
        <v>20</v>
      </c>
      <c r="P32" s="43" t="s">
        <v>53</v>
      </c>
      <c r="Q32" s="43" t="s">
        <v>53</v>
      </c>
      <c r="R32" s="43"/>
      <c r="S32" s="39">
        <f t="shared" si="4"/>
        <v>0</v>
      </c>
      <c r="T32" s="39"/>
      <c r="U32" s="39">
        <f t="shared" si="5"/>
        <v>7</v>
      </c>
      <c r="V32" s="39">
        <f t="shared" si="6"/>
        <v>7</v>
      </c>
      <c r="W32" s="30">
        <f t="shared" si="9"/>
        <v>28</v>
      </c>
    </row>
    <row r="33">
      <c r="A33" s="30">
        <f t="shared" si="7"/>
        <v>29</v>
      </c>
      <c r="B33" s="51" t="s">
        <v>99</v>
      </c>
      <c r="C33" s="32">
        <v>209.0</v>
      </c>
      <c r="D33" s="32">
        <v>17.0</v>
      </c>
      <c r="E33" s="35">
        <f t="shared" si="2"/>
        <v>11.53333333</v>
      </c>
      <c r="F33" s="37">
        <v>3.0</v>
      </c>
      <c r="G33" s="39">
        <v>0.0</v>
      </c>
      <c r="H33" s="40">
        <v>9.0</v>
      </c>
      <c r="I33" s="39">
        <v>0.0</v>
      </c>
      <c r="J33" s="39">
        <v>0.0</v>
      </c>
      <c r="K33" s="39">
        <v>0.0</v>
      </c>
      <c r="L33" s="42">
        <v>9.0</v>
      </c>
      <c r="M33" s="39">
        <v>0.0</v>
      </c>
      <c r="N33" s="32">
        <f t="shared" ref="N33:O33" si="35">C33+L33</f>
        <v>218</v>
      </c>
      <c r="O33" s="32">
        <f t="shared" si="35"/>
        <v>17</v>
      </c>
      <c r="P33" s="43" t="s">
        <v>53</v>
      </c>
      <c r="Q33" s="43"/>
      <c r="R33" s="43"/>
      <c r="S33" s="39">
        <f t="shared" si="4"/>
        <v>0</v>
      </c>
      <c r="T33" s="39"/>
      <c r="U33" s="39">
        <f t="shared" si="5"/>
        <v>4</v>
      </c>
      <c r="V33" s="39">
        <f t="shared" si="6"/>
        <v>1</v>
      </c>
      <c r="W33" s="30">
        <f t="shared" si="9"/>
        <v>29</v>
      </c>
    </row>
    <row r="34">
      <c r="A34" s="30">
        <f t="shared" si="7"/>
        <v>30</v>
      </c>
      <c r="B34" s="51" t="s">
        <v>103</v>
      </c>
      <c r="C34" s="32">
        <v>209.0</v>
      </c>
      <c r="D34" s="32">
        <v>14.0</v>
      </c>
      <c r="E34" s="35">
        <f t="shared" si="2"/>
        <v>12.77777778</v>
      </c>
      <c r="F34" s="37">
        <v>1.0</v>
      </c>
      <c r="G34" s="39">
        <v>4.0</v>
      </c>
      <c r="H34" s="40">
        <v>0.0</v>
      </c>
      <c r="I34" s="39">
        <v>1.0</v>
      </c>
      <c r="J34" s="39">
        <v>2.0</v>
      </c>
      <c r="K34" s="39">
        <v>6.0</v>
      </c>
      <c r="L34" s="42">
        <v>9.0</v>
      </c>
      <c r="M34" s="39">
        <v>1.0</v>
      </c>
      <c r="N34" s="32">
        <f t="shared" ref="N34:O34" si="36">C34+L34</f>
        <v>218</v>
      </c>
      <c r="O34" s="32">
        <f t="shared" si="36"/>
        <v>15</v>
      </c>
      <c r="P34" s="43" t="s">
        <v>53</v>
      </c>
      <c r="Q34" s="43" t="s">
        <v>53</v>
      </c>
      <c r="R34" s="43"/>
      <c r="S34" s="39">
        <f t="shared" si="4"/>
        <v>1</v>
      </c>
      <c r="T34" s="39"/>
      <c r="U34" s="39">
        <f t="shared" si="5"/>
        <v>9</v>
      </c>
      <c r="V34" s="39">
        <f t="shared" si="6"/>
        <v>2</v>
      </c>
      <c r="W34" s="30">
        <f t="shared" si="9"/>
        <v>30</v>
      </c>
    </row>
    <row r="35">
      <c r="A35" s="30">
        <f t="shared" si="7"/>
        <v>31</v>
      </c>
      <c r="B35" s="56" t="s">
        <v>101</v>
      </c>
      <c r="C35" s="32">
        <v>209.0</v>
      </c>
      <c r="D35" s="32">
        <v>14.0</v>
      </c>
      <c r="E35" s="35">
        <f t="shared" si="2"/>
        <v>12.16666667</v>
      </c>
      <c r="F35" s="37">
        <v>1.0</v>
      </c>
      <c r="G35" s="39">
        <v>5.0</v>
      </c>
      <c r="H35" s="40">
        <v>0.0</v>
      </c>
      <c r="I35" s="39">
        <v>6.0</v>
      </c>
      <c r="J35" s="39">
        <v>7.0</v>
      </c>
      <c r="K35" s="39">
        <v>3.0</v>
      </c>
      <c r="L35" s="42">
        <v>16.0</v>
      </c>
      <c r="M35" s="39">
        <v>1.0</v>
      </c>
      <c r="N35" s="32">
        <f t="shared" ref="N35:O35" si="37">C35+L35</f>
        <v>225</v>
      </c>
      <c r="O35" s="32">
        <f t="shared" si="37"/>
        <v>15</v>
      </c>
      <c r="P35" s="43" t="s">
        <v>53</v>
      </c>
      <c r="Q35" s="43" t="s">
        <v>53</v>
      </c>
      <c r="R35" s="43"/>
      <c r="S35" s="39">
        <f t="shared" si="4"/>
        <v>0</v>
      </c>
      <c r="T35" s="39"/>
      <c r="U35" s="39">
        <f t="shared" si="5"/>
        <v>7</v>
      </c>
      <c r="V35" s="39">
        <f t="shared" si="6"/>
        <v>-5</v>
      </c>
      <c r="W35" s="30">
        <f t="shared" si="9"/>
        <v>31</v>
      </c>
    </row>
    <row r="36">
      <c r="A36" s="30">
        <f t="shared" si="7"/>
        <v>32</v>
      </c>
      <c r="B36" s="31" t="s">
        <v>109</v>
      </c>
      <c r="C36" s="32">
        <v>208.0</v>
      </c>
      <c r="D36" s="32">
        <v>9.0</v>
      </c>
      <c r="E36" s="35">
        <f t="shared" si="2"/>
        <v>14.25</v>
      </c>
      <c r="F36" s="37">
        <v>3.0</v>
      </c>
      <c r="G36" s="39">
        <v>0.0</v>
      </c>
      <c r="H36" s="40">
        <v>9.0</v>
      </c>
      <c r="I36" s="39">
        <v>0.0</v>
      </c>
      <c r="J36" s="39">
        <v>0.0</v>
      </c>
      <c r="K36" s="39">
        <v>0.0</v>
      </c>
      <c r="L36" s="42">
        <v>9.0</v>
      </c>
      <c r="M36" s="39">
        <v>0.0</v>
      </c>
      <c r="N36" s="32">
        <f t="shared" ref="N36:O36" si="38">C36+L36</f>
        <v>217</v>
      </c>
      <c r="O36" s="32">
        <f t="shared" si="38"/>
        <v>9</v>
      </c>
      <c r="P36" s="43" t="s">
        <v>53</v>
      </c>
      <c r="Q36" s="43" t="s">
        <v>53</v>
      </c>
      <c r="R36" s="43"/>
      <c r="S36" s="39">
        <f t="shared" si="4"/>
        <v>4</v>
      </c>
      <c r="T36" s="39"/>
      <c r="U36" s="39">
        <f t="shared" si="5"/>
        <v>11</v>
      </c>
      <c r="V36" s="39">
        <f t="shared" si="6"/>
        <v>-1</v>
      </c>
      <c r="W36" s="30">
        <f t="shared" si="9"/>
        <v>32</v>
      </c>
    </row>
    <row r="37">
      <c r="A37" s="30">
        <f t="shared" si="7"/>
        <v>33</v>
      </c>
      <c r="B37" s="51" t="s">
        <v>104</v>
      </c>
      <c r="C37" s="32">
        <v>206.0</v>
      </c>
      <c r="D37" s="32">
        <v>19.0</v>
      </c>
      <c r="E37" s="35">
        <f t="shared" si="2"/>
        <v>11.1875</v>
      </c>
      <c r="F37" s="37">
        <v>3.0</v>
      </c>
      <c r="G37" s="39">
        <v>0.0</v>
      </c>
      <c r="H37" s="40">
        <v>9.0</v>
      </c>
      <c r="I37" s="39">
        <v>0.0</v>
      </c>
      <c r="J37" s="39">
        <v>0.0</v>
      </c>
      <c r="K37" s="39">
        <v>0.0</v>
      </c>
      <c r="L37" s="42">
        <v>9.0</v>
      </c>
      <c r="M37" s="39">
        <v>0.0</v>
      </c>
      <c r="N37" s="32">
        <f t="shared" ref="N37:O37" si="39">C37+L37</f>
        <v>215</v>
      </c>
      <c r="O37" s="32">
        <f t="shared" si="39"/>
        <v>19</v>
      </c>
      <c r="P37" s="43" t="s">
        <v>53</v>
      </c>
      <c r="Q37" s="43" t="s">
        <v>53</v>
      </c>
      <c r="R37" s="43"/>
      <c r="S37" s="39">
        <f t="shared" si="4"/>
        <v>0</v>
      </c>
      <c r="T37" s="39"/>
      <c r="U37" s="39">
        <f t="shared" si="5"/>
        <v>3</v>
      </c>
      <c r="V37" s="39">
        <f t="shared" si="6"/>
        <v>-4</v>
      </c>
      <c r="W37" s="30">
        <f t="shared" si="9"/>
        <v>33</v>
      </c>
    </row>
    <row r="38">
      <c r="A38" s="30">
        <f t="shared" si="7"/>
        <v>34</v>
      </c>
      <c r="B38" s="31" t="s">
        <v>73</v>
      </c>
      <c r="C38" s="32">
        <v>204.0</v>
      </c>
      <c r="D38" s="32">
        <v>12.0</v>
      </c>
      <c r="E38" s="35">
        <f t="shared" si="2"/>
        <v>11.33333333</v>
      </c>
      <c r="F38" s="37">
        <v>2.0</v>
      </c>
      <c r="G38" s="39">
        <v>5.0</v>
      </c>
      <c r="H38" s="40">
        <v>0.0</v>
      </c>
      <c r="I38" s="39">
        <v>6.0</v>
      </c>
      <c r="J38" s="39">
        <v>6.0</v>
      </c>
      <c r="K38" s="39">
        <v>6.0</v>
      </c>
      <c r="L38" s="42">
        <v>18.0</v>
      </c>
      <c r="M38" s="39">
        <v>1.0</v>
      </c>
      <c r="N38" s="32">
        <f t="shared" ref="N38:O38" si="40">C38+L38</f>
        <v>222</v>
      </c>
      <c r="O38" s="32">
        <f t="shared" si="40"/>
        <v>13</v>
      </c>
      <c r="P38" s="43" t="s">
        <v>53</v>
      </c>
      <c r="Q38" s="43" t="s">
        <v>53</v>
      </c>
      <c r="R38" s="43"/>
      <c r="S38" s="39">
        <f t="shared" si="4"/>
        <v>3</v>
      </c>
      <c r="T38" s="39"/>
      <c r="U38" s="39">
        <f t="shared" si="5"/>
        <v>7</v>
      </c>
      <c r="V38" s="39">
        <f t="shared" si="6"/>
        <v>-1</v>
      </c>
      <c r="W38" s="30">
        <f t="shared" si="9"/>
        <v>34</v>
      </c>
    </row>
    <row r="39">
      <c r="A39" s="30">
        <f t="shared" si="7"/>
        <v>35</v>
      </c>
      <c r="B39" s="31" t="s">
        <v>46</v>
      </c>
      <c r="C39" s="32">
        <v>201.0</v>
      </c>
      <c r="D39" s="32">
        <v>15.0</v>
      </c>
      <c r="E39" s="35">
        <f t="shared" si="2"/>
        <v>11.5</v>
      </c>
      <c r="F39" s="37">
        <v>1.0</v>
      </c>
      <c r="G39" s="39">
        <v>5.0</v>
      </c>
      <c r="H39" s="40">
        <v>0.0</v>
      </c>
      <c r="I39" s="39">
        <v>7.0</v>
      </c>
      <c r="J39" s="39">
        <v>6.0</v>
      </c>
      <c r="K39" s="39">
        <v>3.0</v>
      </c>
      <c r="L39" s="42">
        <v>16.0</v>
      </c>
      <c r="M39" s="39">
        <v>1.0</v>
      </c>
      <c r="N39" s="32">
        <f t="shared" ref="N39:O39" si="41">C39+L39</f>
        <v>217</v>
      </c>
      <c r="O39" s="32">
        <f t="shared" si="41"/>
        <v>16</v>
      </c>
      <c r="P39" s="43" t="s">
        <v>53</v>
      </c>
      <c r="Q39" s="43" t="s">
        <v>53</v>
      </c>
      <c r="R39" s="43"/>
      <c r="S39" s="39">
        <f t="shared" si="4"/>
        <v>0</v>
      </c>
      <c r="T39" s="39"/>
      <c r="U39" s="39">
        <f t="shared" si="5"/>
        <v>7</v>
      </c>
      <c r="V39" s="39">
        <f t="shared" si="6"/>
        <v>1</v>
      </c>
      <c r="W39" s="30">
        <f t="shared" si="9"/>
        <v>35</v>
      </c>
    </row>
    <row r="40">
      <c r="A40" s="30">
        <f t="shared" si="7"/>
        <v>36</v>
      </c>
      <c r="B40" s="31" t="s">
        <v>97</v>
      </c>
      <c r="C40" s="32">
        <v>199.0</v>
      </c>
      <c r="D40" s="32">
        <v>12.0</v>
      </c>
      <c r="E40" s="35">
        <f t="shared" si="2"/>
        <v>11.66666667</v>
      </c>
      <c r="F40" s="37">
        <v>1.0</v>
      </c>
      <c r="G40" s="39">
        <v>5.0</v>
      </c>
      <c r="H40" s="40">
        <v>0.0</v>
      </c>
      <c r="I40" s="39">
        <v>7.0</v>
      </c>
      <c r="J40" s="39">
        <v>7.0</v>
      </c>
      <c r="K40" s="39">
        <v>6.0</v>
      </c>
      <c r="L40" s="42">
        <v>20.0</v>
      </c>
      <c r="M40" s="39">
        <v>3.0</v>
      </c>
      <c r="N40" s="32">
        <f t="shared" ref="N40:O40" si="42">C40+L40</f>
        <v>219</v>
      </c>
      <c r="O40" s="32">
        <f t="shared" si="42"/>
        <v>15</v>
      </c>
      <c r="P40" s="43" t="s">
        <v>53</v>
      </c>
      <c r="Q40" s="43" t="s">
        <v>53</v>
      </c>
      <c r="R40" s="43"/>
      <c r="S40" s="39">
        <f t="shared" si="4"/>
        <v>1</v>
      </c>
      <c r="T40" s="39"/>
      <c r="U40" s="39">
        <f t="shared" si="5"/>
        <v>9</v>
      </c>
      <c r="V40" s="39">
        <f t="shared" si="6"/>
        <v>-2</v>
      </c>
      <c r="W40" s="30">
        <f t="shared" si="9"/>
        <v>36</v>
      </c>
    </row>
    <row r="41">
      <c r="A41" s="30">
        <f t="shared" si="7"/>
        <v>37</v>
      </c>
      <c r="B41" s="56" t="s">
        <v>110</v>
      </c>
      <c r="C41" s="32">
        <v>199.0</v>
      </c>
      <c r="D41" s="32">
        <v>9.0</v>
      </c>
      <c r="E41" s="35">
        <f t="shared" si="2"/>
        <v>10.2</v>
      </c>
      <c r="F41" s="37">
        <v>2.0</v>
      </c>
      <c r="G41" s="39">
        <v>6.0</v>
      </c>
      <c r="H41" s="40">
        <v>0.0</v>
      </c>
      <c r="I41" s="39">
        <v>6.0</v>
      </c>
      <c r="J41" s="39">
        <v>2.0</v>
      </c>
      <c r="K41" s="39">
        <v>2.0</v>
      </c>
      <c r="L41" s="42">
        <v>10.0</v>
      </c>
      <c r="M41" s="39">
        <v>1.0</v>
      </c>
      <c r="N41" s="32">
        <f t="shared" ref="N41:O41" si="43">C41+L41</f>
        <v>209</v>
      </c>
      <c r="O41" s="32">
        <f t="shared" si="43"/>
        <v>10</v>
      </c>
      <c r="P41" s="43" t="s">
        <v>53</v>
      </c>
      <c r="Q41" s="43" t="s">
        <v>53</v>
      </c>
      <c r="R41" s="43"/>
      <c r="S41" s="39">
        <f t="shared" si="4"/>
        <v>4</v>
      </c>
      <c r="T41" s="39"/>
      <c r="U41" s="39">
        <f t="shared" si="5"/>
        <v>5</v>
      </c>
      <c r="V41" s="39">
        <f t="shared" si="6"/>
        <v>0</v>
      </c>
      <c r="W41" s="30">
        <f t="shared" si="9"/>
        <v>37</v>
      </c>
    </row>
    <row r="42">
      <c r="A42" s="30">
        <f t="shared" si="7"/>
        <v>38</v>
      </c>
      <c r="B42" s="51" t="s">
        <v>114</v>
      </c>
      <c r="C42" s="32">
        <v>197.0</v>
      </c>
      <c r="D42" s="32">
        <v>12.0</v>
      </c>
      <c r="E42" s="35">
        <f t="shared" si="2"/>
        <v>10.63636364</v>
      </c>
      <c r="F42" s="37">
        <v>1.0</v>
      </c>
      <c r="G42" s="39">
        <v>6.0</v>
      </c>
      <c r="H42" s="40">
        <v>0.0</v>
      </c>
      <c r="I42" s="39">
        <v>2.0</v>
      </c>
      <c r="J42" s="39">
        <v>6.0</v>
      </c>
      <c r="K42" s="39">
        <v>2.0</v>
      </c>
      <c r="L42" s="42">
        <v>10.0</v>
      </c>
      <c r="M42" s="39">
        <v>1.0</v>
      </c>
      <c r="N42" s="32">
        <f t="shared" ref="N42:O42" si="44">C42+L42</f>
        <v>207</v>
      </c>
      <c r="O42" s="32">
        <f t="shared" si="44"/>
        <v>13</v>
      </c>
      <c r="P42" s="43" t="s">
        <v>53</v>
      </c>
      <c r="Q42" s="43" t="s">
        <v>53</v>
      </c>
      <c r="R42" s="43"/>
      <c r="S42" s="39">
        <f t="shared" si="4"/>
        <v>2</v>
      </c>
      <c r="T42" s="39"/>
      <c r="U42" s="39">
        <f t="shared" si="5"/>
        <v>6</v>
      </c>
      <c r="V42" s="39">
        <f t="shared" si="6"/>
        <v>1</v>
      </c>
      <c r="W42" s="30">
        <f t="shared" si="9"/>
        <v>38</v>
      </c>
    </row>
    <row r="43">
      <c r="A43" s="30">
        <f t="shared" si="7"/>
        <v>39</v>
      </c>
      <c r="B43" s="51" t="s">
        <v>108</v>
      </c>
      <c r="C43" s="32">
        <v>197.0</v>
      </c>
      <c r="D43" s="32">
        <v>10.0</v>
      </c>
      <c r="E43" s="35">
        <f t="shared" si="2"/>
        <v>12.66666667</v>
      </c>
      <c r="F43" s="37">
        <v>1.0</v>
      </c>
      <c r="G43" s="39">
        <v>6.0</v>
      </c>
      <c r="H43" s="40">
        <v>0.0</v>
      </c>
      <c r="I43" s="39">
        <v>6.0</v>
      </c>
      <c r="J43" s="39">
        <v>6.0</v>
      </c>
      <c r="K43" s="39">
        <v>6.0</v>
      </c>
      <c r="L43" s="42">
        <v>18.0</v>
      </c>
      <c r="M43" s="39">
        <v>3.0</v>
      </c>
      <c r="N43" s="32">
        <f t="shared" ref="N43:O43" si="45">C43+L43</f>
        <v>215</v>
      </c>
      <c r="O43" s="32">
        <f t="shared" si="45"/>
        <v>13</v>
      </c>
      <c r="P43" s="43" t="s">
        <v>53</v>
      </c>
      <c r="Q43" s="43" t="s">
        <v>53</v>
      </c>
      <c r="R43" s="43"/>
      <c r="S43" s="39">
        <f t="shared" si="4"/>
        <v>1</v>
      </c>
      <c r="T43" s="39"/>
      <c r="U43" s="39">
        <f t="shared" si="5"/>
        <v>12</v>
      </c>
      <c r="V43" s="39">
        <f t="shared" si="6"/>
        <v>1</v>
      </c>
      <c r="W43" s="30">
        <f t="shared" si="9"/>
        <v>39</v>
      </c>
    </row>
    <row r="44">
      <c r="A44" s="30">
        <f t="shared" si="7"/>
        <v>40</v>
      </c>
      <c r="B44" s="31" t="s">
        <v>106</v>
      </c>
      <c r="C44" s="32">
        <v>196.0</v>
      </c>
      <c r="D44" s="32">
        <v>10.0</v>
      </c>
      <c r="E44" s="35">
        <f t="shared" si="2"/>
        <v>14</v>
      </c>
      <c r="F44" s="37">
        <v>3.0</v>
      </c>
      <c r="G44" s="39">
        <v>0.0</v>
      </c>
      <c r="H44" s="40">
        <v>9.0</v>
      </c>
      <c r="I44" s="39">
        <v>0.0</v>
      </c>
      <c r="J44" s="39">
        <v>0.0</v>
      </c>
      <c r="K44" s="39">
        <v>0.0</v>
      </c>
      <c r="L44" s="42">
        <v>9.0</v>
      </c>
      <c r="M44" s="39">
        <v>0.0</v>
      </c>
      <c r="N44" s="32">
        <f t="shared" ref="N44:O44" si="46">C44+L44</f>
        <v>205</v>
      </c>
      <c r="O44" s="32">
        <f t="shared" si="46"/>
        <v>10</v>
      </c>
      <c r="P44" s="43" t="s">
        <v>53</v>
      </c>
      <c r="Q44" s="43" t="s">
        <v>53</v>
      </c>
      <c r="R44" s="43"/>
      <c r="S44" s="39">
        <f t="shared" si="4"/>
        <v>0</v>
      </c>
      <c r="T44" s="39"/>
      <c r="U44" s="39">
        <f t="shared" si="5"/>
        <v>14</v>
      </c>
      <c r="V44" s="39">
        <f t="shared" si="6"/>
        <v>4</v>
      </c>
      <c r="W44" s="30">
        <f t="shared" si="9"/>
        <v>40</v>
      </c>
    </row>
    <row r="45">
      <c r="A45" s="30">
        <f t="shared" si="7"/>
        <v>41</v>
      </c>
      <c r="B45" s="57" t="s">
        <v>79</v>
      </c>
      <c r="C45" s="32">
        <v>191.0</v>
      </c>
      <c r="D45" s="32">
        <v>9.0</v>
      </c>
      <c r="E45" s="35">
        <f t="shared" si="2"/>
        <v>10.33333333</v>
      </c>
      <c r="F45" s="37">
        <v>5.0</v>
      </c>
      <c r="G45" s="39">
        <v>0.0</v>
      </c>
      <c r="H45" s="40">
        <v>13.0</v>
      </c>
      <c r="I45" s="39">
        <v>0.0</v>
      </c>
      <c r="J45" s="39">
        <v>0.0</v>
      </c>
      <c r="K45" s="39">
        <v>0.0</v>
      </c>
      <c r="L45" s="42">
        <v>13.0</v>
      </c>
      <c r="M45" s="39">
        <v>0.0</v>
      </c>
      <c r="N45" s="32">
        <f t="shared" ref="N45:O45" si="47">C45+L45</f>
        <v>204</v>
      </c>
      <c r="O45" s="32">
        <f t="shared" si="47"/>
        <v>9</v>
      </c>
      <c r="P45" s="43" t="s">
        <v>53</v>
      </c>
      <c r="Q45" s="43" t="s">
        <v>53</v>
      </c>
      <c r="R45" s="43"/>
      <c r="S45" s="39">
        <f t="shared" si="4"/>
        <v>3</v>
      </c>
      <c r="T45" s="39"/>
      <c r="U45" s="39">
        <f t="shared" si="5"/>
        <v>10</v>
      </c>
      <c r="V45" s="39">
        <f t="shared" si="6"/>
        <v>5</v>
      </c>
      <c r="W45" s="30">
        <f t="shared" si="9"/>
        <v>41</v>
      </c>
    </row>
    <row r="46">
      <c r="A46" s="30">
        <f t="shared" si="7"/>
        <v>42</v>
      </c>
      <c r="B46" s="51" t="s">
        <v>111</v>
      </c>
      <c r="C46" s="32">
        <v>191.0</v>
      </c>
      <c r="D46" s="32">
        <v>8.0</v>
      </c>
      <c r="E46" s="35">
        <f t="shared" si="2"/>
        <v>11.22222222</v>
      </c>
      <c r="F46" s="37">
        <v>1.0</v>
      </c>
      <c r="G46" s="39">
        <v>6.0</v>
      </c>
      <c r="H46" s="40">
        <v>0.0</v>
      </c>
      <c r="I46" s="39">
        <v>2.0</v>
      </c>
      <c r="J46" s="39">
        <v>2.0</v>
      </c>
      <c r="K46" s="39">
        <v>6.0</v>
      </c>
      <c r="L46" s="42">
        <v>10.0</v>
      </c>
      <c r="M46" s="39">
        <v>1.0</v>
      </c>
      <c r="N46" s="32">
        <f t="shared" ref="N46:O46" si="48">C46+L46</f>
        <v>201</v>
      </c>
      <c r="O46" s="32">
        <f t="shared" si="48"/>
        <v>9</v>
      </c>
      <c r="P46" s="43" t="s">
        <v>53</v>
      </c>
      <c r="Q46" s="43" t="s">
        <v>53</v>
      </c>
      <c r="R46" s="43"/>
      <c r="S46" s="39">
        <f t="shared" si="4"/>
        <v>0</v>
      </c>
      <c r="T46" s="39"/>
      <c r="U46" s="39">
        <f t="shared" si="5"/>
        <v>10</v>
      </c>
      <c r="V46" s="39">
        <f t="shared" si="6"/>
        <v>-1</v>
      </c>
      <c r="W46" s="30">
        <f t="shared" si="9"/>
        <v>42</v>
      </c>
    </row>
    <row r="47">
      <c r="A47" s="30">
        <f t="shared" si="7"/>
        <v>43</v>
      </c>
      <c r="B47" s="31" t="s">
        <v>81</v>
      </c>
      <c r="C47" s="32">
        <v>190.0</v>
      </c>
      <c r="D47" s="32">
        <v>7.0</v>
      </c>
      <c r="E47" s="35">
        <f t="shared" si="2"/>
        <v>11.2</v>
      </c>
      <c r="F47" s="37">
        <v>3.0</v>
      </c>
      <c r="G47" s="39">
        <v>0.0</v>
      </c>
      <c r="H47" s="40">
        <v>9.0</v>
      </c>
      <c r="I47" s="39">
        <v>0.0</v>
      </c>
      <c r="J47" s="39">
        <v>0.0</v>
      </c>
      <c r="K47" s="39">
        <v>0.0</v>
      </c>
      <c r="L47" s="42">
        <v>9.0</v>
      </c>
      <c r="M47" s="39">
        <v>0.0</v>
      </c>
      <c r="N47" s="32">
        <f t="shared" ref="N47:O47" si="49">C47+L47</f>
        <v>199</v>
      </c>
      <c r="O47" s="32">
        <f t="shared" si="49"/>
        <v>7</v>
      </c>
      <c r="P47" s="43" t="s">
        <v>53</v>
      </c>
      <c r="Q47" s="43" t="s">
        <v>53</v>
      </c>
      <c r="R47" s="43"/>
      <c r="S47" s="39">
        <f t="shared" si="4"/>
        <v>2</v>
      </c>
      <c r="T47" s="39"/>
      <c r="U47" s="39">
        <f t="shared" si="5"/>
        <v>12</v>
      </c>
      <c r="V47" s="39">
        <f t="shared" si="6"/>
        <v>2</v>
      </c>
      <c r="W47" s="30">
        <f t="shared" si="9"/>
        <v>43</v>
      </c>
    </row>
    <row r="48">
      <c r="A48" s="30">
        <f t="shared" si="7"/>
        <v>44</v>
      </c>
      <c r="B48" s="51" t="s">
        <v>75</v>
      </c>
      <c r="C48" s="32">
        <v>190.0</v>
      </c>
      <c r="D48" s="32">
        <v>6.0</v>
      </c>
      <c r="E48" s="35">
        <f t="shared" si="2"/>
        <v>14.5</v>
      </c>
      <c r="F48" s="37">
        <v>3.0</v>
      </c>
      <c r="G48" s="39">
        <v>0.0</v>
      </c>
      <c r="H48" s="40">
        <v>9.0</v>
      </c>
      <c r="I48" s="39">
        <v>0.0</v>
      </c>
      <c r="J48" s="39">
        <v>0.0</v>
      </c>
      <c r="K48" s="39">
        <v>0.0</v>
      </c>
      <c r="L48" s="42">
        <v>9.0</v>
      </c>
      <c r="M48" s="39">
        <v>0.0</v>
      </c>
      <c r="N48" s="32">
        <f t="shared" ref="N48:O48" si="50">C48+L48</f>
        <v>199</v>
      </c>
      <c r="O48" s="32">
        <f t="shared" si="50"/>
        <v>6</v>
      </c>
      <c r="P48" s="43" t="s">
        <v>53</v>
      </c>
      <c r="Q48" s="43" t="s">
        <v>53</v>
      </c>
      <c r="R48" s="43"/>
      <c r="S48" s="39">
        <f t="shared" si="4"/>
        <v>2</v>
      </c>
      <c r="T48" s="39"/>
      <c r="U48" s="39">
        <f t="shared" si="5"/>
        <v>15</v>
      </c>
      <c r="V48" s="39">
        <f t="shared" si="6"/>
        <v>3</v>
      </c>
      <c r="W48" s="30">
        <f t="shared" si="9"/>
        <v>44</v>
      </c>
    </row>
    <row r="49">
      <c r="A49" s="30">
        <f t="shared" si="7"/>
        <v>45</v>
      </c>
      <c r="B49" s="51" t="s">
        <v>102</v>
      </c>
      <c r="C49" s="32">
        <v>190.0</v>
      </c>
      <c r="D49" s="32">
        <v>6.0</v>
      </c>
      <c r="E49" s="35">
        <f t="shared" si="2"/>
        <v>11.2</v>
      </c>
      <c r="F49" s="37">
        <v>1.0</v>
      </c>
      <c r="G49" s="39">
        <v>7.0</v>
      </c>
      <c r="H49" s="40">
        <v>0.0</v>
      </c>
      <c r="I49" s="39">
        <v>6.0</v>
      </c>
      <c r="J49" s="39">
        <v>7.0</v>
      </c>
      <c r="K49" s="39">
        <v>6.0</v>
      </c>
      <c r="L49" s="42">
        <v>19.0</v>
      </c>
      <c r="M49" s="39">
        <v>3.0</v>
      </c>
      <c r="N49" s="32">
        <f t="shared" ref="N49:O49" si="51">C49+L49</f>
        <v>209</v>
      </c>
      <c r="O49" s="32">
        <f t="shared" si="51"/>
        <v>9</v>
      </c>
      <c r="P49" s="43" t="s">
        <v>53</v>
      </c>
      <c r="Q49" s="43" t="s">
        <v>53</v>
      </c>
      <c r="R49" s="43"/>
      <c r="S49" s="39">
        <f t="shared" si="4"/>
        <v>2</v>
      </c>
      <c r="T49" s="39"/>
      <c r="U49" s="39">
        <f t="shared" si="5"/>
        <v>12</v>
      </c>
      <c r="V49" s="39">
        <f t="shared" si="6"/>
        <v>-2</v>
      </c>
      <c r="W49" s="30">
        <f t="shared" si="9"/>
        <v>45</v>
      </c>
    </row>
    <row r="50">
      <c r="A50" s="30">
        <f t="shared" si="7"/>
        <v>46</v>
      </c>
      <c r="B50" s="56" t="s">
        <v>107</v>
      </c>
      <c r="C50" s="32">
        <v>189.0</v>
      </c>
      <c r="D50" s="32">
        <v>16.0</v>
      </c>
      <c r="E50" s="35">
        <f t="shared" si="2"/>
        <v>10.2</v>
      </c>
      <c r="F50" s="37">
        <v>1.0</v>
      </c>
      <c r="G50" s="39">
        <v>7.0</v>
      </c>
      <c r="H50" s="40">
        <v>0.0</v>
      </c>
      <c r="I50" s="39">
        <v>4.0</v>
      </c>
      <c r="J50" s="39">
        <v>7.0</v>
      </c>
      <c r="K50" s="39">
        <v>4.0</v>
      </c>
      <c r="L50" s="42">
        <v>15.0</v>
      </c>
      <c r="M50" s="39">
        <v>1.0</v>
      </c>
      <c r="N50" s="32">
        <f t="shared" ref="N50:O50" si="52">C50+L50</f>
        <v>204</v>
      </c>
      <c r="O50" s="32">
        <f t="shared" si="52"/>
        <v>17</v>
      </c>
      <c r="P50" s="43" t="s">
        <v>53</v>
      </c>
      <c r="Q50" s="43" t="s">
        <v>53</v>
      </c>
      <c r="R50" s="43"/>
      <c r="S50" s="39">
        <f t="shared" si="4"/>
        <v>0</v>
      </c>
      <c r="T50" s="39"/>
      <c r="U50" s="39">
        <f t="shared" si="5"/>
        <v>4</v>
      </c>
      <c r="V50" s="39">
        <f t="shared" si="6"/>
        <v>-4</v>
      </c>
      <c r="W50" s="30">
        <f t="shared" si="9"/>
        <v>46</v>
      </c>
    </row>
    <row r="51">
      <c r="A51" s="30">
        <f t="shared" si="7"/>
        <v>47</v>
      </c>
      <c r="B51" s="51" t="s">
        <v>116</v>
      </c>
      <c r="C51" s="32">
        <v>187.0</v>
      </c>
      <c r="D51" s="32">
        <v>10.0</v>
      </c>
      <c r="E51" s="35">
        <f t="shared" si="2"/>
        <v>10</v>
      </c>
      <c r="F51" s="37">
        <v>3.0</v>
      </c>
      <c r="G51" s="39">
        <v>0.0</v>
      </c>
      <c r="H51" s="40">
        <v>9.0</v>
      </c>
      <c r="I51" s="39">
        <v>0.0</v>
      </c>
      <c r="J51" s="39">
        <v>0.0</v>
      </c>
      <c r="K51" s="39">
        <v>0.0</v>
      </c>
      <c r="L51" s="42">
        <v>9.0</v>
      </c>
      <c r="M51" s="39">
        <v>0.0</v>
      </c>
      <c r="N51" s="32">
        <f t="shared" ref="N51:O51" si="53">C51+L51</f>
        <v>196</v>
      </c>
      <c r="O51" s="32">
        <f t="shared" si="53"/>
        <v>10</v>
      </c>
      <c r="P51" s="43" t="s">
        <v>53</v>
      </c>
      <c r="Q51" s="43" t="s">
        <v>53</v>
      </c>
      <c r="R51" s="43"/>
      <c r="S51" s="39">
        <f t="shared" si="4"/>
        <v>1</v>
      </c>
      <c r="T51" s="39"/>
      <c r="U51" s="39">
        <f t="shared" si="5"/>
        <v>6</v>
      </c>
      <c r="V51" s="39">
        <f t="shared" si="6"/>
        <v>2</v>
      </c>
      <c r="W51" s="30">
        <f t="shared" si="9"/>
        <v>47</v>
      </c>
    </row>
    <row r="52">
      <c r="A52" s="30">
        <f t="shared" si="7"/>
        <v>48</v>
      </c>
      <c r="B52" s="31" t="s">
        <v>117</v>
      </c>
      <c r="C52" s="32">
        <v>187.0</v>
      </c>
      <c r="D52" s="32">
        <v>5.0</v>
      </c>
      <c r="E52" s="35">
        <f t="shared" si="2"/>
        <v>11.66666667</v>
      </c>
      <c r="F52" s="37">
        <v>3.0</v>
      </c>
      <c r="G52" s="39">
        <v>0.0</v>
      </c>
      <c r="H52" s="40">
        <v>9.0</v>
      </c>
      <c r="I52" s="39">
        <v>0.0</v>
      </c>
      <c r="J52" s="39">
        <v>0.0</v>
      </c>
      <c r="K52" s="39">
        <v>0.0</v>
      </c>
      <c r="L52" s="42">
        <v>9.0</v>
      </c>
      <c r="M52" s="39">
        <v>0.0</v>
      </c>
      <c r="N52" s="32">
        <f t="shared" ref="N52:O52" si="54">C52+L52</f>
        <v>196</v>
      </c>
      <c r="O52" s="32">
        <f t="shared" si="54"/>
        <v>5</v>
      </c>
      <c r="P52" s="43" t="s">
        <v>53</v>
      </c>
      <c r="Q52" s="43" t="s">
        <v>53</v>
      </c>
      <c r="R52" s="43"/>
      <c r="S52" s="39">
        <f t="shared" si="4"/>
        <v>2</v>
      </c>
      <c r="T52" s="39"/>
      <c r="U52" s="39">
        <f t="shared" si="5"/>
        <v>14</v>
      </c>
      <c r="V52" s="39">
        <f t="shared" si="6"/>
        <v>0</v>
      </c>
      <c r="W52" s="30">
        <f t="shared" si="9"/>
        <v>48</v>
      </c>
    </row>
    <row r="53">
      <c r="A53" s="30">
        <f t="shared" si="7"/>
        <v>49</v>
      </c>
      <c r="B53" s="31" t="s">
        <v>56</v>
      </c>
      <c r="C53" s="32">
        <v>182.0</v>
      </c>
      <c r="D53" s="32">
        <v>3.0</v>
      </c>
      <c r="E53" s="35">
        <f t="shared" si="2"/>
        <v>10.5</v>
      </c>
      <c r="F53" s="37">
        <v>3.0</v>
      </c>
      <c r="G53" s="39">
        <v>0.0</v>
      </c>
      <c r="H53" s="40">
        <v>9.0</v>
      </c>
      <c r="I53" s="39">
        <v>0.0</v>
      </c>
      <c r="J53" s="39">
        <v>0.0</v>
      </c>
      <c r="K53" s="39">
        <v>0.0</v>
      </c>
      <c r="L53" s="42">
        <v>9.0</v>
      </c>
      <c r="M53" s="39">
        <v>0.0</v>
      </c>
      <c r="N53" s="32">
        <f t="shared" ref="N53:O53" si="55">C53+L53</f>
        <v>191</v>
      </c>
      <c r="O53" s="32">
        <f t="shared" si="55"/>
        <v>3</v>
      </c>
      <c r="P53" s="43" t="s">
        <v>53</v>
      </c>
      <c r="Q53" s="43" t="s">
        <v>53</v>
      </c>
      <c r="R53" s="43"/>
      <c r="S53" s="39">
        <f t="shared" si="4"/>
        <v>2</v>
      </c>
      <c r="T53" s="39"/>
      <c r="U53" s="39">
        <f t="shared" si="5"/>
        <v>15</v>
      </c>
      <c r="V53" s="39">
        <f t="shared" si="6"/>
        <v>4</v>
      </c>
      <c r="W53" s="30">
        <f t="shared" si="9"/>
        <v>49</v>
      </c>
    </row>
    <row r="54">
      <c r="A54" s="30">
        <f t="shared" si="7"/>
        <v>50</v>
      </c>
      <c r="B54" s="31" t="s">
        <v>120</v>
      </c>
      <c r="C54" s="32">
        <v>181.0</v>
      </c>
      <c r="D54" s="32">
        <v>4.0</v>
      </c>
      <c r="E54" s="35">
        <f t="shared" si="2"/>
        <v>10.5</v>
      </c>
      <c r="F54" s="37">
        <v>1.0</v>
      </c>
      <c r="G54" s="39">
        <v>7.0</v>
      </c>
      <c r="H54" s="40">
        <v>0.0</v>
      </c>
      <c r="I54" s="39">
        <v>6.0</v>
      </c>
      <c r="J54" s="39">
        <v>5.0</v>
      </c>
      <c r="K54" s="39">
        <v>4.0</v>
      </c>
      <c r="L54" s="42">
        <v>15.0</v>
      </c>
      <c r="M54" s="39">
        <v>1.0</v>
      </c>
      <c r="N54" s="32">
        <f t="shared" ref="N54:O54" si="56">C54+L54</f>
        <v>196</v>
      </c>
      <c r="O54" s="32">
        <f t="shared" si="56"/>
        <v>5</v>
      </c>
      <c r="P54" s="43" t="s">
        <v>53</v>
      </c>
      <c r="Q54" s="43" t="s">
        <v>53</v>
      </c>
      <c r="R54" s="43"/>
      <c r="S54" s="39">
        <f t="shared" si="4"/>
        <v>1</v>
      </c>
      <c r="T54" s="39"/>
      <c r="U54" s="39">
        <f t="shared" si="5"/>
        <v>14</v>
      </c>
      <c r="V54" s="39">
        <f t="shared" si="6"/>
        <v>0</v>
      </c>
      <c r="W54" s="30">
        <f t="shared" si="9"/>
        <v>50</v>
      </c>
    </row>
    <row r="55">
      <c r="A55" s="30">
        <f t="shared" si="7"/>
        <v>51</v>
      </c>
      <c r="B55" s="56" t="s">
        <v>115</v>
      </c>
      <c r="C55" s="32">
        <v>178.0</v>
      </c>
      <c r="D55" s="32">
        <v>11.0</v>
      </c>
      <c r="E55" s="35">
        <f t="shared" si="2"/>
        <v>9.466666667</v>
      </c>
      <c r="F55" s="37">
        <v>1.0</v>
      </c>
      <c r="G55" s="39">
        <v>7.0</v>
      </c>
      <c r="H55" s="40">
        <v>0.0</v>
      </c>
      <c r="I55" s="39">
        <v>4.0</v>
      </c>
      <c r="J55" s="39">
        <v>5.0</v>
      </c>
      <c r="K55" s="39">
        <v>6.0</v>
      </c>
      <c r="L55" s="42">
        <v>15.0</v>
      </c>
      <c r="M55" s="39">
        <v>1.0</v>
      </c>
      <c r="N55" s="32">
        <f t="shared" ref="N55:O55" si="57">C55+L55</f>
        <v>193</v>
      </c>
      <c r="O55" s="32">
        <f t="shared" si="57"/>
        <v>12</v>
      </c>
      <c r="P55" s="43" t="s">
        <v>53</v>
      </c>
      <c r="Q55" s="43" t="s">
        <v>53</v>
      </c>
      <c r="R55" s="43"/>
      <c r="S55" s="39">
        <f t="shared" si="4"/>
        <v>0</v>
      </c>
      <c r="T55" s="39"/>
      <c r="U55" s="39">
        <f t="shared" si="5"/>
        <v>4</v>
      </c>
      <c r="V55" s="39">
        <f t="shared" si="6"/>
        <v>0</v>
      </c>
      <c r="W55" s="30">
        <f t="shared" si="9"/>
        <v>51</v>
      </c>
    </row>
    <row r="56">
      <c r="A56" s="30">
        <f t="shared" si="7"/>
        <v>52</v>
      </c>
      <c r="B56" s="56" t="s">
        <v>51</v>
      </c>
      <c r="C56" s="32">
        <v>178.0</v>
      </c>
      <c r="D56" s="32">
        <v>9.0</v>
      </c>
      <c r="E56" s="35">
        <f t="shared" si="2"/>
        <v>9.375</v>
      </c>
      <c r="F56" s="37">
        <v>3.0</v>
      </c>
      <c r="G56" s="39">
        <v>0.0</v>
      </c>
      <c r="H56" s="40">
        <v>9.0</v>
      </c>
      <c r="I56" s="39">
        <v>0.0</v>
      </c>
      <c r="J56" s="39">
        <v>0.0</v>
      </c>
      <c r="K56" s="39">
        <v>0.0</v>
      </c>
      <c r="L56" s="42">
        <v>9.0</v>
      </c>
      <c r="M56" s="39">
        <v>0.0</v>
      </c>
      <c r="N56" s="32">
        <f t="shared" ref="N56:O56" si="58">C56+L56</f>
        <v>187</v>
      </c>
      <c r="O56" s="32">
        <f t="shared" si="58"/>
        <v>9</v>
      </c>
      <c r="P56" s="43" t="s">
        <v>53</v>
      </c>
      <c r="Q56" s="43" t="s">
        <v>53</v>
      </c>
      <c r="R56" s="43"/>
      <c r="S56" s="39">
        <f t="shared" si="4"/>
        <v>1</v>
      </c>
      <c r="T56" s="39"/>
      <c r="U56" s="39">
        <f t="shared" si="5"/>
        <v>10</v>
      </c>
      <c r="V56" s="39">
        <f t="shared" si="6"/>
        <v>0</v>
      </c>
      <c r="W56" s="30">
        <f t="shared" si="9"/>
        <v>52</v>
      </c>
    </row>
    <row r="57">
      <c r="A57" s="30">
        <f t="shared" si="7"/>
        <v>53</v>
      </c>
      <c r="B57" s="51" t="s">
        <v>118</v>
      </c>
      <c r="C57" s="32">
        <v>178.0</v>
      </c>
      <c r="D57" s="32">
        <v>8.0</v>
      </c>
      <c r="E57" s="35">
        <f t="shared" si="2"/>
        <v>9.875</v>
      </c>
      <c r="F57" s="37">
        <v>1.0</v>
      </c>
      <c r="G57" s="39">
        <v>8.0</v>
      </c>
      <c r="H57" s="40">
        <v>0.0</v>
      </c>
      <c r="I57" s="39">
        <v>7.0</v>
      </c>
      <c r="J57" s="39">
        <v>7.0</v>
      </c>
      <c r="K57" s="39">
        <v>2.0</v>
      </c>
      <c r="L57" s="42">
        <v>16.0</v>
      </c>
      <c r="M57" s="39">
        <v>2.0</v>
      </c>
      <c r="N57" s="32">
        <f t="shared" ref="N57:O57" si="59">C57+L57</f>
        <v>194</v>
      </c>
      <c r="O57" s="32">
        <f t="shared" si="59"/>
        <v>10</v>
      </c>
      <c r="P57" s="43" t="s">
        <v>53</v>
      </c>
      <c r="Q57" s="43" t="s">
        <v>53</v>
      </c>
      <c r="R57" s="43"/>
      <c r="S57" s="39">
        <f t="shared" si="4"/>
        <v>0</v>
      </c>
      <c r="T57" s="39"/>
      <c r="U57" s="39">
        <f t="shared" si="5"/>
        <v>11</v>
      </c>
      <c r="V57" s="39">
        <f t="shared" si="6"/>
        <v>5</v>
      </c>
      <c r="W57" s="30">
        <f t="shared" si="9"/>
        <v>53</v>
      </c>
    </row>
    <row r="58">
      <c r="A58" s="30">
        <f t="shared" si="7"/>
        <v>54</v>
      </c>
      <c r="B58" s="51" t="s">
        <v>113</v>
      </c>
      <c r="C58" s="32">
        <v>177.0</v>
      </c>
      <c r="D58" s="32">
        <v>10.0</v>
      </c>
      <c r="E58" s="35">
        <f t="shared" si="2"/>
        <v>8.846153846</v>
      </c>
      <c r="F58" s="37">
        <v>1.0</v>
      </c>
      <c r="G58" s="39">
        <v>8.0</v>
      </c>
      <c r="H58" s="40">
        <v>0.0</v>
      </c>
      <c r="I58" s="39">
        <v>6.0</v>
      </c>
      <c r="J58" s="39">
        <v>7.0</v>
      </c>
      <c r="K58" s="39">
        <v>6.0</v>
      </c>
      <c r="L58" s="42">
        <v>19.0</v>
      </c>
      <c r="M58" s="39">
        <v>2.0</v>
      </c>
      <c r="N58" s="32">
        <f t="shared" ref="N58:O58" si="60">C58+L58</f>
        <v>196</v>
      </c>
      <c r="O58" s="32">
        <f t="shared" si="60"/>
        <v>12</v>
      </c>
      <c r="P58" s="43" t="s">
        <v>53</v>
      </c>
      <c r="Q58" s="43" t="s">
        <v>53</v>
      </c>
      <c r="R58" s="43"/>
      <c r="S58" s="39">
        <f t="shared" si="4"/>
        <v>2</v>
      </c>
      <c r="T58" s="39"/>
      <c r="U58" s="39">
        <f t="shared" si="5"/>
        <v>4</v>
      </c>
      <c r="V58" s="39">
        <f t="shared" si="6"/>
        <v>3</v>
      </c>
      <c r="W58" s="30">
        <f t="shared" si="9"/>
        <v>54</v>
      </c>
    </row>
    <row r="59">
      <c r="A59" s="30">
        <f t="shared" si="7"/>
        <v>55</v>
      </c>
      <c r="B59" s="31" t="s">
        <v>119</v>
      </c>
      <c r="C59" s="32">
        <v>175.0</v>
      </c>
      <c r="D59" s="32">
        <v>4.0</v>
      </c>
      <c r="E59" s="35">
        <f t="shared" si="2"/>
        <v>11</v>
      </c>
      <c r="F59" s="37">
        <v>3.0</v>
      </c>
      <c r="G59" s="39">
        <v>0.0</v>
      </c>
      <c r="H59" s="40">
        <v>9.0</v>
      </c>
      <c r="I59" s="39">
        <v>0.0</v>
      </c>
      <c r="J59" s="39">
        <v>0.0</v>
      </c>
      <c r="K59" s="39">
        <v>0.0</v>
      </c>
      <c r="L59" s="42">
        <v>9.0</v>
      </c>
      <c r="M59" s="39">
        <v>0.0</v>
      </c>
      <c r="N59" s="32">
        <f t="shared" ref="N59:O59" si="61">C59+L59</f>
        <v>184</v>
      </c>
      <c r="O59" s="32">
        <f t="shared" si="61"/>
        <v>4</v>
      </c>
      <c r="P59" s="43" t="s">
        <v>53</v>
      </c>
      <c r="Q59" s="43" t="s">
        <v>53</v>
      </c>
      <c r="R59" s="43"/>
      <c r="S59" s="39">
        <f t="shared" si="4"/>
        <v>0</v>
      </c>
      <c r="T59" s="39"/>
      <c r="U59" s="39">
        <f t="shared" si="5"/>
        <v>17</v>
      </c>
      <c r="V59" s="39">
        <f t="shared" si="6"/>
        <v>-1</v>
      </c>
      <c r="W59" s="30">
        <f t="shared" si="9"/>
        <v>55</v>
      </c>
    </row>
    <row r="60">
      <c r="A60" s="30">
        <f t="shared" si="7"/>
        <v>56</v>
      </c>
      <c r="B60" s="51" t="s">
        <v>112</v>
      </c>
      <c r="C60" s="32">
        <v>174.0</v>
      </c>
      <c r="D60" s="32">
        <v>7.0</v>
      </c>
      <c r="E60" s="35">
        <f t="shared" si="2"/>
        <v>9.333333333</v>
      </c>
      <c r="F60" s="37">
        <v>1.0</v>
      </c>
      <c r="G60" s="39">
        <v>8.0</v>
      </c>
      <c r="H60" s="40">
        <v>0.0</v>
      </c>
      <c r="I60" s="39">
        <v>7.0</v>
      </c>
      <c r="J60" s="39">
        <v>5.0</v>
      </c>
      <c r="K60" s="39">
        <v>6.0</v>
      </c>
      <c r="L60" s="42">
        <v>18.0</v>
      </c>
      <c r="M60" s="39">
        <v>2.0</v>
      </c>
      <c r="N60" s="32">
        <f t="shared" ref="N60:O60" si="62">C60+L60</f>
        <v>192</v>
      </c>
      <c r="O60" s="32">
        <f t="shared" si="62"/>
        <v>9</v>
      </c>
      <c r="P60" s="43" t="s">
        <v>53</v>
      </c>
      <c r="Q60" s="43" t="s">
        <v>53</v>
      </c>
      <c r="R60" s="43"/>
      <c r="S60" s="39">
        <f t="shared" si="4"/>
        <v>0</v>
      </c>
      <c r="T60" s="39"/>
      <c r="U60" s="39">
        <f t="shared" si="5"/>
        <v>10</v>
      </c>
      <c r="V60" s="39">
        <f t="shared" si="6"/>
        <v>-1</v>
      </c>
      <c r="W60" s="30">
        <f t="shared" si="9"/>
        <v>56</v>
      </c>
    </row>
    <row r="61">
      <c r="A61" s="30">
        <f t="shared" si="7"/>
        <v>57</v>
      </c>
      <c r="B61" s="31" t="s">
        <v>123</v>
      </c>
      <c r="C61" s="32">
        <v>174.0</v>
      </c>
      <c r="D61" s="32">
        <v>5.0</v>
      </c>
      <c r="E61" s="35">
        <f t="shared" si="2"/>
        <v>10.5</v>
      </c>
      <c r="F61" s="37">
        <v>3.0</v>
      </c>
      <c r="G61" s="39">
        <v>0.0</v>
      </c>
      <c r="H61" s="40">
        <v>9.0</v>
      </c>
      <c r="I61" s="39">
        <v>0.0</v>
      </c>
      <c r="J61" s="39">
        <v>0.0</v>
      </c>
      <c r="K61" s="39">
        <v>0.0</v>
      </c>
      <c r="L61" s="42">
        <v>9.0</v>
      </c>
      <c r="M61" s="39">
        <v>0.0</v>
      </c>
      <c r="N61" s="32">
        <f t="shared" ref="N61:O61" si="63">C61+L61</f>
        <v>183</v>
      </c>
      <c r="O61" s="32">
        <f t="shared" si="63"/>
        <v>5</v>
      </c>
      <c r="P61" s="43" t="s">
        <v>53</v>
      </c>
      <c r="Q61" s="43" t="s">
        <v>53</v>
      </c>
      <c r="R61" s="43"/>
      <c r="S61" s="39">
        <f t="shared" si="4"/>
        <v>0</v>
      </c>
      <c r="T61" s="39"/>
      <c r="U61" s="39">
        <f t="shared" si="5"/>
        <v>17</v>
      </c>
      <c r="V61" s="39">
        <f t="shared" si="6"/>
        <v>-1</v>
      </c>
      <c r="W61" s="30">
        <f t="shared" si="9"/>
        <v>57</v>
      </c>
    </row>
    <row r="62">
      <c r="A62" s="30">
        <f t="shared" si="7"/>
        <v>58</v>
      </c>
      <c r="B62" s="31" t="s">
        <v>124</v>
      </c>
      <c r="C62" s="32">
        <v>172.0</v>
      </c>
      <c r="D62" s="32">
        <v>3.0</v>
      </c>
      <c r="E62" s="35">
        <f t="shared" si="2"/>
        <v>7.5</v>
      </c>
      <c r="F62" s="37">
        <v>3.0</v>
      </c>
      <c r="G62" s="39">
        <v>0.0</v>
      </c>
      <c r="H62" s="40">
        <v>9.0</v>
      </c>
      <c r="I62" s="39">
        <v>0.0</v>
      </c>
      <c r="J62" s="39">
        <v>0.0</v>
      </c>
      <c r="K62" s="39">
        <v>0.0</v>
      </c>
      <c r="L62" s="42">
        <v>9.0</v>
      </c>
      <c r="M62" s="39">
        <v>0.0</v>
      </c>
      <c r="N62" s="32">
        <f t="shared" ref="N62:O62" si="64">C62+L62</f>
        <v>181</v>
      </c>
      <c r="O62" s="32">
        <f t="shared" si="64"/>
        <v>3</v>
      </c>
      <c r="P62" s="43" t="s">
        <v>53</v>
      </c>
      <c r="Q62" s="43" t="s">
        <v>53</v>
      </c>
      <c r="R62" s="43"/>
      <c r="S62" s="39">
        <f t="shared" si="4"/>
        <v>1</v>
      </c>
      <c r="T62" s="39"/>
      <c r="U62" s="39">
        <f t="shared" si="5"/>
        <v>16</v>
      </c>
      <c r="V62" s="39">
        <f t="shared" si="6"/>
        <v>1</v>
      </c>
      <c r="W62" s="30">
        <f t="shared" si="9"/>
        <v>58</v>
      </c>
    </row>
    <row r="63">
      <c r="A63" s="30">
        <f t="shared" si="7"/>
        <v>59</v>
      </c>
      <c r="B63" s="31" t="s">
        <v>125</v>
      </c>
      <c r="C63" s="32">
        <v>171.0</v>
      </c>
      <c r="D63" s="32">
        <v>3.0</v>
      </c>
      <c r="E63" s="35">
        <f t="shared" si="2"/>
        <v>9</v>
      </c>
      <c r="F63" s="37">
        <v>3.0</v>
      </c>
      <c r="G63" s="39">
        <v>0.0</v>
      </c>
      <c r="H63" s="40">
        <v>9.0</v>
      </c>
      <c r="I63" s="39">
        <v>0.0</v>
      </c>
      <c r="J63" s="39">
        <v>0.0</v>
      </c>
      <c r="K63" s="39">
        <v>0.0</v>
      </c>
      <c r="L63" s="42">
        <v>9.0</v>
      </c>
      <c r="M63" s="39">
        <v>0.0</v>
      </c>
      <c r="N63" s="32">
        <f t="shared" ref="N63:O63" si="65">C63+L63</f>
        <v>180</v>
      </c>
      <c r="O63" s="32">
        <f t="shared" si="65"/>
        <v>3</v>
      </c>
      <c r="P63" s="43" t="s">
        <v>53</v>
      </c>
      <c r="Q63" s="43" t="s">
        <v>53</v>
      </c>
      <c r="R63" s="43"/>
      <c r="S63" s="39">
        <f t="shared" si="4"/>
        <v>0</v>
      </c>
      <c r="T63" s="39"/>
      <c r="U63" s="39">
        <f t="shared" si="5"/>
        <v>18</v>
      </c>
      <c r="V63" s="39">
        <f t="shared" si="6"/>
        <v>1</v>
      </c>
      <c r="W63" s="30">
        <f t="shared" si="9"/>
        <v>59</v>
      </c>
    </row>
    <row r="64">
      <c r="A64" s="30">
        <f t="shared" si="7"/>
        <v>60</v>
      </c>
      <c r="B64" s="56" t="s">
        <v>122</v>
      </c>
      <c r="C64" s="32">
        <v>171.0</v>
      </c>
      <c r="D64" s="32">
        <v>3.0</v>
      </c>
      <c r="E64" s="35">
        <f t="shared" si="2"/>
        <v>8</v>
      </c>
      <c r="F64" s="37">
        <v>1.0</v>
      </c>
      <c r="G64" s="39">
        <v>8.0</v>
      </c>
      <c r="H64" s="40">
        <v>0.0</v>
      </c>
      <c r="I64" s="39">
        <v>6.0</v>
      </c>
      <c r="J64" s="39">
        <v>5.0</v>
      </c>
      <c r="K64" s="39">
        <v>2.0</v>
      </c>
      <c r="L64" s="42">
        <v>13.0</v>
      </c>
      <c r="M64" s="39">
        <v>0.0</v>
      </c>
      <c r="N64" s="32">
        <f t="shared" ref="N64:O64" si="66">C64+L64</f>
        <v>184</v>
      </c>
      <c r="O64" s="32">
        <f t="shared" si="66"/>
        <v>3</v>
      </c>
      <c r="P64" s="43" t="s">
        <v>53</v>
      </c>
      <c r="Q64" s="43" t="s">
        <v>53</v>
      </c>
      <c r="R64" s="43"/>
      <c r="S64" s="39">
        <f t="shared" si="4"/>
        <v>1</v>
      </c>
      <c r="T64" s="39"/>
      <c r="U64" s="39">
        <f t="shared" si="5"/>
        <v>14</v>
      </c>
      <c r="V64" s="39">
        <f t="shared" si="6"/>
        <v>1</v>
      </c>
      <c r="W64" s="30">
        <f t="shared" si="9"/>
        <v>60</v>
      </c>
    </row>
    <row r="65">
      <c r="A65" s="30">
        <f t="shared" si="7"/>
        <v>61</v>
      </c>
      <c r="B65" s="51" t="s">
        <v>121</v>
      </c>
      <c r="C65" s="32">
        <v>167.0</v>
      </c>
      <c r="D65" s="32">
        <v>4.0</v>
      </c>
      <c r="E65" s="35">
        <f t="shared" si="2"/>
        <v>7.666666667</v>
      </c>
      <c r="F65" s="37">
        <v>3.0</v>
      </c>
      <c r="G65" s="39">
        <v>0.0</v>
      </c>
      <c r="H65" s="40">
        <v>9.0</v>
      </c>
      <c r="I65" s="39">
        <v>0.0</v>
      </c>
      <c r="J65" s="39">
        <v>0.0</v>
      </c>
      <c r="K65" s="39">
        <v>0.0</v>
      </c>
      <c r="L65" s="42">
        <v>9.0</v>
      </c>
      <c r="M65" s="39">
        <v>0.0</v>
      </c>
      <c r="N65" s="32">
        <f t="shared" ref="N65:O65" si="67">C65+L65</f>
        <v>176</v>
      </c>
      <c r="O65" s="32">
        <f t="shared" si="67"/>
        <v>4</v>
      </c>
      <c r="P65" s="43" t="s">
        <v>53</v>
      </c>
      <c r="Q65" s="43" t="s">
        <v>53</v>
      </c>
      <c r="R65" s="43"/>
      <c r="S65" s="39">
        <f t="shared" si="4"/>
        <v>0</v>
      </c>
      <c r="T65" s="39"/>
      <c r="U65" s="39">
        <f t="shared" si="5"/>
        <v>16</v>
      </c>
      <c r="V65" s="39">
        <f t="shared" si="6"/>
        <v>1</v>
      </c>
      <c r="W65" s="30">
        <f t="shared" si="9"/>
        <v>61</v>
      </c>
    </row>
    <row r="66">
      <c r="A66" s="30">
        <f t="shared" si="7"/>
        <v>62</v>
      </c>
      <c r="B66" s="31" t="s">
        <v>126</v>
      </c>
      <c r="C66" s="32">
        <v>166.0</v>
      </c>
      <c r="D66" s="32">
        <v>0.0</v>
      </c>
      <c r="E66" s="35">
        <f t="shared" si="2"/>
        <v>0</v>
      </c>
      <c r="F66" s="37">
        <v>3.0</v>
      </c>
      <c r="G66" s="39">
        <v>0.0</v>
      </c>
      <c r="H66" s="40">
        <v>9.0</v>
      </c>
      <c r="I66" s="39">
        <v>0.0</v>
      </c>
      <c r="J66" s="39">
        <v>0.0</v>
      </c>
      <c r="K66" s="39">
        <v>0.0</v>
      </c>
      <c r="L66" s="42">
        <v>9.0</v>
      </c>
      <c r="M66" s="39">
        <v>0.0</v>
      </c>
      <c r="N66" s="32">
        <f t="shared" ref="N66:O66" si="68">C66+L66</f>
        <v>175</v>
      </c>
      <c r="O66" s="32">
        <f t="shared" si="68"/>
        <v>0</v>
      </c>
      <c r="P66" s="43" t="s">
        <v>53</v>
      </c>
      <c r="Q66" s="43" t="s">
        <v>53</v>
      </c>
      <c r="R66" s="43"/>
      <c r="S66" s="39">
        <f t="shared" si="4"/>
        <v>1</v>
      </c>
      <c r="T66" s="39"/>
      <c r="U66" s="39">
        <f t="shared" si="5"/>
        <v>17</v>
      </c>
      <c r="V66" s="39">
        <f t="shared" si="6"/>
        <v>2</v>
      </c>
      <c r="W66" s="30">
        <f t="shared" si="9"/>
        <v>62</v>
      </c>
    </row>
    <row r="67">
      <c r="A67" s="30">
        <f t="shared" si="7"/>
        <v>63</v>
      </c>
      <c r="B67" s="31" t="s">
        <v>72</v>
      </c>
      <c r="C67" s="32">
        <v>166.0</v>
      </c>
      <c r="D67" s="32">
        <v>0.0</v>
      </c>
      <c r="E67" s="35" t="str">
        <f t="shared" si="2"/>
        <v>#DIV/0!</v>
      </c>
      <c r="F67" s="37">
        <v>3.0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175</v>
      </c>
      <c r="O67" s="32">
        <f t="shared" si="69"/>
        <v>0</v>
      </c>
      <c r="P67" s="43" t="s">
        <v>53</v>
      </c>
      <c r="Q67" s="43" t="s">
        <v>53</v>
      </c>
      <c r="R67" s="43"/>
      <c r="S67" s="39">
        <f t="shared" si="4"/>
        <v>1</v>
      </c>
      <c r="T67" s="39"/>
      <c r="U67" s="39">
        <f t="shared" si="5"/>
        <v>18</v>
      </c>
      <c r="V67" s="39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51" t="s">
        <v>80</v>
      </c>
      <c r="C68" s="32">
        <v>155.0</v>
      </c>
      <c r="D68" s="32">
        <v>8.0</v>
      </c>
      <c r="E68" s="35">
        <f t="shared" si="2"/>
        <v>7.4</v>
      </c>
      <c r="F68" s="37">
        <v>3.0</v>
      </c>
      <c r="G68" s="39">
        <v>0.0</v>
      </c>
      <c r="H68" s="40">
        <v>9.0</v>
      </c>
      <c r="I68" s="39">
        <v>0.0</v>
      </c>
      <c r="J68" s="39">
        <v>0.0</v>
      </c>
      <c r="K68" s="39">
        <v>0.0</v>
      </c>
      <c r="L68" s="42">
        <v>9.0</v>
      </c>
      <c r="M68" s="39">
        <v>0.0</v>
      </c>
      <c r="N68" s="32">
        <f t="shared" ref="N68:O68" si="70">C68+L68</f>
        <v>164</v>
      </c>
      <c r="O68" s="32">
        <f t="shared" si="70"/>
        <v>8</v>
      </c>
      <c r="P68" s="43" t="s">
        <v>53</v>
      </c>
      <c r="Q68" s="43" t="s">
        <v>53</v>
      </c>
      <c r="R68" s="43"/>
      <c r="S68" s="39">
        <f t="shared" si="4"/>
        <v>0</v>
      </c>
      <c r="T68" s="39"/>
      <c r="U68" s="39">
        <f t="shared" si="5"/>
        <v>9</v>
      </c>
      <c r="V68" s="39">
        <f t="shared" si="6"/>
        <v>1</v>
      </c>
      <c r="W68" s="30">
        <f t="shared" si="9"/>
        <v>64</v>
      </c>
    </row>
    <row r="69">
      <c r="A69" s="30">
        <f t="shared" si="7"/>
        <v>65</v>
      </c>
      <c r="B69" s="51" t="s">
        <v>74</v>
      </c>
      <c r="C69" s="32">
        <v>153.0</v>
      </c>
      <c r="D69" s="32">
        <v>0.0</v>
      </c>
      <c r="E69" s="35" t="str">
        <f t="shared" si="2"/>
        <v>#DIV/0!</v>
      </c>
      <c r="F69" s="37">
        <v>3.0</v>
      </c>
      <c r="G69" s="39">
        <v>0.0</v>
      </c>
      <c r="H69" s="40">
        <v>9.0</v>
      </c>
      <c r="I69" s="39">
        <v>0.0</v>
      </c>
      <c r="J69" s="39">
        <v>0.0</v>
      </c>
      <c r="K69" s="39">
        <v>0.0</v>
      </c>
      <c r="L69" s="42">
        <v>9.0</v>
      </c>
      <c r="M69" s="39">
        <v>0.0</v>
      </c>
      <c r="N69" s="32">
        <f t="shared" ref="N69:O69" si="71">C69+L69</f>
        <v>162</v>
      </c>
      <c r="O69" s="32">
        <f t="shared" si="71"/>
        <v>0</v>
      </c>
      <c r="P69" s="43" t="s">
        <v>53</v>
      </c>
      <c r="Q69" s="43" t="s">
        <v>53</v>
      </c>
      <c r="R69" s="43"/>
      <c r="S69" s="39">
        <f t="shared" si="4"/>
        <v>0</v>
      </c>
      <c r="T69" s="39"/>
      <c r="U69" s="39">
        <f t="shared" si="5"/>
        <v>19</v>
      </c>
      <c r="V69" s="39">
        <f t="shared" si="6"/>
        <v>1</v>
      </c>
      <c r="W69" s="30">
        <f t="shared" si="9"/>
        <v>65</v>
      </c>
    </row>
    <row r="70">
      <c r="A70" s="11"/>
      <c r="C70" s="11"/>
      <c r="D70" s="11"/>
      <c r="E70" s="11"/>
      <c r="F70" s="11"/>
      <c r="Q70" s="11"/>
    </row>
    <row r="71">
      <c r="A71" s="11"/>
      <c r="C71" s="11"/>
      <c r="D71" s="11"/>
      <c r="E71" s="11"/>
      <c r="F71" s="11"/>
      <c r="Q71" s="11"/>
    </row>
    <row r="72">
      <c r="A72" s="11"/>
      <c r="B72" s="58">
        <f>COUNTA(B5:B69)</f>
        <v>65</v>
      </c>
      <c r="C72" s="11"/>
      <c r="D72" s="11"/>
      <c r="E72" s="11"/>
      <c r="F72" s="11"/>
      <c r="P72" s="7" t="s">
        <v>163</v>
      </c>
      <c r="Q72" s="8">
        <f t="shared" ref="Q72:R72" si="72">COUNTA(Q5:Q69)</f>
        <v>64</v>
      </c>
      <c r="R72" s="8">
        <f t="shared" si="72"/>
        <v>1</v>
      </c>
    </row>
    <row r="73">
      <c r="A73" s="11"/>
      <c r="C73" s="11"/>
      <c r="D73" s="11"/>
      <c r="E73" s="11"/>
      <c r="F73" s="11"/>
      <c r="P73" s="7" t="s">
        <v>164</v>
      </c>
      <c r="Q73" s="8">
        <f t="shared" ref="Q73:R73" si="73">Q74-Q72</f>
        <v>1</v>
      </c>
      <c r="R73" s="8">
        <f t="shared" si="73"/>
        <v>64</v>
      </c>
    </row>
    <row r="74">
      <c r="A74" s="11"/>
      <c r="C74" s="11"/>
      <c r="D74" s="11"/>
      <c r="K74" s="49"/>
      <c r="L74" s="59"/>
      <c r="M74" s="60"/>
      <c r="P74" s="7" t="s">
        <v>60</v>
      </c>
      <c r="Q74" s="8">
        <f>B72</f>
        <v>65</v>
      </c>
      <c r="R74" s="8">
        <f>Q74</f>
        <v>65</v>
      </c>
    </row>
    <row r="75">
      <c r="A75" s="11"/>
      <c r="C75" s="11"/>
      <c r="D75" s="11"/>
      <c r="E75" s="10"/>
      <c r="F75" s="10" t="s">
        <v>127</v>
      </c>
      <c r="K75" s="49"/>
      <c r="L75" s="59"/>
      <c r="M75" s="60"/>
    </row>
    <row r="76">
      <c r="A76" s="11"/>
      <c r="C76" s="11"/>
      <c r="D76" s="11"/>
      <c r="K76" s="49"/>
      <c r="L76" s="59"/>
      <c r="M76" s="60"/>
    </row>
    <row r="77">
      <c r="A77" s="11"/>
      <c r="C77" s="11"/>
      <c r="D77" s="11"/>
      <c r="K77" s="49"/>
      <c r="L77" s="59"/>
      <c r="M77" s="60"/>
      <c r="P77" s="7" t="s">
        <v>163</v>
      </c>
      <c r="Q77" s="8"/>
      <c r="R77" s="8">
        <f>COUNTIF(R5:R69,"X")</f>
        <v>0</v>
      </c>
    </row>
    <row r="78">
      <c r="A78" s="11"/>
      <c r="B78" s="62" t="s">
        <v>129</v>
      </c>
      <c r="C78" s="62" t="s">
        <v>130</v>
      </c>
      <c r="D78" s="62" t="s">
        <v>131</v>
      </c>
      <c r="K78" s="49"/>
      <c r="L78" s="59"/>
      <c r="M78" s="60"/>
      <c r="P78" s="7" t="s">
        <v>132</v>
      </c>
      <c r="Q78" s="8"/>
      <c r="R78" s="8">
        <f>countif(R5:R69,"N")</f>
        <v>1</v>
      </c>
    </row>
    <row r="79">
      <c r="A79" s="11"/>
      <c r="B79" s="51" t="str">
        <f>IFERROR(__xludf.DUMMYFUNCTION("QUERY(B5:M69,""Select B, L, M where L &gt;= 18 order by L desc, M desc"",0)"),"Sanjaye Elayattu")</f>
        <v>Sanjaye Elayattu</v>
      </c>
      <c r="C79" s="71">
        <f>IFERROR(__xludf.DUMMYFUNCTION("""COMPUTED_VALUE"""),20.0)</f>
        <v>20</v>
      </c>
      <c r="D79" s="71">
        <f>IFERROR(__xludf.DUMMYFUNCTION("""COMPUTED_VALUE"""),3.0)</f>
        <v>3</v>
      </c>
      <c r="E79" s="11"/>
      <c r="F79" s="11"/>
      <c r="L79" s="59"/>
      <c r="M79" s="60"/>
      <c r="P79" s="7" t="s">
        <v>164</v>
      </c>
      <c r="Q79" s="8"/>
      <c r="R79" s="8">
        <f>countif(R5:R69,"")</f>
        <v>64</v>
      </c>
    </row>
    <row r="80">
      <c r="A80" s="11"/>
      <c r="B80" s="51" t="str">
        <f>IFERROR(__xludf.DUMMYFUNCTION("""COMPUTED_VALUE"""),"Elayaraja Thangaraj ")</f>
        <v>Elayaraja Thangaraj 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F80" s="11"/>
      <c r="M80" s="65"/>
      <c r="P80" s="7" t="s">
        <v>60</v>
      </c>
      <c r="Q80" s="8"/>
      <c r="R80" s="8">
        <f>sum(R77:R79)</f>
        <v>65</v>
      </c>
    </row>
    <row r="81">
      <c r="A81" s="11"/>
      <c r="B81" s="51" t="str">
        <f>IFERROR(__xludf.DUMMYFUNCTION("""COMPUTED_VALUE"""),"Nicole Ni")</f>
        <v>Nicole Ni</v>
      </c>
      <c r="C81" s="71">
        <f>IFERROR(__xludf.DUMMYFUNCTION("""COMPUTED_VALUE"""),19.0)</f>
        <v>19</v>
      </c>
      <c r="D81" s="71">
        <f>IFERROR(__xludf.DUMMYFUNCTION("""COMPUTED_VALUE"""),2.0)</f>
        <v>2</v>
      </c>
      <c r="E81" s="11"/>
      <c r="F81" s="11"/>
    </row>
    <row r="82">
      <c r="A82" s="11"/>
      <c r="B82" s="51" t="str">
        <f>IFERROR(__xludf.DUMMYFUNCTION("""COMPUTED_VALUE"""),"Adrian Tay")</f>
        <v>Adrian Tay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  <c r="F82" s="11"/>
    </row>
    <row r="83">
      <c r="A83" s="11"/>
      <c r="B83" s="51" t="str">
        <f>IFERROR(__xludf.DUMMYFUNCTION("""COMPUTED_VALUE"""),"James Phan")</f>
        <v>James Phan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  <c r="F83" s="11"/>
      <c r="L83" s="10"/>
    </row>
    <row r="84">
      <c r="A84" s="11"/>
      <c r="B84" s="51" t="str">
        <f>IFERROR(__xludf.DUMMYFUNCTION("""COMPUTED_VALUE"""),"Pavan Akkimsetty")</f>
        <v>Pavan Akkimsetty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F84" s="11"/>
      <c r="L84" s="10"/>
    </row>
    <row r="85">
      <c r="A85" s="11"/>
      <c r="B85" s="51" t="str">
        <f>IFERROR(__xludf.DUMMYFUNCTION("""COMPUTED_VALUE"""),"Pulkit Mathur")</f>
        <v>Pulkit Mathur</v>
      </c>
      <c r="C85" s="71">
        <f>IFERROR(__xludf.DUMMYFUNCTION("""COMPUTED_VALUE"""),18.0)</f>
        <v>18</v>
      </c>
      <c r="D85" s="71">
        <f>IFERROR(__xludf.DUMMYFUNCTION("""COMPUTED_VALUE"""),3.0)</f>
        <v>3</v>
      </c>
      <c r="E85" s="11"/>
      <c r="F85" s="11"/>
      <c r="L85" s="10"/>
    </row>
    <row r="86">
      <c r="A86" s="11"/>
      <c r="B86" s="51" t="str">
        <f>IFERROR(__xludf.DUMMYFUNCTION("""COMPUTED_VALUE"""),"Vinz Solano")</f>
        <v>Vinz Solano</v>
      </c>
      <c r="C86" s="71">
        <f>IFERROR(__xludf.DUMMYFUNCTION("""COMPUTED_VALUE"""),18.0)</f>
        <v>18</v>
      </c>
      <c r="D86" s="71">
        <f>IFERROR(__xludf.DUMMYFUNCTION("""COMPUTED_VALUE"""),3.0)</f>
        <v>3</v>
      </c>
      <c r="E86" s="11"/>
      <c r="F86" s="11"/>
      <c r="L86" s="10"/>
    </row>
    <row r="87">
      <c r="A87" s="11"/>
      <c r="B87" s="51" t="str">
        <f>IFERROR(__xludf.DUMMYFUNCTION("""COMPUTED_VALUE"""),"Sandy Weyant")</f>
        <v>Sandy Weyant</v>
      </c>
      <c r="C87" s="71">
        <f>IFERROR(__xludf.DUMMYFUNCTION("""COMPUTED_VALUE"""),18.0)</f>
        <v>18</v>
      </c>
      <c r="D87" s="71">
        <f>IFERROR(__xludf.DUMMYFUNCTION("""COMPUTED_VALUE"""),2.0)</f>
        <v>2</v>
      </c>
      <c r="E87" s="11"/>
      <c r="F87" s="11"/>
    </row>
    <row r="88">
      <c r="A88" s="11"/>
      <c r="B88" s="51" t="str">
        <f>IFERROR(__xludf.DUMMYFUNCTION("""COMPUTED_VALUE"""),"Manuel Rivera")</f>
        <v>Manuel Rivera</v>
      </c>
      <c r="C88" s="71">
        <f>IFERROR(__xludf.DUMMYFUNCTION("""COMPUTED_VALUE"""),18.0)</f>
        <v>18</v>
      </c>
      <c r="D88" s="71">
        <f>IFERROR(__xludf.DUMMYFUNCTION("""COMPUTED_VALUE"""),1.0)</f>
        <v>1</v>
      </c>
      <c r="E88" s="11"/>
      <c r="F88" s="11"/>
    </row>
    <row r="89">
      <c r="A89" s="11"/>
      <c r="C89" s="11"/>
      <c r="D89" s="11"/>
      <c r="E89" s="11"/>
      <c r="F89" s="11"/>
    </row>
    <row r="90">
      <c r="A90" s="11"/>
      <c r="B90" s="10"/>
      <c r="C90" s="11"/>
      <c r="D90" s="11"/>
      <c r="E90" s="11"/>
      <c r="F90" s="11"/>
      <c r="G90" s="11"/>
      <c r="H90" s="11"/>
    </row>
    <row r="91">
      <c r="A91" s="11"/>
      <c r="B91" s="10"/>
      <c r="C91" s="11"/>
      <c r="D91" s="11"/>
      <c r="E91" s="11"/>
      <c r="F91" s="11"/>
    </row>
    <row r="92" ht="37.5" customHeight="1">
      <c r="A92" s="11"/>
      <c r="B92" s="66" t="s">
        <v>135</v>
      </c>
      <c r="C92" s="66" t="s">
        <v>136</v>
      </c>
      <c r="D92" s="67" t="s">
        <v>137</v>
      </c>
      <c r="E92" s="68" t="s">
        <v>138</v>
      </c>
      <c r="F92" s="69" t="s">
        <v>139</v>
      </c>
      <c r="G92" s="66" t="s">
        <v>140</v>
      </c>
      <c r="L92" s="66" t="s">
        <v>141</v>
      </c>
    </row>
    <row r="93">
      <c r="A93" s="11"/>
      <c r="B93" s="51" t="str">
        <f>IFERROR(__xludf.DUMMYFUNCTION("query(B5:V69,""select B, V order by V Desc Limit 10"")"),"Chinna Ponnaganti")</f>
        <v>Chinna Ponnaganti</v>
      </c>
      <c r="C93" s="64">
        <f>IFERROR(__xludf.DUMMYFUNCTION("""COMPUTED_VALUE"""),7.0)</f>
        <v>7</v>
      </c>
      <c r="D93" s="64">
        <f t="shared" ref="D93:D102" si="74">VLOOKUP(B93,indirect($AB$2&amp;"!B$5:w$70"),22, false)</f>
        <v>35</v>
      </c>
      <c r="E93" s="64">
        <f t="shared" ref="E93:E102" si="75">VLOOKUP(B93,B$5:W$69,22, false)</f>
        <v>28</v>
      </c>
      <c r="F93" s="64">
        <f t="shared" ref="F93:F102" si="76">VLOOKUP(B93,indirect($AB$2&amp;"!B$5:U$70"),11, false)</f>
        <v>20</v>
      </c>
      <c r="G93" s="64">
        <f t="shared" ref="G93:G102" si="77">VLOOKUP(B93,indirect($AB$2&amp;"!B$5:U$70"),6, false)</f>
        <v>6</v>
      </c>
      <c r="L93" s="64" t="str">
        <f t="shared" ref="L93:L102" si="78">if(D93-E93=C93,"ok","Error")</f>
        <v>ok</v>
      </c>
    </row>
    <row r="94">
      <c r="A94" s="11"/>
      <c r="B94" s="51" t="str">
        <f>IFERROR(__xludf.DUMMYFUNCTION("""COMPUTED_VALUE"""),"Jonathan Phan")</f>
        <v>Jonathan Phan</v>
      </c>
      <c r="C94" s="64">
        <f>IFERROR(__xludf.DUMMYFUNCTION("""COMPUTED_VALUE"""),6.0)</f>
        <v>6</v>
      </c>
      <c r="D94" s="64">
        <f t="shared" si="74"/>
        <v>14</v>
      </c>
      <c r="E94" s="64">
        <f t="shared" si="75"/>
        <v>8</v>
      </c>
      <c r="F94" s="64">
        <f t="shared" si="76"/>
        <v>16</v>
      </c>
      <c r="G94" s="64">
        <f t="shared" si="77"/>
        <v>3</v>
      </c>
      <c r="L94" s="64" t="str">
        <f t="shared" si="78"/>
        <v>ok</v>
      </c>
    </row>
    <row r="95">
      <c r="A95" s="11"/>
      <c r="B95" s="51" t="str">
        <f>IFERROR(__xludf.DUMMYFUNCTION("""COMPUTED_VALUE"""),"David Shin")</f>
        <v>David Shin</v>
      </c>
      <c r="C95" s="64">
        <f>IFERROR(__xludf.DUMMYFUNCTION("""COMPUTED_VALUE"""),5.0)</f>
        <v>5</v>
      </c>
      <c r="D95" s="64">
        <f t="shared" si="74"/>
        <v>18</v>
      </c>
      <c r="E95" s="64">
        <f t="shared" si="75"/>
        <v>13</v>
      </c>
      <c r="F95" s="64">
        <f t="shared" si="76"/>
        <v>18</v>
      </c>
      <c r="G95" s="64">
        <f t="shared" si="77"/>
        <v>4</v>
      </c>
      <c r="L95" s="64" t="str">
        <f t="shared" si="78"/>
        <v>ok</v>
      </c>
      <c r="Q95" s="70"/>
    </row>
    <row r="96">
      <c r="A96" s="11"/>
      <c r="B96" s="51" t="str">
        <f>IFERROR(__xludf.DUMMYFUNCTION("""COMPUTED_VALUE"""),"Mauricio Palacios")</f>
        <v>Mauricio Palacios</v>
      </c>
      <c r="C96" s="64">
        <f>IFERROR(__xludf.DUMMYFUNCTION("""COMPUTED_VALUE"""),5.0)</f>
        <v>5</v>
      </c>
      <c r="D96" s="64">
        <f t="shared" si="74"/>
        <v>46</v>
      </c>
      <c r="E96" s="64">
        <f t="shared" si="75"/>
        <v>41</v>
      </c>
      <c r="F96" s="64">
        <f t="shared" si="76"/>
        <v>14</v>
      </c>
      <c r="G96" s="64">
        <f t="shared" si="77"/>
        <v>8</v>
      </c>
      <c r="L96" s="64" t="str">
        <f t="shared" si="78"/>
        <v>ok</v>
      </c>
    </row>
    <row r="97">
      <c r="A97" s="11"/>
      <c r="B97" s="51" t="str">
        <f>IFERROR(__xludf.DUMMYFUNCTION("""COMPUTED_VALUE"""),"Rajesh Dorairaj")</f>
        <v>Rajesh Dorairaj</v>
      </c>
      <c r="C97" s="64">
        <f>IFERROR(__xludf.DUMMYFUNCTION("""COMPUTED_VALUE"""),5.0)</f>
        <v>5</v>
      </c>
      <c r="D97" s="64">
        <f t="shared" si="74"/>
        <v>58</v>
      </c>
      <c r="E97" s="64">
        <f t="shared" si="75"/>
        <v>53</v>
      </c>
      <c r="F97" s="64">
        <f t="shared" si="76"/>
        <v>15</v>
      </c>
      <c r="G97" s="64">
        <f t="shared" si="77"/>
        <v>8</v>
      </c>
      <c r="L97" s="64" t="str">
        <f t="shared" si="78"/>
        <v>ok</v>
      </c>
    </row>
    <row r="98">
      <c r="A98" s="11"/>
      <c r="B98" s="51" t="str">
        <f>IFERROR(__xludf.DUMMYFUNCTION("""COMPUTED_VALUE"""),"Alejandro Mejia")</f>
        <v>Alejandro Mejia</v>
      </c>
      <c r="C98" s="64">
        <f>IFERROR(__xludf.DUMMYFUNCTION("""COMPUTED_VALUE"""),4.0)</f>
        <v>4</v>
      </c>
      <c r="D98" s="64">
        <f t="shared" si="74"/>
        <v>8</v>
      </c>
      <c r="E98" s="64">
        <f t="shared" si="75"/>
        <v>4</v>
      </c>
      <c r="F98" s="64">
        <f t="shared" si="76"/>
        <v>18</v>
      </c>
      <c r="G98" s="64">
        <f t="shared" si="77"/>
        <v>2</v>
      </c>
      <c r="L98" s="64" t="str">
        <f t="shared" si="78"/>
        <v>ok</v>
      </c>
    </row>
    <row r="99">
      <c r="A99" s="11"/>
      <c r="B99" s="51" t="str">
        <f>IFERROR(__xludf.DUMMYFUNCTION("""COMPUTED_VALUE"""),"Rajasekar Ramasamy")</f>
        <v>Rajasekar Ramasamy</v>
      </c>
      <c r="C99" s="64">
        <f>IFERROR(__xludf.DUMMYFUNCTION("""COMPUTED_VALUE"""),4.0)</f>
        <v>4</v>
      </c>
      <c r="D99" s="64">
        <f t="shared" si="74"/>
        <v>15</v>
      </c>
      <c r="E99" s="64">
        <f t="shared" si="75"/>
        <v>11</v>
      </c>
      <c r="F99" s="64">
        <f t="shared" si="76"/>
        <v>15</v>
      </c>
      <c r="G99" s="64">
        <f t="shared" si="77"/>
        <v>3</v>
      </c>
      <c r="L99" s="64" t="str">
        <f t="shared" si="78"/>
        <v>ok</v>
      </c>
    </row>
    <row r="100">
      <c r="A100" s="11"/>
      <c r="B100" s="51" t="str">
        <f>IFERROR(__xludf.DUMMYFUNCTION("""COMPUTED_VALUE"""),"Sai Dilip Ponnaganti")</f>
        <v>Sai Dilip Ponnaganti</v>
      </c>
      <c r="C100" s="64">
        <f>IFERROR(__xludf.DUMMYFUNCTION("""COMPUTED_VALUE"""),4.0)</f>
        <v>4</v>
      </c>
      <c r="D100" s="64">
        <f t="shared" si="74"/>
        <v>44</v>
      </c>
      <c r="E100" s="64">
        <f t="shared" si="75"/>
        <v>40</v>
      </c>
      <c r="F100" s="64">
        <f t="shared" si="76"/>
        <v>18</v>
      </c>
      <c r="G100" s="64">
        <f t="shared" si="77"/>
        <v>7</v>
      </c>
      <c r="L100" s="64" t="str">
        <f t="shared" si="78"/>
        <v>ok</v>
      </c>
    </row>
    <row r="101">
      <c r="A101" s="11"/>
      <c r="B101" s="51" t="str">
        <f>IFERROR(__xludf.DUMMYFUNCTION("""COMPUTED_VALUE"""),"Susanta Mishra")</f>
        <v>Susanta Mishra</v>
      </c>
      <c r="C101" s="64">
        <f>IFERROR(__xludf.DUMMYFUNCTION("""COMPUTED_VALUE"""),4.0)</f>
        <v>4</v>
      </c>
      <c r="D101" s="64">
        <f t="shared" si="74"/>
        <v>53</v>
      </c>
      <c r="E101" s="64">
        <f t="shared" si="75"/>
        <v>49</v>
      </c>
      <c r="F101" s="64">
        <f t="shared" si="76"/>
        <v>13</v>
      </c>
      <c r="G101" s="64">
        <f t="shared" si="77"/>
        <v>0</v>
      </c>
      <c r="L101" s="64" t="str">
        <f t="shared" si="78"/>
        <v>ok</v>
      </c>
    </row>
    <row r="102">
      <c r="A102" s="11"/>
      <c r="B102" s="51" t="str">
        <f>IFERROR(__xludf.DUMMYFUNCTION("""COMPUTED_VALUE"""),"Robert Chang")</f>
        <v>Robert Chang</v>
      </c>
      <c r="C102" s="64">
        <f>IFERROR(__xludf.DUMMYFUNCTION("""COMPUTED_VALUE"""),3.0)</f>
        <v>3</v>
      </c>
      <c r="D102" s="64">
        <f t="shared" si="74"/>
        <v>27</v>
      </c>
      <c r="E102" s="64">
        <f t="shared" si="75"/>
        <v>24</v>
      </c>
      <c r="F102" s="64">
        <f t="shared" si="76"/>
        <v>16</v>
      </c>
      <c r="G102" s="64">
        <f t="shared" si="77"/>
        <v>5</v>
      </c>
      <c r="L102" s="64" t="str">
        <f t="shared" si="78"/>
        <v>ok</v>
      </c>
    </row>
    <row r="103">
      <c r="A103" s="11"/>
      <c r="B103" s="10"/>
      <c r="C103" s="11"/>
      <c r="E103" s="11"/>
      <c r="F103" s="11"/>
    </row>
    <row r="104">
      <c r="A104" s="11"/>
      <c r="B104" s="10"/>
      <c r="C104" s="11"/>
      <c r="E104" s="11"/>
      <c r="F104" s="11"/>
    </row>
    <row r="105">
      <c r="A105" s="11"/>
      <c r="B105" s="62" t="s">
        <v>142</v>
      </c>
      <c r="C105" s="62" t="s">
        <v>143</v>
      </c>
      <c r="D105" s="67" t="s">
        <v>137</v>
      </c>
      <c r="E105" s="68" t="s">
        <v>138</v>
      </c>
      <c r="F105" s="69" t="s">
        <v>139</v>
      </c>
      <c r="G105" s="66" t="s">
        <v>140</v>
      </c>
      <c r="L105" s="66" t="s">
        <v>141</v>
      </c>
    </row>
    <row r="106">
      <c r="A106" s="11"/>
      <c r="B106" s="51" t="str">
        <f>IFERROR(__xludf.DUMMYFUNCTION("query(B5:V69,""select B, V order by V asc Limit 10"")"),"Frank Moon")</f>
        <v>Frank Moon</v>
      </c>
      <c r="C106" s="64">
        <f>IFERROR(__xludf.DUMMYFUNCTION("""COMPUTED_VALUE"""),-5.0)</f>
        <v>-5</v>
      </c>
      <c r="D106" s="64">
        <f t="shared" ref="D106:D115" si="79">VLOOKUP(B106,indirect($AB$2&amp;"!B$5:w$70"),22, false)</f>
        <v>10</v>
      </c>
      <c r="E106" s="64">
        <f t="shared" ref="E106:E115" si="80">VLOOKUP(B106,B$5:W$69,22, false)</f>
        <v>15</v>
      </c>
      <c r="F106" s="64">
        <f t="shared" ref="F106:F115" si="81">VLOOKUP(B106,indirect($AB$2&amp;"!B$5:U$70"),11, false)</f>
        <v>9</v>
      </c>
      <c r="G106" s="64">
        <f t="shared" ref="G106:G115" si="82">VLOOKUP(B106,indirect($AB$2&amp;"!B$5:U$70"),6, false)</f>
        <v>2</v>
      </c>
      <c r="L106" s="64" t="str">
        <f t="shared" ref="L106:L115" si="83">if(D106-E106=C106,"ok","Error")</f>
        <v>ok</v>
      </c>
    </row>
    <row r="107">
      <c r="A107" s="11"/>
      <c r="B107" s="51" t="str">
        <f>IFERROR(__xludf.DUMMYFUNCTION("""COMPUTED_VALUE"""),"Herman Au")</f>
        <v>Herman Au</v>
      </c>
      <c r="C107" s="64">
        <f>IFERROR(__xludf.DUMMYFUNCTION("""COMPUTED_VALUE"""),-5.0)</f>
        <v>-5</v>
      </c>
      <c r="D107" s="64">
        <f t="shared" si="79"/>
        <v>13</v>
      </c>
      <c r="E107" s="64">
        <f t="shared" si="80"/>
        <v>18</v>
      </c>
      <c r="F107" s="64">
        <f t="shared" si="81"/>
        <v>9</v>
      </c>
      <c r="G107" s="64">
        <f t="shared" si="82"/>
        <v>3</v>
      </c>
      <c r="L107" s="64" t="str">
        <f t="shared" si="83"/>
        <v>ok</v>
      </c>
    </row>
    <row r="108">
      <c r="A108" s="11"/>
      <c r="B108" s="51" t="str">
        <f>IFERROR(__xludf.DUMMYFUNCTION("""COMPUTED_VALUE"""),"Ramesh Bandaru")</f>
        <v>Ramesh Bandaru</v>
      </c>
      <c r="C108" s="64">
        <f>IFERROR(__xludf.DUMMYFUNCTION("""COMPUTED_VALUE"""),-5.0)</f>
        <v>-5</v>
      </c>
      <c r="D108" s="64">
        <f t="shared" si="79"/>
        <v>26</v>
      </c>
      <c r="E108" s="64">
        <f t="shared" si="80"/>
        <v>31</v>
      </c>
      <c r="F108" s="64">
        <f t="shared" si="81"/>
        <v>5</v>
      </c>
      <c r="G108" s="64">
        <f t="shared" si="82"/>
        <v>5</v>
      </c>
      <c r="L108" s="64" t="str">
        <f t="shared" si="83"/>
        <v>ok</v>
      </c>
    </row>
    <row r="109">
      <c r="A109" s="11"/>
      <c r="B109" s="51" t="str">
        <f>IFERROR(__xludf.DUMMYFUNCTION("""COMPUTED_VALUE"""),"James Phan")</f>
        <v>James Phan</v>
      </c>
      <c r="C109" s="64">
        <f>IFERROR(__xludf.DUMMYFUNCTION("""COMPUTED_VALUE"""),-4.0)</f>
        <v>-4</v>
      </c>
      <c r="D109" s="64">
        <f t="shared" si="79"/>
        <v>12</v>
      </c>
      <c r="E109" s="64">
        <f t="shared" si="80"/>
        <v>16</v>
      </c>
      <c r="F109" s="64">
        <f t="shared" si="81"/>
        <v>9</v>
      </c>
      <c r="G109" s="64">
        <f t="shared" si="82"/>
        <v>0</v>
      </c>
      <c r="L109" s="64" t="str">
        <f t="shared" si="83"/>
        <v>ok</v>
      </c>
    </row>
    <row r="110">
      <c r="A110" s="11"/>
      <c r="B110" s="51" t="str">
        <f>IFERROR(__xludf.DUMMYFUNCTION("""COMPUTED_VALUE"""),"Wayne Liu")</f>
        <v>Wayne Liu</v>
      </c>
      <c r="C110" s="64">
        <f>IFERROR(__xludf.DUMMYFUNCTION("""COMPUTED_VALUE"""),-4.0)</f>
        <v>-4</v>
      </c>
      <c r="D110" s="64">
        <f t="shared" si="79"/>
        <v>29</v>
      </c>
      <c r="E110" s="64">
        <f t="shared" si="80"/>
        <v>33</v>
      </c>
      <c r="F110" s="64">
        <f t="shared" si="81"/>
        <v>9</v>
      </c>
      <c r="G110" s="64">
        <f t="shared" si="82"/>
        <v>0</v>
      </c>
      <c r="L110" s="64" t="str">
        <f t="shared" si="83"/>
        <v>ok</v>
      </c>
    </row>
    <row r="111">
      <c r="A111" s="11"/>
      <c r="B111" s="51" t="str">
        <f>IFERROR(__xludf.DUMMYFUNCTION("""COMPUTED_VALUE"""),"Kumar Palakeel")</f>
        <v>Kumar Palakeel</v>
      </c>
      <c r="C111" s="64">
        <f>IFERROR(__xludf.DUMMYFUNCTION("""COMPUTED_VALUE"""),-4.0)</f>
        <v>-4</v>
      </c>
      <c r="D111" s="64">
        <f t="shared" si="79"/>
        <v>42</v>
      </c>
      <c r="E111" s="64">
        <f t="shared" si="80"/>
        <v>46</v>
      </c>
      <c r="F111" s="64">
        <f t="shared" si="81"/>
        <v>8</v>
      </c>
      <c r="G111" s="64">
        <f t="shared" si="82"/>
        <v>7</v>
      </c>
      <c r="L111" s="64" t="str">
        <f t="shared" si="83"/>
        <v>ok</v>
      </c>
    </row>
    <row r="112">
      <c r="A112" s="11"/>
      <c r="B112" s="51" t="str">
        <f>IFERROR(__xludf.DUMMYFUNCTION("""COMPUTED_VALUE"""),"Troy Wong")</f>
        <v>Troy Wong</v>
      </c>
      <c r="C112" s="64">
        <f>IFERROR(__xludf.DUMMYFUNCTION("""COMPUTED_VALUE"""),-3.0)</f>
        <v>-3</v>
      </c>
      <c r="D112" s="64">
        <f t="shared" si="79"/>
        <v>19</v>
      </c>
      <c r="E112" s="64">
        <f t="shared" si="80"/>
        <v>22</v>
      </c>
      <c r="F112" s="64">
        <f t="shared" si="81"/>
        <v>9</v>
      </c>
      <c r="G112" s="64">
        <f t="shared" si="82"/>
        <v>0</v>
      </c>
      <c r="L112" s="64" t="str">
        <f t="shared" si="83"/>
        <v>ok</v>
      </c>
    </row>
    <row r="113">
      <c r="A113" s="11"/>
      <c r="B113" s="51" t="str">
        <f>IFERROR(__xludf.DUMMYFUNCTION("""COMPUTED_VALUE"""),"Luis Hsu")</f>
        <v>Luis Hsu</v>
      </c>
      <c r="C113" s="64">
        <f>IFERROR(__xludf.DUMMYFUNCTION("""COMPUTED_VALUE"""),-2.0)</f>
        <v>-2</v>
      </c>
      <c r="D113" s="64">
        <f t="shared" si="79"/>
        <v>7</v>
      </c>
      <c r="E113" s="64">
        <f t="shared" si="80"/>
        <v>9</v>
      </c>
      <c r="F113" s="64">
        <f t="shared" si="81"/>
        <v>9</v>
      </c>
      <c r="G113" s="64">
        <f t="shared" si="82"/>
        <v>0</v>
      </c>
      <c r="L113" s="64" t="str">
        <f t="shared" si="83"/>
        <v>ok</v>
      </c>
    </row>
    <row r="114">
      <c r="A114" s="11"/>
      <c r="B114" s="51" t="str">
        <f>IFERROR(__xludf.DUMMYFUNCTION("""COMPUTED_VALUE"""),"Cid Macaraeg")</f>
        <v>Cid Macaraeg</v>
      </c>
      <c r="C114" s="64">
        <f>IFERROR(__xludf.DUMMYFUNCTION("""COMPUTED_VALUE"""),-2.0)</f>
        <v>-2</v>
      </c>
      <c r="D114" s="64">
        <f t="shared" si="79"/>
        <v>21</v>
      </c>
      <c r="E114" s="64">
        <f t="shared" si="80"/>
        <v>23</v>
      </c>
      <c r="F114" s="64">
        <f t="shared" si="81"/>
        <v>9</v>
      </c>
      <c r="G114" s="64">
        <f t="shared" si="82"/>
        <v>0</v>
      </c>
      <c r="L114" s="64" t="str">
        <f t="shared" si="83"/>
        <v>ok</v>
      </c>
    </row>
    <row r="115">
      <c r="A115" s="11"/>
      <c r="B115" s="51" t="str">
        <f>IFERROR(__xludf.DUMMYFUNCTION("""COMPUTED_VALUE"""),"Sanjaye Elayattu")</f>
        <v>Sanjaye Elayattu</v>
      </c>
      <c r="C115" s="64">
        <f>IFERROR(__xludf.DUMMYFUNCTION("""COMPUTED_VALUE"""),-2.0)</f>
        <v>-2</v>
      </c>
      <c r="D115" s="64">
        <f t="shared" si="79"/>
        <v>34</v>
      </c>
      <c r="E115" s="64">
        <f t="shared" si="80"/>
        <v>36</v>
      </c>
      <c r="F115" s="64">
        <f t="shared" si="81"/>
        <v>9</v>
      </c>
      <c r="G115" s="64">
        <f t="shared" si="82"/>
        <v>0</v>
      </c>
      <c r="L115" s="64" t="str">
        <f t="shared" si="83"/>
        <v>ok</v>
      </c>
    </row>
    <row r="116">
      <c r="A116" s="11"/>
      <c r="B116" s="10"/>
      <c r="C116" s="11"/>
      <c r="E116" s="11"/>
      <c r="F116" s="11"/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D120" s="11"/>
      <c r="E120" s="11"/>
      <c r="F120" s="11"/>
    </row>
    <row r="121">
      <c r="A121" s="11"/>
      <c r="B121" s="10"/>
      <c r="C121" s="11"/>
      <c r="D121" s="11"/>
      <c r="E121" s="11"/>
      <c r="F121" s="11"/>
    </row>
    <row r="122">
      <c r="A122" s="11"/>
      <c r="B122" s="10"/>
      <c r="C122" s="11"/>
      <c r="D122" s="11"/>
      <c r="E122" s="11"/>
      <c r="F122" s="11"/>
    </row>
    <row r="123">
      <c r="A123" s="11"/>
      <c r="B123" s="10"/>
      <c r="C123" s="11"/>
      <c r="D123" s="11"/>
      <c r="E123" s="11"/>
      <c r="F123" s="11"/>
    </row>
    <row r="124">
      <c r="A124" s="11"/>
      <c r="B124" s="10"/>
      <c r="C124" s="11"/>
      <c r="D124" s="11"/>
      <c r="E124" s="11"/>
      <c r="F124" s="11"/>
    </row>
    <row r="125">
      <c r="A125" s="11"/>
      <c r="B125" s="10"/>
      <c r="C125" s="11"/>
      <c r="D125" s="11"/>
      <c r="E125" s="11"/>
      <c r="F125" s="11"/>
    </row>
    <row r="126">
      <c r="A126" s="11"/>
      <c r="B126" s="10"/>
      <c r="C126" s="11"/>
      <c r="D126" s="11"/>
      <c r="E126" s="11"/>
      <c r="F126" s="11"/>
    </row>
    <row r="127">
      <c r="A127" s="11"/>
      <c r="B127" s="10"/>
      <c r="C127" s="11"/>
      <c r="D127" s="11"/>
      <c r="E127" s="11"/>
      <c r="F127" s="11"/>
    </row>
    <row r="128">
      <c r="A128" s="11"/>
      <c r="B128" s="10"/>
      <c r="C128" s="11"/>
      <c r="D128" s="11"/>
      <c r="E128" s="11"/>
      <c r="F128" s="11"/>
    </row>
    <row r="129">
      <c r="A129" s="11"/>
      <c r="B129" s="10" t="s">
        <v>165</v>
      </c>
      <c r="C129" s="11"/>
      <c r="D129" s="11"/>
      <c r="E129" s="11"/>
      <c r="F129" s="11"/>
    </row>
    <row r="130">
      <c r="A130" s="11"/>
      <c r="B130" s="27" t="s">
        <v>31</v>
      </c>
      <c r="C130" s="29" t="s">
        <v>2</v>
      </c>
      <c r="D130" s="29" t="s">
        <v>4</v>
      </c>
      <c r="E130" s="29"/>
      <c r="F130" s="29" t="s">
        <v>33</v>
      </c>
      <c r="G130" s="29" t="s">
        <v>35</v>
      </c>
      <c r="H130" s="29" t="s">
        <v>36</v>
      </c>
      <c r="I130" s="29" t="s">
        <v>6</v>
      </c>
      <c r="J130" s="29" t="s">
        <v>7</v>
      </c>
      <c r="K130" s="29" t="s">
        <v>8</v>
      </c>
      <c r="L130" s="29" t="s">
        <v>2</v>
      </c>
      <c r="M130" s="29" t="s">
        <v>4</v>
      </c>
      <c r="N130" s="28" t="s">
        <v>2</v>
      </c>
      <c r="O130" s="28" t="s">
        <v>4</v>
      </c>
    </row>
    <row r="131">
      <c r="A131" s="11"/>
      <c r="B131" s="82" t="str">
        <f>IFERROR(__xludf.DUMMYFUNCTION("QUERY(B5:O69, ""Select B, C, D, E, F, G, H, I, J, K, L, M, N   where F &gt;= 1"")"),"#REF!")</f>
        <v>#REF!</v>
      </c>
      <c r="C131" s="83"/>
      <c r="D131" s="83"/>
      <c r="E131" s="83"/>
      <c r="F131" s="83"/>
      <c r="G131" s="82"/>
      <c r="H131" s="82"/>
      <c r="I131" s="82"/>
      <c r="J131" s="82"/>
      <c r="K131" s="82"/>
      <c r="L131" s="82"/>
      <c r="M131" s="82"/>
      <c r="N131" s="82"/>
      <c r="O131" s="82"/>
    </row>
    <row r="132">
      <c r="A132" s="11"/>
      <c r="B132" s="82"/>
      <c r="C132" s="83"/>
      <c r="D132" s="83"/>
      <c r="E132" s="83"/>
      <c r="F132" s="83"/>
      <c r="G132" s="82"/>
      <c r="H132" s="82"/>
      <c r="I132" s="82"/>
      <c r="J132" s="82"/>
      <c r="K132" s="82"/>
      <c r="L132" s="82"/>
      <c r="M132" s="82"/>
      <c r="N132" s="82"/>
      <c r="O132" s="82"/>
    </row>
    <row r="133">
      <c r="A133" s="11"/>
      <c r="B133" s="82"/>
      <c r="C133" s="83"/>
      <c r="D133" s="83"/>
      <c r="E133" s="83"/>
      <c r="F133" s="83"/>
      <c r="G133" s="82"/>
      <c r="H133" s="82"/>
      <c r="I133" s="82"/>
      <c r="J133" s="82"/>
      <c r="K133" s="82"/>
      <c r="L133" s="82"/>
      <c r="M133" s="82"/>
      <c r="N133" s="82"/>
      <c r="O133" s="82"/>
    </row>
    <row r="134">
      <c r="A134" s="11"/>
      <c r="B134" s="82"/>
      <c r="C134" s="83"/>
      <c r="D134" s="83"/>
      <c r="E134" s="83"/>
      <c r="F134" s="83"/>
      <c r="G134" s="82"/>
      <c r="H134" s="82"/>
      <c r="I134" s="82"/>
      <c r="J134" s="82"/>
      <c r="K134" s="82"/>
      <c r="L134" s="82"/>
      <c r="M134" s="82"/>
      <c r="N134" s="82"/>
      <c r="O134" s="82"/>
    </row>
    <row r="135">
      <c r="A135" s="11"/>
      <c r="B135" s="84"/>
      <c r="C135" s="85"/>
      <c r="D135" s="85"/>
      <c r="E135" s="85"/>
      <c r="F135" s="85"/>
      <c r="G135" s="84"/>
      <c r="H135" s="84"/>
      <c r="I135" s="84"/>
      <c r="J135" s="84"/>
      <c r="K135" s="84"/>
      <c r="L135" s="84"/>
      <c r="M135" s="84"/>
      <c r="N135" s="84"/>
      <c r="O135" s="84"/>
    </row>
    <row r="136">
      <c r="A136" s="11"/>
      <c r="B136" s="84"/>
      <c r="C136" s="85"/>
      <c r="D136" s="85"/>
      <c r="E136" s="85"/>
      <c r="F136" s="85"/>
      <c r="G136" s="84"/>
      <c r="H136" s="84"/>
      <c r="I136" s="84"/>
      <c r="J136" s="84"/>
      <c r="K136" s="84"/>
      <c r="L136" s="84"/>
      <c r="M136" s="84"/>
      <c r="N136" s="84"/>
      <c r="O136" s="84"/>
    </row>
    <row r="137">
      <c r="A137" s="11"/>
      <c r="B137" s="84"/>
      <c r="C137" s="85"/>
      <c r="D137" s="85"/>
      <c r="E137" s="85"/>
      <c r="F137" s="85"/>
      <c r="G137" s="84"/>
      <c r="H137" s="84"/>
      <c r="I137" s="84"/>
      <c r="J137" s="84"/>
      <c r="K137" s="84"/>
      <c r="L137" s="84"/>
      <c r="M137" s="84"/>
      <c r="N137" s="84"/>
      <c r="O137" s="84"/>
    </row>
    <row r="138">
      <c r="A138" s="11"/>
      <c r="B138" s="84"/>
      <c r="C138" s="85"/>
      <c r="D138" s="85"/>
      <c r="E138" s="85"/>
      <c r="F138" s="85"/>
      <c r="G138" s="84"/>
      <c r="H138" s="84"/>
      <c r="I138" s="84"/>
      <c r="J138" s="84"/>
      <c r="K138" s="84"/>
      <c r="L138" s="84"/>
      <c r="M138" s="84"/>
      <c r="N138" s="84"/>
      <c r="O138" s="84"/>
    </row>
    <row r="139">
      <c r="A139" s="11"/>
      <c r="B139" s="84"/>
      <c r="C139" s="83"/>
      <c r="D139" s="83"/>
      <c r="E139" s="83"/>
      <c r="F139" s="83"/>
      <c r="G139" s="82"/>
      <c r="H139" s="82"/>
      <c r="I139" s="82"/>
      <c r="J139" s="82"/>
      <c r="K139" s="82"/>
      <c r="L139" s="82"/>
      <c r="M139" s="82"/>
      <c r="N139" s="82"/>
      <c r="O139" s="82"/>
    </row>
    <row r="140">
      <c r="A140" s="11"/>
      <c r="B140" s="84"/>
      <c r="C140" s="83"/>
      <c r="D140" s="83"/>
      <c r="E140" s="83"/>
      <c r="F140" s="83"/>
      <c r="G140" s="82"/>
      <c r="H140" s="82"/>
      <c r="I140" s="82"/>
      <c r="J140" s="82"/>
      <c r="K140" s="82"/>
      <c r="L140" s="82"/>
      <c r="M140" s="82"/>
      <c r="N140" s="82"/>
      <c r="O140" s="82"/>
    </row>
    <row r="141">
      <c r="A141" s="11"/>
      <c r="B141" s="82"/>
      <c r="C141" s="83"/>
      <c r="D141" s="83"/>
      <c r="E141" s="83"/>
      <c r="F141" s="83"/>
      <c r="G141" s="82"/>
      <c r="H141" s="82"/>
      <c r="I141" s="82"/>
      <c r="J141" s="82"/>
      <c r="K141" s="82"/>
      <c r="L141" s="82"/>
      <c r="M141" s="82"/>
      <c r="N141" s="82"/>
      <c r="O141" s="82"/>
    </row>
    <row r="142">
      <c r="A142" s="11"/>
      <c r="B142" s="82"/>
      <c r="C142" s="83"/>
      <c r="D142" s="83"/>
      <c r="E142" s="83"/>
      <c r="F142" s="83"/>
      <c r="G142" s="82"/>
      <c r="H142" s="82"/>
      <c r="I142" s="82"/>
      <c r="J142" s="82"/>
      <c r="K142" s="82"/>
      <c r="L142" s="82"/>
      <c r="M142" s="82"/>
      <c r="N142" s="82"/>
      <c r="O142" s="82"/>
    </row>
    <row r="143">
      <c r="A143" s="11"/>
      <c r="B143" s="84"/>
      <c r="C143" s="85"/>
      <c r="D143" s="85"/>
      <c r="E143" s="85"/>
      <c r="F143" s="85"/>
      <c r="G143" s="84"/>
      <c r="H143" s="84"/>
      <c r="I143" s="84"/>
      <c r="J143" s="84"/>
      <c r="K143" s="84"/>
      <c r="L143" s="84"/>
      <c r="M143" s="84"/>
      <c r="N143" s="84"/>
      <c r="O143" s="84"/>
    </row>
    <row r="144">
      <c r="A144" s="11"/>
      <c r="B144" s="84"/>
      <c r="C144" s="85"/>
      <c r="D144" s="85"/>
      <c r="E144" s="85"/>
      <c r="F144" s="85"/>
      <c r="G144" s="84"/>
      <c r="H144" s="84"/>
      <c r="I144" s="84"/>
      <c r="J144" s="84"/>
      <c r="K144" s="84"/>
      <c r="L144" s="84"/>
      <c r="M144" s="84"/>
      <c r="N144" s="84"/>
      <c r="O144" s="84"/>
    </row>
    <row r="145">
      <c r="A145" s="11"/>
      <c r="B145" s="84"/>
      <c r="C145" s="85"/>
      <c r="D145" s="85"/>
      <c r="E145" s="85"/>
      <c r="F145" s="85"/>
      <c r="G145" s="84"/>
      <c r="H145" s="84"/>
      <c r="I145" s="84"/>
      <c r="J145" s="84"/>
      <c r="K145" s="84"/>
      <c r="L145" s="84"/>
      <c r="M145" s="84"/>
      <c r="N145" s="84"/>
      <c r="O145" s="84"/>
    </row>
    <row r="146">
      <c r="A146" s="11"/>
      <c r="B146" s="84"/>
      <c r="C146" s="85"/>
      <c r="D146" s="85"/>
      <c r="E146" s="85"/>
      <c r="F146" s="85"/>
      <c r="G146" s="84"/>
      <c r="H146" s="84"/>
      <c r="I146" s="84"/>
      <c r="J146" s="84"/>
      <c r="K146" s="84"/>
      <c r="L146" s="84"/>
      <c r="M146" s="84"/>
      <c r="N146" s="84"/>
      <c r="O146" s="84"/>
    </row>
    <row r="147">
      <c r="A147" s="11"/>
      <c r="B147" s="82"/>
      <c r="C147" s="83"/>
      <c r="D147" s="83"/>
      <c r="E147" s="83"/>
      <c r="F147" s="83"/>
      <c r="G147" s="82"/>
      <c r="H147" s="82"/>
      <c r="I147" s="82"/>
      <c r="J147" s="82"/>
      <c r="K147" s="82"/>
      <c r="L147" s="82"/>
      <c r="M147" s="82"/>
      <c r="N147" s="82"/>
      <c r="O147" s="82"/>
    </row>
    <row r="148">
      <c r="A148" s="11"/>
      <c r="B148" s="82"/>
      <c r="C148" s="83"/>
      <c r="D148" s="83"/>
      <c r="E148" s="83"/>
      <c r="F148" s="83"/>
      <c r="G148" s="82"/>
      <c r="H148" s="82"/>
      <c r="I148" s="82"/>
      <c r="J148" s="82"/>
      <c r="K148" s="82"/>
      <c r="L148" s="82"/>
      <c r="M148" s="82"/>
      <c r="N148" s="82"/>
      <c r="O148" s="82"/>
    </row>
    <row r="149">
      <c r="A149" s="11"/>
      <c r="B149" s="82"/>
      <c r="C149" s="83"/>
      <c r="D149" s="83"/>
      <c r="E149" s="83"/>
      <c r="F149" s="83"/>
      <c r="G149" s="82"/>
      <c r="H149" s="82"/>
      <c r="I149" s="82"/>
      <c r="J149" s="82"/>
      <c r="K149" s="82"/>
      <c r="L149" s="82"/>
      <c r="M149" s="82"/>
      <c r="N149" s="82"/>
      <c r="O149" s="82"/>
    </row>
    <row r="150">
      <c r="A150" s="11"/>
      <c r="B150" s="82"/>
      <c r="C150" s="83"/>
      <c r="D150" s="83"/>
      <c r="E150" s="83"/>
      <c r="F150" s="83"/>
      <c r="G150" s="82"/>
      <c r="H150" s="82"/>
      <c r="I150" s="82"/>
      <c r="J150" s="82"/>
      <c r="K150" s="82"/>
      <c r="L150" s="82"/>
      <c r="M150" s="82"/>
      <c r="N150" s="82"/>
      <c r="O150" s="82"/>
    </row>
    <row r="151">
      <c r="A151" s="11"/>
      <c r="B151" s="84"/>
      <c r="C151" s="85"/>
      <c r="D151" s="85"/>
      <c r="E151" s="85"/>
      <c r="F151" s="85"/>
      <c r="G151" s="84"/>
      <c r="H151" s="84"/>
      <c r="I151" s="84"/>
      <c r="J151" s="84"/>
      <c r="K151" s="84"/>
      <c r="L151" s="84"/>
      <c r="M151" s="84"/>
      <c r="N151" s="84"/>
      <c r="O151" s="84"/>
    </row>
    <row r="152">
      <c r="A152" s="11"/>
      <c r="B152" s="84"/>
      <c r="C152" s="85"/>
      <c r="D152" s="85"/>
      <c r="E152" s="85"/>
      <c r="F152" s="85"/>
      <c r="G152" s="84"/>
      <c r="H152" s="84"/>
      <c r="I152" s="84"/>
      <c r="J152" s="84"/>
      <c r="K152" s="84"/>
      <c r="L152" s="84"/>
      <c r="M152" s="84"/>
      <c r="N152" s="84"/>
      <c r="O152" s="84"/>
    </row>
    <row r="153">
      <c r="A153" s="11"/>
      <c r="B153" s="84"/>
      <c r="C153" s="85"/>
      <c r="D153" s="85"/>
      <c r="E153" s="85"/>
      <c r="F153" s="85"/>
      <c r="G153" s="84"/>
      <c r="H153" s="84"/>
      <c r="I153" s="84"/>
      <c r="J153" s="84"/>
      <c r="K153" s="84"/>
      <c r="L153" s="84"/>
      <c r="M153" s="84"/>
      <c r="N153" s="84"/>
      <c r="O153" s="84"/>
    </row>
    <row r="154">
      <c r="A154" s="11"/>
      <c r="B154" s="84"/>
      <c r="C154" s="85"/>
      <c r="D154" s="85"/>
      <c r="E154" s="85"/>
      <c r="F154" s="85"/>
      <c r="G154" s="84"/>
      <c r="H154" s="84"/>
      <c r="I154" s="84"/>
      <c r="J154" s="84"/>
      <c r="K154" s="84"/>
      <c r="L154" s="84"/>
      <c r="M154" s="84"/>
      <c r="N154" s="84"/>
      <c r="O154" s="84"/>
    </row>
    <row r="155">
      <c r="A155" s="11"/>
      <c r="B155" s="82"/>
      <c r="C155" s="83"/>
      <c r="D155" s="83"/>
      <c r="E155" s="83"/>
      <c r="F155" s="83"/>
      <c r="G155" s="82"/>
      <c r="H155" s="82"/>
      <c r="I155" s="82"/>
      <c r="J155" s="82"/>
      <c r="K155" s="82"/>
      <c r="L155" s="82"/>
      <c r="M155" s="82"/>
      <c r="N155" s="82"/>
      <c r="O155" s="82"/>
    </row>
    <row r="156">
      <c r="A156" s="11"/>
      <c r="B156" s="82"/>
      <c r="C156" s="83"/>
      <c r="D156" s="83"/>
      <c r="E156" s="83"/>
      <c r="F156" s="83"/>
      <c r="G156" s="82"/>
      <c r="H156" s="82"/>
      <c r="I156" s="82"/>
      <c r="J156" s="82"/>
      <c r="K156" s="82"/>
      <c r="L156" s="82"/>
      <c r="M156" s="82"/>
      <c r="N156" s="82"/>
      <c r="O156" s="82"/>
    </row>
    <row r="157">
      <c r="A157" s="11"/>
      <c r="B157" s="82"/>
      <c r="C157" s="83"/>
      <c r="D157" s="83"/>
      <c r="E157" s="83"/>
      <c r="F157" s="83"/>
      <c r="G157" s="82"/>
      <c r="H157" s="82"/>
      <c r="I157" s="82"/>
      <c r="J157" s="82"/>
      <c r="K157" s="82"/>
      <c r="L157" s="82"/>
      <c r="M157" s="82"/>
      <c r="N157" s="82"/>
      <c r="O157" s="82"/>
    </row>
    <row r="158">
      <c r="A158" s="11"/>
      <c r="B158" s="82"/>
      <c r="C158" s="83"/>
      <c r="D158" s="83"/>
      <c r="E158" s="83"/>
      <c r="F158" s="83"/>
      <c r="G158" s="82"/>
      <c r="H158" s="82"/>
      <c r="I158" s="82"/>
      <c r="J158" s="82"/>
      <c r="K158" s="82"/>
      <c r="L158" s="82"/>
      <c r="M158" s="82"/>
      <c r="N158" s="82"/>
      <c r="O158" s="82"/>
    </row>
    <row r="159">
      <c r="A159" s="11"/>
      <c r="B159" s="84"/>
      <c r="C159" s="85"/>
      <c r="D159" s="85"/>
      <c r="E159" s="85"/>
      <c r="F159" s="85"/>
      <c r="G159" s="84"/>
      <c r="H159" s="84"/>
      <c r="I159" s="84"/>
      <c r="J159" s="84"/>
      <c r="K159" s="84"/>
      <c r="L159" s="84"/>
      <c r="M159" s="84"/>
      <c r="N159" s="84"/>
      <c r="O159" s="84"/>
    </row>
    <row r="160">
      <c r="A160" s="11"/>
      <c r="B160" s="84"/>
      <c r="C160" s="85"/>
      <c r="D160" s="85"/>
      <c r="E160" s="85"/>
      <c r="F160" s="85"/>
      <c r="G160" s="84"/>
      <c r="H160" s="84"/>
      <c r="I160" s="84"/>
      <c r="J160" s="84"/>
      <c r="K160" s="84"/>
      <c r="L160" s="84"/>
      <c r="M160" s="84"/>
      <c r="N160" s="84"/>
      <c r="O160" s="84"/>
    </row>
    <row r="161">
      <c r="A161" s="11"/>
      <c r="B161" s="84"/>
      <c r="C161" s="85"/>
      <c r="D161" s="85"/>
      <c r="E161" s="85"/>
      <c r="F161" s="85"/>
      <c r="G161" s="84"/>
      <c r="H161" s="84"/>
      <c r="I161" s="84"/>
      <c r="J161" s="84"/>
      <c r="K161" s="84"/>
      <c r="L161" s="84"/>
      <c r="M161" s="84"/>
      <c r="N161" s="84"/>
      <c r="O161" s="84"/>
    </row>
    <row r="162">
      <c r="A162" s="11"/>
      <c r="B162" s="84"/>
      <c r="C162" s="85"/>
      <c r="D162" s="85"/>
      <c r="E162" s="85"/>
      <c r="F162" s="85"/>
      <c r="G162" s="84"/>
      <c r="H162" s="84"/>
      <c r="I162" s="84"/>
      <c r="J162" s="84"/>
      <c r="K162" s="84"/>
      <c r="L162" s="84"/>
      <c r="M162" s="84"/>
      <c r="N162" s="84"/>
      <c r="O162" s="84"/>
    </row>
    <row r="163">
      <c r="A163" s="11"/>
      <c r="B163" s="17"/>
      <c r="C163" s="11"/>
      <c r="D163" s="11"/>
      <c r="E163" s="11"/>
      <c r="F163" s="11"/>
      <c r="G163" s="17"/>
      <c r="H163" s="17"/>
      <c r="I163" s="17"/>
      <c r="J163" s="17"/>
      <c r="K163" s="17"/>
      <c r="L163" s="17"/>
      <c r="M163" s="17"/>
      <c r="N163" s="17"/>
    </row>
    <row r="164">
      <c r="A164" s="11"/>
      <c r="B164" s="17"/>
      <c r="C164" s="11"/>
      <c r="D164" s="11"/>
      <c r="E164" s="11"/>
      <c r="F164" s="11"/>
      <c r="G164" s="17"/>
      <c r="H164" s="17"/>
      <c r="I164" s="17"/>
      <c r="J164" s="17"/>
      <c r="K164" s="17"/>
      <c r="L164" s="17"/>
      <c r="M164" s="17"/>
      <c r="N164" s="17"/>
    </row>
    <row r="165">
      <c r="A165" s="11"/>
      <c r="B165" s="17"/>
      <c r="C165" s="11"/>
      <c r="D165" s="11"/>
      <c r="E165" s="11"/>
      <c r="F165" s="11"/>
      <c r="G165" s="17"/>
      <c r="H165" s="17"/>
      <c r="I165" s="17"/>
      <c r="J165" s="17"/>
      <c r="K165" s="17"/>
      <c r="L165" s="17"/>
      <c r="M165" s="17"/>
      <c r="N165" s="17"/>
    </row>
    <row r="166">
      <c r="A166" s="11"/>
      <c r="B166" s="17"/>
      <c r="C166" s="11"/>
      <c r="D166" s="11"/>
      <c r="E166" s="11"/>
      <c r="F166" s="11"/>
      <c r="G166" s="17"/>
      <c r="H166" s="17"/>
      <c r="I166" s="17"/>
      <c r="J166" s="17"/>
      <c r="K166" s="17"/>
      <c r="L166" s="17"/>
      <c r="M166" s="17"/>
      <c r="N166" s="17"/>
    </row>
    <row r="167">
      <c r="A167" s="11"/>
      <c r="B167" s="17"/>
      <c r="C167" s="11"/>
      <c r="D167" s="11"/>
      <c r="E167" s="11"/>
      <c r="F167" s="11"/>
      <c r="G167" s="17"/>
      <c r="H167" s="17"/>
      <c r="I167" s="17"/>
      <c r="J167" s="17"/>
      <c r="K167" s="17"/>
      <c r="L167" s="17"/>
      <c r="M167" s="17"/>
      <c r="N167" s="17"/>
    </row>
    <row r="168">
      <c r="A168" s="11"/>
      <c r="B168" s="17"/>
      <c r="C168" s="11"/>
      <c r="D168" s="11"/>
      <c r="E168" s="11"/>
      <c r="F168" s="11"/>
      <c r="G168" s="17"/>
      <c r="H168" s="17"/>
      <c r="I168" s="17"/>
      <c r="J168" s="17"/>
      <c r="K168" s="17"/>
      <c r="L168" s="17"/>
      <c r="M168" s="17"/>
      <c r="N168" s="17"/>
    </row>
    <row r="169">
      <c r="A169" s="11"/>
      <c r="B169" s="17"/>
      <c r="C169" s="11"/>
      <c r="D169" s="11"/>
      <c r="E169" s="11"/>
      <c r="F169" s="11"/>
      <c r="G169" s="17"/>
      <c r="H169" s="17"/>
      <c r="I169" s="17"/>
      <c r="J169" s="17"/>
      <c r="K169" s="17"/>
      <c r="L169" s="17"/>
      <c r="M169" s="17"/>
      <c r="N169" s="17"/>
    </row>
    <row r="170">
      <c r="A170" s="11"/>
      <c r="B170" s="17"/>
      <c r="C170" s="11"/>
      <c r="D170" s="11"/>
      <c r="E170" s="11"/>
      <c r="F170" s="11"/>
      <c r="G170" s="17"/>
      <c r="H170" s="17"/>
      <c r="I170" s="17"/>
      <c r="J170" s="17"/>
      <c r="K170" s="17"/>
      <c r="L170" s="17"/>
      <c r="M170" s="17"/>
      <c r="N170" s="17"/>
    </row>
    <row r="171">
      <c r="A171" s="11"/>
      <c r="B171" s="17"/>
      <c r="C171" s="11"/>
      <c r="D171" s="11"/>
      <c r="E171" s="11"/>
      <c r="F171" s="11"/>
      <c r="G171" s="17"/>
      <c r="H171" s="17"/>
      <c r="I171" s="17"/>
      <c r="J171" s="17"/>
      <c r="K171" s="17"/>
      <c r="L171" s="17"/>
      <c r="M171" s="17"/>
      <c r="N171" s="17"/>
    </row>
    <row r="172">
      <c r="A172" s="11"/>
      <c r="B172" s="17"/>
      <c r="C172" s="11"/>
      <c r="D172" s="11"/>
      <c r="E172" s="11"/>
      <c r="F172" s="11"/>
      <c r="G172" s="17"/>
      <c r="H172" s="17"/>
      <c r="I172" s="17"/>
      <c r="J172" s="17"/>
      <c r="K172" s="17"/>
      <c r="L172" s="17"/>
      <c r="M172" s="17"/>
      <c r="N172" s="17"/>
    </row>
    <row r="173">
      <c r="A173" s="11"/>
      <c r="B173" s="10" t="s">
        <v>166</v>
      </c>
      <c r="C173" s="11"/>
      <c r="D173" s="11"/>
      <c r="E173" s="11"/>
      <c r="F173" s="11"/>
    </row>
    <row r="174">
      <c r="A174" s="11"/>
      <c r="B174" s="27" t="s">
        <v>31</v>
      </c>
      <c r="C174" s="29" t="s">
        <v>2</v>
      </c>
      <c r="D174" s="29" t="s">
        <v>4</v>
      </c>
      <c r="E174" s="29"/>
      <c r="F174" s="29" t="s">
        <v>33</v>
      </c>
      <c r="G174" s="29" t="s">
        <v>35</v>
      </c>
      <c r="H174" s="29" t="s">
        <v>36</v>
      </c>
      <c r="I174" s="29" t="s">
        <v>6</v>
      </c>
      <c r="J174" s="29" t="s">
        <v>7</v>
      </c>
      <c r="K174" s="29" t="s">
        <v>8</v>
      </c>
      <c r="L174" s="29" t="s">
        <v>2</v>
      </c>
      <c r="M174" s="29" t="s">
        <v>4</v>
      </c>
      <c r="N174" s="28" t="s">
        <v>2</v>
      </c>
      <c r="O174" s="28" t="s">
        <v>4</v>
      </c>
    </row>
    <row r="175">
      <c r="A175" s="11"/>
      <c r="B175" s="82" t="str">
        <f>IFERROR(__xludf.DUMMYFUNCTION("QUERY(B5:O69, ""Select B, C, D, E, F, G, H, I, J, K, L, M, N   where F = 0"")"),"#N/A")</f>
        <v>#N/A</v>
      </c>
      <c r="C175" s="83"/>
      <c r="D175" s="83"/>
      <c r="E175" s="83"/>
      <c r="F175" s="83"/>
      <c r="G175" s="82"/>
      <c r="H175" s="82"/>
      <c r="I175" s="82"/>
      <c r="J175" s="82"/>
      <c r="K175" s="82"/>
      <c r="L175" s="82"/>
      <c r="M175" s="82"/>
      <c r="N175" s="82"/>
      <c r="O175" s="82"/>
    </row>
    <row r="176">
      <c r="A176" s="11"/>
      <c r="B176" s="82"/>
      <c r="C176" s="83"/>
      <c r="D176" s="83"/>
      <c r="E176" s="83"/>
      <c r="F176" s="83"/>
      <c r="G176" s="82"/>
      <c r="H176" s="82"/>
      <c r="I176" s="82"/>
      <c r="J176" s="82"/>
      <c r="K176" s="82"/>
      <c r="L176" s="82"/>
      <c r="M176" s="82"/>
      <c r="N176" s="82"/>
      <c r="O176" s="82"/>
    </row>
    <row r="177">
      <c r="A177" s="11"/>
      <c r="B177" s="82"/>
      <c r="C177" s="83"/>
      <c r="D177" s="83"/>
      <c r="E177" s="83"/>
      <c r="F177" s="83"/>
      <c r="G177" s="82"/>
      <c r="H177" s="82"/>
      <c r="I177" s="82"/>
      <c r="J177" s="82"/>
      <c r="K177" s="82"/>
      <c r="L177" s="82"/>
      <c r="M177" s="82"/>
      <c r="N177" s="82"/>
      <c r="O177" s="82"/>
    </row>
    <row r="178">
      <c r="A178" s="11"/>
      <c r="B178" s="82"/>
      <c r="C178" s="83"/>
      <c r="D178" s="83"/>
      <c r="E178" s="83"/>
      <c r="F178" s="83"/>
      <c r="G178" s="82"/>
      <c r="H178" s="82"/>
      <c r="I178" s="82"/>
      <c r="J178" s="82"/>
      <c r="K178" s="82"/>
      <c r="L178" s="82"/>
      <c r="M178" s="82"/>
      <c r="N178" s="82"/>
      <c r="O178" s="82"/>
    </row>
    <row r="179">
      <c r="A179" s="11"/>
      <c r="B179" s="82"/>
      <c r="C179" s="83"/>
      <c r="D179" s="83"/>
      <c r="E179" s="83"/>
      <c r="F179" s="83"/>
      <c r="G179" s="82"/>
      <c r="H179" s="82"/>
      <c r="I179" s="82"/>
      <c r="J179" s="82"/>
      <c r="K179" s="82"/>
      <c r="L179" s="82"/>
      <c r="M179" s="82"/>
      <c r="N179" s="82"/>
      <c r="O179" s="82"/>
    </row>
    <row r="180">
      <c r="A180" s="11"/>
      <c r="B180" s="82"/>
      <c r="C180" s="83"/>
      <c r="D180" s="83"/>
      <c r="E180" s="83"/>
      <c r="F180" s="83"/>
      <c r="G180" s="82"/>
      <c r="H180" s="82"/>
      <c r="I180" s="82"/>
      <c r="J180" s="82"/>
      <c r="K180" s="82"/>
      <c r="L180" s="82"/>
      <c r="M180" s="82"/>
      <c r="N180" s="82"/>
      <c r="O180" s="82"/>
    </row>
    <row r="181">
      <c r="A181" s="11"/>
      <c r="B181" s="82"/>
      <c r="C181" s="83"/>
      <c r="D181" s="83"/>
      <c r="E181" s="83"/>
      <c r="F181" s="83"/>
      <c r="G181" s="82"/>
      <c r="H181" s="82"/>
      <c r="I181" s="82"/>
      <c r="J181" s="82"/>
      <c r="K181" s="82"/>
      <c r="L181" s="82"/>
      <c r="M181" s="82"/>
      <c r="N181" s="82"/>
      <c r="O181" s="82"/>
    </row>
    <row r="182">
      <c r="A182" s="11"/>
      <c r="B182" s="82"/>
      <c r="C182" s="83"/>
      <c r="D182" s="83"/>
      <c r="E182" s="83"/>
      <c r="F182" s="83"/>
      <c r="G182" s="82"/>
      <c r="H182" s="82"/>
      <c r="I182" s="82"/>
      <c r="J182" s="82"/>
      <c r="K182" s="82"/>
      <c r="L182" s="82"/>
      <c r="M182" s="82"/>
      <c r="N182" s="82"/>
      <c r="O182" s="82"/>
    </row>
    <row r="183">
      <c r="A183" s="11"/>
      <c r="B183" s="82"/>
      <c r="C183" s="83"/>
      <c r="D183" s="83"/>
      <c r="E183" s="83"/>
      <c r="F183" s="83"/>
      <c r="G183" s="82"/>
      <c r="H183" s="82"/>
      <c r="I183" s="82"/>
      <c r="J183" s="82"/>
      <c r="K183" s="82"/>
      <c r="L183" s="82"/>
      <c r="M183" s="82"/>
      <c r="N183" s="82"/>
      <c r="O183" s="82"/>
    </row>
    <row r="184">
      <c r="A184" s="11"/>
      <c r="B184" s="82"/>
      <c r="C184" s="83"/>
      <c r="D184" s="83"/>
      <c r="E184" s="83"/>
      <c r="F184" s="83"/>
      <c r="G184" s="82"/>
      <c r="H184" s="82"/>
      <c r="I184" s="82"/>
      <c r="J184" s="82"/>
      <c r="K184" s="82"/>
      <c r="L184" s="82"/>
      <c r="M184" s="82"/>
      <c r="N184" s="82"/>
      <c r="O184" s="82"/>
    </row>
    <row r="185">
      <c r="A185" s="11"/>
      <c r="B185" s="82"/>
      <c r="C185" s="83"/>
      <c r="D185" s="83"/>
      <c r="E185" s="83"/>
      <c r="F185" s="83"/>
      <c r="G185" s="82"/>
      <c r="H185" s="82"/>
      <c r="I185" s="82"/>
      <c r="J185" s="82"/>
      <c r="K185" s="82"/>
      <c r="L185" s="82"/>
      <c r="M185" s="82"/>
      <c r="N185" s="82"/>
      <c r="O185" s="82"/>
    </row>
    <row r="186">
      <c r="A186" s="11"/>
      <c r="B186" s="82"/>
      <c r="C186" s="83"/>
      <c r="D186" s="83"/>
      <c r="E186" s="83"/>
      <c r="F186" s="83"/>
      <c r="G186" s="82"/>
      <c r="H186" s="82"/>
      <c r="I186" s="82"/>
      <c r="J186" s="82"/>
      <c r="K186" s="82"/>
      <c r="L186" s="82"/>
      <c r="M186" s="82"/>
      <c r="N186" s="82"/>
      <c r="O186" s="82"/>
    </row>
    <row r="187">
      <c r="A187" s="11"/>
      <c r="B187" s="82"/>
      <c r="C187" s="83"/>
      <c r="D187" s="83"/>
      <c r="E187" s="83"/>
      <c r="F187" s="83"/>
      <c r="G187" s="82"/>
      <c r="H187" s="82"/>
      <c r="I187" s="82"/>
      <c r="J187" s="82"/>
      <c r="K187" s="82"/>
      <c r="L187" s="82"/>
      <c r="M187" s="82"/>
      <c r="N187" s="82"/>
      <c r="O187" s="82"/>
    </row>
    <row r="188">
      <c r="A188" s="11"/>
      <c r="B188" s="82"/>
      <c r="C188" s="83"/>
      <c r="D188" s="83"/>
      <c r="E188" s="83"/>
      <c r="F188" s="83"/>
      <c r="G188" s="82"/>
      <c r="H188" s="82"/>
      <c r="I188" s="82"/>
      <c r="J188" s="82"/>
      <c r="K188" s="82"/>
      <c r="L188" s="82"/>
      <c r="M188" s="82"/>
      <c r="N188" s="82"/>
      <c r="O188" s="82"/>
    </row>
    <row r="189">
      <c r="A189" s="11"/>
      <c r="B189" s="82"/>
      <c r="C189" s="83"/>
      <c r="D189" s="83"/>
      <c r="E189" s="83"/>
      <c r="F189" s="83"/>
      <c r="G189" s="82"/>
      <c r="H189" s="82"/>
      <c r="I189" s="82"/>
      <c r="J189" s="82"/>
      <c r="K189" s="82"/>
      <c r="L189" s="82"/>
      <c r="M189" s="82"/>
      <c r="N189" s="82"/>
      <c r="O189" s="82"/>
    </row>
    <row r="190">
      <c r="A190" s="11"/>
      <c r="B190" s="82"/>
      <c r="C190" s="83"/>
      <c r="D190" s="83"/>
      <c r="E190" s="83"/>
      <c r="F190" s="83"/>
      <c r="G190" s="82"/>
      <c r="H190" s="82"/>
      <c r="I190" s="82"/>
      <c r="J190" s="82"/>
      <c r="K190" s="82"/>
      <c r="L190" s="82"/>
      <c r="M190" s="82"/>
      <c r="N190" s="82"/>
      <c r="O190" s="82"/>
    </row>
    <row r="191">
      <c r="A191" s="11"/>
      <c r="B191" s="82"/>
      <c r="C191" s="83"/>
      <c r="D191" s="83"/>
      <c r="E191" s="83"/>
      <c r="F191" s="83"/>
      <c r="G191" s="82"/>
      <c r="H191" s="82"/>
      <c r="I191" s="82"/>
      <c r="J191" s="82"/>
      <c r="K191" s="82"/>
      <c r="L191" s="82"/>
      <c r="M191" s="82"/>
      <c r="N191" s="82"/>
      <c r="O191" s="82"/>
    </row>
    <row r="192">
      <c r="A192" s="11"/>
      <c r="B192" s="82"/>
      <c r="C192" s="83"/>
      <c r="D192" s="83"/>
      <c r="E192" s="83"/>
      <c r="F192" s="83"/>
      <c r="G192" s="82"/>
      <c r="H192" s="82"/>
      <c r="I192" s="82"/>
      <c r="J192" s="82"/>
      <c r="K192" s="82"/>
      <c r="L192" s="82"/>
      <c r="M192" s="82"/>
      <c r="N192" s="82"/>
      <c r="O192" s="82"/>
    </row>
    <row r="193">
      <c r="A193" s="11"/>
      <c r="B193" s="82"/>
      <c r="C193" s="83"/>
      <c r="D193" s="83"/>
      <c r="E193" s="83"/>
      <c r="F193" s="83"/>
      <c r="G193" s="82"/>
      <c r="H193" s="82"/>
      <c r="I193" s="82"/>
      <c r="J193" s="82"/>
      <c r="K193" s="82"/>
      <c r="L193" s="82"/>
      <c r="M193" s="82"/>
      <c r="N193" s="82"/>
      <c r="O193" s="82"/>
    </row>
    <row r="194">
      <c r="A194" s="11"/>
      <c r="B194" s="82"/>
      <c r="C194" s="83"/>
      <c r="D194" s="83"/>
      <c r="E194" s="83"/>
      <c r="F194" s="83"/>
      <c r="G194" s="82"/>
      <c r="H194" s="82"/>
      <c r="I194" s="82"/>
      <c r="J194" s="82"/>
      <c r="K194" s="82"/>
      <c r="L194" s="82"/>
      <c r="M194" s="82"/>
      <c r="N194" s="82"/>
      <c r="O194" s="82"/>
    </row>
    <row r="195">
      <c r="A195" s="11"/>
      <c r="B195" s="82"/>
      <c r="C195" s="83"/>
      <c r="D195" s="83"/>
      <c r="E195" s="83"/>
      <c r="F195" s="83"/>
      <c r="G195" s="82"/>
      <c r="H195" s="82"/>
      <c r="I195" s="82"/>
      <c r="J195" s="82"/>
      <c r="K195" s="82"/>
      <c r="L195" s="82"/>
      <c r="M195" s="82"/>
      <c r="N195" s="82"/>
      <c r="O195" s="82"/>
    </row>
    <row r="196">
      <c r="A196" s="11"/>
      <c r="B196" s="82"/>
      <c r="C196" s="83"/>
      <c r="D196" s="83"/>
      <c r="E196" s="83"/>
      <c r="F196" s="83"/>
      <c r="G196" s="82"/>
      <c r="H196" s="82"/>
      <c r="I196" s="82"/>
      <c r="J196" s="82"/>
      <c r="K196" s="82"/>
      <c r="L196" s="82"/>
      <c r="M196" s="82"/>
      <c r="N196" s="82"/>
      <c r="O196" s="82"/>
    </row>
    <row r="197">
      <c r="A197" s="11"/>
      <c r="B197" s="82"/>
      <c r="C197" s="83"/>
      <c r="D197" s="83"/>
      <c r="E197" s="83"/>
      <c r="F197" s="83"/>
      <c r="G197" s="82"/>
      <c r="H197" s="82"/>
      <c r="I197" s="82"/>
      <c r="J197" s="82"/>
      <c r="K197" s="82"/>
      <c r="L197" s="82"/>
      <c r="M197" s="82"/>
      <c r="N197" s="82"/>
      <c r="O197" s="82"/>
    </row>
    <row r="198">
      <c r="A198" s="11"/>
      <c r="B198" s="82"/>
      <c r="C198" s="83"/>
      <c r="D198" s="83"/>
      <c r="E198" s="83"/>
      <c r="F198" s="83"/>
      <c r="G198" s="82"/>
      <c r="H198" s="82"/>
      <c r="I198" s="82"/>
      <c r="J198" s="82"/>
      <c r="K198" s="82"/>
      <c r="L198" s="82"/>
      <c r="M198" s="82"/>
      <c r="N198" s="82"/>
      <c r="O198" s="82"/>
    </row>
    <row r="199">
      <c r="A199" s="11"/>
      <c r="B199" s="82"/>
      <c r="C199" s="83"/>
      <c r="D199" s="83"/>
      <c r="E199" s="83"/>
      <c r="F199" s="83"/>
      <c r="G199" s="82"/>
      <c r="H199" s="82"/>
      <c r="I199" s="82"/>
      <c r="J199" s="82"/>
      <c r="K199" s="82"/>
      <c r="L199" s="82"/>
      <c r="M199" s="82"/>
      <c r="N199" s="82"/>
      <c r="O199" s="82"/>
    </row>
    <row r="200">
      <c r="A200" s="11"/>
      <c r="B200" s="82"/>
      <c r="C200" s="83"/>
      <c r="D200" s="83"/>
      <c r="E200" s="83"/>
      <c r="F200" s="83"/>
      <c r="G200" s="82"/>
      <c r="H200" s="82"/>
      <c r="I200" s="82"/>
      <c r="J200" s="82"/>
      <c r="K200" s="82"/>
      <c r="L200" s="82"/>
      <c r="M200" s="82"/>
      <c r="N200" s="82"/>
      <c r="O200" s="82"/>
    </row>
    <row r="201">
      <c r="A201" s="11"/>
      <c r="B201" s="82"/>
      <c r="C201" s="83"/>
      <c r="D201" s="83"/>
      <c r="E201" s="83"/>
      <c r="F201" s="83"/>
      <c r="G201" s="82"/>
      <c r="H201" s="82"/>
      <c r="I201" s="82"/>
      <c r="J201" s="82"/>
      <c r="K201" s="82"/>
      <c r="L201" s="82"/>
      <c r="M201" s="82"/>
      <c r="N201" s="82"/>
      <c r="O201" s="82"/>
    </row>
    <row r="202">
      <c r="A202" s="11"/>
      <c r="B202" s="82"/>
      <c r="C202" s="83"/>
      <c r="D202" s="83"/>
      <c r="E202" s="83"/>
      <c r="F202" s="83"/>
      <c r="G202" s="82"/>
      <c r="H202" s="82"/>
      <c r="I202" s="82"/>
      <c r="J202" s="82"/>
      <c r="K202" s="82"/>
      <c r="L202" s="82"/>
      <c r="M202" s="82"/>
      <c r="N202" s="82"/>
      <c r="O202" s="82"/>
    </row>
    <row r="203">
      <c r="A203" s="11"/>
      <c r="B203" s="82"/>
      <c r="C203" s="83"/>
      <c r="D203" s="83"/>
      <c r="E203" s="83"/>
      <c r="F203" s="83"/>
      <c r="G203" s="82"/>
      <c r="H203" s="82"/>
      <c r="I203" s="82"/>
      <c r="J203" s="82"/>
      <c r="K203" s="82"/>
      <c r="L203" s="82"/>
      <c r="M203" s="82"/>
      <c r="N203" s="82"/>
      <c r="O203" s="82"/>
    </row>
    <row r="204">
      <c r="A204" s="11"/>
      <c r="B204" s="82"/>
      <c r="C204" s="83"/>
      <c r="D204" s="83"/>
      <c r="E204" s="83"/>
      <c r="F204" s="83"/>
      <c r="G204" s="82"/>
      <c r="H204" s="82"/>
      <c r="I204" s="82"/>
      <c r="J204" s="82"/>
      <c r="K204" s="82"/>
      <c r="L204" s="82"/>
      <c r="M204" s="82"/>
      <c r="N204" s="82"/>
      <c r="O204" s="82"/>
    </row>
    <row r="205">
      <c r="A205" s="11"/>
      <c r="B205" s="82"/>
      <c r="C205" s="83"/>
      <c r="D205" s="83"/>
      <c r="E205" s="83"/>
      <c r="F205" s="83"/>
      <c r="G205" s="82"/>
      <c r="H205" s="82"/>
      <c r="I205" s="82"/>
      <c r="J205" s="82"/>
      <c r="K205" s="82"/>
      <c r="L205" s="82"/>
      <c r="M205" s="82"/>
      <c r="N205" s="82"/>
      <c r="O205" s="82"/>
    </row>
    <row r="206">
      <c r="A206" s="11"/>
      <c r="B206" s="82"/>
      <c r="C206" s="86"/>
      <c r="D206" s="87"/>
      <c r="E206" s="86"/>
      <c r="F206" s="86"/>
      <c r="G206" s="88"/>
      <c r="H206" s="88"/>
      <c r="I206" s="88"/>
      <c r="J206" s="88"/>
      <c r="K206" s="88"/>
      <c r="L206" s="88"/>
      <c r="M206" s="88"/>
      <c r="N206" s="88"/>
      <c r="O206" s="89"/>
    </row>
    <row r="207">
      <c r="A207" s="11"/>
      <c r="B207" s="82"/>
      <c r="C207" s="86"/>
      <c r="D207" s="87"/>
      <c r="E207" s="86"/>
      <c r="F207" s="86"/>
      <c r="G207" s="88"/>
      <c r="H207" s="88"/>
      <c r="I207" s="88"/>
      <c r="J207" s="88"/>
      <c r="K207" s="88"/>
      <c r="L207" s="88"/>
      <c r="M207" s="88"/>
      <c r="N207" s="88"/>
      <c r="O207" s="89"/>
    </row>
    <row r="208">
      <c r="A208" s="11"/>
      <c r="B208" s="82"/>
      <c r="C208" s="86"/>
      <c r="D208" s="87"/>
      <c r="E208" s="86"/>
      <c r="F208" s="86"/>
      <c r="G208" s="88"/>
      <c r="H208" s="88"/>
      <c r="I208" s="88"/>
      <c r="J208" s="88"/>
      <c r="K208" s="88"/>
      <c r="L208" s="88"/>
      <c r="M208" s="88"/>
      <c r="N208" s="88"/>
      <c r="O208" s="89"/>
    </row>
    <row r="209">
      <c r="A209" s="11"/>
      <c r="B209" s="82"/>
      <c r="C209" s="86"/>
      <c r="D209" s="87"/>
      <c r="E209" s="86"/>
      <c r="F209" s="86"/>
      <c r="G209" s="88"/>
      <c r="H209" s="88"/>
      <c r="I209" s="88"/>
      <c r="J209" s="88"/>
      <c r="K209" s="88"/>
      <c r="L209" s="88"/>
      <c r="M209" s="88"/>
      <c r="N209" s="88"/>
      <c r="O209" s="89"/>
    </row>
    <row r="210">
      <c r="A210" s="11"/>
      <c r="B210" s="82"/>
      <c r="C210" s="86"/>
      <c r="D210" s="87"/>
      <c r="E210" s="86"/>
      <c r="F210" s="86"/>
      <c r="G210" s="88"/>
      <c r="H210" s="88"/>
      <c r="I210" s="88"/>
      <c r="J210" s="88"/>
      <c r="K210" s="88"/>
      <c r="L210" s="88"/>
      <c r="M210" s="88"/>
      <c r="N210" s="88"/>
      <c r="O210" s="89"/>
    </row>
    <row r="211">
      <c r="A211" s="11"/>
      <c r="B211" s="82"/>
      <c r="C211" s="86"/>
      <c r="D211" s="87"/>
      <c r="E211" s="86"/>
      <c r="F211" s="86"/>
      <c r="G211" s="88"/>
      <c r="H211" s="88"/>
      <c r="I211" s="88"/>
      <c r="J211" s="88"/>
      <c r="K211" s="88"/>
      <c r="L211" s="88"/>
      <c r="M211" s="88"/>
      <c r="N211" s="88"/>
      <c r="O211" s="89"/>
    </row>
    <row r="212">
      <c r="A212" s="11"/>
      <c r="B212" s="82"/>
      <c r="C212" s="86"/>
      <c r="D212" s="87"/>
      <c r="E212" s="86"/>
      <c r="F212" s="86"/>
      <c r="G212" s="88"/>
      <c r="H212" s="88"/>
      <c r="I212" s="88"/>
      <c r="J212" s="88"/>
      <c r="K212" s="88"/>
      <c r="L212" s="88"/>
      <c r="M212" s="88"/>
      <c r="N212" s="88"/>
      <c r="O212" s="89"/>
    </row>
    <row r="213">
      <c r="A213" s="11"/>
      <c r="B213" s="82"/>
      <c r="C213" s="86"/>
      <c r="D213" s="87"/>
      <c r="E213" s="86"/>
      <c r="F213" s="86"/>
      <c r="G213" s="88"/>
      <c r="H213" s="88"/>
      <c r="I213" s="88"/>
      <c r="J213" s="88"/>
      <c r="K213" s="88"/>
      <c r="L213" s="88"/>
      <c r="M213" s="88"/>
      <c r="N213" s="88"/>
      <c r="O213" s="89"/>
    </row>
    <row r="214">
      <c r="A214" s="11"/>
      <c r="B214" s="82"/>
      <c r="C214" s="86"/>
      <c r="D214" s="87"/>
      <c r="E214" s="86"/>
      <c r="F214" s="86"/>
      <c r="G214" s="88"/>
      <c r="H214" s="88"/>
      <c r="I214" s="88"/>
      <c r="J214" s="88"/>
      <c r="K214" s="88"/>
      <c r="L214" s="88"/>
      <c r="M214" s="88"/>
      <c r="N214" s="88"/>
      <c r="O214" s="89"/>
    </row>
    <row r="215">
      <c r="A215" s="11"/>
      <c r="B215" s="82"/>
      <c r="C215" s="86"/>
      <c r="D215" s="87"/>
      <c r="E215" s="86"/>
      <c r="F215" s="86"/>
      <c r="G215" s="88"/>
      <c r="H215" s="88"/>
      <c r="I215" s="88"/>
      <c r="J215" s="88"/>
      <c r="K215" s="88"/>
      <c r="L215" s="88"/>
      <c r="M215" s="88"/>
      <c r="N215" s="88"/>
      <c r="O215" s="89"/>
    </row>
    <row r="216">
      <c r="A216" s="11"/>
      <c r="B216" s="82"/>
      <c r="C216" s="86"/>
      <c r="D216" s="87"/>
      <c r="E216" s="86"/>
      <c r="F216" s="86"/>
      <c r="G216" s="88"/>
      <c r="H216" s="88"/>
      <c r="I216" s="88"/>
      <c r="J216" s="88"/>
      <c r="K216" s="88"/>
      <c r="L216" s="88"/>
      <c r="M216" s="88"/>
      <c r="N216" s="88"/>
      <c r="O216" s="89"/>
    </row>
    <row r="217">
      <c r="A217" s="11"/>
      <c r="B217" s="82"/>
      <c r="C217" s="86"/>
      <c r="D217" s="87"/>
      <c r="E217" s="86"/>
      <c r="F217" s="86"/>
      <c r="G217" s="88"/>
      <c r="H217" s="88"/>
      <c r="I217" s="88"/>
      <c r="J217" s="88"/>
      <c r="K217" s="88"/>
      <c r="L217" s="88"/>
      <c r="M217" s="88"/>
      <c r="N217" s="88"/>
      <c r="O217" s="89"/>
    </row>
    <row r="218">
      <c r="A218" s="11"/>
      <c r="B218" s="82"/>
      <c r="C218" s="86"/>
      <c r="D218" s="87"/>
      <c r="E218" s="86"/>
      <c r="F218" s="86"/>
      <c r="G218" s="88"/>
      <c r="H218" s="88"/>
      <c r="I218" s="88"/>
      <c r="J218" s="88"/>
      <c r="K218" s="88"/>
      <c r="L218" s="88"/>
      <c r="M218" s="88"/>
      <c r="N218" s="88"/>
      <c r="O218" s="89"/>
    </row>
    <row r="219">
      <c r="A219" s="11"/>
      <c r="B219" s="82"/>
      <c r="C219" s="86"/>
      <c r="D219" s="87"/>
      <c r="E219" s="86"/>
      <c r="F219" s="86"/>
      <c r="G219" s="88"/>
      <c r="H219" s="88"/>
      <c r="I219" s="88"/>
      <c r="J219" s="88"/>
      <c r="K219" s="88"/>
      <c r="L219" s="88"/>
      <c r="M219" s="88"/>
      <c r="N219" s="88"/>
      <c r="O219" s="89"/>
    </row>
    <row r="220">
      <c r="A220" s="11"/>
      <c r="B220" s="82"/>
      <c r="C220" s="86"/>
      <c r="D220" s="87"/>
      <c r="E220" s="86"/>
      <c r="F220" s="86"/>
      <c r="G220" s="88"/>
      <c r="H220" s="88"/>
      <c r="I220" s="88"/>
      <c r="J220" s="88"/>
      <c r="K220" s="88"/>
      <c r="L220" s="88"/>
      <c r="M220" s="88"/>
      <c r="N220" s="88"/>
      <c r="O220" s="89"/>
    </row>
    <row r="221">
      <c r="A221" s="11"/>
      <c r="B221" s="82"/>
      <c r="C221" s="86"/>
      <c r="D221" s="87"/>
      <c r="E221" s="86"/>
      <c r="F221" s="86"/>
      <c r="G221" s="88"/>
      <c r="H221" s="88"/>
      <c r="I221" s="88"/>
      <c r="J221" s="88"/>
      <c r="K221" s="88"/>
      <c r="L221" s="88"/>
      <c r="M221" s="88"/>
      <c r="N221" s="88"/>
      <c r="O221" s="89"/>
    </row>
    <row r="222">
      <c r="A222" s="11"/>
      <c r="B222" s="82"/>
      <c r="C222" s="86"/>
      <c r="D222" s="87"/>
      <c r="E222" s="86"/>
      <c r="F222" s="86"/>
      <c r="G222" s="88"/>
      <c r="H222" s="88"/>
      <c r="I222" s="88"/>
      <c r="J222" s="88"/>
      <c r="K222" s="88"/>
      <c r="L222" s="88"/>
      <c r="M222" s="88"/>
      <c r="N222" s="88"/>
      <c r="O222" s="89"/>
    </row>
    <row r="223">
      <c r="A223" s="11"/>
      <c r="B223" s="82"/>
      <c r="C223" s="86"/>
      <c r="D223" s="87"/>
      <c r="E223" s="86"/>
      <c r="F223" s="86"/>
      <c r="G223" s="88"/>
      <c r="H223" s="88"/>
      <c r="I223" s="88"/>
      <c r="J223" s="88"/>
      <c r="K223" s="88"/>
      <c r="L223" s="88"/>
      <c r="M223" s="88"/>
      <c r="N223" s="88"/>
      <c r="O223" s="89"/>
    </row>
    <row r="224">
      <c r="A224" s="11"/>
      <c r="B224" s="82"/>
      <c r="C224" s="86"/>
      <c r="D224" s="87"/>
      <c r="E224" s="86"/>
      <c r="F224" s="86"/>
      <c r="G224" s="88"/>
      <c r="H224" s="88"/>
      <c r="I224" s="88"/>
      <c r="J224" s="88"/>
      <c r="K224" s="88"/>
      <c r="L224" s="88"/>
      <c r="M224" s="88"/>
      <c r="N224" s="88"/>
      <c r="O224" s="89"/>
    </row>
    <row r="225">
      <c r="A225" s="11"/>
      <c r="B225" s="82"/>
      <c r="C225" s="86"/>
      <c r="D225" s="87"/>
      <c r="E225" s="86"/>
      <c r="F225" s="86"/>
      <c r="G225" s="88"/>
      <c r="H225" s="88"/>
      <c r="I225" s="88"/>
      <c r="J225" s="88"/>
      <c r="K225" s="88"/>
      <c r="L225" s="88"/>
      <c r="M225" s="88"/>
      <c r="N225" s="88"/>
      <c r="O225" s="89"/>
    </row>
    <row r="226">
      <c r="A226" s="11"/>
      <c r="B226" s="82"/>
      <c r="C226" s="86"/>
      <c r="D226" s="87"/>
      <c r="E226" s="86"/>
      <c r="F226" s="86"/>
      <c r="G226" s="88"/>
      <c r="H226" s="88"/>
      <c r="I226" s="88"/>
      <c r="J226" s="88"/>
      <c r="K226" s="88"/>
      <c r="L226" s="88"/>
      <c r="M226" s="88"/>
      <c r="N226" s="88"/>
      <c r="O226" s="89"/>
    </row>
    <row r="227">
      <c r="A227" s="11"/>
      <c r="B227" s="82"/>
      <c r="C227" s="86"/>
      <c r="D227" s="87"/>
      <c r="E227" s="86"/>
      <c r="F227" s="86"/>
      <c r="G227" s="88"/>
      <c r="H227" s="88"/>
      <c r="I227" s="88"/>
      <c r="J227" s="88"/>
      <c r="K227" s="88"/>
      <c r="L227" s="88"/>
      <c r="M227" s="88"/>
      <c r="N227" s="88"/>
      <c r="O227" s="89"/>
    </row>
    <row r="228">
      <c r="A228" s="11"/>
      <c r="B228" s="82"/>
      <c r="C228" s="86"/>
      <c r="D228" s="87"/>
      <c r="E228" s="86"/>
      <c r="F228" s="86"/>
      <c r="G228" s="88"/>
      <c r="H228" s="88"/>
      <c r="I228" s="88"/>
      <c r="J228" s="88"/>
      <c r="K228" s="88"/>
      <c r="L228" s="88"/>
      <c r="M228" s="88"/>
      <c r="N228" s="88"/>
      <c r="O228" s="89"/>
    </row>
    <row r="229">
      <c r="A229" s="11"/>
      <c r="B229" s="82"/>
      <c r="C229" s="86"/>
      <c r="D229" s="87"/>
      <c r="E229" s="86"/>
      <c r="F229" s="86"/>
      <c r="G229" s="88"/>
      <c r="H229" s="88"/>
      <c r="I229" s="88"/>
      <c r="J229" s="88"/>
      <c r="K229" s="88"/>
      <c r="L229" s="88"/>
      <c r="M229" s="88"/>
      <c r="N229" s="88"/>
      <c r="O229" s="89"/>
    </row>
    <row r="230">
      <c r="A230" s="11"/>
      <c r="B230" s="82"/>
      <c r="C230" s="86"/>
      <c r="D230" s="87"/>
      <c r="E230" s="86"/>
      <c r="F230" s="86"/>
      <c r="G230" s="88"/>
      <c r="H230" s="88"/>
      <c r="I230" s="88"/>
      <c r="J230" s="88"/>
      <c r="K230" s="88"/>
      <c r="L230" s="88"/>
      <c r="M230" s="88"/>
      <c r="N230" s="88"/>
      <c r="O230" s="89"/>
    </row>
    <row r="231">
      <c r="A231" s="11"/>
      <c r="B231" s="82"/>
      <c r="C231" s="86"/>
      <c r="D231" s="87"/>
      <c r="E231" s="86"/>
      <c r="F231" s="86"/>
      <c r="G231" s="88"/>
      <c r="H231" s="88"/>
      <c r="I231" s="88"/>
      <c r="J231" s="88"/>
      <c r="K231" s="88"/>
      <c r="L231" s="88"/>
      <c r="M231" s="88"/>
      <c r="N231" s="88"/>
      <c r="O231" s="89"/>
    </row>
    <row r="232">
      <c r="A232" s="11"/>
      <c r="B232" s="82"/>
      <c r="C232" s="86"/>
      <c r="D232" s="87"/>
      <c r="E232" s="86"/>
      <c r="F232" s="86"/>
      <c r="G232" s="88"/>
      <c r="H232" s="88"/>
      <c r="I232" s="88"/>
      <c r="J232" s="88"/>
      <c r="K232" s="88"/>
      <c r="L232" s="88"/>
      <c r="M232" s="88"/>
      <c r="N232" s="88"/>
      <c r="O232" s="89"/>
    </row>
    <row r="233">
      <c r="A233" s="11"/>
      <c r="B233" s="82"/>
      <c r="C233" s="86"/>
      <c r="D233" s="87"/>
      <c r="E233" s="86"/>
      <c r="F233" s="86"/>
      <c r="G233" s="88"/>
      <c r="H233" s="88"/>
      <c r="I233" s="88"/>
      <c r="J233" s="88"/>
      <c r="K233" s="88"/>
      <c r="L233" s="88"/>
      <c r="M233" s="88"/>
      <c r="N233" s="88"/>
      <c r="O233" s="89"/>
    </row>
    <row r="234">
      <c r="A234" s="11"/>
      <c r="B234" s="82"/>
      <c r="C234" s="86"/>
      <c r="D234" s="87"/>
      <c r="E234" s="86"/>
      <c r="F234" s="86"/>
      <c r="G234" s="88"/>
      <c r="H234" s="88"/>
      <c r="I234" s="88"/>
      <c r="J234" s="88"/>
      <c r="K234" s="88"/>
      <c r="L234" s="88"/>
      <c r="M234" s="88"/>
      <c r="N234" s="88"/>
      <c r="O234" s="89"/>
    </row>
    <row r="235">
      <c r="A235" s="11"/>
      <c r="B235" s="82"/>
      <c r="C235" s="86"/>
      <c r="D235" s="87"/>
      <c r="E235" s="86"/>
      <c r="F235" s="86"/>
      <c r="G235" s="88"/>
      <c r="H235" s="88"/>
      <c r="I235" s="88"/>
      <c r="J235" s="88"/>
      <c r="K235" s="88"/>
      <c r="L235" s="88"/>
      <c r="M235" s="88"/>
      <c r="N235" s="88"/>
      <c r="O235" s="89"/>
    </row>
    <row r="236">
      <c r="A236" s="11"/>
      <c r="B236" s="82"/>
      <c r="C236" s="86"/>
      <c r="D236" s="87"/>
      <c r="E236" s="86"/>
      <c r="F236" s="86"/>
      <c r="G236" s="88"/>
      <c r="H236" s="88"/>
      <c r="I236" s="88"/>
      <c r="J236" s="88"/>
      <c r="K236" s="88"/>
      <c r="L236" s="88"/>
      <c r="M236" s="88"/>
      <c r="N236" s="88"/>
      <c r="O236" s="89"/>
    </row>
    <row r="237">
      <c r="A237" s="11"/>
      <c r="B237" s="82"/>
      <c r="C237" s="86"/>
      <c r="D237" s="87"/>
      <c r="E237" s="86"/>
      <c r="F237" s="86"/>
      <c r="G237" s="88"/>
      <c r="H237" s="88"/>
      <c r="I237" s="88"/>
      <c r="J237" s="88"/>
      <c r="K237" s="88"/>
      <c r="L237" s="88"/>
      <c r="M237" s="88"/>
      <c r="N237" s="88"/>
      <c r="O237" s="89"/>
    </row>
    <row r="238">
      <c r="A238" s="11"/>
      <c r="B238" s="82"/>
      <c r="C238" s="86"/>
      <c r="D238" s="87"/>
      <c r="E238" s="86"/>
      <c r="F238" s="86"/>
      <c r="G238" s="88"/>
      <c r="H238" s="88"/>
      <c r="I238" s="88"/>
      <c r="J238" s="88"/>
      <c r="K238" s="88"/>
      <c r="L238" s="88"/>
      <c r="M238" s="88"/>
      <c r="N238" s="88"/>
      <c r="O238" s="89"/>
    </row>
    <row r="239">
      <c r="A239" s="11"/>
      <c r="B239" s="82"/>
      <c r="C239" s="86"/>
      <c r="D239" s="87"/>
      <c r="E239" s="86"/>
      <c r="F239" s="86"/>
      <c r="G239" s="88"/>
      <c r="H239" s="88"/>
      <c r="I239" s="88"/>
      <c r="J239" s="88"/>
      <c r="K239" s="88"/>
      <c r="L239" s="88"/>
      <c r="M239" s="88"/>
      <c r="N239" s="88"/>
      <c r="O239" s="89"/>
    </row>
    <row r="240">
      <c r="A240" s="11"/>
      <c r="B240" s="82"/>
      <c r="C240" s="86"/>
      <c r="D240" s="87"/>
      <c r="E240" s="86"/>
      <c r="F240" s="86"/>
      <c r="G240" s="88"/>
      <c r="H240" s="88"/>
      <c r="I240" s="88"/>
      <c r="J240" s="88"/>
      <c r="K240" s="88"/>
      <c r="L240" s="88"/>
      <c r="M240" s="88"/>
      <c r="N240" s="88"/>
      <c r="O240" s="89"/>
    </row>
    <row r="241">
      <c r="A241" s="11"/>
      <c r="C241" s="11"/>
      <c r="D241" s="11"/>
      <c r="E241" s="11"/>
      <c r="F241" s="11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53"/>
      <c r="B261" s="90" t="s">
        <v>167</v>
      </c>
      <c r="C261" s="11"/>
      <c r="D261" s="11"/>
      <c r="E261" s="11"/>
      <c r="F261" s="11"/>
      <c r="V261" s="90" t="s">
        <v>168</v>
      </c>
    </row>
    <row r="262">
      <c r="A262" s="50">
        <v>1.0</v>
      </c>
      <c r="B262" s="82" t="str">
        <f>IFERROR(__xludf.DUMMYFUNCTION("QUERY(B5:R69, ""Select B   where Q is null"")"),"Jim Miao")</f>
        <v>Jim Miao</v>
      </c>
      <c r="C262" s="11"/>
      <c r="D262" s="11"/>
      <c r="E262" s="11"/>
      <c r="F262" s="11"/>
      <c r="U262" s="82">
        <v>1.0</v>
      </c>
      <c r="V262" s="82" t="str">
        <f>IFERROR(__xludf.DUMMYFUNCTION("QUERY(B5:R69, ""Select B   where Q = 'N' "")"),"#N/A")</f>
        <v>#N/A</v>
      </c>
    </row>
    <row r="263">
      <c r="A263" s="53">
        <f t="shared" ref="A263:A283" si="84">A262+1</f>
        <v>2</v>
      </c>
      <c r="B263" s="82"/>
      <c r="C263" s="11"/>
      <c r="D263" s="11"/>
      <c r="E263" s="11"/>
      <c r="F263" s="11"/>
      <c r="U263" s="82">
        <f t="shared" ref="U263:U274" si="85">U262+1</f>
        <v>2</v>
      </c>
      <c r="V263" s="82"/>
    </row>
    <row r="264">
      <c r="A264" s="53">
        <f t="shared" si="84"/>
        <v>3</v>
      </c>
      <c r="B264" s="82"/>
      <c r="C264" s="11"/>
      <c r="D264" s="11"/>
      <c r="E264" s="11"/>
      <c r="F264" s="11"/>
      <c r="U264" s="82">
        <f t="shared" si="85"/>
        <v>3</v>
      </c>
      <c r="V264" s="82"/>
    </row>
    <row r="265">
      <c r="A265" s="53">
        <f t="shared" si="84"/>
        <v>4</v>
      </c>
      <c r="B265" s="82"/>
      <c r="C265" s="11"/>
      <c r="D265" s="11"/>
      <c r="E265" s="11"/>
      <c r="F265" s="11"/>
      <c r="U265" s="82">
        <f t="shared" si="85"/>
        <v>4</v>
      </c>
      <c r="V265" s="82"/>
    </row>
    <row r="266">
      <c r="A266" s="53">
        <f t="shared" si="84"/>
        <v>5</v>
      </c>
      <c r="B266" s="82"/>
      <c r="C266" s="11"/>
      <c r="D266" s="11"/>
      <c r="E266" s="11"/>
      <c r="F266" s="11"/>
      <c r="U266" s="82">
        <f t="shared" si="85"/>
        <v>5</v>
      </c>
      <c r="V266" s="82"/>
    </row>
    <row r="267">
      <c r="A267" s="53">
        <f t="shared" si="84"/>
        <v>6</v>
      </c>
      <c r="B267" s="82"/>
      <c r="C267" s="11"/>
      <c r="D267" s="11"/>
      <c r="E267" s="11"/>
      <c r="F267" s="11"/>
      <c r="U267" s="82">
        <f t="shared" si="85"/>
        <v>6</v>
      </c>
      <c r="V267" s="82"/>
    </row>
    <row r="268">
      <c r="A268" s="53">
        <f t="shared" si="84"/>
        <v>7</v>
      </c>
      <c r="B268" s="82"/>
      <c r="C268" s="11"/>
      <c r="D268" s="11"/>
      <c r="E268" s="11"/>
      <c r="F268" s="11"/>
      <c r="U268" s="82">
        <f t="shared" si="85"/>
        <v>7</v>
      </c>
      <c r="V268" s="82"/>
    </row>
    <row r="269">
      <c r="A269" s="53">
        <f t="shared" si="84"/>
        <v>8</v>
      </c>
      <c r="B269" s="82"/>
      <c r="C269" s="11"/>
      <c r="D269" s="11"/>
      <c r="E269" s="11"/>
      <c r="F269" s="11"/>
      <c r="U269" s="82">
        <f t="shared" si="85"/>
        <v>8</v>
      </c>
      <c r="V269" s="82"/>
    </row>
    <row r="270">
      <c r="A270" s="53">
        <f t="shared" si="84"/>
        <v>9</v>
      </c>
      <c r="B270" s="82"/>
      <c r="C270" s="11"/>
      <c r="D270" s="11"/>
      <c r="E270" s="11"/>
      <c r="F270" s="11"/>
      <c r="U270" s="82">
        <f t="shared" si="85"/>
        <v>9</v>
      </c>
      <c r="V270" s="82"/>
    </row>
    <row r="271">
      <c r="A271" s="53">
        <f t="shared" si="84"/>
        <v>10</v>
      </c>
      <c r="B271" s="82"/>
      <c r="C271" s="11"/>
      <c r="D271" s="11"/>
      <c r="E271" s="11"/>
      <c r="F271" s="11"/>
      <c r="U271" s="82">
        <f t="shared" si="85"/>
        <v>10</v>
      </c>
      <c r="V271" s="82"/>
    </row>
    <row r="272">
      <c r="A272" s="53">
        <f t="shared" si="84"/>
        <v>11</v>
      </c>
      <c r="B272" s="82"/>
      <c r="C272" s="11"/>
      <c r="D272" s="11"/>
      <c r="E272" s="11"/>
      <c r="F272" s="11"/>
      <c r="U272" s="82">
        <f t="shared" si="85"/>
        <v>11</v>
      </c>
      <c r="V272" s="82"/>
    </row>
    <row r="273">
      <c r="A273" s="53">
        <f t="shared" si="84"/>
        <v>12</v>
      </c>
      <c r="B273" s="82"/>
      <c r="C273" s="11"/>
      <c r="D273" s="11"/>
      <c r="E273" s="11"/>
      <c r="F273" s="11"/>
      <c r="U273" s="82">
        <f t="shared" si="85"/>
        <v>12</v>
      </c>
      <c r="V273" s="82"/>
    </row>
    <row r="274">
      <c r="A274" s="53">
        <f t="shared" si="84"/>
        <v>13</v>
      </c>
      <c r="B274" s="82"/>
      <c r="C274" s="11"/>
      <c r="D274" s="11"/>
      <c r="E274" s="11"/>
      <c r="F274" s="11"/>
      <c r="U274" s="82">
        <f t="shared" si="85"/>
        <v>13</v>
      </c>
      <c r="V274" s="82"/>
    </row>
    <row r="275">
      <c r="A275" s="53">
        <f t="shared" si="84"/>
        <v>14</v>
      </c>
      <c r="B275" s="82"/>
      <c r="C275" s="11"/>
      <c r="D275" s="11"/>
      <c r="E275" s="11"/>
      <c r="F275" s="11"/>
      <c r="U275" s="82"/>
      <c r="V275" s="82"/>
    </row>
    <row r="276">
      <c r="A276" s="53">
        <f t="shared" si="84"/>
        <v>15</v>
      </c>
      <c r="B276" s="82"/>
      <c r="C276" s="11"/>
      <c r="D276" s="11"/>
      <c r="E276" s="11"/>
      <c r="F276" s="11"/>
      <c r="U276" s="82"/>
      <c r="V276" s="82"/>
    </row>
    <row r="277">
      <c r="A277" s="53">
        <f t="shared" si="84"/>
        <v>16</v>
      </c>
      <c r="B277" s="82"/>
      <c r="C277" s="11"/>
      <c r="D277" s="11"/>
      <c r="E277" s="11"/>
      <c r="F277" s="11"/>
      <c r="U277" s="82"/>
      <c r="V277" s="82"/>
    </row>
    <row r="278">
      <c r="A278" s="53">
        <f t="shared" si="84"/>
        <v>17</v>
      </c>
      <c r="B278" s="82"/>
      <c r="C278" s="11"/>
      <c r="D278" s="11"/>
      <c r="E278" s="11"/>
      <c r="F278" s="11"/>
      <c r="U278" s="82"/>
      <c r="V278" s="82"/>
    </row>
    <row r="279">
      <c r="A279" s="53">
        <f t="shared" si="84"/>
        <v>18</v>
      </c>
      <c r="B279" s="82"/>
      <c r="C279" s="11"/>
      <c r="D279" s="11"/>
      <c r="E279" s="11"/>
      <c r="F279" s="11"/>
      <c r="U279" s="82"/>
      <c r="V279" s="82"/>
    </row>
    <row r="280">
      <c r="A280" s="53">
        <f t="shared" si="84"/>
        <v>19</v>
      </c>
      <c r="B280" s="82"/>
      <c r="C280" s="11"/>
      <c r="D280" s="11"/>
      <c r="E280" s="11"/>
      <c r="F280" s="11"/>
      <c r="U280" s="82"/>
      <c r="V280" s="82"/>
    </row>
    <row r="281">
      <c r="A281" s="53">
        <f t="shared" si="84"/>
        <v>20</v>
      </c>
      <c r="B281" s="82"/>
      <c r="C281" s="11"/>
      <c r="D281" s="11"/>
      <c r="E281" s="11"/>
      <c r="F281" s="11"/>
      <c r="U281" s="82"/>
      <c r="V281" s="82"/>
    </row>
    <row r="282">
      <c r="A282" s="53">
        <f t="shared" si="84"/>
        <v>21</v>
      </c>
      <c r="B282" s="82"/>
      <c r="C282" s="11"/>
      <c r="D282" s="11"/>
      <c r="E282" s="11"/>
      <c r="F282" s="11"/>
      <c r="U282" s="82"/>
      <c r="V282" s="82"/>
    </row>
    <row r="283">
      <c r="A283" s="82">
        <f t="shared" si="84"/>
        <v>22</v>
      </c>
      <c r="B283" s="82"/>
      <c r="C283" s="11"/>
      <c r="D283" s="11"/>
      <c r="E283" s="11"/>
      <c r="F283" s="11"/>
    </row>
    <row r="284">
      <c r="A284" s="82"/>
      <c r="B284" s="82"/>
      <c r="C284" s="11"/>
      <c r="D284" s="11"/>
      <c r="E284" s="11"/>
      <c r="F284" s="11"/>
    </row>
    <row r="285">
      <c r="A285" s="82"/>
      <c r="B285" s="82"/>
      <c r="C285" s="11"/>
      <c r="D285" s="11"/>
      <c r="E285" s="11"/>
      <c r="F285" s="11"/>
    </row>
    <row r="286">
      <c r="A286" s="82"/>
      <c r="B286" s="82"/>
      <c r="C286" s="11"/>
      <c r="D286" s="11"/>
      <c r="E286" s="11"/>
      <c r="F286" s="11"/>
    </row>
    <row r="287">
      <c r="A287" s="82"/>
      <c r="B287" s="82"/>
      <c r="C287" s="11"/>
      <c r="D287" s="11"/>
      <c r="E287" s="11"/>
      <c r="F287" s="11"/>
    </row>
    <row r="288">
      <c r="A288" s="82"/>
      <c r="B288" s="82"/>
      <c r="C288" s="11"/>
      <c r="D288" s="11"/>
      <c r="E288" s="11"/>
      <c r="F288" s="11"/>
    </row>
    <row r="289">
      <c r="A289" s="82"/>
      <c r="B289" s="82"/>
      <c r="C289" s="11"/>
      <c r="D289" s="11"/>
      <c r="E289" s="11"/>
      <c r="F289" s="11"/>
    </row>
    <row r="290">
      <c r="A290" s="82"/>
      <c r="B290" s="82"/>
      <c r="C290" s="11"/>
      <c r="D290" s="11"/>
      <c r="E290" s="11"/>
      <c r="F290" s="11"/>
    </row>
    <row r="291">
      <c r="A291" s="82"/>
      <c r="B291" s="82"/>
      <c r="C291" s="11"/>
      <c r="D291" s="11"/>
      <c r="E291" s="11"/>
      <c r="F291" s="11"/>
    </row>
    <row r="292">
      <c r="A292" s="82"/>
      <c r="B292" s="82"/>
      <c r="C292" s="11"/>
      <c r="D292" s="11"/>
      <c r="E292" s="11"/>
      <c r="F292" s="11"/>
    </row>
    <row r="293">
      <c r="A293" s="82"/>
      <c r="B293" s="82"/>
      <c r="C293" s="11"/>
      <c r="D293" s="11"/>
      <c r="E293" s="11"/>
      <c r="F293" s="11"/>
    </row>
    <row r="294">
      <c r="A294" s="82"/>
      <c r="B294" s="82"/>
      <c r="C294" s="11"/>
      <c r="D294" s="11"/>
      <c r="E294" s="11"/>
      <c r="F294" s="11"/>
    </row>
    <row r="295">
      <c r="A295" s="82"/>
      <c r="B295" s="82"/>
      <c r="C295" s="11"/>
      <c r="D295" s="11"/>
      <c r="E295" s="11"/>
      <c r="F295" s="11"/>
    </row>
    <row r="296">
      <c r="A296" s="82"/>
      <c r="B296" s="82"/>
      <c r="C296" s="11"/>
      <c r="D296" s="11"/>
      <c r="E296" s="11"/>
      <c r="F296" s="11"/>
    </row>
    <row r="297">
      <c r="A297" s="82"/>
      <c r="B297" s="82"/>
      <c r="C297" s="11"/>
      <c r="D297" s="11"/>
      <c r="E297" s="11"/>
      <c r="F297" s="11"/>
    </row>
    <row r="298">
      <c r="A298" s="82"/>
      <c r="B298" s="82"/>
      <c r="C298" s="11"/>
      <c r="D298" s="11"/>
      <c r="E298" s="11"/>
      <c r="F298" s="11"/>
    </row>
    <row r="299">
      <c r="A299" s="82"/>
      <c r="B299" s="82"/>
      <c r="C299" s="11"/>
      <c r="D299" s="11"/>
      <c r="E299" s="11"/>
      <c r="F299" s="11"/>
    </row>
    <row r="300">
      <c r="A300" s="82"/>
      <c r="B300" s="82"/>
      <c r="C300" s="11"/>
      <c r="D300" s="11"/>
      <c r="E300" s="11"/>
      <c r="F300" s="11"/>
    </row>
    <row r="301">
      <c r="A301" s="82"/>
      <c r="B301" s="82"/>
      <c r="C301" s="11"/>
      <c r="D301" s="11"/>
      <c r="E301" s="11"/>
      <c r="F301" s="11"/>
    </row>
    <row r="302">
      <c r="A302" s="82"/>
      <c r="B302" s="82"/>
      <c r="C302" s="11"/>
      <c r="D302" s="11"/>
      <c r="E302" s="11"/>
      <c r="F302" s="11"/>
    </row>
    <row r="303">
      <c r="A303" s="82"/>
      <c r="B303" s="82"/>
      <c r="C303" s="11"/>
      <c r="D303" s="11"/>
      <c r="E303" s="11"/>
      <c r="F303" s="11"/>
    </row>
    <row r="304">
      <c r="A304" s="82"/>
      <c r="B304" s="82"/>
      <c r="C304" s="11"/>
      <c r="D304" s="11"/>
      <c r="E304" s="11"/>
      <c r="F304" s="11"/>
    </row>
    <row r="305">
      <c r="A305" s="82"/>
      <c r="B305" s="82"/>
      <c r="C305" s="11"/>
      <c r="D305" s="11"/>
      <c r="E305" s="11"/>
      <c r="F305" s="11"/>
    </row>
    <row r="306">
      <c r="A306" s="82"/>
      <c r="B306" s="82"/>
      <c r="C306" s="11"/>
      <c r="D306" s="11"/>
      <c r="E306" s="11"/>
      <c r="F306" s="11"/>
    </row>
    <row r="307">
      <c r="A307" s="82"/>
      <c r="B307" s="82"/>
      <c r="C307" s="11"/>
      <c r="D307" s="11"/>
      <c r="E307" s="11"/>
      <c r="F307" s="11"/>
    </row>
    <row r="308">
      <c r="A308" s="82"/>
      <c r="B308" s="82"/>
      <c r="C308" s="11"/>
      <c r="D308" s="11"/>
      <c r="E308" s="11"/>
      <c r="F308" s="11"/>
    </row>
    <row r="309">
      <c r="A309" s="82"/>
      <c r="B309" s="82"/>
      <c r="C309" s="11"/>
      <c r="D309" s="11"/>
      <c r="E309" s="11"/>
      <c r="F309" s="11"/>
    </row>
    <row r="310">
      <c r="A310" s="82"/>
      <c r="B310" s="82"/>
      <c r="C310" s="11"/>
      <c r="D310" s="11"/>
      <c r="E310" s="11"/>
      <c r="F310" s="11"/>
    </row>
    <row r="311">
      <c r="A311" s="82"/>
      <c r="B311" s="82"/>
      <c r="C311" s="11"/>
      <c r="D311" s="11"/>
      <c r="E311" s="11"/>
      <c r="F311" s="11"/>
    </row>
    <row r="312">
      <c r="A312" s="82"/>
      <c r="B312" s="82"/>
      <c r="C312" s="11"/>
      <c r="D312" s="11"/>
      <c r="E312" s="11"/>
      <c r="F312" s="11"/>
    </row>
    <row r="313">
      <c r="A313" s="82"/>
      <c r="B313" s="82"/>
      <c r="C313" s="11"/>
      <c r="D313" s="11"/>
      <c r="E313" s="11"/>
      <c r="F313" s="11"/>
    </row>
    <row r="314">
      <c r="A314" s="82"/>
      <c r="B314" s="82"/>
      <c r="C314" s="11"/>
      <c r="D314" s="11"/>
      <c r="E314" s="11"/>
      <c r="F314" s="11"/>
    </row>
    <row r="315">
      <c r="A315" s="82"/>
      <c r="B315" s="82"/>
      <c r="C315" s="11"/>
      <c r="D315" s="11"/>
      <c r="E315" s="11"/>
      <c r="F315" s="11"/>
    </row>
    <row r="316">
      <c r="A316" s="82"/>
      <c r="B316" s="82"/>
      <c r="C316" s="11"/>
      <c r="D316" s="11"/>
      <c r="E316" s="11"/>
      <c r="F316" s="11"/>
    </row>
    <row r="317">
      <c r="A317" s="82"/>
      <c r="B317" s="82"/>
      <c r="C317" s="11"/>
      <c r="D317" s="11"/>
      <c r="E317" s="11"/>
      <c r="F317" s="11"/>
    </row>
    <row r="318">
      <c r="A318" s="82"/>
      <c r="B318" s="82"/>
      <c r="C318" s="11"/>
      <c r="D318" s="11"/>
      <c r="E318" s="11"/>
      <c r="F318" s="11"/>
    </row>
    <row r="319">
      <c r="A319" s="82"/>
      <c r="B319" s="82"/>
      <c r="C319" s="11"/>
      <c r="D319" s="11"/>
      <c r="E319" s="11"/>
      <c r="F319" s="11"/>
    </row>
    <row r="320">
      <c r="A320" s="82"/>
      <c r="B320" s="82"/>
      <c r="C320" s="11"/>
      <c r="D320" s="11"/>
      <c r="E320" s="11"/>
      <c r="F320" s="11"/>
    </row>
    <row r="321">
      <c r="A321" s="82"/>
      <c r="B321" s="82"/>
      <c r="C321" s="11"/>
      <c r="D321" s="11"/>
      <c r="E321" s="11"/>
      <c r="F321" s="11"/>
    </row>
    <row r="322">
      <c r="A322" s="82"/>
      <c r="B322" s="82"/>
      <c r="C322" s="11"/>
      <c r="D322" s="11"/>
      <c r="E322" s="11"/>
      <c r="F322" s="11"/>
    </row>
    <row r="323">
      <c r="A323" s="82"/>
      <c r="B323" s="82"/>
      <c r="C323" s="11"/>
      <c r="D323" s="11"/>
      <c r="E323" s="11"/>
      <c r="F323" s="11"/>
    </row>
    <row r="324">
      <c r="A324" s="82"/>
      <c r="B324" s="82"/>
      <c r="C324" s="11"/>
      <c r="D324" s="11"/>
      <c r="E324" s="11"/>
      <c r="F324" s="11"/>
    </row>
    <row r="325">
      <c r="A325" s="82"/>
      <c r="B325" s="82"/>
      <c r="C325" s="11"/>
      <c r="D325" s="11"/>
      <c r="E325" s="11"/>
      <c r="F325" s="11"/>
    </row>
    <row r="326">
      <c r="A326" s="82"/>
      <c r="B326" s="82"/>
      <c r="C326" s="11"/>
      <c r="D326" s="11"/>
      <c r="E326" s="11"/>
      <c r="F326" s="11"/>
    </row>
    <row r="327">
      <c r="A327" s="11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B343" s="17" t="str">
        <f>IFERROR(__xludf.DUMMYFUNCTION("query(B5:V69,""select B, U order by U Desc"")"),"Jose Ortiz")</f>
        <v>Jose Ortiz</v>
      </c>
      <c r="C343" s="92">
        <f>IFERROR(__xludf.DUMMYFUNCTION("""COMPUTED_VALUE"""),19.0)</f>
        <v>19</v>
      </c>
      <c r="D343" s="11"/>
      <c r="E343" s="11"/>
      <c r="F343" s="11"/>
    </row>
    <row r="344">
      <c r="A344" s="11"/>
      <c r="B344" s="17" t="str">
        <f>IFERROR(__xludf.DUMMYFUNCTION("""COMPUTED_VALUE"""),"Eric Pan")</f>
        <v>Eric Pan</v>
      </c>
      <c r="C344" s="92">
        <f>IFERROR(__xludf.DUMMYFUNCTION("""COMPUTED_VALUE"""),18.0)</f>
        <v>18</v>
      </c>
      <c r="D344" s="11"/>
      <c r="E344" s="11"/>
      <c r="F344" s="11"/>
    </row>
    <row r="345">
      <c r="A345" s="11"/>
      <c r="B345" s="17" t="str">
        <f>IFERROR(__xludf.DUMMYFUNCTION("""COMPUTED_VALUE"""),"Peter Homsey")</f>
        <v>Peter Homsey</v>
      </c>
      <c r="C345" s="92">
        <f>IFERROR(__xludf.DUMMYFUNCTION("""COMPUTED_VALUE"""),18.0)</f>
        <v>18</v>
      </c>
      <c r="D345" s="11"/>
      <c r="E345" s="11"/>
      <c r="F345" s="11"/>
    </row>
    <row r="346">
      <c r="A346" s="11"/>
      <c r="B346" s="17" t="str">
        <f>IFERROR(__xludf.DUMMYFUNCTION("""COMPUTED_VALUE"""),"Trinath Goteti")</f>
        <v>Trinath Goteti</v>
      </c>
      <c r="C346" s="92">
        <f>IFERROR(__xludf.DUMMYFUNCTION("""COMPUTED_VALUE"""),17.0)</f>
        <v>17</v>
      </c>
      <c r="D346" s="11"/>
      <c r="E346" s="11"/>
      <c r="F346" s="11"/>
      <c r="O346" s="93" t="str">
        <f>getAllSheetNames()</f>
        <v>#NAME?</v>
      </c>
    </row>
    <row r="347">
      <c r="A347" s="11"/>
      <c r="B347" s="17" t="str">
        <f>IFERROR(__xludf.DUMMYFUNCTION("""COMPUTED_VALUE"""),"Manish Anand")</f>
        <v>Manish Anand</v>
      </c>
      <c r="C347" s="92">
        <f>IFERROR(__xludf.DUMMYFUNCTION("""COMPUTED_VALUE"""),17.0)</f>
        <v>17</v>
      </c>
      <c r="D347" s="11"/>
      <c r="E347" s="11"/>
      <c r="F347" s="11"/>
    </row>
    <row r="348">
      <c r="A348" s="11"/>
      <c r="B348" s="17" t="str">
        <f>IFERROR(__xludf.DUMMYFUNCTION("""COMPUTED_VALUE"""),"Amit Patel")</f>
        <v>Amit Patel</v>
      </c>
      <c r="C348" s="92">
        <f>IFERROR(__xludf.DUMMYFUNCTION("""COMPUTED_VALUE"""),17.0)</f>
        <v>17</v>
      </c>
      <c r="D348" s="11"/>
      <c r="E348" s="11"/>
      <c r="F348" s="11"/>
    </row>
    <row r="349">
      <c r="A349" s="11"/>
      <c r="B349" s="17" t="str">
        <f>IFERROR(__xludf.DUMMYFUNCTION("""COMPUTED_VALUE"""),"Nohely Mejia")</f>
        <v>Nohely Mejia</v>
      </c>
      <c r="C349" s="92">
        <f>IFERROR(__xludf.DUMMYFUNCTION("""COMPUTED_VALUE"""),16.0)</f>
        <v>16</v>
      </c>
      <c r="D349" s="11"/>
      <c r="E349" s="11"/>
      <c r="F349" s="11"/>
    </row>
    <row r="350">
      <c r="A350" s="11"/>
      <c r="B350" s="17" t="str">
        <f>IFERROR(__xludf.DUMMYFUNCTION("""COMPUTED_VALUE"""),"Leigh-Anh Nguyen")</f>
        <v>Leigh-Anh Nguyen</v>
      </c>
      <c r="C350" s="92">
        <f>IFERROR(__xludf.DUMMYFUNCTION("""COMPUTED_VALUE"""),16.0)</f>
        <v>16</v>
      </c>
      <c r="D350" s="11"/>
      <c r="E350" s="11"/>
      <c r="F350" s="11"/>
    </row>
    <row r="351">
      <c r="A351" s="11"/>
      <c r="B351" s="17" t="str">
        <f>IFERROR(__xludf.DUMMYFUNCTION("""COMPUTED_VALUE"""),"Tony Lin")</f>
        <v>Tony Lin</v>
      </c>
      <c r="C351" s="92">
        <f>IFERROR(__xludf.DUMMYFUNCTION("""COMPUTED_VALUE"""),15.0)</f>
        <v>15</v>
      </c>
      <c r="D351" s="11"/>
      <c r="E351" s="11"/>
      <c r="F351" s="11"/>
    </row>
    <row r="352">
      <c r="A352" s="11"/>
      <c r="B352" s="17" t="str">
        <f>IFERROR(__xludf.DUMMYFUNCTION("""COMPUTED_VALUE"""),"Susanta Mishra")</f>
        <v>Susanta Mishra</v>
      </c>
      <c r="C352" s="92">
        <f>IFERROR(__xludf.DUMMYFUNCTION("""COMPUTED_VALUE"""),15.0)</f>
        <v>15</v>
      </c>
      <c r="D352" s="11"/>
      <c r="E352" s="11"/>
      <c r="F352" s="11"/>
    </row>
    <row r="353">
      <c r="A353" s="11"/>
      <c r="B353" s="17" t="str">
        <f>IFERROR(__xludf.DUMMYFUNCTION("""COMPUTED_VALUE"""),"Sai Dilip Ponnaganti")</f>
        <v>Sai Dilip Ponnaganti</v>
      </c>
      <c r="C353" s="92">
        <f>IFERROR(__xludf.DUMMYFUNCTION("""COMPUTED_VALUE"""),14.0)</f>
        <v>14</v>
      </c>
      <c r="D353" s="11"/>
      <c r="E353" s="11"/>
      <c r="F353" s="11"/>
    </row>
    <row r="354">
      <c r="A354" s="11"/>
      <c r="B354" s="17" t="str">
        <f>IFERROR(__xludf.DUMMYFUNCTION("""COMPUTED_VALUE"""),"Santosh Sundaresan ")</f>
        <v>Santosh Sundaresan </v>
      </c>
      <c r="C354" s="92">
        <f>IFERROR(__xludf.DUMMYFUNCTION("""COMPUTED_VALUE"""),14.0)</f>
        <v>14</v>
      </c>
      <c r="D354" s="11"/>
      <c r="E354" s="11"/>
      <c r="F354" s="11"/>
    </row>
    <row r="355">
      <c r="A355" s="11"/>
      <c r="B355" s="17" t="str">
        <f>IFERROR(__xludf.DUMMYFUNCTION("""COMPUTED_VALUE"""),"Naveen Raj")</f>
        <v>Naveen Raj</v>
      </c>
      <c r="C355" s="92">
        <f>IFERROR(__xludf.DUMMYFUNCTION("""COMPUTED_VALUE"""),14.0)</f>
        <v>14</v>
      </c>
      <c r="D355" s="11"/>
      <c r="E355" s="11"/>
      <c r="F355" s="11"/>
    </row>
    <row r="356">
      <c r="A356" s="11"/>
      <c r="B356" s="17" t="str">
        <f>IFERROR(__xludf.DUMMYFUNCTION("""COMPUTED_VALUE"""),"Vishnu Amarnath")</f>
        <v>Vishnu Amarnath</v>
      </c>
      <c r="C356" s="92">
        <f>IFERROR(__xludf.DUMMYFUNCTION("""COMPUTED_VALUE"""),14.0)</f>
        <v>14</v>
      </c>
      <c r="D356" s="11"/>
      <c r="E356" s="11"/>
      <c r="F356" s="11"/>
    </row>
    <row r="357">
      <c r="A357" s="11"/>
      <c r="B357" s="17" t="str">
        <f>IFERROR(__xludf.DUMMYFUNCTION("""COMPUTED_VALUE"""),"Vinz Solano")</f>
        <v>Vinz Solano</v>
      </c>
      <c r="C357" s="92">
        <f>IFERROR(__xludf.DUMMYFUNCTION("""COMPUTED_VALUE"""),12.0)</f>
        <v>12</v>
      </c>
      <c r="D357" s="11"/>
      <c r="E357" s="11"/>
      <c r="F357" s="11"/>
    </row>
    <row r="358">
      <c r="A358" s="11"/>
      <c r="B358" s="17" t="str">
        <f>IFERROR(__xludf.DUMMYFUNCTION("""COMPUTED_VALUE"""),"Balaji Alahari")</f>
        <v>Balaji Alahari</v>
      </c>
      <c r="C358" s="92">
        <f>IFERROR(__xludf.DUMMYFUNCTION("""COMPUTED_VALUE"""),12.0)</f>
        <v>12</v>
      </c>
      <c r="D358" s="11"/>
      <c r="E358" s="11"/>
      <c r="F358" s="11"/>
    </row>
    <row r="359">
      <c r="A359" s="11"/>
      <c r="B359" s="17" t="str">
        <f>IFERROR(__xludf.DUMMYFUNCTION("""COMPUTED_VALUE"""),"Elayaraja Thangaraj ")</f>
        <v>Elayaraja Thangaraj </v>
      </c>
      <c r="C359" s="92">
        <f>IFERROR(__xludf.DUMMYFUNCTION("""COMPUTED_VALUE"""),12.0)</f>
        <v>12</v>
      </c>
      <c r="D359" s="11"/>
      <c r="E359" s="11"/>
      <c r="F359" s="11"/>
    </row>
    <row r="360">
      <c r="A360" s="11"/>
      <c r="B360" s="17" t="str">
        <f>IFERROR(__xludf.DUMMYFUNCTION("""COMPUTED_VALUE"""),"Peter Cheng")</f>
        <v>Peter Cheng</v>
      </c>
      <c r="C360" s="92">
        <f>IFERROR(__xludf.DUMMYFUNCTION("""COMPUTED_VALUE"""),11.0)</f>
        <v>11</v>
      </c>
      <c r="D360" s="11"/>
      <c r="E360" s="11"/>
      <c r="F360" s="11"/>
    </row>
    <row r="361">
      <c r="A361" s="11"/>
      <c r="B361" s="17" t="str">
        <f>IFERROR(__xludf.DUMMYFUNCTION("""COMPUTED_VALUE"""),"Rajesh Dorairaj")</f>
        <v>Rajesh Dorairaj</v>
      </c>
      <c r="C361" s="92">
        <f>IFERROR(__xludf.DUMMYFUNCTION("""COMPUTED_VALUE"""),11.0)</f>
        <v>11</v>
      </c>
      <c r="D361" s="11"/>
      <c r="E361" s="11"/>
      <c r="F361" s="11"/>
    </row>
    <row r="362">
      <c r="A362" s="11"/>
      <c r="B362" s="17" t="str">
        <f>IFERROR(__xludf.DUMMYFUNCTION("""COMPUTED_VALUE"""),"James Phan")</f>
        <v>James Phan</v>
      </c>
      <c r="C362" s="92">
        <f>IFERROR(__xludf.DUMMYFUNCTION("""COMPUTED_VALUE"""),10.0)</f>
        <v>10</v>
      </c>
      <c r="D362" s="11"/>
      <c r="E362" s="11"/>
      <c r="F362" s="11"/>
    </row>
    <row r="363">
      <c r="A363" s="11"/>
      <c r="B363" s="17" t="str">
        <f>IFERROR(__xludf.DUMMYFUNCTION("""COMPUTED_VALUE"""),"Pulkit Mathur")</f>
        <v>Pulkit Mathur</v>
      </c>
      <c r="C363" s="92">
        <f>IFERROR(__xludf.DUMMYFUNCTION("""COMPUTED_VALUE"""),10.0)</f>
        <v>10</v>
      </c>
      <c r="D363" s="11"/>
      <c r="E363" s="11"/>
      <c r="F363" s="11"/>
    </row>
    <row r="364">
      <c r="A364" s="11"/>
      <c r="B364" s="17" t="str">
        <f>IFERROR(__xludf.DUMMYFUNCTION("""COMPUTED_VALUE"""),"Mauricio Palacios")</f>
        <v>Mauricio Palacios</v>
      </c>
      <c r="C364" s="92">
        <f>IFERROR(__xludf.DUMMYFUNCTION("""COMPUTED_VALUE"""),10.0)</f>
        <v>10</v>
      </c>
      <c r="D364" s="11"/>
      <c r="E364" s="11"/>
      <c r="F364" s="11"/>
    </row>
    <row r="365">
      <c r="A365" s="11"/>
      <c r="B365" s="17" t="str">
        <f>IFERROR(__xludf.DUMMYFUNCTION("""COMPUTED_VALUE"""),"Trish Newlin")</f>
        <v>Trish Newlin</v>
      </c>
      <c r="C365" s="92">
        <f>IFERROR(__xludf.DUMMYFUNCTION("""COMPUTED_VALUE"""),10.0)</f>
        <v>10</v>
      </c>
      <c r="D365" s="11"/>
      <c r="E365" s="11"/>
      <c r="F365" s="11"/>
    </row>
    <row r="366">
      <c r="A366" s="11"/>
      <c r="B366" s="17" t="str">
        <f>IFERROR(__xludf.DUMMYFUNCTION("""COMPUTED_VALUE"""),"Vinaya Kajla")</f>
        <v>Vinaya Kajla</v>
      </c>
      <c r="C366" s="92">
        <f>IFERROR(__xludf.DUMMYFUNCTION("""COMPUTED_VALUE"""),10.0)</f>
        <v>10</v>
      </c>
      <c r="D366" s="11"/>
      <c r="E366" s="11"/>
      <c r="F366" s="11"/>
    </row>
    <row r="367">
      <c r="A367" s="11"/>
      <c r="B367" s="17" t="str">
        <f>IFERROR(__xludf.DUMMYFUNCTION("""COMPUTED_VALUE"""),"Sandy Weyant")</f>
        <v>Sandy Weyant</v>
      </c>
      <c r="C367" s="92">
        <f>IFERROR(__xludf.DUMMYFUNCTION("""COMPUTED_VALUE"""),10.0)</f>
        <v>10</v>
      </c>
      <c r="D367" s="11"/>
      <c r="E367" s="11"/>
      <c r="F367" s="11"/>
    </row>
    <row r="368">
      <c r="A368" s="11"/>
      <c r="B368" s="17" t="str">
        <f>IFERROR(__xludf.DUMMYFUNCTION("""COMPUTED_VALUE"""),"Pavan Akkimsetty")</f>
        <v>Pavan Akkimsetty</v>
      </c>
      <c r="C368" s="92">
        <f>IFERROR(__xludf.DUMMYFUNCTION("""COMPUTED_VALUE"""),9.0)</f>
        <v>9</v>
      </c>
      <c r="D368" s="11"/>
      <c r="E368" s="11"/>
      <c r="F368" s="11"/>
    </row>
    <row r="369">
      <c r="A369" s="11"/>
      <c r="B369" s="17" t="str">
        <f>IFERROR(__xludf.DUMMYFUNCTION("""COMPUTED_VALUE"""),"Cid Macaraeg")</f>
        <v>Cid Macaraeg</v>
      </c>
      <c r="C369" s="92">
        <f>IFERROR(__xludf.DUMMYFUNCTION("""COMPUTED_VALUE"""),9.0)</f>
        <v>9</v>
      </c>
      <c r="D369" s="11"/>
      <c r="E369" s="11"/>
      <c r="F369" s="11"/>
    </row>
    <row r="370">
      <c r="A370" s="11"/>
      <c r="B370" s="17" t="str">
        <f>IFERROR(__xludf.DUMMYFUNCTION("""COMPUTED_VALUE"""),"Robert Chang")</f>
        <v>Robert Chang</v>
      </c>
      <c r="C370" s="92">
        <f>IFERROR(__xludf.DUMMYFUNCTION("""COMPUTED_VALUE"""),9.0)</f>
        <v>9</v>
      </c>
      <c r="D370" s="11"/>
      <c r="E370" s="11"/>
      <c r="F370" s="11"/>
    </row>
    <row r="371">
      <c r="A371" s="11"/>
      <c r="B371" s="17" t="str">
        <f>IFERROR(__xludf.DUMMYFUNCTION("""COMPUTED_VALUE"""),"Oscar Bonilla")</f>
        <v>Oscar Bonilla</v>
      </c>
      <c r="C371" s="92">
        <f>IFERROR(__xludf.DUMMYFUNCTION("""COMPUTED_VALUE"""),9.0)</f>
        <v>9</v>
      </c>
      <c r="D371" s="11"/>
      <c r="E371" s="11"/>
      <c r="F371" s="11"/>
    </row>
    <row r="372">
      <c r="A372" s="11"/>
      <c r="B372" s="17" t="str">
        <f>IFERROR(__xludf.DUMMYFUNCTION("""COMPUTED_VALUE"""),"Lloyd Sagar")</f>
        <v>Lloyd Sagar</v>
      </c>
      <c r="C372" s="92">
        <f>IFERROR(__xludf.DUMMYFUNCTION("""COMPUTED_VALUE"""),9.0)</f>
        <v>9</v>
      </c>
      <c r="D372" s="11"/>
      <c r="E372" s="11"/>
      <c r="F372" s="11"/>
    </row>
    <row r="373">
      <c r="A373" s="11"/>
      <c r="B373" s="17" t="str">
        <f>IFERROR(__xludf.DUMMYFUNCTION("""COMPUTED_VALUE"""),"Sanjaye Elayattu")</f>
        <v>Sanjaye Elayattu</v>
      </c>
      <c r="C373" s="92">
        <f>IFERROR(__xludf.DUMMYFUNCTION("""COMPUTED_VALUE"""),9.0)</f>
        <v>9</v>
      </c>
      <c r="D373" s="11"/>
      <c r="E373" s="11"/>
      <c r="F373" s="11"/>
    </row>
    <row r="374">
      <c r="A374" s="11"/>
      <c r="B374" s="17" t="str">
        <f>IFERROR(__xludf.DUMMYFUNCTION("""COMPUTED_VALUE"""),"Joyce Zhu")</f>
        <v>Joyce Zhu</v>
      </c>
      <c r="C374" s="92">
        <f>IFERROR(__xludf.DUMMYFUNCTION("""COMPUTED_VALUE"""),9.0)</f>
        <v>9</v>
      </c>
      <c r="D374" s="11"/>
      <c r="E374" s="11"/>
      <c r="F374" s="11"/>
    </row>
    <row r="375">
      <c r="A375" s="11"/>
      <c r="B375" s="17" t="str">
        <f>IFERROR(__xludf.DUMMYFUNCTION("""COMPUTED_VALUE"""),"Christopher Li")</f>
        <v>Christopher Li</v>
      </c>
      <c r="C375" s="92">
        <f>IFERROR(__xludf.DUMMYFUNCTION("""COMPUTED_VALUE"""),8.0)</f>
        <v>8</v>
      </c>
      <c r="D375" s="11"/>
      <c r="E375" s="11"/>
      <c r="F375" s="11"/>
    </row>
    <row r="376">
      <c r="A376" s="11"/>
      <c r="B376" s="17" t="str">
        <f>IFERROR(__xludf.DUMMYFUNCTION("""COMPUTED_VALUE"""),"Lam Bui")</f>
        <v>Lam Bui</v>
      </c>
      <c r="C376" s="92">
        <f>IFERROR(__xludf.DUMMYFUNCTION("""COMPUTED_VALUE"""),8.0)</f>
        <v>8</v>
      </c>
      <c r="D376" s="11"/>
      <c r="E376" s="11"/>
      <c r="F376" s="11"/>
    </row>
    <row r="377">
      <c r="A377" s="11"/>
      <c r="B377" s="17" t="str">
        <f>IFERROR(__xludf.DUMMYFUNCTION("""COMPUTED_VALUE"""),"Erik Hoeckmann")</f>
        <v>Erik Hoeckmann</v>
      </c>
      <c r="C377" s="92">
        <f>IFERROR(__xludf.DUMMYFUNCTION("""COMPUTED_VALUE"""),8.0)</f>
        <v>8</v>
      </c>
      <c r="D377" s="11"/>
      <c r="E377" s="11"/>
      <c r="F377" s="11"/>
    </row>
    <row r="378">
      <c r="A378" s="11"/>
      <c r="B378" s="17" t="str">
        <f>IFERROR(__xludf.DUMMYFUNCTION("""COMPUTED_VALUE"""),"Troy Wong")</f>
        <v>Troy Wong</v>
      </c>
      <c r="C378" s="92">
        <f>IFERROR(__xludf.DUMMYFUNCTION("""COMPUTED_VALUE"""),7.0)</f>
        <v>7</v>
      </c>
      <c r="D378" s="11"/>
      <c r="E378" s="11"/>
      <c r="F378" s="11"/>
    </row>
    <row r="379">
      <c r="A379" s="11"/>
      <c r="B379" s="17" t="str">
        <f>IFERROR(__xludf.DUMMYFUNCTION("""COMPUTED_VALUE"""),"Chinna Ponnaganti")</f>
        <v>Chinna Ponnaganti</v>
      </c>
      <c r="C379" s="92">
        <f>IFERROR(__xludf.DUMMYFUNCTION("""COMPUTED_VALUE"""),7.0)</f>
        <v>7</v>
      </c>
      <c r="D379" s="11"/>
      <c r="E379" s="11"/>
      <c r="F379" s="11"/>
    </row>
    <row r="380">
      <c r="A380" s="11"/>
      <c r="B380" s="17" t="str">
        <f>IFERROR(__xludf.DUMMYFUNCTION("""COMPUTED_VALUE"""),"Ramesh Bandaru")</f>
        <v>Ramesh Bandaru</v>
      </c>
      <c r="C380" s="92">
        <f>IFERROR(__xludf.DUMMYFUNCTION("""COMPUTED_VALUE"""),7.0)</f>
        <v>7</v>
      </c>
      <c r="D380" s="11"/>
      <c r="E380" s="11"/>
      <c r="F380" s="11"/>
    </row>
    <row r="381">
      <c r="A381" s="11"/>
      <c r="B381" s="17" t="str">
        <f>IFERROR(__xludf.DUMMYFUNCTION("""COMPUTED_VALUE"""),"Manuel Rivera")</f>
        <v>Manuel Rivera</v>
      </c>
      <c r="C381" s="92">
        <f>IFERROR(__xludf.DUMMYFUNCTION("""COMPUTED_VALUE"""),7.0)</f>
        <v>7</v>
      </c>
      <c r="D381" s="11"/>
      <c r="E381" s="11"/>
      <c r="F381" s="11"/>
    </row>
    <row r="382">
      <c r="A382" s="11"/>
      <c r="B382" s="17" t="str">
        <f>IFERROR(__xludf.DUMMYFUNCTION("""COMPUTED_VALUE"""),"Jimmy Awolesi")</f>
        <v>Jimmy Awolesi</v>
      </c>
      <c r="C382" s="92">
        <f>IFERROR(__xludf.DUMMYFUNCTION("""COMPUTED_VALUE"""),7.0)</f>
        <v>7</v>
      </c>
      <c r="D382" s="11"/>
      <c r="E382" s="11"/>
      <c r="F382" s="11"/>
    </row>
    <row r="383">
      <c r="A383" s="11"/>
      <c r="B383" s="17" t="str">
        <f>IFERROR(__xludf.DUMMYFUNCTION("""COMPUTED_VALUE"""),"Tom Le")</f>
        <v>Tom Le</v>
      </c>
      <c r="C383" s="92">
        <f>IFERROR(__xludf.DUMMYFUNCTION("""COMPUTED_VALUE"""),6.0)</f>
        <v>6</v>
      </c>
      <c r="D383" s="11"/>
      <c r="E383" s="11"/>
      <c r="F383" s="11"/>
    </row>
    <row r="384">
      <c r="A384" s="11"/>
      <c r="B384" s="17" t="str">
        <f>IFERROR(__xludf.DUMMYFUNCTION("""COMPUTED_VALUE"""),"Luis Hsu")</f>
        <v>Luis Hsu</v>
      </c>
      <c r="C384" s="92">
        <f>IFERROR(__xludf.DUMMYFUNCTION("""COMPUTED_VALUE"""),6.0)</f>
        <v>6</v>
      </c>
      <c r="D384" s="11"/>
      <c r="E384" s="11"/>
      <c r="F384" s="11"/>
    </row>
    <row r="385">
      <c r="A385" s="11"/>
      <c r="B385" s="17" t="str">
        <f>IFERROR(__xludf.DUMMYFUNCTION("""COMPUTED_VALUE"""),"Sean Chang")</f>
        <v>Sean Chang</v>
      </c>
      <c r="C385" s="92">
        <f>IFERROR(__xludf.DUMMYFUNCTION("""COMPUTED_VALUE"""),6.0)</f>
        <v>6</v>
      </c>
      <c r="D385" s="11"/>
      <c r="E385" s="11"/>
      <c r="F385" s="11"/>
    </row>
    <row r="386">
      <c r="A386" s="11"/>
      <c r="B386" s="17" t="str">
        <f>IFERROR(__xludf.DUMMYFUNCTION("""COMPUTED_VALUE"""),"Matthew Huang")</f>
        <v>Matthew Huang</v>
      </c>
      <c r="C386" s="92">
        <f>IFERROR(__xludf.DUMMYFUNCTION("""COMPUTED_VALUE"""),6.0)</f>
        <v>6</v>
      </c>
      <c r="D386" s="11"/>
      <c r="E386" s="11"/>
      <c r="F386" s="11"/>
    </row>
    <row r="387">
      <c r="A387" s="11"/>
      <c r="B387" s="17" t="str">
        <f>IFERROR(__xludf.DUMMYFUNCTION("""COMPUTED_VALUE"""),"Coco Yan")</f>
        <v>Coco Yan</v>
      </c>
      <c r="C387" s="92">
        <f>IFERROR(__xludf.DUMMYFUNCTION("""COMPUTED_VALUE"""),6.0)</f>
        <v>6</v>
      </c>
      <c r="D387" s="11"/>
      <c r="E387" s="11"/>
      <c r="F387" s="11"/>
    </row>
    <row r="388">
      <c r="A388" s="11"/>
      <c r="B388" s="17" t="str">
        <f>IFERROR(__xludf.DUMMYFUNCTION("""COMPUTED_VALUE"""),"Saravanan Veerapandian")</f>
        <v>Saravanan Veerapandian</v>
      </c>
      <c r="C388" s="92">
        <f>IFERROR(__xludf.DUMMYFUNCTION("""COMPUTED_VALUE"""),6.0)</f>
        <v>6</v>
      </c>
      <c r="D388" s="11"/>
      <c r="E388" s="11"/>
      <c r="F388" s="11"/>
    </row>
    <row r="389">
      <c r="A389" s="11"/>
      <c r="B389" s="17" t="str">
        <f>IFERROR(__xludf.DUMMYFUNCTION("""COMPUTED_VALUE"""),"Scott Li")</f>
        <v>Scott Li</v>
      </c>
      <c r="C389" s="92">
        <f>IFERROR(__xludf.DUMMYFUNCTION("""COMPUTED_VALUE"""),5.0)</f>
        <v>5</v>
      </c>
      <c r="D389" s="11"/>
      <c r="E389" s="11"/>
      <c r="F389" s="11"/>
    </row>
    <row r="390">
      <c r="A390" s="11"/>
      <c r="B390" s="17" t="str">
        <f>IFERROR(__xludf.DUMMYFUNCTION("""COMPUTED_VALUE"""),"Andrew Wen")</f>
        <v>Andrew Wen</v>
      </c>
      <c r="C390" s="92">
        <f>IFERROR(__xludf.DUMMYFUNCTION("""COMPUTED_VALUE"""),5.0)</f>
        <v>5</v>
      </c>
      <c r="D390" s="11"/>
      <c r="E390" s="11"/>
      <c r="F390" s="11"/>
    </row>
    <row r="391">
      <c r="A391" s="11"/>
      <c r="B391" s="17" t="str">
        <f>IFERROR(__xludf.DUMMYFUNCTION("""COMPUTED_VALUE"""),"Alejandro Mejia")</f>
        <v>Alejandro Mejia</v>
      </c>
      <c r="C391" s="92">
        <f>IFERROR(__xludf.DUMMYFUNCTION("""COMPUTED_VALUE"""),4.0)</f>
        <v>4</v>
      </c>
      <c r="D391" s="11"/>
      <c r="E391" s="11"/>
      <c r="F391" s="11"/>
    </row>
    <row r="392">
      <c r="A392" s="11"/>
      <c r="B392" s="17" t="str">
        <f>IFERROR(__xludf.DUMMYFUNCTION("""COMPUTED_VALUE"""),"Suleman Alidina")</f>
        <v>Suleman Alidina</v>
      </c>
      <c r="C392" s="92">
        <f>IFERROR(__xludf.DUMMYFUNCTION("""COMPUTED_VALUE"""),4.0)</f>
        <v>4</v>
      </c>
      <c r="D392" s="11"/>
      <c r="E392" s="11"/>
      <c r="F392" s="11"/>
    </row>
    <row r="393">
      <c r="A393" s="11"/>
      <c r="B393" s="17" t="str">
        <f>IFERROR(__xludf.DUMMYFUNCTION("""COMPUTED_VALUE"""),"Jonathan Phan")</f>
        <v>Jonathan Phan</v>
      </c>
      <c r="C393" s="92">
        <f>IFERROR(__xludf.DUMMYFUNCTION("""COMPUTED_VALUE"""),4.0)</f>
        <v>4</v>
      </c>
      <c r="D393" s="11"/>
      <c r="E393" s="11"/>
      <c r="F393" s="11"/>
    </row>
    <row r="394">
      <c r="A394" s="11"/>
      <c r="B394" s="17" t="str">
        <f>IFERROR(__xludf.DUMMYFUNCTION("""COMPUTED_VALUE"""),"David Shin")</f>
        <v>David Shin</v>
      </c>
      <c r="C394" s="92">
        <f>IFERROR(__xludf.DUMMYFUNCTION("""COMPUTED_VALUE"""),4.0)</f>
        <v>4</v>
      </c>
      <c r="D394" s="11"/>
      <c r="E394" s="11"/>
      <c r="F394" s="11"/>
    </row>
    <row r="395">
      <c r="A395" s="11"/>
      <c r="B395" s="17" t="str">
        <f>IFERROR(__xludf.DUMMYFUNCTION("""COMPUTED_VALUE"""),"Jim Miao")</f>
        <v>Jim Miao</v>
      </c>
      <c r="C395" s="92">
        <f>IFERROR(__xludf.DUMMYFUNCTION("""COMPUTED_VALUE"""),4.0)</f>
        <v>4</v>
      </c>
      <c r="D395" s="11"/>
      <c r="E395" s="11"/>
      <c r="F395" s="11"/>
    </row>
    <row r="396">
      <c r="A396" s="11"/>
      <c r="B396" s="17" t="str">
        <f>IFERROR(__xludf.DUMMYFUNCTION("""COMPUTED_VALUE"""),"Kumar Palakeel")</f>
        <v>Kumar Palakeel</v>
      </c>
      <c r="C396" s="92">
        <f>IFERROR(__xludf.DUMMYFUNCTION("""COMPUTED_VALUE"""),4.0)</f>
        <v>4</v>
      </c>
      <c r="D396" s="11"/>
      <c r="E396" s="11"/>
      <c r="F396" s="11"/>
    </row>
    <row r="397">
      <c r="A397" s="11"/>
      <c r="B397" s="17" t="str">
        <f>IFERROR(__xludf.DUMMYFUNCTION("""COMPUTED_VALUE"""),"Eric Tan")</f>
        <v>Eric Tan</v>
      </c>
      <c r="C397" s="92">
        <f>IFERROR(__xludf.DUMMYFUNCTION("""COMPUTED_VALUE"""),4.0)</f>
        <v>4</v>
      </c>
      <c r="D397" s="11"/>
      <c r="E397" s="11"/>
      <c r="F397" s="11"/>
    </row>
    <row r="398">
      <c r="A398" s="11"/>
      <c r="B398" s="17" t="str">
        <f>IFERROR(__xludf.DUMMYFUNCTION("""COMPUTED_VALUE"""),"Nicole Ni")</f>
        <v>Nicole Ni</v>
      </c>
      <c r="C398" s="92">
        <f>IFERROR(__xludf.DUMMYFUNCTION("""COMPUTED_VALUE"""),4.0)</f>
        <v>4</v>
      </c>
      <c r="D398" s="11"/>
      <c r="E398" s="11"/>
      <c r="F398" s="11"/>
    </row>
    <row r="399">
      <c r="A399" s="11"/>
      <c r="B399" s="17" t="str">
        <f>IFERROR(__xludf.DUMMYFUNCTION("""COMPUTED_VALUE"""),"Rajasekar Ramasamy")</f>
        <v>Rajasekar Ramasamy</v>
      </c>
      <c r="C399" s="92">
        <f>IFERROR(__xludf.DUMMYFUNCTION("""COMPUTED_VALUE"""),3.0)</f>
        <v>3</v>
      </c>
      <c r="D399" s="11"/>
      <c r="E399" s="11"/>
      <c r="F399" s="11"/>
    </row>
    <row r="400">
      <c r="A400" s="11"/>
      <c r="B400" s="17" t="str">
        <f>IFERROR(__xludf.DUMMYFUNCTION("""COMPUTED_VALUE"""),"Wayne Liu")</f>
        <v>Wayne Liu</v>
      </c>
      <c r="C400" s="92">
        <f>IFERROR(__xludf.DUMMYFUNCTION("""COMPUTED_VALUE"""),3.0)</f>
        <v>3</v>
      </c>
      <c r="D400" s="11"/>
      <c r="E400" s="11"/>
      <c r="F400" s="11"/>
    </row>
    <row r="401">
      <c r="A401" s="11"/>
      <c r="B401" s="17" t="str">
        <f>IFERROR(__xludf.DUMMYFUNCTION("""COMPUTED_VALUE"""),"Adrian Tay")</f>
        <v>Adrian Tay</v>
      </c>
      <c r="C401" s="92">
        <f>IFERROR(__xludf.DUMMYFUNCTION("""COMPUTED_VALUE"""),2.0)</f>
        <v>2</v>
      </c>
      <c r="D401" s="11"/>
      <c r="E401" s="11"/>
      <c r="F401" s="11"/>
    </row>
    <row r="402">
      <c r="A402" s="11"/>
      <c r="B402" s="17" t="str">
        <f>IFERROR(__xludf.DUMMYFUNCTION("""COMPUTED_VALUE"""),"Herman Au")</f>
        <v>Herman Au</v>
      </c>
      <c r="C402" s="92">
        <f>IFERROR(__xludf.DUMMYFUNCTION("""COMPUTED_VALUE"""),2.0)</f>
        <v>2</v>
      </c>
      <c r="D402" s="11"/>
      <c r="E402" s="11"/>
      <c r="F402" s="11"/>
    </row>
    <row r="403">
      <c r="A403" s="11"/>
      <c r="B403" s="17" t="str">
        <f>IFERROR(__xludf.DUMMYFUNCTION("""COMPUTED_VALUE"""),"Ted Shen")</f>
        <v>Ted Shen</v>
      </c>
      <c r="C403" s="92">
        <f>IFERROR(__xludf.DUMMYFUNCTION("""COMPUTED_VALUE"""),1.0)</f>
        <v>1</v>
      </c>
      <c r="D403" s="11"/>
      <c r="E403" s="11"/>
      <c r="F403" s="11"/>
    </row>
    <row r="404">
      <c r="A404" s="11"/>
      <c r="B404" s="17" t="str">
        <f>IFERROR(__xludf.DUMMYFUNCTION("""COMPUTED_VALUE"""),"Joe Luzzi")</f>
        <v>Joe Luzzi</v>
      </c>
      <c r="C404" s="92">
        <f>IFERROR(__xludf.DUMMYFUNCTION("""COMPUTED_VALUE"""),1.0)</f>
        <v>1</v>
      </c>
      <c r="D404" s="11"/>
      <c r="E404" s="11"/>
      <c r="F404" s="11"/>
    </row>
    <row r="405">
      <c r="A405" s="11"/>
      <c r="B405" s="17" t="str">
        <f>IFERROR(__xludf.DUMMYFUNCTION("""COMPUTED_VALUE"""),"Arun Mallikarjuna")</f>
        <v>Arun Mallikarjuna</v>
      </c>
      <c r="C405" s="92">
        <f>IFERROR(__xludf.DUMMYFUNCTION("""COMPUTED_VALUE"""),1.0)</f>
        <v>1</v>
      </c>
      <c r="D405" s="11"/>
      <c r="E405" s="11"/>
      <c r="F405" s="11"/>
    </row>
    <row r="406">
      <c r="A406" s="11"/>
      <c r="B406" s="17" t="str">
        <f>IFERROR(__xludf.DUMMYFUNCTION("""COMPUTED_VALUE"""),"Frank Moon")</f>
        <v>Frank Moon</v>
      </c>
      <c r="C406" s="92">
        <f>IFERROR(__xludf.DUMMYFUNCTION("""COMPUTED_VALUE"""),1.0)</f>
        <v>1</v>
      </c>
      <c r="D406" s="11"/>
      <c r="E406" s="11"/>
      <c r="F406" s="11"/>
    </row>
    <row r="407">
      <c r="A407" s="11"/>
      <c r="B407" s="17" t="str">
        <f>IFERROR(__xludf.DUMMYFUNCTION("""COMPUTED_VALUE"""),"Alex Hou")</f>
        <v>Alex Hou</v>
      </c>
      <c r="C407" s="92">
        <f>IFERROR(__xludf.DUMMYFUNCTION("""COMPUTED_VALUE"""),1.0)</f>
        <v>1</v>
      </c>
      <c r="D407" s="11"/>
      <c r="E407" s="11"/>
      <c r="F407" s="11"/>
    </row>
    <row r="408">
      <c r="A408" s="11"/>
      <c r="C408" s="11"/>
      <c r="D408" s="11"/>
      <c r="E408" s="11"/>
      <c r="F408" s="11"/>
    </row>
    <row r="409">
      <c r="A409" s="11"/>
      <c r="C409" s="11"/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  <row r="708">
      <c r="A708" s="11"/>
      <c r="C708" s="11"/>
      <c r="D708" s="11"/>
      <c r="E708" s="11"/>
      <c r="F708" s="11"/>
    </row>
    <row r="709">
      <c r="A709" s="11"/>
      <c r="C709" s="11"/>
      <c r="D709" s="11"/>
      <c r="E709" s="11"/>
      <c r="F709" s="11"/>
    </row>
    <row r="710">
      <c r="A710" s="11"/>
      <c r="C710" s="11"/>
      <c r="D710" s="11"/>
      <c r="E710" s="11"/>
      <c r="F710" s="11"/>
    </row>
    <row r="711">
      <c r="A711" s="11"/>
      <c r="C711" s="11"/>
      <c r="D711" s="11"/>
      <c r="E711" s="11"/>
      <c r="F711" s="11"/>
    </row>
    <row r="712">
      <c r="A712" s="11"/>
      <c r="C712" s="11"/>
      <c r="D712" s="11"/>
      <c r="E712" s="11"/>
      <c r="F712" s="11"/>
    </row>
    <row r="713">
      <c r="A713" s="11"/>
      <c r="C713" s="11"/>
      <c r="D713" s="11"/>
      <c r="E713" s="11"/>
      <c r="F713" s="11"/>
    </row>
    <row r="714">
      <c r="A714" s="11"/>
      <c r="C714" s="11"/>
      <c r="D714" s="11"/>
      <c r="E714" s="11"/>
      <c r="F714" s="11"/>
    </row>
    <row r="715">
      <c r="A715" s="11"/>
      <c r="C715" s="11"/>
      <c r="D715" s="11"/>
      <c r="E715" s="11"/>
      <c r="F715" s="11"/>
    </row>
    <row r="716">
      <c r="A716" s="11"/>
      <c r="C716" s="11"/>
      <c r="D716" s="11"/>
      <c r="E716" s="11"/>
      <c r="F716" s="11"/>
    </row>
    <row r="717">
      <c r="A717" s="11"/>
      <c r="C717" s="11"/>
      <c r="D717" s="11"/>
      <c r="E717" s="11"/>
      <c r="F717" s="11"/>
    </row>
    <row r="718">
      <c r="A718" s="11"/>
      <c r="C718" s="11"/>
      <c r="D718" s="11"/>
      <c r="E718" s="11"/>
      <c r="F718" s="11"/>
    </row>
    <row r="719">
      <c r="A719" s="11"/>
      <c r="C719" s="11"/>
      <c r="D719" s="11"/>
      <c r="E719" s="11"/>
      <c r="F719" s="11"/>
    </row>
    <row r="720">
      <c r="A720" s="11"/>
      <c r="C720" s="11"/>
      <c r="D720" s="11"/>
      <c r="E720" s="11"/>
      <c r="F720" s="11"/>
    </row>
    <row r="721">
      <c r="A721" s="11"/>
      <c r="C721" s="11"/>
      <c r="D721" s="11"/>
      <c r="E721" s="11"/>
      <c r="F721" s="11"/>
    </row>
    <row r="722">
      <c r="A722" s="11"/>
      <c r="C722" s="11"/>
      <c r="D722" s="11"/>
      <c r="E722" s="11"/>
      <c r="F722" s="11"/>
    </row>
    <row r="723">
      <c r="A723" s="11"/>
      <c r="C723" s="11"/>
      <c r="D723" s="11"/>
      <c r="E723" s="11"/>
      <c r="F723" s="11"/>
    </row>
    <row r="724">
      <c r="A724" s="11"/>
      <c r="C724" s="11"/>
      <c r="D724" s="11"/>
      <c r="E724" s="11"/>
      <c r="F724" s="11"/>
    </row>
    <row r="725">
      <c r="A725" s="11"/>
      <c r="C725" s="11"/>
      <c r="D725" s="11"/>
      <c r="E725" s="11"/>
      <c r="F725" s="11"/>
    </row>
    <row r="726">
      <c r="A726" s="11"/>
      <c r="C726" s="11"/>
      <c r="D726" s="11"/>
      <c r="E726" s="11"/>
      <c r="F726" s="11"/>
    </row>
    <row r="727">
      <c r="A727" s="11"/>
      <c r="C727" s="11"/>
      <c r="D727" s="11"/>
      <c r="E727" s="11"/>
      <c r="F727" s="11"/>
    </row>
    <row r="728">
      <c r="A728" s="11"/>
      <c r="C728" s="11"/>
      <c r="D728" s="11"/>
      <c r="E728" s="11"/>
      <c r="F728" s="11"/>
    </row>
    <row r="729">
      <c r="A729" s="11"/>
      <c r="C729" s="11"/>
      <c r="D729" s="11"/>
      <c r="E729" s="11"/>
      <c r="F729" s="11"/>
    </row>
    <row r="730">
      <c r="A730" s="11"/>
      <c r="C730" s="11"/>
      <c r="D730" s="11"/>
      <c r="E730" s="11"/>
      <c r="F730" s="11"/>
    </row>
    <row r="731">
      <c r="A731" s="11"/>
      <c r="C731" s="11"/>
      <c r="D731" s="11"/>
      <c r="E731" s="11"/>
      <c r="F731" s="11"/>
    </row>
    <row r="732">
      <c r="A732" s="11"/>
      <c r="C732" s="11"/>
      <c r="D732" s="11"/>
      <c r="E732" s="11"/>
      <c r="F732" s="11"/>
    </row>
    <row r="733">
      <c r="A733" s="11"/>
      <c r="C733" s="11"/>
      <c r="D733" s="11"/>
      <c r="E733" s="11"/>
      <c r="F733" s="11"/>
    </row>
    <row r="734">
      <c r="A734" s="11"/>
      <c r="C734" s="11"/>
      <c r="D734" s="11"/>
      <c r="E734" s="11"/>
      <c r="F734" s="11"/>
    </row>
    <row r="735">
      <c r="A735" s="11"/>
      <c r="C735" s="11"/>
      <c r="D735" s="11"/>
      <c r="E735" s="11"/>
      <c r="F735" s="11"/>
    </row>
    <row r="736">
      <c r="A736" s="11"/>
      <c r="C736" s="11"/>
      <c r="D736" s="11"/>
      <c r="E736" s="11"/>
      <c r="F736" s="11"/>
    </row>
    <row r="737">
      <c r="A737" s="11"/>
      <c r="C737" s="11"/>
      <c r="D737" s="11"/>
      <c r="E737" s="11"/>
      <c r="F737" s="11"/>
    </row>
    <row r="738">
      <c r="A738" s="11"/>
      <c r="C738" s="11"/>
      <c r="D738" s="11"/>
      <c r="E738" s="11"/>
      <c r="F738" s="11"/>
    </row>
    <row r="739">
      <c r="A739" s="11"/>
      <c r="C739" s="11"/>
      <c r="D739" s="11"/>
      <c r="E739" s="11"/>
      <c r="F739" s="11"/>
    </row>
    <row r="740">
      <c r="A740" s="11"/>
      <c r="C740" s="11"/>
      <c r="D740" s="11"/>
      <c r="E740" s="11"/>
      <c r="F740" s="11"/>
    </row>
    <row r="741">
      <c r="A741" s="11"/>
      <c r="C741" s="11"/>
      <c r="D741" s="11"/>
      <c r="E741" s="11"/>
      <c r="F741" s="11"/>
    </row>
    <row r="742">
      <c r="A742" s="11"/>
      <c r="C742" s="11"/>
      <c r="D742" s="11"/>
      <c r="E742" s="11"/>
      <c r="F742" s="11"/>
    </row>
    <row r="743">
      <c r="A743" s="11"/>
      <c r="C743" s="11"/>
      <c r="D743" s="11"/>
      <c r="E743" s="11"/>
      <c r="F743" s="11"/>
    </row>
    <row r="744">
      <c r="A744" s="11"/>
      <c r="C744" s="11"/>
      <c r="D744" s="11"/>
      <c r="E744" s="11"/>
      <c r="F744" s="11"/>
    </row>
    <row r="745">
      <c r="A745" s="11"/>
      <c r="C745" s="11"/>
      <c r="D745" s="11"/>
      <c r="E745" s="11"/>
      <c r="F745" s="11"/>
    </row>
    <row r="746">
      <c r="A746" s="11"/>
      <c r="C746" s="11"/>
      <c r="D746" s="11"/>
      <c r="E746" s="11"/>
      <c r="F746" s="11"/>
    </row>
    <row r="747">
      <c r="A747" s="11"/>
      <c r="C747" s="11"/>
      <c r="D747" s="11"/>
      <c r="E747" s="11"/>
      <c r="F747" s="11"/>
    </row>
    <row r="748">
      <c r="A748" s="11"/>
      <c r="C748" s="11"/>
      <c r="D748" s="11"/>
      <c r="E748" s="11"/>
      <c r="F748" s="11"/>
    </row>
    <row r="749">
      <c r="A749" s="11"/>
      <c r="C749" s="11"/>
      <c r="D749" s="11"/>
      <c r="E749" s="11"/>
      <c r="F749" s="11"/>
    </row>
    <row r="750">
      <c r="A750" s="11"/>
      <c r="C750" s="11"/>
      <c r="D750" s="11"/>
      <c r="E750" s="11"/>
      <c r="F750" s="11"/>
    </row>
    <row r="751">
      <c r="A751" s="11"/>
      <c r="C751" s="11"/>
      <c r="D751" s="11"/>
      <c r="E751" s="11"/>
      <c r="F751" s="11"/>
    </row>
    <row r="752">
      <c r="A752" s="11"/>
      <c r="C752" s="11"/>
      <c r="D752" s="11"/>
      <c r="E752" s="11"/>
      <c r="F752" s="11"/>
    </row>
    <row r="753">
      <c r="A753" s="11"/>
      <c r="C753" s="11"/>
      <c r="D753" s="11"/>
      <c r="E753" s="11"/>
      <c r="F753" s="11"/>
    </row>
    <row r="754">
      <c r="A754" s="11"/>
      <c r="C754" s="11"/>
      <c r="D754" s="11"/>
      <c r="E754" s="11"/>
      <c r="F754" s="11"/>
    </row>
    <row r="755">
      <c r="A755" s="11"/>
      <c r="C755" s="11"/>
      <c r="D755" s="11"/>
      <c r="E755" s="11"/>
      <c r="F755" s="11"/>
    </row>
    <row r="756">
      <c r="A756" s="11"/>
      <c r="C756" s="11"/>
      <c r="D756" s="11"/>
      <c r="E756" s="11"/>
      <c r="F756" s="11"/>
    </row>
    <row r="757">
      <c r="A757" s="11"/>
      <c r="C757" s="11"/>
      <c r="D757" s="11"/>
      <c r="E757" s="11"/>
      <c r="F757" s="11"/>
    </row>
    <row r="758">
      <c r="A758" s="11"/>
      <c r="C758" s="11"/>
      <c r="D758" s="11"/>
      <c r="E758" s="11"/>
      <c r="F758" s="11"/>
    </row>
    <row r="759">
      <c r="A759" s="11"/>
      <c r="C759" s="11"/>
      <c r="D759" s="11"/>
      <c r="E759" s="11"/>
      <c r="F759" s="11"/>
    </row>
    <row r="760">
      <c r="A760" s="11"/>
      <c r="C760" s="11"/>
      <c r="D760" s="11"/>
      <c r="E760" s="11"/>
      <c r="F760" s="11"/>
    </row>
    <row r="761">
      <c r="A761" s="11"/>
      <c r="C761" s="11"/>
      <c r="D761" s="11"/>
      <c r="E761" s="11"/>
      <c r="F761" s="11"/>
    </row>
    <row r="762">
      <c r="A762" s="11"/>
      <c r="C762" s="11"/>
      <c r="D762" s="11"/>
      <c r="E762" s="11"/>
      <c r="F762" s="11"/>
    </row>
    <row r="763">
      <c r="A763" s="11"/>
      <c r="C763" s="11"/>
      <c r="D763" s="11"/>
      <c r="E763" s="11"/>
      <c r="F763" s="11"/>
    </row>
    <row r="764">
      <c r="A764" s="11"/>
      <c r="C764" s="11"/>
      <c r="D764" s="11"/>
      <c r="E764" s="11"/>
      <c r="F764" s="11"/>
    </row>
    <row r="765">
      <c r="A765" s="11"/>
      <c r="C765" s="11"/>
      <c r="D765" s="11"/>
      <c r="E765" s="11"/>
      <c r="F765" s="11"/>
    </row>
    <row r="766">
      <c r="A766" s="11"/>
      <c r="C766" s="11"/>
      <c r="D766" s="11"/>
      <c r="E766" s="11"/>
      <c r="F766" s="11"/>
    </row>
    <row r="767">
      <c r="A767" s="11"/>
      <c r="C767" s="11"/>
      <c r="D767" s="11"/>
      <c r="E767" s="11"/>
      <c r="F767" s="11"/>
    </row>
    <row r="768">
      <c r="A768" s="11"/>
      <c r="C768" s="11"/>
      <c r="D768" s="11"/>
      <c r="E768" s="11"/>
      <c r="F768" s="11"/>
    </row>
    <row r="769">
      <c r="A769" s="11"/>
      <c r="C769" s="11"/>
      <c r="D769" s="11"/>
      <c r="E769" s="11"/>
      <c r="F769" s="11"/>
    </row>
    <row r="770">
      <c r="A770" s="11"/>
      <c r="C770" s="11"/>
      <c r="D770" s="11"/>
      <c r="E770" s="11"/>
      <c r="F770" s="11"/>
    </row>
    <row r="771">
      <c r="A771" s="11"/>
      <c r="C771" s="11"/>
      <c r="D771" s="11"/>
      <c r="E771" s="11"/>
      <c r="F771" s="11"/>
    </row>
    <row r="772">
      <c r="A772" s="11"/>
      <c r="C772" s="11"/>
      <c r="D772" s="11"/>
      <c r="E772" s="11"/>
      <c r="F772" s="11"/>
    </row>
    <row r="773">
      <c r="A773" s="11"/>
      <c r="C773" s="11"/>
      <c r="D773" s="11"/>
      <c r="E773" s="11"/>
      <c r="F773" s="11"/>
    </row>
    <row r="774">
      <c r="A774" s="11"/>
      <c r="C774" s="11"/>
      <c r="D774" s="11"/>
      <c r="E774" s="11"/>
      <c r="F774" s="11"/>
    </row>
    <row r="775">
      <c r="A775" s="11"/>
      <c r="C775" s="11"/>
      <c r="D775" s="11"/>
      <c r="E775" s="11"/>
      <c r="F775" s="11"/>
    </row>
    <row r="776">
      <c r="A776" s="11"/>
      <c r="C776" s="11"/>
      <c r="D776" s="11"/>
      <c r="E776" s="11"/>
      <c r="F776" s="11"/>
    </row>
    <row r="777">
      <c r="A777" s="11"/>
      <c r="C777" s="11"/>
      <c r="D777" s="11"/>
      <c r="E777" s="11"/>
      <c r="F777" s="11"/>
    </row>
    <row r="778">
      <c r="A778" s="11"/>
      <c r="C778" s="11"/>
      <c r="D778" s="11"/>
      <c r="E778" s="11"/>
      <c r="F778" s="11"/>
    </row>
    <row r="779">
      <c r="A779" s="11"/>
      <c r="C779" s="11"/>
      <c r="D779" s="11"/>
      <c r="E779" s="11"/>
      <c r="F779" s="11"/>
    </row>
    <row r="780">
      <c r="A780" s="11"/>
      <c r="C780" s="11"/>
      <c r="D780" s="11"/>
      <c r="E780" s="11"/>
      <c r="F780" s="11"/>
    </row>
    <row r="781">
      <c r="A781" s="11"/>
      <c r="C781" s="11"/>
      <c r="D781" s="11"/>
      <c r="E781" s="11"/>
      <c r="F781" s="11"/>
    </row>
    <row r="782">
      <c r="A782" s="11"/>
      <c r="C782" s="11"/>
      <c r="D782" s="11"/>
      <c r="E782" s="11"/>
      <c r="F782" s="11"/>
    </row>
    <row r="783">
      <c r="A783" s="11"/>
      <c r="C783" s="11"/>
      <c r="D783" s="11"/>
      <c r="E783" s="11"/>
      <c r="F783" s="11"/>
    </row>
    <row r="784">
      <c r="A784" s="11"/>
      <c r="C784" s="11"/>
      <c r="D784" s="11"/>
      <c r="E784" s="11"/>
      <c r="F784" s="11"/>
    </row>
    <row r="785">
      <c r="A785" s="11"/>
      <c r="C785" s="11"/>
      <c r="D785" s="11"/>
      <c r="E785" s="11"/>
      <c r="F785" s="11"/>
    </row>
    <row r="786">
      <c r="A786" s="11"/>
      <c r="C786" s="11"/>
      <c r="D786" s="11"/>
      <c r="E786" s="11"/>
      <c r="F786" s="11"/>
    </row>
    <row r="787">
      <c r="A787" s="11"/>
      <c r="C787" s="11"/>
      <c r="D787" s="11"/>
      <c r="E787" s="11"/>
      <c r="F787" s="11"/>
    </row>
    <row r="788">
      <c r="A788" s="11"/>
      <c r="C788" s="11"/>
      <c r="D788" s="11"/>
      <c r="E788" s="11"/>
      <c r="F788" s="11"/>
    </row>
    <row r="789">
      <c r="A789" s="11"/>
      <c r="C789" s="11"/>
      <c r="D789" s="11"/>
      <c r="E789" s="11"/>
      <c r="F789" s="11"/>
    </row>
    <row r="790">
      <c r="A790" s="11"/>
      <c r="C790" s="11"/>
      <c r="D790" s="11"/>
      <c r="E790" s="11"/>
      <c r="F790" s="11"/>
    </row>
    <row r="791">
      <c r="A791" s="11"/>
      <c r="C791" s="11"/>
      <c r="D791" s="11"/>
      <c r="E791" s="11"/>
      <c r="F791" s="11"/>
    </row>
    <row r="792">
      <c r="A792" s="11"/>
      <c r="C792" s="11"/>
      <c r="D792" s="11"/>
      <c r="E792" s="11"/>
      <c r="F792" s="11"/>
    </row>
    <row r="793">
      <c r="A793" s="11"/>
      <c r="C793" s="11"/>
      <c r="D793" s="11"/>
      <c r="E793" s="11"/>
      <c r="F793" s="11"/>
    </row>
    <row r="794">
      <c r="A794" s="11"/>
      <c r="C794" s="11"/>
      <c r="D794" s="11"/>
      <c r="E794" s="11"/>
      <c r="F794" s="11"/>
    </row>
    <row r="795">
      <c r="A795" s="11"/>
      <c r="C795" s="11"/>
      <c r="D795" s="11"/>
      <c r="E795" s="11"/>
      <c r="F795" s="11"/>
    </row>
    <row r="796">
      <c r="A796" s="11"/>
      <c r="C796" s="11"/>
      <c r="D796" s="11"/>
      <c r="E796" s="11"/>
      <c r="F796" s="11"/>
    </row>
    <row r="797">
      <c r="A797" s="11"/>
      <c r="C797" s="11"/>
      <c r="D797" s="11"/>
      <c r="E797" s="11"/>
      <c r="F797" s="11"/>
    </row>
    <row r="798">
      <c r="A798" s="11"/>
      <c r="C798" s="11"/>
      <c r="D798" s="11"/>
      <c r="E798" s="11"/>
      <c r="F798" s="11"/>
    </row>
    <row r="799">
      <c r="A799" s="11"/>
      <c r="C799" s="11"/>
      <c r="D799" s="11"/>
      <c r="E799" s="11"/>
      <c r="F799" s="11"/>
    </row>
    <row r="800">
      <c r="A800" s="11"/>
      <c r="C800" s="11"/>
      <c r="D800" s="11"/>
      <c r="E800" s="11"/>
      <c r="F800" s="11"/>
    </row>
    <row r="801">
      <c r="A801" s="11"/>
      <c r="C801" s="11"/>
      <c r="D801" s="11"/>
      <c r="E801" s="11"/>
      <c r="F801" s="11"/>
    </row>
    <row r="802">
      <c r="A802" s="11"/>
      <c r="C802" s="11"/>
      <c r="D802" s="11"/>
      <c r="E802" s="11"/>
      <c r="F802" s="11"/>
    </row>
    <row r="803">
      <c r="A803" s="11"/>
      <c r="C803" s="11"/>
      <c r="D803" s="11"/>
      <c r="E803" s="11"/>
      <c r="F803" s="11"/>
    </row>
    <row r="804">
      <c r="A804" s="11"/>
      <c r="C804" s="11"/>
      <c r="D804" s="11"/>
      <c r="E804" s="11"/>
      <c r="F804" s="11"/>
    </row>
    <row r="805">
      <c r="A805" s="11"/>
      <c r="C805" s="11"/>
      <c r="D805" s="11"/>
      <c r="E805" s="11"/>
      <c r="F805" s="11"/>
    </row>
    <row r="806">
      <c r="A806" s="11"/>
      <c r="C806" s="11"/>
      <c r="D806" s="11"/>
      <c r="E806" s="11"/>
      <c r="F806" s="11"/>
    </row>
    <row r="807">
      <c r="A807" s="11"/>
      <c r="C807" s="11"/>
      <c r="D807" s="11"/>
      <c r="E807" s="11"/>
      <c r="F807" s="11"/>
    </row>
    <row r="808">
      <c r="A808" s="11"/>
      <c r="C808" s="11"/>
      <c r="D808" s="11"/>
      <c r="E808" s="11"/>
      <c r="F808" s="11"/>
    </row>
    <row r="809">
      <c r="A809" s="11"/>
      <c r="C809" s="11"/>
      <c r="D809" s="11"/>
      <c r="E809" s="11"/>
      <c r="F809" s="11"/>
    </row>
    <row r="810">
      <c r="A810" s="11"/>
      <c r="C810" s="11"/>
      <c r="D810" s="11"/>
      <c r="E810" s="11"/>
      <c r="F810" s="11"/>
    </row>
    <row r="811">
      <c r="A811" s="11"/>
      <c r="C811" s="11"/>
      <c r="D811" s="11"/>
      <c r="E811" s="11"/>
      <c r="F811" s="11"/>
    </row>
    <row r="812">
      <c r="A812" s="11"/>
      <c r="C812" s="11"/>
      <c r="D812" s="11"/>
      <c r="E812" s="11"/>
      <c r="F812" s="11"/>
    </row>
    <row r="813">
      <c r="A813" s="11"/>
      <c r="C813" s="11"/>
      <c r="D813" s="11"/>
      <c r="E813" s="11"/>
      <c r="F813" s="11"/>
    </row>
    <row r="814">
      <c r="A814" s="11"/>
      <c r="C814" s="11"/>
      <c r="D814" s="11"/>
      <c r="E814" s="11"/>
      <c r="F814" s="11"/>
    </row>
    <row r="815">
      <c r="A815" s="11"/>
      <c r="C815" s="11"/>
      <c r="D815" s="11"/>
      <c r="E815" s="11"/>
      <c r="F815" s="11"/>
    </row>
    <row r="816">
      <c r="A816" s="11"/>
      <c r="C816" s="11"/>
      <c r="D816" s="11"/>
      <c r="E816" s="11"/>
      <c r="F816" s="11"/>
    </row>
    <row r="817">
      <c r="A817" s="11"/>
      <c r="C817" s="11"/>
      <c r="D817" s="11"/>
      <c r="E817" s="11"/>
      <c r="F817" s="11"/>
    </row>
    <row r="818">
      <c r="A818" s="11"/>
      <c r="C818" s="11"/>
      <c r="D818" s="11"/>
      <c r="E818" s="11"/>
      <c r="F818" s="11"/>
    </row>
    <row r="819">
      <c r="A819" s="11"/>
      <c r="C819" s="11"/>
      <c r="D819" s="11"/>
      <c r="E819" s="11"/>
      <c r="F819" s="11"/>
    </row>
    <row r="820">
      <c r="A820" s="11"/>
      <c r="C820" s="11"/>
      <c r="D820" s="11"/>
      <c r="E820" s="11"/>
      <c r="F820" s="11"/>
    </row>
    <row r="821">
      <c r="A821" s="11"/>
      <c r="C821" s="11"/>
      <c r="D821" s="11"/>
      <c r="E821" s="11"/>
      <c r="F821" s="11"/>
    </row>
    <row r="822">
      <c r="A822" s="11"/>
      <c r="C822" s="11"/>
      <c r="D822" s="11"/>
      <c r="E822" s="11"/>
      <c r="F822" s="11"/>
    </row>
    <row r="823">
      <c r="A823" s="11"/>
      <c r="C823" s="11"/>
      <c r="D823" s="11"/>
      <c r="E823" s="11"/>
      <c r="F823" s="11"/>
    </row>
    <row r="824">
      <c r="A824" s="11"/>
      <c r="C824" s="11"/>
      <c r="D824" s="11"/>
      <c r="E824" s="11"/>
      <c r="F824" s="11"/>
    </row>
    <row r="825">
      <c r="A825" s="11"/>
      <c r="C825" s="11"/>
      <c r="D825" s="11"/>
      <c r="E825" s="11"/>
      <c r="F825" s="11"/>
    </row>
    <row r="826">
      <c r="A826" s="11"/>
      <c r="C826" s="11"/>
      <c r="D826" s="11"/>
      <c r="E826" s="11"/>
      <c r="F826" s="11"/>
    </row>
    <row r="827">
      <c r="A827" s="11"/>
      <c r="C827" s="11"/>
      <c r="D827" s="11"/>
      <c r="E827" s="11"/>
      <c r="F827" s="11"/>
    </row>
    <row r="828">
      <c r="A828" s="11"/>
      <c r="C828" s="11"/>
      <c r="D828" s="11"/>
      <c r="E828" s="11"/>
      <c r="F828" s="11"/>
    </row>
    <row r="829">
      <c r="A829" s="11"/>
      <c r="C829" s="11"/>
      <c r="D829" s="11"/>
      <c r="E829" s="11"/>
      <c r="F829" s="11"/>
    </row>
    <row r="830">
      <c r="A830" s="11"/>
      <c r="C830" s="11"/>
      <c r="D830" s="11"/>
      <c r="E830" s="11"/>
      <c r="F830" s="11"/>
    </row>
    <row r="831">
      <c r="A831" s="11"/>
      <c r="C831" s="11"/>
      <c r="D831" s="11"/>
      <c r="E831" s="11"/>
      <c r="F831" s="11"/>
    </row>
    <row r="832">
      <c r="A832" s="11"/>
      <c r="C832" s="11"/>
      <c r="D832" s="11"/>
      <c r="E832" s="11"/>
      <c r="F832" s="11"/>
    </row>
    <row r="833">
      <c r="A833" s="11"/>
      <c r="C833" s="11"/>
      <c r="D833" s="11"/>
      <c r="E833" s="11"/>
      <c r="F833" s="11"/>
    </row>
    <row r="834">
      <c r="A834" s="11"/>
      <c r="C834" s="11"/>
      <c r="D834" s="11"/>
      <c r="E834" s="11"/>
      <c r="F834" s="11"/>
    </row>
    <row r="835">
      <c r="A835" s="11"/>
      <c r="C835" s="11"/>
      <c r="D835" s="11"/>
      <c r="E835" s="11"/>
      <c r="F835" s="11"/>
    </row>
    <row r="836">
      <c r="A836" s="11"/>
      <c r="C836" s="11"/>
      <c r="D836" s="11"/>
      <c r="E836" s="11"/>
      <c r="F836" s="11"/>
    </row>
    <row r="837">
      <c r="A837" s="11"/>
      <c r="C837" s="11"/>
      <c r="D837" s="11"/>
      <c r="E837" s="11"/>
      <c r="F837" s="11"/>
    </row>
    <row r="838">
      <c r="A838" s="11"/>
      <c r="C838" s="11"/>
      <c r="D838" s="11"/>
      <c r="E838" s="11"/>
      <c r="F838" s="11"/>
    </row>
    <row r="839">
      <c r="A839" s="11"/>
      <c r="C839" s="11"/>
      <c r="D839" s="11"/>
      <c r="E839" s="11"/>
      <c r="F839" s="11"/>
    </row>
    <row r="840">
      <c r="A840" s="11"/>
      <c r="C840" s="11"/>
      <c r="D840" s="11"/>
      <c r="E840" s="11"/>
      <c r="F840" s="11"/>
    </row>
    <row r="841">
      <c r="A841" s="11"/>
      <c r="C841" s="11"/>
      <c r="D841" s="11"/>
      <c r="E841" s="11"/>
      <c r="F841" s="11"/>
    </row>
    <row r="842">
      <c r="A842" s="11"/>
      <c r="C842" s="11"/>
      <c r="D842" s="11"/>
      <c r="E842" s="11"/>
      <c r="F842" s="11"/>
    </row>
    <row r="843">
      <c r="A843" s="11"/>
      <c r="C843" s="11"/>
      <c r="D843" s="11"/>
      <c r="E843" s="11"/>
      <c r="F843" s="11"/>
    </row>
    <row r="844">
      <c r="A844" s="11"/>
      <c r="C844" s="11"/>
      <c r="D844" s="11"/>
      <c r="E844" s="11"/>
      <c r="F844" s="11"/>
    </row>
    <row r="845">
      <c r="A845" s="11"/>
      <c r="C845" s="11"/>
      <c r="D845" s="11"/>
      <c r="E845" s="11"/>
      <c r="F845" s="11"/>
    </row>
    <row r="846">
      <c r="A846" s="11"/>
      <c r="C846" s="11"/>
      <c r="D846" s="11"/>
      <c r="E846" s="11"/>
      <c r="F846" s="11"/>
    </row>
    <row r="847">
      <c r="A847" s="11"/>
      <c r="C847" s="11"/>
      <c r="D847" s="11"/>
      <c r="E847" s="11"/>
      <c r="F847" s="11"/>
    </row>
    <row r="848">
      <c r="A848" s="11"/>
      <c r="C848" s="11"/>
      <c r="D848" s="11"/>
      <c r="E848" s="11"/>
      <c r="F848" s="11"/>
    </row>
    <row r="849">
      <c r="A849" s="11"/>
      <c r="C849" s="11"/>
      <c r="D849" s="11"/>
      <c r="E849" s="11"/>
      <c r="F849" s="11"/>
    </row>
    <row r="850">
      <c r="A850" s="11"/>
      <c r="C850" s="11"/>
      <c r="D850" s="11"/>
      <c r="E850" s="11"/>
      <c r="F850" s="11"/>
    </row>
    <row r="851">
      <c r="A851" s="11"/>
      <c r="C851" s="11"/>
      <c r="D851" s="11"/>
      <c r="E851" s="11"/>
      <c r="F851" s="11"/>
    </row>
    <row r="852">
      <c r="A852" s="11"/>
      <c r="C852" s="11"/>
      <c r="D852" s="11"/>
      <c r="E852" s="11"/>
      <c r="F852" s="11"/>
    </row>
    <row r="853">
      <c r="A853" s="11"/>
      <c r="C853" s="11"/>
      <c r="D853" s="11"/>
      <c r="E853" s="11"/>
      <c r="F853" s="11"/>
    </row>
    <row r="854">
      <c r="A854" s="11"/>
      <c r="C854" s="11"/>
      <c r="D854" s="11"/>
      <c r="E854" s="11"/>
      <c r="F854" s="11"/>
    </row>
    <row r="855">
      <c r="A855" s="11"/>
      <c r="C855" s="11"/>
      <c r="D855" s="11"/>
      <c r="E855" s="11"/>
      <c r="F855" s="11"/>
    </row>
    <row r="856">
      <c r="A856" s="11"/>
      <c r="C856" s="11"/>
      <c r="D856" s="11"/>
      <c r="E856" s="11"/>
      <c r="F856" s="11"/>
    </row>
    <row r="857">
      <c r="A857" s="11"/>
      <c r="C857" s="11"/>
      <c r="D857" s="11"/>
      <c r="E857" s="11"/>
      <c r="F857" s="11"/>
    </row>
    <row r="858">
      <c r="A858" s="11"/>
      <c r="C858" s="11"/>
      <c r="D858" s="11"/>
      <c r="E858" s="11"/>
      <c r="F858" s="11"/>
    </row>
    <row r="859">
      <c r="A859" s="11"/>
      <c r="C859" s="11"/>
      <c r="D859" s="11"/>
      <c r="E859" s="11"/>
      <c r="F859" s="11"/>
    </row>
    <row r="860">
      <c r="A860" s="11"/>
      <c r="C860" s="11"/>
      <c r="D860" s="11"/>
      <c r="E860" s="11"/>
      <c r="F860" s="11"/>
    </row>
    <row r="861">
      <c r="A861" s="11"/>
      <c r="C861" s="11"/>
      <c r="D861" s="11"/>
      <c r="E861" s="11"/>
      <c r="F861" s="11"/>
    </row>
    <row r="862">
      <c r="A862" s="11"/>
      <c r="C862" s="11"/>
      <c r="D862" s="11"/>
      <c r="E862" s="11"/>
      <c r="F862" s="11"/>
    </row>
    <row r="863">
      <c r="A863" s="11"/>
      <c r="C863" s="11"/>
      <c r="D863" s="11"/>
      <c r="E863" s="11"/>
      <c r="F863" s="11"/>
    </row>
    <row r="864">
      <c r="A864" s="11"/>
      <c r="C864" s="11"/>
      <c r="D864" s="11"/>
      <c r="E864" s="11"/>
      <c r="F864" s="11"/>
    </row>
    <row r="865">
      <c r="A865" s="11"/>
      <c r="C865" s="11"/>
      <c r="D865" s="11"/>
      <c r="E865" s="11"/>
      <c r="F865" s="11"/>
    </row>
    <row r="866">
      <c r="A866" s="11"/>
      <c r="C866" s="11"/>
      <c r="D866" s="11"/>
      <c r="E866" s="11"/>
      <c r="F866" s="11"/>
    </row>
    <row r="867">
      <c r="A867" s="11"/>
      <c r="C867" s="11"/>
      <c r="D867" s="11"/>
      <c r="E867" s="11"/>
      <c r="F867" s="11"/>
    </row>
    <row r="868">
      <c r="A868" s="11"/>
      <c r="C868" s="11"/>
      <c r="D868" s="11"/>
      <c r="E868" s="11"/>
      <c r="F868" s="11"/>
    </row>
    <row r="869">
      <c r="A869" s="11"/>
      <c r="C869" s="11"/>
      <c r="D869" s="11"/>
      <c r="E869" s="11"/>
      <c r="F869" s="11"/>
    </row>
    <row r="870">
      <c r="A870" s="11"/>
      <c r="C870" s="11"/>
      <c r="D870" s="11"/>
      <c r="E870" s="11"/>
      <c r="F870" s="11"/>
    </row>
    <row r="871">
      <c r="A871" s="11"/>
      <c r="C871" s="11"/>
      <c r="D871" s="11"/>
      <c r="E871" s="11"/>
      <c r="F871" s="11"/>
    </row>
    <row r="872">
      <c r="A872" s="11"/>
      <c r="C872" s="11"/>
      <c r="D872" s="11"/>
      <c r="E872" s="11"/>
      <c r="F872" s="11"/>
    </row>
    <row r="873">
      <c r="A873" s="11"/>
      <c r="C873" s="11"/>
      <c r="D873" s="11"/>
      <c r="E873" s="11"/>
      <c r="F873" s="11"/>
    </row>
    <row r="874">
      <c r="A874" s="11"/>
      <c r="C874" s="11"/>
      <c r="D874" s="11"/>
      <c r="E874" s="11"/>
      <c r="F874" s="11"/>
    </row>
    <row r="875">
      <c r="A875" s="11"/>
      <c r="C875" s="11"/>
      <c r="D875" s="11"/>
      <c r="E875" s="11"/>
      <c r="F875" s="11"/>
    </row>
    <row r="876">
      <c r="A876" s="11"/>
      <c r="C876" s="11"/>
      <c r="D876" s="11"/>
      <c r="E876" s="11"/>
      <c r="F876" s="11"/>
    </row>
    <row r="877">
      <c r="A877" s="11"/>
      <c r="C877" s="11"/>
      <c r="D877" s="11"/>
      <c r="E877" s="11"/>
      <c r="F877" s="11"/>
    </row>
    <row r="878">
      <c r="A878" s="11"/>
      <c r="C878" s="11"/>
      <c r="D878" s="11"/>
      <c r="E878" s="11"/>
      <c r="F878" s="11"/>
    </row>
    <row r="879">
      <c r="A879" s="11"/>
      <c r="C879" s="11"/>
      <c r="D879" s="11"/>
      <c r="E879" s="11"/>
      <c r="F879" s="11"/>
    </row>
    <row r="880">
      <c r="A880" s="11"/>
      <c r="C880" s="11"/>
      <c r="D880" s="11"/>
      <c r="E880" s="11"/>
      <c r="F880" s="11"/>
    </row>
    <row r="881">
      <c r="A881" s="11"/>
      <c r="C881" s="11"/>
      <c r="D881" s="11"/>
      <c r="E881" s="11"/>
      <c r="F881" s="11"/>
    </row>
    <row r="882">
      <c r="A882" s="11"/>
      <c r="C882" s="11"/>
      <c r="D882" s="11"/>
      <c r="E882" s="11"/>
      <c r="F882" s="11"/>
    </row>
    <row r="883">
      <c r="A883" s="11"/>
      <c r="C883" s="11"/>
      <c r="D883" s="11"/>
      <c r="E883" s="11"/>
      <c r="F883" s="11"/>
    </row>
    <row r="884">
      <c r="A884" s="11"/>
      <c r="C884" s="11"/>
      <c r="D884" s="11"/>
      <c r="E884" s="11"/>
      <c r="F884" s="11"/>
    </row>
    <row r="885">
      <c r="A885" s="11"/>
      <c r="C885" s="11"/>
      <c r="D885" s="11"/>
      <c r="E885" s="11"/>
      <c r="F885" s="11"/>
    </row>
    <row r="886">
      <c r="A886" s="11"/>
      <c r="C886" s="11"/>
      <c r="D886" s="11"/>
      <c r="E886" s="11"/>
      <c r="F886" s="11"/>
    </row>
    <row r="887">
      <c r="A887" s="11"/>
      <c r="C887" s="11"/>
      <c r="D887" s="11"/>
      <c r="E887" s="11"/>
      <c r="F887" s="11"/>
    </row>
    <row r="888">
      <c r="A888" s="11"/>
      <c r="C888" s="11"/>
      <c r="D888" s="11"/>
      <c r="E888" s="11"/>
      <c r="F888" s="11"/>
    </row>
    <row r="889">
      <c r="A889" s="11"/>
      <c r="C889" s="11"/>
      <c r="D889" s="11"/>
      <c r="E889" s="11"/>
      <c r="F889" s="11"/>
    </row>
    <row r="890">
      <c r="A890" s="11"/>
      <c r="C890" s="11"/>
      <c r="D890" s="11"/>
      <c r="E890" s="11"/>
      <c r="F890" s="11"/>
    </row>
    <row r="891">
      <c r="A891" s="11"/>
      <c r="C891" s="11"/>
      <c r="D891" s="11"/>
      <c r="E891" s="11"/>
      <c r="F891" s="11"/>
    </row>
    <row r="892">
      <c r="A892" s="11"/>
      <c r="C892" s="11"/>
      <c r="D892" s="11"/>
      <c r="E892" s="11"/>
      <c r="F892" s="11"/>
    </row>
    <row r="893">
      <c r="A893" s="11"/>
      <c r="C893" s="11"/>
      <c r="D893" s="11"/>
      <c r="E893" s="11"/>
      <c r="F893" s="11"/>
    </row>
    <row r="894">
      <c r="A894" s="11"/>
      <c r="C894" s="11"/>
      <c r="D894" s="11"/>
      <c r="E894" s="11"/>
      <c r="F894" s="11"/>
    </row>
    <row r="895">
      <c r="A895" s="11"/>
      <c r="C895" s="11"/>
      <c r="D895" s="11"/>
      <c r="E895" s="11"/>
      <c r="F895" s="11"/>
    </row>
    <row r="896">
      <c r="A896" s="11"/>
      <c r="C896" s="11"/>
      <c r="D896" s="11"/>
      <c r="E896" s="11"/>
      <c r="F896" s="11"/>
    </row>
    <row r="897">
      <c r="A897" s="11"/>
      <c r="C897" s="11"/>
      <c r="D897" s="11"/>
      <c r="E897" s="11"/>
      <c r="F897" s="11"/>
    </row>
    <row r="898">
      <c r="A898" s="11"/>
      <c r="C898" s="11"/>
      <c r="D898" s="11"/>
      <c r="E898" s="11"/>
      <c r="F898" s="11"/>
    </row>
    <row r="899">
      <c r="A899" s="11"/>
      <c r="C899" s="11"/>
      <c r="D899" s="11"/>
      <c r="E899" s="11"/>
      <c r="F899" s="11"/>
    </row>
    <row r="900">
      <c r="A900" s="11"/>
      <c r="C900" s="11"/>
      <c r="D900" s="11"/>
      <c r="E900" s="11"/>
      <c r="F900" s="11"/>
    </row>
    <row r="901">
      <c r="A901" s="11"/>
      <c r="C901" s="11"/>
      <c r="D901" s="11"/>
      <c r="E901" s="11"/>
      <c r="F901" s="11"/>
    </row>
    <row r="902">
      <c r="A902" s="11"/>
      <c r="C902" s="11"/>
      <c r="D902" s="11"/>
      <c r="E902" s="11"/>
      <c r="F902" s="11"/>
    </row>
    <row r="903">
      <c r="A903" s="11"/>
      <c r="C903" s="11"/>
      <c r="D903" s="11"/>
      <c r="E903" s="11"/>
      <c r="F903" s="11"/>
    </row>
    <row r="904">
      <c r="A904" s="11"/>
      <c r="C904" s="11"/>
      <c r="D904" s="11"/>
      <c r="E904" s="11"/>
      <c r="F904" s="11"/>
    </row>
    <row r="905">
      <c r="A905" s="11"/>
      <c r="C905" s="11"/>
      <c r="D905" s="11"/>
      <c r="E905" s="11"/>
      <c r="F905" s="11"/>
    </row>
    <row r="906">
      <c r="A906" s="11"/>
      <c r="C906" s="11"/>
      <c r="D906" s="11"/>
      <c r="E906" s="11"/>
      <c r="F906" s="11"/>
    </row>
    <row r="907">
      <c r="A907" s="11"/>
      <c r="C907" s="11"/>
      <c r="D907" s="11"/>
      <c r="E907" s="11"/>
      <c r="F907" s="11"/>
    </row>
    <row r="908">
      <c r="A908" s="11"/>
      <c r="C908" s="11"/>
      <c r="D908" s="11"/>
      <c r="E908" s="11"/>
      <c r="F908" s="11"/>
    </row>
    <row r="909">
      <c r="A909" s="11"/>
      <c r="C909" s="11"/>
      <c r="D909" s="11"/>
      <c r="E909" s="11"/>
      <c r="F909" s="11"/>
    </row>
    <row r="910">
      <c r="A910" s="11"/>
      <c r="C910" s="11"/>
      <c r="D910" s="11"/>
      <c r="E910" s="11"/>
      <c r="F910" s="11"/>
    </row>
    <row r="911">
      <c r="A911" s="11"/>
      <c r="C911" s="11"/>
      <c r="D911" s="11"/>
      <c r="E911" s="11"/>
      <c r="F911" s="11"/>
    </row>
    <row r="912">
      <c r="A912" s="11"/>
      <c r="C912" s="11"/>
      <c r="D912" s="11"/>
      <c r="E912" s="11"/>
      <c r="F912" s="11"/>
    </row>
    <row r="913">
      <c r="A913" s="11"/>
      <c r="C913" s="11"/>
      <c r="D913" s="11"/>
      <c r="E913" s="11"/>
      <c r="F913" s="11"/>
    </row>
    <row r="914">
      <c r="A914" s="11"/>
      <c r="C914" s="11"/>
      <c r="D914" s="11"/>
      <c r="E914" s="11"/>
      <c r="F914" s="11"/>
    </row>
    <row r="915">
      <c r="A915" s="11"/>
      <c r="C915" s="11"/>
      <c r="D915" s="11"/>
      <c r="E915" s="11"/>
      <c r="F915" s="11"/>
    </row>
    <row r="916">
      <c r="A916" s="11"/>
      <c r="C916" s="11"/>
      <c r="D916" s="11"/>
      <c r="E916" s="11"/>
      <c r="F916" s="11"/>
    </row>
    <row r="917">
      <c r="A917" s="11"/>
      <c r="C917" s="11"/>
      <c r="D917" s="11"/>
      <c r="E917" s="11"/>
      <c r="F917" s="11"/>
    </row>
    <row r="918">
      <c r="A918" s="11"/>
      <c r="C918" s="11"/>
      <c r="D918" s="11"/>
      <c r="E918" s="11"/>
      <c r="F918" s="11"/>
    </row>
    <row r="919">
      <c r="A919" s="11"/>
      <c r="C919" s="11"/>
      <c r="D919" s="11"/>
      <c r="E919" s="11"/>
      <c r="F919" s="11"/>
    </row>
    <row r="920">
      <c r="A920" s="11"/>
      <c r="C920" s="11"/>
      <c r="D920" s="11"/>
      <c r="E920" s="11"/>
      <c r="F920" s="11"/>
    </row>
    <row r="921">
      <c r="A921" s="11"/>
      <c r="C921" s="11"/>
      <c r="D921" s="11"/>
      <c r="E921" s="11"/>
      <c r="F921" s="11"/>
    </row>
    <row r="922">
      <c r="A922" s="11"/>
      <c r="C922" s="11"/>
      <c r="D922" s="11"/>
      <c r="E922" s="11"/>
      <c r="F922" s="11"/>
    </row>
    <row r="923">
      <c r="A923" s="11"/>
      <c r="C923" s="11"/>
      <c r="D923" s="11"/>
      <c r="E923" s="11"/>
      <c r="F923" s="11"/>
    </row>
    <row r="924">
      <c r="A924" s="11"/>
      <c r="C924" s="11"/>
      <c r="D924" s="11"/>
      <c r="E924" s="11"/>
      <c r="F924" s="11"/>
    </row>
    <row r="925">
      <c r="A925" s="11"/>
      <c r="C925" s="11"/>
      <c r="D925" s="11"/>
      <c r="E925" s="11"/>
      <c r="F925" s="11"/>
    </row>
    <row r="926">
      <c r="A926" s="11"/>
      <c r="C926" s="11"/>
      <c r="D926" s="11"/>
      <c r="E926" s="11"/>
      <c r="F926" s="11"/>
    </row>
    <row r="927">
      <c r="A927" s="11"/>
      <c r="C927" s="11"/>
      <c r="D927" s="11"/>
      <c r="E927" s="11"/>
      <c r="F927" s="11"/>
    </row>
    <row r="928">
      <c r="A928" s="11"/>
      <c r="C928" s="11"/>
      <c r="D928" s="11"/>
      <c r="E928" s="11"/>
      <c r="F928" s="11"/>
    </row>
    <row r="929">
      <c r="A929" s="11"/>
      <c r="C929" s="11"/>
      <c r="D929" s="11"/>
      <c r="E929" s="11"/>
      <c r="F929" s="11"/>
    </row>
    <row r="930">
      <c r="A930" s="11"/>
      <c r="C930" s="11"/>
      <c r="D930" s="11"/>
      <c r="E930" s="11"/>
      <c r="F930" s="11"/>
    </row>
    <row r="931">
      <c r="A931" s="11"/>
      <c r="C931" s="11"/>
      <c r="D931" s="11"/>
      <c r="E931" s="11"/>
      <c r="F931" s="11"/>
    </row>
    <row r="932">
      <c r="A932" s="11"/>
      <c r="C932" s="11"/>
      <c r="D932" s="11"/>
      <c r="E932" s="11"/>
      <c r="F932" s="11"/>
    </row>
    <row r="933">
      <c r="A933" s="11"/>
      <c r="C933" s="11"/>
      <c r="D933" s="11"/>
      <c r="E933" s="11"/>
      <c r="F933" s="11"/>
    </row>
    <row r="934">
      <c r="A934" s="11"/>
      <c r="C934" s="11"/>
      <c r="D934" s="11"/>
      <c r="E934" s="11"/>
      <c r="F934" s="11"/>
    </row>
    <row r="935">
      <c r="A935" s="11"/>
      <c r="C935" s="11"/>
      <c r="D935" s="11"/>
      <c r="E935" s="11"/>
      <c r="F935" s="11"/>
    </row>
    <row r="936">
      <c r="A936" s="11"/>
      <c r="C936" s="11"/>
      <c r="D936" s="11"/>
      <c r="E936" s="11"/>
      <c r="F936" s="11"/>
    </row>
    <row r="937">
      <c r="A937" s="11"/>
      <c r="C937" s="11"/>
      <c r="D937" s="11"/>
      <c r="E937" s="11"/>
      <c r="F937" s="11"/>
    </row>
    <row r="938">
      <c r="A938" s="11"/>
      <c r="C938" s="11"/>
      <c r="D938" s="11"/>
      <c r="E938" s="11"/>
      <c r="F938" s="11"/>
    </row>
    <row r="939">
      <c r="A939" s="11"/>
      <c r="C939" s="11"/>
      <c r="D939" s="11"/>
      <c r="E939" s="11"/>
      <c r="F939" s="11"/>
    </row>
    <row r="940">
      <c r="A940" s="11"/>
      <c r="C940" s="11"/>
      <c r="D940" s="11"/>
      <c r="E940" s="11"/>
      <c r="F940" s="11"/>
    </row>
    <row r="941">
      <c r="A941" s="11"/>
      <c r="C941" s="11"/>
      <c r="D941" s="11"/>
      <c r="E941" s="11"/>
      <c r="F941" s="11"/>
    </row>
    <row r="942">
      <c r="A942" s="11"/>
      <c r="C942" s="11"/>
      <c r="D942" s="11"/>
      <c r="E942" s="11"/>
      <c r="F942" s="11"/>
    </row>
    <row r="943">
      <c r="A943" s="11"/>
      <c r="C943" s="11"/>
      <c r="D943" s="11"/>
      <c r="E943" s="11"/>
      <c r="F943" s="11"/>
    </row>
    <row r="944">
      <c r="A944" s="11"/>
      <c r="C944" s="11"/>
      <c r="D944" s="11"/>
      <c r="E944" s="11"/>
      <c r="F944" s="11"/>
    </row>
    <row r="945">
      <c r="A945" s="11"/>
      <c r="C945" s="11"/>
      <c r="D945" s="11"/>
      <c r="E945" s="11"/>
      <c r="F945" s="11"/>
    </row>
    <row r="946">
      <c r="A946" s="11"/>
      <c r="C946" s="11"/>
      <c r="D946" s="11"/>
      <c r="E946" s="11"/>
      <c r="F946" s="11"/>
    </row>
    <row r="947">
      <c r="A947" s="11"/>
      <c r="C947" s="11"/>
      <c r="D947" s="11"/>
      <c r="E947" s="11"/>
      <c r="F947" s="11"/>
    </row>
    <row r="948">
      <c r="A948" s="11"/>
      <c r="C948" s="11"/>
      <c r="D948" s="11"/>
      <c r="E948" s="11"/>
      <c r="F948" s="11"/>
    </row>
    <row r="949">
      <c r="A949" s="11"/>
      <c r="C949" s="11"/>
      <c r="D949" s="11"/>
      <c r="E949" s="11"/>
      <c r="F949" s="11"/>
    </row>
    <row r="950">
      <c r="A950" s="11"/>
      <c r="C950" s="11"/>
      <c r="D950" s="11"/>
      <c r="E950" s="11"/>
      <c r="F950" s="11"/>
    </row>
    <row r="951">
      <c r="A951" s="11"/>
      <c r="C951" s="11"/>
      <c r="D951" s="11"/>
      <c r="E951" s="11"/>
      <c r="F951" s="11"/>
    </row>
    <row r="952">
      <c r="A952" s="11"/>
      <c r="C952" s="11"/>
      <c r="D952" s="11"/>
      <c r="E952" s="11"/>
      <c r="F952" s="11"/>
    </row>
    <row r="953">
      <c r="A953" s="11"/>
      <c r="C953" s="11"/>
      <c r="D953" s="11"/>
      <c r="E953" s="11"/>
      <c r="F953" s="11"/>
    </row>
    <row r="954">
      <c r="A954" s="11"/>
      <c r="C954" s="11"/>
      <c r="D954" s="11"/>
      <c r="E954" s="11"/>
      <c r="F954" s="11"/>
    </row>
    <row r="955">
      <c r="A955" s="11"/>
      <c r="C955" s="11"/>
      <c r="D955" s="11"/>
      <c r="E955" s="11"/>
      <c r="F955" s="11"/>
    </row>
    <row r="956">
      <c r="A956" s="11"/>
      <c r="C956" s="11"/>
      <c r="D956" s="11"/>
      <c r="E956" s="11"/>
      <c r="F956" s="11"/>
    </row>
    <row r="957">
      <c r="A957" s="11"/>
      <c r="C957" s="11"/>
      <c r="D957" s="11"/>
      <c r="E957" s="11"/>
      <c r="F957" s="11"/>
    </row>
    <row r="958">
      <c r="A958" s="11"/>
      <c r="C958" s="11"/>
      <c r="D958" s="11"/>
      <c r="E958" s="11"/>
      <c r="F958" s="11"/>
    </row>
    <row r="959">
      <c r="A959" s="11"/>
      <c r="C959" s="11"/>
      <c r="D959" s="11"/>
      <c r="E959" s="11"/>
      <c r="F959" s="11"/>
    </row>
    <row r="960">
      <c r="A960" s="11"/>
      <c r="C960" s="11"/>
      <c r="D960" s="11"/>
      <c r="E960" s="11"/>
      <c r="F960" s="11"/>
    </row>
    <row r="961">
      <c r="A961" s="11"/>
      <c r="C961" s="11"/>
      <c r="D961" s="11"/>
      <c r="E961" s="11"/>
      <c r="F961" s="11"/>
    </row>
    <row r="962">
      <c r="A962" s="11"/>
      <c r="C962" s="11"/>
      <c r="D962" s="11"/>
      <c r="E962" s="11"/>
      <c r="F962" s="11"/>
    </row>
    <row r="963">
      <c r="A963" s="11"/>
      <c r="C963" s="11"/>
      <c r="D963" s="11"/>
      <c r="E963" s="11"/>
      <c r="F963" s="11"/>
    </row>
    <row r="964">
      <c r="A964" s="11"/>
      <c r="C964" s="11"/>
      <c r="D964" s="11"/>
      <c r="E964" s="11"/>
      <c r="F964" s="11"/>
    </row>
    <row r="965">
      <c r="A965" s="11"/>
      <c r="C965" s="11"/>
      <c r="D965" s="11"/>
      <c r="E965" s="11"/>
      <c r="F965" s="11"/>
    </row>
    <row r="966">
      <c r="A966" s="11"/>
      <c r="C966" s="11"/>
      <c r="D966" s="11"/>
      <c r="E966" s="11"/>
      <c r="F966" s="11"/>
    </row>
    <row r="967">
      <c r="A967" s="11"/>
      <c r="C967" s="11"/>
      <c r="D967" s="11"/>
      <c r="E967" s="11"/>
      <c r="F967" s="11"/>
    </row>
    <row r="968">
      <c r="A968" s="11"/>
      <c r="C968" s="11"/>
      <c r="D968" s="11"/>
      <c r="E968" s="11"/>
      <c r="F968" s="11"/>
    </row>
    <row r="969">
      <c r="A969" s="11"/>
      <c r="C969" s="11"/>
      <c r="D969" s="11"/>
      <c r="E969" s="11"/>
      <c r="F969" s="11"/>
    </row>
    <row r="970">
      <c r="A970" s="11"/>
      <c r="C970" s="11"/>
      <c r="D970" s="11"/>
      <c r="E970" s="11"/>
      <c r="F970" s="11"/>
    </row>
    <row r="971">
      <c r="A971" s="11"/>
      <c r="C971" s="11"/>
      <c r="D971" s="11"/>
      <c r="E971" s="11"/>
      <c r="F971" s="11"/>
    </row>
    <row r="972">
      <c r="A972" s="11"/>
      <c r="C972" s="11"/>
      <c r="D972" s="11"/>
      <c r="E972" s="11"/>
      <c r="F972" s="11"/>
    </row>
    <row r="973">
      <c r="A973" s="11"/>
      <c r="C973" s="11"/>
      <c r="D973" s="11"/>
      <c r="E973" s="11"/>
      <c r="F973" s="11"/>
    </row>
    <row r="974">
      <c r="A974" s="11"/>
      <c r="C974" s="11"/>
      <c r="D974" s="11"/>
      <c r="E974" s="11"/>
      <c r="F974" s="11"/>
    </row>
    <row r="975">
      <c r="A975" s="11"/>
      <c r="C975" s="11"/>
      <c r="D975" s="11"/>
      <c r="E975" s="11"/>
      <c r="F975" s="11"/>
    </row>
    <row r="976">
      <c r="A976" s="11"/>
      <c r="C976" s="11"/>
      <c r="D976" s="11"/>
      <c r="E976" s="11"/>
      <c r="F976" s="11"/>
    </row>
    <row r="977">
      <c r="A977" s="11"/>
      <c r="C977" s="11"/>
      <c r="D977" s="11"/>
      <c r="E977" s="11"/>
      <c r="F977" s="11"/>
    </row>
    <row r="978">
      <c r="A978" s="11"/>
      <c r="C978" s="11"/>
      <c r="D978" s="11"/>
      <c r="E978" s="11"/>
      <c r="F978" s="11"/>
    </row>
    <row r="979">
      <c r="A979" s="11"/>
      <c r="C979" s="11"/>
      <c r="D979" s="11"/>
      <c r="E979" s="11"/>
      <c r="F979" s="11"/>
    </row>
    <row r="980">
      <c r="A980" s="11"/>
      <c r="C980" s="11"/>
      <c r="D980" s="11"/>
      <c r="E980" s="11"/>
      <c r="F980" s="11"/>
    </row>
    <row r="981">
      <c r="A981" s="11"/>
      <c r="C981" s="11"/>
      <c r="D981" s="11"/>
      <c r="E981" s="11"/>
      <c r="F981" s="11"/>
    </row>
    <row r="982">
      <c r="A982" s="11"/>
      <c r="C982" s="11"/>
      <c r="D982" s="11"/>
      <c r="E982" s="11"/>
      <c r="F982" s="11"/>
    </row>
    <row r="983">
      <c r="A983" s="11"/>
      <c r="C983" s="11"/>
      <c r="D983" s="11"/>
      <c r="E983" s="11"/>
      <c r="F983" s="11"/>
    </row>
    <row r="984">
      <c r="A984" s="11"/>
      <c r="C984" s="11"/>
      <c r="D984" s="11"/>
      <c r="E984" s="11"/>
      <c r="F984" s="11"/>
    </row>
    <row r="985">
      <c r="A985" s="11"/>
      <c r="C985" s="11"/>
      <c r="D985" s="11"/>
      <c r="E985" s="11"/>
      <c r="F985" s="11"/>
    </row>
    <row r="986">
      <c r="A986" s="11"/>
      <c r="C986" s="11"/>
      <c r="D986" s="11"/>
      <c r="E986" s="11"/>
      <c r="F986" s="11"/>
    </row>
    <row r="987">
      <c r="A987" s="11"/>
      <c r="C987" s="11"/>
      <c r="D987" s="11"/>
      <c r="E987" s="11"/>
      <c r="F987" s="11"/>
    </row>
    <row r="988">
      <c r="A988" s="11"/>
      <c r="C988" s="11"/>
      <c r="D988" s="11"/>
      <c r="E988" s="11"/>
      <c r="F988" s="11"/>
    </row>
    <row r="989">
      <c r="A989" s="11"/>
      <c r="C989" s="11"/>
      <c r="D989" s="11"/>
      <c r="E989" s="11"/>
      <c r="F989" s="11"/>
    </row>
    <row r="990">
      <c r="A990" s="11"/>
      <c r="C990" s="11"/>
      <c r="D990" s="11"/>
      <c r="E990" s="11"/>
      <c r="F990" s="11"/>
    </row>
    <row r="991">
      <c r="A991" s="11"/>
      <c r="C991" s="11"/>
      <c r="D991" s="11"/>
      <c r="E991" s="11"/>
      <c r="F991" s="11"/>
    </row>
    <row r="992">
      <c r="A992" s="11"/>
      <c r="C992" s="11"/>
      <c r="D992" s="11"/>
      <c r="E992" s="11"/>
      <c r="F992" s="11"/>
    </row>
    <row r="993">
      <c r="A993" s="11"/>
      <c r="C993" s="11"/>
      <c r="D993" s="11"/>
      <c r="E993" s="11"/>
      <c r="F993" s="11"/>
    </row>
    <row r="994">
      <c r="A994" s="11"/>
      <c r="C994" s="11"/>
      <c r="D994" s="11"/>
      <c r="E994" s="11"/>
      <c r="F994" s="11"/>
    </row>
    <row r="995">
      <c r="A995" s="11"/>
      <c r="C995" s="11"/>
      <c r="D995" s="11"/>
      <c r="E995" s="11"/>
      <c r="F995" s="11"/>
    </row>
    <row r="996">
      <c r="A996" s="11"/>
      <c r="C996" s="11"/>
      <c r="D996" s="11"/>
      <c r="E996" s="11"/>
      <c r="F996" s="11"/>
    </row>
    <row r="997">
      <c r="A997" s="11"/>
      <c r="C997" s="11"/>
      <c r="D997" s="11"/>
      <c r="E997" s="11"/>
      <c r="F997" s="11"/>
    </row>
    <row r="998">
      <c r="A998" s="11"/>
      <c r="C998" s="11"/>
      <c r="D998" s="11"/>
      <c r="E998" s="11"/>
      <c r="F998" s="11"/>
    </row>
    <row r="999">
      <c r="A999" s="11"/>
      <c r="C999" s="11"/>
      <c r="D999" s="11"/>
      <c r="E999" s="11"/>
      <c r="F999" s="11"/>
    </row>
    <row r="1000">
      <c r="A1000" s="11"/>
      <c r="C1000" s="11"/>
      <c r="D1000" s="11"/>
      <c r="E1000" s="11"/>
      <c r="F1000" s="11"/>
    </row>
    <row r="1001">
      <c r="A1001" s="11"/>
      <c r="C1001" s="11"/>
      <c r="D1001" s="11"/>
      <c r="E1001" s="11"/>
      <c r="F1001" s="11"/>
    </row>
    <row r="1002">
      <c r="A1002" s="11"/>
      <c r="C1002" s="11"/>
      <c r="D1002" s="11"/>
      <c r="E1002" s="11"/>
      <c r="F1002" s="11"/>
    </row>
    <row r="1003">
      <c r="A1003" s="11"/>
      <c r="C1003" s="11"/>
      <c r="D1003" s="11"/>
      <c r="E1003" s="11"/>
      <c r="F1003" s="11"/>
    </row>
    <row r="1004">
      <c r="A1004" s="11"/>
      <c r="C1004" s="11"/>
      <c r="D1004" s="11"/>
      <c r="E1004" s="11"/>
      <c r="F1004" s="11"/>
    </row>
    <row r="1005">
      <c r="A1005" s="11"/>
      <c r="C1005" s="11"/>
      <c r="D1005" s="11"/>
      <c r="E1005" s="11"/>
      <c r="F1005" s="11"/>
    </row>
    <row r="1006">
      <c r="A1006" s="11"/>
      <c r="C1006" s="11"/>
      <c r="D1006" s="11"/>
      <c r="E1006" s="11"/>
      <c r="F1006" s="11"/>
    </row>
    <row r="1007">
      <c r="A1007" s="11"/>
      <c r="C1007" s="11"/>
      <c r="D1007" s="11"/>
      <c r="E1007" s="11"/>
      <c r="F1007" s="11"/>
    </row>
    <row r="1008">
      <c r="A1008" s="11"/>
      <c r="C1008" s="11"/>
      <c r="D1008" s="11"/>
      <c r="E1008" s="11"/>
      <c r="F1008" s="11"/>
    </row>
    <row r="1009">
      <c r="A1009" s="11"/>
      <c r="C1009" s="11"/>
      <c r="D1009" s="11"/>
      <c r="E1009" s="11"/>
      <c r="F1009" s="11"/>
    </row>
    <row r="1010">
      <c r="A1010" s="11"/>
      <c r="C1010" s="11"/>
      <c r="D1010" s="11"/>
      <c r="E1010" s="11"/>
      <c r="F1010" s="11"/>
    </row>
    <row r="1011">
      <c r="A1011" s="11"/>
      <c r="C1011" s="11"/>
      <c r="D1011" s="11"/>
      <c r="E1011" s="11"/>
      <c r="F1011" s="11"/>
    </row>
    <row r="1012">
      <c r="A1012" s="11"/>
      <c r="C1012" s="11"/>
      <c r="D1012" s="11"/>
      <c r="E1012" s="11"/>
      <c r="F1012" s="11"/>
    </row>
    <row r="1013">
      <c r="A1013" s="11"/>
      <c r="C1013" s="11"/>
      <c r="D1013" s="11"/>
      <c r="E1013" s="11"/>
      <c r="F1013" s="11"/>
    </row>
    <row r="1014">
      <c r="A1014" s="11"/>
      <c r="C1014" s="11"/>
      <c r="D1014" s="11"/>
      <c r="E1014" s="11"/>
      <c r="F1014" s="11"/>
    </row>
    <row r="1015">
      <c r="A1015" s="11"/>
      <c r="C1015" s="11"/>
      <c r="D1015" s="11"/>
      <c r="E1015" s="11"/>
      <c r="F1015" s="11"/>
    </row>
    <row r="1016">
      <c r="A1016" s="11"/>
      <c r="C1016" s="11"/>
      <c r="D1016" s="11"/>
      <c r="E1016" s="11"/>
      <c r="F1016" s="11"/>
    </row>
    <row r="1017">
      <c r="A1017" s="11"/>
      <c r="C1017" s="11"/>
      <c r="D1017" s="11"/>
      <c r="E1017" s="11"/>
      <c r="F1017" s="11"/>
    </row>
    <row r="1018">
      <c r="A1018" s="11"/>
      <c r="C1018" s="11"/>
      <c r="D1018" s="11"/>
      <c r="E1018" s="11"/>
      <c r="F1018" s="11"/>
    </row>
    <row r="1019">
      <c r="A1019" s="11"/>
      <c r="C1019" s="11"/>
      <c r="D1019" s="11"/>
      <c r="E1019" s="11"/>
      <c r="F1019" s="11"/>
    </row>
    <row r="1020">
      <c r="A1020" s="11"/>
      <c r="C1020" s="11"/>
      <c r="D1020" s="11"/>
      <c r="E1020" s="11"/>
      <c r="F1020" s="11"/>
    </row>
    <row r="1021">
      <c r="A1021" s="11"/>
      <c r="C1021" s="11"/>
      <c r="D1021" s="11"/>
      <c r="E1021" s="11"/>
      <c r="F1021" s="11"/>
    </row>
    <row r="1022">
      <c r="A1022" s="11"/>
      <c r="C1022" s="11"/>
      <c r="D1022" s="11"/>
      <c r="E1022" s="11"/>
      <c r="F1022" s="11"/>
    </row>
    <row r="1023">
      <c r="A1023" s="11"/>
      <c r="C1023" s="11"/>
      <c r="D1023" s="11"/>
      <c r="E1023" s="11"/>
      <c r="F1023" s="11"/>
    </row>
    <row r="1024">
      <c r="A1024" s="11"/>
      <c r="C1024" s="11"/>
      <c r="D1024" s="11"/>
      <c r="E1024" s="11"/>
      <c r="F1024" s="11"/>
    </row>
    <row r="1025">
      <c r="A1025" s="11"/>
      <c r="C1025" s="11"/>
      <c r="D1025" s="11"/>
      <c r="E1025" s="11"/>
      <c r="F1025" s="11"/>
    </row>
    <row r="1026">
      <c r="A1026" s="11"/>
      <c r="C1026" s="11"/>
      <c r="D1026" s="11"/>
      <c r="E1026" s="11"/>
      <c r="F1026" s="11"/>
    </row>
    <row r="1027">
      <c r="A1027" s="11"/>
      <c r="C1027" s="11"/>
      <c r="D1027" s="11"/>
      <c r="E1027" s="11"/>
      <c r="F1027" s="11"/>
    </row>
    <row r="1028">
      <c r="A1028" s="11"/>
      <c r="C1028" s="11"/>
      <c r="D1028" s="11"/>
      <c r="E1028" s="11"/>
      <c r="F1028" s="11"/>
    </row>
    <row r="1029">
      <c r="A1029" s="11"/>
      <c r="C1029" s="11"/>
      <c r="D1029" s="11"/>
      <c r="E1029" s="11"/>
      <c r="F1029" s="11"/>
    </row>
    <row r="1030">
      <c r="A1030" s="11"/>
      <c r="C1030" s="11"/>
      <c r="D1030" s="11"/>
      <c r="E1030" s="11"/>
      <c r="F1030" s="11"/>
    </row>
    <row r="1031">
      <c r="A1031" s="11"/>
      <c r="C1031" s="11"/>
      <c r="D1031" s="11"/>
      <c r="E1031" s="11"/>
      <c r="F1031" s="11"/>
    </row>
    <row r="1032">
      <c r="A1032" s="11"/>
      <c r="C1032" s="11"/>
      <c r="D1032" s="11"/>
      <c r="E1032" s="11"/>
      <c r="F1032" s="11"/>
    </row>
    <row r="1033">
      <c r="A1033" s="11"/>
      <c r="C1033" s="11"/>
      <c r="D1033" s="11"/>
      <c r="E1033" s="11"/>
      <c r="F1033" s="11"/>
    </row>
    <row r="1034">
      <c r="A1034" s="11"/>
      <c r="C1034" s="11"/>
      <c r="D1034" s="11"/>
      <c r="E1034" s="11"/>
      <c r="F1034" s="11"/>
    </row>
    <row r="1035">
      <c r="A1035" s="11"/>
      <c r="C1035" s="11"/>
      <c r="D1035" s="11"/>
      <c r="E1035" s="11"/>
      <c r="F1035" s="11"/>
    </row>
    <row r="1036">
      <c r="A1036" s="11"/>
      <c r="C1036" s="11"/>
      <c r="D1036" s="11"/>
      <c r="E1036" s="11"/>
      <c r="F1036" s="11"/>
    </row>
    <row r="1037">
      <c r="A1037" s="11"/>
      <c r="C1037" s="11"/>
      <c r="D1037" s="11"/>
      <c r="E1037" s="11"/>
      <c r="F1037" s="11"/>
    </row>
    <row r="1038">
      <c r="A1038" s="11"/>
      <c r="C1038" s="11"/>
      <c r="D1038" s="11"/>
      <c r="E1038" s="11"/>
      <c r="F1038" s="11"/>
    </row>
    <row r="1039">
      <c r="A1039" s="11"/>
      <c r="C1039" s="11"/>
      <c r="D1039" s="11"/>
      <c r="E1039" s="11"/>
      <c r="F1039" s="11"/>
    </row>
    <row r="1040">
      <c r="A1040" s="11"/>
      <c r="C1040" s="11"/>
      <c r="D1040" s="11"/>
      <c r="E1040" s="11"/>
      <c r="F1040" s="11"/>
    </row>
    <row r="1041">
      <c r="A1041" s="11"/>
      <c r="C1041" s="11"/>
      <c r="D1041" s="11"/>
      <c r="E1041" s="11"/>
      <c r="F1041" s="11"/>
    </row>
    <row r="1042">
      <c r="A1042" s="11"/>
      <c r="C1042" s="11"/>
      <c r="D1042" s="11"/>
      <c r="E1042" s="11"/>
      <c r="F1042" s="11"/>
    </row>
    <row r="1043">
      <c r="A1043" s="11"/>
      <c r="C1043" s="11"/>
      <c r="D1043" s="11"/>
      <c r="E1043" s="11"/>
      <c r="F1043" s="11"/>
    </row>
    <row r="1044">
      <c r="A1044" s="11"/>
      <c r="C1044" s="11"/>
      <c r="D1044" s="11"/>
      <c r="E1044" s="11"/>
      <c r="F1044" s="11"/>
    </row>
    <row r="1045">
      <c r="A1045" s="11"/>
      <c r="C1045" s="11"/>
      <c r="D1045" s="11"/>
      <c r="E1045" s="11"/>
      <c r="F1045" s="11"/>
    </row>
    <row r="1046">
      <c r="A1046" s="11"/>
      <c r="C1046" s="11"/>
      <c r="D1046" s="11"/>
      <c r="E1046" s="11"/>
      <c r="F1046" s="11"/>
    </row>
    <row r="1047">
      <c r="A1047" s="11"/>
      <c r="C1047" s="11"/>
      <c r="D1047" s="11"/>
      <c r="E1047" s="11"/>
      <c r="F1047" s="11"/>
    </row>
    <row r="1048">
      <c r="A1048" s="11"/>
      <c r="C1048" s="11"/>
      <c r="D1048" s="11"/>
      <c r="E1048" s="11"/>
      <c r="F1048" s="11"/>
    </row>
    <row r="1049">
      <c r="A1049" s="11"/>
      <c r="C1049" s="11"/>
      <c r="D1049" s="11"/>
      <c r="E1049" s="11"/>
      <c r="F1049" s="11"/>
    </row>
    <row r="1050">
      <c r="A1050" s="11"/>
      <c r="C1050" s="11"/>
      <c r="D1050" s="11"/>
      <c r="E1050" s="11"/>
      <c r="F1050" s="11"/>
    </row>
    <row r="1051">
      <c r="A1051" s="11"/>
      <c r="C1051" s="11"/>
      <c r="D1051" s="11"/>
      <c r="E1051" s="11"/>
      <c r="F1051" s="11"/>
    </row>
    <row r="1052">
      <c r="A1052" s="11"/>
      <c r="C1052" s="11"/>
      <c r="D1052" s="11"/>
      <c r="E1052" s="11"/>
      <c r="F1052" s="11"/>
    </row>
    <row r="1053">
      <c r="A1053" s="11"/>
      <c r="C1053" s="11"/>
      <c r="D1053" s="11"/>
      <c r="E1053" s="11"/>
      <c r="F1053" s="11"/>
    </row>
    <row r="1054">
      <c r="A1054" s="11"/>
      <c r="C1054" s="11"/>
      <c r="D1054" s="11"/>
      <c r="E1054" s="11"/>
      <c r="F1054" s="11"/>
    </row>
    <row r="1055">
      <c r="A1055" s="11"/>
      <c r="C1055" s="11"/>
      <c r="D1055" s="11"/>
      <c r="E1055" s="11"/>
      <c r="F1055" s="11"/>
    </row>
    <row r="1056">
      <c r="A1056" s="11"/>
      <c r="C1056" s="11"/>
      <c r="D1056" s="11"/>
      <c r="E1056" s="11"/>
      <c r="F1056" s="11"/>
    </row>
    <row r="1057">
      <c r="A1057" s="11"/>
      <c r="C1057" s="11"/>
      <c r="D1057" s="11"/>
      <c r="E1057" s="11"/>
      <c r="F1057" s="11"/>
    </row>
    <row r="1058">
      <c r="A1058" s="11"/>
      <c r="C1058" s="11"/>
      <c r="D1058" s="11"/>
      <c r="E1058" s="11"/>
      <c r="F1058" s="11"/>
    </row>
    <row r="1059">
      <c r="A1059" s="11"/>
      <c r="C1059" s="11"/>
      <c r="D1059" s="11"/>
      <c r="E1059" s="11"/>
      <c r="F1059" s="11"/>
    </row>
    <row r="1060">
      <c r="A1060" s="11"/>
      <c r="C1060" s="11"/>
      <c r="D1060" s="11"/>
      <c r="E1060" s="11"/>
      <c r="F1060" s="11"/>
    </row>
    <row r="1061">
      <c r="A1061" s="11"/>
      <c r="C1061" s="11"/>
      <c r="D1061" s="11"/>
      <c r="E1061" s="11"/>
      <c r="F1061" s="11"/>
    </row>
    <row r="1062">
      <c r="A1062" s="11"/>
      <c r="C1062" s="11"/>
      <c r="D1062" s="11"/>
      <c r="E1062" s="11"/>
      <c r="F1062" s="11"/>
    </row>
    <row r="1063">
      <c r="A1063" s="11"/>
      <c r="C1063" s="11"/>
      <c r="D1063" s="11"/>
      <c r="E1063" s="11"/>
      <c r="F1063" s="11"/>
    </row>
    <row r="1064">
      <c r="A1064" s="11"/>
      <c r="C1064" s="11"/>
      <c r="D1064" s="11"/>
      <c r="E1064" s="11"/>
      <c r="F1064" s="11"/>
    </row>
    <row r="1065">
      <c r="A1065" s="11"/>
      <c r="C1065" s="11"/>
      <c r="D1065" s="11"/>
      <c r="E1065" s="11"/>
      <c r="F1065" s="11"/>
    </row>
    <row r="1066">
      <c r="A1066" s="11"/>
      <c r="C1066" s="11"/>
      <c r="D1066" s="11"/>
      <c r="E1066" s="11"/>
      <c r="F1066" s="11"/>
    </row>
    <row r="1067">
      <c r="A1067" s="11"/>
      <c r="C1067" s="11"/>
      <c r="D1067" s="11"/>
      <c r="E1067" s="11"/>
      <c r="F1067" s="11"/>
    </row>
  </sheetData>
  <mergeCells count="7">
    <mergeCell ref="C1:F1"/>
    <mergeCell ref="I1:K1"/>
    <mergeCell ref="L1:M1"/>
    <mergeCell ref="B2:C2"/>
    <mergeCell ref="C3:E3"/>
    <mergeCell ref="F3:M3"/>
    <mergeCell ref="N3:O3"/>
  </mergeCells>
  <conditionalFormatting sqref="L5:L69">
    <cfRule type="expression" dxfId="1" priority="1">
      <formula> L5&gt;=18</formula>
    </cfRule>
  </conditionalFormatting>
  <conditionalFormatting sqref="L10 N10">
    <cfRule type="expression" dxfId="2" priority="2">
      <formula>iseven</formula>
    </cfRule>
  </conditionalFormatting>
  <conditionalFormatting sqref="B5:B69">
    <cfRule type="expression" dxfId="1" priority="3">
      <formula>F5=1</formula>
    </cfRule>
  </conditionalFormatting>
  <conditionalFormatting sqref="B5:B69">
    <cfRule type="expression" dxfId="3" priority="4">
      <formula>F5=2</formula>
    </cfRule>
  </conditionalFormatting>
  <conditionalFormatting sqref="B5:B69">
    <cfRule type="expression" dxfId="4" priority="5">
      <formula>F5=3</formula>
    </cfRule>
  </conditionalFormatting>
  <conditionalFormatting sqref="B5:B69">
    <cfRule type="expression" dxfId="5" priority="6">
      <formula>F5=4</formula>
    </cfRule>
  </conditionalFormatting>
  <conditionalFormatting sqref="M80">
    <cfRule type="containsText" dxfId="1" priority="7" operator="containsText" text="Good">
      <formula>NOT(ISERROR(SEARCH(("Good"),(M80))))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12.63"/>
    <col customWidth="1" min="6" max="6" width="9.38"/>
    <col customWidth="1" min="7" max="7" width="7.5"/>
    <col customWidth="1" min="8" max="8" width="7.13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9" width="6.75"/>
    <col customWidth="1" min="20" max="20" width="8.0"/>
    <col customWidth="1" min="21" max="21" width="8.75"/>
    <col customWidth="1" min="22" max="22" width="14.88"/>
    <col customWidth="1" min="28" max="28" width="17.38"/>
  </cols>
  <sheetData>
    <row r="1">
      <c r="A1" s="11"/>
      <c r="B1" s="12" t="s">
        <v>23</v>
      </c>
      <c r="C1" s="81">
        <v>45598.0</v>
      </c>
      <c r="G1" s="14"/>
      <c r="H1" s="14"/>
      <c r="I1" s="14"/>
      <c r="L1" s="14"/>
      <c r="N1" s="14"/>
    </row>
    <row r="2">
      <c r="A2" s="11"/>
      <c r="B2" s="18" t="s">
        <v>24</v>
      </c>
      <c r="D2" s="19">
        <v>18.0</v>
      </c>
      <c r="E2" s="11"/>
      <c r="F2" s="11"/>
      <c r="AB2" s="20" t="str">
        <f>text(C1-7,"mm/dd/yy")</f>
        <v>10/26/24</v>
      </c>
    </row>
    <row r="3" ht="27.75" customHeight="1">
      <c r="A3" s="11"/>
      <c r="C3" s="21" t="s">
        <v>25</v>
      </c>
      <c r="D3" s="22"/>
      <c r="E3" s="23"/>
      <c r="F3" s="24" t="s">
        <v>26</v>
      </c>
      <c r="G3" s="22"/>
      <c r="H3" s="22"/>
      <c r="I3" s="22"/>
      <c r="J3" s="22"/>
      <c r="K3" s="22"/>
      <c r="L3" s="22"/>
      <c r="M3" s="23"/>
      <c r="N3" s="24" t="s">
        <v>27</v>
      </c>
      <c r="O3" s="23"/>
      <c r="Q3" s="25" t="s">
        <v>28</v>
      </c>
      <c r="R3" s="25" t="s">
        <v>29</v>
      </c>
    </row>
    <row r="4">
      <c r="A4" s="26" t="s">
        <v>30</v>
      </c>
      <c r="B4" s="27" t="s">
        <v>31</v>
      </c>
      <c r="C4" s="28" t="s">
        <v>2</v>
      </c>
      <c r="D4" s="28" t="s">
        <v>4</v>
      </c>
      <c r="E4" s="28" t="s">
        <v>32</v>
      </c>
      <c r="F4" s="29" t="s">
        <v>33</v>
      </c>
      <c r="G4" s="29" t="s">
        <v>35</v>
      </c>
      <c r="H4" s="29" t="s">
        <v>36</v>
      </c>
      <c r="I4" s="29" t="s">
        <v>6</v>
      </c>
      <c r="J4" s="29" t="s">
        <v>7</v>
      </c>
      <c r="K4" s="29" t="s">
        <v>8</v>
      </c>
      <c r="L4" s="29" t="s">
        <v>2</v>
      </c>
      <c r="M4" s="29" t="s">
        <v>4</v>
      </c>
      <c r="N4" s="28" t="s">
        <v>2</v>
      </c>
      <c r="O4" s="28" t="s">
        <v>4</v>
      </c>
      <c r="P4" s="29" t="s">
        <v>37</v>
      </c>
      <c r="Q4" s="29" t="s">
        <v>38</v>
      </c>
      <c r="R4" s="29" t="s">
        <v>38</v>
      </c>
      <c r="S4" s="29" t="s">
        <v>39</v>
      </c>
      <c r="T4" s="29" t="s">
        <v>40</v>
      </c>
      <c r="U4" s="29" t="s">
        <v>41</v>
      </c>
      <c r="V4" s="29" t="s">
        <v>42</v>
      </c>
      <c r="W4" s="26" t="s">
        <v>30</v>
      </c>
    </row>
    <row r="5">
      <c r="A5" s="30">
        <v>1.0</v>
      </c>
      <c r="B5" s="31" t="s">
        <v>43</v>
      </c>
      <c r="C5" s="32">
        <v>272.0</v>
      </c>
      <c r="D5" s="32">
        <v>32.0</v>
      </c>
      <c r="E5" s="35">
        <f t="shared" ref="E5:E70" si="2">(C5-(U5*9)-(S5*13))/($D$2-U5-S5)</f>
        <v>16.28571429</v>
      </c>
      <c r="F5" s="37">
        <v>1.0</v>
      </c>
      <c r="G5" s="39">
        <v>1.0</v>
      </c>
      <c r="H5" s="40">
        <v>0.0</v>
      </c>
      <c r="I5" s="39">
        <v>6.0</v>
      </c>
      <c r="J5" s="39">
        <v>6.0</v>
      </c>
      <c r="K5" s="39">
        <v>7.0</v>
      </c>
      <c r="L5" s="42">
        <v>19.0</v>
      </c>
      <c r="M5" s="39">
        <v>3.0</v>
      </c>
      <c r="N5" s="32">
        <f t="shared" ref="N5:O5" si="1">C5+L5</f>
        <v>291</v>
      </c>
      <c r="O5" s="32">
        <f t="shared" si="1"/>
        <v>35</v>
      </c>
      <c r="P5" s="43" t="s">
        <v>53</v>
      </c>
      <c r="Q5" s="43" t="s">
        <v>53</v>
      </c>
      <c r="R5" s="43"/>
      <c r="S5" s="39">
        <f t="shared" ref="S5:S70" si="4">if(H5=13,1,0)+VLOOKUP(B5,indirect($AB$2&amp;"!B:T"),17,false)</f>
        <v>2</v>
      </c>
      <c r="T5" s="39"/>
      <c r="U5" s="39">
        <f t="shared" ref="U5:U70" si="5">if(H5=9,1,0)+VLOOKUP(B5,indirect($AB$2&amp;"!B:T"),19,false)</f>
        <v>2</v>
      </c>
      <c r="V5" s="39">
        <f t="shared" ref="V5:V70" si="6">VLOOKUP(B5,indirect($AB$2&amp;"!B$5:V$70"),21,false)-A5</f>
        <v>0</v>
      </c>
      <c r="W5" s="30">
        <v>1.0</v>
      </c>
    </row>
    <row r="6">
      <c r="A6" s="30">
        <f t="shared" ref="A6:A70" si="7">A5+1</f>
        <v>2</v>
      </c>
      <c r="B6" s="51" t="s">
        <v>92</v>
      </c>
      <c r="C6" s="32">
        <v>235.0</v>
      </c>
      <c r="D6" s="32">
        <v>23.0</v>
      </c>
      <c r="E6" s="35">
        <f t="shared" si="2"/>
        <v>15.9</v>
      </c>
      <c r="F6" s="37">
        <v>3.0</v>
      </c>
      <c r="G6" s="39">
        <v>0.0</v>
      </c>
      <c r="H6" s="40">
        <v>9.0</v>
      </c>
      <c r="I6" s="39">
        <v>0.0</v>
      </c>
      <c r="J6" s="39">
        <v>0.0</v>
      </c>
      <c r="K6" s="39">
        <v>0.0</v>
      </c>
      <c r="L6" s="42">
        <v>9.0</v>
      </c>
      <c r="M6" s="39">
        <v>0.0</v>
      </c>
      <c r="N6" s="32">
        <f t="shared" ref="N6:O6" si="3">C6+L6</f>
        <v>244</v>
      </c>
      <c r="O6" s="32">
        <f t="shared" si="3"/>
        <v>23</v>
      </c>
      <c r="P6" s="43" t="s">
        <v>53</v>
      </c>
      <c r="Q6" s="43" t="s">
        <v>53</v>
      </c>
      <c r="R6" s="43" t="s">
        <v>88</v>
      </c>
      <c r="S6" s="39">
        <f t="shared" si="4"/>
        <v>1</v>
      </c>
      <c r="T6" s="39"/>
      <c r="U6" s="39">
        <f t="shared" si="5"/>
        <v>7</v>
      </c>
      <c r="V6" s="39">
        <f t="shared" si="6"/>
        <v>0</v>
      </c>
      <c r="W6" s="30">
        <f t="shared" ref="W6:W70" si="9">W5+1</f>
        <v>2</v>
      </c>
    </row>
    <row r="7">
      <c r="A7" s="30">
        <f t="shared" si="7"/>
        <v>3</v>
      </c>
      <c r="B7" s="31" t="s">
        <v>61</v>
      </c>
      <c r="C7" s="32">
        <v>226.0</v>
      </c>
      <c r="D7" s="32">
        <v>24.0</v>
      </c>
      <c r="E7" s="35">
        <f t="shared" si="2"/>
        <v>13.92307692</v>
      </c>
      <c r="F7" s="37">
        <v>1.0</v>
      </c>
      <c r="G7" s="39">
        <v>1.0</v>
      </c>
      <c r="H7" s="40">
        <v>0.0</v>
      </c>
      <c r="I7" s="39">
        <v>4.0</v>
      </c>
      <c r="J7" s="39">
        <v>6.0</v>
      </c>
      <c r="K7" s="39">
        <v>5.0</v>
      </c>
      <c r="L7" s="42">
        <v>15.0</v>
      </c>
      <c r="M7" s="39">
        <v>1.0</v>
      </c>
      <c r="N7" s="32">
        <f t="shared" ref="N7:O7" si="8">C7+L7</f>
        <v>241</v>
      </c>
      <c r="O7" s="32">
        <f t="shared" si="8"/>
        <v>25</v>
      </c>
      <c r="P7" s="43" t="s">
        <v>53</v>
      </c>
      <c r="Q7" s="43" t="s">
        <v>53</v>
      </c>
      <c r="R7" s="43"/>
      <c r="S7" s="39">
        <f t="shared" si="4"/>
        <v>0</v>
      </c>
      <c r="T7" s="39"/>
      <c r="U7" s="39">
        <f t="shared" si="5"/>
        <v>5</v>
      </c>
      <c r="V7" s="39">
        <f t="shared" si="6"/>
        <v>0</v>
      </c>
      <c r="W7" s="30">
        <f t="shared" si="9"/>
        <v>3</v>
      </c>
    </row>
    <row r="8">
      <c r="A8" s="30">
        <f t="shared" si="7"/>
        <v>4</v>
      </c>
      <c r="B8" s="51" t="s">
        <v>54</v>
      </c>
      <c r="C8" s="32">
        <v>226.0</v>
      </c>
      <c r="D8" s="32">
        <v>24.0</v>
      </c>
      <c r="E8" s="35">
        <f t="shared" si="2"/>
        <v>13.28571429</v>
      </c>
      <c r="F8" s="37">
        <v>5.0</v>
      </c>
      <c r="G8" s="39">
        <v>0.0</v>
      </c>
      <c r="H8" s="40">
        <v>13.0</v>
      </c>
      <c r="I8" s="39">
        <v>0.0</v>
      </c>
      <c r="J8" s="39">
        <v>0.0</v>
      </c>
      <c r="K8" s="39">
        <v>0.0</v>
      </c>
      <c r="L8" s="42">
        <v>13.0</v>
      </c>
      <c r="M8" s="39">
        <v>0.0</v>
      </c>
      <c r="N8" s="32">
        <f t="shared" ref="N8:O8" si="10">C8+L8</f>
        <v>239</v>
      </c>
      <c r="O8" s="32">
        <f t="shared" si="10"/>
        <v>24</v>
      </c>
      <c r="P8" s="43" t="s">
        <v>53</v>
      </c>
      <c r="Q8" s="43" t="s">
        <v>53</v>
      </c>
      <c r="R8" s="43"/>
      <c r="S8" s="39">
        <f t="shared" si="4"/>
        <v>1</v>
      </c>
      <c r="T8" s="39"/>
      <c r="U8" s="39">
        <f t="shared" si="5"/>
        <v>3</v>
      </c>
      <c r="V8" s="39">
        <f t="shared" si="6"/>
        <v>6</v>
      </c>
      <c r="W8" s="30">
        <f t="shared" si="9"/>
        <v>4</v>
      </c>
    </row>
    <row r="9">
      <c r="A9" s="30">
        <f t="shared" si="7"/>
        <v>5</v>
      </c>
      <c r="B9" s="31" t="s">
        <v>82</v>
      </c>
      <c r="C9" s="32">
        <v>226.0</v>
      </c>
      <c r="D9" s="32">
        <v>20.0</v>
      </c>
      <c r="E9" s="35">
        <f t="shared" si="2"/>
        <v>15.22222222</v>
      </c>
      <c r="F9" s="37">
        <v>2.0</v>
      </c>
      <c r="G9" s="39">
        <v>1.0</v>
      </c>
      <c r="H9" s="40">
        <v>0.0</v>
      </c>
      <c r="I9" s="39">
        <v>6.0</v>
      </c>
      <c r="J9" s="39">
        <v>1.0</v>
      </c>
      <c r="K9" s="39">
        <v>5.0</v>
      </c>
      <c r="L9" s="42">
        <v>12.0</v>
      </c>
      <c r="M9" s="39">
        <v>1.0</v>
      </c>
      <c r="N9" s="32">
        <f t="shared" ref="N9:O9" si="11">C9+L9</f>
        <v>238</v>
      </c>
      <c r="O9" s="32">
        <f t="shared" si="11"/>
        <v>21</v>
      </c>
      <c r="P9" s="43" t="s">
        <v>53</v>
      </c>
      <c r="Q9" s="43" t="s">
        <v>53</v>
      </c>
      <c r="R9" s="43"/>
      <c r="S9" s="39">
        <f t="shared" si="4"/>
        <v>2</v>
      </c>
      <c r="T9" s="39"/>
      <c r="U9" s="39">
        <f t="shared" si="5"/>
        <v>7</v>
      </c>
      <c r="V9" s="39">
        <f t="shared" si="6"/>
        <v>1</v>
      </c>
      <c r="W9" s="30">
        <f t="shared" si="9"/>
        <v>5</v>
      </c>
    </row>
    <row r="10">
      <c r="A10" s="30">
        <f t="shared" si="7"/>
        <v>6</v>
      </c>
      <c r="B10" s="31" t="s">
        <v>71</v>
      </c>
      <c r="C10" s="32">
        <v>224.0</v>
      </c>
      <c r="D10" s="32">
        <v>20.0</v>
      </c>
      <c r="E10" s="35">
        <f t="shared" si="2"/>
        <v>12.625</v>
      </c>
      <c r="F10" s="37">
        <v>1.0</v>
      </c>
      <c r="G10" s="39">
        <v>1.0</v>
      </c>
      <c r="H10" s="40">
        <v>0.0</v>
      </c>
      <c r="I10" s="39">
        <v>4.0</v>
      </c>
      <c r="J10" s="39">
        <v>1.0</v>
      </c>
      <c r="K10" s="39">
        <v>7.0</v>
      </c>
      <c r="L10" s="42">
        <v>12.0</v>
      </c>
      <c r="M10" s="39">
        <v>1.0</v>
      </c>
      <c r="N10" s="32">
        <f t="shared" ref="N10:O10" si="12">C10+L10</f>
        <v>236</v>
      </c>
      <c r="O10" s="32">
        <f t="shared" si="12"/>
        <v>21</v>
      </c>
      <c r="P10" s="43" t="s">
        <v>53</v>
      </c>
      <c r="Q10" s="43" t="s">
        <v>53</v>
      </c>
      <c r="R10" s="43"/>
      <c r="S10" s="39">
        <f t="shared" si="4"/>
        <v>1</v>
      </c>
      <c r="T10" s="39"/>
      <c r="U10" s="39">
        <f t="shared" si="5"/>
        <v>1</v>
      </c>
      <c r="V10" s="39">
        <f t="shared" si="6"/>
        <v>-1</v>
      </c>
      <c r="W10" s="30">
        <f t="shared" si="9"/>
        <v>6</v>
      </c>
    </row>
    <row r="11">
      <c r="A11" s="30">
        <f t="shared" si="7"/>
        <v>7</v>
      </c>
      <c r="B11" s="51" t="s">
        <v>100</v>
      </c>
      <c r="C11" s="32">
        <v>224.0</v>
      </c>
      <c r="D11" s="32">
        <v>19.0</v>
      </c>
      <c r="E11" s="35">
        <f t="shared" si="2"/>
        <v>13.90909091</v>
      </c>
      <c r="F11" s="37">
        <v>3.0</v>
      </c>
      <c r="G11" s="39">
        <v>0.0</v>
      </c>
      <c r="H11" s="40">
        <v>9.0</v>
      </c>
      <c r="I11" s="39">
        <v>0.0</v>
      </c>
      <c r="J11" s="39">
        <v>0.0</v>
      </c>
      <c r="K11" s="39">
        <v>0.0</v>
      </c>
      <c r="L11" s="42">
        <v>9.0</v>
      </c>
      <c r="M11" s="39">
        <v>0.0</v>
      </c>
      <c r="N11" s="32">
        <f t="shared" ref="N11:O11" si="13">C11+L11</f>
        <v>233</v>
      </c>
      <c r="O11" s="32">
        <f t="shared" si="13"/>
        <v>19</v>
      </c>
      <c r="P11" s="43" t="s">
        <v>53</v>
      </c>
      <c r="Q11" s="43" t="s">
        <v>53</v>
      </c>
      <c r="R11" s="43"/>
      <c r="S11" s="39">
        <f t="shared" si="4"/>
        <v>2</v>
      </c>
      <c r="T11" s="39"/>
      <c r="U11" s="39">
        <f t="shared" si="5"/>
        <v>5</v>
      </c>
      <c r="V11" s="39">
        <f t="shared" si="6"/>
        <v>-3</v>
      </c>
      <c r="W11" s="30">
        <f t="shared" si="9"/>
        <v>7</v>
      </c>
    </row>
    <row r="12">
      <c r="A12" s="30">
        <f t="shared" si="7"/>
        <v>8</v>
      </c>
      <c r="B12" s="31" t="s">
        <v>34</v>
      </c>
      <c r="C12" s="32">
        <v>222.0</v>
      </c>
      <c r="D12" s="32">
        <v>25.0</v>
      </c>
      <c r="E12" s="35">
        <f t="shared" si="2"/>
        <v>13</v>
      </c>
      <c r="F12" s="37">
        <v>1.0</v>
      </c>
      <c r="G12" s="39">
        <v>2.0</v>
      </c>
      <c r="H12" s="40">
        <v>0.0</v>
      </c>
      <c r="I12" s="39">
        <v>6.0</v>
      </c>
      <c r="J12" s="39">
        <v>6.0</v>
      </c>
      <c r="K12" s="39">
        <v>6.0</v>
      </c>
      <c r="L12" s="42">
        <v>18.0</v>
      </c>
      <c r="M12" s="39">
        <v>3.0</v>
      </c>
      <c r="N12" s="32">
        <f t="shared" ref="N12:O12" si="14">C12+L12</f>
        <v>240</v>
      </c>
      <c r="O12" s="32">
        <f t="shared" si="14"/>
        <v>28</v>
      </c>
      <c r="P12" s="43" t="s">
        <v>53</v>
      </c>
      <c r="Q12" s="43" t="s">
        <v>53</v>
      </c>
      <c r="R12" s="43"/>
      <c r="S12" s="39">
        <f t="shared" si="4"/>
        <v>0</v>
      </c>
      <c r="T12" s="39"/>
      <c r="U12" s="39">
        <f t="shared" si="5"/>
        <v>3</v>
      </c>
      <c r="V12" s="39">
        <f t="shared" si="6"/>
        <v>0</v>
      </c>
      <c r="W12" s="30">
        <f t="shared" si="9"/>
        <v>8</v>
      </c>
    </row>
    <row r="13">
      <c r="A13" s="30">
        <f t="shared" si="7"/>
        <v>9</v>
      </c>
      <c r="B13" s="31" t="s">
        <v>86</v>
      </c>
      <c r="C13" s="32">
        <v>222.0</v>
      </c>
      <c r="D13" s="32">
        <v>16.0</v>
      </c>
      <c r="E13" s="35">
        <f t="shared" si="2"/>
        <v>12.38461538</v>
      </c>
      <c r="F13" s="37">
        <v>2.0</v>
      </c>
      <c r="G13" s="39">
        <v>2.0</v>
      </c>
      <c r="H13" s="40">
        <v>0.0</v>
      </c>
      <c r="I13" s="39">
        <v>4.0</v>
      </c>
      <c r="J13" s="39">
        <v>6.0</v>
      </c>
      <c r="K13" s="39">
        <v>1.0</v>
      </c>
      <c r="L13" s="42">
        <v>11.0</v>
      </c>
      <c r="M13" s="39">
        <v>1.0</v>
      </c>
      <c r="N13" s="32">
        <f t="shared" ref="N13:O13" si="15">C13+L13</f>
        <v>233</v>
      </c>
      <c r="O13" s="32">
        <f t="shared" si="15"/>
        <v>17</v>
      </c>
      <c r="P13" s="43" t="s">
        <v>53</v>
      </c>
      <c r="Q13" s="43" t="s">
        <v>53</v>
      </c>
      <c r="R13" s="43"/>
      <c r="S13" s="39">
        <f t="shared" si="4"/>
        <v>4</v>
      </c>
      <c r="T13" s="39"/>
      <c r="U13" s="39">
        <f t="shared" si="5"/>
        <v>1</v>
      </c>
      <c r="V13" s="39">
        <f t="shared" si="6"/>
        <v>4</v>
      </c>
      <c r="W13" s="30">
        <f t="shared" si="9"/>
        <v>9</v>
      </c>
    </row>
    <row r="14">
      <c r="A14" s="30">
        <f t="shared" si="7"/>
        <v>10</v>
      </c>
      <c r="B14" s="51" t="s">
        <v>78</v>
      </c>
      <c r="C14" s="32">
        <v>219.0</v>
      </c>
      <c r="D14" s="32">
        <v>20.0</v>
      </c>
      <c r="E14" s="35">
        <f t="shared" si="2"/>
        <v>12.35294118</v>
      </c>
      <c r="F14" s="37">
        <v>1.0</v>
      </c>
      <c r="G14" s="39">
        <v>2.0</v>
      </c>
      <c r="H14" s="40">
        <v>0.0</v>
      </c>
      <c r="I14" s="39">
        <v>6.0</v>
      </c>
      <c r="J14" s="39">
        <v>2.0</v>
      </c>
      <c r="K14" s="39">
        <v>1.0</v>
      </c>
      <c r="L14" s="42">
        <v>9.0</v>
      </c>
      <c r="M14" s="39">
        <v>1.0</v>
      </c>
      <c r="N14" s="32">
        <f t="shared" ref="N14:O14" si="16">C14+L14</f>
        <v>228</v>
      </c>
      <c r="O14" s="32">
        <f t="shared" si="16"/>
        <v>21</v>
      </c>
      <c r="P14" s="43" t="s">
        <v>53</v>
      </c>
      <c r="Q14" s="43" t="s">
        <v>53</v>
      </c>
      <c r="R14" s="43"/>
      <c r="S14" s="39">
        <f t="shared" si="4"/>
        <v>0</v>
      </c>
      <c r="T14" s="39"/>
      <c r="U14" s="39">
        <f t="shared" si="5"/>
        <v>1</v>
      </c>
      <c r="V14" s="39">
        <f t="shared" si="6"/>
        <v>6</v>
      </c>
      <c r="W14" s="30">
        <f t="shared" si="9"/>
        <v>10</v>
      </c>
    </row>
    <row r="15">
      <c r="A15" s="30">
        <f t="shared" si="7"/>
        <v>11</v>
      </c>
      <c r="B15" s="51" t="s">
        <v>87</v>
      </c>
      <c r="C15" s="32">
        <v>219.0</v>
      </c>
      <c r="D15" s="32">
        <v>19.0</v>
      </c>
      <c r="E15" s="35">
        <f t="shared" si="2"/>
        <v>12.21428571</v>
      </c>
      <c r="F15" s="37">
        <v>1.0</v>
      </c>
      <c r="G15" s="39">
        <v>2.0</v>
      </c>
      <c r="H15" s="40">
        <v>0.0</v>
      </c>
      <c r="I15" s="39">
        <v>4.0</v>
      </c>
      <c r="J15" s="39">
        <v>2.0</v>
      </c>
      <c r="K15" s="39">
        <v>6.0</v>
      </c>
      <c r="L15" s="42">
        <v>12.0</v>
      </c>
      <c r="M15" s="39">
        <v>1.0</v>
      </c>
      <c r="N15" s="32">
        <f t="shared" ref="N15:O15" si="17">C15+L15</f>
        <v>231</v>
      </c>
      <c r="O15" s="32">
        <f t="shared" si="17"/>
        <v>20</v>
      </c>
      <c r="P15" s="43" t="s">
        <v>53</v>
      </c>
      <c r="Q15" s="43" t="s">
        <v>53</v>
      </c>
      <c r="R15" s="43"/>
      <c r="S15" s="39">
        <f t="shared" si="4"/>
        <v>3</v>
      </c>
      <c r="T15" s="39"/>
      <c r="U15" s="39">
        <f t="shared" si="5"/>
        <v>1</v>
      </c>
      <c r="V15" s="39">
        <f t="shared" si="6"/>
        <v>-4</v>
      </c>
      <c r="W15" s="30">
        <f t="shared" si="9"/>
        <v>11</v>
      </c>
    </row>
    <row r="16">
      <c r="A16" s="30">
        <f t="shared" si="7"/>
        <v>12</v>
      </c>
      <c r="B16" s="51" t="s">
        <v>85</v>
      </c>
      <c r="C16" s="32">
        <v>218.0</v>
      </c>
      <c r="D16" s="32">
        <v>18.0</v>
      </c>
      <c r="E16" s="35">
        <f t="shared" si="2"/>
        <v>16</v>
      </c>
      <c r="F16" s="37">
        <v>3.0</v>
      </c>
      <c r="G16" s="39">
        <v>0.0</v>
      </c>
      <c r="H16" s="40">
        <v>9.0</v>
      </c>
      <c r="I16" s="39">
        <v>0.0</v>
      </c>
      <c r="J16" s="39">
        <v>0.0</v>
      </c>
      <c r="K16" s="39">
        <v>0.0</v>
      </c>
      <c r="L16" s="42">
        <v>9.0</v>
      </c>
      <c r="M16" s="39">
        <v>0.0</v>
      </c>
      <c r="N16" s="32">
        <f t="shared" ref="N16:O16" si="18">C16+L16</f>
        <v>227</v>
      </c>
      <c r="O16" s="32">
        <f t="shared" si="18"/>
        <v>18</v>
      </c>
      <c r="P16" s="43" t="s">
        <v>53</v>
      </c>
      <c r="Q16" s="43" t="s">
        <v>53</v>
      </c>
      <c r="R16" s="43"/>
      <c r="S16" s="39">
        <f t="shared" si="4"/>
        <v>0</v>
      </c>
      <c r="T16" s="39"/>
      <c r="U16" s="39">
        <f t="shared" si="5"/>
        <v>10</v>
      </c>
      <c r="V16" s="39">
        <f t="shared" si="6"/>
        <v>0</v>
      </c>
      <c r="W16" s="30">
        <f t="shared" si="9"/>
        <v>12</v>
      </c>
    </row>
    <row r="17">
      <c r="A17" s="30">
        <f t="shared" si="7"/>
        <v>13</v>
      </c>
      <c r="B17" s="51" t="s">
        <v>84</v>
      </c>
      <c r="C17" s="32">
        <v>218.0</v>
      </c>
      <c r="D17" s="32">
        <v>16.0</v>
      </c>
      <c r="E17" s="35">
        <f t="shared" si="2"/>
        <v>12.42857143</v>
      </c>
      <c r="F17" s="37">
        <v>1.0</v>
      </c>
      <c r="G17" s="39">
        <v>3.0</v>
      </c>
      <c r="H17" s="40">
        <v>0.0</v>
      </c>
      <c r="I17" s="39">
        <v>3.0</v>
      </c>
      <c r="J17" s="39">
        <v>4.0</v>
      </c>
      <c r="K17" s="39">
        <v>2.0</v>
      </c>
      <c r="L17" s="42">
        <v>9.0</v>
      </c>
      <c r="M17" s="39">
        <v>0.0</v>
      </c>
      <c r="N17" s="32">
        <f t="shared" ref="N17:O17" si="19">C17+L17</f>
        <v>227</v>
      </c>
      <c r="O17" s="32">
        <f t="shared" si="19"/>
        <v>16</v>
      </c>
      <c r="P17" s="43" t="s">
        <v>53</v>
      </c>
      <c r="Q17" s="43" t="s">
        <v>53</v>
      </c>
      <c r="R17" s="43"/>
      <c r="S17" s="39">
        <f t="shared" si="4"/>
        <v>2</v>
      </c>
      <c r="T17" s="39"/>
      <c r="U17" s="39">
        <f t="shared" si="5"/>
        <v>2</v>
      </c>
      <c r="V17" s="39">
        <f t="shared" si="6"/>
        <v>2</v>
      </c>
      <c r="W17" s="30">
        <f t="shared" si="9"/>
        <v>13</v>
      </c>
    </row>
    <row r="18">
      <c r="A18" s="30">
        <f t="shared" si="7"/>
        <v>14</v>
      </c>
      <c r="B18" s="31" t="s">
        <v>91</v>
      </c>
      <c r="C18" s="32">
        <v>217.0</v>
      </c>
      <c r="D18" s="32">
        <v>18.0</v>
      </c>
      <c r="E18" s="35">
        <f t="shared" si="2"/>
        <v>12.92307692</v>
      </c>
      <c r="F18" s="37">
        <v>1.0</v>
      </c>
      <c r="G18" s="39">
        <v>3.0</v>
      </c>
      <c r="H18" s="40">
        <v>0.0</v>
      </c>
      <c r="I18" s="39">
        <v>6.0</v>
      </c>
      <c r="J18" s="39">
        <v>4.0</v>
      </c>
      <c r="K18" s="39">
        <v>6.0</v>
      </c>
      <c r="L18" s="42">
        <v>16.0</v>
      </c>
      <c r="M18" s="39">
        <v>2.0</v>
      </c>
      <c r="N18" s="32">
        <f t="shared" ref="N18:O18" si="20">C18+L18</f>
        <v>233</v>
      </c>
      <c r="O18" s="32">
        <f t="shared" si="20"/>
        <v>20</v>
      </c>
      <c r="P18" s="43" t="s">
        <v>53</v>
      </c>
      <c r="Q18" s="43" t="s">
        <v>53</v>
      </c>
      <c r="R18" s="43"/>
      <c r="S18" s="39">
        <f t="shared" si="4"/>
        <v>1</v>
      </c>
      <c r="T18" s="39"/>
      <c r="U18" s="39">
        <f t="shared" si="5"/>
        <v>4</v>
      </c>
      <c r="V18" s="39">
        <f t="shared" si="6"/>
        <v>-5</v>
      </c>
      <c r="W18" s="30">
        <f t="shared" si="9"/>
        <v>14</v>
      </c>
    </row>
    <row r="19">
      <c r="A19" s="30">
        <f t="shared" si="7"/>
        <v>15</v>
      </c>
      <c r="B19" s="31" t="s">
        <v>68</v>
      </c>
      <c r="C19" s="32">
        <v>216.0</v>
      </c>
      <c r="D19" s="32">
        <v>18.0</v>
      </c>
      <c r="E19" s="35">
        <f t="shared" si="2"/>
        <v>12.53846154</v>
      </c>
      <c r="F19" s="37">
        <v>2.0</v>
      </c>
      <c r="G19" s="39">
        <v>3.0</v>
      </c>
      <c r="H19" s="40">
        <v>0.0</v>
      </c>
      <c r="I19" s="39">
        <v>3.0</v>
      </c>
      <c r="J19" s="39">
        <v>6.0</v>
      </c>
      <c r="K19" s="39">
        <v>6.0</v>
      </c>
      <c r="L19" s="42">
        <v>15.0</v>
      </c>
      <c r="M19" s="39">
        <v>2.0</v>
      </c>
      <c r="N19" s="32">
        <f t="shared" ref="N19:O19" si="21">C19+L19</f>
        <v>231</v>
      </c>
      <c r="O19" s="32">
        <f t="shared" si="21"/>
        <v>20</v>
      </c>
      <c r="P19" s="43" t="s">
        <v>53</v>
      </c>
      <c r="Q19" s="43" t="s">
        <v>53</v>
      </c>
      <c r="R19" s="43"/>
      <c r="S19" s="39">
        <f t="shared" si="4"/>
        <v>2</v>
      </c>
      <c r="T19" s="39"/>
      <c r="U19" s="39">
        <f t="shared" si="5"/>
        <v>3</v>
      </c>
      <c r="V19" s="39">
        <f t="shared" si="6"/>
        <v>-4</v>
      </c>
      <c r="W19" s="30">
        <f t="shared" si="9"/>
        <v>15</v>
      </c>
    </row>
    <row r="20">
      <c r="A20" s="30">
        <f t="shared" si="7"/>
        <v>16</v>
      </c>
      <c r="B20" s="31" t="s">
        <v>98</v>
      </c>
      <c r="C20" s="32">
        <v>216.0</v>
      </c>
      <c r="D20" s="32">
        <v>17.0</v>
      </c>
      <c r="E20" s="35">
        <f t="shared" si="2"/>
        <v>13.6</v>
      </c>
      <c r="F20" s="37">
        <v>5.0</v>
      </c>
      <c r="G20" s="39">
        <v>0.0</v>
      </c>
      <c r="H20" s="40">
        <v>13.0</v>
      </c>
      <c r="I20" s="39">
        <v>0.0</v>
      </c>
      <c r="J20" s="39">
        <v>0.0</v>
      </c>
      <c r="K20" s="39">
        <v>0.0</v>
      </c>
      <c r="L20" s="42">
        <v>13.0</v>
      </c>
      <c r="M20" s="39">
        <v>0.0</v>
      </c>
      <c r="N20" s="32">
        <f t="shared" ref="N20:O20" si="22">C20+L20</f>
        <v>229</v>
      </c>
      <c r="O20" s="32">
        <f t="shared" si="22"/>
        <v>17</v>
      </c>
      <c r="P20" s="43" t="s">
        <v>53</v>
      </c>
      <c r="Q20" s="43" t="s">
        <v>53</v>
      </c>
      <c r="R20" s="43"/>
      <c r="S20" s="39">
        <f t="shared" si="4"/>
        <v>2</v>
      </c>
      <c r="T20" s="39"/>
      <c r="U20" s="39">
        <f t="shared" si="5"/>
        <v>6</v>
      </c>
      <c r="V20" s="39">
        <f t="shared" si="6"/>
        <v>5</v>
      </c>
      <c r="W20" s="30">
        <f t="shared" si="9"/>
        <v>16</v>
      </c>
    </row>
    <row r="21">
      <c r="A21" s="30">
        <f t="shared" si="7"/>
        <v>17</v>
      </c>
      <c r="B21" s="56" t="s">
        <v>65</v>
      </c>
      <c r="C21" s="32">
        <v>213.0</v>
      </c>
      <c r="D21" s="32">
        <v>16.0</v>
      </c>
      <c r="E21" s="35">
        <f t="shared" si="2"/>
        <v>12.92307692</v>
      </c>
      <c r="F21" s="37">
        <v>1.0</v>
      </c>
      <c r="G21" s="39">
        <v>3.0</v>
      </c>
      <c r="H21" s="40">
        <v>0.0</v>
      </c>
      <c r="I21" s="39">
        <v>6.0</v>
      </c>
      <c r="J21" s="39">
        <v>6.0</v>
      </c>
      <c r="K21" s="39">
        <v>2.0</v>
      </c>
      <c r="L21" s="42">
        <v>14.0</v>
      </c>
      <c r="M21" s="39">
        <v>2.0</v>
      </c>
      <c r="N21" s="32">
        <f t="shared" ref="N21:O21" si="23">C21+L21</f>
        <v>227</v>
      </c>
      <c r="O21" s="32">
        <f t="shared" si="23"/>
        <v>18</v>
      </c>
      <c r="P21" s="43" t="s">
        <v>53</v>
      </c>
      <c r="Q21" s="43" t="s">
        <v>53</v>
      </c>
      <c r="R21" s="43"/>
      <c r="S21" s="39">
        <f t="shared" si="4"/>
        <v>0</v>
      </c>
      <c r="T21" s="39"/>
      <c r="U21" s="39">
        <f t="shared" si="5"/>
        <v>5</v>
      </c>
      <c r="V21" s="39">
        <f t="shared" si="6"/>
        <v>2</v>
      </c>
      <c r="W21" s="30">
        <f t="shared" si="9"/>
        <v>17</v>
      </c>
    </row>
    <row r="22">
      <c r="A22" s="30">
        <f t="shared" si="7"/>
        <v>18</v>
      </c>
      <c r="B22" s="31" t="s">
        <v>57</v>
      </c>
      <c r="C22" s="32">
        <v>213.0</v>
      </c>
      <c r="D22" s="32">
        <v>16.0</v>
      </c>
      <c r="E22" s="35">
        <f t="shared" si="2"/>
        <v>12.58333333</v>
      </c>
      <c r="F22" s="37">
        <v>2.0</v>
      </c>
      <c r="G22" s="39">
        <v>4.0</v>
      </c>
      <c r="H22" s="40">
        <v>0.0</v>
      </c>
      <c r="I22" s="39">
        <v>6.0</v>
      </c>
      <c r="J22" s="39">
        <v>6.0</v>
      </c>
      <c r="K22" s="39">
        <v>6.0</v>
      </c>
      <c r="L22" s="42">
        <v>18.0</v>
      </c>
      <c r="M22" s="39">
        <v>3.0</v>
      </c>
      <c r="N22" s="32">
        <f t="shared" ref="N22:O22" si="24">C22+L22</f>
        <v>231</v>
      </c>
      <c r="O22" s="32">
        <f t="shared" si="24"/>
        <v>19</v>
      </c>
      <c r="P22" s="43" t="s">
        <v>53</v>
      </c>
      <c r="Q22" s="43" t="s">
        <v>53</v>
      </c>
      <c r="R22" s="43"/>
      <c r="S22" s="39">
        <f t="shared" si="4"/>
        <v>2</v>
      </c>
      <c r="T22" s="39"/>
      <c r="U22" s="39">
        <f t="shared" si="5"/>
        <v>4</v>
      </c>
      <c r="V22" s="39">
        <f t="shared" si="6"/>
        <v>-4</v>
      </c>
      <c r="W22" s="30">
        <f t="shared" si="9"/>
        <v>18</v>
      </c>
    </row>
    <row r="23">
      <c r="A23" s="30">
        <f t="shared" si="7"/>
        <v>19</v>
      </c>
      <c r="B23" s="51" t="s">
        <v>94</v>
      </c>
      <c r="C23" s="32">
        <v>213.0</v>
      </c>
      <c r="D23" s="32">
        <v>13.0</v>
      </c>
      <c r="E23" s="35">
        <f t="shared" si="2"/>
        <v>13.3</v>
      </c>
      <c r="F23" s="37">
        <v>3.0</v>
      </c>
      <c r="G23" s="39">
        <v>0.0</v>
      </c>
      <c r="H23" s="40">
        <v>9.0</v>
      </c>
      <c r="I23" s="39">
        <v>0.0</v>
      </c>
      <c r="J23" s="39">
        <v>0.0</v>
      </c>
      <c r="K23" s="39">
        <v>0.0</v>
      </c>
      <c r="L23" s="42">
        <v>9.0</v>
      </c>
      <c r="M23" s="39">
        <v>0.0</v>
      </c>
      <c r="N23" s="32">
        <f t="shared" ref="N23:O23" si="25">C23+L23</f>
        <v>222</v>
      </c>
      <c r="O23" s="32">
        <f t="shared" si="25"/>
        <v>13</v>
      </c>
      <c r="P23" s="43" t="s">
        <v>53</v>
      </c>
      <c r="Q23" s="43" t="s">
        <v>53</v>
      </c>
      <c r="R23" s="43"/>
      <c r="S23" s="39">
        <f t="shared" si="4"/>
        <v>2</v>
      </c>
      <c r="T23" s="39"/>
      <c r="U23" s="39">
        <f t="shared" si="5"/>
        <v>6</v>
      </c>
      <c r="V23" s="39">
        <f t="shared" si="6"/>
        <v>4</v>
      </c>
      <c r="W23" s="30">
        <f t="shared" si="9"/>
        <v>19</v>
      </c>
    </row>
    <row r="24">
      <c r="A24" s="30">
        <f t="shared" si="7"/>
        <v>20</v>
      </c>
      <c r="B24" s="51" t="s">
        <v>93</v>
      </c>
      <c r="C24" s="32">
        <v>212.0</v>
      </c>
      <c r="D24" s="32">
        <v>17.0</v>
      </c>
      <c r="E24" s="35">
        <f t="shared" si="2"/>
        <v>11.94117647</v>
      </c>
      <c r="F24" s="37">
        <v>1.0</v>
      </c>
      <c r="G24" s="39">
        <v>4.0</v>
      </c>
      <c r="H24" s="40">
        <v>0.0</v>
      </c>
      <c r="I24" s="39">
        <v>6.0</v>
      </c>
      <c r="J24" s="39">
        <v>4.0</v>
      </c>
      <c r="K24" s="39">
        <v>4.0</v>
      </c>
      <c r="L24" s="42">
        <v>14.0</v>
      </c>
      <c r="M24" s="39">
        <v>1.0</v>
      </c>
      <c r="N24" s="32">
        <f t="shared" ref="N24:O24" si="26">C24+L24</f>
        <v>226</v>
      </c>
      <c r="O24" s="32">
        <f t="shared" si="26"/>
        <v>18</v>
      </c>
      <c r="P24" s="43" t="s">
        <v>53</v>
      </c>
      <c r="Q24" s="43" t="s">
        <v>53</v>
      </c>
      <c r="R24" s="43"/>
      <c r="S24" s="39">
        <f t="shared" si="4"/>
        <v>0</v>
      </c>
      <c r="T24" s="39"/>
      <c r="U24" s="39">
        <f t="shared" si="5"/>
        <v>1</v>
      </c>
      <c r="V24" s="39">
        <f t="shared" si="6"/>
        <v>-2</v>
      </c>
      <c r="W24" s="30">
        <f t="shared" si="9"/>
        <v>20</v>
      </c>
    </row>
    <row r="25">
      <c r="A25" s="30">
        <f t="shared" si="7"/>
        <v>21</v>
      </c>
      <c r="B25" s="51" t="s">
        <v>95</v>
      </c>
      <c r="C25" s="32">
        <v>212.0</v>
      </c>
      <c r="D25" s="32">
        <v>16.0</v>
      </c>
      <c r="E25" s="35">
        <f t="shared" si="2"/>
        <v>14.75</v>
      </c>
      <c r="F25" s="37">
        <v>3.0</v>
      </c>
      <c r="G25" s="39">
        <v>0.0</v>
      </c>
      <c r="H25" s="40">
        <v>9.0</v>
      </c>
      <c r="I25" s="39">
        <v>0.0</v>
      </c>
      <c r="J25" s="39">
        <v>0.0</v>
      </c>
      <c r="K25" s="39">
        <v>0.0</v>
      </c>
      <c r="L25" s="42">
        <v>9.0</v>
      </c>
      <c r="M25" s="39">
        <v>0.0</v>
      </c>
      <c r="N25" s="32">
        <f t="shared" ref="N25:O25" si="27">C25+L25</f>
        <v>221</v>
      </c>
      <c r="O25" s="32">
        <f t="shared" si="27"/>
        <v>16</v>
      </c>
      <c r="P25" s="43" t="s">
        <v>53</v>
      </c>
      <c r="Q25" s="43" t="s">
        <v>53</v>
      </c>
      <c r="R25" s="43"/>
      <c r="S25" s="39">
        <f t="shared" si="4"/>
        <v>1</v>
      </c>
      <c r="T25" s="39"/>
      <c r="U25" s="39">
        <f t="shared" si="5"/>
        <v>9</v>
      </c>
      <c r="V25" s="39">
        <f t="shared" si="6"/>
        <v>1</v>
      </c>
      <c r="W25" s="30">
        <f t="shared" si="9"/>
        <v>21</v>
      </c>
    </row>
    <row r="26">
      <c r="A26" s="30">
        <f t="shared" si="7"/>
        <v>22</v>
      </c>
      <c r="B26" s="31" t="s">
        <v>90</v>
      </c>
      <c r="C26" s="32">
        <v>211.0</v>
      </c>
      <c r="D26" s="32">
        <v>16.0</v>
      </c>
      <c r="E26" s="35">
        <f t="shared" si="2"/>
        <v>12.7</v>
      </c>
      <c r="F26" s="37">
        <v>5.0</v>
      </c>
      <c r="G26" s="39">
        <v>0.0</v>
      </c>
      <c r="H26" s="40">
        <v>13.0</v>
      </c>
      <c r="I26" s="39">
        <v>0.0</v>
      </c>
      <c r="J26" s="39">
        <v>0.0</v>
      </c>
      <c r="K26" s="39">
        <v>0.0</v>
      </c>
      <c r="L26" s="42">
        <v>13.0</v>
      </c>
      <c r="M26" s="39">
        <v>0.0</v>
      </c>
      <c r="N26" s="32">
        <f t="shared" ref="N26:O26" si="28">C26+L26</f>
        <v>224</v>
      </c>
      <c r="O26" s="32">
        <f t="shared" si="28"/>
        <v>16</v>
      </c>
      <c r="P26" s="43" t="s">
        <v>53</v>
      </c>
      <c r="Q26" s="43" t="s">
        <v>53</v>
      </c>
      <c r="R26" s="43"/>
      <c r="S26" s="39">
        <f t="shared" si="4"/>
        <v>3</v>
      </c>
      <c r="T26" s="39"/>
      <c r="U26" s="39">
        <f t="shared" si="5"/>
        <v>5</v>
      </c>
      <c r="V26" s="39">
        <f t="shared" si="6"/>
        <v>-5</v>
      </c>
      <c r="W26" s="30">
        <f t="shared" si="9"/>
        <v>22</v>
      </c>
    </row>
    <row r="27">
      <c r="A27" s="30">
        <f t="shared" si="7"/>
        <v>23</v>
      </c>
      <c r="B27" s="31" t="s">
        <v>83</v>
      </c>
      <c r="C27" s="32">
        <v>209.0</v>
      </c>
      <c r="D27" s="32">
        <v>16.0</v>
      </c>
      <c r="E27" s="35">
        <f t="shared" si="2"/>
        <v>14.22222222</v>
      </c>
      <c r="F27" s="37">
        <v>1.0</v>
      </c>
      <c r="G27" s="39">
        <v>4.0</v>
      </c>
      <c r="H27" s="40">
        <v>0.0</v>
      </c>
      <c r="I27" s="39">
        <v>3.0</v>
      </c>
      <c r="J27" s="39">
        <v>6.0</v>
      </c>
      <c r="K27" s="39">
        <v>4.0</v>
      </c>
      <c r="L27" s="42">
        <v>13.0</v>
      </c>
      <c r="M27" s="39">
        <v>1.0</v>
      </c>
      <c r="N27" s="32">
        <f t="shared" ref="N27:O27" si="29">C27+L27</f>
        <v>222</v>
      </c>
      <c r="O27" s="32">
        <f t="shared" si="29"/>
        <v>17</v>
      </c>
      <c r="P27" s="43" t="s">
        <v>53</v>
      </c>
      <c r="Q27" s="43" t="s">
        <v>53</v>
      </c>
      <c r="R27" s="43"/>
      <c r="S27" s="39">
        <f t="shared" si="4"/>
        <v>0</v>
      </c>
      <c r="T27" s="39"/>
      <c r="U27" s="39">
        <f t="shared" si="5"/>
        <v>9</v>
      </c>
      <c r="V27" s="39">
        <f t="shared" si="6"/>
        <v>-3</v>
      </c>
      <c r="W27" s="30">
        <f t="shared" si="9"/>
        <v>23</v>
      </c>
    </row>
    <row r="28">
      <c r="A28" s="30">
        <f t="shared" si="7"/>
        <v>24</v>
      </c>
      <c r="B28" s="31" t="s">
        <v>96</v>
      </c>
      <c r="C28" s="32">
        <v>206.0</v>
      </c>
      <c r="D28" s="32">
        <v>16.0</v>
      </c>
      <c r="E28" s="35">
        <f t="shared" si="2"/>
        <v>13</v>
      </c>
      <c r="F28" s="37">
        <v>1.0</v>
      </c>
      <c r="G28" s="39">
        <v>4.0</v>
      </c>
      <c r="H28" s="40">
        <v>0.0</v>
      </c>
      <c r="I28" s="39">
        <v>3.0</v>
      </c>
      <c r="J28" s="39">
        <v>4.0</v>
      </c>
      <c r="K28" s="39">
        <v>6.0</v>
      </c>
      <c r="L28" s="42">
        <v>13.0</v>
      </c>
      <c r="M28" s="39">
        <v>1.0</v>
      </c>
      <c r="N28" s="32">
        <f t="shared" ref="N28:O28" si="30">C28+L28</f>
        <v>219</v>
      </c>
      <c r="O28" s="32">
        <f t="shared" si="30"/>
        <v>17</v>
      </c>
      <c r="P28" s="43" t="s">
        <v>53</v>
      </c>
      <c r="Q28" s="43" t="s">
        <v>53</v>
      </c>
      <c r="R28" s="43"/>
      <c r="S28" s="39">
        <f t="shared" si="4"/>
        <v>2</v>
      </c>
      <c r="T28" s="39"/>
      <c r="U28" s="39">
        <f t="shared" si="5"/>
        <v>7</v>
      </c>
      <c r="V28" s="39">
        <f t="shared" si="6"/>
        <v>1</v>
      </c>
      <c r="W28" s="30">
        <f t="shared" si="9"/>
        <v>24</v>
      </c>
    </row>
    <row r="29">
      <c r="A29" s="30">
        <f t="shared" si="7"/>
        <v>25</v>
      </c>
      <c r="B29" s="31" t="s">
        <v>63</v>
      </c>
      <c r="C29" s="32">
        <v>205.0</v>
      </c>
      <c r="D29" s="32">
        <v>16.0</v>
      </c>
      <c r="E29" s="35">
        <f t="shared" si="2"/>
        <v>14.83333333</v>
      </c>
      <c r="F29" s="37">
        <v>5.0</v>
      </c>
      <c r="G29" s="39">
        <v>0.0</v>
      </c>
      <c r="H29" s="40">
        <v>13.0</v>
      </c>
      <c r="I29" s="39">
        <v>0.0</v>
      </c>
      <c r="J29" s="39">
        <v>0.0</v>
      </c>
      <c r="K29" s="39">
        <v>0.0</v>
      </c>
      <c r="L29" s="42">
        <v>13.0</v>
      </c>
      <c r="M29" s="39">
        <v>0.0</v>
      </c>
      <c r="N29" s="32">
        <f t="shared" ref="N29:O29" si="31">C29+L29</f>
        <v>218</v>
      </c>
      <c r="O29" s="32">
        <f t="shared" si="31"/>
        <v>16</v>
      </c>
      <c r="P29" s="43" t="s">
        <v>53</v>
      </c>
      <c r="Q29" s="43" t="s">
        <v>53</v>
      </c>
      <c r="R29" s="43"/>
      <c r="S29" s="39">
        <f t="shared" si="4"/>
        <v>2</v>
      </c>
      <c r="T29" s="39"/>
      <c r="U29" s="39">
        <f t="shared" si="5"/>
        <v>10</v>
      </c>
      <c r="V29" s="39">
        <f t="shared" si="6"/>
        <v>3</v>
      </c>
      <c r="W29" s="30">
        <f t="shared" si="9"/>
        <v>25</v>
      </c>
    </row>
    <row r="30">
      <c r="A30" s="30">
        <f t="shared" si="7"/>
        <v>26</v>
      </c>
      <c r="B30" s="56" t="s">
        <v>101</v>
      </c>
      <c r="C30" s="32">
        <v>204.0</v>
      </c>
      <c r="D30" s="32">
        <v>14.0</v>
      </c>
      <c r="E30" s="35">
        <f t="shared" si="2"/>
        <v>12.81818182</v>
      </c>
      <c r="F30" s="37">
        <v>1.0</v>
      </c>
      <c r="G30" s="39">
        <v>5.0</v>
      </c>
      <c r="H30" s="40">
        <v>0.0</v>
      </c>
      <c r="I30" s="39">
        <v>0.0</v>
      </c>
      <c r="J30" s="39">
        <v>1.0</v>
      </c>
      <c r="K30" s="39">
        <v>4.0</v>
      </c>
      <c r="L30" s="42">
        <v>5.0</v>
      </c>
      <c r="M30" s="39">
        <v>0.0</v>
      </c>
      <c r="N30" s="32">
        <f t="shared" ref="N30:O30" si="32">C30+L30</f>
        <v>209</v>
      </c>
      <c r="O30" s="32">
        <f t="shared" si="32"/>
        <v>14</v>
      </c>
      <c r="P30" s="43" t="s">
        <v>53</v>
      </c>
      <c r="Q30" s="43" t="s">
        <v>53</v>
      </c>
      <c r="R30" s="43"/>
      <c r="S30" s="39">
        <f t="shared" si="4"/>
        <v>0</v>
      </c>
      <c r="T30" s="39"/>
      <c r="U30" s="39">
        <f t="shared" si="5"/>
        <v>7</v>
      </c>
      <c r="V30" s="39">
        <f t="shared" si="6"/>
        <v>0</v>
      </c>
      <c r="W30" s="30">
        <f t="shared" si="9"/>
        <v>26</v>
      </c>
    </row>
    <row r="31">
      <c r="A31" s="30">
        <f t="shared" si="7"/>
        <v>27</v>
      </c>
      <c r="B31" s="31" t="s">
        <v>89</v>
      </c>
      <c r="C31" s="32">
        <v>204.0</v>
      </c>
      <c r="D31" s="32">
        <v>10.0</v>
      </c>
      <c r="E31" s="35">
        <f t="shared" si="2"/>
        <v>13.4</v>
      </c>
      <c r="F31" s="37">
        <v>2.0</v>
      </c>
      <c r="G31" s="39">
        <v>5.0</v>
      </c>
      <c r="H31" s="40">
        <v>0.0</v>
      </c>
      <c r="I31" s="39">
        <v>6.0</v>
      </c>
      <c r="J31" s="39">
        <v>6.0</v>
      </c>
      <c r="K31" s="39">
        <v>4.0</v>
      </c>
      <c r="L31" s="42">
        <v>16.0</v>
      </c>
      <c r="M31" s="39">
        <v>2.0</v>
      </c>
      <c r="N31" s="32">
        <f t="shared" ref="N31:O31" si="33">C31+L31</f>
        <v>220</v>
      </c>
      <c r="O31" s="32">
        <f t="shared" si="33"/>
        <v>12</v>
      </c>
      <c r="P31" s="43" t="s">
        <v>53</v>
      </c>
      <c r="Q31" s="43" t="s">
        <v>53</v>
      </c>
      <c r="R31" s="43"/>
      <c r="S31" s="39">
        <f t="shared" si="4"/>
        <v>5</v>
      </c>
      <c r="T31" s="39"/>
      <c r="U31" s="39">
        <f t="shared" si="5"/>
        <v>8</v>
      </c>
      <c r="V31" s="39">
        <f t="shared" si="6"/>
        <v>-3</v>
      </c>
      <c r="W31" s="30">
        <f t="shared" si="9"/>
        <v>27</v>
      </c>
    </row>
    <row r="32">
      <c r="A32" s="30">
        <f t="shared" si="7"/>
        <v>28</v>
      </c>
      <c r="B32" s="31" t="s">
        <v>105</v>
      </c>
      <c r="C32" s="32">
        <v>198.0</v>
      </c>
      <c r="D32" s="32">
        <v>10.0</v>
      </c>
      <c r="E32" s="35">
        <f t="shared" si="2"/>
        <v>12.55555556</v>
      </c>
      <c r="F32" s="37">
        <v>5.0</v>
      </c>
      <c r="G32" s="39">
        <v>0.0</v>
      </c>
      <c r="H32" s="40">
        <v>13.0</v>
      </c>
      <c r="I32" s="39">
        <v>0.0</v>
      </c>
      <c r="J32" s="39">
        <v>0.0</v>
      </c>
      <c r="K32" s="39">
        <v>0.0</v>
      </c>
      <c r="L32" s="42">
        <v>13.0</v>
      </c>
      <c r="M32" s="39">
        <v>0.0</v>
      </c>
      <c r="N32" s="32">
        <f t="shared" ref="N32:O32" si="34">C32+L32</f>
        <v>211</v>
      </c>
      <c r="O32" s="32">
        <f t="shared" si="34"/>
        <v>10</v>
      </c>
      <c r="P32" s="43" t="s">
        <v>53</v>
      </c>
      <c r="Q32" s="43" t="s">
        <v>53</v>
      </c>
      <c r="R32" s="43"/>
      <c r="S32" s="39">
        <f t="shared" si="4"/>
        <v>1</v>
      </c>
      <c r="T32" s="39"/>
      <c r="U32" s="39">
        <f t="shared" si="5"/>
        <v>8</v>
      </c>
      <c r="V32" s="39">
        <f t="shared" si="6"/>
        <v>1</v>
      </c>
      <c r="W32" s="30">
        <f t="shared" si="9"/>
        <v>28</v>
      </c>
    </row>
    <row r="33">
      <c r="A33" s="30">
        <f t="shared" si="7"/>
        <v>29</v>
      </c>
      <c r="B33" s="51" t="s">
        <v>104</v>
      </c>
      <c r="C33" s="32">
        <v>197.0</v>
      </c>
      <c r="D33" s="32">
        <v>19.0</v>
      </c>
      <c r="E33" s="35">
        <f t="shared" si="2"/>
        <v>11.1875</v>
      </c>
      <c r="F33" s="37">
        <v>3.0</v>
      </c>
      <c r="G33" s="39">
        <v>0.0</v>
      </c>
      <c r="H33" s="40">
        <v>9.0</v>
      </c>
      <c r="I33" s="39">
        <v>0.0</v>
      </c>
      <c r="J33" s="39">
        <v>0.0</v>
      </c>
      <c r="K33" s="39">
        <v>0.0</v>
      </c>
      <c r="L33" s="42">
        <v>9.0</v>
      </c>
      <c r="M33" s="39">
        <v>0.0</v>
      </c>
      <c r="N33" s="32">
        <f t="shared" ref="N33:O33" si="35">C33+L33</f>
        <v>206</v>
      </c>
      <c r="O33" s="32">
        <f t="shared" si="35"/>
        <v>19</v>
      </c>
      <c r="P33" s="43" t="s">
        <v>53</v>
      </c>
      <c r="Q33" s="43" t="s">
        <v>53</v>
      </c>
      <c r="R33" s="43"/>
      <c r="S33" s="39">
        <f t="shared" si="4"/>
        <v>0</v>
      </c>
      <c r="T33" s="39"/>
      <c r="U33" s="39">
        <f t="shared" si="5"/>
        <v>2</v>
      </c>
      <c r="V33" s="39">
        <f t="shared" si="6"/>
        <v>-2</v>
      </c>
      <c r="W33" s="30">
        <f t="shared" si="9"/>
        <v>29</v>
      </c>
    </row>
    <row r="34">
      <c r="A34" s="30">
        <f t="shared" si="7"/>
        <v>30</v>
      </c>
      <c r="B34" s="51" t="s">
        <v>99</v>
      </c>
      <c r="C34" s="32">
        <v>197.0</v>
      </c>
      <c r="D34" s="32">
        <v>15.0</v>
      </c>
      <c r="E34" s="35">
        <f t="shared" si="2"/>
        <v>11.33333333</v>
      </c>
      <c r="F34" s="37">
        <v>1.0</v>
      </c>
      <c r="G34" s="39">
        <v>5.0</v>
      </c>
      <c r="H34" s="40">
        <v>0.0</v>
      </c>
      <c r="I34" s="39">
        <v>0.0</v>
      </c>
      <c r="J34" s="39">
        <v>6.0</v>
      </c>
      <c r="K34" s="39">
        <v>6.0</v>
      </c>
      <c r="L34" s="42">
        <v>12.0</v>
      </c>
      <c r="M34" s="39">
        <v>2.0</v>
      </c>
      <c r="N34" s="32">
        <f t="shared" ref="N34:O34" si="36">C34+L34</f>
        <v>209</v>
      </c>
      <c r="O34" s="32">
        <f t="shared" si="36"/>
        <v>17</v>
      </c>
      <c r="P34" s="43" t="s">
        <v>53</v>
      </c>
      <c r="Q34" s="43"/>
      <c r="R34" s="43"/>
      <c r="S34" s="39">
        <f t="shared" si="4"/>
        <v>0</v>
      </c>
      <c r="T34" s="39"/>
      <c r="U34" s="39">
        <f t="shared" si="5"/>
        <v>3</v>
      </c>
      <c r="V34" s="39">
        <f t="shared" si="6"/>
        <v>0</v>
      </c>
      <c r="W34" s="30">
        <f t="shared" si="9"/>
        <v>30</v>
      </c>
    </row>
    <row r="35">
      <c r="A35" s="30">
        <f t="shared" si="7"/>
        <v>31</v>
      </c>
      <c r="B35" s="31" t="s">
        <v>109</v>
      </c>
      <c r="C35" s="32">
        <v>195.0</v>
      </c>
      <c r="D35" s="32">
        <v>7.0</v>
      </c>
      <c r="E35" s="35">
        <f t="shared" si="2"/>
        <v>13.25</v>
      </c>
      <c r="F35" s="37">
        <v>1.0</v>
      </c>
      <c r="G35" s="39">
        <v>5.0</v>
      </c>
      <c r="H35" s="40">
        <v>0.0</v>
      </c>
      <c r="I35" s="39">
        <v>6.0</v>
      </c>
      <c r="J35" s="39">
        <v>1.0</v>
      </c>
      <c r="K35" s="39">
        <v>6.0</v>
      </c>
      <c r="L35" s="42">
        <v>13.0</v>
      </c>
      <c r="M35" s="39">
        <v>2.0</v>
      </c>
      <c r="N35" s="32">
        <f t="shared" ref="N35:O35" si="37">C35+L35</f>
        <v>208</v>
      </c>
      <c r="O35" s="32">
        <f t="shared" si="37"/>
        <v>9</v>
      </c>
      <c r="P35" s="43" t="s">
        <v>53</v>
      </c>
      <c r="Q35" s="43" t="s">
        <v>53</v>
      </c>
      <c r="R35" s="43"/>
      <c r="S35" s="39">
        <f t="shared" si="4"/>
        <v>4</v>
      </c>
      <c r="T35" s="39"/>
      <c r="U35" s="39">
        <f t="shared" si="5"/>
        <v>10</v>
      </c>
      <c r="V35" s="39">
        <f t="shared" si="6"/>
        <v>6</v>
      </c>
      <c r="W35" s="30">
        <f t="shared" si="9"/>
        <v>31</v>
      </c>
    </row>
    <row r="36">
      <c r="A36" s="30">
        <f t="shared" si="7"/>
        <v>32</v>
      </c>
      <c r="B36" s="51" t="s">
        <v>103</v>
      </c>
      <c r="C36" s="32">
        <v>192.0</v>
      </c>
      <c r="D36" s="32">
        <v>13.0</v>
      </c>
      <c r="E36" s="35">
        <f t="shared" si="2"/>
        <v>12.25</v>
      </c>
      <c r="F36" s="37">
        <v>1.0</v>
      </c>
      <c r="G36" s="39">
        <v>6.0</v>
      </c>
      <c r="H36" s="40">
        <v>0.0</v>
      </c>
      <c r="I36" s="39">
        <v>6.0</v>
      </c>
      <c r="J36" s="39">
        <v>6.0</v>
      </c>
      <c r="K36" s="39">
        <v>5.0</v>
      </c>
      <c r="L36" s="42">
        <v>17.0</v>
      </c>
      <c r="M36" s="39">
        <v>1.0</v>
      </c>
      <c r="N36" s="32">
        <f t="shared" ref="N36:O36" si="38">C36+L36</f>
        <v>209</v>
      </c>
      <c r="O36" s="32">
        <f t="shared" si="38"/>
        <v>14</v>
      </c>
      <c r="P36" s="43" t="s">
        <v>53</v>
      </c>
      <c r="Q36" s="43" t="s">
        <v>53</v>
      </c>
      <c r="R36" s="43"/>
      <c r="S36" s="39">
        <f t="shared" si="4"/>
        <v>1</v>
      </c>
      <c r="T36" s="39"/>
      <c r="U36" s="39">
        <f t="shared" si="5"/>
        <v>9</v>
      </c>
      <c r="V36" s="39">
        <f t="shared" si="6"/>
        <v>0</v>
      </c>
      <c r="W36" s="30">
        <f t="shared" si="9"/>
        <v>32</v>
      </c>
    </row>
    <row r="37">
      <c r="A37" s="30">
        <f t="shared" si="7"/>
        <v>33</v>
      </c>
      <c r="B37" s="31" t="s">
        <v>73</v>
      </c>
      <c r="C37" s="32">
        <v>191.0</v>
      </c>
      <c r="D37" s="32">
        <v>11.0</v>
      </c>
      <c r="E37" s="35">
        <f t="shared" si="2"/>
        <v>11.125</v>
      </c>
      <c r="F37" s="37">
        <v>2.0</v>
      </c>
      <c r="G37" s="39">
        <v>6.0</v>
      </c>
      <c r="H37" s="40">
        <v>0.0</v>
      </c>
      <c r="I37" s="39">
        <v>6.0</v>
      </c>
      <c r="J37" s="39">
        <v>0.0</v>
      </c>
      <c r="K37" s="39">
        <v>7.0</v>
      </c>
      <c r="L37" s="42">
        <v>13.0</v>
      </c>
      <c r="M37" s="39">
        <v>1.0</v>
      </c>
      <c r="N37" s="32">
        <f t="shared" ref="N37:O37" si="39">C37+L37</f>
        <v>204</v>
      </c>
      <c r="O37" s="32">
        <f t="shared" si="39"/>
        <v>12</v>
      </c>
      <c r="P37" s="43" t="s">
        <v>53</v>
      </c>
      <c r="Q37" s="43" t="s">
        <v>53</v>
      </c>
      <c r="R37" s="43"/>
      <c r="S37" s="39">
        <f t="shared" si="4"/>
        <v>3</v>
      </c>
      <c r="T37" s="39"/>
      <c r="U37" s="39">
        <f t="shared" si="5"/>
        <v>7</v>
      </c>
      <c r="V37" s="39">
        <f t="shared" si="6"/>
        <v>3</v>
      </c>
      <c r="W37" s="30">
        <f t="shared" si="9"/>
        <v>33</v>
      </c>
    </row>
    <row r="38">
      <c r="A38" s="30">
        <f t="shared" si="7"/>
        <v>34</v>
      </c>
      <c r="B38" s="31" t="s">
        <v>97</v>
      </c>
      <c r="C38" s="32">
        <v>190.0</v>
      </c>
      <c r="D38" s="32">
        <v>12.0</v>
      </c>
      <c r="E38" s="35">
        <f t="shared" si="2"/>
        <v>12</v>
      </c>
      <c r="F38" s="37">
        <v>3.0</v>
      </c>
      <c r="G38" s="39">
        <v>0.0</v>
      </c>
      <c r="H38" s="40">
        <v>9.0</v>
      </c>
      <c r="I38" s="39">
        <v>0.0</v>
      </c>
      <c r="J38" s="39">
        <v>0.0</v>
      </c>
      <c r="K38" s="39">
        <v>0.0</v>
      </c>
      <c r="L38" s="42">
        <v>9.0</v>
      </c>
      <c r="M38" s="39">
        <v>0.0</v>
      </c>
      <c r="N38" s="32">
        <f t="shared" ref="N38:O38" si="40">C38+L38</f>
        <v>199</v>
      </c>
      <c r="O38" s="32">
        <f t="shared" si="40"/>
        <v>12</v>
      </c>
      <c r="P38" s="43" t="s">
        <v>53</v>
      </c>
      <c r="Q38" s="43" t="s">
        <v>53</v>
      </c>
      <c r="R38" s="43"/>
      <c r="S38" s="39">
        <f t="shared" si="4"/>
        <v>1</v>
      </c>
      <c r="T38" s="39"/>
      <c r="U38" s="39">
        <f t="shared" si="5"/>
        <v>9</v>
      </c>
      <c r="V38" s="39">
        <f t="shared" si="6"/>
        <v>1</v>
      </c>
      <c r="W38" s="30">
        <f t="shared" si="9"/>
        <v>34</v>
      </c>
    </row>
    <row r="39">
      <c r="A39" s="30">
        <f t="shared" si="7"/>
        <v>35</v>
      </c>
      <c r="B39" s="51" t="s">
        <v>76</v>
      </c>
      <c r="C39" s="32">
        <v>189.0</v>
      </c>
      <c r="D39" s="32">
        <v>16.0</v>
      </c>
      <c r="E39" s="35">
        <f t="shared" si="2"/>
        <v>11.45454545</v>
      </c>
      <c r="F39" s="37">
        <v>1.0</v>
      </c>
      <c r="G39" s="39">
        <v>6.0</v>
      </c>
      <c r="H39" s="40">
        <v>0.0</v>
      </c>
      <c r="I39" s="39">
        <v>7.0</v>
      </c>
      <c r="J39" s="39">
        <v>6.0</v>
      </c>
      <c r="K39" s="39">
        <v>7.0</v>
      </c>
      <c r="L39" s="42">
        <v>20.0</v>
      </c>
      <c r="M39" s="39">
        <v>3.0</v>
      </c>
      <c r="N39" s="32">
        <f t="shared" ref="N39:O39" si="41">C39+L39</f>
        <v>209</v>
      </c>
      <c r="O39" s="32">
        <f t="shared" si="41"/>
        <v>19</v>
      </c>
      <c r="P39" s="43" t="s">
        <v>53</v>
      </c>
      <c r="Q39" s="43" t="s">
        <v>53</v>
      </c>
      <c r="R39" s="43"/>
      <c r="S39" s="39">
        <f t="shared" si="4"/>
        <v>0</v>
      </c>
      <c r="T39" s="39"/>
      <c r="U39" s="39">
        <f t="shared" si="5"/>
        <v>7</v>
      </c>
      <c r="V39" s="39">
        <f t="shared" si="6"/>
        <v>5</v>
      </c>
      <c r="W39" s="30">
        <f t="shared" si="9"/>
        <v>35</v>
      </c>
    </row>
    <row r="40">
      <c r="A40" s="30">
        <f t="shared" si="7"/>
        <v>36</v>
      </c>
      <c r="B40" s="31" t="s">
        <v>46</v>
      </c>
      <c r="C40" s="32">
        <v>189.0</v>
      </c>
      <c r="D40" s="32">
        <v>14.0</v>
      </c>
      <c r="E40" s="35">
        <f t="shared" si="2"/>
        <v>11.45454545</v>
      </c>
      <c r="F40" s="37">
        <v>1.0</v>
      </c>
      <c r="G40" s="39">
        <v>6.0</v>
      </c>
      <c r="H40" s="40">
        <v>0.0</v>
      </c>
      <c r="I40" s="39">
        <v>7.0</v>
      </c>
      <c r="J40" s="39">
        <v>0.0</v>
      </c>
      <c r="K40" s="39">
        <v>5.0</v>
      </c>
      <c r="L40" s="42">
        <v>12.0</v>
      </c>
      <c r="M40" s="39">
        <v>1.0</v>
      </c>
      <c r="N40" s="32">
        <f t="shared" ref="N40:O40" si="42">C40+L40</f>
        <v>201</v>
      </c>
      <c r="O40" s="32">
        <f t="shared" si="42"/>
        <v>15</v>
      </c>
      <c r="P40" s="43" t="s">
        <v>53</v>
      </c>
      <c r="Q40" s="43" t="s">
        <v>53</v>
      </c>
      <c r="R40" s="43"/>
      <c r="S40" s="39">
        <f t="shared" si="4"/>
        <v>0</v>
      </c>
      <c r="T40" s="39"/>
      <c r="U40" s="39">
        <f t="shared" si="5"/>
        <v>7</v>
      </c>
      <c r="V40" s="39">
        <f t="shared" si="6"/>
        <v>-5</v>
      </c>
      <c r="W40" s="30">
        <f t="shared" si="9"/>
        <v>36</v>
      </c>
    </row>
    <row r="41">
      <c r="A41" s="30">
        <f t="shared" si="7"/>
        <v>37</v>
      </c>
      <c r="B41" s="56" t="s">
        <v>110</v>
      </c>
      <c r="C41" s="32">
        <v>189.0</v>
      </c>
      <c r="D41" s="32">
        <v>8.0</v>
      </c>
      <c r="E41" s="35">
        <f t="shared" si="2"/>
        <v>10.22222222</v>
      </c>
      <c r="F41" s="37">
        <v>2.0</v>
      </c>
      <c r="G41" s="39">
        <v>7.0</v>
      </c>
      <c r="H41" s="40">
        <v>0.0</v>
      </c>
      <c r="I41" s="39">
        <v>4.0</v>
      </c>
      <c r="J41" s="39">
        <v>6.0</v>
      </c>
      <c r="K41" s="39">
        <v>0.0</v>
      </c>
      <c r="L41" s="42">
        <v>10.0</v>
      </c>
      <c r="M41" s="39">
        <v>1.0</v>
      </c>
      <c r="N41" s="32">
        <f t="shared" ref="N41:O41" si="43">C41+L41</f>
        <v>199</v>
      </c>
      <c r="O41" s="32">
        <f t="shared" si="43"/>
        <v>9</v>
      </c>
      <c r="P41" s="43" t="s">
        <v>53</v>
      </c>
      <c r="Q41" s="43" t="s">
        <v>53</v>
      </c>
      <c r="R41" s="43"/>
      <c r="S41" s="39">
        <f t="shared" si="4"/>
        <v>4</v>
      </c>
      <c r="T41" s="39"/>
      <c r="U41" s="39">
        <f t="shared" si="5"/>
        <v>5</v>
      </c>
      <c r="V41" s="39">
        <f t="shared" si="6"/>
        <v>4</v>
      </c>
      <c r="W41" s="30">
        <f t="shared" si="9"/>
        <v>37</v>
      </c>
    </row>
    <row r="42">
      <c r="A42" s="30">
        <f t="shared" si="7"/>
        <v>38</v>
      </c>
      <c r="B42" s="31" t="s">
        <v>66</v>
      </c>
      <c r="C42" s="32">
        <v>188.0</v>
      </c>
      <c r="D42" s="32">
        <v>9.0</v>
      </c>
      <c r="E42" s="35">
        <f t="shared" si="2"/>
        <v>11.25</v>
      </c>
      <c r="F42" s="37">
        <v>3.0</v>
      </c>
      <c r="G42" s="39">
        <v>0.0</v>
      </c>
      <c r="H42" s="40">
        <v>9.0</v>
      </c>
      <c r="I42" s="39">
        <v>0.0</v>
      </c>
      <c r="J42" s="39">
        <v>0.0</v>
      </c>
      <c r="K42" s="39">
        <v>0.0</v>
      </c>
      <c r="L42" s="42">
        <v>9.0</v>
      </c>
      <c r="M42" s="39">
        <v>0.0</v>
      </c>
      <c r="N42" s="32">
        <f t="shared" ref="N42:O42" si="44">C42+L42</f>
        <v>197</v>
      </c>
      <c r="O42" s="32">
        <f t="shared" si="44"/>
        <v>9</v>
      </c>
      <c r="P42" s="43" t="s">
        <v>53</v>
      </c>
      <c r="Q42" s="43" t="s">
        <v>53</v>
      </c>
      <c r="R42" s="43"/>
      <c r="S42" s="39">
        <f t="shared" si="4"/>
        <v>2</v>
      </c>
      <c r="T42" s="39"/>
      <c r="U42" s="39">
        <f t="shared" si="5"/>
        <v>8</v>
      </c>
      <c r="V42" s="39">
        <f t="shared" si="6"/>
        <v>-5</v>
      </c>
      <c r="W42" s="30">
        <f t="shared" si="9"/>
        <v>38</v>
      </c>
    </row>
    <row r="43">
      <c r="A43" s="30">
        <f t="shared" si="7"/>
        <v>39</v>
      </c>
      <c r="B43" s="51" t="s">
        <v>114</v>
      </c>
      <c r="C43" s="32">
        <v>185.0</v>
      </c>
      <c r="D43" s="32">
        <v>11.0</v>
      </c>
      <c r="E43" s="35">
        <f t="shared" si="2"/>
        <v>10.5</v>
      </c>
      <c r="F43" s="37">
        <v>2.0</v>
      </c>
      <c r="G43" s="39">
        <v>7.0</v>
      </c>
      <c r="H43" s="40">
        <v>0.0</v>
      </c>
      <c r="I43" s="39">
        <v>4.0</v>
      </c>
      <c r="J43" s="39">
        <v>2.0</v>
      </c>
      <c r="K43" s="39">
        <v>6.0</v>
      </c>
      <c r="L43" s="42">
        <v>12.0</v>
      </c>
      <c r="M43" s="39">
        <v>1.0</v>
      </c>
      <c r="N43" s="32">
        <f t="shared" ref="N43:O43" si="45">C43+L43</f>
        <v>197</v>
      </c>
      <c r="O43" s="32">
        <f t="shared" si="45"/>
        <v>12</v>
      </c>
      <c r="P43" s="43" t="s">
        <v>53</v>
      </c>
      <c r="Q43" s="43" t="s">
        <v>53</v>
      </c>
      <c r="R43" s="43"/>
      <c r="S43" s="39">
        <f t="shared" si="4"/>
        <v>2</v>
      </c>
      <c r="T43" s="39"/>
      <c r="U43" s="39">
        <f t="shared" si="5"/>
        <v>6</v>
      </c>
      <c r="V43" s="39">
        <f t="shared" si="6"/>
        <v>-1</v>
      </c>
      <c r="W43" s="30">
        <f t="shared" si="9"/>
        <v>39</v>
      </c>
    </row>
    <row r="44">
      <c r="A44" s="30">
        <f t="shared" si="7"/>
        <v>40</v>
      </c>
      <c r="B44" s="51" t="s">
        <v>108</v>
      </c>
      <c r="C44" s="32">
        <v>184.0</v>
      </c>
      <c r="D44" s="32">
        <v>10.0</v>
      </c>
      <c r="E44" s="35">
        <f t="shared" si="2"/>
        <v>12.6</v>
      </c>
      <c r="F44" s="37">
        <v>5.0</v>
      </c>
      <c r="G44" s="39">
        <v>0.0</v>
      </c>
      <c r="H44" s="40">
        <v>13.0</v>
      </c>
      <c r="I44" s="39">
        <v>0.0</v>
      </c>
      <c r="J44" s="39">
        <v>0.0</v>
      </c>
      <c r="K44" s="39">
        <v>0.0</v>
      </c>
      <c r="L44" s="42">
        <v>13.0</v>
      </c>
      <c r="M44" s="39">
        <v>0.0</v>
      </c>
      <c r="N44" s="32">
        <f t="shared" ref="N44:O44" si="46">C44+L44</f>
        <v>197</v>
      </c>
      <c r="O44" s="32">
        <f t="shared" si="46"/>
        <v>10</v>
      </c>
      <c r="P44" s="43" t="s">
        <v>53</v>
      </c>
      <c r="Q44" s="43" t="s">
        <v>53</v>
      </c>
      <c r="R44" s="43"/>
      <c r="S44" s="39">
        <f t="shared" si="4"/>
        <v>1</v>
      </c>
      <c r="T44" s="39"/>
      <c r="U44" s="39">
        <f t="shared" si="5"/>
        <v>12</v>
      </c>
      <c r="V44" s="39">
        <f t="shared" si="6"/>
        <v>7</v>
      </c>
      <c r="W44" s="30">
        <f t="shared" si="9"/>
        <v>40</v>
      </c>
    </row>
    <row r="45">
      <c r="A45" s="30">
        <f t="shared" si="7"/>
        <v>41</v>
      </c>
      <c r="B45" s="51" t="s">
        <v>111</v>
      </c>
      <c r="C45" s="32">
        <v>182.0</v>
      </c>
      <c r="D45" s="32">
        <v>8.0</v>
      </c>
      <c r="E45" s="35">
        <f t="shared" si="2"/>
        <v>11.5</v>
      </c>
      <c r="F45" s="37">
        <v>3.0</v>
      </c>
      <c r="G45" s="39">
        <v>0.0</v>
      </c>
      <c r="H45" s="40">
        <v>9.0</v>
      </c>
      <c r="I45" s="39">
        <v>0.0</v>
      </c>
      <c r="J45" s="39">
        <v>0.0</v>
      </c>
      <c r="K45" s="39">
        <v>0.0</v>
      </c>
      <c r="L45" s="42">
        <v>9.0</v>
      </c>
      <c r="M45" s="39">
        <v>0.0</v>
      </c>
      <c r="N45" s="32">
        <f t="shared" ref="N45:O45" si="47">C45+L45</f>
        <v>191</v>
      </c>
      <c r="O45" s="32">
        <f t="shared" si="47"/>
        <v>8</v>
      </c>
      <c r="P45" s="43" t="s">
        <v>53</v>
      </c>
      <c r="Q45" s="43" t="s">
        <v>53</v>
      </c>
      <c r="R45" s="43"/>
      <c r="S45" s="39">
        <f t="shared" si="4"/>
        <v>0</v>
      </c>
      <c r="T45" s="39"/>
      <c r="U45" s="39">
        <f t="shared" si="5"/>
        <v>10</v>
      </c>
      <c r="V45" s="39">
        <f t="shared" si="6"/>
        <v>-7</v>
      </c>
      <c r="W45" s="30">
        <f t="shared" si="9"/>
        <v>41</v>
      </c>
    </row>
    <row r="46">
      <c r="A46" s="30">
        <f t="shared" si="7"/>
        <v>42</v>
      </c>
      <c r="B46" s="77" t="s">
        <v>107</v>
      </c>
      <c r="C46" s="32">
        <v>181.0</v>
      </c>
      <c r="D46" s="32">
        <v>15.0</v>
      </c>
      <c r="E46" s="35">
        <f t="shared" si="2"/>
        <v>10.35714286</v>
      </c>
      <c r="F46" s="37">
        <v>1.0</v>
      </c>
      <c r="G46" s="39">
        <v>7.0</v>
      </c>
      <c r="H46" s="40">
        <v>0.0</v>
      </c>
      <c r="I46" s="39">
        <v>6.0</v>
      </c>
      <c r="J46" s="39">
        <v>2.0</v>
      </c>
      <c r="K46" s="39">
        <v>0.0</v>
      </c>
      <c r="L46" s="42">
        <v>8.0</v>
      </c>
      <c r="M46" s="39">
        <v>1.0</v>
      </c>
      <c r="N46" s="32">
        <f t="shared" ref="N46:O46" si="48">C46+L46</f>
        <v>189</v>
      </c>
      <c r="O46" s="32">
        <f t="shared" si="48"/>
        <v>16</v>
      </c>
      <c r="P46" s="43" t="s">
        <v>53</v>
      </c>
      <c r="Q46" s="43" t="s">
        <v>53</v>
      </c>
      <c r="R46" s="43"/>
      <c r="S46" s="39">
        <f t="shared" si="4"/>
        <v>0</v>
      </c>
      <c r="T46" s="39"/>
      <c r="U46" s="39">
        <f t="shared" si="5"/>
        <v>4</v>
      </c>
      <c r="V46" s="39">
        <f t="shared" si="6"/>
        <v>-3</v>
      </c>
      <c r="W46" s="30">
        <f t="shared" si="9"/>
        <v>42</v>
      </c>
    </row>
    <row r="47">
      <c r="A47" s="30">
        <f t="shared" si="7"/>
        <v>43</v>
      </c>
      <c r="B47" s="51" t="s">
        <v>102</v>
      </c>
      <c r="C47" s="32">
        <v>181.0</v>
      </c>
      <c r="D47" s="32">
        <v>6.0</v>
      </c>
      <c r="E47" s="35">
        <f t="shared" si="2"/>
        <v>11.75</v>
      </c>
      <c r="F47" s="37">
        <v>3.0</v>
      </c>
      <c r="G47" s="39">
        <v>0.0</v>
      </c>
      <c r="H47" s="40">
        <v>9.0</v>
      </c>
      <c r="I47" s="39">
        <v>0.0</v>
      </c>
      <c r="J47" s="39">
        <v>0.0</v>
      </c>
      <c r="K47" s="39">
        <v>0.0</v>
      </c>
      <c r="L47" s="42">
        <v>9.0</v>
      </c>
      <c r="M47" s="39">
        <v>0.0</v>
      </c>
      <c r="N47" s="32">
        <f t="shared" ref="N47:O47" si="49">C47+L47</f>
        <v>190</v>
      </c>
      <c r="O47" s="32">
        <f t="shared" si="49"/>
        <v>6</v>
      </c>
      <c r="P47" s="43" t="s">
        <v>53</v>
      </c>
      <c r="Q47" s="43" t="s">
        <v>53</v>
      </c>
      <c r="R47" s="43"/>
      <c r="S47" s="39">
        <f t="shared" si="4"/>
        <v>2</v>
      </c>
      <c r="T47" s="39"/>
      <c r="U47" s="39">
        <f t="shared" si="5"/>
        <v>12</v>
      </c>
      <c r="V47" s="39">
        <f t="shared" si="6"/>
        <v>-1</v>
      </c>
      <c r="W47" s="30">
        <f t="shared" si="9"/>
        <v>43</v>
      </c>
    </row>
    <row r="48">
      <c r="A48" s="30">
        <f t="shared" si="7"/>
        <v>44</v>
      </c>
      <c r="B48" s="31" t="s">
        <v>106</v>
      </c>
      <c r="C48" s="32">
        <v>178.0</v>
      </c>
      <c r="D48" s="32">
        <v>7.0</v>
      </c>
      <c r="E48" s="35">
        <f t="shared" si="2"/>
        <v>12.2</v>
      </c>
      <c r="F48" s="37">
        <v>1.0</v>
      </c>
      <c r="G48" s="39">
        <v>7.0</v>
      </c>
      <c r="H48" s="40">
        <v>0.0</v>
      </c>
      <c r="I48" s="39">
        <v>6.0</v>
      </c>
      <c r="J48" s="39">
        <v>6.0</v>
      </c>
      <c r="K48" s="39">
        <v>6.0</v>
      </c>
      <c r="L48" s="42">
        <v>18.0</v>
      </c>
      <c r="M48" s="39">
        <v>3.0</v>
      </c>
      <c r="N48" s="32">
        <f t="shared" ref="N48:O48" si="50">C48+L48</f>
        <v>196</v>
      </c>
      <c r="O48" s="32">
        <f t="shared" si="50"/>
        <v>10</v>
      </c>
      <c r="P48" s="43" t="s">
        <v>53</v>
      </c>
      <c r="Q48" s="43" t="s">
        <v>53</v>
      </c>
      <c r="R48" s="43" t="s">
        <v>88</v>
      </c>
      <c r="S48" s="39">
        <f t="shared" si="4"/>
        <v>0</v>
      </c>
      <c r="T48" s="39"/>
      <c r="U48" s="39">
        <f t="shared" si="5"/>
        <v>13</v>
      </c>
      <c r="V48" s="39">
        <f t="shared" si="6"/>
        <v>-1</v>
      </c>
      <c r="W48" s="30">
        <f t="shared" si="9"/>
        <v>44</v>
      </c>
    </row>
    <row r="49">
      <c r="A49" s="30">
        <f t="shared" si="7"/>
        <v>45</v>
      </c>
      <c r="B49" s="31" t="s">
        <v>81</v>
      </c>
      <c r="C49" s="32">
        <v>177.0</v>
      </c>
      <c r="D49" s="32">
        <v>7.0</v>
      </c>
      <c r="E49" s="35">
        <f t="shared" si="2"/>
        <v>10.4</v>
      </c>
      <c r="F49" s="37">
        <v>5.0</v>
      </c>
      <c r="G49" s="39">
        <v>0.0</v>
      </c>
      <c r="H49" s="40">
        <v>13.0</v>
      </c>
      <c r="I49" s="39">
        <v>0.0</v>
      </c>
      <c r="J49" s="39">
        <v>0.0</v>
      </c>
      <c r="K49" s="39">
        <v>0.0</v>
      </c>
      <c r="L49" s="42">
        <v>13.0</v>
      </c>
      <c r="M49" s="39">
        <v>0.0</v>
      </c>
      <c r="N49" s="32">
        <f t="shared" ref="N49:O49" si="51">C49+L49</f>
        <v>190</v>
      </c>
      <c r="O49" s="32">
        <f t="shared" si="51"/>
        <v>7</v>
      </c>
      <c r="P49" s="43" t="s">
        <v>53</v>
      </c>
      <c r="Q49" s="43" t="s">
        <v>53</v>
      </c>
      <c r="R49" s="43"/>
      <c r="S49" s="39">
        <f t="shared" si="4"/>
        <v>2</v>
      </c>
      <c r="T49" s="39"/>
      <c r="U49" s="39">
        <f t="shared" si="5"/>
        <v>11</v>
      </c>
      <c r="V49" s="39">
        <f t="shared" si="6"/>
        <v>-1</v>
      </c>
      <c r="W49" s="30">
        <f t="shared" si="9"/>
        <v>45</v>
      </c>
    </row>
    <row r="50">
      <c r="A50" s="30">
        <f t="shared" si="7"/>
        <v>46</v>
      </c>
      <c r="B50" s="31" t="s">
        <v>79</v>
      </c>
      <c r="C50" s="32">
        <v>177.0</v>
      </c>
      <c r="D50" s="32">
        <v>7.0</v>
      </c>
      <c r="E50" s="35">
        <f t="shared" si="2"/>
        <v>10.16666667</v>
      </c>
      <c r="F50" s="37">
        <v>2.0</v>
      </c>
      <c r="G50" s="39">
        <v>8.0</v>
      </c>
      <c r="H50" s="40">
        <v>0.0</v>
      </c>
      <c r="I50" s="39">
        <v>6.0</v>
      </c>
      <c r="J50" s="39">
        <v>2.0</v>
      </c>
      <c r="K50" s="39">
        <v>6.0</v>
      </c>
      <c r="L50" s="42">
        <v>14.0</v>
      </c>
      <c r="M50" s="39">
        <v>2.0</v>
      </c>
      <c r="N50" s="32">
        <f t="shared" ref="N50:O50" si="52">C50+L50</f>
        <v>191</v>
      </c>
      <c r="O50" s="32">
        <f t="shared" si="52"/>
        <v>9</v>
      </c>
      <c r="P50" s="43" t="s">
        <v>53</v>
      </c>
      <c r="Q50" s="43" t="s">
        <v>53</v>
      </c>
      <c r="R50" s="43"/>
      <c r="S50" s="39">
        <f t="shared" si="4"/>
        <v>2</v>
      </c>
      <c r="T50" s="39"/>
      <c r="U50" s="39">
        <f t="shared" si="5"/>
        <v>10</v>
      </c>
      <c r="V50" s="39">
        <f t="shared" si="6"/>
        <v>-1</v>
      </c>
      <c r="W50" s="30">
        <f t="shared" si="9"/>
        <v>46</v>
      </c>
    </row>
    <row r="51">
      <c r="A51" s="30">
        <f t="shared" si="7"/>
        <v>47</v>
      </c>
      <c r="B51" s="51" t="s">
        <v>75</v>
      </c>
      <c r="C51" s="32">
        <v>177.0</v>
      </c>
      <c r="D51" s="32">
        <v>6.0</v>
      </c>
      <c r="E51" s="35">
        <f t="shared" si="2"/>
        <v>12.5</v>
      </c>
      <c r="F51" s="37">
        <v>5.0</v>
      </c>
      <c r="G51" s="39">
        <v>0.0</v>
      </c>
      <c r="H51" s="40">
        <v>13.0</v>
      </c>
      <c r="I51" s="39">
        <v>0.0</v>
      </c>
      <c r="J51" s="39">
        <v>0.0</v>
      </c>
      <c r="K51" s="39">
        <v>0.0</v>
      </c>
      <c r="L51" s="42">
        <v>13.0</v>
      </c>
      <c r="M51" s="39">
        <v>0.0</v>
      </c>
      <c r="N51" s="32">
        <f t="shared" ref="N51:O51" si="53">C51+L51</f>
        <v>190</v>
      </c>
      <c r="O51" s="32">
        <f t="shared" si="53"/>
        <v>6</v>
      </c>
      <c r="P51" s="43" t="s">
        <v>53</v>
      </c>
      <c r="Q51" s="43" t="s">
        <v>53</v>
      </c>
      <c r="R51" s="43"/>
      <c r="S51" s="39">
        <f t="shared" si="4"/>
        <v>2</v>
      </c>
      <c r="T51" s="39"/>
      <c r="U51" s="39">
        <f t="shared" si="5"/>
        <v>14</v>
      </c>
      <c r="V51" s="39">
        <f t="shared" si="6"/>
        <v>-1</v>
      </c>
      <c r="W51" s="30">
        <f t="shared" si="9"/>
        <v>47</v>
      </c>
    </row>
    <row r="52">
      <c r="A52" s="30">
        <f t="shared" si="7"/>
        <v>48</v>
      </c>
      <c r="B52" s="31" t="s">
        <v>117</v>
      </c>
      <c r="C52" s="32">
        <v>174.0</v>
      </c>
      <c r="D52" s="32">
        <v>5.0</v>
      </c>
      <c r="E52" s="35">
        <f t="shared" si="2"/>
        <v>10.33333333</v>
      </c>
      <c r="F52" s="37">
        <v>5.0</v>
      </c>
      <c r="G52" s="39">
        <v>0.0</v>
      </c>
      <c r="H52" s="40">
        <v>13.0</v>
      </c>
      <c r="I52" s="39">
        <v>0.0</v>
      </c>
      <c r="J52" s="39">
        <v>0.0</v>
      </c>
      <c r="K52" s="39">
        <v>0.0</v>
      </c>
      <c r="L52" s="42">
        <v>13.0</v>
      </c>
      <c r="M52" s="39">
        <v>0.0</v>
      </c>
      <c r="N52" s="32">
        <f t="shared" ref="N52:O52" si="54">C52+L52</f>
        <v>187</v>
      </c>
      <c r="O52" s="32">
        <f t="shared" si="54"/>
        <v>5</v>
      </c>
      <c r="P52" s="43" t="s">
        <v>53</v>
      </c>
      <c r="Q52" s="43" t="s">
        <v>53</v>
      </c>
      <c r="R52" s="43"/>
      <c r="S52" s="39">
        <f t="shared" si="4"/>
        <v>2</v>
      </c>
      <c r="T52" s="39"/>
      <c r="U52" s="39">
        <f t="shared" si="5"/>
        <v>13</v>
      </c>
      <c r="V52" s="39">
        <f t="shared" si="6"/>
        <v>0</v>
      </c>
      <c r="W52" s="30">
        <f t="shared" si="9"/>
        <v>48</v>
      </c>
    </row>
    <row r="53">
      <c r="A53" s="30">
        <f t="shared" si="7"/>
        <v>49</v>
      </c>
      <c r="B53" s="51" t="s">
        <v>116</v>
      </c>
      <c r="C53" s="32">
        <v>172.0</v>
      </c>
      <c r="D53" s="32">
        <v>8.0</v>
      </c>
      <c r="E53" s="35">
        <f t="shared" si="2"/>
        <v>9.5</v>
      </c>
      <c r="F53" s="37">
        <v>1.0</v>
      </c>
      <c r="G53" s="39">
        <v>8.0</v>
      </c>
      <c r="H53" s="40">
        <v>0.0</v>
      </c>
      <c r="I53" s="39">
        <v>3.0</v>
      </c>
      <c r="J53" s="39">
        <v>6.0</v>
      </c>
      <c r="K53" s="39">
        <v>6.0</v>
      </c>
      <c r="L53" s="42">
        <v>15.0</v>
      </c>
      <c r="M53" s="39">
        <v>2.0</v>
      </c>
      <c r="N53" s="32">
        <f t="shared" ref="N53:O53" si="55">C53+L53</f>
        <v>187</v>
      </c>
      <c r="O53" s="32">
        <f t="shared" si="55"/>
        <v>10</v>
      </c>
      <c r="P53" s="43" t="s">
        <v>53</v>
      </c>
      <c r="Q53" s="43" t="s">
        <v>53</v>
      </c>
      <c r="R53" s="43"/>
      <c r="S53" s="39">
        <f t="shared" si="4"/>
        <v>1</v>
      </c>
      <c r="T53" s="39"/>
      <c r="U53" s="39">
        <f t="shared" si="5"/>
        <v>5</v>
      </c>
      <c r="V53" s="39">
        <f t="shared" si="6"/>
        <v>1</v>
      </c>
      <c r="W53" s="30">
        <f t="shared" si="9"/>
        <v>49</v>
      </c>
    </row>
    <row r="54">
      <c r="A54" s="30">
        <f t="shared" si="7"/>
        <v>50</v>
      </c>
      <c r="B54" s="31" t="s">
        <v>120</v>
      </c>
      <c r="C54" s="32">
        <v>172.0</v>
      </c>
      <c r="D54" s="32">
        <v>4.0</v>
      </c>
      <c r="E54" s="35">
        <f t="shared" si="2"/>
        <v>11</v>
      </c>
      <c r="F54" s="37">
        <v>3.0</v>
      </c>
      <c r="G54" s="39">
        <v>0.0</v>
      </c>
      <c r="H54" s="40">
        <v>9.0</v>
      </c>
      <c r="I54" s="39">
        <v>0.0</v>
      </c>
      <c r="J54" s="39">
        <v>0.0</v>
      </c>
      <c r="K54" s="39">
        <v>0.0</v>
      </c>
      <c r="L54" s="42">
        <v>9.0</v>
      </c>
      <c r="M54" s="39">
        <v>0.0</v>
      </c>
      <c r="N54" s="32">
        <f t="shared" ref="N54:O54" si="56">C54+L54</f>
        <v>181</v>
      </c>
      <c r="O54" s="32">
        <f t="shared" si="56"/>
        <v>4</v>
      </c>
      <c r="P54" s="43" t="s">
        <v>53</v>
      </c>
      <c r="Q54" s="43" t="s">
        <v>53</v>
      </c>
      <c r="R54" s="43"/>
      <c r="S54" s="39">
        <f t="shared" si="4"/>
        <v>1</v>
      </c>
      <c r="T54" s="39"/>
      <c r="U54" s="39">
        <f t="shared" si="5"/>
        <v>14</v>
      </c>
      <c r="V54" s="39">
        <f t="shared" si="6"/>
        <v>-1</v>
      </c>
      <c r="W54" s="30">
        <f t="shared" si="9"/>
        <v>50</v>
      </c>
    </row>
    <row r="55">
      <c r="A55" s="30">
        <f t="shared" si="7"/>
        <v>51</v>
      </c>
      <c r="B55" s="56" t="s">
        <v>115</v>
      </c>
      <c r="C55" s="32">
        <v>169.0</v>
      </c>
      <c r="D55" s="32">
        <v>11.0</v>
      </c>
      <c r="E55" s="35">
        <f t="shared" si="2"/>
        <v>9.5</v>
      </c>
      <c r="F55" s="37">
        <v>3.0</v>
      </c>
      <c r="G55" s="39">
        <v>0.0</v>
      </c>
      <c r="H55" s="40">
        <v>9.0</v>
      </c>
      <c r="I55" s="39">
        <v>0.0</v>
      </c>
      <c r="J55" s="39">
        <v>0.0</v>
      </c>
      <c r="K55" s="39">
        <v>0.0</v>
      </c>
      <c r="L55" s="42">
        <v>9.0</v>
      </c>
      <c r="M55" s="39">
        <v>0.0</v>
      </c>
      <c r="N55" s="32">
        <f t="shared" ref="N55:O55" si="57">C55+L55</f>
        <v>178</v>
      </c>
      <c r="O55" s="32">
        <f t="shared" si="57"/>
        <v>11</v>
      </c>
      <c r="P55" s="43" t="s">
        <v>53</v>
      </c>
      <c r="Q55" s="43" t="s">
        <v>53</v>
      </c>
      <c r="R55" s="43"/>
      <c r="S55" s="39">
        <f t="shared" si="4"/>
        <v>0</v>
      </c>
      <c r="T55" s="39"/>
      <c r="U55" s="39">
        <f t="shared" si="5"/>
        <v>4</v>
      </c>
      <c r="V55" s="39">
        <f t="shared" si="6"/>
        <v>0</v>
      </c>
      <c r="W55" s="30">
        <f t="shared" si="9"/>
        <v>51</v>
      </c>
    </row>
    <row r="56">
      <c r="A56" s="30">
        <f t="shared" si="7"/>
        <v>52</v>
      </c>
      <c r="B56" s="56" t="s">
        <v>51</v>
      </c>
      <c r="C56" s="32">
        <v>169.0</v>
      </c>
      <c r="D56" s="32">
        <v>9.0</v>
      </c>
      <c r="E56" s="35">
        <f t="shared" si="2"/>
        <v>9.375</v>
      </c>
      <c r="F56" s="37">
        <v>3.0</v>
      </c>
      <c r="G56" s="39">
        <v>0.0</v>
      </c>
      <c r="H56" s="40">
        <v>9.0</v>
      </c>
      <c r="I56" s="39">
        <v>0.0</v>
      </c>
      <c r="J56" s="39">
        <v>0.0</v>
      </c>
      <c r="K56" s="39">
        <v>0.0</v>
      </c>
      <c r="L56" s="42">
        <v>9.0</v>
      </c>
      <c r="M56" s="39">
        <v>0.0</v>
      </c>
      <c r="N56" s="32">
        <f t="shared" ref="N56:O56" si="58">C56+L56</f>
        <v>178</v>
      </c>
      <c r="O56" s="32">
        <f t="shared" si="58"/>
        <v>9</v>
      </c>
      <c r="P56" s="43" t="s">
        <v>53</v>
      </c>
      <c r="Q56" s="43" t="s">
        <v>53</v>
      </c>
      <c r="R56" s="43"/>
      <c r="S56" s="39">
        <f t="shared" si="4"/>
        <v>1</v>
      </c>
      <c r="T56" s="39"/>
      <c r="U56" s="39">
        <f t="shared" si="5"/>
        <v>9</v>
      </c>
      <c r="V56" s="39">
        <f t="shared" si="6"/>
        <v>0</v>
      </c>
      <c r="W56" s="30">
        <f t="shared" si="9"/>
        <v>52</v>
      </c>
    </row>
    <row r="57">
      <c r="A57" s="30">
        <f t="shared" si="7"/>
        <v>53</v>
      </c>
      <c r="B57" s="31" t="s">
        <v>56</v>
      </c>
      <c r="C57" s="32">
        <v>169.0</v>
      </c>
      <c r="D57" s="32">
        <v>3.0</v>
      </c>
      <c r="E57" s="35">
        <f t="shared" si="2"/>
        <v>8.5</v>
      </c>
      <c r="F57" s="37">
        <v>5.0</v>
      </c>
      <c r="G57" s="39">
        <v>0.0</v>
      </c>
      <c r="H57" s="40">
        <v>13.0</v>
      </c>
      <c r="I57" s="39">
        <v>0.0</v>
      </c>
      <c r="J57" s="39">
        <v>0.0</v>
      </c>
      <c r="K57" s="39">
        <v>0.0</v>
      </c>
      <c r="L57" s="42">
        <v>13.0</v>
      </c>
      <c r="M57" s="39">
        <v>0.0</v>
      </c>
      <c r="N57" s="32">
        <f t="shared" ref="N57:O57" si="59">C57+L57</f>
        <v>182</v>
      </c>
      <c r="O57" s="32">
        <f t="shared" si="59"/>
        <v>3</v>
      </c>
      <c r="P57" s="43" t="s">
        <v>53</v>
      </c>
      <c r="Q57" s="43" t="s">
        <v>53</v>
      </c>
      <c r="R57" s="43"/>
      <c r="S57" s="39">
        <f t="shared" si="4"/>
        <v>2</v>
      </c>
      <c r="T57" s="39"/>
      <c r="U57" s="39">
        <f t="shared" si="5"/>
        <v>14</v>
      </c>
      <c r="V57" s="39">
        <f t="shared" si="6"/>
        <v>0</v>
      </c>
      <c r="W57" s="30">
        <f t="shared" si="9"/>
        <v>53</v>
      </c>
    </row>
    <row r="58">
      <c r="A58" s="30">
        <f t="shared" si="7"/>
        <v>54</v>
      </c>
      <c r="B58" s="31" t="s">
        <v>119</v>
      </c>
      <c r="C58" s="32">
        <v>166.0</v>
      </c>
      <c r="D58" s="32">
        <v>4.0</v>
      </c>
      <c r="E58" s="35">
        <f t="shared" si="2"/>
        <v>11</v>
      </c>
      <c r="F58" s="37">
        <v>3.0</v>
      </c>
      <c r="G58" s="39">
        <v>0.0</v>
      </c>
      <c r="H58" s="40">
        <v>9.0</v>
      </c>
      <c r="I58" s="39">
        <v>0.0</v>
      </c>
      <c r="J58" s="39">
        <v>0.0</v>
      </c>
      <c r="K58" s="39">
        <v>0.0</v>
      </c>
      <c r="L58" s="42">
        <v>9.0</v>
      </c>
      <c r="M58" s="39">
        <v>0.0</v>
      </c>
      <c r="N58" s="32">
        <f t="shared" ref="N58:O58" si="60">C58+L58</f>
        <v>175</v>
      </c>
      <c r="O58" s="32">
        <f t="shared" si="60"/>
        <v>4</v>
      </c>
      <c r="P58" s="43" t="s">
        <v>53</v>
      </c>
      <c r="Q58" s="43" t="s">
        <v>53</v>
      </c>
      <c r="R58" s="43"/>
      <c r="S58" s="39">
        <f t="shared" si="4"/>
        <v>0</v>
      </c>
      <c r="T58" s="39"/>
      <c r="U58" s="39">
        <f t="shared" si="5"/>
        <v>16</v>
      </c>
      <c r="V58" s="39">
        <f t="shared" si="6"/>
        <v>0</v>
      </c>
      <c r="W58" s="30">
        <f t="shared" si="9"/>
        <v>54</v>
      </c>
    </row>
    <row r="59">
      <c r="A59" s="30">
        <f t="shared" si="7"/>
        <v>55</v>
      </c>
      <c r="B59" s="51" t="s">
        <v>112</v>
      </c>
      <c r="C59" s="32">
        <v>165.0</v>
      </c>
      <c r="D59" s="32">
        <v>7.0</v>
      </c>
      <c r="E59" s="35">
        <f t="shared" si="2"/>
        <v>9.375</v>
      </c>
      <c r="F59" s="37">
        <v>3.0</v>
      </c>
      <c r="G59" s="39">
        <v>0.0</v>
      </c>
      <c r="H59" s="40">
        <v>9.0</v>
      </c>
      <c r="I59" s="39">
        <v>0.0</v>
      </c>
      <c r="J59" s="39">
        <v>0.0</v>
      </c>
      <c r="K59" s="39">
        <v>0.0</v>
      </c>
      <c r="L59" s="42">
        <v>9.0</v>
      </c>
      <c r="M59" s="39">
        <v>0.0</v>
      </c>
      <c r="N59" s="32">
        <f t="shared" ref="N59:O59" si="61">C59+L59</f>
        <v>174</v>
      </c>
      <c r="O59" s="32">
        <f t="shared" si="61"/>
        <v>7</v>
      </c>
      <c r="P59" s="43" t="s">
        <v>53</v>
      </c>
      <c r="Q59" s="43" t="s">
        <v>53</v>
      </c>
      <c r="R59" s="43"/>
      <c r="S59" s="39">
        <f t="shared" si="4"/>
        <v>0</v>
      </c>
      <c r="T59" s="39"/>
      <c r="U59" s="39">
        <f t="shared" si="5"/>
        <v>10</v>
      </c>
      <c r="V59" s="39">
        <f t="shared" si="6"/>
        <v>0</v>
      </c>
      <c r="W59" s="30">
        <f t="shared" si="9"/>
        <v>55</v>
      </c>
    </row>
    <row r="60">
      <c r="A60" s="30">
        <f t="shared" si="7"/>
        <v>56</v>
      </c>
      <c r="B60" s="31" t="s">
        <v>123</v>
      </c>
      <c r="C60" s="32">
        <v>165.0</v>
      </c>
      <c r="D60" s="32">
        <v>5.0</v>
      </c>
      <c r="E60" s="35">
        <f t="shared" si="2"/>
        <v>10.5</v>
      </c>
      <c r="F60" s="37">
        <v>3.0</v>
      </c>
      <c r="G60" s="39">
        <v>0.0</v>
      </c>
      <c r="H60" s="40">
        <v>9.0</v>
      </c>
      <c r="I60" s="39">
        <v>0.0</v>
      </c>
      <c r="J60" s="39">
        <v>0.0</v>
      </c>
      <c r="K60" s="39">
        <v>0.0</v>
      </c>
      <c r="L60" s="42">
        <v>9.0</v>
      </c>
      <c r="M60" s="39">
        <v>0.0</v>
      </c>
      <c r="N60" s="32">
        <f t="shared" ref="N60:O60" si="62">C60+L60</f>
        <v>174</v>
      </c>
      <c r="O60" s="32">
        <f t="shared" si="62"/>
        <v>5</v>
      </c>
      <c r="P60" s="43" t="s">
        <v>53</v>
      </c>
      <c r="Q60" s="43" t="s">
        <v>53</v>
      </c>
      <c r="R60" s="43"/>
      <c r="S60" s="39">
        <f t="shared" si="4"/>
        <v>0</v>
      </c>
      <c r="T60" s="39"/>
      <c r="U60" s="39">
        <f t="shared" si="5"/>
        <v>16</v>
      </c>
      <c r="V60" s="39">
        <f t="shared" si="6"/>
        <v>0</v>
      </c>
      <c r="W60" s="30">
        <f t="shared" si="9"/>
        <v>56</v>
      </c>
    </row>
    <row r="61">
      <c r="A61" s="30">
        <f t="shared" si="7"/>
        <v>57</v>
      </c>
      <c r="B61" s="51" t="s">
        <v>113</v>
      </c>
      <c r="C61" s="32">
        <v>164.0</v>
      </c>
      <c r="D61" s="32">
        <v>10.0</v>
      </c>
      <c r="E61" s="35">
        <f t="shared" si="2"/>
        <v>8.5</v>
      </c>
      <c r="F61" s="37">
        <v>5.0</v>
      </c>
      <c r="G61" s="39">
        <v>0.0</v>
      </c>
      <c r="H61" s="40">
        <v>13.0</v>
      </c>
      <c r="I61" s="39">
        <v>0.0</v>
      </c>
      <c r="J61" s="39">
        <v>0.0</v>
      </c>
      <c r="K61" s="39">
        <v>0.0</v>
      </c>
      <c r="L61" s="42">
        <v>13.0</v>
      </c>
      <c r="M61" s="39">
        <v>0.0</v>
      </c>
      <c r="N61" s="32">
        <f t="shared" ref="N61:O61" si="63">C61+L61</f>
        <v>177</v>
      </c>
      <c r="O61" s="32">
        <f t="shared" si="63"/>
        <v>10</v>
      </c>
      <c r="P61" s="43" t="s">
        <v>53</v>
      </c>
      <c r="Q61" s="43" t="s">
        <v>53</v>
      </c>
      <c r="R61" s="43"/>
      <c r="S61" s="39">
        <f t="shared" si="4"/>
        <v>2</v>
      </c>
      <c r="T61" s="39"/>
      <c r="U61" s="39">
        <f t="shared" si="5"/>
        <v>4</v>
      </c>
      <c r="V61" s="39">
        <f t="shared" si="6"/>
        <v>4</v>
      </c>
      <c r="W61" s="30">
        <f t="shared" si="9"/>
        <v>57</v>
      </c>
    </row>
    <row r="62">
      <c r="A62" s="30">
        <f t="shared" si="7"/>
        <v>58</v>
      </c>
      <c r="B62" s="51" t="s">
        <v>118</v>
      </c>
      <c r="C62" s="32">
        <v>163.0</v>
      </c>
      <c r="D62" s="32">
        <v>6.0</v>
      </c>
      <c r="E62" s="35">
        <f t="shared" si="2"/>
        <v>9.142857143</v>
      </c>
      <c r="F62" s="37">
        <v>1.0</v>
      </c>
      <c r="G62" s="39">
        <v>8.0</v>
      </c>
      <c r="H62" s="40">
        <v>0.0</v>
      </c>
      <c r="I62" s="39">
        <v>6.0</v>
      </c>
      <c r="J62" s="39">
        <v>6.0</v>
      </c>
      <c r="K62" s="39">
        <v>3.0</v>
      </c>
      <c r="L62" s="42">
        <v>15.0</v>
      </c>
      <c r="M62" s="39">
        <v>2.0</v>
      </c>
      <c r="N62" s="32">
        <f t="shared" ref="N62:O62" si="64">C62+L62</f>
        <v>178</v>
      </c>
      <c r="O62" s="32">
        <f t="shared" si="64"/>
        <v>8</v>
      </c>
      <c r="P62" s="43" t="s">
        <v>53</v>
      </c>
      <c r="Q62" s="43" t="s">
        <v>53</v>
      </c>
      <c r="R62" s="43"/>
      <c r="S62" s="39">
        <f t="shared" si="4"/>
        <v>0</v>
      </c>
      <c r="T62" s="39"/>
      <c r="U62" s="39">
        <f t="shared" si="5"/>
        <v>11</v>
      </c>
      <c r="V62" s="39">
        <f t="shared" si="6"/>
        <v>-1</v>
      </c>
      <c r="W62" s="30">
        <f t="shared" si="9"/>
        <v>58</v>
      </c>
    </row>
    <row r="63">
      <c r="A63" s="30">
        <f t="shared" si="7"/>
        <v>59</v>
      </c>
      <c r="B63" s="31" t="s">
        <v>124</v>
      </c>
      <c r="C63" s="32">
        <v>163.0</v>
      </c>
      <c r="D63" s="32">
        <v>3.0</v>
      </c>
      <c r="E63" s="35">
        <f t="shared" si="2"/>
        <v>7.5</v>
      </c>
      <c r="F63" s="37">
        <v>3.0</v>
      </c>
      <c r="G63" s="39">
        <v>0.0</v>
      </c>
      <c r="H63" s="40">
        <v>9.0</v>
      </c>
      <c r="I63" s="39">
        <v>0.0</v>
      </c>
      <c r="J63" s="39">
        <v>0.0</v>
      </c>
      <c r="K63" s="39">
        <v>0.0</v>
      </c>
      <c r="L63" s="42">
        <v>9.0</v>
      </c>
      <c r="M63" s="39">
        <v>0.0</v>
      </c>
      <c r="N63" s="32">
        <f t="shared" ref="N63:O63" si="65">C63+L63</f>
        <v>172</v>
      </c>
      <c r="O63" s="32">
        <f t="shared" si="65"/>
        <v>3</v>
      </c>
      <c r="P63" s="43" t="s">
        <v>53</v>
      </c>
      <c r="Q63" s="43" t="s">
        <v>53</v>
      </c>
      <c r="R63" s="43"/>
      <c r="S63" s="39">
        <f t="shared" si="4"/>
        <v>1</v>
      </c>
      <c r="T63" s="39"/>
      <c r="U63" s="39">
        <f t="shared" si="5"/>
        <v>15</v>
      </c>
      <c r="V63" s="39">
        <f t="shared" si="6"/>
        <v>-1</v>
      </c>
      <c r="W63" s="30">
        <f t="shared" si="9"/>
        <v>59</v>
      </c>
    </row>
    <row r="64">
      <c r="A64" s="30">
        <f t="shared" si="7"/>
        <v>60</v>
      </c>
      <c r="B64" s="31" t="s">
        <v>125</v>
      </c>
      <c r="C64" s="32">
        <v>162.0</v>
      </c>
      <c r="D64" s="32">
        <v>3.0</v>
      </c>
      <c r="E64" s="35">
        <f t="shared" si="2"/>
        <v>9</v>
      </c>
      <c r="F64" s="37">
        <v>3.0</v>
      </c>
      <c r="G64" s="39">
        <v>0.0</v>
      </c>
      <c r="H64" s="40">
        <v>9.0</v>
      </c>
      <c r="I64" s="39">
        <v>0.0</v>
      </c>
      <c r="J64" s="39">
        <v>0.0</v>
      </c>
      <c r="K64" s="39">
        <v>0.0</v>
      </c>
      <c r="L64" s="42">
        <v>9.0</v>
      </c>
      <c r="M64" s="39">
        <v>0.0</v>
      </c>
      <c r="N64" s="32">
        <f t="shared" ref="N64:O64" si="66">C64+L64</f>
        <v>171</v>
      </c>
      <c r="O64" s="32">
        <f t="shared" si="66"/>
        <v>3</v>
      </c>
      <c r="P64" s="43" t="s">
        <v>53</v>
      </c>
      <c r="Q64" s="43" t="s">
        <v>53</v>
      </c>
      <c r="R64" s="43"/>
      <c r="S64" s="39">
        <f t="shared" si="4"/>
        <v>0</v>
      </c>
      <c r="T64" s="39"/>
      <c r="U64" s="39">
        <f t="shared" si="5"/>
        <v>17</v>
      </c>
      <c r="V64" s="39">
        <f t="shared" si="6"/>
        <v>-1</v>
      </c>
      <c r="W64" s="30">
        <f t="shared" si="9"/>
        <v>60</v>
      </c>
    </row>
    <row r="65">
      <c r="A65" s="30">
        <f t="shared" si="7"/>
        <v>61</v>
      </c>
      <c r="B65" s="56" t="s">
        <v>122</v>
      </c>
      <c r="C65" s="32">
        <v>162.0</v>
      </c>
      <c r="D65" s="32">
        <v>3.0</v>
      </c>
      <c r="E65" s="35">
        <f t="shared" si="2"/>
        <v>7.666666667</v>
      </c>
      <c r="F65" s="37">
        <v>3.0</v>
      </c>
      <c r="G65" s="39">
        <v>0.0</v>
      </c>
      <c r="H65" s="40">
        <v>9.0</v>
      </c>
      <c r="I65" s="39">
        <v>0.0</v>
      </c>
      <c r="J65" s="39">
        <v>0.0</v>
      </c>
      <c r="K65" s="39">
        <v>0.0</v>
      </c>
      <c r="L65" s="42">
        <v>9.0</v>
      </c>
      <c r="M65" s="39">
        <v>0.0</v>
      </c>
      <c r="N65" s="32">
        <f t="shared" ref="N65:O65" si="67">C65+L65</f>
        <v>171</v>
      </c>
      <c r="O65" s="32">
        <f t="shared" si="67"/>
        <v>3</v>
      </c>
      <c r="P65" s="43" t="s">
        <v>53</v>
      </c>
      <c r="Q65" s="43" t="s">
        <v>53</v>
      </c>
      <c r="R65" s="43"/>
      <c r="S65" s="39">
        <f t="shared" si="4"/>
        <v>1</v>
      </c>
      <c r="T65" s="39"/>
      <c r="U65" s="39">
        <f t="shared" si="5"/>
        <v>14</v>
      </c>
      <c r="V65" s="39">
        <f t="shared" si="6"/>
        <v>-1</v>
      </c>
      <c r="W65" s="30">
        <f t="shared" si="9"/>
        <v>61</v>
      </c>
    </row>
    <row r="66">
      <c r="A66" s="30">
        <f t="shared" si="7"/>
        <v>62</v>
      </c>
      <c r="B66" s="51" t="s">
        <v>121</v>
      </c>
      <c r="C66" s="32">
        <v>158.0</v>
      </c>
      <c r="D66" s="32">
        <v>4.0</v>
      </c>
      <c r="E66" s="35">
        <f t="shared" si="2"/>
        <v>7.666666667</v>
      </c>
      <c r="F66" s="37">
        <v>3.0</v>
      </c>
      <c r="G66" s="39">
        <v>0.0</v>
      </c>
      <c r="H66" s="40">
        <v>9.0</v>
      </c>
      <c r="I66" s="39">
        <v>0.0</v>
      </c>
      <c r="J66" s="39">
        <v>0.0</v>
      </c>
      <c r="K66" s="39">
        <v>0.0</v>
      </c>
      <c r="L66" s="42">
        <v>9.0</v>
      </c>
      <c r="M66" s="39">
        <v>0.0</v>
      </c>
      <c r="N66" s="32">
        <f t="shared" ref="N66:O66" si="68">C66+L66</f>
        <v>167</v>
      </c>
      <c r="O66" s="32">
        <f t="shared" si="68"/>
        <v>4</v>
      </c>
      <c r="P66" s="43" t="s">
        <v>53</v>
      </c>
      <c r="Q66" s="43" t="s">
        <v>53</v>
      </c>
      <c r="R66" s="43"/>
      <c r="S66" s="39">
        <f t="shared" si="4"/>
        <v>0</v>
      </c>
      <c r="T66" s="39"/>
      <c r="U66" s="39">
        <f t="shared" si="5"/>
        <v>15</v>
      </c>
      <c r="V66" s="39">
        <f t="shared" si="6"/>
        <v>0</v>
      </c>
      <c r="W66" s="30">
        <f t="shared" si="9"/>
        <v>62</v>
      </c>
    </row>
    <row r="67">
      <c r="A67" s="30">
        <f t="shared" si="7"/>
        <v>63</v>
      </c>
      <c r="B67" s="31" t="s">
        <v>72</v>
      </c>
      <c r="C67" s="32">
        <v>157.0</v>
      </c>
      <c r="D67" s="32">
        <v>0.0</v>
      </c>
      <c r="E67" s="35" t="str">
        <f t="shared" si="2"/>
        <v>#DIV/0!</v>
      </c>
      <c r="F67" s="37">
        <v>3.0</v>
      </c>
      <c r="G67" s="39">
        <v>0.0</v>
      </c>
      <c r="H67" s="40">
        <v>9.0</v>
      </c>
      <c r="I67" s="39">
        <v>0.0</v>
      </c>
      <c r="J67" s="39">
        <v>0.0</v>
      </c>
      <c r="K67" s="39">
        <v>0.0</v>
      </c>
      <c r="L67" s="42">
        <v>9.0</v>
      </c>
      <c r="M67" s="39">
        <v>0.0</v>
      </c>
      <c r="N67" s="32">
        <f t="shared" ref="N67:O67" si="69">C67+L67</f>
        <v>166</v>
      </c>
      <c r="O67" s="32">
        <f t="shared" si="69"/>
        <v>0</v>
      </c>
      <c r="P67" s="43" t="s">
        <v>53</v>
      </c>
      <c r="Q67" s="43" t="s">
        <v>53</v>
      </c>
      <c r="R67" s="43"/>
      <c r="S67" s="39">
        <f t="shared" si="4"/>
        <v>1</v>
      </c>
      <c r="T67" s="39"/>
      <c r="U67" s="39">
        <f t="shared" si="5"/>
        <v>17</v>
      </c>
      <c r="V67" s="39">
        <f t="shared" si="6"/>
        <v>0</v>
      </c>
      <c r="W67" s="30">
        <f t="shared" si="9"/>
        <v>63</v>
      </c>
    </row>
    <row r="68">
      <c r="A68" s="30">
        <f t="shared" si="7"/>
        <v>64</v>
      </c>
      <c r="B68" s="31" t="s">
        <v>126</v>
      </c>
      <c r="C68" s="32">
        <v>157.0</v>
      </c>
      <c r="D68" s="32">
        <v>0.0</v>
      </c>
      <c r="E68" s="35">
        <f t="shared" si="2"/>
        <v>0</v>
      </c>
      <c r="F68" s="37">
        <v>3.0</v>
      </c>
      <c r="G68" s="39">
        <v>0.0</v>
      </c>
      <c r="H68" s="40">
        <v>9.0</v>
      </c>
      <c r="I68" s="39">
        <v>0.0</v>
      </c>
      <c r="J68" s="39">
        <v>0.0</v>
      </c>
      <c r="K68" s="39">
        <v>0.0</v>
      </c>
      <c r="L68" s="42">
        <v>9.0</v>
      </c>
      <c r="M68" s="39">
        <v>0.0</v>
      </c>
      <c r="N68" s="32">
        <f t="shared" ref="N68:O68" si="70">C68+L68</f>
        <v>166</v>
      </c>
      <c r="O68" s="32">
        <f t="shared" si="70"/>
        <v>0</v>
      </c>
      <c r="P68" s="43" t="s">
        <v>53</v>
      </c>
      <c r="Q68" s="43" t="s">
        <v>53</v>
      </c>
      <c r="R68" s="43"/>
      <c r="S68" s="39">
        <f t="shared" si="4"/>
        <v>1</v>
      </c>
      <c r="T68" s="39"/>
      <c r="U68" s="39">
        <f t="shared" si="5"/>
        <v>16</v>
      </c>
      <c r="V68" s="39">
        <f t="shared" si="6"/>
        <v>0</v>
      </c>
      <c r="W68" s="30">
        <f t="shared" si="9"/>
        <v>64</v>
      </c>
    </row>
    <row r="69">
      <c r="A69" s="30">
        <f t="shared" si="7"/>
        <v>65</v>
      </c>
      <c r="B69" s="51" t="s">
        <v>80</v>
      </c>
      <c r="C69" s="32">
        <v>147.0</v>
      </c>
      <c r="D69" s="32">
        <v>8.0</v>
      </c>
      <c r="E69" s="35">
        <f t="shared" si="2"/>
        <v>7.5</v>
      </c>
      <c r="F69" s="37">
        <v>1.0</v>
      </c>
      <c r="G69" s="39">
        <v>8.0</v>
      </c>
      <c r="H69" s="40">
        <v>0.0</v>
      </c>
      <c r="I69" s="39">
        <v>3.0</v>
      </c>
      <c r="J69" s="39">
        <v>2.0</v>
      </c>
      <c r="K69" s="39">
        <v>3.0</v>
      </c>
      <c r="L69" s="42">
        <v>8.0</v>
      </c>
      <c r="M69" s="39">
        <v>0.0</v>
      </c>
      <c r="N69" s="32">
        <f t="shared" ref="N69:O69" si="71">C69+L69</f>
        <v>155</v>
      </c>
      <c r="O69" s="32">
        <f t="shared" si="71"/>
        <v>8</v>
      </c>
      <c r="P69" s="43" t="s">
        <v>53</v>
      </c>
      <c r="Q69" s="43" t="s">
        <v>53</v>
      </c>
      <c r="R69" s="43"/>
      <c r="S69" s="39">
        <f t="shared" si="4"/>
        <v>0</v>
      </c>
      <c r="T69" s="39"/>
      <c r="U69" s="39">
        <f t="shared" si="5"/>
        <v>8</v>
      </c>
      <c r="V69" s="39">
        <f t="shared" si="6"/>
        <v>1</v>
      </c>
      <c r="W69" s="30">
        <f t="shared" si="9"/>
        <v>65</v>
      </c>
    </row>
    <row r="70">
      <c r="A70" s="30">
        <f t="shared" si="7"/>
        <v>66</v>
      </c>
      <c r="B70" s="51" t="s">
        <v>74</v>
      </c>
      <c r="C70" s="32">
        <v>144.0</v>
      </c>
      <c r="D70" s="32">
        <v>0.0</v>
      </c>
      <c r="E70" s="35" t="str">
        <f t="shared" si="2"/>
        <v>#DIV/0!</v>
      </c>
      <c r="F70" s="37">
        <v>3.0</v>
      </c>
      <c r="G70" s="39">
        <v>0.0</v>
      </c>
      <c r="H70" s="40">
        <v>9.0</v>
      </c>
      <c r="I70" s="39">
        <v>0.0</v>
      </c>
      <c r="J70" s="39">
        <v>0.0</v>
      </c>
      <c r="K70" s="39">
        <v>0.0</v>
      </c>
      <c r="L70" s="42">
        <v>9.0</v>
      </c>
      <c r="M70" s="39">
        <v>0.0</v>
      </c>
      <c r="N70" s="32">
        <f t="shared" ref="N70:O70" si="72">C70+L70</f>
        <v>153</v>
      </c>
      <c r="O70" s="32">
        <f t="shared" si="72"/>
        <v>0</v>
      </c>
      <c r="P70" s="43" t="s">
        <v>53</v>
      </c>
      <c r="Q70" s="43" t="s">
        <v>53</v>
      </c>
      <c r="R70" s="43"/>
      <c r="S70" s="39">
        <f t="shared" si="4"/>
        <v>0</v>
      </c>
      <c r="T70" s="39"/>
      <c r="U70" s="39">
        <f t="shared" si="5"/>
        <v>18</v>
      </c>
      <c r="V70" s="39">
        <f t="shared" si="6"/>
        <v>-1</v>
      </c>
      <c r="W70" s="30">
        <f t="shared" si="9"/>
        <v>66</v>
      </c>
    </row>
    <row r="71">
      <c r="A71" s="11"/>
      <c r="C71" s="11"/>
      <c r="D71" s="11"/>
      <c r="E71" s="11"/>
      <c r="F71" s="11"/>
      <c r="Q71" s="11"/>
    </row>
    <row r="72">
      <c r="A72" s="11"/>
      <c r="C72" s="11"/>
      <c r="D72" s="11"/>
      <c r="E72" s="11"/>
      <c r="F72" s="11"/>
      <c r="Q72" s="11"/>
    </row>
    <row r="73">
      <c r="A73" s="11"/>
      <c r="B73" s="58">
        <f>COUNTA(B5:B70)</f>
        <v>66</v>
      </c>
      <c r="C73" s="11"/>
      <c r="D73" s="11"/>
      <c r="E73" s="11"/>
      <c r="F73" s="11"/>
      <c r="P73" s="7" t="s">
        <v>163</v>
      </c>
      <c r="Q73" s="8">
        <f t="shared" ref="Q73:R73" si="73">COUNTA(Q5:Q70)</f>
        <v>65</v>
      </c>
      <c r="R73" s="8">
        <f t="shared" si="73"/>
        <v>2</v>
      </c>
    </row>
    <row r="74">
      <c r="A74" s="11"/>
      <c r="C74" s="11"/>
      <c r="D74" s="11"/>
      <c r="E74" s="11"/>
      <c r="F74" s="11"/>
      <c r="P74" s="7" t="s">
        <v>164</v>
      </c>
      <c r="Q74" s="8">
        <f t="shared" ref="Q74:R74" si="74">Q75-Q73</f>
        <v>1</v>
      </c>
      <c r="R74" s="8">
        <f t="shared" si="74"/>
        <v>64</v>
      </c>
    </row>
    <row r="75">
      <c r="A75" s="11"/>
      <c r="C75" s="11"/>
      <c r="D75" s="11"/>
      <c r="K75" s="49"/>
      <c r="L75" s="59"/>
      <c r="M75" s="60"/>
      <c r="P75" s="7" t="s">
        <v>60</v>
      </c>
      <c r="Q75" s="8">
        <f>B73</f>
        <v>66</v>
      </c>
      <c r="R75" s="8">
        <f>Q75</f>
        <v>66</v>
      </c>
    </row>
    <row r="76">
      <c r="A76" s="11"/>
      <c r="C76" s="11"/>
      <c r="D76" s="11"/>
      <c r="E76" s="10"/>
      <c r="F76" s="10" t="s">
        <v>127</v>
      </c>
      <c r="K76" s="49"/>
      <c r="L76" s="59"/>
      <c r="M76" s="60"/>
    </row>
    <row r="77">
      <c r="A77" s="11"/>
      <c r="C77" s="11"/>
      <c r="D77" s="11"/>
      <c r="K77" s="49"/>
      <c r="L77" s="59"/>
      <c r="M77" s="60"/>
    </row>
    <row r="78">
      <c r="A78" s="11"/>
      <c r="C78" s="11"/>
      <c r="D78" s="11"/>
      <c r="K78" s="49"/>
      <c r="L78" s="59"/>
      <c r="M78" s="60"/>
      <c r="P78" s="7" t="s">
        <v>163</v>
      </c>
      <c r="Q78" s="8"/>
      <c r="R78" s="8">
        <f>COUNTIF(R5:R70,"X")</f>
        <v>0</v>
      </c>
    </row>
    <row r="79">
      <c r="A79" s="11"/>
      <c r="B79" s="62" t="s">
        <v>129</v>
      </c>
      <c r="C79" s="62" t="s">
        <v>130</v>
      </c>
      <c r="D79" s="62" t="s">
        <v>131</v>
      </c>
      <c r="K79" s="49"/>
      <c r="L79" s="59"/>
      <c r="M79" s="60"/>
      <c r="P79" s="7" t="s">
        <v>132</v>
      </c>
      <c r="Q79" s="8"/>
      <c r="R79" s="8">
        <f>countif(R5:R70,"N")</f>
        <v>2</v>
      </c>
    </row>
    <row r="80">
      <c r="A80" s="11"/>
      <c r="B80" s="51" t="str">
        <f>IFERROR(__xludf.DUMMYFUNCTION("QUERY(B5:M70,""Select B, L, M where L &gt;= 18 order by L desc, M desc"",0)"),"Chinna Ponnaganti")</f>
        <v>Chinna Ponnaganti</v>
      </c>
      <c r="C80" s="71">
        <f>IFERROR(__xludf.DUMMYFUNCTION("""COMPUTED_VALUE"""),20.0)</f>
        <v>20</v>
      </c>
      <c r="D80" s="71">
        <f>IFERROR(__xludf.DUMMYFUNCTION("""COMPUTED_VALUE"""),3.0)</f>
        <v>3</v>
      </c>
      <c r="E80" s="11"/>
      <c r="F80" s="11"/>
      <c r="L80" s="59"/>
      <c r="M80" s="60"/>
      <c r="P80" s="7" t="s">
        <v>164</v>
      </c>
      <c r="Q80" s="8"/>
      <c r="R80" s="8">
        <f>countif(R5:R70,"")</f>
        <v>64</v>
      </c>
    </row>
    <row r="81">
      <c r="A81" s="11"/>
      <c r="B81" s="51" t="str">
        <f>IFERROR(__xludf.DUMMYFUNCTION("""COMPUTED_VALUE"""),"Adrian Tay")</f>
        <v>Adrian Tay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F81" s="11"/>
      <c r="M81" s="65"/>
      <c r="P81" s="7" t="s">
        <v>60</v>
      </c>
      <c r="Q81" s="8"/>
      <c r="R81" s="8">
        <f>sum(R78:R80)</f>
        <v>66</v>
      </c>
    </row>
    <row r="82">
      <c r="A82" s="11"/>
      <c r="B82" s="51" t="str">
        <f>IFERROR(__xludf.DUMMYFUNCTION("""COMPUTED_VALUE"""),"Alejandro Mejia")</f>
        <v>Alejandro Mejia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  <c r="F82" s="11"/>
    </row>
    <row r="83">
      <c r="A83" s="11"/>
      <c r="B83" s="51" t="str">
        <f>IFERROR(__xludf.DUMMYFUNCTION("""COMPUTED_VALUE"""),"David Shin")</f>
        <v>David Shin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  <c r="F83" s="11"/>
    </row>
    <row r="84">
      <c r="A84" s="11"/>
      <c r="B84" s="51" t="str">
        <f>IFERROR(__xludf.DUMMYFUNCTION("""COMPUTED_VALUE"""),"Sai Dilip Ponnaganti")</f>
        <v>Sai Dilip Ponnaganti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F84" s="11"/>
      <c r="L84" s="10"/>
    </row>
    <row r="85">
      <c r="A85" s="11"/>
      <c r="B85" s="51"/>
      <c r="C85" s="71"/>
      <c r="D85" s="71"/>
      <c r="E85" s="11"/>
      <c r="F85" s="11"/>
      <c r="L85" s="10"/>
    </row>
    <row r="86">
      <c r="A86" s="11"/>
      <c r="B86" s="51"/>
      <c r="C86" s="71"/>
      <c r="D86" s="71"/>
      <c r="E86" s="11"/>
      <c r="F86" s="11"/>
      <c r="L86" s="10"/>
    </row>
    <row r="87">
      <c r="A87" s="11"/>
      <c r="B87" s="51"/>
      <c r="C87" s="71"/>
      <c r="D87" s="71"/>
      <c r="E87" s="11"/>
      <c r="F87" s="11"/>
      <c r="L87" s="10"/>
    </row>
    <row r="88">
      <c r="A88" s="11"/>
      <c r="B88" s="51"/>
      <c r="C88" s="71"/>
      <c r="D88" s="71"/>
      <c r="E88" s="11"/>
      <c r="F88" s="11"/>
    </row>
    <row r="89">
      <c r="A89" s="11"/>
      <c r="B89" s="51"/>
      <c r="C89" s="71"/>
      <c r="D89" s="71"/>
      <c r="E89" s="11"/>
      <c r="F89" s="11"/>
    </row>
    <row r="90">
      <c r="A90" s="11"/>
      <c r="C90" s="11"/>
      <c r="D90" s="11"/>
      <c r="E90" s="11"/>
      <c r="F90" s="11"/>
    </row>
    <row r="91">
      <c r="A91" s="11"/>
      <c r="B91" s="10"/>
      <c r="C91" s="11"/>
      <c r="D91" s="11"/>
      <c r="E91" s="11"/>
      <c r="F91" s="11"/>
      <c r="G91" s="11"/>
      <c r="H91" s="11"/>
    </row>
    <row r="92">
      <c r="A92" s="11"/>
      <c r="B92" s="10"/>
      <c r="C92" s="11"/>
      <c r="D92" s="11"/>
      <c r="E92" s="11"/>
      <c r="F92" s="11"/>
    </row>
    <row r="93" ht="37.5" customHeight="1">
      <c r="A93" s="11"/>
      <c r="B93" s="66" t="s">
        <v>135</v>
      </c>
      <c r="C93" s="66" t="s">
        <v>136</v>
      </c>
      <c r="D93" s="67" t="s">
        <v>137</v>
      </c>
      <c r="E93" s="68" t="s">
        <v>138</v>
      </c>
      <c r="F93" s="69" t="s">
        <v>139</v>
      </c>
      <c r="G93" s="66" t="s">
        <v>140</v>
      </c>
      <c r="L93" s="66" t="s">
        <v>141</v>
      </c>
    </row>
    <row r="94">
      <c r="A94" s="11"/>
      <c r="B94" s="51" t="str">
        <f>IFERROR(__xludf.DUMMYFUNCTION("query(B5:V70,""select B, V order by V Desc Limit 10"")"),"Vinz Solano")</f>
        <v>Vinz Solano</v>
      </c>
      <c r="C94" s="64">
        <f>IFERROR(__xludf.DUMMYFUNCTION("""COMPUTED_VALUE"""),7.0)</f>
        <v>7</v>
      </c>
      <c r="D94" s="64">
        <f t="shared" ref="D94:D103" si="75">VLOOKUP(B94,indirect($AB$2&amp;"!B$5:V$70"),21, false)</f>
        <v>47</v>
      </c>
      <c r="E94" s="64">
        <f t="shared" ref="E94:E103" si="76">VLOOKUP(B94,B$5:W$70,22, false)</f>
        <v>40</v>
      </c>
      <c r="F94" s="64">
        <f t="shared" ref="F94:F103" si="77">VLOOKUP(B94,indirect($AB$2&amp;"!B$5:U$70"),10, false)</f>
        <v>17</v>
      </c>
      <c r="G94" s="64">
        <f t="shared" ref="G94:G103" si="78">VLOOKUP(B94,indirect($AB$2&amp;"!B$5:U$70"),5, false)</f>
        <v>8</v>
      </c>
      <c r="L94" s="64" t="str">
        <f t="shared" ref="L94:L103" si="79">if(D94-E94=C94,"ok","Error")</f>
        <v>ok</v>
      </c>
    </row>
    <row r="95">
      <c r="A95" s="11"/>
      <c r="B95" s="51" t="str">
        <f>IFERROR(__xludf.DUMMYFUNCTION("""COMPUTED_VALUE"""),"Suleman Alidina")</f>
        <v>Suleman Alidina</v>
      </c>
      <c r="C95" s="64">
        <f>IFERROR(__xludf.DUMMYFUNCTION("""COMPUTED_VALUE"""),6.0)</f>
        <v>6</v>
      </c>
      <c r="D95" s="64">
        <f t="shared" si="75"/>
        <v>10</v>
      </c>
      <c r="E95" s="64">
        <f t="shared" si="76"/>
        <v>4</v>
      </c>
      <c r="F95" s="64">
        <f t="shared" si="77"/>
        <v>19</v>
      </c>
      <c r="G95" s="64">
        <f t="shared" si="78"/>
        <v>2</v>
      </c>
      <c r="L95" s="64" t="str">
        <f t="shared" si="79"/>
        <v>ok</v>
      </c>
    </row>
    <row r="96">
      <c r="A96" s="11"/>
      <c r="B96" s="51" t="str">
        <f>IFERROR(__xludf.DUMMYFUNCTION("""COMPUTED_VALUE"""),"Frank Moon")</f>
        <v>Frank Moon</v>
      </c>
      <c r="C96" s="64">
        <f>IFERROR(__xludf.DUMMYFUNCTION("""COMPUTED_VALUE"""),6.0)</f>
        <v>6</v>
      </c>
      <c r="D96" s="64">
        <f t="shared" si="75"/>
        <v>16</v>
      </c>
      <c r="E96" s="64">
        <f t="shared" si="76"/>
        <v>10</v>
      </c>
      <c r="F96" s="64">
        <f t="shared" si="77"/>
        <v>17</v>
      </c>
      <c r="G96" s="64">
        <f t="shared" si="78"/>
        <v>3</v>
      </c>
      <c r="L96" s="64" t="str">
        <f t="shared" si="79"/>
        <v>ok</v>
      </c>
      <c r="Q96" s="70"/>
    </row>
    <row r="97">
      <c r="A97" s="11"/>
      <c r="B97" s="51" t="str">
        <f>IFERROR(__xludf.DUMMYFUNCTION("""COMPUTED_VALUE"""),"Peter Cheng")</f>
        <v>Peter Cheng</v>
      </c>
      <c r="C97" s="64">
        <f>IFERROR(__xludf.DUMMYFUNCTION("""COMPUTED_VALUE"""),6.0)</f>
        <v>6</v>
      </c>
      <c r="D97" s="64">
        <f t="shared" si="75"/>
        <v>37</v>
      </c>
      <c r="E97" s="64">
        <f t="shared" si="76"/>
        <v>31</v>
      </c>
      <c r="F97" s="64">
        <f t="shared" si="77"/>
        <v>17</v>
      </c>
      <c r="G97" s="64">
        <f t="shared" si="78"/>
        <v>7</v>
      </c>
      <c r="L97" s="64" t="str">
        <f t="shared" si="79"/>
        <v>ok</v>
      </c>
    </row>
    <row r="98">
      <c r="A98" s="11"/>
      <c r="B98" s="51" t="str">
        <f>IFERROR(__xludf.DUMMYFUNCTION("""COMPUTED_VALUE"""),"Sean Chang")</f>
        <v>Sean Chang</v>
      </c>
      <c r="C98" s="64">
        <f>IFERROR(__xludf.DUMMYFUNCTION("""COMPUTED_VALUE"""),5.0)</f>
        <v>5</v>
      </c>
      <c r="D98" s="64">
        <f t="shared" si="75"/>
        <v>21</v>
      </c>
      <c r="E98" s="64">
        <f t="shared" si="76"/>
        <v>16</v>
      </c>
      <c r="F98" s="64">
        <f t="shared" si="77"/>
        <v>17</v>
      </c>
      <c r="G98" s="64">
        <f t="shared" si="78"/>
        <v>4</v>
      </c>
      <c r="L98" s="64" t="str">
        <f t="shared" si="79"/>
        <v>ok</v>
      </c>
    </row>
    <row r="99">
      <c r="A99" s="11"/>
      <c r="B99" s="51" t="str">
        <f>IFERROR(__xludf.DUMMYFUNCTION("""COMPUTED_VALUE"""),"Chinna Ponnaganti")</f>
        <v>Chinna Ponnaganti</v>
      </c>
      <c r="C99" s="64">
        <f>IFERROR(__xludf.DUMMYFUNCTION("""COMPUTED_VALUE"""),5.0)</f>
        <v>5</v>
      </c>
      <c r="D99" s="64">
        <f t="shared" si="75"/>
        <v>40</v>
      </c>
      <c r="E99" s="64">
        <f t="shared" si="76"/>
        <v>35</v>
      </c>
      <c r="F99" s="64">
        <f t="shared" si="77"/>
        <v>15</v>
      </c>
      <c r="G99" s="64">
        <f t="shared" si="78"/>
        <v>7</v>
      </c>
      <c r="L99" s="64" t="str">
        <f t="shared" si="79"/>
        <v>ok</v>
      </c>
    </row>
    <row r="100">
      <c r="A100" s="11"/>
      <c r="B100" s="51" t="str">
        <f>IFERROR(__xludf.DUMMYFUNCTION("""COMPUTED_VALUE"""),"Joe Luzzi")</f>
        <v>Joe Luzzi</v>
      </c>
      <c r="C100" s="64">
        <f>IFERROR(__xludf.DUMMYFUNCTION("""COMPUTED_VALUE"""),4.0)</f>
        <v>4</v>
      </c>
      <c r="D100" s="64">
        <f t="shared" si="75"/>
        <v>13</v>
      </c>
      <c r="E100" s="64">
        <f t="shared" si="76"/>
        <v>9</v>
      </c>
      <c r="F100" s="64">
        <f t="shared" si="77"/>
        <v>17</v>
      </c>
      <c r="G100" s="64">
        <f t="shared" si="78"/>
        <v>3</v>
      </c>
      <c r="L100" s="64" t="str">
        <f t="shared" si="79"/>
        <v>ok</v>
      </c>
    </row>
    <row r="101">
      <c r="A101" s="11"/>
      <c r="B101" s="51" t="str">
        <f>IFERROR(__xludf.DUMMYFUNCTION("""COMPUTED_VALUE"""),"Troy Wong")</f>
        <v>Troy Wong</v>
      </c>
      <c r="C101" s="64">
        <f>IFERROR(__xludf.DUMMYFUNCTION("""COMPUTED_VALUE"""),4.0)</f>
        <v>4</v>
      </c>
      <c r="D101" s="64">
        <f t="shared" si="75"/>
        <v>23</v>
      </c>
      <c r="E101" s="64">
        <f t="shared" si="76"/>
        <v>19</v>
      </c>
      <c r="F101" s="64">
        <f t="shared" si="77"/>
        <v>18</v>
      </c>
      <c r="G101" s="64">
        <f t="shared" si="78"/>
        <v>4</v>
      </c>
      <c r="L101" s="64" t="str">
        <f t="shared" si="79"/>
        <v>ok</v>
      </c>
    </row>
    <row r="102">
      <c r="A102" s="11"/>
      <c r="B102" s="51" t="str">
        <f>IFERROR(__xludf.DUMMYFUNCTION("""COMPUTED_VALUE"""),"Andrew Wen")</f>
        <v>Andrew Wen</v>
      </c>
      <c r="C102" s="64">
        <f>IFERROR(__xludf.DUMMYFUNCTION("""COMPUTED_VALUE"""),4.0)</f>
        <v>4</v>
      </c>
      <c r="D102" s="64">
        <f t="shared" si="75"/>
        <v>41</v>
      </c>
      <c r="E102" s="64">
        <f t="shared" si="76"/>
        <v>37</v>
      </c>
      <c r="F102" s="64">
        <f t="shared" si="77"/>
        <v>17</v>
      </c>
      <c r="G102" s="64">
        <f t="shared" si="78"/>
        <v>8</v>
      </c>
      <c r="L102" s="64" t="str">
        <f t="shared" si="79"/>
        <v>ok</v>
      </c>
    </row>
    <row r="103">
      <c r="A103" s="11"/>
      <c r="B103" s="51" t="str">
        <f>IFERROR(__xludf.DUMMYFUNCTION("""COMPUTED_VALUE"""),"Nicole Ni")</f>
        <v>Nicole Ni</v>
      </c>
      <c r="C103" s="64">
        <f>IFERROR(__xludf.DUMMYFUNCTION("""COMPUTED_VALUE"""),4.0)</f>
        <v>4</v>
      </c>
      <c r="D103" s="64">
        <f t="shared" si="75"/>
        <v>61</v>
      </c>
      <c r="E103" s="64">
        <f t="shared" si="76"/>
        <v>57</v>
      </c>
      <c r="F103" s="64">
        <f t="shared" si="77"/>
        <v>13</v>
      </c>
      <c r="G103" s="64">
        <f t="shared" si="78"/>
        <v>0</v>
      </c>
      <c r="L103" s="64" t="str">
        <f t="shared" si="79"/>
        <v>ok</v>
      </c>
    </row>
    <row r="104">
      <c r="A104" s="11"/>
      <c r="B104" s="10"/>
      <c r="C104" s="11"/>
      <c r="E104" s="11"/>
      <c r="F104" s="11"/>
    </row>
    <row r="105">
      <c r="A105" s="11"/>
      <c r="B105" s="10"/>
      <c r="C105" s="11"/>
      <c r="E105" s="11"/>
      <c r="F105" s="11"/>
    </row>
    <row r="106">
      <c r="A106" s="11"/>
      <c r="B106" s="62" t="s">
        <v>142</v>
      </c>
      <c r="C106" s="62" t="s">
        <v>143</v>
      </c>
      <c r="D106" s="67" t="s">
        <v>137</v>
      </c>
      <c r="E106" s="68" t="s">
        <v>138</v>
      </c>
      <c r="F106" s="69" t="s">
        <v>139</v>
      </c>
      <c r="G106" s="66" t="s">
        <v>140</v>
      </c>
      <c r="L106" s="66" t="s">
        <v>141</v>
      </c>
    </row>
    <row r="107">
      <c r="A107" s="11"/>
      <c r="B107" s="51" t="str">
        <f>IFERROR(__xludf.DUMMYFUNCTION("query(B5:V70,""select B, V order by V asc Limit 10"")"),"Trish Newlin")</f>
        <v>Trish Newlin</v>
      </c>
      <c r="C107" s="64">
        <f>IFERROR(__xludf.DUMMYFUNCTION("""COMPUTED_VALUE"""),-7.0)</f>
        <v>-7</v>
      </c>
      <c r="D107" s="64">
        <f t="shared" ref="D107:D116" si="80">VLOOKUP(B107,indirect($AB$2&amp;"!B$5:V$70"),21, false)</f>
        <v>34</v>
      </c>
      <c r="E107" s="64">
        <f t="shared" ref="E107:E116" si="81">VLOOKUP(B107,B$5:W$70,22, false)</f>
        <v>41</v>
      </c>
      <c r="F107" s="64">
        <f t="shared" ref="F107:F116" si="82">VLOOKUP(B107,indirect($AB$2&amp;"!B$5:U$70"),10, false)</f>
        <v>3</v>
      </c>
      <c r="G107" s="64">
        <f t="shared" ref="G107:G116" si="83">VLOOKUP(B107,indirect($AB$2&amp;"!B$5:U$70"),5, false)</f>
        <v>6</v>
      </c>
      <c r="L107" s="64" t="str">
        <f t="shared" ref="L107:L116" si="84">if(D107-E107=C107,"ok","Error")</f>
        <v>ok</v>
      </c>
    </row>
    <row r="108">
      <c r="A108" s="11"/>
      <c r="B108" s="51" t="str">
        <f>IFERROR(__xludf.DUMMYFUNCTION("""COMPUTED_VALUE"""),"Jonathan Phan")</f>
        <v>Jonathan Phan</v>
      </c>
      <c r="C108" s="64">
        <f>IFERROR(__xludf.DUMMYFUNCTION("""COMPUTED_VALUE"""),-5.0)</f>
        <v>-5</v>
      </c>
      <c r="D108" s="64">
        <f t="shared" si="80"/>
        <v>9</v>
      </c>
      <c r="E108" s="64">
        <f t="shared" si="81"/>
        <v>14</v>
      </c>
      <c r="F108" s="64">
        <f t="shared" si="82"/>
        <v>9</v>
      </c>
      <c r="G108" s="64">
        <f t="shared" si="83"/>
        <v>0</v>
      </c>
      <c r="L108" s="64" t="str">
        <f t="shared" si="84"/>
        <v>ok</v>
      </c>
    </row>
    <row r="109">
      <c r="A109" s="11"/>
      <c r="B109" s="51" t="str">
        <f>IFERROR(__xludf.DUMMYFUNCTION("""COMPUTED_VALUE"""),"Matthew Huang")</f>
        <v>Matthew Huang</v>
      </c>
      <c r="C109" s="64">
        <f>IFERROR(__xludf.DUMMYFUNCTION("""COMPUTED_VALUE"""),-5.0)</f>
        <v>-5</v>
      </c>
      <c r="D109" s="64">
        <f t="shared" si="80"/>
        <v>17</v>
      </c>
      <c r="E109" s="64">
        <f t="shared" si="81"/>
        <v>22</v>
      </c>
      <c r="F109" s="64">
        <f t="shared" si="82"/>
        <v>9</v>
      </c>
      <c r="G109" s="64">
        <f t="shared" si="83"/>
        <v>0</v>
      </c>
      <c r="L109" s="64" t="str">
        <f t="shared" si="84"/>
        <v>ok</v>
      </c>
    </row>
    <row r="110">
      <c r="A110" s="11"/>
      <c r="B110" s="51" t="str">
        <f>IFERROR(__xludf.DUMMYFUNCTION("""COMPUTED_VALUE"""),"Jimmy Awolesi")</f>
        <v>Jimmy Awolesi</v>
      </c>
      <c r="C110" s="64">
        <f>IFERROR(__xludf.DUMMYFUNCTION("""COMPUTED_VALUE"""),-5.0)</f>
        <v>-5</v>
      </c>
      <c r="D110" s="64">
        <f t="shared" si="80"/>
        <v>31</v>
      </c>
      <c r="E110" s="64">
        <f t="shared" si="81"/>
        <v>36</v>
      </c>
      <c r="F110" s="64">
        <f t="shared" si="82"/>
        <v>9</v>
      </c>
      <c r="G110" s="64">
        <f t="shared" si="83"/>
        <v>0</v>
      </c>
      <c r="L110" s="64" t="str">
        <f t="shared" si="84"/>
        <v>ok</v>
      </c>
    </row>
    <row r="111">
      <c r="A111" s="11"/>
      <c r="B111" s="51" t="str">
        <f>IFERROR(__xludf.DUMMYFUNCTION("""COMPUTED_VALUE"""),"Vamsi Lolla ")</f>
        <v>Vamsi Lolla </v>
      </c>
      <c r="C111" s="64">
        <f>IFERROR(__xludf.DUMMYFUNCTION("""COMPUTED_VALUE"""),-5.0)</f>
        <v>-5</v>
      </c>
      <c r="D111" s="64">
        <f t="shared" si="80"/>
        <v>33</v>
      </c>
      <c r="E111" s="64">
        <f t="shared" si="81"/>
        <v>38</v>
      </c>
      <c r="F111" s="64">
        <f t="shared" si="82"/>
        <v>9</v>
      </c>
      <c r="G111" s="64">
        <f t="shared" si="83"/>
        <v>0</v>
      </c>
      <c r="L111" s="64" t="str">
        <f t="shared" si="84"/>
        <v>ok</v>
      </c>
    </row>
    <row r="112">
      <c r="A112" s="11"/>
      <c r="B112" s="51" t="str">
        <f>IFERROR(__xludf.DUMMYFUNCTION("""COMPUTED_VALUE"""),"Arun Mallikarjuna")</f>
        <v>Arun Mallikarjuna</v>
      </c>
      <c r="C112" s="64">
        <f>IFERROR(__xludf.DUMMYFUNCTION("""COMPUTED_VALUE"""),-4.0)</f>
        <v>-4</v>
      </c>
      <c r="D112" s="64">
        <f t="shared" si="80"/>
        <v>7</v>
      </c>
      <c r="E112" s="64">
        <f t="shared" si="81"/>
        <v>11</v>
      </c>
      <c r="F112" s="64">
        <f t="shared" si="82"/>
        <v>9</v>
      </c>
      <c r="G112" s="64">
        <f t="shared" si="83"/>
        <v>1</v>
      </c>
      <c r="L112" s="64" t="str">
        <f t="shared" si="84"/>
        <v>ok</v>
      </c>
    </row>
    <row r="113">
      <c r="A113" s="11"/>
      <c r="B113" s="51" t="str">
        <f>IFERROR(__xludf.DUMMYFUNCTION("""COMPUTED_VALUE"""),"Rajasekar Ramasamy")</f>
        <v>Rajasekar Ramasamy</v>
      </c>
      <c r="C113" s="64">
        <f>IFERROR(__xludf.DUMMYFUNCTION("""COMPUTED_VALUE"""),-4.0)</f>
        <v>-4</v>
      </c>
      <c r="D113" s="64">
        <f t="shared" si="80"/>
        <v>11</v>
      </c>
      <c r="E113" s="64">
        <f t="shared" si="81"/>
        <v>15</v>
      </c>
      <c r="F113" s="64">
        <f t="shared" si="82"/>
        <v>10</v>
      </c>
      <c r="G113" s="64">
        <f t="shared" si="83"/>
        <v>2</v>
      </c>
      <c r="L113" s="64" t="str">
        <f t="shared" si="84"/>
        <v>ok</v>
      </c>
    </row>
    <row r="114">
      <c r="A114" s="11"/>
      <c r="B114" s="51" t="str">
        <f>IFERROR(__xludf.DUMMYFUNCTION("""COMPUTED_VALUE"""),"David Shin")</f>
        <v>David Shin</v>
      </c>
      <c r="C114" s="64">
        <f>IFERROR(__xludf.DUMMYFUNCTION("""COMPUTED_VALUE"""),-4.0)</f>
        <v>-4</v>
      </c>
      <c r="D114" s="64">
        <f t="shared" si="80"/>
        <v>14</v>
      </c>
      <c r="E114" s="64">
        <f t="shared" si="81"/>
        <v>18</v>
      </c>
      <c r="F114" s="64">
        <f t="shared" si="82"/>
        <v>9</v>
      </c>
      <c r="G114" s="64">
        <f t="shared" si="83"/>
        <v>0</v>
      </c>
      <c r="L114" s="64" t="str">
        <f t="shared" si="84"/>
        <v>ok</v>
      </c>
    </row>
    <row r="115">
      <c r="A115" s="11"/>
      <c r="B115" s="51" t="str">
        <f>IFERROR(__xludf.DUMMYFUNCTION("""COMPUTED_VALUE"""),"Luis Hsu")</f>
        <v>Luis Hsu</v>
      </c>
      <c r="C115" s="64">
        <f>IFERROR(__xludf.DUMMYFUNCTION("""COMPUTED_VALUE"""),-3.0)</f>
        <v>-3</v>
      </c>
      <c r="D115" s="64">
        <f t="shared" si="80"/>
        <v>4</v>
      </c>
      <c r="E115" s="64">
        <f t="shared" si="81"/>
        <v>7</v>
      </c>
      <c r="F115" s="64">
        <f t="shared" si="82"/>
        <v>9</v>
      </c>
      <c r="G115" s="64">
        <f t="shared" si="83"/>
        <v>0</v>
      </c>
      <c r="L115" s="64" t="str">
        <f t="shared" si="84"/>
        <v>ok</v>
      </c>
    </row>
    <row r="116">
      <c r="A116" s="11"/>
      <c r="B116" s="51" t="str">
        <f>IFERROR(__xludf.DUMMYFUNCTION("""COMPUTED_VALUE"""),"Pavan Akkimsetty")</f>
        <v>Pavan Akkimsetty</v>
      </c>
      <c r="C116" s="64">
        <f>IFERROR(__xludf.DUMMYFUNCTION("""COMPUTED_VALUE"""),-3.0)</f>
        <v>-3</v>
      </c>
      <c r="D116" s="64">
        <f t="shared" si="80"/>
        <v>20</v>
      </c>
      <c r="E116" s="64">
        <f t="shared" si="81"/>
        <v>23</v>
      </c>
      <c r="F116" s="64">
        <f t="shared" si="82"/>
        <v>9</v>
      </c>
      <c r="G116" s="64">
        <f t="shared" si="83"/>
        <v>0</v>
      </c>
      <c r="L116" s="64" t="str">
        <f t="shared" si="84"/>
        <v>ok</v>
      </c>
    </row>
    <row r="117">
      <c r="A117" s="11"/>
      <c r="B117" s="10"/>
      <c r="C117" s="11"/>
      <c r="E117" s="11"/>
      <c r="F117" s="11"/>
    </row>
    <row r="118">
      <c r="A118" s="11"/>
      <c r="B118" s="10"/>
      <c r="C118" s="11"/>
      <c r="E118" s="11"/>
      <c r="F118" s="11"/>
    </row>
    <row r="119">
      <c r="A119" s="11"/>
      <c r="B119" s="10"/>
      <c r="C119" s="11"/>
      <c r="E119" s="11"/>
      <c r="F119" s="11"/>
    </row>
    <row r="120">
      <c r="A120" s="11"/>
      <c r="B120" s="10"/>
      <c r="C120" s="11"/>
      <c r="E120" s="11"/>
      <c r="F120" s="11"/>
    </row>
    <row r="121">
      <c r="A121" s="11"/>
      <c r="B121" s="10"/>
      <c r="C121" s="11"/>
      <c r="D121" s="11"/>
      <c r="E121" s="11"/>
      <c r="F121" s="11"/>
    </row>
    <row r="122">
      <c r="A122" s="11"/>
      <c r="B122" s="10"/>
      <c r="C122" s="11"/>
      <c r="D122" s="11"/>
      <c r="E122" s="11"/>
      <c r="F122" s="11"/>
    </row>
    <row r="123">
      <c r="A123" s="11"/>
      <c r="B123" s="10"/>
      <c r="C123" s="11"/>
      <c r="D123" s="11"/>
      <c r="E123" s="11"/>
      <c r="F123" s="11"/>
    </row>
    <row r="124">
      <c r="A124" s="11"/>
      <c r="B124" s="10"/>
      <c r="C124" s="11"/>
      <c r="D124" s="11"/>
      <c r="E124" s="11"/>
      <c r="F124" s="11"/>
    </row>
    <row r="125">
      <c r="A125" s="11"/>
      <c r="B125" s="10"/>
      <c r="C125" s="11"/>
      <c r="D125" s="11"/>
      <c r="E125" s="11"/>
      <c r="F125" s="11"/>
    </row>
    <row r="126">
      <c r="A126" s="11"/>
      <c r="B126" s="10"/>
      <c r="C126" s="11"/>
      <c r="D126" s="11"/>
      <c r="E126" s="11"/>
      <c r="F126" s="11"/>
    </row>
    <row r="127">
      <c r="A127" s="11"/>
      <c r="B127" s="10"/>
      <c r="C127" s="11"/>
      <c r="D127" s="11"/>
      <c r="E127" s="11"/>
      <c r="F127" s="11"/>
    </row>
    <row r="128">
      <c r="A128" s="11"/>
      <c r="B128" s="10"/>
      <c r="C128" s="11"/>
      <c r="D128" s="11"/>
      <c r="E128" s="11"/>
      <c r="F128" s="11"/>
    </row>
    <row r="129">
      <c r="A129" s="11"/>
      <c r="B129" s="10"/>
      <c r="C129" s="11"/>
      <c r="D129" s="11"/>
      <c r="E129" s="11"/>
      <c r="F129" s="11"/>
    </row>
    <row r="130">
      <c r="A130" s="11"/>
      <c r="B130" s="10" t="s">
        <v>165</v>
      </c>
      <c r="C130" s="11"/>
      <c r="D130" s="11"/>
      <c r="E130" s="11"/>
      <c r="F130" s="11"/>
    </row>
    <row r="131">
      <c r="A131" s="11"/>
      <c r="B131" s="27" t="s">
        <v>31</v>
      </c>
      <c r="C131" s="29" t="s">
        <v>2</v>
      </c>
      <c r="D131" s="29" t="s">
        <v>4</v>
      </c>
      <c r="E131" s="29"/>
      <c r="F131" s="29" t="s">
        <v>33</v>
      </c>
      <c r="G131" s="29" t="s">
        <v>35</v>
      </c>
      <c r="H131" s="29" t="s">
        <v>36</v>
      </c>
      <c r="I131" s="29" t="s">
        <v>6</v>
      </c>
      <c r="J131" s="29" t="s">
        <v>7</v>
      </c>
      <c r="K131" s="29" t="s">
        <v>8</v>
      </c>
      <c r="L131" s="29" t="s">
        <v>2</v>
      </c>
      <c r="M131" s="29" t="s">
        <v>4</v>
      </c>
      <c r="N131" s="28" t="s">
        <v>2</v>
      </c>
      <c r="O131" s="28" t="s">
        <v>4</v>
      </c>
    </row>
    <row r="132">
      <c r="A132" s="11"/>
      <c r="B132" s="82" t="str">
        <f>IFERROR(__xludf.DUMMYFUNCTION("QUERY(B5:O70, ""Select B, C, D, E, F, G, H, I, J, K, L, M, N   where F &gt;= 1"")"),"#REF!")</f>
        <v>#REF!</v>
      </c>
      <c r="C132" s="83"/>
      <c r="D132" s="83"/>
      <c r="E132" s="83"/>
      <c r="F132" s="83"/>
      <c r="G132" s="82"/>
      <c r="H132" s="82"/>
      <c r="I132" s="82"/>
      <c r="J132" s="82"/>
      <c r="K132" s="82"/>
      <c r="L132" s="82"/>
      <c r="M132" s="82"/>
      <c r="N132" s="82"/>
      <c r="O132" s="82"/>
    </row>
    <row r="133">
      <c r="A133" s="11"/>
      <c r="B133" s="82"/>
      <c r="C133" s="83"/>
      <c r="D133" s="83"/>
      <c r="E133" s="83"/>
      <c r="F133" s="83"/>
      <c r="G133" s="82"/>
      <c r="H133" s="82"/>
      <c r="I133" s="82"/>
      <c r="J133" s="82"/>
      <c r="K133" s="82"/>
      <c r="L133" s="82"/>
      <c r="M133" s="82"/>
      <c r="N133" s="82"/>
      <c r="O133" s="82"/>
    </row>
    <row r="134">
      <c r="A134" s="11"/>
      <c r="B134" s="82"/>
      <c r="C134" s="83"/>
      <c r="D134" s="83"/>
      <c r="E134" s="83"/>
      <c r="F134" s="83"/>
      <c r="G134" s="82"/>
      <c r="H134" s="82"/>
      <c r="I134" s="82"/>
      <c r="J134" s="82"/>
      <c r="K134" s="82"/>
      <c r="L134" s="82"/>
      <c r="M134" s="82"/>
      <c r="N134" s="82"/>
      <c r="O134" s="82"/>
    </row>
    <row r="135">
      <c r="A135" s="11"/>
      <c r="B135" s="82"/>
      <c r="C135" s="83"/>
      <c r="D135" s="83"/>
      <c r="E135" s="83"/>
      <c r="F135" s="83"/>
      <c r="G135" s="82"/>
      <c r="H135" s="82"/>
      <c r="I135" s="82"/>
      <c r="J135" s="82"/>
      <c r="K135" s="82"/>
      <c r="L135" s="82"/>
      <c r="M135" s="82"/>
      <c r="N135" s="82"/>
      <c r="O135" s="82"/>
    </row>
    <row r="136">
      <c r="A136" s="11"/>
      <c r="B136" s="84"/>
      <c r="C136" s="85"/>
      <c r="D136" s="85"/>
      <c r="E136" s="85"/>
      <c r="F136" s="85"/>
      <c r="G136" s="84"/>
      <c r="H136" s="84"/>
      <c r="I136" s="84"/>
      <c r="J136" s="84"/>
      <c r="K136" s="84"/>
      <c r="L136" s="84"/>
      <c r="M136" s="84"/>
      <c r="N136" s="84"/>
      <c r="O136" s="84"/>
    </row>
    <row r="137">
      <c r="A137" s="11"/>
      <c r="B137" s="84"/>
      <c r="C137" s="85"/>
      <c r="D137" s="85"/>
      <c r="E137" s="85"/>
      <c r="F137" s="85"/>
      <c r="G137" s="84"/>
      <c r="H137" s="84"/>
      <c r="I137" s="84"/>
      <c r="J137" s="84"/>
      <c r="K137" s="84"/>
      <c r="L137" s="84"/>
      <c r="M137" s="84"/>
      <c r="N137" s="84"/>
      <c r="O137" s="84"/>
    </row>
    <row r="138">
      <c r="A138" s="11"/>
      <c r="B138" s="84"/>
      <c r="C138" s="85"/>
      <c r="D138" s="85"/>
      <c r="E138" s="85"/>
      <c r="F138" s="85"/>
      <c r="G138" s="84"/>
      <c r="H138" s="84"/>
      <c r="I138" s="84"/>
      <c r="J138" s="84"/>
      <c r="K138" s="84"/>
      <c r="L138" s="84"/>
      <c r="M138" s="84"/>
      <c r="N138" s="84"/>
      <c r="O138" s="84"/>
    </row>
    <row r="139">
      <c r="A139" s="11"/>
      <c r="B139" s="84"/>
      <c r="C139" s="85"/>
      <c r="D139" s="85"/>
      <c r="E139" s="85"/>
      <c r="F139" s="85"/>
      <c r="G139" s="84"/>
      <c r="H139" s="84"/>
      <c r="I139" s="84"/>
      <c r="J139" s="84"/>
      <c r="K139" s="84"/>
      <c r="L139" s="84"/>
      <c r="M139" s="84"/>
      <c r="N139" s="84"/>
      <c r="O139" s="84"/>
    </row>
    <row r="140">
      <c r="A140" s="11"/>
      <c r="B140" s="84"/>
      <c r="C140" s="83"/>
      <c r="D140" s="83"/>
      <c r="E140" s="83"/>
      <c r="F140" s="83"/>
      <c r="G140" s="82"/>
      <c r="H140" s="82"/>
      <c r="I140" s="82"/>
      <c r="J140" s="82"/>
      <c r="K140" s="82"/>
      <c r="L140" s="82"/>
      <c r="M140" s="82"/>
      <c r="N140" s="82"/>
      <c r="O140" s="82"/>
    </row>
    <row r="141">
      <c r="A141" s="11"/>
      <c r="B141" s="84"/>
      <c r="C141" s="83"/>
      <c r="D141" s="83"/>
      <c r="E141" s="83"/>
      <c r="F141" s="83"/>
      <c r="G141" s="82"/>
      <c r="H141" s="82"/>
      <c r="I141" s="82"/>
      <c r="J141" s="82"/>
      <c r="K141" s="82"/>
      <c r="L141" s="82"/>
      <c r="M141" s="82"/>
      <c r="N141" s="82"/>
      <c r="O141" s="82"/>
    </row>
    <row r="142">
      <c r="A142" s="11"/>
      <c r="B142" s="82"/>
      <c r="C142" s="83"/>
      <c r="D142" s="83"/>
      <c r="E142" s="83"/>
      <c r="F142" s="83"/>
      <c r="G142" s="82"/>
      <c r="H142" s="82"/>
      <c r="I142" s="82"/>
      <c r="J142" s="82"/>
      <c r="K142" s="82"/>
      <c r="L142" s="82"/>
      <c r="M142" s="82"/>
      <c r="N142" s="82"/>
      <c r="O142" s="82"/>
    </row>
    <row r="143">
      <c r="A143" s="11"/>
      <c r="B143" s="82"/>
      <c r="C143" s="83"/>
      <c r="D143" s="83"/>
      <c r="E143" s="83"/>
      <c r="F143" s="83"/>
      <c r="G143" s="82"/>
      <c r="H143" s="82"/>
      <c r="I143" s="82"/>
      <c r="J143" s="82"/>
      <c r="K143" s="82"/>
      <c r="L143" s="82"/>
      <c r="M143" s="82"/>
      <c r="N143" s="82"/>
      <c r="O143" s="82"/>
    </row>
    <row r="144">
      <c r="A144" s="11"/>
      <c r="B144" s="84"/>
      <c r="C144" s="85"/>
      <c r="D144" s="85"/>
      <c r="E144" s="85"/>
      <c r="F144" s="85"/>
      <c r="G144" s="84"/>
      <c r="H144" s="84"/>
      <c r="I144" s="84"/>
      <c r="J144" s="84"/>
      <c r="K144" s="84"/>
      <c r="L144" s="84"/>
      <c r="M144" s="84"/>
      <c r="N144" s="84"/>
      <c r="O144" s="84"/>
    </row>
    <row r="145">
      <c r="A145" s="11"/>
      <c r="B145" s="84"/>
      <c r="C145" s="85"/>
      <c r="D145" s="85"/>
      <c r="E145" s="85"/>
      <c r="F145" s="85"/>
      <c r="G145" s="84"/>
      <c r="H145" s="84"/>
      <c r="I145" s="84"/>
      <c r="J145" s="84"/>
      <c r="K145" s="84"/>
      <c r="L145" s="84"/>
      <c r="M145" s="84"/>
      <c r="N145" s="84"/>
      <c r="O145" s="84"/>
    </row>
    <row r="146">
      <c r="A146" s="11"/>
      <c r="B146" s="84"/>
      <c r="C146" s="85"/>
      <c r="D146" s="85"/>
      <c r="E146" s="85"/>
      <c r="F146" s="85"/>
      <c r="G146" s="84"/>
      <c r="H146" s="84"/>
      <c r="I146" s="84"/>
      <c r="J146" s="84"/>
      <c r="K146" s="84"/>
      <c r="L146" s="84"/>
      <c r="M146" s="84"/>
      <c r="N146" s="84"/>
      <c r="O146" s="84"/>
    </row>
    <row r="147">
      <c r="A147" s="11"/>
      <c r="B147" s="84"/>
      <c r="C147" s="85"/>
      <c r="D147" s="85"/>
      <c r="E147" s="85"/>
      <c r="F147" s="85"/>
      <c r="G147" s="84"/>
      <c r="H147" s="84"/>
      <c r="I147" s="84"/>
      <c r="J147" s="84"/>
      <c r="K147" s="84"/>
      <c r="L147" s="84"/>
      <c r="M147" s="84"/>
      <c r="N147" s="84"/>
      <c r="O147" s="84"/>
    </row>
    <row r="148">
      <c r="A148" s="11"/>
      <c r="B148" s="82"/>
      <c r="C148" s="83"/>
      <c r="D148" s="83"/>
      <c r="E148" s="83"/>
      <c r="F148" s="83"/>
      <c r="G148" s="82"/>
      <c r="H148" s="82"/>
      <c r="I148" s="82"/>
      <c r="J148" s="82"/>
      <c r="K148" s="82"/>
      <c r="L148" s="82"/>
      <c r="M148" s="82"/>
      <c r="N148" s="82"/>
      <c r="O148" s="82"/>
    </row>
    <row r="149">
      <c r="A149" s="11"/>
      <c r="B149" s="82"/>
      <c r="C149" s="83"/>
      <c r="D149" s="83"/>
      <c r="E149" s="83"/>
      <c r="F149" s="83"/>
      <c r="G149" s="82"/>
      <c r="H149" s="82"/>
      <c r="I149" s="82"/>
      <c r="J149" s="82"/>
      <c r="K149" s="82"/>
      <c r="L149" s="82"/>
      <c r="M149" s="82"/>
      <c r="N149" s="82"/>
      <c r="O149" s="82"/>
    </row>
    <row r="150">
      <c r="A150" s="11"/>
      <c r="B150" s="82"/>
      <c r="C150" s="83"/>
      <c r="D150" s="83"/>
      <c r="E150" s="83"/>
      <c r="F150" s="83"/>
      <c r="G150" s="82"/>
      <c r="H150" s="82"/>
      <c r="I150" s="82"/>
      <c r="J150" s="82"/>
      <c r="K150" s="82"/>
      <c r="L150" s="82"/>
      <c r="M150" s="82"/>
      <c r="N150" s="82"/>
      <c r="O150" s="82"/>
    </row>
    <row r="151">
      <c r="A151" s="11"/>
      <c r="B151" s="82"/>
      <c r="C151" s="83"/>
      <c r="D151" s="83"/>
      <c r="E151" s="83"/>
      <c r="F151" s="83"/>
      <c r="G151" s="82"/>
      <c r="H151" s="82"/>
      <c r="I151" s="82"/>
      <c r="J151" s="82"/>
      <c r="K151" s="82"/>
      <c r="L151" s="82"/>
      <c r="M151" s="82"/>
      <c r="N151" s="82"/>
      <c r="O151" s="82"/>
    </row>
    <row r="152">
      <c r="A152" s="11"/>
      <c r="B152" s="84"/>
      <c r="C152" s="85"/>
      <c r="D152" s="85"/>
      <c r="E152" s="85"/>
      <c r="F152" s="85"/>
      <c r="G152" s="84"/>
      <c r="H152" s="84"/>
      <c r="I152" s="84"/>
      <c r="J152" s="84"/>
      <c r="K152" s="84"/>
      <c r="L152" s="84"/>
      <c r="M152" s="84"/>
      <c r="N152" s="84"/>
      <c r="O152" s="84"/>
    </row>
    <row r="153">
      <c r="A153" s="11"/>
      <c r="B153" s="84"/>
      <c r="C153" s="85"/>
      <c r="D153" s="85"/>
      <c r="E153" s="85"/>
      <c r="F153" s="85"/>
      <c r="G153" s="84"/>
      <c r="H153" s="84"/>
      <c r="I153" s="84"/>
      <c r="J153" s="84"/>
      <c r="K153" s="84"/>
      <c r="L153" s="84"/>
      <c r="M153" s="84"/>
      <c r="N153" s="84"/>
      <c r="O153" s="84"/>
    </row>
    <row r="154">
      <c r="A154" s="11"/>
      <c r="B154" s="84"/>
      <c r="C154" s="85"/>
      <c r="D154" s="85"/>
      <c r="E154" s="85"/>
      <c r="F154" s="85"/>
      <c r="G154" s="84"/>
      <c r="H154" s="84"/>
      <c r="I154" s="84"/>
      <c r="J154" s="84"/>
      <c r="K154" s="84"/>
      <c r="L154" s="84"/>
      <c r="M154" s="84"/>
      <c r="N154" s="84"/>
      <c r="O154" s="84"/>
    </row>
    <row r="155">
      <c r="A155" s="11"/>
      <c r="B155" s="84"/>
      <c r="C155" s="85"/>
      <c r="D155" s="85"/>
      <c r="E155" s="85"/>
      <c r="F155" s="85"/>
      <c r="G155" s="84"/>
      <c r="H155" s="84"/>
      <c r="I155" s="84"/>
      <c r="J155" s="84"/>
      <c r="K155" s="84"/>
      <c r="L155" s="84"/>
      <c r="M155" s="84"/>
      <c r="N155" s="84"/>
      <c r="O155" s="84"/>
    </row>
    <row r="156">
      <c r="A156" s="11"/>
      <c r="B156" s="82"/>
      <c r="C156" s="83"/>
      <c r="D156" s="83"/>
      <c r="E156" s="83"/>
      <c r="F156" s="83"/>
      <c r="G156" s="82"/>
      <c r="H156" s="82"/>
      <c r="I156" s="82"/>
      <c r="J156" s="82"/>
      <c r="K156" s="82"/>
      <c r="L156" s="82"/>
      <c r="M156" s="82"/>
      <c r="N156" s="82"/>
      <c r="O156" s="82"/>
    </row>
    <row r="157">
      <c r="A157" s="11"/>
      <c r="B157" s="82"/>
      <c r="C157" s="83"/>
      <c r="D157" s="83"/>
      <c r="E157" s="83"/>
      <c r="F157" s="83"/>
      <c r="G157" s="82"/>
      <c r="H157" s="82"/>
      <c r="I157" s="82"/>
      <c r="J157" s="82"/>
      <c r="K157" s="82"/>
      <c r="L157" s="82"/>
      <c r="M157" s="82"/>
      <c r="N157" s="82"/>
      <c r="O157" s="82"/>
    </row>
    <row r="158">
      <c r="A158" s="11"/>
      <c r="B158" s="82"/>
      <c r="C158" s="83"/>
      <c r="D158" s="83"/>
      <c r="E158" s="83"/>
      <c r="F158" s="83"/>
      <c r="G158" s="82"/>
      <c r="H158" s="82"/>
      <c r="I158" s="82"/>
      <c r="J158" s="82"/>
      <c r="K158" s="82"/>
      <c r="L158" s="82"/>
      <c r="M158" s="82"/>
      <c r="N158" s="82"/>
      <c r="O158" s="82"/>
    </row>
    <row r="159">
      <c r="A159" s="11"/>
      <c r="B159" s="82"/>
      <c r="C159" s="83"/>
      <c r="D159" s="83"/>
      <c r="E159" s="83"/>
      <c r="F159" s="83"/>
      <c r="G159" s="82"/>
      <c r="H159" s="82"/>
      <c r="I159" s="82"/>
      <c r="J159" s="82"/>
      <c r="K159" s="82"/>
      <c r="L159" s="82"/>
      <c r="M159" s="82"/>
      <c r="N159" s="82"/>
      <c r="O159" s="82"/>
    </row>
    <row r="160">
      <c r="A160" s="11"/>
      <c r="B160" s="84"/>
      <c r="C160" s="85"/>
      <c r="D160" s="85"/>
      <c r="E160" s="85"/>
      <c r="F160" s="85"/>
      <c r="G160" s="84"/>
      <c r="H160" s="84"/>
      <c r="I160" s="84"/>
      <c r="J160" s="84"/>
      <c r="K160" s="84"/>
      <c r="L160" s="84"/>
      <c r="M160" s="84"/>
      <c r="N160" s="84"/>
      <c r="O160" s="84"/>
    </row>
    <row r="161">
      <c r="A161" s="11"/>
      <c r="B161" s="84"/>
      <c r="C161" s="85"/>
      <c r="D161" s="85"/>
      <c r="E161" s="85"/>
      <c r="F161" s="85"/>
      <c r="G161" s="84"/>
      <c r="H161" s="84"/>
      <c r="I161" s="84"/>
      <c r="J161" s="84"/>
      <c r="K161" s="84"/>
      <c r="L161" s="84"/>
      <c r="M161" s="84"/>
      <c r="N161" s="84"/>
      <c r="O161" s="84"/>
    </row>
    <row r="162">
      <c r="A162" s="11"/>
      <c r="B162" s="84"/>
      <c r="C162" s="85"/>
      <c r="D162" s="85"/>
      <c r="E162" s="85"/>
      <c r="F162" s="85"/>
      <c r="G162" s="84"/>
      <c r="H162" s="84"/>
      <c r="I162" s="84"/>
      <c r="J162" s="84"/>
      <c r="K162" s="84"/>
      <c r="L162" s="84"/>
      <c r="M162" s="84"/>
      <c r="N162" s="84"/>
      <c r="O162" s="84"/>
    </row>
    <row r="163">
      <c r="A163" s="11"/>
      <c r="B163" s="84"/>
      <c r="C163" s="85"/>
      <c r="D163" s="85"/>
      <c r="E163" s="85"/>
      <c r="F163" s="85"/>
      <c r="G163" s="84"/>
      <c r="H163" s="84"/>
      <c r="I163" s="84"/>
      <c r="J163" s="84"/>
      <c r="K163" s="84"/>
      <c r="L163" s="84"/>
      <c r="M163" s="84"/>
      <c r="N163" s="84"/>
      <c r="O163" s="84"/>
    </row>
    <row r="164">
      <c r="A164" s="11"/>
      <c r="B164" s="17"/>
      <c r="C164" s="11"/>
      <c r="D164" s="11"/>
      <c r="E164" s="11"/>
      <c r="F164" s="11"/>
      <c r="G164" s="17"/>
      <c r="H164" s="17"/>
      <c r="I164" s="17"/>
      <c r="J164" s="17"/>
      <c r="K164" s="17"/>
      <c r="L164" s="17"/>
      <c r="M164" s="17"/>
      <c r="N164" s="17"/>
    </row>
    <row r="165">
      <c r="A165" s="11"/>
      <c r="B165" s="17"/>
      <c r="C165" s="11"/>
      <c r="D165" s="11"/>
      <c r="E165" s="11"/>
      <c r="F165" s="11"/>
      <c r="G165" s="17"/>
      <c r="H165" s="17"/>
      <c r="I165" s="17"/>
      <c r="J165" s="17"/>
      <c r="K165" s="17"/>
      <c r="L165" s="17"/>
      <c r="M165" s="17"/>
      <c r="N165" s="17"/>
    </row>
    <row r="166">
      <c r="A166" s="11"/>
      <c r="B166" s="17"/>
      <c r="C166" s="11"/>
      <c r="D166" s="11"/>
      <c r="E166" s="11"/>
      <c r="F166" s="11"/>
      <c r="G166" s="17"/>
      <c r="H166" s="17"/>
      <c r="I166" s="17"/>
      <c r="J166" s="17"/>
      <c r="K166" s="17"/>
      <c r="L166" s="17"/>
      <c r="M166" s="17"/>
      <c r="N166" s="17"/>
    </row>
    <row r="167">
      <c r="A167" s="11"/>
      <c r="B167" s="17"/>
      <c r="C167" s="11"/>
      <c r="D167" s="11"/>
      <c r="E167" s="11"/>
      <c r="F167" s="11"/>
      <c r="G167" s="17"/>
      <c r="H167" s="17"/>
      <c r="I167" s="17"/>
      <c r="J167" s="17"/>
      <c r="K167" s="17"/>
      <c r="L167" s="17"/>
      <c r="M167" s="17"/>
      <c r="N167" s="17"/>
    </row>
    <row r="168">
      <c r="A168" s="11"/>
      <c r="B168" s="17"/>
      <c r="C168" s="11"/>
      <c r="D168" s="11"/>
      <c r="E168" s="11"/>
      <c r="F168" s="11"/>
      <c r="G168" s="17"/>
      <c r="H168" s="17"/>
      <c r="I168" s="17"/>
      <c r="J168" s="17"/>
      <c r="K168" s="17"/>
      <c r="L168" s="17"/>
      <c r="M168" s="17"/>
      <c r="N168" s="17"/>
    </row>
    <row r="169">
      <c r="A169" s="11"/>
      <c r="B169" s="17"/>
      <c r="C169" s="11"/>
      <c r="D169" s="11"/>
      <c r="E169" s="11"/>
      <c r="F169" s="11"/>
      <c r="G169" s="17"/>
      <c r="H169" s="17"/>
      <c r="I169" s="17"/>
      <c r="J169" s="17"/>
      <c r="K169" s="17"/>
      <c r="L169" s="17"/>
      <c r="M169" s="17"/>
      <c r="N169" s="17"/>
    </row>
    <row r="170">
      <c r="A170" s="11"/>
      <c r="B170" s="17"/>
      <c r="C170" s="11"/>
      <c r="D170" s="11"/>
      <c r="E170" s="11"/>
      <c r="F170" s="11"/>
      <c r="G170" s="17"/>
      <c r="H170" s="17"/>
      <c r="I170" s="17"/>
      <c r="J170" s="17"/>
      <c r="K170" s="17"/>
      <c r="L170" s="17"/>
      <c r="M170" s="17"/>
      <c r="N170" s="17"/>
    </row>
    <row r="171">
      <c r="A171" s="11"/>
      <c r="B171" s="17"/>
      <c r="C171" s="11"/>
      <c r="D171" s="11"/>
      <c r="E171" s="11"/>
      <c r="F171" s="11"/>
      <c r="G171" s="17"/>
      <c r="H171" s="17"/>
      <c r="I171" s="17"/>
      <c r="J171" s="17"/>
      <c r="K171" s="17"/>
      <c r="L171" s="17"/>
      <c r="M171" s="17"/>
      <c r="N171" s="17"/>
    </row>
    <row r="172">
      <c r="A172" s="11"/>
      <c r="B172" s="17"/>
      <c r="C172" s="11"/>
      <c r="D172" s="11"/>
      <c r="E172" s="11"/>
      <c r="F172" s="11"/>
      <c r="G172" s="17"/>
      <c r="H172" s="17"/>
      <c r="I172" s="17"/>
      <c r="J172" s="17"/>
      <c r="K172" s="17"/>
      <c r="L172" s="17"/>
      <c r="M172" s="17"/>
      <c r="N172" s="17"/>
    </row>
    <row r="173">
      <c r="A173" s="11"/>
      <c r="B173" s="17"/>
      <c r="C173" s="11"/>
      <c r="D173" s="11"/>
      <c r="E173" s="11"/>
      <c r="F173" s="11"/>
      <c r="G173" s="17"/>
      <c r="H173" s="17"/>
      <c r="I173" s="17"/>
      <c r="J173" s="17"/>
      <c r="K173" s="17"/>
      <c r="L173" s="17"/>
      <c r="M173" s="17"/>
      <c r="N173" s="17"/>
    </row>
    <row r="174">
      <c r="A174" s="11"/>
      <c r="B174" s="10" t="s">
        <v>166</v>
      </c>
      <c r="C174" s="11"/>
      <c r="D174" s="11"/>
      <c r="E174" s="11"/>
      <c r="F174" s="11"/>
    </row>
    <row r="175">
      <c r="A175" s="11"/>
      <c r="B175" s="27" t="s">
        <v>31</v>
      </c>
      <c r="C175" s="29" t="s">
        <v>2</v>
      </c>
      <c r="D175" s="29" t="s">
        <v>4</v>
      </c>
      <c r="E175" s="29"/>
      <c r="F175" s="29" t="s">
        <v>33</v>
      </c>
      <c r="G175" s="29" t="s">
        <v>35</v>
      </c>
      <c r="H175" s="29" t="s">
        <v>36</v>
      </c>
      <c r="I175" s="29" t="s">
        <v>6</v>
      </c>
      <c r="J175" s="29" t="s">
        <v>7</v>
      </c>
      <c r="K175" s="29" t="s">
        <v>8</v>
      </c>
      <c r="L175" s="29" t="s">
        <v>2</v>
      </c>
      <c r="M175" s="29" t="s">
        <v>4</v>
      </c>
      <c r="N175" s="28" t="s">
        <v>2</v>
      </c>
      <c r="O175" s="28" t="s">
        <v>4</v>
      </c>
    </row>
    <row r="176">
      <c r="A176" s="11"/>
      <c r="B176" s="82" t="str">
        <f>IFERROR(__xludf.DUMMYFUNCTION("QUERY(B5:O70, ""Select B, C, D, E, F, G, H, I, J, K, L, M, N   where F = 0"")"),"#N/A")</f>
        <v>#N/A</v>
      </c>
      <c r="C176" s="83"/>
      <c r="D176" s="83"/>
      <c r="E176" s="83"/>
      <c r="F176" s="83"/>
      <c r="G176" s="82"/>
      <c r="H176" s="82"/>
      <c r="I176" s="82"/>
      <c r="J176" s="82"/>
      <c r="K176" s="82"/>
      <c r="L176" s="82"/>
      <c r="M176" s="82"/>
      <c r="N176" s="82"/>
      <c r="O176" s="82"/>
    </row>
    <row r="177">
      <c r="A177" s="11"/>
      <c r="B177" s="82"/>
      <c r="C177" s="83"/>
      <c r="D177" s="83"/>
      <c r="E177" s="83"/>
      <c r="F177" s="83"/>
      <c r="G177" s="82"/>
      <c r="H177" s="82"/>
      <c r="I177" s="82"/>
      <c r="J177" s="82"/>
      <c r="K177" s="82"/>
      <c r="L177" s="82"/>
      <c r="M177" s="82"/>
      <c r="N177" s="82"/>
      <c r="O177" s="82"/>
    </row>
    <row r="178">
      <c r="A178" s="11"/>
      <c r="B178" s="82"/>
      <c r="C178" s="83"/>
      <c r="D178" s="83"/>
      <c r="E178" s="83"/>
      <c r="F178" s="83"/>
      <c r="G178" s="82"/>
      <c r="H178" s="82"/>
      <c r="I178" s="82"/>
      <c r="J178" s="82"/>
      <c r="K178" s="82"/>
      <c r="L178" s="82"/>
      <c r="M178" s="82"/>
      <c r="N178" s="82"/>
      <c r="O178" s="82"/>
    </row>
    <row r="179">
      <c r="A179" s="11"/>
      <c r="B179" s="82"/>
      <c r="C179" s="83"/>
      <c r="D179" s="83"/>
      <c r="E179" s="83"/>
      <c r="F179" s="83"/>
      <c r="G179" s="82"/>
      <c r="H179" s="82"/>
      <c r="I179" s="82"/>
      <c r="J179" s="82"/>
      <c r="K179" s="82"/>
      <c r="L179" s="82"/>
      <c r="M179" s="82"/>
      <c r="N179" s="82"/>
      <c r="O179" s="82"/>
    </row>
    <row r="180">
      <c r="A180" s="11"/>
      <c r="B180" s="82"/>
      <c r="C180" s="83"/>
      <c r="D180" s="83"/>
      <c r="E180" s="83"/>
      <c r="F180" s="83"/>
      <c r="G180" s="82"/>
      <c r="H180" s="82"/>
      <c r="I180" s="82"/>
      <c r="J180" s="82"/>
      <c r="K180" s="82"/>
      <c r="L180" s="82"/>
      <c r="M180" s="82"/>
      <c r="N180" s="82"/>
      <c r="O180" s="82"/>
    </row>
    <row r="181">
      <c r="A181" s="11"/>
      <c r="B181" s="82"/>
      <c r="C181" s="83"/>
      <c r="D181" s="83"/>
      <c r="E181" s="83"/>
      <c r="F181" s="83"/>
      <c r="G181" s="82"/>
      <c r="H181" s="82"/>
      <c r="I181" s="82"/>
      <c r="J181" s="82"/>
      <c r="K181" s="82"/>
      <c r="L181" s="82"/>
      <c r="M181" s="82"/>
      <c r="N181" s="82"/>
      <c r="O181" s="82"/>
    </row>
    <row r="182">
      <c r="A182" s="11"/>
      <c r="B182" s="82"/>
      <c r="C182" s="83"/>
      <c r="D182" s="83"/>
      <c r="E182" s="83"/>
      <c r="F182" s="83"/>
      <c r="G182" s="82"/>
      <c r="H182" s="82"/>
      <c r="I182" s="82"/>
      <c r="J182" s="82"/>
      <c r="K182" s="82"/>
      <c r="L182" s="82"/>
      <c r="M182" s="82"/>
      <c r="N182" s="82"/>
      <c r="O182" s="82"/>
    </row>
    <row r="183">
      <c r="A183" s="11"/>
      <c r="B183" s="82"/>
      <c r="C183" s="83"/>
      <c r="D183" s="83"/>
      <c r="E183" s="83"/>
      <c r="F183" s="83"/>
      <c r="G183" s="82"/>
      <c r="H183" s="82"/>
      <c r="I183" s="82"/>
      <c r="J183" s="82"/>
      <c r="K183" s="82"/>
      <c r="L183" s="82"/>
      <c r="M183" s="82"/>
      <c r="N183" s="82"/>
      <c r="O183" s="82"/>
    </row>
    <row r="184">
      <c r="A184" s="11"/>
      <c r="B184" s="82"/>
      <c r="C184" s="83"/>
      <c r="D184" s="83"/>
      <c r="E184" s="83"/>
      <c r="F184" s="83"/>
      <c r="G184" s="82"/>
      <c r="H184" s="82"/>
      <c r="I184" s="82"/>
      <c r="J184" s="82"/>
      <c r="K184" s="82"/>
      <c r="L184" s="82"/>
      <c r="M184" s="82"/>
      <c r="N184" s="82"/>
      <c r="O184" s="82"/>
    </row>
    <row r="185">
      <c r="A185" s="11"/>
      <c r="B185" s="82"/>
      <c r="C185" s="83"/>
      <c r="D185" s="83"/>
      <c r="E185" s="83"/>
      <c r="F185" s="83"/>
      <c r="G185" s="82"/>
      <c r="H185" s="82"/>
      <c r="I185" s="82"/>
      <c r="J185" s="82"/>
      <c r="K185" s="82"/>
      <c r="L185" s="82"/>
      <c r="M185" s="82"/>
      <c r="N185" s="82"/>
      <c r="O185" s="82"/>
    </row>
    <row r="186">
      <c r="A186" s="11"/>
      <c r="B186" s="82"/>
      <c r="C186" s="83"/>
      <c r="D186" s="83"/>
      <c r="E186" s="83"/>
      <c r="F186" s="83"/>
      <c r="G186" s="82"/>
      <c r="H186" s="82"/>
      <c r="I186" s="82"/>
      <c r="J186" s="82"/>
      <c r="K186" s="82"/>
      <c r="L186" s="82"/>
      <c r="M186" s="82"/>
      <c r="N186" s="82"/>
      <c r="O186" s="82"/>
    </row>
    <row r="187">
      <c r="A187" s="11"/>
      <c r="B187" s="82"/>
      <c r="C187" s="83"/>
      <c r="D187" s="83"/>
      <c r="E187" s="83"/>
      <c r="F187" s="83"/>
      <c r="G187" s="82"/>
      <c r="H187" s="82"/>
      <c r="I187" s="82"/>
      <c r="J187" s="82"/>
      <c r="K187" s="82"/>
      <c r="L187" s="82"/>
      <c r="M187" s="82"/>
      <c r="N187" s="82"/>
      <c r="O187" s="82"/>
    </row>
    <row r="188">
      <c r="A188" s="11"/>
      <c r="B188" s="82"/>
      <c r="C188" s="83"/>
      <c r="D188" s="83"/>
      <c r="E188" s="83"/>
      <c r="F188" s="83"/>
      <c r="G188" s="82"/>
      <c r="H188" s="82"/>
      <c r="I188" s="82"/>
      <c r="J188" s="82"/>
      <c r="K188" s="82"/>
      <c r="L188" s="82"/>
      <c r="M188" s="82"/>
      <c r="N188" s="82"/>
      <c r="O188" s="82"/>
    </row>
    <row r="189">
      <c r="A189" s="11"/>
      <c r="B189" s="82"/>
      <c r="C189" s="83"/>
      <c r="D189" s="83"/>
      <c r="E189" s="83"/>
      <c r="F189" s="83"/>
      <c r="G189" s="82"/>
      <c r="H189" s="82"/>
      <c r="I189" s="82"/>
      <c r="J189" s="82"/>
      <c r="K189" s="82"/>
      <c r="L189" s="82"/>
      <c r="M189" s="82"/>
      <c r="N189" s="82"/>
      <c r="O189" s="82"/>
    </row>
    <row r="190">
      <c r="A190" s="11"/>
      <c r="B190" s="82"/>
      <c r="C190" s="83"/>
      <c r="D190" s="83"/>
      <c r="E190" s="83"/>
      <c r="F190" s="83"/>
      <c r="G190" s="82"/>
      <c r="H190" s="82"/>
      <c r="I190" s="82"/>
      <c r="J190" s="82"/>
      <c r="K190" s="82"/>
      <c r="L190" s="82"/>
      <c r="M190" s="82"/>
      <c r="N190" s="82"/>
      <c r="O190" s="82"/>
    </row>
    <row r="191">
      <c r="A191" s="11"/>
      <c r="B191" s="82"/>
      <c r="C191" s="83"/>
      <c r="D191" s="83"/>
      <c r="E191" s="83"/>
      <c r="F191" s="83"/>
      <c r="G191" s="82"/>
      <c r="H191" s="82"/>
      <c r="I191" s="82"/>
      <c r="J191" s="82"/>
      <c r="K191" s="82"/>
      <c r="L191" s="82"/>
      <c r="M191" s="82"/>
      <c r="N191" s="82"/>
      <c r="O191" s="82"/>
    </row>
    <row r="192">
      <c r="A192" s="11"/>
      <c r="B192" s="82"/>
      <c r="C192" s="83"/>
      <c r="D192" s="83"/>
      <c r="E192" s="83"/>
      <c r="F192" s="83"/>
      <c r="G192" s="82"/>
      <c r="H192" s="82"/>
      <c r="I192" s="82"/>
      <c r="J192" s="82"/>
      <c r="K192" s="82"/>
      <c r="L192" s="82"/>
      <c r="M192" s="82"/>
      <c r="N192" s="82"/>
      <c r="O192" s="82"/>
    </row>
    <row r="193">
      <c r="A193" s="11"/>
      <c r="B193" s="82"/>
      <c r="C193" s="83"/>
      <c r="D193" s="83"/>
      <c r="E193" s="83"/>
      <c r="F193" s="83"/>
      <c r="G193" s="82"/>
      <c r="H193" s="82"/>
      <c r="I193" s="82"/>
      <c r="J193" s="82"/>
      <c r="K193" s="82"/>
      <c r="L193" s="82"/>
      <c r="M193" s="82"/>
      <c r="N193" s="82"/>
      <c r="O193" s="82"/>
    </row>
    <row r="194">
      <c r="A194" s="11"/>
      <c r="B194" s="82"/>
      <c r="C194" s="83"/>
      <c r="D194" s="83"/>
      <c r="E194" s="83"/>
      <c r="F194" s="83"/>
      <c r="G194" s="82"/>
      <c r="H194" s="82"/>
      <c r="I194" s="82"/>
      <c r="J194" s="82"/>
      <c r="K194" s="82"/>
      <c r="L194" s="82"/>
      <c r="M194" s="82"/>
      <c r="N194" s="82"/>
      <c r="O194" s="82"/>
    </row>
    <row r="195">
      <c r="A195" s="11"/>
      <c r="B195" s="82"/>
      <c r="C195" s="83"/>
      <c r="D195" s="83"/>
      <c r="E195" s="83"/>
      <c r="F195" s="83"/>
      <c r="G195" s="82"/>
      <c r="H195" s="82"/>
      <c r="I195" s="82"/>
      <c r="J195" s="82"/>
      <c r="K195" s="82"/>
      <c r="L195" s="82"/>
      <c r="M195" s="82"/>
      <c r="N195" s="82"/>
      <c r="O195" s="82"/>
    </row>
    <row r="196">
      <c r="A196" s="11"/>
      <c r="B196" s="82"/>
      <c r="C196" s="83"/>
      <c r="D196" s="83"/>
      <c r="E196" s="83"/>
      <c r="F196" s="83"/>
      <c r="G196" s="82"/>
      <c r="H196" s="82"/>
      <c r="I196" s="82"/>
      <c r="J196" s="82"/>
      <c r="K196" s="82"/>
      <c r="L196" s="82"/>
      <c r="M196" s="82"/>
      <c r="N196" s="82"/>
      <c r="O196" s="82"/>
    </row>
    <row r="197">
      <c r="A197" s="11"/>
      <c r="B197" s="82"/>
      <c r="C197" s="83"/>
      <c r="D197" s="83"/>
      <c r="E197" s="83"/>
      <c r="F197" s="83"/>
      <c r="G197" s="82"/>
      <c r="H197" s="82"/>
      <c r="I197" s="82"/>
      <c r="J197" s="82"/>
      <c r="K197" s="82"/>
      <c r="L197" s="82"/>
      <c r="M197" s="82"/>
      <c r="N197" s="82"/>
      <c r="O197" s="82"/>
    </row>
    <row r="198">
      <c r="A198" s="11"/>
      <c r="B198" s="82"/>
      <c r="C198" s="83"/>
      <c r="D198" s="83"/>
      <c r="E198" s="83"/>
      <c r="F198" s="83"/>
      <c r="G198" s="82"/>
      <c r="H198" s="82"/>
      <c r="I198" s="82"/>
      <c r="J198" s="82"/>
      <c r="K198" s="82"/>
      <c r="L198" s="82"/>
      <c r="M198" s="82"/>
      <c r="N198" s="82"/>
      <c r="O198" s="82"/>
    </row>
    <row r="199">
      <c r="A199" s="11"/>
      <c r="B199" s="82"/>
      <c r="C199" s="83"/>
      <c r="D199" s="83"/>
      <c r="E199" s="83"/>
      <c r="F199" s="83"/>
      <c r="G199" s="82"/>
      <c r="H199" s="82"/>
      <c r="I199" s="82"/>
      <c r="J199" s="82"/>
      <c r="K199" s="82"/>
      <c r="L199" s="82"/>
      <c r="M199" s="82"/>
      <c r="N199" s="82"/>
      <c r="O199" s="82"/>
    </row>
    <row r="200">
      <c r="A200" s="11"/>
      <c r="B200" s="82"/>
      <c r="C200" s="83"/>
      <c r="D200" s="83"/>
      <c r="E200" s="83"/>
      <c r="F200" s="83"/>
      <c r="G200" s="82"/>
      <c r="H200" s="82"/>
      <c r="I200" s="82"/>
      <c r="J200" s="82"/>
      <c r="K200" s="82"/>
      <c r="L200" s="82"/>
      <c r="M200" s="82"/>
      <c r="N200" s="82"/>
      <c r="O200" s="82"/>
    </row>
    <row r="201">
      <c r="A201" s="11"/>
      <c r="B201" s="82"/>
      <c r="C201" s="83"/>
      <c r="D201" s="83"/>
      <c r="E201" s="83"/>
      <c r="F201" s="83"/>
      <c r="G201" s="82"/>
      <c r="H201" s="82"/>
      <c r="I201" s="82"/>
      <c r="J201" s="82"/>
      <c r="K201" s="82"/>
      <c r="L201" s="82"/>
      <c r="M201" s="82"/>
      <c r="N201" s="82"/>
      <c r="O201" s="82"/>
    </row>
    <row r="202">
      <c r="A202" s="11"/>
      <c r="B202" s="82"/>
      <c r="C202" s="83"/>
      <c r="D202" s="83"/>
      <c r="E202" s="83"/>
      <c r="F202" s="83"/>
      <c r="G202" s="82"/>
      <c r="H202" s="82"/>
      <c r="I202" s="82"/>
      <c r="J202" s="82"/>
      <c r="K202" s="82"/>
      <c r="L202" s="82"/>
      <c r="M202" s="82"/>
      <c r="N202" s="82"/>
      <c r="O202" s="82"/>
    </row>
    <row r="203">
      <c r="A203" s="11"/>
      <c r="B203" s="82"/>
      <c r="C203" s="83"/>
      <c r="D203" s="83"/>
      <c r="E203" s="83"/>
      <c r="F203" s="83"/>
      <c r="G203" s="82"/>
      <c r="H203" s="82"/>
      <c r="I203" s="82"/>
      <c r="J203" s="82"/>
      <c r="K203" s="82"/>
      <c r="L203" s="82"/>
      <c r="M203" s="82"/>
      <c r="N203" s="82"/>
      <c r="O203" s="82"/>
    </row>
    <row r="204">
      <c r="A204" s="11"/>
      <c r="B204" s="82"/>
      <c r="C204" s="83"/>
      <c r="D204" s="83"/>
      <c r="E204" s="83"/>
      <c r="F204" s="83"/>
      <c r="G204" s="82"/>
      <c r="H204" s="82"/>
      <c r="I204" s="82"/>
      <c r="J204" s="82"/>
      <c r="K204" s="82"/>
      <c r="L204" s="82"/>
      <c r="M204" s="82"/>
      <c r="N204" s="82"/>
      <c r="O204" s="82"/>
    </row>
    <row r="205">
      <c r="A205" s="11"/>
      <c r="B205" s="82"/>
      <c r="C205" s="83"/>
      <c r="D205" s="83"/>
      <c r="E205" s="83"/>
      <c r="F205" s="83"/>
      <c r="G205" s="82"/>
      <c r="H205" s="82"/>
      <c r="I205" s="82"/>
      <c r="J205" s="82"/>
      <c r="K205" s="82"/>
      <c r="L205" s="82"/>
      <c r="M205" s="82"/>
      <c r="N205" s="82"/>
      <c r="O205" s="82"/>
    </row>
    <row r="206">
      <c r="A206" s="11"/>
      <c r="B206" s="82"/>
      <c r="C206" s="83"/>
      <c r="D206" s="83"/>
      <c r="E206" s="83"/>
      <c r="F206" s="83"/>
      <c r="G206" s="82"/>
      <c r="H206" s="82"/>
      <c r="I206" s="82"/>
      <c r="J206" s="82"/>
      <c r="K206" s="82"/>
      <c r="L206" s="82"/>
      <c r="M206" s="82"/>
      <c r="N206" s="82"/>
      <c r="O206" s="82"/>
    </row>
    <row r="207">
      <c r="A207" s="11"/>
      <c r="B207" s="82"/>
      <c r="C207" s="86"/>
      <c r="D207" s="87"/>
      <c r="E207" s="86"/>
      <c r="F207" s="86"/>
      <c r="G207" s="88"/>
      <c r="H207" s="88"/>
      <c r="I207" s="88"/>
      <c r="J207" s="88"/>
      <c r="K207" s="88"/>
      <c r="L207" s="88"/>
      <c r="M207" s="88"/>
      <c r="N207" s="88"/>
      <c r="O207" s="89"/>
    </row>
    <row r="208">
      <c r="A208" s="11"/>
      <c r="B208" s="82"/>
      <c r="C208" s="86"/>
      <c r="D208" s="87"/>
      <c r="E208" s="86"/>
      <c r="F208" s="86"/>
      <c r="G208" s="88"/>
      <c r="H208" s="88"/>
      <c r="I208" s="88"/>
      <c r="J208" s="88"/>
      <c r="K208" s="88"/>
      <c r="L208" s="88"/>
      <c r="M208" s="88"/>
      <c r="N208" s="88"/>
      <c r="O208" s="89"/>
    </row>
    <row r="209">
      <c r="A209" s="11"/>
      <c r="B209" s="82"/>
      <c r="C209" s="86"/>
      <c r="D209" s="87"/>
      <c r="E209" s="86"/>
      <c r="F209" s="86"/>
      <c r="G209" s="88"/>
      <c r="H209" s="88"/>
      <c r="I209" s="88"/>
      <c r="J209" s="88"/>
      <c r="K209" s="88"/>
      <c r="L209" s="88"/>
      <c r="M209" s="88"/>
      <c r="N209" s="88"/>
      <c r="O209" s="89"/>
    </row>
    <row r="210">
      <c r="A210" s="11"/>
      <c r="B210" s="82"/>
      <c r="C210" s="86"/>
      <c r="D210" s="87"/>
      <c r="E210" s="86"/>
      <c r="F210" s="86"/>
      <c r="G210" s="88"/>
      <c r="H210" s="88"/>
      <c r="I210" s="88"/>
      <c r="J210" s="88"/>
      <c r="K210" s="88"/>
      <c r="L210" s="88"/>
      <c r="M210" s="88"/>
      <c r="N210" s="88"/>
      <c r="O210" s="89"/>
    </row>
    <row r="211">
      <c r="A211" s="11"/>
      <c r="B211" s="82"/>
      <c r="C211" s="86"/>
      <c r="D211" s="87"/>
      <c r="E211" s="86"/>
      <c r="F211" s="86"/>
      <c r="G211" s="88"/>
      <c r="H211" s="88"/>
      <c r="I211" s="88"/>
      <c r="J211" s="88"/>
      <c r="K211" s="88"/>
      <c r="L211" s="88"/>
      <c r="M211" s="88"/>
      <c r="N211" s="88"/>
      <c r="O211" s="89"/>
    </row>
    <row r="212">
      <c r="A212" s="11"/>
      <c r="B212" s="82"/>
      <c r="C212" s="86"/>
      <c r="D212" s="87"/>
      <c r="E212" s="86"/>
      <c r="F212" s="86"/>
      <c r="G212" s="88"/>
      <c r="H212" s="88"/>
      <c r="I212" s="88"/>
      <c r="J212" s="88"/>
      <c r="K212" s="88"/>
      <c r="L212" s="88"/>
      <c r="M212" s="88"/>
      <c r="N212" s="88"/>
      <c r="O212" s="89"/>
    </row>
    <row r="213">
      <c r="A213" s="11"/>
      <c r="B213" s="82"/>
      <c r="C213" s="86"/>
      <c r="D213" s="87"/>
      <c r="E213" s="86"/>
      <c r="F213" s="86"/>
      <c r="G213" s="88"/>
      <c r="H213" s="88"/>
      <c r="I213" s="88"/>
      <c r="J213" s="88"/>
      <c r="K213" s="88"/>
      <c r="L213" s="88"/>
      <c r="M213" s="88"/>
      <c r="N213" s="88"/>
      <c r="O213" s="89"/>
    </row>
    <row r="214">
      <c r="A214" s="11"/>
      <c r="B214" s="82"/>
      <c r="C214" s="86"/>
      <c r="D214" s="87"/>
      <c r="E214" s="86"/>
      <c r="F214" s="86"/>
      <c r="G214" s="88"/>
      <c r="H214" s="88"/>
      <c r="I214" s="88"/>
      <c r="J214" s="88"/>
      <c r="K214" s="88"/>
      <c r="L214" s="88"/>
      <c r="M214" s="88"/>
      <c r="N214" s="88"/>
      <c r="O214" s="89"/>
    </row>
    <row r="215">
      <c r="A215" s="11"/>
      <c r="B215" s="82"/>
      <c r="C215" s="86"/>
      <c r="D215" s="87"/>
      <c r="E215" s="86"/>
      <c r="F215" s="86"/>
      <c r="G215" s="88"/>
      <c r="H215" s="88"/>
      <c r="I215" s="88"/>
      <c r="J215" s="88"/>
      <c r="K215" s="88"/>
      <c r="L215" s="88"/>
      <c r="M215" s="88"/>
      <c r="N215" s="88"/>
      <c r="O215" s="89"/>
    </row>
    <row r="216">
      <c r="A216" s="11"/>
      <c r="B216" s="82"/>
      <c r="C216" s="86"/>
      <c r="D216" s="87"/>
      <c r="E216" s="86"/>
      <c r="F216" s="86"/>
      <c r="G216" s="88"/>
      <c r="H216" s="88"/>
      <c r="I216" s="88"/>
      <c r="J216" s="88"/>
      <c r="K216" s="88"/>
      <c r="L216" s="88"/>
      <c r="M216" s="88"/>
      <c r="N216" s="88"/>
      <c r="O216" s="89"/>
    </row>
    <row r="217">
      <c r="A217" s="11"/>
      <c r="B217" s="82"/>
      <c r="C217" s="86"/>
      <c r="D217" s="87"/>
      <c r="E217" s="86"/>
      <c r="F217" s="86"/>
      <c r="G217" s="88"/>
      <c r="H217" s="88"/>
      <c r="I217" s="88"/>
      <c r="J217" s="88"/>
      <c r="K217" s="88"/>
      <c r="L217" s="88"/>
      <c r="M217" s="88"/>
      <c r="N217" s="88"/>
      <c r="O217" s="89"/>
    </row>
    <row r="218">
      <c r="A218" s="11"/>
      <c r="B218" s="82"/>
      <c r="C218" s="86"/>
      <c r="D218" s="87"/>
      <c r="E218" s="86"/>
      <c r="F218" s="86"/>
      <c r="G218" s="88"/>
      <c r="H218" s="88"/>
      <c r="I218" s="88"/>
      <c r="J218" s="88"/>
      <c r="K218" s="88"/>
      <c r="L218" s="88"/>
      <c r="M218" s="88"/>
      <c r="N218" s="88"/>
      <c r="O218" s="89"/>
    </row>
    <row r="219">
      <c r="A219" s="11"/>
      <c r="B219" s="82"/>
      <c r="C219" s="86"/>
      <c r="D219" s="87"/>
      <c r="E219" s="86"/>
      <c r="F219" s="86"/>
      <c r="G219" s="88"/>
      <c r="H219" s="88"/>
      <c r="I219" s="88"/>
      <c r="J219" s="88"/>
      <c r="K219" s="88"/>
      <c r="L219" s="88"/>
      <c r="M219" s="88"/>
      <c r="N219" s="88"/>
      <c r="O219" s="89"/>
    </row>
    <row r="220">
      <c r="A220" s="11"/>
      <c r="B220" s="82"/>
      <c r="C220" s="86"/>
      <c r="D220" s="87"/>
      <c r="E220" s="86"/>
      <c r="F220" s="86"/>
      <c r="G220" s="88"/>
      <c r="H220" s="88"/>
      <c r="I220" s="88"/>
      <c r="J220" s="88"/>
      <c r="K220" s="88"/>
      <c r="L220" s="88"/>
      <c r="M220" s="88"/>
      <c r="N220" s="88"/>
      <c r="O220" s="89"/>
    </row>
    <row r="221">
      <c r="A221" s="11"/>
      <c r="B221" s="82"/>
      <c r="C221" s="86"/>
      <c r="D221" s="87"/>
      <c r="E221" s="86"/>
      <c r="F221" s="86"/>
      <c r="G221" s="88"/>
      <c r="H221" s="88"/>
      <c r="I221" s="88"/>
      <c r="J221" s="88"/>
      <c r="K221" s="88"/>
      <c r="L221" s="88"/>
      <c r="M221" s="88"/>
      <c r="N221" s="88"/>
      <c r="O221" s="89"/>
    </row>
    <row r="222">
      <c r="A222" s="11"/>
      <c r="B222" s="82"/>
      <c r="C222" s="86"/>
      <c r="D222" s="87"/>
      <c r="E222" s="86"/>
      <c r="F222" s="86"/>
      <c r="G222" s="88"/>
      <c r="H222" s="88"/>
      <c r="I222" s="88"/>
      <c r="J222" s="88"/>
      <c r="K222" s="88"/>
      <c r="L222" s="88"/>
      <c r="M222" s="88"/>
      <c r="N222" s="88"/>
      <c r="O222" s="89"/>
    </row>
    <row r="223">
      <c r="A223" s="11"/>
      <c r="B223" s="82"/>
      <c r="C223" s="86"/>
      <c r="D223" s="87"/>
      <c r="E223" s="86"/>
      <c r="F223" s="86"/>
      <c r="G223" s="88"/>
      <c r="H223" s="88"/>
      <c r="I223" s="88"/>
      <c r="J223" s="88"/>
      <c r="K223" s="88"/>
      <c r="L223" s="88"/>
      <c r="M223" s="88"/>
      <c r="N223" s="88"/>
      <c r="O223" s="89"/>
    </row>
    <row r="224">
      <c r="A224" s="11"/>
      <c r="B224" s="82"/>
      <c r="C224" s="86"/>
      <c r="D224" s="87"/>
      <c r="E224" s="86"/>
      <c r="F224" s="86"/>
      <c r="G224" s="88"/>
      <c r="H224" s="88"/>
      <c r="I224" s="88"/>
      <c r="J224" s="88"/>
      <c r="K224" s="88"/>
      <c r="L224" s="88"/>
      <c r="M224" s="88"/>
      <c r="N224" s="88"/>
      <c r="O224" s="89"/>
    </row>
    <row r="225">
      <c r="A225" s="11"/>
      <c r="B225" s="82"/>
      <c r="C225" s="86"/>
      <c r="D225" s="87"/>
      <c r="E225" s="86"/>
      <c r="F225" s="86"/>
      <c r="G225" s="88"/>
      <c r="H225" s="88"/>
      <c r="I225" s="88"/>
      <c r="J225" s="88"/>
      <c r="K225" s="88"/>
      <c r="L225" s="88"/>
      <c r="M225" s="88"/>
      <c r="N225" s="88"/>
      <c r="O225" s="89"/>
    </row>
    <row r="226">
      <c r="A226" s="11"/>
      <c r="B226" s="82"/>
      <c r="C226" s="86"/>
      <c r="D226" s="87"/>
      <c r="E226" s="86"/>
      <c r="F226" s="86"/>
      <c r="G226" s="88"/>
      <c r="H226" s="88"/>
      <c r="I226" s="88"/>
      <c r="J226" s="88"/>
      <c r="K226" s="88"/>
      <c r="L226" s="88"/>
      <c r="M226" s="88"/>
      <c r="N226" s="88"/>
      <c r="O226" s="89"/>
    </row>
    <row r="227">
      <c r="A227" s="11"/>
      <c r="B227" s="82"/>
      <c r="C227" s="86"/>
      <c r="D227" s="87"/>
      <c r="E227" s="86"/>
      <c r="F227" s="86"/>
      <c r="G227" s="88"/>
      <c r="H227" s="88"/>
      <c r="I227" s="88"/>
      <c r="J227" s="88"/>
      <c r="K227" s="88"/>
      <c r="L227" s="88"/>
      <c r="M227" s="88"/>
      <c r="N227" s="88"/>
      <c r="O227" s="89"/>
    </row>
    <row r="228">
      <c r="A228" s="11"/>
      <c r="B228" s="82"/>
      <c r="C228" s="86"/>
      <c r="D228" s="87"/>
      <c r="E228" s="86"/>
      <c r="F228" s="86"/>
      <c r="G228" s="88"/>
      <c r="H228" s="88"/>
      <c r="I228" s="88"/>
      <c r="J228" s="88"/>
      <c r="K228" s="88"/>
      <c r="L228" s="88"/>
      <c r="M228" s="88"/>
      <c r="N228" s="88"/>
      <c r="O228" s="89"/>
    </row>
    <row r="229">
      <c r="A229" s="11"/>
      <c r="B229" s="82"/>
      <c r="C229" s="86"/>
      <c r="D229" s="87"/>
      <c r="E229" s="86"/>
      <c r="F229" s="86"/>
      <c r="G229" s="88"/>
      <c r="H229" s="88"/>
      <c r="I229" s="88"/>
      <c r="J229" s="88"/>
      <c r="K229" s="88"/>
      <c r="L229" s="88"/>
      <c r="M229" s="88"/>
      <c r="N229" s="88"/>
      <c r="O229" s="89"/>
    </row>
    <row r="230">
      <c r="A230" s="11"/>
      <c r="B230" s="82"/>
      <c r="C230" s="86"/>
      <c r="D230" s="87"/>
      <c r="E230" s="86"/>
      <c r="F230" s="86"/>
      <c r="G230" s="88"/>
      <c r="H230" s="88"/>
      <c r="I230" s="88"/>
      <c r="J230" s="88"/>
      <c r="K230" s="88"/>
      <c r="L230" s="88"/>
      <c r="M230" s="88"/>
      <c r="N230" s="88"/>
      <c r="O230" s="89"/>
    </row>
    <row r="231">
      <c r="A231" s="11"/>
      <c r="B231" s="82"/>
      <c r="C231" s="86"/>
      <c r="D231" s="87"/>
      <c r="E231" s="86"/>
      <c r="F231" s="86"/>
      <c r="G231" s="88"/>
      <c r="H231" s="88"/>
      <c r="I231" s="88"/>
      <c r="J231" s="88"/>
      <c r="K231" s="88"/>
      <c r="L231" s="88"/>
      <c r="M231" s="88"/>
      <c r="N231" s="88"/>
      <c r="O231" s="89"/>
    </row>
    <row r="232">
      <c r="A232" s="11"/>
      <c r="B232" s="82"/>
      <c r="C232" s="86"/>
      <c r="D232" s="87"/>
      <c r="E232" s="86"/>
      <c r="F232" s="86"/>
      <c r="G232" s="88"/>
      <c r="H232" s="88"/>
      <c r="I232" s="88"/>
      <c r="J232" s="88"/>
      <c r="K232" s="88"/>
      <c r="L232" s="88"/>
      <c r="M232" s="88"/>
      <c r="N232" s="88"/>
      <c r="O232" s="89"/>
    </row>
    <row r="233">
      <c r="A233" s="11"/>
      <c r="B233" s="82"/>
      <c r="C233" s="86"/>
      <c r="D233" s="87"/>
      <c r="E233" s="86"/>
      <c r="F233" s="86"/>
      <c r="G233" s="88"/>
      <c r="H233" s="88"/>
      <c r="I233" s="88"/>
      <c r="J233" s="88"/>
      <c r="K233" s="88"/>
      <c r="L233" s="88"/>
      <c r="M233" s="88"/>
      <c r="N233" s="88"/>
      <c r="O233" s="89"/>
    </row>
    <row r="234">
      <c r="A234" s="11"/>
      <c r="B234" s="82"/>
      <c r="C234" s="86"/>
      <c r="D234" s="87"/>
      <c r="E234" s="86"/>
      <c r="F234" s="86"/>
      <c r="G234" s="88"/>
      <c r="H234" s="88"/>
      <c r="I234" s="88"/>
      <c r="J234" s="88"/>
      <c r="K234" s="88"/>
      <c r="L234" s="88"/>
      <c r="M234" s="88"/>
      <c r="N234" s="88"/>
      <c r="O234" s="89"/>
    </row>
    <row r="235">
      <c r="A235" s="11"/>
      <c r="B235" s="82"/>
      <c r="C235" s="86"/>
      <c r="D235" s="87"/>
      <c r="E235" s="86"/>
      <c r="F235" s="86"/>
      <c r="G235" s="88"/>
      <c r="H235" s="88"/>
      <c r="I235" s="88"/>
      <c r="J235" s="88"/>
      <c r="K235" s="88"/>
      <c r="L235" s="88"/>
      <c r="M235" s="88"/>
      <c r="N235" s="88"/>
      <c r="O235" s="89"/>
    </row>
    <row r="236">
      <c r="A236" s="11"/>
      <c r="B236" s="82"/>
      <c r="C236" s="86"/>
      <c r="D236" s="87"/>
      <c r="E236" s="86"/>
      <c r="F236" s="86"/>
      <c r="G236" s="88"/>
      <c r="H236" s="88"/>
      <c r="I236" s="88"/>
      <c r="J236" s="88"/>
      <c r="K236" s="88"/>
      <c r="L236" s="88"/>
      <c r="M236" s="88"/>
      <c r="N236" s="88"/>
      <c r="O236" s="89"/>
    </row>
    <row r="237">
      <c r="A237" s="11"/>
      <c r="B237" s="82"/>
      <c r="C237" s="86"/>
      <c r="D237" s="87"/>
      <c r="E237" s="86"/>
      <c r="F237" s="86"/>
      <c r="G237" s="88"/>
      <c r="H237" s="88"/>
      <c r="I237" s="88"/>
      <c r="J237" s="88"/>
      <c r="K237" s="88"/>
      <c r="L237" s="88"/>
      <c r="M237" s="88"/>
      <c r="N237" s="88"/>
      <c r="O237" s="89"/>
    </row>
    <row r="238">
      <c r="A238" s="11"/>
      <c r="B238" s="82"/>
      <c r="C238" s="86"/>
      <c r="D238" s="87"/>
      <c r="E238" s="86"/>
      <c r="F238" s="86"/>
      <c r="G238" s="88"/>
      <c r="H238" s="88"/>
      <c r="I238" s="88"/>
      <c r="J238" s="88"/>
      <c r="K238" s="88"/>
      <c r="L238" s="88"/>
      <c r="M238" s="88"/>
      <c r="N238" s="88"/>
      <c r="O238" s="89"/>
    </row>
    <row r="239">
      <c r="A239" s="11"/>
      <c r="B239" s="82"/>
      <c r="C239" s="86"/>
      <c r="D239" s="87"/>
      <c r="E239" s="86"/>
      <c r="F239" s="86"/>
      <c r="G239" s="88"/>
      <c r="H239" s="88"/>
      <c r="I239" s="88"/>
      <c r="J239" s="88"/>
      <c r="K239" s="88"/>
      <c r="L239" s="88"/>
      <c r="M239" s="88"/>
      <c r="N239" s="88"/>
      <c r="O239" s="89"/>
    </row>
    <row r="240">
      <c r="A240" s="11"/>
      <c r="B240" s="82"/>
      <c r="C240" s="86"/>
      <c r="D240" s="87"/>
      <c r="E240" s="86"/>
      <c r="F240" s="86"/>
      <c r="G240" s="88"/>
      <c r="H240" s="88"/>
      <c r="I240" s="88"/>
      <c r="J240" s="88"/>
      <c r="K240" s="88"/>
      <c r="L240" s="88"/>
      <c r="M240" s="88"/>
      <c r="N240" s="88"/>
      <c r="O240" s="89"/>
    </row>
    <row r="241">
      <c r="A241" s="11"/>
      <c r="B241" s="82"/>
      <c r="C241" s="86"/>
      <c r="D241" s="87"/>
      <c r="E241" s="86"/>
      <c r="F241" s="86"/>
      <c r="G241" s="88"/>
      <c r="H241" s="88"/>
      <c r="I241" s="88"/>
      <c r="J241" s="88"/>
      <c r="K241" s="88"/>
      <c r="L241" s="88"/>
      <c r="M241" s="88"/>
      <c r="N241" s="88"/>
      <c r="O241" s="89"/>
    </row>
    <row r="242">
      <c r="A242" s="11"/>
      <c r="C242" s="11"/>
      <c r="D242" s="11"/>
      <c r="E242" s="11"/>
      <c r="F242" s="11"/>
    </row>
    <row r="243">
      <c r="A243" s="11"/>
      <c r="C243" s="11"/>
      <c r="D243" s="11"/>
      <c r="E243" s="11"/>
      <c r="F243" s="11"/>
    </row>
    <row r="244">
      <c r="A244" s="11"/>
      <c r="C244" s="11"/>
      <c r="D244" s="11"/>
      <c r="E244" s="11"/>
      <c r="F244" s="11"/>
    </row>
    <row r="245">
      <c r="A245" s="11"/>
      <c r="C245" s="11"/>
      <c r="D245" s="11"/>
      <c r="E245" s="11"/>
      <c r="F245" s="11"/>
    </row>
    <row r="246">
      <c r="A246" s="11"/>
      <c r="C246" s="11"/>
      <c r="D246" s="11"/>
      <c r="E246" s="11"/>
      <c r="F246" s="11"/>
    </row>
    <row r="247">
      <c r="A247" s="11"/>
      <c r="C247" s="11"/>
      <c r="D247" s="11"/>
      <c r="E247" s="11"/>
      <c r="F247" s="11"/>
    </row>
    <row r="248">
      <c r="A248" s="11"/>
      <c r="C248" s="11"/>
      <c r="D248" s="11"/>
      <c r="E248" s="11"/>
      <c r="F248" s="11"/>
    </row>
    <row r="249">
      <c r="A249" s="11"/>
      <c r="C249" s="11"/>
      <c r="D249" s="11"/>
      <c r="E249" s="11"/>
      <c r="F249" s="11"/>
    </row>
    <row r="250">
      <c r="A250" s="11"/>
      <c r="C250" s="11"/>
      <c r="D250" s="11"/>
      <c r="E250" s="11"/>
      <c r="F250" s="11"/>
    </row>
    <row r="251">
      <c r="A251" s="11"/>
      <c r="C251" s="11"/>
      <c r="D251" s="11"/>
      <c r="E251" s="11"/>
      <c r="F251" s="11"/>
    </row>
    <row r="252">
      <c r="A252" s="11"/>
      <c r="C252" s="11"/>
      <c r="D252" s="11"/>
      <c r="E252" s="11"/>
      <c r="F252" s="11"/>
    </row>
    <row r="253">
      <c r="A253" s="11"/>
      <c r="C253" s="11"/>
      <c r="D253" s="11"/>
      <c r="E253" s="11"/>
      <c r="F253" s="11"/>
    </row>
    <row r="254">
      <c r="A254" s="11"/>
      <c r="C254" s="11"/>
      <c r="D254" s="11"/>
      <c r="E254" s="11"/>
      <c r="F254" s="11"/>
    </row>
    <row r="255">
      <c r="A255" s="11"/>
      <c r="C255" s="11"/>
      <c r="D255" s="11"/>
      <c r="E255" s="11"/>
      <c r="F255" s="11"/>
    </row>
    <row r="256">
      <c r="A256" s="11"/>
      <c r="C256" s="11"/>
      <c r="D256" s="11"/>
      <c r="E256" s="11"/>
      <c r="F256" s="11"/>
    </row>
    <row r="257">
      <c r="A257" s="11"/>
      <c r="C257" s="11"/>
      <c r="D257" s="11"/>
      <c r="E257" s="11"/>
      <c r="F257" s="11"/>
    </row>
    <row r="258">
      <c r="A258" s="11"/>
      <c r="C258" s="11"/>
      <c r="D258" s="11"/>
      <c r="E258" s="11"/>
      <c r="F258" s="11"/>
    </row>
    <row r="259">
      <c r="A259" s="11"/>
      <c r="C259" s="11"/>
      <c r="D259" s="11"/>
      <c r="E259" s="11"/>
      <c r="F259" s="11"/>
    </row>
    <row r="260">
      <c r="A260" s="11"/>
      <c r="C260" s="11"/>
      <c r="D260" s="11"/>
      <c r="E260" s="11"/>
      <c r="F260" s="11"/>
    </row>
    <row r="261">
      <c r="A261" s="11"/>
      <c r="C261" s="11"/>
      <c r="D261" s="11"/>
      <c r="E261" s="11"/>
      <c r="F261" s="11"/>
    </row>
    <row r="262">
      <c r="A262" s="53"/>
      <c r="B262" s="90" t="s">
        <v>167</v>
      </c>
      <c r="C262" s="11"/>
      <c r="D262" s="11"/>
      <c r="E262" s="11"/>
      <c r="F262" s="11"/>
      <c r="V262" s="90" t="s">
        <v>168</v>
      </c>
    </row>
    <row r="263">
      <c r="A263" s="50">
        <v>1.0</v>
      </c>
      <c r="B263" s="82" t="str">
        <f>IFERROR(__xludf.DUMMYFUNCTION("QUERY(B5:R70, ""Select B   where Q is null"")"),"Jim Miao")</f>
        <v>Jim Miao</v>
      </c>
      <c r="C263" s="11"/>
      <c r="D263" s="11"/>
      <c r="E263" s="11"/>
      <c r="F263" s="11"/>
      <c r="U263" s="82">
        <v>1.0</v>
      </c>
      <c r="V263" s="82" t="str">
        <f>IFERROR(__xludf.DUMMYFUNCTION("QUERY(B5:R70, ""Select B   where Q = 'N' "")"),"#N/A")</f>
        <v>#N/A</v>
      </c>
    </row>
    <row r="264">
      <c r="A264" s="53">
        <f t="shared" ref="A264:A284" si="85">A263+1</f>
        <v>2</v>
      </c>
      <c r="B264" s="82"/>
      <c r="C264" s="11"/>
      <c r="D264" s="11"/>
      <c r="E264" s="11"/>
      <c r="F264" s="11"/>
      <c r="U264" s="82">
        <f t="shared" ref="U264:U275" si="86">U263+1</f>
        <v>2</v>
      </c>
      <c r="V264" s="82"/>
    </row>
    <row r="265">
      <c r="A265" s="53">
        <f t="shared" si="85"/>
        <v>3</v>
      </c>
      <c r="B265" s="82"/>
      <c r="C265" s="11"/>
      <c r="D265" s="11"/>
      <c r="E265" s="11"/>
      <c r="F265" s="11"/>
      <c r="U265" s="82">
        <f t="shared" si="86"/>
        <v>3</v>
      </c>
      <c r="V265" s="82"/>
    </row>
    <row r="266">
      <c r="A266" s="53">
        <f t="shared" si="85"/>
        <v>4</v>
      </c>
      <c r="B266" s="82"/>
      <c r="C266" s="11"/>
      <c r="D266" s="11"/>
      <c r="E266" s="11"/>
      <c r="F266" s="11"/>
      <c r="U266" s="82">
        <f t="shared" si="86"/>
        <v>4</v>
      </c>
      <c r="V266" s="82"/>
    </row>
    <row r="267">
      <c r="A267" s="53">
        <f t="shared" si="85"/>
        <v>5</v>
      </c>
      <c r="B267" s="82"/>
      <c r="C267" s="11"/>
      <c r="D267" s="11"/>
      <c r="E267" s="11"/>
      <c r="F267" s="11"/>
      <c r="U267" s="82">
        <f t="shared" si="86"/>
        <v>5</v>
      </c>
      <c r="V267" s="82"/>
    </row>
    <row r="268">
      <c r="A268" s="53">
        <f t="shared" si="85"/>
        <v>6</v>
      </c>
      <c r="B268" s="82"/>
      <c r="C268" s="11"/>
      <c r="D268" s="11"/>
      <c r="E268" s="11"/>
      <c r="F268" s="11"/>
      <c r="U268" s="82">
        <f t="shared" si="86"/>
        <v>6</v>
      </c>
      <c r="V268" s="82"/>
    </row>
    <row r="269">
      <c r="A269" s="53">
        <f t="shared" si="85"/>
        <v>7</v>
      </c>
      <c r="B269" s="82"/>
      <c r="C269" s="11"/>
      <c r="D269" s="11"/>
      <c r="E269" s="11"/>
      <c r="F269" s="11"/>
      <c r="U269" s="82">
        <f t="shared" si="86"/>
        <v>7</v>
      </c>
      <c r="V269" s="82"/>
    </row>
    <row r="270">
      <c r="A270" s="53">
        <f t="shared" si="85"/>
        <v>8</v>
      </c>
      <c r="B270" s="82"/>
      <c r="C270" s="11"/>
      <c r="D270" s="11"/>
      <c r="E270" s="11"/>
      <c r="F270" s="11"/>
      <c r="U270" s="82">
        <f t="shared" si="86"/>
        <v>8</v>
      </c>
      <c r="V270" s="82"/>
    </row>
    <row r="271">
      <c r="A271" s="53">
        <f t="shared" si="85"/>
        <v>9</v>
      </c>
      <c r="B271" s="82"/>
      <c r="C271" s="11"/>
      <c r="D271" s="11"/>
      <c r="E271" s="11"/>
      <c r="F271" s="11"/>
      <c r="U271" s="82">
        <f t="shared" si="86"/>
        <v>9</v>
      </c>
      <c r="V271" s="82"/>
    </row>
    <row r="272">
      <c r="A272" s="53">
        <f t="shared" si="85"/>
        <v>10</v>
      </c>
      <c r="B272" s="82"/>
      <c r="C272" s="11"/>
      <c r="D272" s="11"/>
      <c r="E272" s="11"/>
      <c r="F272" s="11"/>
      <c r="U272" s="82">
        <f t="shared" si="86"/>
        <v>10</v>
      </c>
      <c r="V272" s="82"/>
    </row>
    <row r="273">
      <c r="A273" s="53">
        <f t="shared" si="85"/>
        <v>11</v>
      </c>
      <c r="B273" s="82"/>
      <c r="C273" s="11"/>
      <c r="D273" s="11"/>
      <c r="E273" s="11"/>
      <c r="F273" s="11"/>
      <c r="U273" s="82">
        <f t="shared" si="86"/>
        <v>11</v>
      </c>
      <c r="V273" s="82"/>
    </row>
    <row r="274">
      <c r="A274" s="53">
        <f t="shared" si="85"/>
        <v>12</v>
      </c>
      <c r="B274" s="82"/>
      <c r="C274" s="11"/>
      <c r="D274" s="11"/>
      <c r="E274" s="11"/>
      <c r="F274" s="11"/>
      <c r="U274" s="82">
        <f t="shared" si="86"/>
        <v>12</v>
      </c>
      <c r="V274" s="82"/>
    </row>
    <row r="275">
      <c r="A275" s="53">
        <f t="shared" si="85"/>
        <v>13</v>
      </c>
      <c r="B275" s="82"/>
      <c r="C275" s="11"/>
      <c r="D275" s="11"/>
      <c r="E275" s="11"/>
      <c r="F275" s="11"/>
      <c r="U275" s="82">
        <f t="shared" si="86"/>
        <v>13</v>
      </c>
      <c r="V275" s="82"/>
    </row>
    <row r="276">
      <c r="A276" s="53">
        <f t="shared" si="85"/>
        <v>14</v>
      </c>
      <c r="B276" s="82"/>
      <c r="C276" s="11"/>
      <c r="D276" s="11"/>
      <c r="E276" s="11"/>
      <c r="F276" s="11"/>
      <c r="U276" s="82"/>
      <c r="V276" s="82"/>
    </row>
    <row r="277">
      <c r="A277" s="53">
        <f t="shared" si="85"/>
        <v>15</v>
      </c>
      <c r="B277" s="82"/>
      <c r="C277" s="11"/>
      <c r="D277" s="11"/>
      <c r="E277" s="11"/>
      <c r="F277" s="11"/>
      <c r="U277" s="82"/>
      <c r="V277" s="82"/>
    </row>
    <row r="278">
      <c r="A278" s="53">
        <f t="shared" si="85"/>
        <v>16</v>
      </c>
      <c r="B278" s="82"/>
      <c r="C278" s="11"/>
      <c r="D278" s="11"/>
      <c r="E278" s="11"/>
      <c r="F278" s="11"/>
      <c r="U278" s="82"/>
      <c r="V278" s="82"/>
    </row>
    <row r="279">
      <c r="A279" s="53">
        <f t="shared" si="85"/>
        <v>17</v>
      </c>
      <c r="B279" s="82"/>
      <c r="C279" s="11"/>
      <c r="D279" s="11"/>
      <c r="E279" s="11"/>
      <c r="F279" s="11"/>
      <c r="U279" s="82"/>
      <c r="V279" s="82"/>
    </row>
    <row r="280">
      <c r="A280" s="53">
        <f t="shared" si="85"/>
        <v>18</v>
      </c>
      <c r="B280" s="82"/>
      <c r="C280" s="11"/>
      <c r="D280" s="11"/>
      <c r="E280" s="11"/>
      <c r="F280" s="11"/>
      <c r="U280" s="82"/>
      <c r="V280" s="82"/>
    </row>
    <row r="281">
      <c r="A281" s="53">
        <f t="shared" si="85"/>
        <v>19</v>
      </c>
      <c r="B281" s="82"/>
      <c r="C281" s="11"/>
      <c r="D281" s="11"/>
      <c r="E281" s="11"/>
      <c r="F281" s="11"/>
      <c r="U281" s="82"/>
      <c r="V281" s="82"/>
    </row>
    <row r="282">
      <c r="A282" s="53">
        <f t="shared" si="85"/>
        <v>20</v>
      </c>
      <c r="B282" s="82"/>
      <c r="C282" s="11"/>
      <c r="D282" s="11"/>
      <c r="E282" s="11"/>
      <c r="F282" s="11"/>
      <c r="U282" s="82"/>
      <c r="V282" s="82"/>
    </row>
    <row r="283">
      <c r="A283" s="53">
        <f t="shared" si="85"/>
        <v>21</v>
      </c>
      <c r="B283" s="82"/>
      <c r="C283" s="11"/>
      <c r="D283" s="11"/>
      <c r="E283" s="11"/>
      <c r="F283" s="11"/>
      <c r="U283" s="82"/>
      <c r="V283" s="82"/>
    </row>
    <row r="284">
      <c r="A284" s="82">
        <f t="shared" si="85"/>
        <v>22</v>
      </c>
      <c r="B284" s="82"/>
      <c r="C284" s="11"/>
      <c r="D284" s="11"/>
      <c r="E284" s="11"/>
      <c r="F284" s="11"/>
    </row>
    <row r="285">
      <c r="A285" s="82"/>
      <c r="B285" s="82"/>
      <c r="C285" s="11"/>
      <c r="D285" s="11"/>
      <c r="E285" s="11"/>
      <c r="F285" s="11"/>
    </row>
    <row r="286">
      <c r="A286" s="82"/>
      <c r="B286" s="82"/>
      <c r="C286" s="11"/>
      <c r="D286" s="11"/>
      <c r="E286" s="11"/>
      <c r="F286" s="11"/>
    </row>
    <row r="287">
      <c r="A287" s="82"/>
      <c r="B287" s="82"/>
      <c r="C287" s="11"/>
      <c r="D287" s="11"/>
      <c r="E287" s="11"/>
      <c r="F287" s="11"/>
    </row>
    <row r="288">
      <c r="A288" s="82"/>
      <c r="B288" s="82"/>
      <c r="C288" s="11"/>
      <c r="D288" s="11"/>
      <c r="E288" s="11"/>
      <c r="F288" s="11"/>
    </row>
    <row r="289">
      <c r="A289" s="82"/>
      <c r="B289" s="82"/>
      <c r="C289" s="11"/>
      <c r="D289" s="11"/>
      <c r="E289" s="11"/>
      <c r="F289" s="11"/>
    </row>
    <row r="290">
      <c r="A290" s="82"/>
      <c r="B290" s="82"/>
      <c r="C290" s="11"/>
      <c r="D290" s="11"/>
      <c r="E290" s="11"/>
      <c r="F290" s="11"/>
    </row>
    <row r="291">
      <c r="A291" s="82"/>
      <c r="B291" s="82"/>
      <c r="C291" s="11"/>
      <c r="D291" s="11"/>
      <c r="E291" s="11"/>
      <c r="F291" s="11"/>
    </row>
    <row r="292">
      <c r="A292" s="82"/>
      <c r="B292" s="82"/>
      <c r="C292" s="11"/>
      <c r="D292" s="11"/>
      <c r="E292" s="11"/>
      <c r="F292" s="11"/>
    </row>
    <row r="293">
      <c r="A293" s="82"/>
      <c r="B293" s="82"/>
      <c r="C293" s="11"/>
      <c r="D293" s="11"/>
      <c r="E293" s="11"/>
      <c r="F293" s="11"/>
    </row>
    <row r="294">
      <c r="A294" s="82"/>
      <c r="B294" s="82"/>
      <c r="C294" s="11"/>
      <c r="D294" s="11"/>
      <c r="E294" s="11"/>
      <c r="F294" s="11"/>
    </row>
    <row r="295">
      <c r="A295" s="82"/>
      <c r="B295" s="82"/>
      <c r="C295" s="11"/>
      <c r="D295" s="11"/>
      <c r="E295" s="11"/>
      <c r="F295" s="11"/>
    </row>
    <row r="296">
      <c r="A296" s="82"/>
      <c r="B296" s="82"/>
      <c r="C296" s="11"/>
      <c r="D296" s="11"/>
      <c r="E296" s="11"/>
      <c r="F296" s="11"/>
    </row>
    <row r="297">
      <c r="A297" s="82"/>
      <c r="B297" s="82"/>
      <c r="C297" s="11"/>
      <c r="D297" s="11"/>
      <c r="E297" s="11"/>
      <c r="F297" s="11"/>
    </row>
    <row r="298">
      <c r="A298" s="82"/>
      <c r="B298" s="82"/>
      <c r="C298" s="11"/>
      <c r="D298" s="11"/>
      <c r="E298" s="11"/>
      <c r="F298" s="11"/>
    </row>
    <row r="299">
      <c r="A299" s="82"/>
      <c r="B299" s="82"/>
      <c r="C299" s="11"/>
      <c r="D299" s="11"/>
      <c r="E299" s="11"/>
      <c r="F299" s="11"/>
    </row>
    <row r="300">
      <c r="A300" s="82"/>
      <c r="B300" s="82"/>
      <c r="C300" s="11"/>
      <c r="D300" s="11"/>
      <c r="E300" s="11"/>
      <c r="F300" s="11"/>
    </row>
    <row r="301">
      <c r="A301" s="82"/>
      <c r="B301" s="82"/>
      <c r="C301" s="11"/>
      <c r="D301" s="11"/>
      <c r="E301" s="11"/>
      <c r="F301" s="11"/>
    </row>
    <row r="302">
      <c r="A302" s="82"/>
      <c r="B302" s="82"/>
      <c r="C302" s="11"/>
      <c r="D302" s="11"/>
      <c r="E302" s="11"/>
      <c r="F302" s="11"/>
    </row>
    <row r="303">
      <c r="A303" s="82"/>
      <c r="B303" s="82"/>
      <c r="C303" s="11"/>
      <c r="D303" s="11"/>
      <c r="E303" s="11"/>
      <c r="F303" s="11"/>
    </row>
    <row r="304">
      <c r="A304" s="82"/>
      <c r="B304" s="82"/>
      <c r="C304" s="11"/>
      <c r="D304" s="11"/>
      <c r="E304" s="11"/>
      <c r="F304" s="11"/>
    </row>
    <row r="305">
      <c r="A305" s="82"/>
      <c r="B305" s="82"/>
      <c r="C305" s="11"/>
      <c r="D305" s="11"/>
      <c r="E305" s="11"/>
      <c r="F305" s="11"/>
    </row>
    <row r="306">
      <c r="A306" s="82"/>
      <c r="B306" s="82"/>
      <c r="C306" s="11"/>
      <c r="D306" s="11"/>
      <c r="E306" s="11"/>
      <c r="F306" s="11"/>
    </row>
    <row r="307">
      <c r="A307" s="82"/>
      <c r="B307" s="82"/>
      <c r="C307" s="11"/>
      <c r="D307" s="11"/>
      <c r="E307" s="11"/>
      <c r="F307" s="11"/>
    </row>
    <row r="308">
      <c r="A308" s="82"/>
      <c r="B308" s="82"/>
      <c r="C308" s="11"/>
      <c r="D308" s="11"/>
      <c r="E308" s="11"/>
      <c r="F308" s="11"/>
    </row>
    <row r="309">
      <c r="A309" s="82"/>
      <c r="B309" s="82"/>
      <c r="C309" s="11"/>
      <c r="D309" s="11"/>
      <c r="E309" s="11"/>
      <c r="F309" s="11"/>
    </row>
    <row r="310">
      <c r="A310" s="82"/>
      <c r="B310" s="82"/>
      <c r="C310" s="11"/>
      <c r="D310" s="11"/>
      <c r="E310" s="11"/>
      <c r="F310" s="11"/>
    </row>
    <row r="311">
      <c r="A311" s="82"/>
      <c r="B311" s="82"/>
      <c r="C311" s="11"/>
      <c r="D311" s="11"/>
      <c r="E311" s="11"/>
      <c r="F311" s="11"/>
    </row>
    <row r="312">
      <c r="A312" s="82"/>
      <c r="B312" s="82"/>
      <c r="C312" s="11"/>
      <c r="D312" s="11"/>
      <c r="E312" s="11"/>
      <c r="F312" s="11"/>
    </row>
    <row r="313">
      <c r="A313" s="82"/>
      <c r="B313" s="82"/>
      <c r="C313" s="11"/>
      <c r="D313" s="11"/>
      <c r="E313" s="11"/>
      <c r="F313" s="11"/>
    </row>
    <row r="314">
      <c r="A314" s="82"/>
      <c r="B314" s="82"/>
      <c r="C314" s="11"/>
      <c r="D314" s="11"/>
      <c r="E314" s="11"/>
      <c r="F314" s="11"/>
    </row>
    <row r="315">
      <c r="A315" s="82"/>
      <c r="B315" s="82"/>
      <c r="C315" s="11"/>
      <c r="D315" s="11"/>
      <c r="E315" s="11"/>
      <c r="F315" s="11"/>
    </row>
    <row r="316">
      <c r="A316" s="82"/>
      <c r="B316" s="82"/>
      <c r="C316" s="11"/>
      <c r="D316" s="11"/>
      <c r="E316" s="11"/>
      <c r="F316" s="11"/>
    </row>
    <row r="317">
      <c r="A317" s="82"/>
      <c r="B317" s="82"/>
      <c r="C317" s="11"/>
      <c r="D317" s="11"/>
      <c r="E317" s="11"/>
      <c r="F317" s="11"/>
    </row>
    <row r="318">
      <c r="A318" s="82"/>
      <c r="B318" s="82"/>
      <c r="C318" s="11"/>
      <c r="D318" s="11"/>
      <c r="E318" s="11"/>
      <c r="F318" s="11"/>
    </row>
    <row r="319">
      <c r="A319" s="82"/>
      <c r="B319" s="82"/>
      <c r="C319" s="11"/>
      <c r="D319" s="11"/>
      <c r="E319" s="11"/>
      <c r="F319" s="11"/>
    </row>
    <row r="320">
      <c r="A320" s="82"/>
      <c r="B320" s="82"/>
      <c r="C320" s="11"/>
      <c r="D320" s="11"/>
      <c r="E320" s="11"/>
      <c r="F320" s="11"/>
    </row>
    <row r="321">
      <c r="A321" s="82"/>
      <c r="B321" s="82"/>
      <c r="C321" s="11"/>
      <c r="D321" s="11"/>
      <c r="E321" s="11"/>
      <c r="F321" s="11"/>
    </row>
    <row r="322">
      <c r="A322" s="82"/>
      <c r="B322" s="82"/>
      <c r="C322" s="11"/>
      <c r="D322" s="11"/>
      <c r="E322" s="11"/>
      <c r="F322" s="11"/>
    </row>
    <row r="323">
      <c r="A323" s="82"/>
      <c r="B323" s="82"/>
      <c r="C323" s="11"/>
      <c r="D323" s="11"/>
      <c r="E323" s="11"/>
      <c r="F323" s="11"/>
    </row>
    <row r="324">
      <c r="A324" s="82"/>
      <c r="B324" s="82"/>
      <c r="C324" s="11"/>
      <c r="D324" s="11"/>
      <c r="E324" s="11"/>
      <c r="F324" s="11"/>
    </row>
    <row r="325">
      <c r="A325" s="82"/>
      <c r="B325" s="82"/>
      <c r="C325" s="11"/>
      <c r="D325" s="11"/>
      <c r="E325" s="11"/>
      <c r="F325" s="11"/>
    </row>
    <row r="326">
      <c r="A326" s="82"/>
      <c r="B326" s="82"/>
      <c r="C326" s="11"/>
      <c r="D326" s="11"/>
      <c r="E326" s="11"/>
      <c r="F326" s="11"/>
    </row>
    <row r="327">
      <c r="A327" s="82"/>
      <c r="B327" s="82"/>
      <c r="C327" s="11"/>
      <c r="D327" s="11"/>
      <c r="E327" s="11"/>
      <c r="F327" s="11"/>
    </row>
    <row r="328">
      <c r="A328" s="11"/>
      <c r="C328" s="11"/>
      <c r="D328" s="11"/>
      <c r="E328" s="11"/>
      <c r="F328" s="11"/>
    </row>
    <row r="329">
      <c r="A329" s="11"/>
      <c r="C329" s="11"/>
      <c r="D329" s="11"/>
      <c r="E329" s="11"/>
      <c r="F329" s="11"/>
    </row>
    <row r="330">
      <c r="A330" s="11"/>
      <c r="C330" s="11"/>
      <c r="D330" s="11"/>
      <c r="E330" s="11"/>
      <c r="F330" s="11"/>
    </row>
    <row r="331">
      <c r="A331" s="11"/>
      <c r="C331" s="11"/>
      <c r="D331" s="11"/>
      <c r="E331" s="11"/>
      <c r="F331" s="11"/>
    </row>
    <row r="332">
      <c r="A332" s="11"/>
      <c r="C332" s="11"/>
      <c r="D332" s="11"/>
      <c r="E332" s="11"/>
      <c r="F332" s="11"/>
    </row>
    <row r="333">
      <c r="A333" s="11"/>
      <c r="C333" s="11"/>
      <c r="D333" s="11"/>
      <c r="E333" s="11"/>
      <c r="F333" s="11"/>
    </row>
    <row r="334">
      <c r="A334" s="11"/>
      <c r="C334" s="11"/>
      <c r="D334" s="11"/>
      <c r="E334" s="11"/>
      <c r="F334" s="11"/>
    </row>
    <row r="335">
      <c r="A335" s="11"/>
      <c r="C335" s="11"/>
      <c r="D335" s="11"/>
      <c r="E335" s="11"/>
      <c r="F335" s="11"/>
    </row>
    <row r="336">
      <c r="A336" s="11"/>
      <c r="C336" s="11"/>
      <c r="D336" s="11"/>
      <c r="E336" s="11"/>
      <c r="F336" s="11"/>
    </row>
    <row r="337">
      <c r="A337" s="11"/>
      <c r="C337" s="11"/>
      <c r="D337" s="11"/>
      <c r="E337" s="11"/>
      <c r="F337" s="11"/>
    </row>
    <row r="338">
      <c r="A338" s="11"/>
      <c r="C338" s="11"/>
      <c r="D338" s="11"/>
      <c r="E338" s="11"/>
      <c r="F338" s="11"/>
    </row>
    <row r="339">
      <c r="A339" s="11"/>
      <c r="C339" s="11"/>
      <c r="D339" s="11"/>
      <c r="E339" s="11"/>
      <c r="F339" s="11"/>
    </row>
    <row r="340">
      <c r="A340" s="11"/>
      <c r="C340" s="11"/>
      <c r="D340" s="11"/>
      <c r="E340" s="11"/>
      <c r="F340" s="11"/>
    </row>
    <row r="341">
      <c r="A341" s="11"/>
      <c r="C341" s="11"/>
      <c r="D341" s="11"/>
      <c r="E341" s="11"/>
      <c r="F341" s="11"/>
    </row>
    <row r="342">
      <c r="A342" s="11"/>
      <c r="C342" s="11"/>
      <c r="D342" s="11"/>
      <c r="E342" s="11"/>
      <c r="F342" s="11"/>
    </row>
    <row r="343">
      <c r="A343" s="11"/>
      <c r="C343" s="11"/>
      <c r="D343" s="11"/>
      <c r="E343" s="11"/>
      <c r="F343" s="11"/>
    </row>
    <row r="344">
      <c r="A344" s="11"/>
      <c r="B344" s="17" t="str">
        <f>IFERROR(__xludf.DUMMYFUNCTION("query(B5:V70,""select B, U order by U Desc"")"),"Jose Ortiz")</f>
        <v>Jose Ortiz</v>
      </c>
      <c r="C344" s="92">
        <f>IFERROR(__xludf.DUMMYFUNCTION("""COMPUTED_VALUE"""),18.0)</f>
        <v>18</v>
      </c>
      <c r="D344" s="11"/>
      <c r="E344" s="11"/>
      <c r="F344" s="11"/>
    </row>
    <row r="345">
      <c r="A345" s="11"/>
      <c r="B345" s="17" t="str">
        <f>IFERROR(__xludf.DUMMYFUNCTION("""COMPUTED_VALUE"""),"Eric Pan")</f>
        <v>Eric Pan</v>
      </c>
      <c r="C345" s="92">
        <f>IFERROR(__xludf.DUMMYFUNCTION("""COMPUTED_VALUE"""),17.0)</f>
        <v>17</v>
      </c>
      <c r="D345" s="11"/>
      <c r="E345" s="11"/>
      <c r="F345" s="11"/>
    </row>
    <row r="346">
      <c r="A346" s="11"/>
      <c r="B346" s="17" t="str">
        <f>IFERROR(__xludf.DUMMYFUNCTION("""COMPUTED_VALUE"""),"Peter Homsey")</f>
        <v>Peter Homsey</v>
      </c>
      <c r="C346" s="92">
        <f>IFERROR(__xludf.DUMMYFUNCTION("""COMPUTED_VALUE"""),17.0)</f>
        <v>17</v>
      </c>
      <c r="D346" s="11"/>
      <c r="E346" s="11"/>
      <c r="F346" s="11"/>
    </row>
    <row r="347">
      <c r="A347" s="11"/>
      <c r="B347" s="17" t="str">
        <f>IFERROR(__xludf.DUMMYFUNCTION("""COMPUTED_VALUE"""),"Trinath Goteti")</f>
        <v>Trinath Goteti</v>
      </c>
      <c r="C347" s="92">
        <f>IFERROR(__xludf.DUMMYFUNCTION("""COMPUTED_VALUE"""),16.0)</f>
        <v>16</v>
      </c>
      <c r="D347" s="11"/>
      <c r="E347" s="11"/>
      <c r="F347" s="11"/>
    </row>
    <row r="348">
      <c r="A348" s="11"/>
      <c r="B348" s="17" t="str">
        <f>IFERROR(__xludf.DUMMYFUNCTION("""COMPUTED_VALUE"""),"Manish Anand")</f>
        <v>Manish Anand</v>
      </c>
      <c r="C348" s="92">
        <f>IFERROR(__xludf.DUMMYFUNCTION("""COMPUTED_VALUE"""),16.0)</f>
        <v>16</v>
      </c>
      <c r="D348" s="11"/>
      <c r="E348" s="11"/>
      <c r="F348" s="11"/>
    </row>
    <row r="349">
      <c r="A349" s="11"/>
      <c r="B349" s="17" t="str">
        <f>IFERROR(__xludf.DUMMYFUNCTION("""COMPUTED_VALUE"""),"Amit Patel")</f>
        <v>Amit Patel</v>
      </c>
      <c r="C349" s="92">
        <f>IFERROR(__xludf.DUMMYFUNCTION("""COMPUTED_VALUE"""),16.0)</f>
        <v>16</v>
      </c>
      <c r="D349" s="11"/>
      <c r="E349" s="11"/>
      <c r="F349" s="11"/>
    </row>
    <row r="350">
      <c r="A350" s="11"/>
      <c r="B350" s="17" t="str">
        <f>IFERROR(__xludf.DUMMYFUNCTION("""COMPUTED_VALUE"""),"Nohely Mejia")</f>
        <v>Nohely Mejia</v>
      </c>
      <c r="C350" s="92">
        <f>IFERROR(__xludf.DUMMYFUNCTION("""COMPUTED_VALUE"""),15.0)</f>
        <v>15</v>
      </c>
      <c r="D350" s="11"/>
      <c r="E350" s="11"/>
      <c r="F350" s="11"/>
    </row>
    <row r="351">
      <c r="A351" s="11"/>
      <c r="B351" s="17" t="str">
        <f>IFERROR(__xludf.DUMMYFUNCTION("""COMPUTED_VALUE"""),"Leigh-Anh Nguyen")</f>
        <v>Leigh-Anh Nguyen</v>
      </c>
      <c r="C351" s="92">
        <f>IFERROR(__xludf.DUMMYFUNCTION("""COMPUTED_VALUE"""),15.0)</f>
        <v>15</v>
      </c>
      <c r="D351" s="11"/>
      <c r="E351" s="11"/>
      <c r="F351" s="11"/>
    </row>
    <row r="352">
      <c r="A352" s="11"/>
      <c r="B352" s="17" t="str">
        <f>IFERROR(__xludf.DUMMYFUNCTION("""COMPUTED_VALUE"""),"Tony Lin")</f>
        <v>Tony Lin</v>
      </c>
      <c r="C352" s="92">
        <f>IFERROR(__xludf.DUMMYFUNCTION("""COMPUTED_VALUE"""),14.0)</f>
        <v>14</v>
      </c>
      <c r="D352" s="11"/>
      <c r="E352" s="11"/>
      <c r="F352" s="11"/>
    </row>
    <row r="353">
      <c r="A353" s="11"/>
      <c r="B353" s="17" t="str">
        <f>IFERROR(__xludf.DUMMYFUNCTION("""COMPUTED_VALUE"""),"Naveen Raj")</f>
        <v>Naveen Raj</v>
      </c>
      <c r="C353" s="92">
        <f>IFERROR(__xludf.DUMMYFUNCTION("""COMPUTED_VALUE"""),14.0)</f>
        <v>14</v>
      </c>
      <c r="D353" s="11"/>
      <c r="E353" s="11"/>
      <c r="F353" s="11"/>
    </row>
    <row r="354">
      <c r="A354" s="11"/>
      <c r="B354" s="17" t="str">
        <f>IFERROR(__xludf.DUMMYFUNCTION("""COMPUTED_VALUE"""),"Susanta Mishra")</f>
        <v>Susanta Mishra</v>
      </c>
      <c r="C354" s="92">
        <f>IFERROR(__xludf.DUMMYFUNCTION("""COMPUTED_VALUE"""),14.0)</f>
        <v>14</v>
      </c>
      <c r="D354" s="11"/>
      <c r="E354" s="11"/>
      <c r="F354" s="11"/>
    </row>
    <row r="355">
      <c r="A355" s="11"/>
      <c r="B355" s="17" t="str">
        <f>IFERROR(__xludf.DUMMYFUNCTION("""COMPUTED_VALUE"""),"Vishnu Amarnath")</f>
        <v>Vishnu Amarnath</v>
      </c>
      <c r="C355" s="92">
        <f>IFERROR(__xludf.DUMMYFUNCTION("""COMPUTED_VALUE"""),14.0)</f>
        <v>14</v>
      </c>
      <c r="D355" s="11"/>
      <c r="E355" s="11"/>
      <c r="F355" s="11"/>
    </row>
    <row r="356">
      <c r="A356" s="11"/>
      <c r="B356" s="17" t="str">
        <f>IFERROR(__xludf.DUMMYFUNCTION("""COMPUTED_VALUE"""),"Sai Dilip Ponnaganti")</f>
        <v>Sai Dilip Ponnaganti</v>
      </c>
      <c r="C356" s="92">
        <f>IFERROR(__xludf.DUMMYFUNCTION("""COMPUTED_VALUE"""),13.0)</f>
        <v>13</v>
      </c>
      <c r="D356" s="11"/>
      <c r="E356" s="11"/>
      <c r="F356" s="11"/>
    </row>
    <row r="357">
      <c r="A357" s="11"/>
      <c r="B357" s="17" t="str">
        <f>IFERROR(__xludf.DUMMYFUNCTION("""COMPUTED_VALUE"""),"Santosh Sundaresan ")</f>
        <v>Santosh Sundaresan </v>
      </c>
      <c r="C357" s="92">
        <f>IFERROR(__xludf.DUMMYFUNCTION("""COMPUTED_VALUE"""),13.0)</f>
        <v>13</v>
      </c>
      <c r="D357" s="11"/>
      <c r="E357" s="11"/>
      <c r="F357" s="11"/>
    </row>
    <row r="358">
      <c r="A358" s="11"/>
      <c r="B358" s="17" t="str">
        <f>IFERROR(__xludf.DUMMYFUNCTION("""COMPUTED_VALUE"""),"Vinz Solano")</f>
        <v>Vinz Solano</v>
      </c>
      <c r="C358" s="92">
        <f>IFERROR(__xludf.DUMMYFUNCTION("""COMPUTED_VALUE"""),12.0)</f>
        <v>12</v>
      </c>
      <c r="D358" s="11"/>
      <c r="E358" s="11"/>
      <c r="F358" s="11"/>
    </row>
    <row r="359">
      <c r="A359" s="11"/>
      <c r="B359" s="17" t="str">
        <f>IFERROR(__xludf.DUMMYFUNCTION("""COMPUTED_VALUE"""),"Elayaraja Thangaraj ")</f>
        <v>Elayaraja Thangaraj </v>
      </c>
      <c r="C359" s="92">
        <f>IFERROR(__xludf.DUMMYFUNCTION("""COMPUTED_VALUE"""),12.0)</f>
        <v>12</v>
      </c>
      <c r="D359" s="11"/>
      <c r="E359" s="11"/>
      <c r="F359" s="11"/>
    </row>
    <row r="360">
      <c r="A360" s="11"/>
      <c r="B360" s="17" t="str">
        <f>IFERROR(__xludf.DUMMYFUNCTION("""COMPUTED_VALUE"""),"Balaji Alahari")</f>
        <v>Balaji Alahari</v>
      </c>
      <c r="C360" s="92">
        <f>IFERROR(__xludf.DUMMYFUNCTION("""COMPUTED_VALUE"""),11.0)</f>
        <v>11</v>
      </c>
      <c r="D360" s="11"/>
      <c r="E360" s="11"/>
      <c r="F360" s="11"/>
    </row>
    <row r="361">
      <c r="A361" s="11"/>
      <c r="B361" s="17" t="str">
        <f>IFERROR(__xludf.DUMMYFUNCTION("""COMPUTED_VALUE"""),"Rajesh Dorairaj")</f>
        <v>Rajesh Dorairaj</v>
      </c>
      <c r="C361" s="92">
        <f>IFERROR(__xludf.DUMMYFUNCTION("""COMPUTED_VALUE"""),11.0)</f>
        <v>11</v>
      </c>
      <c r="D361" s="11"/>
      <c r="E361" s="11"/>
      <c r="F361" s="11"/>
    </row>
    <row r="362">
      <c r="A362" s="11"/>
      <c r="B362" s="17" t="str">
        <f>IFERROR(__xludf.DUMMYFUNCTION("""COMPUTED_VALUE"""),"James Phan")</f>
        <v>James Phan</v>
      </c>
      <c r="C362" s="92">
        <f>IFERROR(__xludf.DUMMYFUNCTION("""COMPUTED_VALUE"""),10.0)</f>
        <v>10</v>
      </c>
      <c r="D362" s="11"/>
      <c r="E362" s="11"/>
      <c r="F362" s="11"/>
    </row>
    <row r="363">
      <c r="A363" s="11"/>
      <c r="B363" s="17" t="str">
        <f>IFERROR(__xludf.DUMMYFUNCTION("""COMPUTED_VALUE"""),"Pulkit Mathur")</f>
        <v>Pulkit Mathur</v>
      </c>
      <c r="C363" s="92">
        <f>IFERROR(__xludf.DUMMYFUNCTION("""COMPUTED_VALUE"""),10.0)</f>
        <v>10</v>
      </c>
      <c r="D363" s="11"/>
      <c r="E363" s="11"/>
      <c r="F363" s="11"/>
    </row>
    <row r="364">
      <c r="A364" s="11"/>
      <c r="B364" s="17" t="str">
        <f>IFERROR(__xludf.DUMMYFUNCTION("""COMPUTED_VALUE"""),"Peter Cheng")</f>
        <v>Peter Cheng</v>
      </c>
      <c r="C364" s="92">
        <f>IFERROR(__xludf.DUMMYFUNCTION("""COMPUTED_VALUE"""),10.0)</f>
        <v>10</v>
      </c>
      <c r="D364" s="11"/>
      <c r="E364" s="11"/>
      <c r="F364" s="11"/>
    </row>
    <row r="365">
      <c r="A365" s="11"/>
      <c r="B365" s="17" t="str">
        <f>IFERROR(__xludf.DUMMYFUNCTION("""COMPUTED_VALUE"""),"Trish Newlin")</f>
        <v>Trish Newlin</v>
      </c>
      <c r="C365" s="92">
        <f>IFERROR(__xludf.DUMMYFUNCTION("""COMPUTED_VALUE"""),10.0)</f>
        <v>10</v>
      </c>
      <c r="D365" s="11"/>
      <c r="E365" s="11"/>
      <c r="F365" s="11"/>
    </row>
    <row r="366">
      <c r="A366" s="11"/>
      <c r="B366" s="17" t="str">
        <f>IFERROR(__xludf.DUMMYFUNCTION("""COMPUTED_VALUE"""),"Mauricio Palacios")</f>
        <v>Mauricio Palacios</v>
      </c>
      <c r="C366" s="92">
        <f>IFERROR(__xludf.DUMMYFUNCTION("""COMPUTED_VALUE"""),10.0)</f>
        <v>10</v>
      </c>
      <c r="D366" s="11"/>
      <c r="E366" s="11"/>
      <c r="F366" s="11"/>
    </row>
    <row r="367">
      <c r="A367" s="11"/>
      <c r="B367" s="17" t="str">
        <f>IFERROR(__xludf.DUMMYFUNCTION("""COMPUTED_VALUE"""),"Sandy Weyant")</f>
        <v>Sandy Weyant</v>
      </c>
      <c r="C367" s="92">
        <f>IFERROR(__xludf.DUMMYFUNCTION("""COMPUTED_VALUE"""),10.0)</f>
        <v>10</v>
      </c>
      <c r="D367" s="11"/>
      <c r="E367" s="11"/>
      <c r="F367" s="11"/>
    </row>
    <row r="368">
      <c r="A368" s="11"/>
      <c r="B368" s="17" t="str">
        <f>IFERROR(__xludf.DUMMYFUNCTION("""COMPUTED_VALUE"""),"Cid Macaraeg")</f>
        <v>Cid Macaraeg</v>
      </c>
      <c r="C368" s="92">
        <f>IFERROR(__xludf.DUMMYFUNCTION("""COMPUTED_VALUE"""),9.0)</f>
        <v>9</v>
      </c>
      <c r="D368" s="11"/>
      <c r="E368" s="11"/>
      <c r="F368" s="11"/>
    </row>
    <row r="369">
      <c r="A369" s="11"/>
      <c r="B369" s="17" t="str">
        <f>IFERROR(__xludf.DUMMYFUNCTION("""COMPUTED_VALUE"""),"Pavan Akkimsetty")</f>
        <v>Pavan Akkimsetty</v>
      </c>
      <c r="C369" s="92">
        <f>IFERROR(__xludf.DUMMYFUNCTION("""COMPUTED_VALUE"""),9.0)</f>
        <v>9</v>
      </c>
      <c r="D369" s="11"/>
      <c r="E369" s="11"/>
      <c r="F369" s="11"/>
    </row>
    <row r="370">
      <c r="A370" s="11"/>
      <c r="B370" s="17" t="str">
        <f>IFERROR(__xludf.DUMMYFUNCTION("""COMPUTED_VALUE"""),"Lloyd Sagar")</f>
        <v>Lloyd Sagar</v>
      </c>
      <c r="C370" s="92">
        <f>IFERROR(__xludf.DUMMYFUNCTION("""COMPUTED_VALUE"""),9.0)</f>
        <v>9</v>
      </c>
      <c r="D370" s="11"/>
      <c r="E370" s="11"/>
      <c r="F370" s="11"/>
    </row>
    <row r="371">
      <c r="A371" s="11"/>
      <c r="B371" s="17" t="str">
        <f>IFERROR(__xludf.DUMMYFUNCTION("""COMPUTED_VALUE"""),"Sanjaye Elayattu")</f>
        <v>Sanjaye Elayattu</v>
      </c>
      <c r="C371" s="92">
        <f>IFERROR(__xludf.DUMMYFUNCTION("""COMPUTED_VALUE"""),9.0)</f>
        <v>9</v>
      </c>
      <c r="D371" s="11"/>
      <c r="E371" s="11"/>
      <c r="F371" s="11"/>
    </row>
    <row r="372">
      <c r="A372" s="11"/>
      <c r="B372" s="17" t="str">
        <f>IFERROR(__xludf.DUMMYFUNCTION("""COMPUTED_VALUE"""),"Vinaya Kajla")</f>
        <v>Vinaya Kajla</v>
      </c>
      <c r="C372" s="92">
        <f>IFERROR(__xludf.DUMMYFUNCTION("""COMPUTED_VALUE"""),9.0)</f>
        <v>9</v>
      </c>
      <c r="D372" s="11"/>
      <c r="E372" s="11"/>
      <c r="F372" s="11"/>
    </row>
    <row r="373">
      <c r="A373" s="11"/>
      <c r="B373" s="17" t="str">
        <f>IFERROR(__xludf.DUMMYFUNCTION("""COMPUTED_VALUE"""),"Robert Chang")</f>
        <v>Robert Chang</v>
      </c>
      <c r="C373" s="92">
        <f>IFERROR(__xludf.DUMMYFUNCTION("""COMPUTED_VALUE"""),8.0)</f>
        <v>8</v>
      </c>
      <c r="D373" s="11"/>
      <c r="E373" s="11"/>
      <c r="F373" s="11"/>
    </row>
    <row r="374">
      <c r="A374" s="11"/>
      <c r="B374" s="17" t="str">
        <f>IFERROR(__xludf.DUMMYFUNCTION("""COMPUTED_VALUE"""),"Oscar Bonilla")</f>
        <v>Oscar Bonilla</v>
      </c>
      <c r="C374" s="92">
        <f>IFERROR(__xludf.DUMMYFUNCTION("""COMPUTED_VALUE"""),8.0)</f>
        <v>8</v>
      </c>
      <c r="D374" s="11"/>
      <c r="E374" s="11"/>
      <c r="F374" s="11"/>
    </row>
    <row r="375">
      <c r="A375" s="11"/>
      <c r="B375" s="17" t="str">
        <f>IFERROR(__xludf.DUMMYFUNCTION("""COMPUTED_VALUE"""),"Vamsi Lolla ")</f>
        <v>Vamsi Lolla </v>
      </c>
      <c r="C375" s="92">
        <f>IFERROR(__xludf.DUMMYFUNCTION("""COMPUTED_VALUE"""),8.0)</f>
        <v>8</v>
      </c>
      <c r="D375" s="11"/>
      <c r="E375" s="11"/>
      <c r="F375" s="11"/>
    </row>
    <row r="376">
      <c r="A376" s="11"/>
      <c r="B376" s="17" t="str">
        <f>IFERROR(__xludf.DUMMYFUNCTION("""COMPUTED_VALUE"""),"Joyce Zhu")</f>
        <v>Joyce Zhu</v>
      </c>
      <c r="C376" s="92">
        <f>IFERROR(__xludf.DUMMYFUNCTION("""COMPUTED_VALUE"""),8.0)</f>
        <v>8</v>
      </c>
      <c r="D376" s="11"/>
      <c r="E376" s="11"/>
      <c r="F376" s="11"/>
    </row>
    <row r="377">
      <c r="A377" s="11"/>
      <c r="B377" s="17" t="str">
        <f>IFERROR(__xludf.DUMMYFUNCTION("""COMPUTED_VALUE"""),"Christopher Li")</f>
        <v>Christopher Li</v>
      </c>
      <c r="C377" s="92">
        <f>IFERROR(__xludf.DUMMYFUNCTION("""COMPUTED_VALUE"""),7.0)</f>
        <v>7</v>
      </c>
      <c r="D377" s="11"/>
      <c r="E377" s="11"/>
      <c r="F377" s="11"/>
    </row>
    <row r="378">
      <c r="A378" s="11"/>
      <c r="B378" s="17" t="str">
        <f>IFERROR(__xludf.DUMMYFUNCTION("""COMPUTED_VALUE"""),"Lam Bui")</f>
        <v>Lam Bui</v>
      </c>
      <c r="C378" s="92">
        <f>IFERROR(__xludf.DUMMYFUNCTION("""COMPUTED_VALUE"""),7.0)</f>
        <v>7</v>
      </c>
      <c r="D378" s="11"/>
      <c r="E378" s="11"/>
      <c r="F378" s="11"/>
    </row>
    <row r="379">
      <c r="A379" s="11"/>
      <c r="B379" s="17" t="str">
        <f>IFERROR(__xludf.DUMMYFUNCTION("""COMPUTED_VALUE"""),"Erik Hoeckmann")</f>
        <v>Erik Hoeckmann</v>
      </c>
      <c r="C379" s="92">
        <f>IFERROR(__xludf.DUMMYFUNCTION("""COMPUTED_VALUE"""),7.0)</f>
        <v>7</v>
      </c>
      <c r="D379" s="11"/>
      <c r="E379" s="11"/>
      <c r="F379" s="11"/>
    </row>
    <row r="380">
      <c r="A380" s="11"/>
      <c r="B380" s="17" t="str">
        <f>IFERROR(__xludf.DUMMYFUNCTION("""COMPUTED_VALUE"""),"Ramesh Bandaru")</f>
        <v>Ramesh Bandaru</v>
      </c>
      <c r="C380" s="92">
        <f>IFERROR(__xludf.DUMMYFUNCTION("""COMPUTED_VALUE"""),7.0)</f>
        <v>7</v>
      </c>
      <c r="D380" s="11"/>
      <c r="E380" s="11"/>
      <c r="F380" s="11"/>
    </row>
    <row r="381">
      <c r="A381" s="11"/>
      <c r="B381" s="17" t="str">
        <f>IFERROR(__xludf.DUMMYFUNCTION("""COMPUTED_VALUE"""),"Manuel Rivera")</f>
        <v>Manuel Rivera</v>
      </c>
      <c r="C381" s="92">
        <f>IFERROR(__xludf.DUMMYFUNCTION("""COMPUTED_VALUE"""),7.0)</f>
        <v>7</v>
      </c>
      <c r="D381" s="11"/>
      <c r="E381" s="11"/>
      <c r="F381" s="11"/>
    </row>
    <row r="382">
      <c r="A382" s="11"/>
      <c r="B382" s="17" t="str">
        <f>IFERROR(__xludf.DUMMYFUNCTION("""COMPUTED_VALUE"""),"Chinna Ponnaganti")</f>
        <v>Chinna Ponnaganti</v>
      </c>
      <c r="C382" s="92">
        <f>IFERROR(__xludf.DUMMYFUNCTION("""COMPUTED_VALUE"""),7.0)</f>
        <v>7</v>
      </c>
      <c r="D382" s="11"/>
      <c r="E382" s="11"/>
      <c r="F382" s="11"/>
    </row>
    <row r="383">
      <c r="A383" s="11"/>
      <c r="B383" s="17" t="str">
        <f>IFERROR(__xludf.DUMMYFUNCTION("""COMPUTED_VALUE"""),"Jimmy Awolesi")</f>
        <v>Jimmy Awolesi</v>
      </c>
      <c r="C383" s="92">
        <f>IFERROR(__xludf.DUMMYFUNCTION("""COMPUTED_VALUE"""),7.0)</f>
        <v>7</v>
      </c>
      <c r="D383" s="11"/>
      <c r="E383" s="11"/>
      <c r="F383" s="11"/>
    </row>
    <row r="384">
      <c r="A384" s="11"/>
      <c r="B384" s="17" t="str">
        <f>IFERROR(__xludf.DUMMYFUNCTION("""COMPUTED_VALUE"""),"Sean Chang")</f>
        <v>Sean Chang</v>
      </c>
      <c r="C384" s="92">
        <f>IFERROR(__xludf.DUMMYFUNCTION("""COMPUTED_VALUE"""),6.0)</f>
        <v>6</v>
      </c>
      <c r="D384" s="11"/>
      <c r="E384" s="11"/>
      <c r="F384" s="11"/>
    </row>
    <row r="385">
      <c r="A385" s="11"/>
      <c r="B385" s="17" t="str">
        <f>IFERROR(__xludf.DUMMYFUNCTION("""COMPUTED_VALUE"""),"Troy Wong")</f>
        <v>Troy Wong</v>
      </c>
      <c r="C385" s="92">
        <f>IFERROR(__xludf.DUMMYFUNCTION("""COMPUTED_VALUE"""),6.0)</f>
        <v>6</v>
      </c>
      <c r="D385" s="11"/>
      <c r="E385" s="11"/>
      <c r="F385" s="11"/>
    </row>
    <row r="386">
      <c r="A386" s="11"/>
      <c r="B386" s="17" t="str">
        <f>IFERROR(__xludf.DUMMYFUNCTION("""COMPUTED_VALUE"""),"Coco Yan")</f>
        <v>Coco Yan</v>
      </c>
      <c r="C386" s="92">
        <f>IFERROR(__xludf.DUMMYFUNCTION("""COMPUTED_VALUE"""),6.0)</f>
        <v>6</v>
      </c>
      <c r="D386" s="11"/>
      <c r="E386" s="11"/>
      <c r="F386" s="11"/>
    </row>
    <row r="387">
      <c r="A387" s="11"/>
      <c r="B387" s="17" t="str">
        <f>IFERROR(__xludf.DUMMYFUNCTION("""COMPUTED_VALUE"""),"Tom Le")</f>
        <v>Tom Le</v>
      </c>
      <c r="C387" s="92">
        <f>IFERROR(__xludf.DUMMYFUNCTION("""COMPUTED_VALUE"""),5.0)</f>
        <v>5</v>
      </c>
      <c r="D387" s="11"/>
      <c r="E387" s="11"/>
      <c r="F387" s="11"/>
    </row>
    <row r="388">
      <c r="A388" s="11"/>
      <c r="B388" s="17" t="str">
        <f>IFERROR(__xludf.DUMMYFUNCTION("""COMPUTED_VALUE"""),"Luis Hsu")</f>
        <v>Luis Hsu</v>
      </c>
      <c r="C388" s="92">
        <f>IFERROR(__xludf.DUMMYFUNCTION("""COMPUTED_VALUE"""),5.0)</f>
        <v>5</v>
      </c>
      <c r="D388" s="11"/>
      <c r="E388" s="11"/>
      <c r="F388" s="11"/>
    </row>
    <row r="389">
      <c r="A389" s="11"/>
      <c r="B389" s="17" t="str">
        <f>IFERROR(__xludf.DUMMYFUNCTION("""COMPUTED_VALUE"""),"Scott Li")</f>
        <v>Scott Li</v>
      </c>
      <c r="C389" s="92">
        <f>IFERROR(__xludf.DUMMYFUNCTION("""COMPUTED_VALUE"""),5.0)</f>
        <v>5</v>
      </c>
      <c r="D389" s="11"/>
      <c r="E389" s="11"/>
      <c r="F389" s="11"/>
    </row>
    <row r="390">
      <c r="A390" s="11"/>
      <c r="B390" s="17" t="str">
        <f>IFERROR(__xludf.DUMMYFUNCTION("""COMPUTED_VALUE"""),"Matthew Huang")</f>
        <v>Matthew Huang</v>
      </c>
      <c r="C390" s="92">
        <f>IFERROR(__xludf.DUMMYFUNCTION("""COMPUTED_VALUE"""),5.0)</f>
        <v>5</v>
      </c>
      <c r="D390" s="11"/>
      <c r="E390" s="11"/>
      <c r="F390" s="11"/>
    </row>
    <row r="391">
      <c r="A391" s="11"/>
      <c r="B391" s="17" t="str">
        <f>IFERROR(__xludf.DUMMYFUNCTION("""COMPUTED_VALUE"""),"Andrew Wen")</f>
        <v>Andrew Wen</v>
      </c>
      <c r="C391" s="92">
        <f>IFERROR(__xludf.DUMMYFUNCTION("""COMPUTED_VALUE"""),5.0)</f>
        <v>5</v>
      </c>
      <c r="D391" s="11"/>
      <c r="E391" s="11"/>
      <c r="F391" s="11"/>
    </row>
    <row r="392">
      <c r="A392" s="11"/>
      <c r="B392" s="17" t="str">
        <f>IFERROR(__xludf.DUMMYFUNCTION("""COMPUTED_VALUE"""),"Saravanan Veerapandian")</f>
        <v>Saravanan Veerapandian</v>
      </c>
      <c r="C392" s="92">
        <f>IFERROR(__xludf.DUMMYFUNCTION("""COMPUTED_VALUE"""),5.0)</f>
        <v>5</v>
      </c>
      <c r="D392" s="11"/>
      <c r="E392" s="11"/>
      <c r="F392" s="11"/>
    </row>
    <row r="393">
      <c r="A393" s="11"/>
      <c r="B393" s="17" t="str">
        <f>IFERROR(__xludf.DUMMYFUNCTION("""COMPUTED_VALUE"""),"Jonathan Phan")</f>
        <v>Jonathan Phan</v>
      </c>
      <c r="C393" s="92">
        <f>IFERROR(__xludf.DUMMYFUNCTION("""COMPUTED_VALUE"""),4.0)</f>
        <v>4</v>
      </c>
      <c r="D393" s="11"/>
      <c r="E393" s="11"/>
      <c r="F393" s="11"/>
    </row>
    <row r="394">
      <c r="A394" s="11"/>
      <c r="B394" s="17" t="str">
        <f>IFERROR(__xludf.DUMMYFUNCTION("""COMPUTED_VALUE"""),"David Shin")</f>
        <v>David Shin</v>
      </c>
      <c r="C394" s="92">
        <f>IFERROR(__xludf.DUMMYFUNCTION("""COMPUTED_VALUE"""),4.0)</f>
        <v>4</v>
      </c>
      <c r="D394" s="11"/>
      <c r="E394" s="11"/>
      <c r="F394" s="11"/>
    </row>
    <row r="395">
      <c r="A395" s="11"/>
      <c r="B395" s="17" t="str">
        <f>IFERROR(__xludf.DUMMYFUNCTION("""COMPUTED_VALUE"""),"Kumar Palakeel")</f>
        <v>Kumar Palakeel</v>
      </c>
      <c r="C395" s="92">
        <f>IFERROR(__xludf.DUMMYFUNCTION("""COMPUTED_VALUE"""),4.0)</f>
        <v>4</v>
      </c>
      <c r="D395" s="11"/>
      <c r="E395" s="11"/>
      <c r="F395" s="11"/>
    </row>
    <row r="396">
      <c r="A396" s="11"/>
      <c r="B396" s="17" t="str">
        <f>IFERROR(__xludf.DUMMYFUNCTION("""COMPUTED_VALUE"""),"Eric Tan")</f>
        <v>Eric Tan</v>
      </c>
      <c r="C396" s="92">
        <f>IFERROR(__xludf.DUMMYFUNCTION("""COMPUTED_VALUE"""),4.0)</f>
        <v>4</v>
      </c>
      <c r="D396" s="11"/>
      <c r="E396" s="11"/>
      <c r="F396" s="11"/>
    </row>
    <row r="397">
      <c r="A397" s="11"/>
      <c r="B397" s="17" t="str">
        <f>IFERROR(__xludf.DUMMYFUNCTION("""COMPUTED_VALUE"""),"Nicole Ni")</f>
        <v>Nicole Ni</v>
      </c>
      <c r="C397" s="92">
        <f>IFERROR(__xludf.DUMMYFUNCTION("""COMPUTED_VALUE"""),4.0)</f>
        <v>4</v>
      </c>
      <c r="D397" s="11"/>
      <c r="E397" s="11"/>
      <c r="F397" s="11"/>
    </row>
    <row r="398">
      <c r="A398" s="11"/>
      <c r="B398" s="17" t="str">
        <f>IFERROR(__xludf.DUMMYFUNCTION("""COMPUTED_VALUE"""),"Suleman Alidina")</f>
        <v>Suleman Alidina</v>
      </c>
      <c r="C398" s="92">
        <f>IFERROR(__xludf.DUMMYFUNCTION("""COMPUTED_VALUE"""),3.0)</f>
        <v>3</v>
      </c>
      <c r="D398" s="11"/>
      <c r="E398" s="11"/>
      <c r="F398" s="11"/>
    </row>
    <row r="399">
      <c r="A399" s="11"/>
      <c r="B399" s="17" t="str">
        <f>IFERROR(__xludf.DUMMYFUNCTION("""COMPUTED_VALUE"""),"Alejandro Mejia")</f>
        <v>Alejandro Mejia</v>
      </c>
      <c r="C399" s="92">
        <f>IFERROR(__xludf.DUMMYFUNCTION("""COMPUTED_VALUE"""),3.0)</f>
        <v>3</v>
      </c>
      <c r="D399" s="11"/>
      <c r="E399" s="11"/>
      <c r="F399" s="11"/>
    </row>
    <row r="400">
      <c r="A400" s="11"/>
      <c r="B400" s="17" t="str">
        <f>IFERROR(__xludf.DUMMYFUNCTION("""COMPUTED_VALUE"""),"Rajasekar Ramasamy")</f>
        <v>Rajasekar Ramasamy</v>
      </c>
      <c r="C400" s="92">
        <f>IFERROR(__xludf.DUMMYFUNCTION("""COMPUTED_VALUE"""),3.0)</f>
        <v>3</v>
      </c>
      <c r="D400" s="11"/>
      <c r="E400" s="11"/>
      <c r="F400" s="11"/>
    </row>
    <row r="401">
      <c r="A401" s="11"/>
      <c r="B401" s="17" t="str">
        <f>IFERROR(__xludf.DUMMYFUNCTION("""COMPUTED_VALUE"""),"Jim Miao")</f>
        <v>Jim Miao</v>
      </c>
      <c r="C401" s="92">
        <f>IFERROR(__xludf.DUMMYFUNCTION("""COMPUTED_VALUE"""),3.0)</f>
        <v>3</v>
      </c>
      <c r="D401" s="11"/>
      <c r="E401" s="11"/>
      <c r="F401" s="11"/>
    </row>
    <row r="402">
      <c r="A402" s="11"/>
      <c r="B402" s="17" t="str">
        <f>IFERROR(__xludf.DUMMYFUNCTION("""COMPUTED_VALUE"""),"Adrian Tay")</f>
        <v>Adrian Tay</v>
      </c>
      <c r="C402" s="92">
        <f>IFERROR(__xludf.DUMMYFUNCTION("""COMPUTED_VALUE"""),2.0)</f>
        <v>2</v>
      </c>
      <c r="D402" s="11"/>
      <c r="E402" s="11"/>
      <c r="F402" s="11"/>
    </row>
    <row r="403">
      <c r="A403" s="11"/>
      <c r="B403" s="17" t="str">
        <f>IFERROR(__xludf.DUMMYFUNCTION("""COMPUTED_VALUE"""),"Herman Au")</f>
        <v>Herman Au</v>
      </c>
      <c r="C403" s="92">
        <f>IFERROR(__xludf.DUMMYFUNCTION("""COMPUTED_VALUE"""),2.0)</f>
        <v>2</v>
      </c>
      <c r="D403" s="11"/>
      <c r="E403" s="11"/>
      <c r="F403" s="11"/>
    </row>
    <row r="404">
      <c r="A404" s="11"/>
      <c r="B404" s="17" t="str">
        <f>IFERROR(__xludf.DUMMYFUNCTION("""COMPUTED_VALUE"""),"Wayne Liu")</f>
        <v>Wayne Liu</v>
      </c>
      <c r="C404" s="92">
        <f>IFERROR(__xludf.DUMMYFUNCTION("""COMPUTED_VALUE"""),2.0)</f>
        <v>2</v>
      </c>
      <c r="D404" s="11"/>
      <c r="E404" s="11"/>
      <c r="F404" s="11"/>
    </row>
    <row r="405">
      <c r="A405" s="11"/>
      <c r="B405" s="17" t="str">
        <f>IFERROR(__xludf.DUMMYFUNCTION("""COMPUTED_VALUE"""),"Ted Shen")</f>
        <v>Ted Shen</v>
      </c>
      <c r="C405" s="92">
        <f>IFERROR(__xludf.DUMMYFUNCTION("""COMPUTED_VALUE"""),1.0)</f>
        <v>1</v>
      </c>
      <c r="D405" s="11"/>
      <c r="E405" s="11"/>
      <c r="F405" s="11"/>
    </row>
    <row r="406">
      <c r="A406" s="11"/>
      <c r="B406" s="17" t="str">
        <f>IFERROR(__xludf.DUMMYFUNCTION("""COMPUTED_VALUE"""),"Joe Luzzi")</f>
        <v>Joe Luzzi</v>
      </c>
      <c r="C406" s="92">
        <f>IFERROR(__xludf.DUMMYFUNCTION("""COMPUTED_VALUE"""),1.0)</f>
        <v>1</v>
      </c>
      <c r="D406" s="11"/>
      <c r="E406" s="11"/>
      <c r="F406" s="11"/>
    </row>
    <row r="407">
      <c r="A407" s="11"/>
      <c r="B407" s="17" t="str">
        <f>IFERROR(__xludf.DUMMYFUNCTION("""COMPUTED_VALUE"""),"Frank Moon")</f>
        <v>Frank Moon</v>
      </c>
      <c r="C407" s="92">
        <f>IFERROR(__xludf.DUMMYFUNCTION("""COMPUTED_VALUE"""),1.0)</f>
        <v>1</v>
      </c>
      <c r="D407" s="11"/>
      <c r="E407" s="11"/>
      <c r="F407" s="11"/>
    </row>
    <row r="408">
      <c r="A408" s="11"/>
      <c r="B408" s="17" t="str">
        <f>IFERROR(__xludf.DUMMYFUNCTION("""COMPUTED_VALUE"""),"Arun Mallikarjuna")</f>
        <v>Arun Mallikarjuna</v>
      </c>
      <c r="C408" s="92">
        <f>IFERROR(__xludf.DUMMYFUNCTION("""COMPUTED_VALUE"""),1.0)</f>
        <v>1</v>
      </c>
      <c r="D408" s="11"/>
      <c r="E408" s="11"/>
      <c r="F408" s="11"/>
    </row>
    <row r="409">
      <c r="A409" s="11"/>
      <c r="B409" s="17" t="str">
        <f>IFERROR(__xludf.DUMMYFUNCTION("""COMPUTED_VALUE"""),"Alex Hou")</f>
        <v>Alex Hou</v>
      </c>
      <c r="C409" s="92">
        <f>IFERROR(__xludf.DUMMYFUNCTION("""COMPUTED_VALUE"""),1.0)</f>
        <v>1</v>
      </c>
      <c r="D409" s="11"/>
      <c r="E409" s="11"/>
      <c r="F409" s="11"/>
    </row>
    <row r="410">
      <c r="A410" s="11"/>
      <c r="C410" s="11"/>
      <c r="D410" s="11"/>
      <c r="E410" s="11"/>
      <c r="F410" s="11"/>
    </row>
    <row r="411">
      <c r="A411" s="11"/>
      <c r="C411" s="11"/>
      <c r="D411" s="11"/>
      <c r="E411" s="11"/>
      <c r="F411" s="11"/>
    </row>
    <row r="412">
      <c r="A412" s="11"/>
      <c r="C412" s="11"/>
      <c r="D412" s="11"/>
      <c r="E412" s="11"/>
      <c r="F412" s="11"/>
    </row>
    <row r="413">
      <c r="A413" s="11"/>
      <c r="C413" s="11"/>
      <c r="D413" s="11"/>
      <c r="E413" s="11"/>
      <c r="F413" s="11"/>
    </row>
    <row r="414">
      <c r="A414" s="11"/>
      <c r="C414" s="11"/>
      <c r="D414" s="11"/>
      <c r="E414" s="11"/>
      <c r="F414" s="11"/>
    </row>
    <row r="415">
      <c r="A415" s="11"/>
      <c r="C415" s="11"/>
      <c r="D415" s="11"/>
      <c r="E415" s="11"/>
      <c r="F415" s="11"/>
    </row>
    <row r="416">
      <c r="A416" s="11"/>
      <c r="C416" s="11"/>
      <c r="D416" s="11"/>
      <c r="E416" s="11"/>
      <c r="F416" s="11"/>
    </row>
    <row r="417">
      <c r="A417" s="11"/>
      <c r="C417" s="11"/>
      <c r="D417" s="11"/>
      <c r="E417" s="11"/>
      <c r="F417" s="11"/>
    </row>
    <row r="418">
      <c r="A418" s="11"/>
      <c r="C418" s="11"/>
      <c r="D418" s="11"/>
      <c r="E418" s="11"/>
      <c r="F418" s="11"/>
    </row>
    <row r="419">
      <c r="A419" s="11"/>
      <c r="C419" s="11"/>
      <c r="D419" s="11"/>
      <c r="E419" s="11"/>
      <c r="F419" s="11"/>
    </row>
    <row r="420">
      <c r="A420" s="11"/>
      <c r="C420" s="11"/>
      <c r="D420" s="11"/>
      <c r="E420" s="11"/>
      <c r="F420" s="11"/>
    </row>
    <row r="421">
      <c r="A421" s="11"/>
      <c r="C421" s="11"/>
      <c r="D421" s="11"/>
      <c r="E421" s="11"/>
      <c r="F421" s="11"/>
    </row>
    <row r="422">
      <c r="A422" s="11"/>
      <c r="C422" s="11"/>
      <c r="D422" s="11"/>
      <c r="E422" s="11"/>
      <c r="F422" s="11"/>
    </row>
    <row r="423">
      <c r="A423" s="11"/>
      <c r="C423" s="11"/>
      <c r="D423" s="11"/>
      <c r="E423" s="11"/>
      <c r="F423" s="11"/>
    </row>
    <row r="424">
      <c r="A424" s="11"/>
      <c r="C424" s="11"/>
      <c r="D424" s="11"/>
      <c r="E424" s="11"/>
      <c r="F424" s="11"/>
    </row>
    <row r="425">
      <c r="A425" s="11"/>
      <c r="C425" s="11"/>
      <c r="D425" s="11"/>
      <c r="E425" s="11"/>
      <c r="F425" s="11"/>
    </row>
    <row r="426">
      <c r="A426" s="11"/>
      <c r="C426" s="11"/>
      <c r="D426" s="11"/>
      <c r="E426" s="11"/>
      <c r="F426" s="11"/>
    </row>
    <row r="427">
      <c r="A427" s="11"/>
      <c r="C427" s="11"/>
      <c r="D427" s="11"/>
      <c r="E427" s="11"/>
      <c r="F427" s="11"/>
    </row>
    <row r="428">
      <c r="A428" s="11"/>
      <c r="C428" s="11"/>
      <c r="D428" s="11"/>
      <c r="E428" s="11"/>
      <c r="F428" s="11"/>
    </row>
    <row r="429">
      <c r="A429" s="11"/>
      <c r="C429" s="11"/>
      <c r="D429" s="11"/>
      <c r="E429" s="11"/>
      <c r="F429" s="11"/>
    </row>
    <row r="430">
      <c r="A430" s="11"/>
      <c r="C430" s="11"/>
      <c r="D430" s="11"/>
      <c r="E430" s="11"/>
      <c r="F430" s="11"/>
    </row>
    <row r="431">
      <c r="A431" s="11"/>
      <c r="C431" s="11"/>
      <c r="D431" s="11"/>
      <c r="E431" s="11"/>
      <c r="F431" s="11"/>
    </row>
    <row r="432">
      <c r="A432" s="11"/>
      <c r="C432" s="11"/>
      <c r="D432" s="11"/>
      <c r="E432" s="11"/>
      <c r="F432" s="11"/>
    </row>
    <row r="433">
      <c r="A433" s="11"/>
      <c r="C433" s="11"/>
      <c r="D433" s="11"/>
      <c r="E433" s="11"/>
      <c r="F433" s="11"/>
    </row>
    <row r="434">
      <c r="A434" s="11"/>
      <c r="C434" s="11"/>
      <c r="D434" s="11"/>
      <c r="E434" s="11"/>
      <c r="F434" s="11"/>
    </row>
    <row r="435">
      <c r="A435" s="11"/>
      <c r="C435" s="11"/>
      <c r="D435" s="11"/>
      <c r="E435" s="11"/>
      <c r="F435" s="11"/>
    </row>
    <row r="436">
      <c r="A436" s="11"/>
      <c r="C436" s="11"/>
      <c r="D436" s="11"/>
      <c r="E436" s="11"/>
      <c r="F436" s="11"/>
    </row>
    <row r="437">
      <c r="A437" s="11"/>
      <c r="C437" s="11"/>
      <c r="D437" s="11"/>
      <c r="E437" s="11"/>
      <c r="F437" s="11"/>
    </row>
    <row r="438">
      <c r="A438" s="11"/>
      <c r="C438" s="11"/>
      <c r="D438" s="11"/>
      <c r="E438" s="11"/>
      <c r="F438" s="11"/>
    </row>
    <row r="439">
      <c r="A439" s="11"/>
      <c r="C439" s="11"/>
      <c r="D439" s="11"/>
      <c r="E439" s="11"/>
      <c r="F439" s="11"/>
    </row>
    <row r="440">
      <c r="A440" s="11"/>
      <c r="C440" s="11"/>
      <c r="D440" s="11"/>
      <c r="E440" s="11"/>
      <c r="F440" s="11"/>
    </row>
    <row r="441">
      <c r="A441" s="11"/>
      <c r="C441" s="11"/>
      <c r="D441" s="11"/>
      <c r="E441" s="11"/>
      <c r="F441" s="11"/>
    </row>
    <row r="442">
      <c r="A442" s="11"/>
      <c r="C442" s="11"/>
      <c r="D442" s="11"/>
      <c r="E442" s="11"/>
      <c r="F442" s="11"/>
    </row>
    <row r="443">
      <c r="A443" s="11"/>
      <c r="C443" s="11"/>
      <c r="D443" s="11"/>
      <c r="E443" s="11"/>
      <c r="F443" s="11"/>
    </row>
    <row r="444">
      <c r="A444" s="11"/>
      <c r="C444" s="11"/>
      <c r="D444" s="11"/>
      <c r="E444" s="11"/>
      <c r="F444" s="11"/>
    </row>
    <row r="445">
      <c r="A445" s="11"/>
      <c r="C445" s="11"/>
      <c r="D445" s="11"/>
      <c r="E445" s="11"/>
      <c r="F445" s="11"/>
    </row>
    <row r="446">
      <c r="A446" s="11"/>
      <c r="C446" s="11"/>
      <c r="D446" s="11"/>
      <c r="E446" s="11"/>
      <c r="F446" s="11"/>
    </row>
    <row r="447">
      <c r="A447" s="11"/>
      <c r="C447" s="11"/>
      <c r="D447" s="11"/>
      <c r="E447" s="11"/>
      <c r="F447" s="11"/>
    </row>
    <row r="448">
      <c r="A448" s="11"/>
      <c r="C448" s="11"/>
      <c r="D448" s="11"/>
      <c r="E448" s="11"/>
      <c r="F448" s="11"/>
    </row>
    <row r="449">
      <c r="A449" s="11"/>
      <c r="C449" s="11"/>
      <c r="D449" s="11"/>
      <c r="E449" s="11"/>
      <c r="F449" s="11"/>
    </row>
    <row r="450">
      <c r="A450" s="11"/>
      <c r="C450" s="11"/>
      <c r="D450" s="11"/>
      <c r="E450" s="11"/>
      <c r="F450" s="11"/>
    </row>
    <row r="451">
      <c r="A451" s="11"/>
      <c r="C451" s="11"/>
      <c r="D451" s="11"/>
      <c r="E451" s="11"/>
      <c r="F451" s="11"/>
    </row>
    <row r="452">
      <c r="A452" s="11"/>
      <c r="C452" s="11"/>
      <c r="D452" s="11"/>
      <c r="E452" s="11"/>
      <c r="F452" s="11"/>
    </row>
    <row r="453">
      <c r="A453" s="11"/>
      <c r="C453" s="11"/>
      <c r="D453" s="11"/>
      <c r="E453" s="11"/>
      <c r="F453" s="11"/>
    </row>
    <row r="454">
      <c r="A454" s="11"/>
      <c r="C454" s="11"/>
      <c r="D454" s="11"/>
      <c r="E454" s="11"/>
      <c r="F454" s="11"/>
    </row>
    <row r="455">
      <c r="A455" s="11"/>
      <c r="C455" s="11"/>
      <c r="D455" s="11"/>
      <c r="E455" s="11"/>
      <c r="F455" s="11"/>
    </row>
    <row r="456">
      <c r="A456" s="11"/>
      <c r="C456" s="11"/>
      <c r="D456" s="11"/>
      <c r="E456" s="11"/>
      <c r="F456" s="11"/>
    </row>
    <row r="457">
      <c r="A457" s="11"/>
      <c r="C457" s="11"/>
      <c r="D457" s="11"/>
      <c r="E457" s="11"/>
      <c r="F457" s="11"/>
    </row>
    <row r="458">
      <c r="A458" s="11"/>
      <c r="C458" s="11"/>
      <c r="D458" s="11"/>
      <c r="E458" s="11"/>
      <c r="F458" s="11"/>
    </row>
    <row r="459">
      <c r="A459" s="11"/>
      <c r="C459" s="11"/>
      <c r="D459" s="11"/>
      <c r="E459" s="11"/>
      <c r="F459" s="11"/>
    </row>
    <row r="460">
      <c r="A460" s="11"/>
      <c r="C460" s="11"/>
      <c r="D460" s="11"/>
      <c r="E460" s="11"/>
      <c r="F460" s="11"/>
    </row>
    <row r="461">
      <c r="A461" s="11"/>
      <c r="C461" s="11"/>
      <c r="D461" s="11"/>
      <c r="E461" s="11"/>
      <c r="F461" s="11"/>
    </row>
    <row r="462">
      <c r="A462" s="11"/>
      <c r="C462" s="11"/>
      <c r="D462" s="11"/>
      <c r="E462" s="11"/>
      <c r="F462" s="11"/>
    </row>
    <row r="463">
      <c r="A463" s="11"/>
      <c r="C463" s="11"/>
      <c r="D463" s="11"/>
      <c r="E463" s="11"/>
      <c r="F463" s="11"/>
    </row>
    <row r="464">
      <c r="A464" s="11"/>
      <c r="C464" s="11"/>
      <c r="D464" s="11"/>
      <c r="E464" s="11"/>
      <c r="F464" s="11"/>
    </row>
    <row r="465">
      <c r="A465" s="11"/>
      <c r="C465" s="11"/>
      <c r="D465" s="11"/>
      <c r="E465" s="11"/>
      <c r="F465" s="11"/>
    </row>
    <row r="466">
      <c r="A466" s="11"/>
      <c r="C466" s="11"/>
      <c r="D466" s="11"/>
      <c r="E466" s="11"/>
      <c r="F466" s="11"/>
    </row>
    <row r="467">
      <c r="A467" s="11"/>
      <c r="C467" s="11"/>
      <c r="D467" s="11"/>
      <c r="E467" s="11"/>
      <c r="F467" s="11"/>
    </row>
    <row r="468">
      <c r="A468" s="11"/>
      <c r="C468" s="11"/>
      <c r="D468" s="11"/>
      <c r="E468" s="11"/>
      <c r="F468" s="11"/>
    </row>
    <row r="469">
      <c r="A469" s="11"/>
      <c r="C469" s="11"/>
      <c r="D469" s="11"/>
      <c r="E469" s="11"/>
      <c r="F469" s="11"/>
    </row>
    <row r="470">
      <c r="A470" s="11"/>
      <c r="C470" s="11"/>
      <c r="D470" s="11"/>
      <c r="E470" s="11"/>
      <c r="F470" s="11"/>
    </row>
    <row r="471">
      <c r="A471" s="11"/>
      <c r="C471" s="11"/>
      <c r="D471" s="11"/>
      <c r="E471" s="11"/>
      <c r="F471" s="11"/>
    </row>
    <row r="472">
      <c r="A472" s="11"/>
      <c r="C472" s="11"/>
      <c r="D472" s="11"/>
      <c r="E472" s="11"/>
      <c r="F472" s="11"/>
    </row>
    <row r="473">
      <c r="A473" s="11"/>
      <c r="C473" s="11"/>
      <c r="D473" s="11"/>
      <c r="E473" s="11"/>
      <c r="F473" s="11"/>
    </row>
    <row r="474">
      <c r="A474" s="11"/>
      <c r="C474" s="11"/>
      <c r="D474" s="11"/>
      <c r="E474" s="11"/>
      <c r="F474" s="11"/>
    </row>
    <row r="475">
      <c r="A475" s="11"/>
      <c r="C475" s="11"/>
      <c r="D475" s="11"/>
      <c r="E475" s="11"/>
      <c r="F475" s="11"/>
    </row>
    <row r="476">
      <c r="A476" s="11"/>
      <c r="C476" s="11"/>
      <c r="D476" s="11"/>
      <c r="E476" s="11"/>
      <c r="F476" s="11"/>
    </row>
    <row r="477">
      <c r="A477" s="11"/>
      <c r="C477" s="11"/>
      <c r="D477" s="11"/>
      <c r="E477" s="11"/>
      <c r="F477" s="11"/>
    </row>
    <row r="478">
      <c r="A478" s="11"/>
      <c r="C478" s="11"/>
      <c r="D478" s="11"/>
      <c r="E478" s="11"/>
      <c r="F478" s="11"/>
    </row>
    <row r="479">
      <c r="A479" s="11"/>
      <c r="C479" s="11"/>
      <c r="D479" s="11"/>
      <c r="E479" s="11"/>
      <c r="F479" s="11"/>
    </row>
    <row r="480">
      <c r="A480" s="11"/>
      <c r="C480" s="11"/>
      <c r="D480" s="11"/>
      <c r="E480" s="11"/>
      <c r="F480" s="11"/>
    </row>
    <row r="481">
      <c r="A481" s="11"/>
      <c r="C481" s="11"/>
      <c r="D481" s="11"/>
      <c r="E481" s="11"/>
      <c r="F481" s="11"/>
    </row>
    <row r="482">
      <c r="A482" s="11"/>
      <c r="C482" s="11"/>
      <c r="D482" s="11"/>
      <c r="E482" s="11"/>
      <c r="F482" s="11"/>
    </row>
    <row r="483">
      <c r="A483" s="11"/>
      <c r="C483" s="11"/>
      <c r="D483" s="11"/>
      <c r="E483" s="11"/>
      <c r="F483" s="11"/>
    </row>
    <row r="484">
      <c r="A484" s="11"/>
      <c r="C484" s="11"/>
      <c r="D484" s="11"/>
      <c r="E484" s="11"/>
      <c r="F484" s="11"/>
    </row>
    <row r="485">
      <c r="A485" s="11"/>
      <c r="C485" s="11"/>
      <c r="D485" s="11"/>
      <c r="E485" s="11"/>
      <c r="F485" s="11"/>
    </row>
    <row r="486">
      <c r="A486" s="11"/>
      <c r="C486" s="11"/>
      <c r="D486" s="11"/>
      <c r="E486" s="11"/>
      <c r="F486" s="11"/>
    </row>
    <row r="487">
      <c r="A487" s="11"/>
      <c r="C487" s="11"/>
      <c r="D487" s="11"/>
      <c r="E487" s="11"/>
      <c r="F487" s="11"/>
    </row>
    <row r="488">
      <c r="A488" s="11"/>
      <c r="C488" s="11"/>
      <c r="D488" s="11"/>
      <c r="E488" s="11"/>
      <c r="F488" s="11"/>
    </row>
    <row r="489">
      <c r="A489" s="11"/>
      <c r="C489" s="11"/>
      <c r="D489" s="11"/>
      <c r="E489" s="11"/>
      <c r="F489" s="11"/>
    </row>
    <row r="490">
      <c r="A490" s="11"/>
      <c r="C490" s="11"/>
      <c r="D490" s="11"/>
      <c r="E490" s="11"/>
      <c r="F490" s="11"/>
    </row>
    <row r="491">
      <c r="A491" s="11"/>
      <c r="C491" s="11"/>
      <c r="D491" s="11"/>
      <c r="E491" s="11"/>
      <c r="F491" s="11"/>
    </row>
    <row r="492">
      <c r="A492" s="11"/>
      <c r="C492" s="11"/>
      <c r="D492" s="11"/>
      <c r="E492" s="11"/>
      <c r="F492" s="11"/>
    </row>
    <row r="493">
      <c r="A493" s="11"/>
      <c r="C493" s="11"/>
      <c r="D493" s="11"/>
      <c r="E493" s="11"/>
      <c r="F493" s="11"/>
    </row>
    <row r="494">
      <c r="A494" s="11"/>
      <c r="C494" s="11"/>
      <c r="D494" s="11"/>
      <c r="E494" s="11"/>
      <c r="F494" s="11"/>
    </row>
    <row r="495">
      <c r="A495" s="11"/>
      <c r="C495" s="11"/>
      <c r="D495" s="11"/>
      <c r="E495" s="11"/>
      <c r="F495" s="11"/>
    </row>
    <row r="496">
      <c r="A496" s="11"/>
      <c r="C496" s="11"/>
      <c r="D496" s="11"/>
      <c r="E496" s="11"/>
      <c r="F496" s="11"/>
    </row>
    <row r="497">
      <c r="A497" s="11"/>
      <c r="C497" s="11"/>
      <c r="D497" s="11"/>
      <c r="E497" s="11"/>
      <c r="F497" s="11"/>
    </row>
    <row r="498">
      <c r="A498" s="11"/>
      <c r="C498" s="11"/>
      <c r="D498" s="11"/>
      <c r="E498" s="11"/>
      <c r="F498" s="11"/>
    </row>
    <row r="499">
      <c r="A499" s="11"/>
      <c r="C499" s="11"/>
      <c r="D499" s="11"/>
      <c r="E499" s="11"/>
      <c r="F499" s="11"/>
    </row>
    <row r="500">
      <c r="A500" s="11"/>
      <c r="C500" s="11"/>
      <c r="D500" s="11"/>
      <c r="E500" s="11"/>
      <c r="F500" s="11"/>
    </row>
    <row r="501">
      <c r="A501" s="11"/>
      <c r="C501" s="11"/>
      <c r="D501" s="11"/>
      <c r="E501" s="11"/>
      <c r="F501" s="11"/>
    </row>
    <row r="502">
      <c r="A502" s="11"/>
      <c r="C502" s="11"/>
      <c r="D502" s="11"/>
      <c r="E502" s="11"/>
      <c r="F502" s="11"/>
    </row>
    <row r="503">
      <c r="A503" s="11"/>
      <c r="C503" s="11"/>
      <c r="D503" s="11"/>
      <c r="E503" s="11"/>
      <c r="F503" s="11"/>
    </row>
    <row r="504">
      <c r="A504" s="11"/>
      <c r="C504" s="11"/>
      <c r="D504" s="11"/>
      <c r="E504" s="11"/>
      <c r="F504" s="11"/>
    </row>
    <row r="505">
      <c r="A505" s="11"/>
      <c r="C505" s="11"/>
      <c r="D505" s="11"/>
      <c r="E505" s="11"/>
      <c r="F505" s="11"/>
    </row>
    <row r="506">
      <c r="A506" s="11"/>
      <c r="C506" s="11"/>
      <c r="D506" s="11"/>
      <c r="E506" s="11"/>
      <c r="F506" s="11"/>
    </row>
    <row r="507">
      <c r="A507" s="11"/>
      <c r="C507" s="11"/>
      <c r="D507" s="11"/>
      <c r="E507" s="11"/>
      <c r="F507" s="11"/>
    </row>
    <row r="508">
      <c r="A508" s="11"/>
      <c r="C508" s="11"/>
      <c r="D508" s="11"/>
      <c r="E508" s="11"/>
      <c r="F508" s="11"/>
    </row>
    <row r="509">
      <c r="A509" s="11"/>
      <c r="C509" s="11"/>
      <c r="D509" s="11"/>
      <c r="E509" s="11"/>
      <c r="F509" s="11"/>
    </row>
    <row r="510">
      <c r="A510" s="11"/>
      <c r="C510" s="11"/>
      <c r="D510" s="11"/>
      <c r="E510" s="11"/>
      <c r="F510" s="11"/>
    </row>
    <row r="511">
      <c r="A511" s="11"/>
      <c r="C511" s="11"/>
      <c r="D511" s="11"/>
      <c r="E511" s="11"/>
      <c r="F511" s="11"/>
    </row>
    <row r="512">
      <c r="A512" s="11"/>
      <c r="C512" s="11"/>
      <c r="D512" s="11"/>
      <c r="E512" s="11"/>
      <c r="F512" s="11"/>
    </row>
    <row r="513">
      <c r="A513" s="11"/>
      <c r="C513" s="11"/>
      <c r="D513" s="11"/>
      <c r="E513" s="11"/>
      <c r="F513" s="11"/>
    </row>
    <row r="514">
      <c r="A514" s="11"/>
      <c r="C514" s="11"/>
      <c r="D514" s="11"/>
      <c r="E514" s="11"/>
      <c r="F514" s="11"/>
    </row>
    <row r="515">
      <c r="A515" s="11"/>
      <c r="C515" s="11"/>
      <c r="D515" s="11"/>
      <c r="E515" s="11"/>
      <c r="F515" s="11"/>
    </row>
    <row r="516">
      <c r="A516" s="11"/>
      <c r="C516" s="11"/>
      <c r="D516" s="11"/>
      <c r="E516" s="11"/>
      <c r="F516" s="11"/>
    </row>
    <row r="517">
      <c r="A517" s="11"/>
      <c r="C517" s="11"/>
      <c r="D517" s="11"/>
      <c r="E517" s="11"/>
      <c r="F517" s="11"/>
    </row>
    <row r="518">
      <c r="A518" s="11"/>
      <c r="C518" s="11"/>
      <c r="D518" s="11"/>
      <c r="E518" s="11"/>
      <c r="F518" s="11"/>
    </row>
    <row r="519">
      <c r="A519" s="11"/>
      <c r="C519" s="11"/>
      <c r="D519" s="11"/>
      <c r="E519" s="11"/>
      <c r="F519" s="11"/>
    </row>
    <row r="520">
      <c r="A520" s="11"/>
      <c r="C520" s="11"/>
      <c r="D520" s="11"/>
      <c r="E520" s="11"/>
      <c r="F520" s="11"/>
    </row>
    <row r="521">
      <c r="A521" s="11"/>
      <c r="C521" s="11"/>
      <c r="D521" s="11"/>
      <c r="E521" s="11"/>
      <c r="F521" s="11"/>
    </row>
    <row r="522">
      <c r="A522" s="11"/>
      <c r="C522" s="11"/>
      <c r="D522" s="11"/>
      <c r="E522" s="11"/>
      <c r="F522" s="11"/>
    </row>
    <row r="523">
      <c r="A523" s="11"/>
      <c r="C523" s="11"/>
      <c r="D523" s="11"/>
      <c r="E523" s="11"/>
      <c r="F523" s="11"/>
    </row>
    <row r="524">
      <c r="A524" s="11"/>
      <c r="C524" s="11"/>
      <c r="D524" s="11"/>
      <c r="E524" s="11"/>
      <c r="F524" s="11"/>
    </row>
    <row r="525">
      <c r="A525" s="11"/>
      <c r="C525" s="11"/>
      <c r="D525" s="11"/>
      <c r="E525" s="11"/>
      <c r="F525" s="11"/>
    </row>
    <row r="526">
      <c r="A526" s="11"/>
      <c r="C526" s="11"/>
      <c r="D526" s="11"/>
      <c r="E526" s="11"/>
      <c r="F526" s="11"/>
    </row>
    <row r="527">
      <c r="A527" s="11"/>
      <c r="C527" s="11"/>
      <c r="D527" s="11"/>
      <c r="E527" s="11"/>
      <c r="F527" s="11"/>
    </row>
    <row r="528">
      <c r="A528" s="11"/>
      <c r="C528" s="11"/>
      <c r="D528" s="11"/>
      <c r="E528" s="11"/>
      <c r="F528" s="11"/>
    </row>
    <row r="529">
      <c r="A529" s="11"/>
      <c r="C529" s="11"/>
      <c r="D529" s="11"/>
      <c r="E529" s="11"/>
      <c r="F529" s="11"/>
    </row>
    <row r="530">
      <c r="A530" s="11"/>
      <c r="C530" s="11"/>
      <c r="D530" s="11"/>
      <c r="E530" s="11"/>
      <c r="F530" s="11"/>
    </row>
    <row r="531">
      <c r="A531" s="11"/>
      <c r="C531" s="11"/>
      <c r="D531" s="11"/>
      <c r="E531" s="11"/>
      <c r="F531" s="11"/>
    </row>
    <row r="532">
      <c r="A532" s="11"/>
      <c r="C532" s="11"/>
      <c r="D532" s="11"/>
      <c r="E532" s="11"/>
      <c r="F532" s="11"/>
    </row>
    <row r="533">
      <c r="A533" s="11"/>
      <c r="C533" s="11"/>
      <c r="D533" s="11"/>
      <c r="E533" s="11"/>
      <c r="F533" s="11"/>
    </row>
    <row r="534">
      <c r="A534" s="11"/>
      <c r="C534" s="11"/>
      <c r="D534" s="11"/>
      <c r="E534" s="11"/>
      <c r="F534" s="11"/>
    </row>
    <row r="535">
      <c r="A535" s="11"/>
      <c r="C535" s="11"/>
      <c r="D535" s="11"/>
      <c r="E535" s="11"/>
      <c r="F535" s="11"/>
    </row>
    <row r="536">
      <c r="A536" s="11"/>
      <c r="C536" s="11"/>
      <c r="D536" s="11"/>
      <c r="E536" s="11"/>
      <c r="F536" s="11"/>
    </row>
    <row r="537">
      <c r="A537" s="11"/>
      <c r="C537" s="11"/>
      <c r="D537" s="11"/>
      <c r="E537" s="11"/>
      <c r="F537" s="11"/>
    </row>
    <row r="538">
      <c r="A538" s="11"/>
      <c r="C538" s="11"/>
      <c r="D538" s="11"/>
      <c r="E538" s="11"/>
      <c r="F538" s="11"/>
    </row>
    <row r="539">
      <c r="A539" s="11"/>
      <c r="C539" s="11"/>
      <c r="D539" s="11"/>
      <c r="E539" s="11"/>
      <c r="F539" s="11"/>
    </row>
    <row r="540">
      <c r="A540" s="11"/>
      <c r="C540" s="11"/>
      <c r="D540" s="11"/>
      <c r="E540" s="11"/>
      <c r="F540" s="11"/>
    </row>
    <row r="541">
      <c r="A541" s="11"/>
      <c r="C541" s="11"/>
      <c r="D541" s="11"/>
      <c r="E541" s="11"/>
      <c r="F541" s="11"/>
    </row>
    <row r="542">
      <c r="A542" s="11"/>
      <c r="C542" s="11"/>
      <c r="D542" s="11"/>
      <c r="E542" s="11"/>
      <c r="F542" s="11"/>
    </row>
    <row r="543">
      <c r="A543" s="11"/>
      <c r="C543" s="11"/>
      <c r="D543" s="11"/>
      <c r="E543" s="11"/>
      <c r="F543" s="11"/>
    </row>
    <row r="544">
      <c r="A544" s="11"/>
      <c r="C544" s="11"/>
      <c r="D544" s="11"/>
      <c r="E544" s="11"/>
      <c r="F544" s="11"/>
    </row>
    <row r="545">
      <c r="A545" s="11"/>
      <c r="C545" s="11"/>
      <c r="D545" s="11"/>
      <c r="E545" s="11"/>
      <c r="F545" s="11"/>
    </row>
    <row r="546">
      <c r="A546" s="11"/>
      <c r="C546" s="11"/>
      <c r="D546" s="11"/>
      <c r="E546" s="11"/>
      <c r="F546" s="11"/>
    </row>
    <row r="547">
      <c r="A547" s="11"/>
      <c r="C547" s="11"/>
      <c r="D547" s="11"/>
      <c r="E547" s="11"/>
      <c r="F547" s="11"/>
    </row>
    <row r="548">
      <c r="A548" s="11"/>
      <c r="C548" s="11"/>
      <c r="D548" s="11"/>
      <c r="E548" s="11"/>
      <c r="F548" s="11"/>
    </row>
    <row r="549">
      <c r="A549" s="11"/>
      <c r="C549" s="11"/>
      <c r="D549" s="11"/>
      <c r="E549" s="11"/>
      <c r="F549" s="11"/>
    </row>
    <row r="550">
      <c r="A550" s="11"/>
      <c r="C550" s="11"/>
      <c r="D550" s="11"/>
      <c r="E550" s="11"/>
      <c r="F550" s="11"/>
    </row>
    <row r="551">
      <c r="A551" s="11"/>
      <c r="C551" s="11"/>
      <c r="D551" s="11"/>
      <c r="E551" s="11"/>
      <c r="F551" s="11"/>
    </row>
    <row r="552">
      <c r="A552" s="11"/>
      <c r="C552" s="11"/>
      <c r="D552" s="11"/>
      <c r="E552" s="11"/>
      <c r="F552" s="11"/>
    </row>
    <row r="553">
      <c r="A553" s="11"/>
      <c r="C553" s="11"/>
      <c r="D553" s="11"/>
      <c r="E553" s="11"/>
      <c r="F553" s="11"/>
    </row>
    <row r="554">
      <c r="A554" s="11"/>
      <c r="C554" s="11"/>
      <c r="D554" s="11"/>
      <c r="E554" s="11"/>
      <c r="F554" s="11"/>
    </row>
    <row r="555">
      <c r="A555" s="11"/>
      <c r="C555" s="11"/>
      <c r="D555" s="11"/>
      <c r="E555" s="11"/>
      <c r="F555" s="11"/>
    </row>
    <row r="556">
      <c r="A556" s="11"/>
      <c r="C556" s="11"/>
      <c r="D556" s="11"/>
      <c r="E556" s="11"/>
      <c r="F556" s="11"/>
    </row>
    <row r="557">
      <c r="A557" s="11"/>
      <c r="C557" s="11"/>
      <c r="D557" s="11"/>
      <c r="E557" s="11"/>
      <c r="F557" s="11"/>
    </row>
    <row r="558">
      <c r="A558" s="11"/>
      <c r="C558" s="11"/>
      <c r="D558" s="11"/>
      <c r="E558" s="11"/>
      <c r="F558" s="11"/>
    </row>
    <row r="559">
      <c r="A559" s="11"/>
      <c r="C559" s="11"/>
      <c r="D559" s="11"/>
      <c r="E559" s="11"/>
      <c r="F559" s="11"/>
    </row>
    <row r="560">
      <c r="A560" s="11"/>
      <c r="C560" s="11"/>
      <c r="D560" s="11"/>
      <c r="E560" s="11"/>
      <c r="F560" s="11"/>
    </row>
    <row r="561">
      <c r="A561" s="11"/>
      <c r="C561" s="11"/>
      <c r="D561" s="11"/>
      <c r="E561" s="11"/>
      <c r="F561" s="11"/>
    </row>
    <row r="562">
      <c r="A562" s="11"/>
      <c r="C562" s="11"/>
      <c r="D562" s="11"/>
      <c r="E562" s="11"/>
      <c r="F562" s="11"/>
    </row>
    <row r="563">
      <c r="A563" s="11"/>
      <c r="C563" s="11"/>
      <c r="D563" s="11"/>
      <c r="E563" s="11"/>
      <c r="F563" s="11"/>
    </row>
    <row r="564">
      <c r="A564" s="11"/>
      <c r="C564" s="11"/>
      <c r="D564" s="11"/>
      <c r="E564" s="11"/>
      <c r="F564" s="11"/>
    </row>
    <row r="565">
      <c r="A565" s="11"/>
      <c r="C565" s="11"/>
      <c r="D565" s="11"/>
      <c r="E565" s="11"/>
      <c r="F565" s="11"/>
    </row>
    <row r="566">
      <c r="A566" s="11"/>
      <c r="C566" s="11"/>
      <c r="D566" s="11"/>
      <c r="E566" s="11"/>
      <c r="F566" s="11"/>
    </row>
    <row r="567">
      <c r="A567" s="11"/>
      <c r="C567" s="11"/>
      <c r="D567" s="11"/>
      <c r="E567" s="11"/>
      <c r="F567" s="11"/>
    </row>
    <row r="568">
      <c r="A568" s="11"/>
      <c r="C568" s="11"/>
      <c r="D568" s="11"/>
      <c r="E568" s="11"/>
      <c r="F568" s="11"/>
    </row>
    <row r="569">
      <c r="A569" s="11"/>
      <c r="C569" s="11"/>
      <c r="D569" s="11"/>
      <c r="E569" s="11"/>
      <c r="F569" s="11"/>
    </row>
    <row r="570">
      <c r="A570" s="11"/>
      <c r="C570" s="11"/>
      <c r="D570" s="11"/>
      <c r="E570" s="11"/>
      <c r="F570" s="11"/>
    </row>
    <row r="571">
      <c r="A571" s="11"/>
      <c r="C571" s="11"/>
      <c r="D571" s="11"/>
      <c r="E571" s="11"/>
      <c r="F571" s="11"/>
    </row>
    <row r="572">
      <c r="A572" s="11"/>
      <c r="C572" s="11"/>
      <c r="D572" s="11"/>
      <c r="E572" s="11"/>
      <c r="F572" s="11"/>
    </row>
    <row r="573">
      <c r="A573" s="11"/>
      <c r="C573" s="11"/>
      <c r="D573" s="11"/>
      <c r="E573" s="11"/>
      <c r="F573" s="11"/>
    </row>
    <row r="574">
      <c r="A574" s="11"/>
      <c r="C574" s="11"/>
      <c r="D574" s="11"/>
      <c r="E574" s="11"/>
      <c r="F574" s="11"/>
    </row>
    <row r="575">
      <c r="A575" s="11"/>
      <c r="C575" s="11"/>
      <c r="D575" s="11"/>
      <c r="E575" s="11"/>
      <c r="F575" s="11"/>
    </row>
    <row r="576">
      <c r="A576" s="11"/>
      <c r="C576" s="11"/>
      <c r="D576" s="11"/>
      <c r="E576" s="11"/>
      <c r="F576" s="11"/>
    </row>
    <row r="577">
      <c r="A577" s="11"/>
      <c r="C577" s="11"/>
      <c r="D577" s="11"/>
      <c r="E577" s="11"/>
      <c r="F577" s="11"/>
    </row>
    <row r="578">
      <c r="A578" s="11"/>
      <c r="C578" s="11"/>
      <c r="D578" s="11"/>
      <c r="E578" s="11"/>
      <c r="F578" s="11"/>
    </row>
    <row r="579">
      <c r="A579" s="11"/>
      <c r="C579" s="11"/>
      <c r="D579" s="11"/>
      <c r="E579" s="11"/>
      <c r="F579" s="11"/>
    </row>
    <row r="580">
      <c r="A580" s="11"/>
      <c r="C580" s="11"/>
      <c r="D580" s="11"/>
      <c r="E580" s="11"/>
      <c r="F580" s="11"/>
    </row>
    <row r="581">
      <c r="A581" s="11"/>
      <c r="C581" s="11"/>
      <c r="D581" s="11"/>
      <c r="E581" s="11"/>
      <c r="F581" s="11"/>
    </row>
    <row r="582">
      <c r="A582" s="11"/>
      <c r="C582" s="11"/>
      <c r="D582" s="11"/>
      <c r="E582" s="11"/>
      <c r="F582" s="11"/>
    </row>
    <row r="583">
      <c r="A583" s="11"/>
      <c r="C583" s="11"/>
      <c r="D583" s="11"/>
      <c r="E583" s="11"/>
      <c r="F583" s="11"/>
    </row>
    <row r="584">
      <c r="A584" s="11"/>
      <c r="C584" s="11"/>
      <c r="D584" s="11"/>
      <c r="E584" s="11"/>
      <c r="F584" s="11"/>
    </row>
    <row r="585">
      <c r="A585" s="11"/>
      <c r="C585" s="11"/>
      <c r="D585" s="11"/>
      <c r="E585" s="11"/>
      <c r="F585" s="11"/>
    </row>
    <row r="586">
      <c r="A586" s="11"/>
      <c r="C586" s="11"/>
      <c r="D586" s="11"/>
      <c r="E586" s="11"/>
      <c r="F586" s="11"/>
    </row>
    <row r="587">
      <c r="A587" s="11"/>
      <c r="C587" s="11"/>
      <c r="D587" s="11"/>
      <c r="E587" s="11"/>
      <c r="F587" s="11"/>
    </row>
    <row r="588">
      <c r="A588" s="11"/>
      <c r="C588" s="11"/>
      <c r="D588" s="11"/>
      <c r="E588" s="11"/>
      <c r="F588" s="11"/>
    </row>
    <row r="589">
      <c r="A589" s="11"/>
      <c r="C589" s="11"/>
      <c r="D589" s="11"/>
      <c r="E589" s="11"/>
      <c r="F589" s="11"/>
    </row>
    <row r="590">
      <c r="A590" s="11"/>
      <c r="C590" s="11"/>
      <c r="D590" s="11"/>
      <c r="E590" s="11"/>
      <c r="F590" s="11"/>
    </row>
    <row r="591">
      <c r="A591" s="11"/>
      <c r="C591" s="11"/>
      <c r="D591" s="11"/>
      <c r="E591" s="11"/>
      <c r="F591" s="11"/>
    </row>
    <row r="592">
      <c r="A592" s="11"/>
      <c r="C592" s="11"/>
      <c r="D592" s="11"/>
      <c r="E592" s="11"/>
      <c r="F592" s="11"/>
    </row>
    <row r="593">
      <c r="A593" s="11"/>
      <c r="C593" s="11"/>
      <c r="D593" s="11"/>
      <c r="E593" s="11"/>
      <c r="F593" s="11"/>
    </row>
    <row r="594">
      <c r="A594" s="11"/>
      <c r="C594" s="11"/>
      <c r="D594" s="11"/>
      <c r="E594" s="11"/>
      <c r="F594" s="11"/>
    </row>
    <row r="595">
      <c r="A595" s="11"/>
      <c r="C595" s="11"/>
      <c r="D595" s="11"/>
      <c r="E595" s="11"/>
      <c r="F595" s="11"/>
    </row>
    <row r="596">
      <c r="A596" s="11"/>
      <c r="C596" s="11"/>
      <c r="D596" s="11"/>
      <c r="E596" s="11"/>
      <c r="F596" s="11"/>
    </row>
    <row r="597">
      <c r="A597" s="11"/>
      <c r="C597" s="11"/>
      <c r="D597" s="11"/>
      <c r="E597" s="11"/>
      <c r="F597" s="11"/>
    </row>
    <row r="598">
      <c r="A598" s="11"/>
      <c r="C598" s="11"/>
      <c r="D598" s="11"/>
      <c r="E598" s="11"/>
      <c r="F598" s="11"/>
    </row>
    <row r="599">
      <c r="A599" s="11"/>
      <c r="C599" s="11"/>
      <c r="D599" s="11"/>
      <c r="E599" s="11"/>
      <c r="F599" s="11"/>
    </row>
    <row r="600">
      <c r="A600" s="11"/>
      <c r="C600" s="11"/>
      <c r="D600" s="11"/>
      <c r="E600" s="11"/>
      <c r="F600" s="11"/>
    </row>
    <row r="601">
      <c r="A601" s="11"/>
      <c r="C601" s="11"/>
      <c r="D601" s="11"/>
      <c r="E601" s="11"/>
      <c r="F601" s="11"/>
    </row>
    <row r="602">
      <c r="A602" s="11"/>
      <c r="C602" s="11"/>
      <c r="D602" s="11"/>
      <c r="E602" s="11"/>
      <c r="F602" s="11"/>
    </row>
    <row r="603">
      <c r="A603" s="11"/>
      <c r="C603" s="11"/>
      <c r="D603" s="11"/>
      <c r="E603" s="11"/>
      <c r="F603" s="11"/>
    </row>
    <row r="604">
      <c r="A604" s="11"/>
      <c r="C604" s="11"/>
      <c r="D604" s="11"/>
      <c r="E604" s="11"/>
      <c r="F604" s="11"/>
    </row>
    <row r="605">
      <c r="A605" s="11"/>
      <c r="C605" s="11"/>
      <c r="D605" s="11"/>
      <c r="E605" s="11"/>
      <c r="F605" s="11"/>
    </row>
    <row r="606">
      <c r="A606" s="11"/>
      <c r="C606" s="11"/>
      <c r="D606" s="11"/>
      <c r="E606" s="11"/>
      <c r="F606" s="11"/>
    </row>
    <row r="607">
      <c r="A607" s="11"/>
      <c r="C607" s="11"/>
      <c r="D607" s="11"/>
      <c r="E607" s="11"/>
      <c r="F607" s="11"/>
    </row>
    <row r="608">
      <c r="A608" s="11"/>
      <c r="C608" s="11"/>
      <c r="D608" s="11"/>
      <c r="E608" s="11"/>
      <c r="F608" s="11"/>
    </row>
    <row r="609">
      <c r="A609" s="11"/>
      <c r="C609" s="11"/>
      <c r="D609" s="11"/>
      <c r="E609" s="11"/>
      <c r="F609" s="11"/>
    </row>
    <row r="610">
      <c r="A610" s="11"/>
      <c r="C610" s="11"/>
      <c r="D610" s="11"/>
      <c r="E610" s="11"/>
      <c r="F610" s="11"/>
    </row>
    <row r="611">
      <c r="A611" s="11"/>
      <c r="C611" s="11"/>
      <c r="D611" s="11"/>
      <c r="E611" s="11"/>
      <c r="F611" s="11"/>
    </row>
    <row r="612">
      <c r="A612" s="11"/>
      <c r="C612" s="11"/>
      <c r="D612" s="11"/>
      <c r="E612" s="11"/>
      <c r="F612" s="11"/>
    </row>
    <row r="613">
      <c r="A613" s="11"/>
      <c r="C613" s="11"/>
      <c r="D613" s="11"/>
      <c r="E613" s="11"/>
      <c r="F613" s="11"/>
    </row>
    <row r="614">
      <c r="A614" s="11"/>
      <c r="C614" s="11"/>
      <c r="D614" s="11"/>
      <c r="E614" s="11"/>
      <c r="F614" s="11"/>
    </row>
    <row r="615">
      <c r="A615" s="11"/>
      <c r="C615" s="11"/>
      <c r="D615" s="11"/>
      <c r="E615" s="11"/>
      <c r="F615" s="11"/>
    </row>
    <row r="616">
      <c r="A616" s="11"/>
      <c r="C616" s="11"/>
      <c r="D616" s="11"/>
      <c r="E616" s="11"/>
      <c r="F616" s="11"/>
    </row>
    <row r="617">
      <c r="A617" s="11"/>
      <c r="C617" s="11"/>
      <c r="D617" s="11"/>
      <c r="E617" s="11"/>
      <c r="F617" s="11"/>
    </row>
    <row r="618">
      <c r="A618" s="11"/>
      <c r="C618" s="11"/>
      <c r="D618" s="11"/>
      <c r="E618" s="11"/>
      <c r="F618" s="11"/>
    </row>
    <row r="619">
      <c r="A619" s="11"/>
      <c r="C619" s="11"/>
      <c r="D619" s="11"/>
      <c r="E619" s="11"/>
      <c r="F619" s="11"/>
    </row>
    <row r="620">
      <c r="A620" s="11"/>
      <c r="C620" s="11"/>
      <c r="D620" s="11"/>
      <c r="E620" s="11"/>
      <c r="F620" s="11"/>
    </row>
    <row r="621">
      <c r="A621" s="11"/>
      <c r="C621" s="11"/>
      <c r="D621" s="11"/>
      <c r="E621" s="11"/>
      <c r="F621" s="11"/>
    </row>
    <row r="622">
      <c r="A622" s="11"/>
      <c r="C622" s="11"/>
      <c r="D622" s="11"/>
      <c r="E622" s="11"/>
      <c r="F622" s="11"/>
    </row>
    <row r="623">
      <c r="A623" s="11"/>
      <c r="C623" s="11"/>
      <c r="D623" s="11"/>
      <c r="E623" s="11"/>
      <c r="F623" s="11"/>
    </row>
    <row r="624">
      <c r="A624" s="11"/>
      <c r="C624" s="11"/>
      <c r="D624" s="11"/>
      <c r="E624" s="11"/>
      <c r="F624" s="11"/>
    </row>
    <row r="625">
      <c r="A625" s="11"/>
      <c r="C625" s="11"/>
      <c r="D625" s="11"/>
      <c r="E625" s="11"/>
      <c r="F625" s="11"/>
    </row>
    <row r="626">
      <c r="A626" s="11"/>
      <c r="C626" s="11"/>
      <c r="D626" s="11"/>
      <c r="E626" s="11"/>
      <c r="F626" s="11"/>
    </row>
    <row r="627">
      <c r="A627" s="11"/>
      <c r="C627" s="11"/>
      <c r="D627" s="11"/>
      <c r="E627" s="11"/>
      <c r="F627" s="11"/>
    </row>
    <row r="628">
      <c r="A628" s="11"/>
      <c r="C628" s="11"/>
      <c r="D628" s="11"/>
      <c r="E628" s="11"/>
      <c r="F628" s="11"/>
    </row>
    <row r="629">
      <c r="A629" s="11"/>
      <c r="C629" s="11"/>
      <c r="D629" s="11"/>
      <c r="E629" s="11"/>
      <c r="F629" s="11"/>
    </row>
    <row r="630">
      <c r="A630" s="11"/>
      <c r="C630" s="11"/>
      <c r="D630" s="11"/>
      <c r="E630" s="11"/>
      <c r="F630" s="11"/>
    </row>
    <row r="631">
      <c r="A631" s="11"/>
      <c r="C631" s="11"/>
      <c r="D631" s="11"/>
      <c r="E631" s="11"/>
      <c r="F631" s="11"/>
    </row>
    <row r="632">
      <c r="A632" s="11"/>
      <c r="C632" s="11"/>
      <c r="D632" s="11"/>
      <c r="E632" s="11"/>
      <c r="F632" s="11"/>
    </row>
    <row r="633">
      <c r="A633" s="11"/>
      <c r="C633" s="11"/>
      <c r="D633" s="11"/>
      <c r="E633" s="11"/>
      <c r="F633" s="11"/>
    </row>
    <row r="634">
      <c r="A634" s="11"/>
      <c r="C634" s="11"/>
      <c r="D634" s="11"/>
      <c r="E634" s="11"/>
      <c r="F634" s="11"/>
    </row>
    <row r="635">
      <c r="A635" s="11"/>
      <c r="C635" s="11"/>
      <c r="D635" s="11"/>
      <c r="E635" s="11"/>
      <c r="F635" s="11"/>
    </row>
    <row r="636">
      <c r="A636" s="11"/>
      <c r="C636" s="11"/>
      <c r="D636" s="11"/>
      <c r="E636" s="11"/>
      <c r="F636" s="11"/>
    </row>
    <row r="637">
      <c r="A637" s="11"/>
      <c r="C637" s="11"/>
      <c r="D637" s="11"/>
      <c r="E637" s="11"/>
      <c r="F637" s="11"/>
    </row>
    <row r="638">
      <c r="A638" s="11"/>
      <c r="C638" s="11"/>
      <c r="D638" s="11"/>
      <c r="E638" s="11"/>
      <c r="F638" s="11"/>
    </row>
    <row r="639">
      <c r="A639" s="11"/>
      <c r="C639" s="11"/>
      <c r="D639" s="11"/>
      <c r="E639" s="11"/>
      <c r="F639" s="11"/>
    </row>
    <row r="640">
      <c r="A640" s="11"/>
      <c r="C640" s="11"/>
      <c r="D640" s="11"/>
      <c r="E640" s="11"/>
      <c r="F640" s="11"/>
    </row>
    <row r="641">
      <c r="A641" s="11"/>
      <c r="C641" s="11"/>
      <c r="D641" s="11"/>
      <c r="E641" s="11"/>
      <c r="F641" s="11"/>
    </row>
    <row r="642">
      <c r="A642" s="11"/>
      <c r="C642" s="11"/>
      <c r="D642" s="11"/>
      <c r="E642" s="11"/>
      <c r="F642" s="11"/>
    </row>
    <row r="643">
      <c r="A643" s="11"/>
      <c r="C643" s="11"/>
      <c r="D643" s="11"/>
      <c r="E643" s="11"/>
      <c r="F643" s="11"/>
    </row>
    <row r="644">
      <c r="A644" s="11"/>
      <c r="C644" s="11"/>
      <c r="D644" s="11"/>
      <c r="E644" s="11"/>
      <c r="F644" s="11"/>
    </row>
    <row r="645">
      <c r="A645" s="11"/>
      <c r="C645" s="11"/>
      <c r="D645" s="11"/>
      <c r="E645" s="11"/>
      <c r="F645" s="11"/>
    </row>
    <row r="646">
      <c r="A646" s="11"/>
      <c r="C646" s="11"/>
      <c r="D646" s="11"/>
      <c r="E646" s="11"/>
      <c r="F646" s="11"/>
    </row>
    <row r="647">
      <c r="A647" s="11"/>
      <c r="C647" s="11"/>
      <c r="D647" s="11"/>
      <c r="E647" s="11"/>
      <c r="F647" s="11"/>
    </row>
    <row r="648">
      <c r="A648" s="11"/>
      <c r="C648" s="11"/>
      <c r="D648" s="11"/>
      <c r="E648" s="11"/>
      <c r="F648" s="11"/>
    </row>
    <row r="649">
      <c r="A649" s="11"/>
      <c r="C649" s="11"/>
      <c r="D649" s="11"/>
      <c r="E649" s="11"/>
      <c r="F649" s="11"/>
    </row>
    <row r="650">
      <c r="A650" s="11"/>
      <c r="C650" s="11"/>
      <c r="D650" s="11"/>
      <c r="E650" s="11"/>
      <c r="F650" s="11"/>
    </row>
    <row r="651">
      <c r="A651" s="11"/>
      <c r="C651" s="11"/>
      <c r="D651" s="11"/>
      <c r="E651" s="11"/>
      <c r="F651" s="11"/>
    </row>
    <row r="652">
      <c r="A652" s="11"/>
      <c r="C652" s="11"/>
      <c r="D652" s="11"/>
      <c r="E652" s="11"/>
      <c r="F652" s="11"/>
    </row>
    <row r="653">
      <c r="A653" s="11"/>
      <c r="C653" s="11"/>
      <c r="D653" s="11"/>
      <c r="E653" s="11"/>
      <c r="F653" s="11"/>
    </row>
    <row r="654">
      <c r="A654" s="11"/>
      <c r="C654" s="11"/>
      <c r="D654" s="11"/>
      <c r="E654" s="11"/>
      <c r="F654" s="11"/>
    </row>
    <row r="655">
      <c r="A655" s="11"/>
      <c r="C655" s="11"/>
      <c r="D655" s="11"/>
      <c r="E655" s="11"/>
      <c r="F655" s="11"/>
    </row>
    <row r="656">
      <c r="A656" s="11"/>
      <c r="C656" s="11"/>
      <c r="D656" s="11"/>
      <c r="E656" s="11"/>
      <c r="F656" s="11"/>
    </row>
    <row r="657">
      <c r="A657" s="11"/>
      <c r="C657" s="11"/>
      <c r="D657" s="11"/>
      <c r="E657" s="11"/>
      <c r="F657" s="11"/>
    </row>
    <row r="658">
      <c r="A658" s="11"/>
      <c r="C658" s="11"/>
      <c r="D658" s="11"/>
      <c r="E658" s="11"/>
      <c r="F658" s="11"/>
    </row>
    <row r="659">
      <c r="A659" s="11"/>
      <c r="C659" s="11"/>
      <c r="D659" s="11"/>
      <c r="E659" s="11"/>
      <c r="F659" s="11"/>
    </row>
    <row r="660">
      <c r="A660" s="11"/>
      <c r="C660" s="11"/>
      <c r="D660" s="11"/>
      <c r="E660" s="11"/>
      <c r="F660" s="11"/>
    </row>
    <row r="661">
      <c r="A661" s="11"/>
      <c r="C661" s="11"/>
      <c r="D661" s="11"/>
      <c r="E661" s="11"/>
      <c r="F661" s="11"/>
    </row>
    <row r="662">
      <c r="A662" s="11"/>
      <c r="C662" s="11"/>
      <c r="D662" s="11"/>
      <c r="E662" s="11"/>
      <c r="F662" s="11"/>
    </row>
    <row r="663">
      <c r="A663" s="11"/>
      <c r="C663" s="11"/>
      <c r="D663" s="11"/>
      <c r="E663" s="11"/>
      <c r="F663" s="11"/>
    </row>
    <row r="664">
      <c r="A664" s="11"/>
      <c r="C664" s="11"/>
      <c r="D664" s="11"/>
      <c r="E664" s="11"/>
      <c r="F664" s="11"/>
    </row>
    <row r="665">
      <c r="A665" s="11"/>
      <c r="C665" s="11"/>
      <c r="D665" s="11"/>
      <c r="E665" s="11"/>
      <c r="F665" s="11"/>
    </row>
    <row r="666">
      <c r="A666" s="11"/>
      <c r="C666" s="11"/>
      <c r="D666" s="11"/>
      <c r="E666" s="11"/>
      <c r="F666" s="11"/>
    </row>
    <row r="667">
      <c r="A667" s="11"/>
      <c r="C667" s="11"/>
      <c r="D667" s="11"/>
      <c r="E667" s="11"/>
      <c r="F667" s="11"/>
    </row>
    <row r="668">
      <c r="A668" s="11"/>
      <c r="C668" s="11"/>
      <c r="D668" s="11"/>
      <c r="E668" s="11"/>
      <c r="F668" s="11"/>
    </row>
    <row r="669">
      <c r="A669" s="11"/>
      <c r="C669" s="11"/>
      <c r="D669" s="11"/>
      <c r="E669" s="11"/>
      <c r="F669" s="11"/>
    </row>
    <row r="670">
      <c r="A670" s="11"/>
      <c r="C670" s="11"/>
      <c r="D670" s="11"/>
      <c r="E670" s="11"/>
      <c r="F670" s="11"/>
    </row>
    <row r="671">
      <c r="A671" s="11"/>
      <c r="C671" s="11"/>
      <c r="D671" s="11"/>
      <c r="E671" s="11"/>
      <c r="F671" s="11"/>
    </row>
    <row r="672">
      <c r="A672" s="11"/>
      <c r="C672" s="11"/>
      <c r="D672" s="11"/>
      <c r="E672" s="11"/>
      <c r="F672" s="11"/>
    </row>
    <row r="673">
      <c r="A673" s="11"/>
      <c r="C673" s="11"/>
      <c r="D673" s="11"/>
      <c r="E673" s="11"/>
      <c r="F673" s="11"/>
    </row>
    <row r="674">
      <c r="A674" s="11"/>
      <c r="C674" s="11"/>
      <c r="D674" s="11"/>
      <c r="E674" s="11"/>
      <c r="F674" s="11"/>
    </row>
    <row r="675">
      <c r="A675" s="11"/>
      <c r="C675" s="11"/>
      <c r="D675" s="11"/>
      <c r="E675" s="11"/>
      <c r="F675" s="11"/>
    </row>
    <row r="676">
      <c r="A676" s="11"/>
      <c r="C676" s="11"/>
      <c r="D676" s="11"/>
      <c r="E676" s="11"/>
      <c r="F676" s="11"/>
    </row>
    <row r="677">
      <c r="A677" s="11"/>
      <c r="C677" s="11"/>
      <c r="D677" s="11"/>
      <c r="E677" s="11"/>
      <c r="F677" s="11"/>
    </row>
    <row r="678">
      <c r="A678" s="11"/>
      <c r="C678" s="11"/>
      <c r="D678" s="11"/>
      <c r="E678" s="11"/>
      <c r="F678" s="11"/>
    </row>
    <row r="679">
      <c r="A679" s="11"/>
      <c r="C679" s="11"/>
      <c r="D679" s="11"/>
      <c r="E679" s="11"/>
      <c r="F679" s="11"/>
    </row>
    <row r="680">
      <c r="A680" s="11"/>
      <c r="C680" s="11"/>
      <c r="D680" s="11"/>
      <c r="E680" s="11"/>
      <c r="F680" s="11"/>
    </row>
    <row r="681">
      <c r="A681" s="11"/>
      <c r="C681" s="11"/>
      <c r="D681" s="11"/>
      <c r="E681" s="11"/>
      <c r="F681" s="11"/>
    </row>
    <row r="682">
      <c r="A682" s="11"/>
      <c r="C682" s="11"/>
      <c r="D682" s="11"/>
      <c r="E682" s="11"/>
      <c r="F682" s="11"/>
    </row>
    <row r="683">
      <c r="A683" s="11"/>
      <c r="C683" s="11"/>
      <c r="D683" s="11"/>
      <c r="E683" s="11"/>
      <c r="F683" s="11"/>
    </row>
    <row r="684">
      <c r="A684" s="11"/>
      <c r="C684" s="11"/>
      <c r="D684" s="11"/>
      <c r="E684" s="11"/>
      <c r="F684" s="11"/>
    </row>
    <row r="685">
      <c r="A685" s="11"/>
      <c r="C685" s="11"/>
      <c r="D685" s="11"/>
      <c r="E685" s="11"/>
      <c r="F685" s="11"/>
    </row>
    <row r="686">
      <c r="A686" s="11"/>
      <c r="C686" s="11"/>
      <c r="D686" s="11"/>
      <c r="E686" s="11"/>
      <c r="F686" s="11"/>
    </row>
    <row r="687">
      <c r="A687" s="11"/>
      <c r="C687" s="11"/>
      <c r="D687" s="11"/>
      <c r="E687" s="11"/>
      <c r="F687" s="11"/>
    </row>
    <row r="688">
      <c r="A688" s="11"/>
      <c r="C688" s="11"/>
      <c r="D688" s="11"/>
      <c r="E688" s="11"/>
      <c r="F688" s="11"/>
    </row>
    <row r="689">
      <c r="A689" s="11"/>
      <c r="C689" s="11"/>
      <c r="D689" s="11"/>
      <c r="E689" s="11"/>
      <c r="F689" s="11"/>
    </row>
    <row r="690">
      <c r="A690" s="11"/>
      <c r="C690" s="11"/>
      <c r="D690" s="11"/>
      <c r="E690" s="11"/>
      <c r="F690" s="11"/>
    </row>
    <row r="691">
      <c r="A691" s="11"/>
      <c r="C691" s="11"/>
      <c r="D691" s="11"/>
      <c r="E691" s="11"/>
      <c r="F691" s="11"/>
    </row>
    <row r="692">
      <c r="A692" s="11"/>
      <c r="C692" s="11"/>
      <c r="D692" s="11"/>
      <c r="E692" s="11"/>
      <c r="F692" s="11"/>
    </row>
    <row r="693">
      <c r="A693" s="11"/>
      <c r="C693" s="11"/>
      <c r="D693" s="11"/>
      <c r="E693" s="11"/>
      <c r="F693" s="11"/>
    </row>
    <row r="694">
      <c r="A694" s="11"/>
      <c r="C694" s="11"/>
      <c r="D694" s="11"/>
      <c r="E694" s="11"/>
      <c r="F694" s="11"/>
    </row>
    <row r="695">
      <c r="A695" s="11"/>
      <c r="C695" s="11"/>
      <c r="D695" s="11"/>
      <c r="E695" s="11"/>
      <c r="F695" s="11"/>
    </row>
    <row r="696">
      <c r="A696" s="11"/>
      <c r="C696" s="11"/>
      <c r="D696" s="11"/>
      <c r="E696" s="11"/>
      <c r="F696" s="11"/>
    </row>
    <row r="697">
      <c r="A697" s="11"/>
      <c r="C697" s="11"/>
      <c r="D697" s="11"/>
      <c r="E697" s="11"/>
      <c r="F697" s="11"/>
    </row>
    <row r="698">
      <c r="A698" s="11"/>
      <c r="C698" s="11"/>
      <c r="D698" s="11"/>
      <c r="E698" s="11"/>
      <c r="F698" s="11"/>
    </row>
    <row r="699">
      <c r="A699" s="11"/>
      <c r="C699" s="11"/>
      <c r="D699" s="11"/>
      <c r="E699" s="11"/>
      <c r="F699" s="11"/>
    </row>
    <row r="700">
      <c r="A700" s="11"/>
      <c r="C700" s="11"/>
      <c r="D700" s="11"/>
      <c r="E700" s="11"/>
      <c r="F700" s="11"/>
    </row>
    <row r="701">
      <c r="A701" s="11"/>
      <c r="C701" s="11"/>
      <c r="D701" s="11"/>
      <c r="E701" s="11"/>
      <c r="F701" s="11"/>
    </row>
    <row r="702">
      <c r="A702" s="11"/>
      <c r="C702" s="11"/>
      <c r="D702" s="11"/>
      <c r="E702" s="11"/>
      <c r="F702" s="11"/>
    </row>
    <row r="703">
      <c r="A703" s="11"/>
      <c r="C703" s="11"/>
      <c r="D703" s="11"/>
      <c r="E703" s="11"/>
      <c r="F703" s="11"/>
    </row>
    <row r="704">
      <c r="A704" s="11"/>
      <c r="C704" s="11"/>
      <c r="D704" s="11"/>
      <c r="E704" s="11"/>
      <c r="F704" s="11"/>
    </row>
    <row r="705">
      <c r="A705" s="11"/>
      <c r="C705" s="11"/>
      <c r="D705" s="11"/>
      <c r="E705" s="11"/>
      <c r="F705" s="11"/>
    </row>
    <row r="706">
      <c r="A706" s="11"/>
      <c r="C706" s="11"/>
      <c r="D706" s="11"/>
      <c r="E706" s="11"/>
      <c r="F706" s="11"/>
    </row>
    <row r="707">
      <c r="A707" s="11"/>
      <c r="C707" s="11"/>
      <c r="D707" s="11"/>
      <c r="E707" s="11"/>
      <c r="F707" s="11"/>
    </row>
    <row r="708">
      <c r="A708" s="11"/>
      <c r="C708" s="11"/>
      <c r="D708" s="11"/>
      <c r="E708" s="11"/>
      <c r="F708" s="11"/>
    </row>
    <row r="709">
      <c r="A709" s="11"/>
      <c r="C709" s="11"/>
      <c r="D709" s="11"/>
      <c r="E709" s="11"/>
      <c r="F709" s="11"/>
    </row>
    <row r="710">
      <c r="A710" s="11"/>
      <c r="C710" s="11"/>
      <c r="D710" s="11"/>
      <c r="E710" s="11"/>
      <c r="F710" s="11"/>
    </row>
    <row r="711">
      <c r="A711" s="11"/>
      <c r="C711" s="11"/>
      <c r="D711" s="11"/>
      <c r="E711" s="11"/>
      <c r="F711" s="11"/>
    </row>
    <row r="712">
      <c r="A712" s="11"/>
      <c r="C712" s="11"/>
      <c r="D712" s="11"/>
      <c r="E712" s="11"/>
      <c r="F712" s="11"/>
    </row>
    <row r="713">
      <c r="A713" s="11"/>
      <c r="C713" s="11"/>
      <c r="D713" s="11"/>
      <c r="E713" s="11"/>
      <c r="F713" s="11"/>
    </row>
    <row r="714">
      <c r="A714" s="11"/>
      <c r="C714" s="11"/>
      <c r="D714" s="11"/>
      <c r="E714" s="11"/>
      <c r="F714" s="11"/>
    </row>
    <row r="715">
      <c r="A715" s="11"/>
      <c r="C715" s="11"/>
      <c r="D715" s="11"/>
      <c r="E715" s="11"/>
      <c r="F715" s="11"/>
    </row>
    <row r="716">
      <c r="A716" s="11"/>
      <c r="C716" s="11"/>
      <c r="D716" s="11"/>
      <c r="E716" s="11"/>
      <c r="F716" s="11"/>
    </row>
    <row r="717">
      <c r="A717" s="11"/>
      <c r="C717" s="11"/>
      <c r="D717" s="11"/>
      <c r="E717" s="11"/>
      <c r="F717" s="11"/>
    </row>
    <row r="718">
      <c r="A718" s="11"/>
      <c r="C718" s="11"/>
      <c r="D718" s="11"/>
      <c r="E718" s="11"/>
      <c r="F718" s="11"/>
    </row>
    <row r="719">
      <c r="A719" s="11"/>
      <c r="C719" s="11"/>
      <c r="D719" s="11"/>
      <c r="E719" s="11"/>
      <c r="F719" s="11"/>
    </row>
    <row r="720">
      <c r="A720" s="11"/>
      <c r="C720" s="11"/>
      <c r="D720" s="11"/>
      <c r="E720" s="11"/>
      <c r="F720" s="11"/>
    </row>
    <row r="721">
      <c r="A721" s="11"/>
      <c r="C721" s="11"/>
      <c r="D721" s="11"/>
      <c r="E721" s="11"/>
      <c r="F721" s="11"/>
    </row>
    <row r="722">
      <c r="A722" s="11"/>
      <c r="C722" s="11"/>
      <c r="D722" s="11"/>
      <c r="E722" s="11"/>
      <c r="F722" s="11"/>
    </row>
    <row r="723">
      <c r="A723" s="11"/>
      <c r="C723" s="11"/>
      <c r="D723" s="11"/>
      <c r="E723" s="11"/>
      <c r="F723" s="11"/>
    </row>
    <row r="724">
      <c r="A724" s="11"/>
      <c r="C724" s="11"/>
      <c r="D724" s="11"/>
      <c r="E724" s="11"/>
      <c r="F724" s="11"/>
    </row>
    <row r="725">
      <c r="A725" s="11"/>
      <c r="C725" s="11"/>
      <c r="D725" s="11"/>
      <c r="E725" s="11"/>
      <c r="F725" s="11"/>
    </row>
    <row r="726">
      <c r="A726" s="11"/>
      <c r="C726" s="11"/>
      <c r="D726" s="11"/>
      <c r="E726" s="11"/>
      <c r="F726" s="11"/>
    </row>
    <row r="727">
      <c r="A727" s="11"/>
      <c r="C727" s="11"/>
      <c r="D727" s="11"/>
      <c r="E727" s="11"/>
      <c r="F727" s="11"/>
    </row>
    <row r="728">
      <c r="A728" s="11"/>
      <c r="C728" s="11"/>
      <c r="D728" s="11"/>
      <c r="E728" s="11"/>
      <c r="F728" s="11"/>
    </row>
    <row r="729">
      <c r="A729" s="11"/>
      <c r="C729" s="11"/>
      <c r="D729" s="11"/>
      <c r="E729" s="11"/>
      <c r="F729" s="11"/>
    </row>
    <row r="730">
      <c r="A730" s="11"/>
      <c r="C730" s="11"/>
      <c r="D730" s="11"/>
      <c r="E730" s="11"/>
      <c r="F730" s="11"/>
    </row>
    <row r="731">
      <c r="A731" s="11"/>
      <c r="C731" s="11"/>
      <c r="D731" s="11"/>
      <c r="E731" s="11"/>
      <c r="F731" s="11"/>
    </row>
    <row r="732">
      <c r="A732" s="11"/>
      <c r="C732" s="11"/>
      <c r="D732" s="11"/>
      <c r="E732" s="11"/>
      <c r="F732" s="11"/>
    </row>
    <row r="733">
      <c r="A733" s="11"/>
      <c r="C733" s="11"/>
      <c r="D733" s="11"/>
      <c r="E733" s="11"/>
      <c r="F733" s="11"/>
    </row>
    <row r="734">
      <c r="A734" s="11"/>
      <c r="C734" s="11"/>
      <c r="D734" s="11"/>
      <c r="E734" s="11"/>
      <c r="F734" s="11"/>
    </row>
    <row r="735">
      <c r="A735" s="11"/>
      <c r="C735" s="11"/>
      <c r="D735" s="11"/>
      <c r="E735" s="11"/>
      <c r="F735" s="11"/>
    </row>
    <row r="736">
      <c r="A736" s="11"/>
      <c r="C736" s="11"/>
      <c r="D736" s="11"/>
      <c r="E736" s="11"/>
      <c r="F736" s="11"/>
    </row>
    <row r="737">
      <c r="A737" s="11"/>
      <c r="C737" s="11"/>
      <c r="D737" s="11"/>
      <c r="E737" s="11"/>
      <c r="F737" s="11"/>
    </row>
    <row r="738">
      <c r="A738" s="11"/>
      <c r="C738" s="11"/>
      <c r="D738" s="11"/>
      <c r="E738" s="11"/>
      <c r="F738" s="11"/>
    </row>
    <row r="739">
      <c r="A739" s="11"/>
      <c r="C739" s="11"/>
      <c r="D739" s="11"/>
      <c r="E739" s="11"/>
      <c r="F739" s="11"/>
    </row>
    <row r="740">
      <c r="A740" s="11"/>
      <c r="C740" s="11"/>
      <c r="D740" s="11"/>
      <c r="E740" s="11"/>
      <c r="F740" s="11"/>
    </row>
    <row r="741">
      <c r="A741" s="11"/>
      <c r="C741" s="11"/>
      <c r="D741" s="11"/>
      <c r="E741" s="11"/>
      <c r="F741" s="11"/>
    </row>
    <row r="742">
      <c r="A742" s="11"/>
      <c r="C742" s="11"/>
      <c r="D742" s="11"/>
      <c r="E742" s="11"/>
      <c r="F742" s="11"/>
    </row>
    <row r="743">
      <c r="A743" s="11"/>
      <c r="C743" s="11"/>
      <c r="D743" s="11"/>
      <c r="E743" s="11"/>
      <c r="F743" s="11"/>
    </row>
    <row r="744">
      <c r="A744" s="11"/>
      <c r="C744" s="11"/>
      <c r="D744" s="11"/>
      <c r="E744" s="11"/>
      <c r="F744" s="11"/>
    </row>
    <row r="745">
      <c r="A745" s="11"/>
      <c r="C745" s="11"/>
      <c r="D745" s="11"/>
      <c r="E745" s="11"/>
      <c r="F745" s="11"/>
    </row>
    <row r="746">
      <c r="A746" s="11"/>
      <c r="C746" s="11"/>
      <c r="D746" s="11"/>
      <c r="E746" s="11"/>
      <c r="F746" s="11"/>
    </row>
    <row r="747">
      <c r="A747" s="11"/>
      <c r="C747" s="11"/>
      <c r="D747" s="11"/>
      <c r="E747" s="11"/>
      <c r="F747" s="11"/>
    </row>
    <row r="748">
      <c r="A748" s="11"/>
      <c r="C748" s="11"/>
      <c r="D748" s="11"/>
      <c r="E748" s="11"/>
      <c r="F748" s="11"/>
    </row>
    <row r="749">
      <c r="A749" s="11"/>
      <c r="C749" s="11"/>
      <c r="D749" s="11"/>
      <c r="E749" s="11"/>
      <c r="F749" s="11"/>
    </row>
    <row r="750">
      <c r="A750" s="11"/>
      <c r="C750" s="11"/>
      <c r="D750" s="11"/>
      <c r="E750" s="11"/>
      <c r="F750" s="11"/>
    </row>
    <row r="751">
      <c r="A751" s="11"/>
      <c r="C751" s="11"/>
      <c r="D751" s="11"/>
      <c r="E751" s="11"/>
      <c r="F751" s="11"/>
    </row>
    <row r="752">
      <c r="A752" s="11"/>
      <c r="C752" s="11"/>
      <c r="D752" s="11"/>
      <c r="E752" s="11"/>
      <c r="F752" s="11"/>
    </row>
    <row r="753">
      <c r="A753" s="11"/>
      <c r="C753" s="11"/>
      <c r="D753" s="11"/>
      <c r="E753" s="11"/>
      <c r="F753" s="11"/>
    </row>
    <row r="754">
      <c r="A754" s="11"/>
      <c r="C754" s="11"/>
      <c r="D754" s="11"/>
      <c r="E754" s="11"/>
      <c r="F754" s="11"/>
    </row>
    <row r="755">
      <c r="A755" s="11"/>
      <c r="C755" s="11"/>
      <c r="D755" s="11"/>
      <c r="E755" s="11"/>
      <c r="F755" s="11"/>
    </row>
    <row r="756">
      <c r="A756" s="11"/>
      <c r="C756" s="11"/>
      <c r="D756" s="11"/>
      <c r="E756" s="11"/>
      <c r="F756" s="11"/>
    </row>
    <row r="757">
      <c r="A757" s="11"/>
      <c r="C757" s="11"/>
      <c r="D757" s="11"/>
      <c r="E757" s="11"/>
      <c r="F757" s="11"/>
    </row>
    <row r="758">
      <c r="A758" s="11"/>
      <c r="C758" s="11"/>
      <c r="D758" s="11"/>
      <c r="E758" s="11"/>
      <c r="F758" s="11"/>
    </row>
    <row r="759">
      <c r="A759" s="11"/>
      <c r="C759" s="11"/>
      <c r="D759" s="11"/>
      <c r="E759" s="11"/>
      <c r="F759" s="11"/>
    </row>
    <row r="760">
      <c r="A760" s="11"/>
      <c r="C760" s="11"/>
      <c r="D760" s="11"/>
      <c r="E760" s="11"/>
      <c r="F760" s="11"/>
    </row>
    <row r="761">
      <c r="A761" s="11"/>
      <c r="C761" s="11"/>
      <c r="D761" s="11"/>
      <c r="E761" s="11"/>
      <c r="F761" s="11"/>
    </row>
    <row r="762">
      <c r="A762" s="11"/>
      <c r="C762" s="11"/>
      <c r="D762" s="11"/>
      <c r="E762" s="11"/>
      <c r="F762" s="11"/>
    </row>
    <row r="763">
      <c r="A763" s="11"/>
      <c r="C763" s="11"/>
      <c r="D763" s="11"/>
      <c r="E763" s="11"/>
      <c r="F763" s="11"/>
    </row>
    <row r="764">
      <c r="A764" s="11"/>
      <c r="C764" s="11"/>
      <c r="D764" s="11"/>
      <c r="E764" s="11"/>
      <c r="F764" s="11"/>
    </row>
    <row r="765">
      <c r="A765" s="11"/>
      <c r="C765" s="11"/>
      <c r="D765" s="11"/>
      <c r="E765" s="11"/>
      <c r="F765" s="11"/>
    </row>
    <row r="766">
      <c r="A766" s="11"/>
      <c r="C766" s="11"/>
      <c r="D766" s="11"/>
      <c r="E766" s="11"/>
      <c r="F766" s="11"/>
    </row>
    <row r="767">
      <c r="A767" s="11"/>
      <c r="C767" s="11"/>
      <c r="D767" s="11"/>
      <c r="E767" s="11"/>
      <c r="F767" s="11"/>
    </row>
    <row r="768">
      <c r="A768" s="11"/>
      <c r="C768" s="11"/>
      <c r="D768" s="11"/>
      <c r="E768" s="11"/>
      <c r="F768" s="11"/>
    </row>
    <row r="769">
      <c r="A769" s="11"/>
      <c r="C769" s="11"/>
      <c r="D769" s="11"/>
      <c r="E769" s="11"/>
      <c r="F769" s="11"/>
    </row>
    <row r="770">
      <c r="A770" s="11"/>
      <c r="C770" s="11"/>
      <c r="D770" s="11"/>
      <c r="E770" s="11"/>
      <c r="F770" s="11"/>
    </row>
    <row r="771">
      <c r="A771" s="11"/>
      <c r="C771" s="11"/>
      <c r="D771" s="11"/>
      <c r="E771" s="11"/>
      <c r="F771" s="11"/>
    </row>
    <row r="772">
      <c r="A772" s="11"/>
      <c r="C772" s="11"/>
      <c r="D772" s="11"/>
      <c r="E772" s="11"/>
      <c r="F772" s="11"/>
    </row>
    <row r="773">
      <c r="A773" s="11"/>
      <c r="C773" s="11"/>
      <c r="D773" s="11"/>
      <c r="E773" s="11"/>
      <c r="F773" s="11"/>
    </row>
    <row r="774">
      <c r="A774" s="11"/>
      <c r="C774" s="11"/>
      <c r="D774" s="11"/>
      <c r="E774" s="11"/>
      <c r="F774" s="11"/>
    </row>
    <row r="775">
      <c r="A775" s="11"/>
      <c r="C775" s="11"/>
      <c r="D775" s="11"/>
      <c r="E775" s="11"/>
      <c r="F775" s="11"/>
    </row>
    <row r="776">
      <c r="A776" s="11"/>
      <c r="C776" s="11"/>
      <c r="D776" s="11"/>
      <c r="E776" s="11"/>
      <c r="F776" s="11"/>
    </row>
    <row r="777">
      <c r="A777" s="11"/>
      <c r="C777" s="11"/>
      <c r="D777" s="11"/>
      <c r="E777" s="11"/>
      <c r="F777" s="11"/>
    </row>
    <row r="778">
      <c r="A778" s="11"/>
      <c r="C778" s="11"/>
      <c r="D778" s="11"/>
      <c r="E778" s="11"/>
      <c r="F778" s="11"/>
    </row>
    <row r="779">
      <c r="A779" s="11"/>
      <c r="C779" s="11"/>
      <c r="D779" s="11"/>
      <c r="E779" s="11"/>
      <c r="F779" s="11"/>
    </row>
    <row r="780">
      <c r="A780" s="11"/>
      <c r="C780" s="11"/>
      <c r="D780" s="11"/>
      <c r="E780" s="11"/>
      <c r="F780" s="11"/>
    </row>
    <row r="781">
      <c r="A781" s="11"/>
      <c r="C781" s="11"/>
      <c r="D781" s="11"/>
      <c r="E781" s="11"/>
      <c r="F781" s="11"/>
    </row>
    <row r="782">
      <c r="A782" s="11"/>
      <c r="C782" s="11"/>
      <c r="D782" s="11"/>
      <c r="E782" s="11"/>
      <c r="F782" s="11"/>
    </row>
    <row r="783">
      <c r="A783" s="11"/>
      <c r="C783" s="11"/>
      <c r="D783" s="11"/>
      <c r="E783" s="11"/>
      <c r="F783" s="11"/>
    </row>
    <row r="784">
      <c r="A784" s="11"/>
      <c r="C784" s="11"/>
      <c r="D784" s="11"/>
      <c r="E784" s="11"/>
      <c r="F784" s="11"/>
    </row>
    <row r="785">
      <c r="A785" s="11"/>
      <c r="C785" s="11"/>
      <c r="D785" s="11"/>
      <c r="E785" s="11"/>
      <c r="F785" s="11"/>
    </row>
    <row r="786">
      <c r="A786" s="11"/>
      <c r="C786" s="11"/>
      <c r="D786" s="11"/>
      <c r="E786" s="11"/>
      <c r="F786" s="11"/>
    </row>
    <row r="787">
      <c r="A787" s="11"/>
      <c r="C787" s="11"/>
      <c r="D787" s="11"/>
      <c r="E787" s="11"/>
      <c r="F787" s="11"/>
    </row>
    <row r="788">
      <c r="A788" s="11"/>
      <c r="C788" s="11"/>
      <c r="D788" s="11"/>
      <c r="E788" s="11"/>
      <c r="F788" s="11"/>
    </row>
    <row r="789">
      <c r="A789" s="11"/>
      <c r="C789" s="11"/>
      <c r="D789" s="11"/>
      <c r="E789" s="11"/>
      <c r="F789" s="11"/>
    </row>
    <row r="790">
      <c r="A790" s="11"/>
      <c r="C790" s="11"/>
      <c r="D790" s="11"/>
      <c r="E790" s="11"/>
      <c r="F790" s="11"/>
    </row>
    <row r="791">
      <c r="A791" s="11"/>
      <c r="C791" s="11"/>
      <c r="D791" s="11"/>
      <c r="E791" s="11"/>
      <c r="F791" s="11"/>
    </row>
    <row r="792">
      <c r="A792" s="11"/>
      <c r="C792" s="11"/>
      <c r="D792" s="11"/>
      <c r="E792" s="11"/>
      <c r="F792" s="11"/>
    </row>
    <row r="793">
      <c r="A793" s="11"/>
      <c r="C793" s="11"/>
      <c r="D793" s="11"/>
      <c r="E793" s="11"/>
      <c r="F793" s="11"/>
    </row>
    <row r="794">
      <c r="A794" s="11"/>
      <c r="C794" s="11"/>
      <c r="D794" s="11"/>
      <c r="E794" s="11"/>
      <c r="F794" s="11"/>
    </row>
    <row r="795">
      <c r="A795" s="11"/>
      <c r="C795" s="11"/>
      <c r="D795" s="11"/>
      <c r="E795" s="11"/>
      <c r="F795" s="11"/>
    </row>
    <row r="796">
      <c r="A796" s="11"/>
      <c r="C796" s="11"/>
      <c r="D796" s="11"/>
      <c r="E796" s="11"/>
      <c r="F796" s="11"/>
    </row>
    <row r="797">
      <c r="A797" s="11"/>
      <c r="C797" s="11"/>
      <c r="D797" s="11"/>
      <c r="E797" s="11"/>
      <c r="F797" s="11"/>
    </row>
    <row r="798">
      <c r="A798" s="11"/>
      <c r="C798" s="11"/>
      <c r="D798" s="11"/>
      <c r="E798" s="11"/>
      <c r="F798" s="11"/>
    </row>
    <row r="799">
      <c r="A799" s="11"/>
      <c r="C799" s="11"/>
      <c r="D799" s="11"/>
      <c r="E799" s="11"/>
      <c r="F799" s="11"/>
    </row>
    <row r="800">
      <c r="A800" s="11"/>
      <c r="C800" s="11"/>
      <c r="D800" s="11"/>
      <c r="E800" s="11"/>
      <c r="F800" s="11"/>
    </row>
    <row r="801">
      <c r="A801" s="11"/>
      <c r="C801" s="11"/>
      <c r="D801" s="11"/>
      <c r="E801" s="11"/>
      <c r="F801" s="11"/>
    </row>
    <row r="802">
      <c r="A802" s="11"/>
      <c r="C802" s="11"/>
      <c r="D802" s="11"/>
      <c r="E802" s="11"/>
      <c r="F802" s="11"/>
    </row>
    <row r="803">
      <c r="A803" s="11"/>
      <c r="C803" s="11"/>
      <c r="D803" s="11"/>
      <c r="E803" s="11"/>
      <c r="F803" s="11"/>
    </row>
    <row r="804">
      <c r="A804" s="11"/>
      <c r="C804" s="11"/>
      <c r="D804" s="11"/>
      <c r="E804" s="11"/>
      <c r="F804" s="11"/>
    </row>
    <row r="805">
      <c r="A805" s="11"/>
      <c r="C805" s="11"/>
      <c r="D805" s="11"/>
      <c r="E805" s="11"/>
      <c r="F805" s="11"/>
    </row>
    <row r="806">
      <c r="A806" s="11"/>
      <c r="C806" s="11"/>
      <c r="D806" s="11"/>
      <c r="E806" s="11"/>
      <c r="F806" s="11"/>
    </row>
    <row r="807">
      <c r="A807" s="11"/>
      <c r="C807" s="11"/>
      <c r="D807" s="11"/>
      <c r="E807" s="11"/>
      <c r="F807" s="11"/>
    </row>
    <row r="808">
      <c r="A808" s="11"/>
      <c r="C808" s="11"/>
      <c r="D808" s="11"/>
      <c r="E808" s="11"/>
      <c r="F808" s="11"/>
    </row>
    <row r="809">
      <c r="A809" s="11"/>
      <c r="C809" s="11"/>
      <c r="D809" s="11"/>
      <c r="E809" s="11"/>
      <c r="F809" s="11"/>
    </row>
    <row r="810">
      <c r="A810" s="11"/>
      <c r="C810" s="11"/>
      <c r="D810" s="11"/>
      <c r="E810" s="11"/>
      <c r="F810" s="11"/>
    </row>
    <row r="811">
      <c r="A811" s="11"/>
      <c r="C811" s="11"/>
      <c r="D811" s="11"/>
      <c r="E811" s="11"/>
      <c r="F811" s="11"/>
    </row>
    <row r="812">
      <c r="A812" s="11"/>
      <c r="C812" s="11"/>
      <c r="D812" s="11"/>
      <c r="E812" s="11"/>
      <c r="F812" s="11"/>
    </row>
    <row r="813">
      <c r="A813" s="11"/>
      <c r="C813" s="11"/>
      <c r="D813" s="11"/>
      <c r="E813" s="11"/>
      <c r="F813" s="11"/>
    </row>
    <row r="814">
      <c r="A814" s="11"/>
      <c r="C814" s="11"/>
      <c r="D814" s="11"/>
      <c r="E814" s="11"/>
      <c r="F814" s="11"/>
    </row>
    <row r="815">
      <c r="A815" s="11"/>
      <c r="C815" s="11"/>
      <c r="D815" s="11"/>
      <c r="E815" s="11"/>
      <c r="F815" s="11"/>
    </row>
    <row r="816">
      <c r="A816" s="11"/>
      <c r="C816" s="11"/>
      <c r="D816" s="11"/>
      <c r="E816" s="11"/>
      <c r="F816" s="11"/>
    </row>
    <row r="817">
      <c r="A817" s="11"/>
      <c r="C817" s="11"/>
      <c r="D817" s="11"/>
      <c r="E817" s="11"/>
      <c r="F817" s="11"/>
    </row>
    <row r="818">
      <c r="A818" s="11"/>
      <c r="C818" s="11"/>
      <c r="D818" s="11"/>
      <c r="E818" s="11"/>
      <c r="F818" s="11"/>
    </row>
    <row r="819">
      <c r="A819" s="11"/>
      <c r="C819" s="11"/>
      <c r="D819" s="11"/>
      <c r="E819" s="11"/>
      <c r="F819" s="11"/>
    </row>
    <row r="820">
      <c r="A820" s="11"/>
      <c r="C820" s="11"/>
      <c r="D820" s="11"/>
      <c r="E820" s="11"/>
      <c r="F820" s="11"/>
    </row>
    <row r="821">
      <c r="A821" s="11"/>
      <c r="C821" s="11"/>
      <c r="D821" s="11"/>
      <c r="E821" s="11"/>
      <c r="F821" s="11"/>
    </row>
    <row r="822">
      <c r="A822" s="11"/>
      <c r="C822" s="11"/>
      <c r="D822" s="11"/>
      <c r="E822" s="11"/>
      <c r="F822" s="11"/>
    </row>
    <row r="823">
      <c r="A823" s="11"/>
      <c r="C823" s="11"/>
      <c r="D823" s="11"/>
      <c r="E823" s="11"/>
      <c r="F823" s="11"/>
    </row>
    <row r="824">
      <c r="A824" s="11"/>
      <c r="C824" s="11"/>
      <c r="D824" s="11"/>
      <c r="E824" s="11"/>
      <c r="F824" s="11"/>
    </row>
    <row r="825">
      <c r="A825" s="11"/>
      <c r="C825" s="11"/>
      <c r="D825" s="11"/>
      <c r="E825" s="11"/>
      <c r="F825" s="11"/>
    </row>
    <row r="826">
      <c r="A826" s="11"/>
      <c r="C826" s="11"/>
      <c r="D826" s="11"/>
      <c r="E826" s="11"/>
      <c r="F826" s="11"/>
    </row>
    <row r="827">
      <c r="A827" s="11"/>
      <c r="C827" s="11"/>
      <c r="D827" s="11"/>
      <c r="E827" s="11"/>
      <c r="F827" s="11"/>
    </row>
    <row r="828">
      <c r="A828" s="11"/>
      <c r="C828" s="11"/>
      <c r="D828" s="11"/>
      <c r="E828" s="11"/>
      <c r="F828" s="11"/>
    </row>
    <row r="829">
      <c r="A829" s="11"/>
      <c r="C829" s="11"/>
      <c r="D829" s="11"/>
      <c r="E829" s="11"/>
      <c r="F829" s="11"/>
    </row>
    <row r="830">
      <c r="A830" s="11"/>
      <c r="C830" s="11"/>
      <c r="D830" s="11"/>
      <c r="E830" s="11"/>
      <c r="F830" s="11"/>
    </row>
    <row r="831">
      <c r="A831" s="11"/>
      <c r="C831" s="11"/>
      <c r="D831" s="11"/>
      <c r="E831" s="11"/>
      <c r="F831" s="11"/>
    </row>
    <row r="832">
      <c r="A832" s="11"/>
      <c r="C832" s="11"/>
      <c r="D832" s="11"/>
      <c r="E832" s="11"/>
      <c r="F832" s="11"/>
    </row>
    <row r="833">
      <c r="A833" s="11"/>
      <c r="C833" s="11"/>
      <c r="D833" s="11"/>
      <c r="E833" s="11"/>
      <c r="F833" s="11"/>
    </row>
    <row r="834">
      <c r="A834" s="11"/>
      <c r="C834" s="11"/>
      <c r="D834" s="11"/>
      <c r="E834" s="11"/>
      <c r="F834" s="11"/>
    </row>
    <row r="835">
      <c r="A835" s="11"/>
      <c r="C835" s="11"/>
      <c r="D835" s="11"/>
      <c r="E835" s="11"/>
      <c r="F835" s="11"/>
    </row>
    <row r="836">
      <c r="A836" s="11"/>
      <c r="C836" s="11"/>
      <c r="D836" s="11"/>
      <c r="E836" s="11"/>
      <c r="F836" s="11"/>
    </row>
    <row r="837">
      <c r="A837" s="11"/>
      <c r="C837" s="11"/>
      <c r="D837" s="11"/>
      <c r="E837" s="11"/>
      <c r="F837" s="11"/>
    </row>
    <row r="838">
      <c r="A838" s="11"/>
      <c r="C838" s="11"/>
      <c r="D838" s="11"/>
      <c r="E838" s="11"/>
      <c r="F838" s="11"/>
    </row>
    <row r="839">
      <c r="A839" s="11"/>
      <c r="C839" s="11"/>
      <c r="D839" s="11"/>
      <c r="E839" s="11"/>
      <c r="F839" s="11"/>
    </row>
    <row r="840">
      <c r="A840" s="11"/>
      <c r="C840" s="11"/>
      <c r="D840" s="11"/>
      <c r="E840" s="11"/>
      <c r="F840" s="11"/>
    </row>
    <row r="841">
      <c r="A841" s="11"/>
      <c r="C841" s="11"/>
      <c r="D841" s="11"/>
      <c r="E841" s="11"/>
      <c r="F841" s="11"/>
    </row>
    <row r="842">
      <c r="A842" s="11"/>
      <c r="C842" s="11"/>
      <c r="D842" s="11"/>
      <c r="E842" s="11"/>
      <c r="F842" s="11"/>
    </row>
    <row r="843">
      <c r="A843" s="11"/>
      <c r="C843" s="11"/>
      <c r="D843" s="11"/>
      <c r="E843" s="11"/>
      <c r="F843" s="11"/>
    </row>
    <row r="844">
      <c r="A844" s="11"/>
      <c r="C844" s="11"/>
      <c r="D844" s="11"/>
      <c r="E844" s="11"/>
      <c r="F844" s="11"/>
    </row>
    <row r="845">
      <c r="A845" s="11"/>
      <c r="C845" s="11"/>
      <c r="D845" s="11"/>
      <c r="E845" s="11"/>
      <c r="F845" s="11"/>
    </row>
    <row r="846">
      <c r="A846" s="11"/>
      <c r="C846" s="11"/>
      <c r="D846" s="11"/>
      <c r="E846" s="11"/>
      <c r="F846" s="11"/>
    </row>
    <row r="847">
      <c r="A847" s="11"/>
      <c r="C847" s="11"/>
      <c r="D847" s="11"/>
      <c r="E847" s="11"/>
      <c r="F847" s="11"/>
    </row>
    <row r="848">
      <c r="A848" s="11"/>
      <c r="C848" s="11"/>
      <c r="D848" s="11"/>
      <c r="E848" s="11"/>
      <c r="F848" s="11"/>
    </row>
    <row r="849">
      <c r="A849" s="11"/>
      <c r="C849" s="11"/>
      <c r="D849" s="11"/>
      <c r="E849" s="11"/>
      <c r="F849" s="11"/>
    </row>
    <row r="850">
      <c r="A850" s="11"/>
      <c r="C850" s="11"/>
      <c r="D850" s="11"/>
      <c r="E850" s="11"/>
      <c r="F850" s="11"/>
    </row>
    <row r="851">
      <c r="A851" s="11"/>
      <c r="C851" s="11"/>
      <c r="D851" s="11"/>
      <c r="E851" s="11"/>
      <c r="F851" s="11"/>
    </row>
    <row r="852">
      <c r="A852" s="11"/>
      <c r="C852" s="11"/>
      <c r="D852" s="11"/>
      <c r="E852" s="11"/>
      <c r="F852" s="11"/>
    </row>
    <row r="853">
      <c r="A853" s="11"/>
      <c r="C853" s="11"/>
      <c r="D853" s="11"/>
      <c r="E853" s="11"/>
      <c r="F853" s="11"/>
    </row>
    <row r="854">
      <c r="A854" s="11"/>
      <c r="C854" s="11"/>
      <c r="D854" s="11"/>
      <c r="E854" s="11"/>
      <c r="F854" s="11"/>
    </row>
    <row r="855">
      <c r="A855" s="11"/>
      <c r="C855" s="11"/>
      <c r="D855" s="11"/>
      <c r="E855" s="11"/>
      <c r="F855" s="11"/>
    </row>
    <row r="856">
      <c r="A856" s="11"/>
      <c r="C856" s="11"/>
      <c r="D856" s="11"/>
      <c r="E856" s="11"/>
      <c r="F856" s="11"/>
    </row>
    <row r="857">
      <c r="A857" s="11"/>
      <c r="C857" s="11"/>
      <c r="D857" s="11"/>
      <c r="E857" s="11"/>
      <c r="F857" s="11"/>
    </row>
    <row r="858">
      <c r="A858" s="11"/>
      <c r="C858" s="11"/>
      <c r="D858" s="11"/>
      <c r="E858" s="11"/>
      <c r="F858" s="11"/>
    </row>
    <row r="859">
      <c r="A859" s="11"/>
      <c r="C859" s="11"/>
      <c r="D859" s="11"/>
      <c r="E859" s="11"/>
      <c r="F859" s="11"/>
    </row>
    <row r="860">
      <c r="A860" s="11"/>
      <c r="C860" s="11"/>
      <c r="D860" s="11"/>
      <c r="E860" s="11"/>
      <c r="F860" s="11"/>
    </row>
    <row r="861">
      <c r="A861" s="11"/>
      <c r="C861" s="11"/>
      <c r="D861" s="11"/>
      <c r="E861" s="11"/>
      <c r="F861" s="11"/>
    </row>
    <row r="862">
      <c r="A862" s="11"/>
      <c r="C862" s="11"/>
      <c r="D862" s="11"/>
      <c r="E862" s="11"/>
      <c r="F862" s="11"/>
    </row>
    <row r="863">
      <c r="A863" s="11"/>
      <c r="C863" s="11"/>
      <c r="D863" s="11"/>
      <c r="E863" s="11"/>
      <c r="F863" s="11"/>
    </row>
    <row r="864">
      <c r="A864" s="11"/>
      <c r="C864" s="11"/>
      <c r="D864" s="11"/>
      <c r="E864" s="11"/>
      <c r="F864" s="11"/>
    </row>
    <row r="865">
      <c r="A865" s="11"/>
      <c r="C865" s="11"/>
      <c r="D865" s="11"/>
      <c r="E865" s="11"/>
      <c r="F865" s="11"/>
    </row>
    <row r="866">
      <c r="A866" s="11"/>
      <c r="C866" s="11"/>
      <c r="D866" s="11"/>
      <c r="E866" s="11"/>
      <c r="F866" s="11"/>
    </row>
    <row r="867">
      <c r="A867" s="11"/>
      <c r="C867" s="11"/>
      <c r="D867" s="11"/>
      <c r="E867" s="11"/>
      <c r="F867" s="11"/>
    </row>
    <row r="868">
      <c r="A868" s="11"/>
      <c r="C868" s="11"/>
      <c r="D868" s="11"/>
      <c r="E868" s="11"/>
      <c r="F868" s="11"/>
    </row>
    <row r="869">
      <c r="A869" s="11"/>
      <c r="C869" s="11"/>
      <c r="D869" s="11"/>
      <c r="E869" s="11"/>
      <c r="F869" s="11"/>
    </row>
    <row r="870">
      <c r="A870" s="11"/>
      <c r="C870" s="11"/>
      <c r="D870" s="11"/>
      <c r="E870" s="11"/>
      <c r="F870" s="11"/>
    </row>
    <row r="871">
      <c r="A871" s="11"/>
      <c r="C871" s="11"/>
      <c r="D871" s="11"/>
      <c r="E871" s="11"/>
      <c r="F871" s="11"/>
    </row>
    <row r="872">
      <c r="A872" s="11"/>
      <c r="C872" s="11"/>
      <c r="D872" s="11"/>
      <c r="E872" s="11"/>
      <c r="F872" s="11"/>
    </row>
    <row r="873">
      <c r="A873" s="11"/>
      <c r="C873" s="11"/>
      <c r="D873" s="11"/>
      <c r="E873" s="11"/>
      <c r="F873" s="11"/>
    </row>
    <row r="874">
      <c r="A874" s="11"/>
      <c r="C874" s="11"/>
      <c r="D874" s="11"/>
      <c r="E874" s="11"/>
      <c r="F874" s="11"/>
    </row>
    <row r="875">
      <c r="A875" s="11"/>
      <c r="C875" s="11"/>
      <c r="D875" s="11"/>
      <c r="E875" s="11"/>
      <c r="F875" s="11"/>
    </row>
    <row r="876">
      <c r="A876" s="11"/>
      <c r="C876" s="11"/>
      <c r="D876" s="11"/>
      <c r="E876" s="11"/>
      <c r="F876" s="11"/>
    </row>
    <row r="877">
      <c r="A877" s="11"/>
      <c r="C877" s="11"/>
      <c r="D877" s="11"/>
      <c r="E877" s="11"/>
      <c r="F877" s="11"/>
    </row>
    <row r="878">
      <c r="A878" s="11"/>
      <c r="C878" s="11"/>
      <c r="D878" s="11"/>
      <c r="E878" s="11"/>
      <c r="F878" s="11"/>
    </row>
    <row r="879">
      <c r="A879" s="11"/>
      <c r="C879" s="11"/>
      <c r="D879" s="11"/>
      <c r="E879" s="11"/>
      <c r="F879" s="11"/>
    </row>
    <row r="880">
      <c r="A880" s="11"/>
      <c r="C880" s="11"/>
      <c r="D880" s="11"/>
      <c r="E880" s="11"/>
      <c r="F880" s="11"/>
    </row>
    <row r="881">
      <c r="A881" s="11"/>
      <c r="C881" s="11"/>
      <c r="D881" s="11"/>
      <c r="E881" s="11"/>
      <c r="F881" s="11"/>
    </row>
    <row r="882">
      <c r="A882" s="11"/>
      <c r="C882" s="11"/>
      <c r="D882" s="11"/>
      <c r="E882" s="11"/>
      <c r="F882" s="11"/>
    </row>
    <row r="883">
      <c r="A883" s="11"/>
      <c r="C883" s="11"/>
      <c r="D883" s="11"/>
      <c r="E883" s="11"/>
      <c r="F883" s="11"/>
    </row>
    <row r="884">
      <c r="A884" s="11"/>
      <c r="C884" s="11"/>
      <c r="D884" s="11"/>
      <c r="E884" s="11"/>
      <c r="F884" s="11"/>
    </row>
    <row r="885">
      <c r="A885" s="11"/>
      <c r="C885" s="11"/>
      <c r="D885" s="11"/>
      <c r="E885" s="11"/>
      <c r="F885" s="11"/>
    </row>
    <row r="886">
      <c r="A886" s="11"/>
      <c r="C886" s="11"/>
      <c r="D886" s="11"/>
      <c r="E886" s="11"/>
      <c r="F886" s="11"/>
    </row>
    <row r="887">
      <c r="A887" s="11"/>
      <c r="C887" s="11"/>
      <c r="D887" s="11"/>
      <c r="E887" s="11"/>
      <c r="F887" s="11"/>
    </row>
    <row r="888">
      <c r="A888" s="11"/>
      <c r="C888" s="11"/>
      <c r="D888" s="11"/>
      <c r="E888" s="11"/>
      <c r="F888" s="11"/>
    </row>
    <row r="889">
      <c r="A889" s="11"/>
      <c r="C889" s="11"/>
      <c r="D889" s="11"/>
      <c r="E889" s="11"/>
      <c r="F889" s="11"/>
    </row>
    <row r="890">
      <c r="A890" s="11"/>
      <c r="C890" s="11"/>
      <c r="D890" s="11"/>
      <c r="E890" s="11"/>
      <c r="F890" s="11"/>
    </row>
    <row r="891">
      <c r="A891" s="11"/>
      <c r="C891" s="11"/>
      <c r="D891" s="11"/>
      <c r="E891" s="11"/>
      <c r="F891" s="11"/>
    </row>
    <row r="892">
      <c r="A892" s="11"/>
      <c r="C892" s="11"/>
      <c r="D892" s="11"/>
      <c r="E892" s="11"/>
      <c r="F892" s="11"/>
    </row>
    <row r="893">
      <c r="A893" s="11"/>
      <c r="C893" s="11"/>
      <c r="D893" s="11"/>
      <c r="E893" s="11"/>
      <c r="F893" s="11"/>
    </row>
    <row r="894">
      <c r="A894" s="11"/>
      <c r="C894" s="11"/>
      <c r="D894" s="11"/>
      <c r="E894" s="11"/>
      <c r="F894" s="11"/>
    </row>
    <row r="895">
      <c r="A895" s="11"/>
      <c r="C895" s="11"/>
      <c r="D895" s="11"/>
      <c r="E895" s="11"/>
      <c r="F895" s="11"/>
    </row>
    <row r="896">
      <c r="A896" s="11"/>
      <c r="C896" s="11"/>
      <c r="D896" s="11"/>
      <c r="E896" s="11"/>
      <c r="F896" s="11"/>
    </row>
    <row r="897">
      <c r="A897" s="11"/>
      <c r="C897" s="11"/>
      <c r="D897" s="11"/>
      <c r="E897" s="11"/>
      <c r="F897" s="11"/>
    </row>
    <row r="898">
      <c r="A898" s="11"/>
      <c r="C898" s="11"/>
      <c r="D898" s="11"/>
      <c r="E898" s="11"/>
      <c r="F898" s="11"/>
    </row>
    <row r="899">
      <c r="A899" s="11"/>
      <c r="C899" s="11"/>
      <c r="D899" s="11"/>
      <c r="E899" s="11"/>
      <c r="F899" s="11"/>
    </row>
    <row r="900">
      <c r="A900" s="11"/>
      <c r="C900" s="11"/>
      <c r="D900" s="11"/>
      <c r="E900" s="11"/>
      <c r="F900" s="11"/>
    </row>
    <row r="901">
      <c r="A901" s="11"/>
      <c r="C901" s="11"/>
      <c r="D901" s="11"/>
      <c r="E901" s="11"/>
      <c r="F901" s="11"/>
    </row>
    <row r="902">
      <c r="A902" s="11"/>
      <c r="C902" s="11"/>
      <c r="D902" s="11"/>
      <c r="E902" s="11"/>
      <c r="F902" s="11"/>
    </row>
    <row r="903">
      <c r="A903" s="11"/>
      <c r="C903" s="11"/>
      <c r="D903" s="11"/>
      <c r="E903" s="11"/>
      <c r="F903" s="11"/>
    </row>
    <row r="904">
      <c r="A904" s="11"/>
      <c r="C904" s="11"/>
      <c r="D904" s="11"/>
      <c r="E904" s="11"/>
      <c r="F904" s="11"/>
    </row>
    <row r="905">
      <c r="A905" s="11"/>
      <c r="C905" s="11"/>
      <c r="D905" s="11"/>
      <c r="E905" s="11"/>
      <c r="F905" s="11"/>
    </row>
    <row r="906">
      <c r="A906" s="11"/>
      <c r="C906" s="11"/>
      <c r="D906" s="11"/>
      <c r="E906" s="11"/>
      <c r="F906" s="11"/>
    </row>
    <row r="907">
      <c r="A907" s="11"/>
      <c r="C907" s="11"/>
      <c r="D907" s="11"/>
      <c r="E907" s="11"/>
      <c r="F907" s="11"/>
    </row>
    <row r="908">
      <c r="A908" s="11"/>
      <c r="C908" s="11"/>
      <c r="D908" s="11"/>
      <c r="E908" s="11"/>
      <c r="F908" s="11"/>
    </row>
    <row r="909">
      <c r="A909" s="11"/>
      <c r="C909" s="11"/>
      <c r="D909" s="11"/>
      <c r="E909" s="11"/>
      <c r="F909" s="11"/>
    </row>
    <row r="910">
      <c r="A910" s="11"/>
      <c r="C910" s="11"/>
      <c r="D910" s="11"/>
      <c r="E910" s="11"/>
      <c r="F910" s="11"/>
    </row>
    <row r="911">
      <c r="A911" s="11"/>
      <c r="C911" s="11"/>
      <c r="D911" s="11"/>
      <c r="E911" s="11"/>
      <c r="F911" s="11"/>
    </row>
    <row r="912">
      <c r="A912" s="11"/>
      <c r="C912" s="11"/>
      <c r="D912" s="11"/>
      <c r="E912" s="11"/>
      <c r="F912" s="11"/>
    </row>
    <row r="913">
      <c r="A913" s="11"/>
      <c r="C913" s="11"/>
      <c r="D913" s="11"/>
      <c r="E913" s="11"/>
      <c r="F913" s="11"/>
    </row>
    <row r="914">
      <c r="A914" s="11"/>
      <c r="C914" s="11"/>
      <c r="D914" s="11"/>
      <c r="E914" s="11"/>
      <c r="F914" s="11"/>
    </row>
    <row r="915">
      <c r="A915" s="11"/>
      <c r="C915" s="11"/>
      <c r="D915" s="11"/>
      <c r="E915" s="11"/>
      <c r="F915" s="11"/>
    </row>
    <row r="916">
      <c r="A916" s="11"/>
      <c r="C916" s="11"/>
      <c r="D916" s="11"/>
      <c r="E916" s="11"/>
      <c r="F916" s="11"/>
    </row>
    <row r="917">
      <c r="A917" s="11"/>
      <c r="C917" s="11"/>
      <c r="D917" s="11"/>
      <c r="E917" s="11"/>
      <c r="F917" s="11"/>
    </row>
    <row r="918">
      <c r="A918" s="11"/>
      <c r="C918" s="11"/>
      <c r="D918" s="11"/>
      <c r="E918" s="11"/>
      <c r="F918" s="11"/>
    </row>
    <row r="919">
      <c r="A919" s="11"/>
      <c r="C919" s="11"/>
      <c r="D919" s="11"/>
      <c r="E919" s="11"/>
      <c r="F919" s="11"/>
    </row>
    <row r="920">
      <c r="A920" s="11"/>
      <c r="C920" s="11"/>
      <c r="D920" s="11"/>
      <c r="E920" s="11"/>
      <c r="F920" s="11"/>
    </row>
    <row r="921">
      <c r="A921" s="11"/>
      <c r="C921" s="11"/>
      <c r="D921" s="11"/>
      <c r="E921" s="11"/>
      <c r="F921" s="11"/>
    </row>
    <row r="922">
      <c r="A922" s="11"/>
      <c r="C922" s="11"/>
      <c r="D922" s="11"/>
      <c r="E922" s="11"/>
      <c r="F922" s="11"/>
    </row>
    <row r="923">
      <c r="A923" s="11"/>
      <c r="C923" s="11"/>
      <c r="D923" s="11"/>
      <c r="E923" s="11"/>
      <c r="F923" s="11"/>
    </row>
    <row r="924">
      <c r="A924" s="11"/>
      <c r="C924" s="11"/>
      <c r="D924" s="11"/>
      <c r="E924" s="11"/>
      <c r="F924" s="11"/>
    </row>
    <row r="925">
      <c r="A925" s="11"/>
      <c r="C925" s="11"/>
      <c r="D925" s="11"/>
      <c r="E925" s="11"/>
      <c r="F925" s="11"/>
    </row>
    <row r="926">
      <c r="A926" s="11"/>
      <c r="C926" s="11"/>
      <c r="D926" s="11"/>
      <c r="E926" s="11"/>
      <c r="F926" s="11"/>
    </row>
    <row r="927">
      <c r="A927" s="11"/>
      <c r="C927" s="11"/>
      <c r="D927" s="11"/>
      <c r="E927" s="11"/>
      <c r="F927" s="11"/>
    </row>
    <row r="928">
      <c r="A928" s="11"/>
      <c r="C928" s="11"/>
      <c r="D928" s="11"/>
      <c r="E928" s="11"/>
      <c r="F928" s="11"/>
    </row>
    <row r="929">
      <c r="A929" s="11"/>
      <c r="C929" s="11"/>
      <c r="D929" s="11"/>
      <c r="E929" s="11"/>
      <c r="F929" s="11"/>
    </row>
    <row r="930">
      <c r="A930" s="11"/>
      <c r="C930" s="11"/>
      <c r="D930" s="11"/>
      <c r="E930" s="11"/>
      <c r="F930" s="11"/>
    </row>
    <row r="931">
      <c r="A931" s="11"/>
      <c r="C931" s="11"/>
      <c r="D931" s="11"/>
      <c r="E931" s="11"/>
      <c r="F931" s="11"/>
    </row>
    <row r="932">
      <c r="A932" s="11"/>
      <c r="C932" s="11"/>
      <c r="D932" s="11"/>
      <c r="E932" s="11"/>
      <c r="F932" s="11"/>
    </row>
    <row r="933">
      <c r="A933" s="11"/>
      <c r="C933" s="11"/>
      <c r="D933" s="11"/>
      <c r="E933" s="11"/>
      <c r="F933" s="11"/>
    </row>
    <row r="934">
      <c r="A934" s="11"/>
      <c r="C934" s="11"/>
      <c r="D934" s="11"/>
      <c r="E934" s="11"/>
      <c r="F934" s="11"/>
    </row>
    <row r="935">
      <c r="A935" s="11"/>
      <c r="C935" s="11"/>
      <c r="D935" s="11"/>
      <c r="E935" s="11"/>
      <c r="F935" s="11"/>
    </row>
    <row r="936">
      <c r="A936" s="11"/>
      <c r="C936" s="11"/>
      <c r="D936" s="11"/>
      <c r="E936" s="11"/>
      <c r="F936" s="11"/>
    </row>
    <row r="937">
      <c r="A937" s="11"/>
      <c r="C937" s="11"/>
      <c r="D937" s="11"/>
      <c r="E937" s="11"/>
      <c r="F937" s="11"/>
    </row>
    <row r="938">
      <c r="A938" s="11"/>
      <c r="C938" s="11"/>
      <c r="D938" s="11"/>
      <c r="E938" s="11"/>
      <c r="F938" s="11"/>
    </row>
    <row r="939">
      <c r="A939" s="11"/>
      <c r="C939" s="11"/>
      <c r="D939" s="11"/>
      <c r="E939" s="11"/>
      <c r="F939" s="11"/>
    </row>
    <row r="940">
      <c r="A940" s="11"/>
      <c r="C940" s="11"/>
      <c r="D940" s="11"/>
      <c r="E940" s="11"/>
      <c r="F940" s="11"/>
    </row>
    <row r="941">
      <c r="A941" s="11"/>
      <c r="C941" s="11"/>
      <c r="D941" s="11"/>
      <c r="E941" s="11"/>
      <c r="F941" s="11"/>
    </row>
    <row r="942">
      <c r="A942" s="11"/>
      <c r="C942" s="11"/>
      <c r="D942" s="11"/>
      <c r="E942" s="11"/>
      <c r="F942" s="11"/>
    </row>
    <row r="943">
      <c r="A943" s="11"/>
      <c r="C943" s="11"/>
      <c r="D943" s="11"/>
      <c r="E943" s="11"/>
      <c r="F943" s="11"/>
    </row>
    <row r="944">
      <c r="A944" s="11"/>
      <c r="C944" s="11"/>
      <c r="D944" s="11"/>
      <c r="E944" s="11"/>
      <c r="F944" s="11"/>
    </row>
    <row r="945">
      <c r="A945" s="11"/>
      <c r="C945" s="11"/>
      <c r="D945" s="11"/>
      <c r="E945" s="11"/>
      <c r="F945" s="11"/>
    </row>
    <row r="946">
      <c r="A946" s="11"/>
      <c r="C946" s="11"/>
      <c r="D946" s="11"/>
      <c r="E946" s="11"/>
      <c r="F946" s="11"/>
    </row>
    <row r="947">
      <c r="A947" s="11"/>
      <c r="C947" s="11"/>
      <c r="D947" s="11"/>
      <c r="E947" s="11"/>
      <c r="F947" s="11"/>
    </row>
    <row r="948">
      <c r="A948" s="11"/>
      <c r="C948" s="11"/>
      <c r="D948" s="11"/>
      <c r="E948" s="11"/>
      <c r="F948" s="11"/>
    </row>
    <row r="949">
      <c r="A949" s="11"/>
      <c r="C949" s="11"/>
      <c r="D949" s="11"/>
      <c r="E949" s="11"/>
      <c r="F949" s="11"/>
    </row>
    <row r="950">
      <c r="A950" s="11"/>
      <c r="C950" s="11"/>
      <c r="D950" s="11"/>
      <c r="E950" s="11"/>
      <c r="F950" s="11"/>
    </row>
    <row r="951">
      <c r="A951" s="11"/>
      <c r="C951" s="11"/>
      <c r="D951" s="11"/>
      <c r="E951" s="11"/>
      <c r="F951" s="11"/>
    </row>
    <row r="952">
      <c r="A952" s="11"/>
      <c r="C952" s="11"/>
      <c r="D952" s="11"/>
      <c r="E952" s="11"/>
      <c r="F952" s="11"/>
    </row>
    <row r="953">
      <c r="A953" s="11"/>
      <c r="C953" s="11"/>
      <c r="D953" s="11"/>
      <c r="E953" s="11"/>
      <c r="F953" s="11"/>
    </row>
    <row r="954">
      <c r="A954" s="11"/>
      <c r="C954" s="11"/>
      <c r="D954" s="11"/>
      <c r="E954" s="11"/>
      <c r="F954" s="11"/>
    </row>
    <row r="955">
      <c r="A955" s="11"/>
      <c r="C955" s="11"/>
      <c r="D955" s="11"/>
      <c r="E955" s="11"/>
      <c r="F955" s="11"/>
    </row>
    <row r="956">
      <c r="A956" s="11"/>
      <c r="C956" s="11"/>
      <c r="D956" s="11"/>
      <c r="E956" s="11"/>
      <c r="F956" s="11"/>
    </row>
    <row r="957">
      <c r="A957" s="11"/>
      <c r="C957" s="11"/>
      <c r="D957" s="11"/>
      <c r="E957" s="11"/>
      <c r="F957" s="11"/>
    </row>
    <row r="958">
      <c r="A958" s="11"/>
      <c r="C958" s="11"/>
      <c r="D958" s="11"/>
      <c r="E958" s="11"/>
      <c r="F958" s="11"/>
    </row>
    <row r="959">
      <c r="A959" s="11"/>
      <c r="C959" s="11"/>
      <c r="D959" s="11"/>
      <c r="E959" s="11"/>
      <c r="F959" s="11"/>
    </row>
    <row r="960">
      <c r="A960" s="11"/>
      <c r="C960" s="11"/>
      <c r="D960" s="11"/>
      <c r="E960" s="11"/>
      <c r="F960" s="11"/>
    </row>
    <row r="961">
      <c r="A961" s="11"/>
      <c r="C961" s="11"/>
      <c r="D961" s="11"/>
      <c r="E961" s="11"/>
      <c r="F961" s="11"/>
    </row>
    <row r="962">
      <c r="A962" s="11"/>
      <c r="C962" s="11"/>
      <c r="D962" s="11"/>
      <c r="E962" s="11"/>
      <c r="F962" s="11"/>
    </row>
    <row r="963">
      <c r="A963" s="11"/>
      <c r="C963" s="11"/>
      <c r="D963" s="11"/>
      <c r="E963" s="11"/>
      <c r="F963" s="11"/>
    </row>
    <row r="964">
      <c r="A964" s="11"/>
      <c r="C964" s="11"/>
      <c r="D964" s="11"/>
      <c r="E964" s="11"/>
      <c r="F964" s="11"/>
    </row>
    <row r="965">
      <c r="A965" s="11"/>
      <c r="C965" s="11"/>
      <c r="D965" s="11"/>
      <c r="E965" s="11"/>
      <c r="F965" s="11"/>
    </row>
    <row r="966">
      <c r="A966" s="11"/>
      <c r="C966" s="11"/>
      <c r="D966" s="11"/>
      <c r="E966" s="11"/>
      <c r="F966" s="11"/>
    </row>
    <row r="967">
      <c r="A967" s="11"/>
      <c r="C967" s="11"/>
      <c r="D967" s="11"/>
      <c r="E967" s="11"/>
      <c r="F967" s="11"/>
    </row>
    <row r="968">
      <c r="A968" s="11"/>
      <c r="C968" s="11"/>
      <c r="D968" s="11"/>
      <c r="E968" s="11"/>
      <c r="F968" s="11"/>
    </row>
    <row r="969">
      <c r="A969" s="11"/>
      <c r="C969" s="11"/>
      <c r="D969" s="11"/>
      <c r="E969" s="11"/>
      <c r="F969" s="11"/>
    </row>
    <row r="970">
      <c r="A970" s="11"/>
      <c r="C970" s="11"/>
      <c r="D970" s="11"/>
      <c r="E970" s="11"/>
      <c r="F970" s="11"/>
    </row>
    <row r="971">
      <c r="A971" s="11"/>
      <c r="C971" s="11"/>
      <c r="D971" s="11"/>
      <c r="E971" s="11"/>
      <c r="F971" s="11"/>
    </row>
    <row r="972">
      <c r="A972" s="11"/>
      <c r="C972" s="11"/>
      <c r="D972" s="11"/>
      <c r="E972" s="11"/>
      <c r="F972" s="11"/>
    </row>
    <row r="973">
      <c r="A973" s="11"/>
      <c r="C973" s="11"/>
      <c r="D973" s="11"/>
      <c r="E973" s="11"/>
      <c r="F973" s="11"/>
    </row>
    <row r="974">
      <c r="A974" s="11"/>
      <c r="C974" s="11"/>
      <c r="D974" s="11"/>
      <c r="E974" s="11"/>
      <c r="F974" s="11"/>
    </row>
    <row r="975">
      <c r="A975" s="11"/>
      <c r="C975" s="11"/>
      <c r="D975" s="11"/>
      <c r="E975" s="11"/>
      <c r="F975" s="11"/>
    </row>
    <row r="976">
      <c r="A976" s="11"/>
      <c r="C976" s="11"/>
      <c r="D976" s="11"/>
      <c r="E976" s="11"/>
      <c r="F976" s="11"/>
    </row>
    <row r="977">
      <c r="A977" s="11"/>
      <c r="C977" s="11"/>
      <c r="D977" s="11"/>
      <c r="E977" s="11"/>
      <c r="F977" s="11"/>
    </row>
    <row r="978">
      <c r="A978" s="11"/>
      <c r="C978" s="11"/>
      <c r="D978" s="11"/>
      <c r="E978" s="11"/>
      <c r="F978" s="11"/>
    </row>
    <row r="979">
      <c r="A979" s="11"/>
      <c r="C979" s="11"/>
      <c r="D979" s="11"/>
      <c r="E979" s="11"/>
      <c r="F979" s="11"/>
    </row>
    <row r="980">
      <c r="A980" s="11"/>
      <c r="C980" s="11"/>
      <c r="D980" s="11"/>
      <c r="E980" s="11"/>
      <c r="F980" s="11"/>
    </row>
    <row r="981">
      <c r="A981" s="11"/>
      <c r="C981" s="11"/>
      <c r="D981" s="11"/>
      <c r="E981" s="11"/>
      <c r="F981" s="11"/>
    </row>
    <row r="982">
      <c r="A982" s="11"/>
      <c r="C982" s="11"/>
      <c r="D982" s="11"/>
      <c r="E982" s="11"/>
      <c r="F982" s="11"/>
    </row>
    <row r="983">
      <c r="A983" s="11"/>
      <c r="C983" s="11"/>
      <c r="D983" s="11"/>
      <c r="E983" s="11"/>
      <c r="F983" s="11"/>
    </row>
    <row r="984">
      <c r="A984" s="11"/>
      <c r="C984" s="11"/>
      <c r="D984" s="11"/>
      <c r="E984" s="11"/>
      <c r="F984" s="11"/>
    </row>
    <row r="985">
      <c r="A985" s="11"/>
      <c r="C985" s="11"/>
      <c r="D985" s="11"/>
      <c r="E985" s="11"/>
      <c r="F985" s="11"/>
    </row>
    <row r="986">
      <c r="A986" s="11"/>
      <c r="C986" s="11"/>
      <c r="D986" s="11"/>
      <c r="E986" s="11"/>
      <c r="F986" s="11"/>
    </row>
    <row r="987">
      <c r="A987" s="11"/>
      <c r="C987" s="11"/>
      <c r="D987" s="11"/>
      <c r="E987" s="11"/>
      <c r="F987" s="11"/>
    </row>
    <row r="988">
      <c r="A988" s="11"/>
      <c r="C988" s="11"/>
      <c r="D988" s="11"/>
      <c r="E988" s="11"/>
      <c r="F988" s="11"/>
    </row>
    <row r="989">
      <c r="A989" s="11"/>
      <c r="C989" s="11"/>
      <c r="D989" s="11"/>
      <c r="E989" s="11"/>
      <c r="F989" s="11"/>
    </row>
    <row r="990">
      <c r="A990" s="11"/>
      <c r="C990" s="11"/>
      <c r="D990" s="11"/>
      <c r="E990" s="11"/>
      <c r="F990" s="11"/>
    </row>
    <row r="991">
      <c r="A991" s="11"/>
      <c r="C991" s="11"/>
      <c r="D991" s="11"/>
      <c r="E991" s="11"/>
      <c r="F991" s="11"/>
    </row>
    <row r="992">
      <c r="A992" s="11"/>
      <c r="C992" s="11"/>
      <c r="D992" s="11"/>
      <c r="E992" s="11"/>
      <c r="F992" s="11"/>
    </row>
    <row r="993">
      <c r="A993" s="11"/>
      <c r="C993" s="11"/>
      <c r="D993" s="11"/>
      <c r="E993" s="11"/>
      <c r="F993" s="11"/>
    </row>
    <row r="994">
      <c r="A994" s="11"/>
      <c r="C994" s="11"/>
      <c r="D994" s="11"/>
      <c r="E994" s="11"/>
      <c r="F994" s="11"/>
    </row>
    <row r="995">
      <c r="A995" s="11"/>
      <c r="C995" s="11"/>
      <c r="D995" s="11"/>
      <c r="E995" s="11"/>
      <c r="F995" s="11"/>
    </row>
    <row r="996">
      <c r="A996" s="11"/>
      <c r="C996" s="11"/>
      <c r="D996" s="11"/>
      <c r="E996" s="11"/>
      <c r="F996" s="11"/>
    </row>
    <row r="997">
      <c r="A997" s="11"/>
      <c r="C997" s="11"/>
      <c r="D997" s="11"/>
      <c r="E997" s="11"/>
      <c r="F997" s="11"/>
    </row>
    <row r="998">
      <c r="A998" s="11"/>
      <c r="C998" s="11"/>
      <c r="D998" s="11"/>
      <c r="E998" s="11"/>
      <c r="F998" s="11"/>
    </row>
    <row r="999">
      <c r="A999" s="11"/>
      <c r="C999" s="11"/>
      <c r="D999" s="11"/>
      <c r="E999" s="11"/>
      <c r="F999" s="11"/>
    </row>
    <row r="1000">
      <c r="A1000" s="11"/>
      <c r="C1000" s="11"/>
      <c r="D1000" s="11"/>
      <c r="E1000" s="11"/>
      <c r="F1000" s="11"/>
    </row>
    <row r="1001">
      <c r="A1001" s="11"/>
      <c r="C1001" s="11"/>
      <c r="D1001" s="11"/>
      <c r="E1001" s="11"/>
      <c r="F1001" s="11"/>
    </row>
    <row r="1002">
      <c r="A1002" s="11"/>
      <c r="C1002" s="11"/>
      <c r="D1002" s="11"/>
      <c r="E1002" s="11"/>
      <c r="F1002" s="11"/>
    </row>
    <row r="1003">
      <c r="A1003" s="11"/>
      <c r="C1003" s="11"/>
      <c r="D1003" s="11"/>
      <c r="E1003" s="11"/>
      <c r="F1003" s="11"/>
    </row>
    <row r="1004">
      <c r="A1004" s="11"/>
      <c r="C1004" s="11"/>
      <c r="D1004" s="11"/>
      <c r="E1004" s="11"/>
      <c r="F1004" s="11"/>
    </row>
    <row r="1005">
      <c r="A1005" s="11"/>
      <c r="C1005" s="11"/>
      <c r="D1005" s="11"/>
      <c r="E1005" s="11"/>
      <c r="F1005" s="11"/>
    </row>
    <row r="1006">
      <c r="A1006" s="11"/>
      <c r="C1006" s="11"/>
      <c r="D1006" s="11"/>
      <c r="E1006" s="11"/>
      <c r="F1006" s="11"/>
    </row>
    <row r="1007">
      <c r="A1007" s="11"/>
      <c r="C1007" s="11"/>
      <c r="D1007" s="11"/>
      <c r="E1007" s="11"/>
      <c r="F1007" s="11"/>
    </row>
    <row r="1008">
      <c r="A1008" s="11"/>
      <c r="C1008" s="11"/>
      <c r="D1008" s="11"/>
      <c r="E1008" s="11"/>
      <c r="F1008" s="11"/>
    </row>
    <row r="1009">
      <c r="A1009" s="11"/>
      <c r="C1009" s="11"/>
      <c r="D1009" s="11"/>
      <c r="E1009" s="11"/>
      <c r="F1009" s="11"/>
    </row>
    <row r="1010">
      <c r="A1010" s="11"/>
      <c r="C1010" s="11"/>
      <c r="D1010" s="11"/>
      <c r="E1010" s="11"/>
      <c r="F1010" s="11"/>
    </row>
    <row r="1011">
      <c r="A1011" s="11"/>
      <c r="C1011" s="11"/>
      <c r="D1011" s="11"/>
      <c r="E1011" s="11"/>
      <c r="F1011" s="11"/>
    </row>
    <row r="1012">
      <c r="A1012" s="11"/>
      <c r="C1012" s="11"/>
      <c r="D1012" s="11"/>
      <c r="E1012" s="11"/>
      <c r="F1012" s="11"/>
    </row>
    <row r="1013">
      <c r="A1013" s="11"/>
      <c r="C1013" s="11"/>
      <c r="D1013" s="11"/>
      <c r="E1013" s="11"/>
      <c r="F1013" s="11"/>
    </row>
    <row r="1014">
      <c r="A1014" s="11"/>
      <c r="C1014" s="11"/>
      <c r="D1014" s="11"/>
      <c r="E1014" s="11"/>
      <c r="F1014" s="11"/>
    </row>
    <row r="1015">
      <c r="A1015" s="11"/>
      <c r="C1015" s="11"/>
      <c r="D1015" s="11"/>
      <c r="E1015" s="11"/>
      <c r="F1015" s="11"/>
    </row>
    <row r="1016">
      <c r="A1016" s="11"/>
      <c r="C1016" s="11"/>
      <c r="D1016" s="11"/>
      <c r="E1016" s="11"/>
      <c r="F1016" s="11"/>
    </row>
    <row r="1017">
      <c r="A1017" s="11"/>
      <c r="C1017" s="11"/>
      <c r="D1017" s="11"/>
      <c r="E1017" s="11"/>
      <c r="F1017" s="11"/>
    </row>
    <row r="1018">
      <c r="A1018" s="11"/>
      <c r="C1018" s="11"/>
      <c r="D1018" s="11"/>
      <c r="E1018" s="11"/>
      <c r="F1018" s="11"/>
    </row>
    <row r="1019">
      <c r="A1019" s="11"/>
      <c r="C1019" s="11"/>
      <c r="D1019" s="11"/>
      <c r="E1019" s="11"/>
      <c r="F1019" s="11"/>
    </row>
    <row r="1020">
      <c r="A1020" s="11"/>
      <c r="C1020" s="11"/>
      <c r="D1020" s="11"/>
      <c r="E1020" s="11"/>
      <c r="F1020" s="11"/>
    </row>
    <row r="1021">
      <c r="A1021" s="11"/>
      <c r="C1021" s="11"/>
      <c r="D1021" s="11"/>
      <c r="E1021" s="11"/>
      <c r="F1021" s="11"/>
    </row>
    <row r="1022">
      <c r="A1022" s="11"/>
      <c r="C1022" s="11"/>
      <c r="D1022" s="11"/>
      <c r="E1022" s="11"/>
      <c r="F1022" s="11"/>
    </row>
    <row r="1023">
      <c r="A1023" s="11"/>
      <c r="C1023" s="11"/>
      <c r="D1023" s="11"/>
      <c r="E1023" s="11"/>
      <c r="F1023" s="11"/>
    </row>
    <row r="1024">
      <c r="A1024" s="11"/>
      <c r="C1024" s="11"/>
      <c r="D1024" s="11"/>
      <c r="E1024" s="11"/>
      <c r="F1024" s="11"/>
    </row>
    <row r="1025">
      <c r="A1025" s="11"/>
      <c r="C1025" s="11"/>
      <c r="D1025" s="11"/>
      <c r="E1025" s="11"/>
      <c r="F1025" s="11"/>
    </row>
    <row r="1026">
      <c r="A1026" s="11"/>
      <c r="C1026" s="11"/>
      <c r="D1026" s="11"/>
      <c r="E1026" s="11"/>
      <c r="F1026" s="11"/>
    </row>
    <row r="1027">
      <c r="A1027" s="11"/>
      <c r="C1027" s="11"/>
      <c r="D1027" s="11"/>
      <c r="E1027" s="11"/>
      <c r="F1027" s="11"/>
    </row>
    <row r="1028">
      <c r="A1028" s="11"/>
      <c r="C1028" s="11"/>
      <c r="D1028" s="11"/>
      <c r="E1028" s="11"/>
      <c r="F1028" s="11"/>
    </row>
    <row r="1029">
      <c r="A1029" s="11"/>
      <c r="C1029" s="11"/>
      <c r="D1029" s="11"/>
      <c r="E1029" s="11"/>
      <c r="F1029" s="11"/>
    </row>
    <row r="1030">
      <c r="A1030" s="11"/>
      <c r="C1030" s="11"/>
      <c r="D1030" s="11"/>
      <c r="E1030" s="11"/>
      <c r="F1030" s="11"/>
    </row>
    <row r="1031">
      <c r="A1031" s="11"/>
      <c r="C1031" s="11"/>
      <c r="D1031" s="11"/>
      <c r="E1031" s="11"/>
      <c r="F1031" s="11"/>
    </row>
    <row r="1032">
      <c r="A1032" s="11"/>
      <c r="C1032" s="11"/>
      <c r="D1032" s="11"/>
      <c r="E1032" s="11"/>
      <c r="F1032" s="11"/>
    </row>
    <row r="1033">
      <c r="A1033" s="11"/>
      <c r="C1033" s="11"/>
      <c r="D1033" s="11"/>
      <c r="E1033" s="11"/>
      <c r="F1033" s="11"/>
    </row>
    <row r="1034">
      <c r="A1034" s="11"/>
      <c r="C1034" s="11"/>
      <c r="D1034" s="11"/>
      <c r="E1034" s="11"/>
      <c r="F1034" s="11"/>
    </row>
    <row r="1035">
      <c r="A1035" s="11"/>
      <c r="C1035" s="11"/>
      <c r="D1035" s="11"/>
      <c r="E1035" s="11"/>
      <c r="F1035" s="11"/>
    </row>
    <row r="1036">
      <c r="A1036" s="11"/>
      <c r="C1036" s="11"/>
      <c r="D1036" s="11"/>
      <c r="E1036" s="11"/>
      <c r="F1036" s="11"/>
    </row>
    <row r="1037">
      <c r="A1037" s="11"/>
      <c r="C1037" s="11"/>
      <c r="D1037" s="11"/>
      <c r="E1037" s="11"/>
      <c r="F1037" s="11"/>
    </row>
    <row r="1038">
      <c r="A1038" s="11"/>
      <c r="C1038" s="11"/>
      <c r="D1038" s="11"/>
      <c r="E1038" s="11"/>
      <c r="F1038" s="11"/>
    </row>
    <row r="1039">
      <c r="A1039" s="11"/>
      <c r="C1039" s="11"/>
      <c r="D1039" s="11"/>
      <c r="E1039" s="11"/>
      <c r="F1039" s="11"/>
    </row>
    <row r="1040">
      <c r="A1040" s="11"/>
      <c r="C1040" s="11"/>
      <c r="D1040" s="11"/>
      <c r="E1040" s="11"/>
      <c r="F1040" s="11"/>
    </row>
    <row r="1041">
      <c r="A1041" s="11"/>
      <c r="C1041" s="11"/>
      <c r="D1041" s="11"/>
      <c r="E1041" s="11"/>
      <c r="F1041" s="11"/>
    </row>
    <row r="1042">
      <c r="A1042" s="11"/>
      <c r="C1042" s="11"/>
      <c r="D1042" s="11"/>
      <c r="E1042" s="11"/>
      <c r="F1042" s="11"/>
    </row>
    <row r="1043">
      <c r="A1043" s="11"/>
      <c r="C1043" s="11"/>
      <c r="D1043" s="11"/>
      <c r="E1043" s="11"/>
      <c r="F1043" s="11"/>
    </row>
    <row r="1044">
      <c r="A1044" s="11"/>
      <c r="C1044" s="11"/>
      <c r="D1044" s="11"/>
      <c r="E1044" s="11"/>
      <c r="F1044" s="11"/>
    </row>
    <row r="1045">
      <c r="A1045" s="11"/>
      <c r="C1045" s="11"/>
      <c r="D1045" s="11"/>
      <c r="E1045" s="11"/>
      <c r="F1045" s="11"/>
    </row>
    <row r="1046">
      <c r="A1046" s="11"/>
      <c r="C1046" s="11"/>
      <c r="D1046" s="11"/>
      <c r="E1046" s="11"/>
      <c r="F1046" s="11"/>
    </row>
    <row r="1047">
      <c r="A1047" s="11"/>
      <c r="C1047" s="11"/>
      <c r="D1047" s="11"/>
      <c r="E1047" s="11"/>
      <c r="F1047" s="11"/>
    </row>
    <row r="1048">
      <c r="A1048" s="11"/>
      <c r="C1048" s="11"/>
      <c r="D1048" s="11"/>
      <c r="E1048" s="11"/>
      <c r="F1048" s="11"/>
    </row>
    <row r="1049">
      <c r="A1049" s="11"/>
      <c r="C1049" s="11"/>
      <c r="D1049" s="11"/>
      <c r="E1049" s="11"/>
      <c r="F1049" s="11"/>
    </row>
    <row r="1050">
      <c r="A1050" s="11"/>
      <c r="C1050" s="11"/>
      <c r="D1050" s="11"/>
      <c r="E1050" s="11"/>
      <c r="F1050" s="11"/>
    </row>
    <row r="1051">
      <c r="A1051" s="11"/>
      <c r="C1051" s="11"/>
      <c r="D1051" s="11"/>
      <c r="E1051" s="11"/>
      <c r="F1051" s="11"/>
    </row>
    <row r="1052">
      <c r="A1052" s="11"/>
      <c r="C1052" s="11"/>
      <c r="D1052" s="11"/>
      <c r="E1052" s="11"/>
      <c r="F1052" s="11"/>
    </row>
    <row r="1053">
      <c r="A1053" s="11"/>
      <c r="C1053" s="11"/>
      <c r="D1053" s="11"/>
      <c r="E1053" s="11"/>
      <c r="F1053" s="11"/>
    </row>
    <row r="1054">
      <c r="A1054" s="11"/>
      <c r="C1054" s="11"/>
      <c r="D1054" s="11"/>
      <c r="E1054" s="11"/>
      <c r="F1054" s="11"/>
    </row>
    <row r="1055">
      <c r="A1055" s="11"/>
      <c r="C1055" s="11"/>
      <c r="D1055" s="11"/>
      <c r="E1055" s="11"/>
      <c r="F1055" s="11"/>
    </row>
    <row r="1056">
      <c r="A1056" s="11"/>
      <c r="C1056" s="11"/>
      <c r="D1056" s="11"/>
      <c r="E1056" s="11"/>
      <c r="F1056" s="11"/>
    </row>
    <row r="1057">
      <c r="A1057" s="11"/>
      <c r="C1057" s="11"/>
      <c r="D1057" s="11"/>
      <c r="E1057" s="11"/>
      <c r="F1057" s="11"/>
    </row>
    <row r="1058">
      <c r="A1058" s="11"/>
      <c r="C1058" s="11"/>
      <c r="D1058" s="11"/>
      <c r="E1058" s="11"/>
      <c r="F1058" s="11"/>
    </row>
    <row r="1059">
      <c r="A1059" s="11"/>
      <c r="C1059" s="11"/>
      <c r="D1059" s="11"/>
      <c r="E1059" s="11"/>
      <c r="F1059" s="11"/>
    </row>
    <row r="1060">
      <c r="A1060" s="11"/>
      <c r="C1060" s="11"/>
      <c r="D1060" s="11"/>
      <c r="E1060" s="11"/>
      <c r="F1060" s="11"/>
    </row>
    <row r="1061">
      <c r="A1061" s="11"/>
      <c r="C1061" s="11"/>
      <c r="D1061" s="11"/>
      <c r="E1061" s="11"/>
      <c r="F1061" s="11"/>
    </row>
    <row r="1062">
      <c r="A1062" s="11"/>
      <c r="C1062" s="11"/>
      <c r="D1062" s="11"/>
      <c r="E1062" s="11"/>
      <c r="F1062" s="11"/>
    </row>
    <row r="1063">
      <c r="A1063" s="11"/>
      <c r="C1063" s="11"/>
      <c r="D1063" s="11"/>
      <c r="E1063" s="11"/>
      <c r="F1063" s="11"/>
    </row>
    <row r="1064">
      <c r="A1064" s="11"/>
      <c r="C1064" s="11"/>
      <c r="D1064" s="11"/>
      <c r="E1064" s="11"/>
      <c r="F1064" s="11"/>
    </row>
    <row r="1065">
      <c r="A1065" s="11"/>
      <c r="C1065" s="11"/>
      <c r="D1065" s="11"/>
      <c r="E1065" s="11"/>
      <c r="F1065" s="11"/>
    </row>
    <row r="1066">
      <c r="A1066" s="11"/>
      <c r="C1066" s="11"/>
      <c r="D1066" s="11"/>
      <c r="E1066" s="11"/>
      <c r="F1066" s="11"/>
    </row>
    <row r="1067">
      <c r="A1067" s="11"/>
      <c r="C1067" s="11"/>
      <c r="D1067" s="11"/>
      <c r="E1067" s="11"/>
      <c r="F1067" s="11"/>
    </row>
    <row r="1068">
      <c r="A1068" s="11"/>
      <c r="C1068" s="11"/>
      <c r="D1068" s="11"/>
      <c r="E1068" s="11"/>
      <c r="F1068" s="11"/>
    </row>
  </sheetData>
  <mergeCells count="7">
    <mergeCell ref="C1:F1"/>
    <mergeCell ref="I1:K1"/>
    <mergeCell ref="L1:M1"/>
    <mergeCell ref="B2:C2"/>
    <mergeCell ref="C3:E3"/>
    <mergeCell ref="F3:M3"/>
    <mergeCell ref="N3:O3"/>
  </mergeCells>
  <conditionalFormatting sqref="L5:L70">
    <cfRule type="expression" dxfId="1" priority="1">
      <formula> L5&gt;=18</formula>
    </cfRule>
  </conditionalFormatting>
  <conditionalFormatting sqref="L10 N10">
    <cfRule type="expression" dxfId="2" priority="2">
      <formula>iseven</formula>
    </cfRule>
  </conditionalFormatting>
  <conditionalFormatting sqref="B5:B70">
    <cfRule type="expression" dxfId="1" priority="3">
      <formula>F5=1</formula>
    </cfRule>
  </conditionalFormatting>
  <conditionalFormatting sqref="B5:B70">
    <cfRule type="expression" dxfId="3" priority="4">
      <formula>F5=2</formula>
    </cfRule>
  </conditionalFormatting>
  <conditionalFormatting sqref="B5:B70">
    <cfRule type="expression" dxfId="4" priority="5">
      <formula>F5=3</formula>
    </cfRule>
  </conditionalFormatting>
  <conditionalFormatting sqref="B5:B70">
    <cfRule type="expression" dxfId="5" priority="6">
      <formula>F5=4</formula>
    </cfRule>
  </conditionalFormatting>
  <conditionalFormatting sqref="M81">
    <cfRule type="containsText" dxfId="1" priority="7" operator="containsText" text="Good">
      <formula>NOT(ISERROR(SEARCH(("Good"),(M81))))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9.38"/>
    <col customWidth="1" min="6" max="6" width="7.5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7.0"/>
    <col customWidth="1" min="17" max="18" width="6.75"/>
    <col customWidth="1" min="19" max="19" width="8.0"/>
    <col customWidth="1" min="20" max="20" width="8.75"/>
    <col customWidth="1" min="21" max="21" width="14.88"/>
  </cols>
  <sheetData>
    <row r="1">
      <c r="A1" s="11"/>
      <c r="B1" s="12" t="s">
        <v>23</v>
      </c>
      <c r="C1" s="81">
        <v>45591.0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17.0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28</v>
      </c>
      <c r="Q3" s="25" t="s">
        <v>29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  <c r="U4" s="29" t="s">
        <v>42</v>
      </c>
      <c r="V4" s="26" t="s">
        <v>30</v>
      </c>
    </row>
    <row r="5">
      <c r="A5" s="30">
        <v>1.0</v>
      </c>
      <c r="B5" s="31" t="s">
        <v>43</v>
      </c>
      <c r="C5" s="32">
        <v>253.0</v>
      </c>
      <c r="D5" s="32">
        <v>29.0</v>
      </c>
      <c r="E5" s="37">
        <v>1.0</v>
      </c>
      <c r="F5" s="39">
        <v>1.0</v>
      </c>
      <c r="G5" s="40">
        <v>0.0</v>
      </c>
      <c r="H5" s="39">
        <v>6.0</v>
      </c>
      <c r="I5" s="39">
        <v>7.0</v>
      </c>
      <c r="J5" s="39">
        <v>6.0</v>
      </c>
      <c r="K5" s="42">
        <v>19.0</v>
      </c>
      <c r="L5" s="39">
        <v>3.0</v>
      </c>
      <c r="M5" s="32">
        <f t="shared" ref="M5:N5" si="1">C5+K5</f>
        <v>272</v>
      </c>
      <c r="N5" s="32">
        <f t="shared" si="1"/>
        <v>32</v>
      </c>
      <c r="O5" s="43" t="s">
        <v>53</v>
      </c>
      <c r="P5" s="43" t="s">
        <v>53</v>
      </c>
      <c r="Q5" s="43"/>
      <c r="R5" s="39">
        <f>if(G5=13,1,0)+VLOOKUP(B5,'101924'!B:T,17,false)</f>
        <v>2</v>
      </c>
      <c r="S5" s="39"/>
      <c r="T5" s="39">
        <f>if(G5=9,1,0)+VLOOKUP(B5,'101924'!B:T,19,false)</f>
        <v>2</v>
      </c>
      <c r="U5" s="39">
        <f>VLOOKUP(B5,'101924'!B$5:V$70,21,false)-A5</f>
        <v>0</v>
      </c>
      <c r="V5" s="30">
        <v>1.0</v>
      </c>
    </row>
    <row r="6">
      <c r="A6" s="30">
        <f t="shared" ref="A6:A70" si="3">A5+1</f>
        <v>2</v>
      </c>
      <c r="B6" s="51" t="s">
        <v>92</v>
      </c>
      <c r="C6" s="32">
        <v>226.0</v>
      </c>
      <c r="D6" s="32">
        <v>23.0</v>
      </c>
      <c r="E6" s="37">
        <v>3.0</v>
      </c>
      <c r="F6" s="39">
        <v>0.0</v>
      </c>
      <c r="G6" s="40">
        <v>9.0</v>
      </c>
      <c r="H6" s="39">
        <v>0.0</v>
      </c>
      <c r="I6" s="39">
        <v>0.0</v>
      </c>
      <c r="J6" s="39">
        <v>0.0</v>
      </c>
      <c r="K6" s="42">
        <v>9.0</v>
      </c>
      <c r="L6" s="39">
        <v>0.0</v>
      </c>
      <c r="M6" s="32">
        <f t="shared" ref="M6:N6" si="2">C6+K6</f>
        <v>235</v>
      </c>
      <c r="N6" s="32">
        <f t="shared" si="2"/>
        <v>23</v>
      </c>
      <c r="O6" s="43" t="s">
        <v>53</v>
      </c>
      <c r="P6" s="43" t="s">
        <v>53</v>
      </c>
      <c r="Q6" s="43" t="s">
        <v>88</v>
      </c>
      <c r="R6" s="39">
        <f>if(G6=13,1,0)+VLOOKUP(B6,'101924'!B:T,17,false)</f>
        <v>1</v>
      </c>
      <c r="S6" s="39"/>
      <c r="T6" s="39">
        <f>if(G6=9,1,0)+VLOOKUP(B6,'101924'!B:T,19,false)</f>
        <v>6</v>
      </c>
      <c r="U6" s="39">
        <f>VLOOKUP(B6,'101924'!B$5:V$70,21,false)-A6</f>
        <v>0</v>
      </c>
      <c r="V6" s="30">
        <f t="shared" ref="V6:V70" si="5">V5+1</f>
        <v>2</v>
      </c>
    </row>
    <row r="7">
      <c r="A7" s="30">
        <f t="shared" si="3"/>
        <v>3</v>
      </c>
      <c r="B7" s="31" t="s">
        <v>61</v>
      </c>
      <c r="C7" s="32">
        <v>217.0</v>
      </c>
      <c r="D7" s="32">
        <v>24.0</v>
      </c>
      <c r="E7" s="37">
        <v>3.0</v>
      </c>
      <c r="F7" s="39">
        <v>0.0</v>
      </c>
      <c r="G7" s="40">
        <v>9.0</v>
      </c>
      <c r="H7" s="39">
        <v>0.0</v>
      </c>
      <c r="I7" s="39">
        <v>0.0</v>
      </c>
      <c r="J7" s="39">
        <v>0.0</v>
      </c>
      <c r="K7" s="42">
        <v>9.0</v>
      </c>
      <c r="L7" s="39">
        <v>0.0</v>
      </c>
      <c r="M7" s="32">
        <f t="shared" ref="M7:N7" si="4">C7+K7</f>
        <v>226</v>
      </c>
      <c r="N7" s="32">
        <f t="shared" si="4"/>
        <v>24</v>
      </c>
      <c r="O7" s="43" t="s">
        <v>53</v>
      </c>
      <c r="P7" s="43" t="s">
        <v>53</v>
      </c>
      <c r="Q7" s="43"/>
      <c r="R7" s="39">
        <f>if(G7=13,1,0)+VLOOKUP(B7,'101924'!B:T,17,false)</f>
        <v>0</v>
      </c>
      <c r="S7" s="39"/>
      <c r="T7" s="39">
        <f>if(G7=9,1,0)+VLOOKUP(B7,'101924'!B:T,19,false)</f>
        <v>5</v>
      </c>
      <c r="U7" s="39">
        <f>VLOOKUP(B7,'101924'!B$5:V$70,21,false)-A7</f>
        <v>0</v>
      </c>
      <c r="V7" s="30">
        <f t="shared" si="5"/>
        <v>3</v>
      </c>
    </row>
    <row r="8">
      <c r="A8" s="30">
        <f t="shared" si="3"/>
        <v>4</v>
      </c>
      <c r="B8" s="51" t="s">
        <v>100</v>
      </c>
      <c r="C8" s="32">
        <v>215.0</v>
      </c>
      <c r="D8" s="32">
        <v>19.0</v>
      </c>
      <c r="E8" s="37">
        <v>3.0</v>
      </c>
      <c r="F8" s="39">
        <v>0.0</v>
      </c>
      <c r="G8" s="40">
        <v>9.0</v>
      </c>
      <c r="H8" s="39">
        <v>0.0</v>
      </c>
      <c r="I8" s="39">
        <v>0.0</v>
      </c>
      <c r="J8" s="39">
        <v>0.0</v>
      </c>
      <c r="K8" s="42">
        <v>9.0</v>
      </c>
      <c r="L8" s="39">
        <v>0.0</v>
      </c>
      <c r="M8" s="32">
        <f t="shared" ref="M8:N8" si="6">C8+K8</f>
        <v>224</v>
      </c>
      <c r="N8" s="32">
        <f t="shared" si="6"/>
        <v>19</v>
      </c>
      <c r="O8" s="43" t="s">
        <v>53</v>
      </c>
      <c r="P8" s="43" t="s">
        <v>53</v>
      </c>
      <c r="Q8" s="43"/>
      <c r="R8" s="39">
        <f>if(G8=13,1,0)+VLOOKUP(B8,'101924'!B:T,17,false)</f>
        <v>2</v>
      </c>
      <c r="S8" s="39"/>
      <c r="T8" s="39">
        <f>if(G8=9,1,0)+VLOOKUP(B8,'101924'!B:T,19,false)</f>
        <v>4</v>
      </c>
      <c r="U8" s="39">
        <f>VLOOKUP(B8,'101924'!B$5:V$70,21,false)-A8</f>
        <v>1</v>
      </c>
      <c r="V8" s="30">
        <f t="shared" si="5"/>
        <v>4</v>
      </c>
    </row>
    <row r="9">
      <c r="A9" s="30">
        <f t="shared" si="3"/>
        <v>5</v>
      </c>
      <c r="B9" s="31" t="s">
        <v>71</v>
      </c>
      <c r="C9" s="32">
        <v>212.0</v>
      </c>
      <c r="D9" s="32">
        <v>19.0</v>
      </c>
      <c r="E9" s="37">
        <v>1.0</v>
      </c>
      <c r="F9" s="39">
        <v>1.0</v>
      </c>
      <c r="G9" s="40">
        <v>0.0</v>
      </c>
      <c r="H9" s="39">
        <v>0.0</v>
      </c>
      <c r="I9" s="39">
        <v>6.0</v>
      </c>
      <c r="J9" s="39">
        <v>6.0</v>
      </c>
      <c r="K9" s="42">
        <v>12.0</v>
      </c>
      <c r="L9" s="39">
        <v>1.0</v>
      </c>
      <c r="M9" s="32">
        <f t="shared" ref="M9:N9" si="7">C9+K9</f>
        <v>224</v>
      </c>
      <c r="N9" s="32">
        <f t="shared" si="7"/>
        <v>20</v>
      </c>
      <c r="O9" s="43" t="s">
        <v>53</v>
      </c>
      <c r="P9" s="43" t="s">
        <v>53</v>
      </c>
      <c r="Q9" s="43"/>
      <c r="R9" s="39">
        <f>if(G9=13,1,0)+VLOOKUP(B9,'101924'!B:T,17,false)</f>
        <v>1</v>
      </c>
      <c r="S9" s="39"/>
      <c r="T9" s="39">
        <f>if(G9=9,1,0)+VLOOKUP(B9,'101924'!B:T,19,false)</f>
        <v>1</v>
      </c>
      <c r="U9" s="39">
        <f>VLOOKUP(B9,'101924'!B$5:V$70,21,false)-A9</f>
        <v>-1</v>
      </c>
      <c r="V9" s="30">
        <f t="shared" si="5"/>
        <v>5</v>
      </c>
    </row>
    <row r="10">
      <c r="A10" s="30">
        <f t="shared" si="3"/>
        <v>6</v>
      </c>
      <c r="B10" s="31" t="s">
        <v>82</v>
      </c>
      <c r="C10" s="32">
        <v>212.0</v>
      </c>
      <c r="D10" s="32">
        <v>19.0</v>
      </c>
      <c r="E10" s="37">
        <v>2.0</v>
      </c>
      <c r="F10" s="39">
        <v>1.0</v>
      </c>
      <c r="G10" s="40">
        <v>0.0</v>
      </c>
      <c r="H10" s="39">
        <v>6.0</v>
      </c>
      <c r="I10" s="39">
        <v>6.0</v>
      </c>
      <c r="J10" s="39">
        <v>2.0</v>
      </c>
      <c r="K10" s="42">
        <v>14.0</v>
      </c>
      <c r="L10" s="39">
        <v>1.0</v>
      </c>
      <c r="M10" s="32">
        <f t="shared" ref="M10:N10" si="8">C10+K10</f>
        <v>226</v>
      </c>
      <c r="N10" s="32">
        <f t="shared" si="8"/>
        <v>20</v>
      </c>
      <c r="O10" s="43" t="s">
        <v>53</v>
      </c>
      <c r="P10" s="43" t="s">
        <v>53</v>
      </c>
      <c r="Q10" s="43"/>
      <c r="R10" s="39">
        <f>if(G10=13,1,0)+VLOOKUP(B10,'101924'!B:T,17,false)</f>
        <v>2</v>
      </c>
      <c r="S10" s="39"/>
      <c r="T10" s="39">
        <f>if(G10=9,1,0)+VLOOKUP(B10,'101924'!B:T,19,false)</f>
        <v>7</v>
      </c>
      <c r="U10" s="39">
        <f>VLOOKUP(B10,'101924'!B$5:V$70,21,false)-A10</f>
        <v>7</v>
      </c>
      <c r="V10" s="30">
        <f t="shared" si="5"/>
        <v>6</v>
      </c>
    </row>
    <row r="11">
      <c r="A11" s="30">
        <f t="shared" si="3"/>
        <v>7</v>
      </c>
      <c r="B11" s="51" t="s">
        <v>87</v>
      </c>
      <c r="C11" s="32">
        <v>210.0</v>
      </c>
      <c r="D11" s="32">
        <v>18.0</v>
      </c>
      <c r="E11" s="37">
        <v>1.0</v>
      </c>
      <c r="F11" s="39">
        <v>1.0</v>
      </c>
      <c r="G11" s="40">
        <v>0.0</v>
      </c>
      <c r="H11" s="39">
        <v>0.0</v>
      </c>
      <c r="I11" s="39">
        <v>7.0</v>
      </c>
      <c r="J11" s="39">
        <v>2.0</v>
      </c>
      <c r="K11" s="42">
        <v>9.0</v>
      </c>
      <c r="L11" s="39">
        <v>1.0</v>
      </c>
      <c r="M11" s="32">
        <f t="shared" ref="M11:N11" si="9">C11+K11</f>
        <v>219</v>
      </c>
      <c r="N11" s="32">
        <f t="shared" si="9"/>
        <v>19</v>
      </c>
      <c r="O11" s="43" t="s">
        <v>53</v>
      </c>
      <c r="P11" s="43" t="s">
        <v>53</v>
      </c>
      <c r="Q11" s="43"/>
      <c r="R11" s="39">
        <f>if(G11=13,1,0)+VLOOKUP(B11,'101924'!B:T,17,false)</f>
        <v>3</v>
      </c>
      <c r="S11" s="39"/>
      <c r="T11" s="39">
        <f>if(G11=9,1,0)+VLOOKUP(B11,'101924'!B:T,19,false)</f>
        <v>1</v>
      </c>
      <c r="U11" s="39">
        <f>VLOOKUP(B11,'101924'!B$5:V$70,21,false)-A11</f>
        <v>4</v>
      </c>
      <c r="V11" s="30">
        <f t="shared" si="5"/>
        <v>7</v>
      </c>
    </row>
    <row r="12">
      <c r="A12" s="30">
        <f t="shared" si="3"/>
        <v>8</v>
      </c>
      <c r="B12" s="31" t="s">
        <v>34</v>
      </c>
      <c r="C12" s="32">
        <v>208.0</v>
      </c>
      <c r="D12" s="32">
        <v>24.0</v>
      </c>
      <c r="E12" s="37">
        <v>1.0</v>
      </c>
      <c r="F12" s="39">
        <v>2.0</v>
      </c>
      <c r="G12" s="40">
        <v>0.0</v>
      </c>
      <c r="H12" s="39">
        <v>6.0</v>
      </c>
      <c r="I12" s="39">
        <v>6.0</v>
      </c>
      <c r="J12" s="39">
        <v>2.0</v>
      </c>
      <c r="K12" s="42">
        <v>14.0</v>
      </c>
      <c r="L12" s="39">
        <v>1.0</v>
      </c>
      <c r="M12" s="32">
        <f t="shared" ref="M12:N12" si="10">C12+K12</f>
        <v>222</v>
      </c>
      <c r="N12" s="32">
        <f t="shared" si="10"/>
        <v>25</v>
      </c>
      <c r="O12" s="43" t="s">
        <v>53</v>
      </c>
      <c r="P12" s="43" t="s">
        <v>53</v>
      </c>
      <c r="Q12" s="43"/>
      <c r="R12" s="39">
        <f>if(G12=13,1,0)+VLOOKUP(B12,'101924'!B:T,17,false)</f>
        <v>0</v>
      </c>
      <c r="S12" s="39"/>
      <c r="T12" s="39">
        <f>if(G12=9,1,0)+VLOOKUP(B12,'101924'!B:T,19,false)</f>
        <v>3</v>
      </c>
      <c r="U12" s="39">
        <f>VLOOKUP(B12,'101924'!B$5:V$70,21,false)-A12</f>
        <v>1</v>
      </c>
      <c r="V12" s="30">
        <f t="shared" si="5"/>
        <v>8</v>
      </c>
    </row>
    <row r="13">
      <c r="A13" s="30">
        <f t="shared" si="3"/>
        <v>9</v>
      </c>
      <c r="B13" s="31" t="s">
        <v>91</v>
      </c>
      <c r="C13" s="32">
        <v>208.0</v>
      </c>
      <c r="D13" s="32">
        <v>18.0</v>
      </c>
      <c r="E13" s="37">
        <v>3.0</v>
      </c>
      <c r="F13" s="39">
        <v>0.0</v>
      </c>
      <c r="G13" s="40">
        <v>9.0</v>
      </c>
      <c r="H13" s="39">
        <v>0.0</v>
      </c>
      <c r="I13" s="39">
        <v>0.0</v>
      </c>
      <c r="J13" s="39">
        <v>0.0</v>
      </c>
      <c r="K13" s="42">
        <v>9.0</v>
      </c>
      <c r="L13" s="39">
        <v>0.0</v>
      </c>
      <c r="M13" s="32">
        <f t="shared" ref="M13:N13" si="11">C13+K13</f>
        <v>217</v>
      </c>
      <c r="N13" s="32">
        <f t="shared" si="11"/>
        <v>18</v>
      </c>
      <c r="O13" s="43" t="s">
        <v>53</v>
      </c>
      <c r="P13" s="43" t="s">
        <v>53</v>
      </c>
      <c r="Q13" s="43"/>
      <c r="R13" s="39">
        <f>if(G13=13,1,0)+VLOOKUP(B13,'101924'!B:T,17,false)</f>
        <v>1</v>
      </c>
      <c r="S13" s="39"/>
      <c r="T13" s="39">
        <f>if(G13=9,1,0)+VLOOKUP(B13,'101924'!B:T,19,false)</f>
        <v>4</v>
      </c>
      <c r="U13" s="39">
        <f>VLOOKUP(B13,'101924'!B$5:V$70,21,false)-A13</f>
        <v>-3</v>
      </c>
      <c r="V13" s="30">
        <f t="shared" si="5"/>
        <v>9</v>
      </c>
    </row>
    <row r="14">
      <c r="A14" s="30">
        <f t="shared" si="3"/>
        <v>10</v>
      </c>
      <c r="B14" s="51" t="s">
        <v>54</v>
      </c>
      <c r="C14" s="32">
        <v>207.0</v>
      </c>
      <c r="D14" s="32">
        <v>21.0</v>
      </c>
      <c r="E14" s="37">
        <v>2.0</v>
      </c>
      <c r="F14" s="39">
        <v>2.0</v>
      </c>
      <c r="G14" s="40">
        <v>0.0</v>
      </c>
      <c r="H14" s="39">
        <v>7.0</v>
      </c>
      <c r="I14" s="39">
        <v>6.0</v>
      </c>
      <c r="J14" s="39">
        <v>6.0</v>
      </c>
      <c r="K14" s="42">
        <v>19.0</v>
      </c>
      <c r="L14" s="39">
        <v>3.0</v>
      </c>
      <c r="M14" s="32">
        <f t="shared" ref="M14:N14" si="12">C14+K14</f>
        <v>226</v>
      </c>
      <c r="N14" s="32">
        <f t="shared" si="12"/>
        <v>24</v>
      </c>
      <c r="O14" s="43" t="s">
        <v>53</v>
      </c>
      <c r="P14" s="43" t="s">
        <v>53</v>
      </c>
      <c r="Q14" s="43"/>
      <c r="R14" s="39">
        <f>if(G14=13,1,0)+VLOOKUP(B14,'101924'!B:T,17,false)</f>
        <v>0</v>
      </c>
      <c r="S14" s="39"/>
      <c r="T14" s="39">
        <f>if(G14=9,1,0)+VLOOKUP(B14,'101924'!B:T,19,false)</f>
        <v>3</v>
      </c>
      <c r="U14" s="39">
        <f>VLOOKUP(B14,'101924'!B$5:V$70,21,false)-A14</f>
        <v>-3</v>
      </c>
      <c r="V14" s="30">
        <f t="shared" si="5"/>
        <v>10</v>
      </c>
    </row>
    <row r="15">
      <c r="A15" s="30">
        <f t="shared" si="3"/>
        <v>11</v>
      </c>
      <c r="B15" s="31" t="s">
        <v>68</v>
      </c>
      <c r="C15" s="32">
        <v>206.0</v>
      </c>
      <c r="D15" s="32">
        <v>17.0</v>
      </c>
      <c r="E15" s="37">
        <v>1.0</v>
      </c>
      <c r="F15" s="39">
        <v>2.0</v>
      </c>
      <c r="G15" s="40">
        <v>0.0</v>
      </c>
      <c r="H15" s="39">
        <v>7.0</v>
      </c>
      <c r="I15" s="39">
        <v>1.0</v>
      </c>
      <c r="J15" s="39">
        <v>2.0</v>
      </c>
      <c r="K15" s="42">
        <v>10.0</v>
      </c>
      <c r="L15" s="39">
        <v>1.0</v>
      </c>
      <c r="M15" s="32">
        <f t="shared" ref="M15:N15" si="13">C15+K15</f>
        <v>216</v>
      </c>
      <c r="N15" s="32">
        <f t="shared" si="13"/>
        <v>18</v>
      </c>
      <c r="O15" s="43" t="s">
        <v>53</v>
      </c>
      <c r="P15" s="43" t="s">
        <v>53</v>
      </c>
      <c r="Q15" s="43"/>
      <c r="R15" s="39">
        <f>if(G15=13,1,0)+VLOOKUP(B15,'101924'!B:T,17,false)</f>
        <v>2</v>
      </c>
      <c r="S15" s="39"/>
      <c r="T15" s="39">
        <f>if(G15=9,1,0)+VLOOKUP(B15,'101924'!B:T,19,false)</f>
        <v>3</v>
      </c>
      <c r="U15" s="39">
        <f>VLOOKUP(B15,'101924'!B$5:V$70,21,false)-A15</f>
        <v>-3</v>
      </c>
      <c r="V15" s="30">
        <f t="shared" si="5"/>
        <v>11</v>
      </c>
    </row>
    <row r="16">
      <c r="A16" s="30">
        <f t="shared" si="3"/>
        <v>12</v>
      </c>
      <c r="B16" s="51" t="s">
        <v>85</v>
      </c>
      <c r="C16" s="32">
        <v>205.0</v>
      </c>
      <c r="D16" s="32">
        <v>17.0</v>
      </c>
      <c r="E16" s="37">
        <v>1.0</v>
      </c>
      <c r="F16" s="39">
        <v>2.0</v>
      </c>
      <c r="G16" s="40">
        <v>0.0</v>
      </c>
      <c r="H16" s="39">
        <v>6.0</v>
      </c>
      <c r="I16" s="39">
        <v>1.0</v>
      </c>
      <c r="J16" s="39">
        <v>6.0</v>
      </c>
      <c r="K16" s="42">
        <v>13.0</v>
      </c>
      <c r="L16" s="39">
        <v>1.0</v>
      </c>
      <c r="M16" s="32">
        <f t="shared" ref="M16:N16" si="14">C16+K16</f>
        <v>218</v>
      </c>
      <c r="N16" s="32">
        <f t="shared" si="14"/>
        <v>18</v>
      </c>
      <c r="O16" s="43" t="s">
        <v>53</v>
      </c>
      <c r="P16" s="43" t="s">
        <v>53</v>
      </c>
      <c r="Q16" s="43"/>
      <c r="R16" s="39">
        <f>if(G16=13,1,0)+VLOOKUP(B16,'101924'!B:T,17,false)</f>
        <v>0</v>
      </c>
      <c r="S16" s="39"/>
      <c r="T16" s="39">
        <f>if(G16=9,1,0)+VLOOKUP(B16,'101924'!B:T,19,false)</f>
        <v>9</v>
      </c>
      <c r="U16" s="39">
        <f>VLOOKUP(B16,'101924'!B$5:V$70,21,false)-A16</f>
        <v>7</v>
      </c>
      <c r="V16" s="30">
        <f t="shared" si="5"/>
        <v>12</v>
      </c>
    </row>
    <row r="17">
      <c r="A17" s="30">
        <f t="shared" si="3"/>
        <v>13</v>
      </c>
      <c r="B17" s="31" t="s">
        <v>86</v>
      </c>
      <c r="C17" s="32">
        <v>205.0</v>
      </c>
      <c r="D17" s="32">
        <v>14.0</v>
      </c>
      <c r="E17" s="37">
        <v>2.0</v>
      </c>
      <c r="F17" s="39">
        <v>3.0</v>
      </c>
      <c r="G17" s="40">
        <v>0.0</v>
      </c>
      <c r="H17" s="39">
        <v>6.0</v>
      </c>
      <c r="I17" s="39">
        <v>4.0</v>
      </c>
      <c r="J17" s="39">
        <v>7.0</v>
      </c>
      <c r="K17" s="42">
        <v>17.0</v>
      </c>
      <c r="L17" s="39">
        <v>2.0</v>
      </c>
      <c r="M17" s="32">
        <f t="shared" ref="M17:N17" si="15">C17+K17</f>
        <v>222</v>
      </c>
      <c r="N17" s="32">
        <f t="shared" si="15"/>
        <v>16</v>
      </c>
      <c r="O17" s="43" t="s">
        <v>53</v>
      </c>
      <c r="P17" s="43" t="s">
        <v>53</v>
      </c>
      <c r="Q17" s="43"/>
      <c r="R17" s="39">
        <f>if(G17=13,1,0)+VLOOKUP(B17,'101924'!B:T,17,false)</f>
        <v>4</v>
      </c>
      <c r="S17" s="39"/>
      <c r="T17" s="39">
        <f>if(G17=9,1,0)+VLOOKUP(B17,'101924'!B:T,19,false)</f>
        <v>1</v>
      </c>
      <c r="U17" s="39">
        <f>VLOOKUP(B17,'101924'!B$5:V$70,21,false)-A17</f>
        <v>1</v>
      </c>
      <c r="V17" s="30">
        <f t="shared" si="5"/>
        <v>13</v>
      </c>
    </row>
    <row r="18">
      <c r="A18" s="30">
        <f t="shared" si="3"/>
        <v>14</v>
      </c>
      <c r="B18" s="31" t="s">
        <v>57</v>
      </c>
      <c r="C18" s="32">
        <v>204.0</v>
      </c>
      <c r="D18" s="32">
        <v>16.0</v>
      </c>
      <c r="E18" s="37">
        <v>3.0</v>
      </c>
      <c r="F18" s="39">
        <v>0.0</v>
      </c>
      <c r="G18" s="40">
        <v>9.0</v>
      </c>
      <c r="H18" s="39">
        <v>0.0</v>
      </c>
      <c r="I18" s="39">
        <v>0.0</v>
      </c>
      <c r="J18" s="39">
        <v>0.0</v>
      </c>
      <c r="K18" s="42">
        <v>9.0</v>
      </c>
      <c r="L18" s="39">
        <v>0.0</v>
      </c>
      <c r="M18" s="32">
        <f t="shared" ref="M18:N18" si="16">C18+K18</f>
        <v>213</v>
      </c>
      <c r="N18" s="32">
        <f t="shared" si="16"/>
        <v>16</v>
      </c>
      <c r="O18" s="43" t="s">
        <v>53</v>
      </c>
      <c r="P18" s="43" t="s">
        <v>53</v>
      </c>
      <c r="Q18" s="43"/>
      <c r="R18" s="39">
        <f>if(G18=13,1,0)+VLOOKUP(B18,'101924'!B:T,17,false)</f>
        <v>2</v>
      </c>
      <c r="S18" s="39"/>
      <c r="T18" s="39">
        <f>if(G18=9,1,0)+VLOOKUP(B18,'101924'!B:T,19,false)</f>
        <v>4</v>
      </c>
      <c r="U18" s="39">
        <f>VLOOKUP(B18,'101924'!B$5:V$70,21,false)-A18</f>
        <v>3</v>
      </c>
      <c r="V18" s="30">
        <f t="shared" si="5"/>
        <v>14</v>
      </c>
    </row>
    <row r="19">
      <c r="A19" s="30">
        <f t="shared" si="3"/>
        <v>15</v>
      </c>
      <c r="B19" s="51" t="s">
        <v>84</v>
      </c>
      <c r="C19" s="32">
        <v>203.0</v>
      </c>
      <c r="D19" s="32">
        <v>14.0</v>
      </c>
      <c r="E19" s="37">
        <v>1.0</v>
      </c>
      <c r="F19" s="39">
        <v>3.0</v>
      </c>
      <c r="G19" s="40">
        <v>0.0</v>
      </c>
      <c r="H19" s="39">
        <v>2.0</v>
      </c>
      <c r="I19" s="39">
        <v>6.0</v>
      </c>
      <c r="J19" s="39">
        <v>7.0</v>
      </c>
      <c r="K19" s="42">
        <v>15.0</v>
      </c>
      <c r="L19" s="39">
        <v>2.0</v>
      </c>
      <c r="M19" s="32">
        <f t="shared" ref="M19:N19" si="17">C19+K19</f>
        <v>218</v>
      </c>
      <c r="N19" s="32">
        <f t="shared" si="17"/>
        <v>16</v>
      </c>
      <c r="O19" s="43" t="s">
        <v>53</v>
      </c>
      <c r="P19" s="43" t="s">
        <v>53</v>
      </c>
      <c r="Q19" s="43"/>
      <c r="R19" s="39">
        <f>if(G19=13,1,0)+VLOOKUP(B19,'101924'!B:T,17,false)</f>
        <v>2</v>
      </c>
      <c r="S19" s="39"/>
      <c r="T19" s="39">
        <f>if(G19=9,1,0)+VLOOKUP(B19,'101924'!B:T,19,false)</f>
        <v>2</v>
      </c>
      <c r="U19" s="39">
        <f>VLOOKUP(B19,'101924'!B$5:V$70,21,false)-A19</f>
        <v>1</v>
      </c>
      <c r="V19" s="30">
        <f t="shared" si="5"/>
        <v>15</v>
      </c>
    </row>
    <row r="20">
      <c r="A20" s="30">
        <f t="shared" si="3"/>
        <v>16</v>
      </c>
      <c r="B20" s="51" t="s">
        <v>78</v>
      </c>
      <c r="C20" s="32">
        <v>202.0</v>
      </c>
      <c r="D20" s="32">
        <v>18.0</v>
      </c>
      <c r="E20" s="37">
        <v>1.0</v>
      </c>
      <c r="F20" s="39">
        <v>3.0</v>
      </c>
      <c r="G20" s="40">
        <v>0.0</v>
      </c>
      <c r="H20" s="39">
        <v>6.0</v>
      </c>
      <c r="I20" s="39">
        <v>6.0</v>
      </c>
      <c r="J20" s="39">
        <v>5.0</v>
      </c>
      <c r="K20" s="42">
        <v>17.0</v>
      </c>
      <c r="L20" s="39">
        <v>2.0</v>
      </c>
      <c r="M20" s="32">
        <f t="shared" ref="M20:N20" si="18">C20+K20</f>
        <v>219</v>
      </c>
      <c r="N20" s="32">
        <f t="shared" si="18"/>
        <v>20</v>
      </c>
      <c r="O20" s="43" t="s">
        <v>53</v>
      </c>
      <c r="P20" s="43" t="s">
        <v>53</v>
      </c>
      <c r="Q20" s="43"/>
      <c r="R20" s="39">
        <f>if(G20=13,1,0)+VLOOKUP(B20,'101924'!B:T,17,false)</f>
        <v>0</v>
      </c>
      <c r="S20" s="39"/>
      <c r="T20" s="39">
        <f>if(G20=9,1,0)+VLOOKUP(B20,'101924'!B:T,19,false)</f>
        <v>1</v>
      </c>
      <c r="U20" s="39">
        <f>VLOOKUP(B20,'101924'!B$5:V$70,21,false)-A20</f>
        <v>-6</v>
      </c>
      <c r="V20" s="30">
        <f t="shared" si="5"/>
        <v>16</v>
      </c>
    </row>
    <row r="21">
      <c r="A21" s="30">
        <f t="shared" si="3"/>
        <v>17</v>
      </c>
      <c r="B21" s="31" t="s">
        <v>90</v>
      </c>
      <c r="C21" s="32">
        <v>202.0</v>
      </c>
      <c r="D21" s="32">
        <v>16.0</v>
      </c>
      <c r="E21" s="37">
        <v>3.0</v>
      </c>
      <c r="F21" s="39">
        <v>0.0</v>
      </c>
      <c r="G21" s="40">
        <v>9.0</v>
      </c>
      <c r="H21" s="39">
        <v>0.0</v>
      </c>
      <c r="I21" s="39">
        <v>0.0</v>
      </c>
      <c r="J21" s="39">
        <v>0.0</v>
      </c>
      <c r="K21" s="42">
        <v>9.0</v>
      </c>
      <c r="L21" s="39">
        <v>0.0</v>
      </c>
      <c r="M21" s="32">
        <f t="shared" ref="M21:N21" si="19">C21+K21</f>
        <v>211</v>
      </c>
      <c r="N21" s="32">
        <f t="shared" si="19"/>
        <v>16</v>
      </c>
      <c r="O21" s="43" t="s">
        <v>53</v>
      </c>
      <c r="P21" s="43" t="s">
        <v>53</v>
      </c>
      <c r="Q21" s="43"/>
      <c r="R21" s="39">
        <f>if(G21=13,1,0)+VLOOKUP(B21,'101924'!B:T,17,false)</f>
        <v>2</v>
      </c>
      <c r="S21" s="39"/>
      <c r="T21" s="39">
        <f>if(G21=9,1,0)+VLOOKUP(B21,'101924'!B:T,19,false)</f>
        <v>5</v>
      </c>
      <c r="U21" s="39">
        <f>VLOOKUP(B21,'101924'!B$5:V$70,21,false)-A21</f>
        <v>-5</v>
      </c>
      <c r="V21" s="30">
        <f t="shared" si="5"/>
        <v>17</v>
      </c>
    </row>
    <row r="22">
      <c r="A22" s="30">
        <f t="shared" si="3"/>
        <v>18</v>
      </c>
      <c r="B22" s="51" t="s">
        <v>93</v>
      </c>
      <c r="C22" s="32">
        <v>201.0</v>
      </c>
      <c r="D22" s="32">
        <v>17.0</v>
      </c>
      <c r="E22" s="37">
        <v>1.0</v>
      </c>
      <c r="F22" s="39">
        <v>3.0</v>
      </c>
      <c r="G22" s="40">
        <v>0.0</v>
      </c>
      <c r="H22" s="39">
        <v>2.0</v>
      </c>
      <c r="I22" s="39">
        <v>4.0</v>
      </c>
      <c r="J22" s="39">
        <v>5.0</v>
      </c>
      <c r="K22" s="42">
        <v>11.0</v>
      </c>
      <c r="L22" s="39">
        <v>0.0</v>
      </c>
      <c r="M22" s="32">
        <f t="shared" ref="M22:N22" si="20">C22+K22</f>
        <v>212</v>
      </c>
      <c r="N22" s="32">
        <f t="shared" si="20"/>
        <v>17</v>
      </c>
      <c r="O22" s="43" t="s">
        <v>53</v>
      </c>
      <c r="P22" s="43" t="s">
        <v>53</v>
      </c>
      <c r="Q22" s="43"/>
      <c r="R22" s="39">
        <f>if(G22=13,1,0)+VLOOKUP(B22,'101924'!B:T,17,false)</f>
        <v>0</v>
      </c>
      <c r="S22" s="39"/>
      <c r="T22" s="39">
        <f>if(G22=9,1,0)+VLOOKUP(B22,'101924'!B:T,19,false)</f>
        <v>1</v>
      </c>
      <c r="U22" s="39">
        <f>VLOOKUP(B22,'101924'!B$5:V$70,21,false)-A22</f>
        <v>0</v>
      </c>
      <c r="V22" s="30">
        <f t="shared" si="5"/>
        <v>18</v>
      </c>
    </row>
    <row r="23">
      <c r="A23" s="30">
        <f t="shared" si="3"/>
        <v>19</v>
      </c>
      <c r="B23" s="56" t="s">
        <v>65</v>
      </c>
      <c r="C23" s="32">
        <v>200.0</v>
      </c>
      <c r="D23" s="32">
        <v>16.0</v>
      </c>
      <c r="E23" s="37">
        <v>1.0</v>
      </c>
      <c r="F23" s="39">
        <v>4.0</v>
      </c>
      <c r="G23" s="40">
        <v>0.0</v>
      </c>
      <c r="H23" s="39">
        <v>3.0</v>
      </c>
      <c r="I23" s="39">
        <v>6.0</v>
      </c>
      <c r="J23" s="39">
        <v>4.0</v>
      </c>
      <c r="K23" s="42">
        <v>13.0</v>
      </c>
      <c r="L23" s="39"/>
      <c r="M23" s="32">
        <f t="shared" ref="M23:N23" si="21">C23+K23</f>
        <v>213</v>
      </c>
      <c r="N23" s="32">
        <f t="shared" si="21"/>
        <v>16</v>
      </c>
      <c r="O23" s="43" t="s">
        <v>53</v>
      </c>
      <c r="P23" s="43" t="s">
        <v>53</v>
      </c>
      <c r="Q23" s="43"/>
      <c r="R23" s="39">
        <f>if(G23=13,1,0)+VLOOKUP(B23,'101924'!B:T,17,false)</f>
        <v>0</v>
      </c>
      <c r="S23" s="39"/>
      <c r="T23" s="39">
        <f>if(G23=9,1,0)+VLOOKUP(B23,'101924'!B:T,19,false)</f>
        <v>5</v>
      </c>
      <c r="U23" s="39">
        <f>VLOOKUP(B23,'101924'!B$5:V$70,21,false)-A23</f>
        <v>1</v>
      </c>
      <c r="V23" s="30">
        <f t="shared" si="5"/>
        <v>19</v>
      </c>
    </row>
    <row r="24">
      <c r="A24" s="30">
        <f t="shared" si="3"/>
        <v>20</v>
      </c>
      <c r="B24" s="31" t="s">
        <v>83</v>
      </c>
      <c r="C24" s="32">
        <v>200.0</v>
      </c>
      <c r="D24" s="32">
        <v>16.0</v>
      </c>
      <c r="E24" s="37">
        <v>3.0</v>
      </c>
      <c r="F24" s="39">
        <v>0.0</v>
      </c>
      <c r="G24" s="40">
        <v>9.0</v>
      </c>
      <c r="H24" s="39">
        <v>0.0</v>
      </c>
      <c r="I24" s="39">
        <v>0.0</v>
      </c>
      <c r="J24" s="39">
        <v>0.0</v>
      </c>
      <c r="K24" s="42">
        <v>9.0</v>
      </c>
      <c r="L24" s="39">
        <v>0.0</v>
      </c>
      <c r="M24" s="32">
        <f t="shared" ref="M24:N24" si="22">C24+K24</f>
        <v>209</v>
      </c>
      <c r="N24" s="32">
        <f t="shared" si="22"/>
        <v>16</v>
      </c>
      <c r="O24" s="43" t="s">
        <v>53</v>
      </c>
      <c r="P24" s="43" t="s">
        <v>53</v>
      </c>
      <c r="Q24" s="43"/>
      <c r="R24" s="39">
        <f>if(G24=13,1,0)+VLOOKUP(B24,'101924'!B:T,17,false)</f>
        <v>0</v>
      </c>
      <c r="S24" s="39"/>
      <c r="T24" s="39">
        <f>if(G24=9,1,0)+VLOOKUP(B24,'101924'!B:T,19,false)</f>
        <v>9</v>
      </c>
      <c r="U24" s="39">
        <f>VLOOKUP(B24,'101924'!B$5:V$70,21,false)-A24</f>
        <v>1</v>
      </c>
      <c r="V24" s="30">
        <f t="shared" si="5"/>
        <v>20</v>
      </c>
    </row>
    <row r="25">
      <c r="A25" s="30">
        <f t="shared" si="3"/>
        <v>21</v>
      </c>
      <c r="B25" s="31" t="s">
        <v>98</v>
      </c>
      <c r="C25" s="32">
        <v>199.0</v>
      </c>
      <c r="D25" s="32">
        <v>15.0</v>
      </c>
      <c r="E25" s="37">
        <v>2.0</v>
      </c>
      <c r="F25" s="39">
        <v>4.0</v>
      </c>
      <c r="G25" s="40">
        <v>0.0</v>
      </c>
      <c r="H25" s="39">
        <v>6.0</v>
      </c>
      <c r="I25" s="39">
        <v>7.0</v>
      </c>
      <c r="J25" s="39">
        <v>4.0</v>
      </c>
      <c r="K25" s="42">
        <v>17.0</v>
      </c>
      <c r="L25" s="39">
        <v>2.0</v>
      </c>
      <c r="M25" s="32">
        <f t="shared" ref="M25:N25" si="23">C25+K25</f>
        <v>216</v>
      </c>
      <c r="N25" s="32">
        <f t="shared" si="23"/>
        <v>17</v>
      </c>
      <c r="O25" s="43" t="s">
        <v>53</v>
      </c>
      <c r="P25" s="43" t="s">
        <v>53</v>
      </c>
      <c r="Q25" s="43"/>
      <c r="R25" s="39">
        <f>if(G25=13,1,0)+VLOOKUP(B25,'101924'!B:T,17,false)</f>
        <v>1</v>
      </c>
      <c r="S25" s="39"/>
      <c r="T25" s="39">
        <f>if(G25=9,1,0)+VLOOKUP(B25,'101924'!B:T,19,false)</f>
        <v>6</v>
      </c>
      <c r="U25" s="39">
        <f>VLOOKUP(B25,'101924'!B$5:V$70,21,false)-A25</f>
        <v>-6</v>
      </c>
      <c r="V25" s="30">
        <f t="shared" si="5"/>
        <v>21</v>
      </c>
    </row>
    <row r="26">
      <c r="A26" s="30">
        <f t="shared" si="3"/>
        <v>22</v>
      </c>
      <c r="B26" s="51" t="s">
        <v>95</v>
      </c>
      <c r="C26" s="32">
        <v>196.0</v>
      </c>
      <c r="D26" s="32">
        <v>14.0</v>
      </c>
      <c r="E26" s="37">
        <v>2.0</v>
      </c>
      <c r="F26" s="39">
        <v>4.0</v>
      </c>
      <c r="G26" s="40">
        <v>0.0</v>
      </c>
      <c r="H26" s="39">
        <v>3.0</v>
      </c>
      <c r="I26" s="39">
        <v>7.0</v>
      </c>
      <c r="J26" s="39">
        <v>6.0</v>
      </c>
      <c r="K26" s="42">
        <v>16.0</v>
      </c>
      <c r="L26" s="39">
        <v>2.0</v>
      </c>
      <c r="M26" s="32">
        <f t="shared" ref="M26:N26" si="24">C26+K26</f>
        <v>212</v>
      </c>
      <c r="N26" s="32">
        <f t="shared" si="24"/>
        <v>16</v>
      </c>
      <c r="O26" s="43" t="s">
        <v>53</v>
      </c>
      <c r="P26" s="43" t="s">
        <v>53</v>
      </c>
      <c r="Q26" s="43"/>
      <c r="R26" s="39">
        <f>if(G26=13,1,0)+VLOOKUP(B26,'101924'!B:T,17,false)</f>
        <v>1</v>
      </c>
      <c r="S26" s="39"/>
      <c r="T26" s="39">
        <f>if(G26=9,1,0)+VLOOKUP(B26,'101924'!B:T,19,false)</f>
        <v>8</v>
      </c>
      <c r="U26" s="39">
        <f>VLOOKUP(B26,'101924'!B$5:V$70,21,false)-A26</f>
        <v>4</v>
      </c>
      <c r="V26" s="30">
        <f t="shared" si="5"/>
        <v>22</v>
      </c>
    </row>
    <row r="27">
      <c r="A27" s="30">
        <f t="shared" si="3"/>
        <v>23</v>
      </c>
      <c r="B27" s="51" t="s">
        <v>94</v>
      </c>
      <c r="C27" s="32">
        <v>195.0</v>
      </c>
      <c r="D27" s="32">
        <v>11.0</v>
      </c>
      <c r="E27" s="37">
        <v>1.0</v>
      </c>
      <c r="F27" s="39">
        <v>4.0</v>
      </c>
      <c r="G27" s="40">
        <v>0.0</v>
      </c>
      <c r="H27" s="39">
        <v>6.0</v>
      </c>
      <c r="I27" s="39">
        <v>6.0</v>
      </c>
      <c r="J27" s="39">
        <v>6.0</v>
      </c>
      <c r="K27" s="42">
        <v>18.0</v>
      </c>
      <c r="L27" s="39">
        <v>2.0</v>
      </c>
      <c r="M27" s="32">
        <f t="shared" ref="M27:N27" si="25">C27+K27</f>
        <v>213</v>
      </c>
      <c r="N27" s="32">
        <f t="shared" si="25"/>
        <v>13</v>
      </c>
      <c r="O27" s="43" t="s">
        <v>53</v>
      </c>
      <c r="P27" s="43" t="s">
        <v>53</v>
      </c>
      <c r="Q27" s="43"/>
      <c r="R27" s="39">
        <f>if(G27=13,1,0)+VLOOKUP(B27,'101924'!B:T,17,false)</f>
        <v>2</v>
      </c>
      <c r="S27" s="39"/>
      <c r="T27" s="39">
        <f>if(G27=9,1,0)+VLOOKUP(B27,'101924'!B:T,19,false)</f>
        <v>5</v>
      </c>
      <c r="U27" s="39">
        <f>VLOOKUP(B27,'101924'!B$5:V$70,21,false)-A27</f>
        <v>-1</v>
      </c>
      <c r="V27" s="30">
        <f t="shared" si="5"/>
        <v>23</v>
      </c>
    </row>
    <row r="28">
      <c r="A28" s="30">
        <f t="shared" si="3"/>
        <v>24</v>
      </c>
      <c r="B28" s="31" t="s">
        <v>89</v>
      </c>
      <c r="C28" s="32">
        <v>195.0</v>
      </c>
      <c r="D28" s="32">
        <v>10.0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6">C28+K28</f>
        <v>204</v>
      </c>
      <c r="N28" s="32">
        <f t="shared" si="26"/>
        <v>10</v>
      </c>
      <c r="O28" s="43" t="s">
        <v>53</v>
      </c>
      <c r="P28" s="43" t="s">
        <v>53</v>
      </c>
      <c r="Q28" s="43"/>
      <c r="R28" s="39">
        <f>if(G28=13,1,0)+VLOOKUP(B28,'101924'!B:T,17,false)</f>
        <v>5</v>
      </c>
      <c r="S28" s="39"/>
      <c r="T28" s="39">
        <f>if(G28=9,1,0)+VLOOKUP(B28,'101924'!B:T,19,false)</f>
        <v>8</v>
      </c>
      <c r="U28" s="39">
        <f>VLOOKUP(B28,'101924'!B$5:V$70,21,false)-A28</f>
        <v>3</v>
      </c>
      <c r="V28" s="30">
        <f t="shared" si="5"/>
        <v>24</v>
      </c>
    </row>
    <row r="29">
      <c r="A29" s="30">
        <f t="shared" si="3"/>
        <v>25</v>
      </c>
      <c r="B29" s="31" t="s">
        <v>96</v>
      </c>
      <c r="C29" s="32">
        <v>192.0</v>
      </c>
      <c r="D29" s="32">
        <v>15.0</v>
      </c>
      <c r="E29" s="37">
        <v>1.0</v>
      </c>
      <c r="F29" s="39">
        <v>5.0</v>
      </c>
      <c r="G29" s="40">
        <v>0.0</v>
      </c>
      <c r="H29" s="39">
        <v>6.0</v>
      </c>
      <c r="I29" s="39">
        <v>5.0</v>
      </c>
      <c r="J29" s="39">
        <v>3.0</v>
      </c>
      <c r="K29" s="42">
        <v>14.0</v>
      </c>
      <c r="L29" s="39">
        <v>1.0</v>
      </c>
      <c r="M29" s="32">
        <f t="shared" ref="M29:N29" si="27">C29+K29</f>
        <v>206</v>
      </c>
      <c r="N29" s="32">
        <f t="shared" si="27"/>
        <v>16</v>
      </c>
      <c r="O29" s="43" t="s">
        <v>53</v>
      </c>
      <c r="P29" s="43" t="s">
        <v>53</v>
      </c>
      <c r="Q29" s="43"/>
      <c r="R29" s="39">
        <f>if(G29=13,1,0)+VLOOKUP(B29,'101924'!B:T,17,false)</f>
        <v>2</v>
      </c>
      <c r="S29" s="39"/>
      <c r="T29" s="39">
        <f>if(G29=9,1,0)+VLOOKUP(B29,'101924'!B:T,19,false)</f>
        <v>7</v>
      </c>
      <c r="U29" s="39">
        <f>VLOOKUP(B29,'101924'!B$5:V$70,21,false)-A29</f>
        <v>-2</v>
      </c>
      <c r="V29" s="30">
        <f t="shared" si="5"/>
        <v>25</v>
      </c>
    </row>
    <row r="30">
      <c r="A30" s="30">
        <f t="shared" si="3"/>
        <v>26</v>
      </c>
      <c r="B30" s="56" t="s">
        <v>101</v>
      </c>
      <c r="C30" s="32">
        <v>190.0</v>
      </c>
      <c r="D30" s="32">
        <v>13.0</v>
      </c>
      <c r="E30" s="37">
        <v>1.0</v>
      </c>
      <c r="F30" s="39">
        <v>5.0</v>
      </c>
      <c r="G30" s="40">
        <v>0.0</v>
      </c>
      <c r="H30" s="39">
        <v>4.0</v>
      </c>
      <c r="I30" s="39">
        <v>7.0</v>
      </c>
      <c r="J30" s="39">
        <v>3.0</v>
      </c>
      <c r="K30" s="42">
        <v>14.0</v>
      </c>
      <c r="L30" s="39">
        <v>1.0</v>
      </c>
      <c r="M30" s="32">
        <f t="shared" ref="M30:N30" si="28">C30+K30</f>
        <v>204</v>
      </c>
      <c r="N30" s="32">
        <f t="shared" si="28"/>
        <v>14</v>
      </c>
      <c r="O30" s="43" t="s">
        <v>53</v>
      </c>
      <c r="P30" s="43" t="s">
        <v>53</v>
      </c>
      <c r="Q30" s="43"/>
      <c r="R30" s="39">
        <f>if(G30=13,1,0)+VLOOKUP(B30,'101924'!B:T,17,false)</f>
        <v>0</v>
      </c>
      <c r="S30" s="39"/>
      <c r="T30" s="39">
        <f>if(G30=9,1,0)+VLOOKUP(B30,'101924'!B:T,19,false)</f>
        <v>7</v>
      </c>
      <c r="U30" s="39">
        <f>VLOOKUP(B30,'101924'!B$5:V$70,21,false)-A30</f>
        <v>-1</v>
      </c>
      <c r="V30" s="30">
        <f t="shared" si="5"/>
        <v>26</v>
      </c>
    </row>
    <row r="31">
      <c r="A31" s="30">
        <f t="shared" si="3"/>
        <v>27</v>
      </c>
      <c r="B31" s="51" t="s">
        <v>104</v>
      </c>
      <c r="C31" s="32">
        <v>188.0</v>
      </c>
      <c r="D31" s="32">
        <v>19.0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9">C31+K31</f>
        <v>197</v>
      </c>
      <c r="N31" s="32">
        <f t="shared" si="29"/>
        <v>19</v>
      </c>
      <c r="O31" s="43" t="s">
        <v>53</v>
      </c>
      <c r="P31" s="43" t="s">
        <v>53</v>
      </c>
      <c r="Q31" s="43"/>
      <c r="R31" s="39">
        <f>if(G31=13,1,0)+VLOOKUP(B31,'101924'!B:T,17,false)</f>
        <v>0</v>
      </c>
      <c r="S31" s="39"/>
      <c r="T31" s="39">
        <f>if(G31=9,1,0)+VLOOKUP(B31,'101924'!B:T,19,false)</f>
        <v>1</v>
      </c>
      <c r="U31" s="39">
        <f>VLOOKUP(B31,'101924'!B$5:V$70,21,false)-A31</f>
        <v>-3</v>
      </c>
      <c r="V31" s="30">
        <f t="shared" si="5"/>
        <v>27</v>
      </c>
    </row>
    <row r="32">
      <c r="A32" s="30">
        <f t="shared" si="3"/>
        <v>28</v>
      </c>
      <c r="B32" s="31" t="s">
        <v>63</v>
      </c>
      <c r="C32" s="32">
        <v>186.0</v>
      </c>
      <c r="D32" s="32">
        <v>13.0</v>
      </c>
      <c r="E32" s="37">
        <v>1.0</v>
      </c>
      <c r="F32" s="39">
        <v>5.0</v>
      </c>
      <c r="G32" s="40">
        <v>0.0</v>
      </c>
      <c r="H32" s="39">
        <v>6.0</v>
      </c>
      <c r="I32" s="39">
        <v>7.0</v>
      </c>
      <c r="J32" s="39">
        <v>6.0</v>
      </c>
      <c r="K32" s="42">
        <v>19.0</v>
      </c>
      <c r="L32" s="39">
        <v>3.0</v>
      </c>
      <c r="M32" s="32">
        <f t="shared" ref="M32:N32" si="30">C32+K32</f>
        <v>205</v>
      </c>
      <c r="N32" s="32">
        <f t="shared" si="30"/>
        <v>16</v>
      </c>
      <c r="O32" s="43" t="s">
        <v>53</v>
      </c>
      <c r="P32" s="43" t="s">
        <v>53</v>
      </c>
      <c r="Q32" s="43"/>
      <c r="R32" s="39">
        <f>if(G32=13,1,0)+VLOOKUP(B32,'101924'!B:T,17,false)</f>
        <v>1</v>
      </c>
      <c r="S32" s="39"/>
      <c r="T32" s="39">
        <f>if(G32=9,1,0)+VLOOKUP(B32,'101924'!B:T,19,false)</f>
        <v>10</v>
      </c>
      <c r="U32" s="39">
        <f>VLOOKUP(B32,'101924'!B$5:V$70,21,false)-A32</f>
        <v>0</v>
      </c>
      <c r="V32" s="30">
        <f t="shared" si="5"/>
        <v>28</v>
      </c>
    </row>
    <row r="33">
      <c r="A33" s="30">
        <f t="shared" si="3"/>
        <v>29</v>
      </c>
      <c r="B33" s="31" t="s">
        <v>105</v>
      </c>
      <c r="C33" s="32">
        <v>183.0</v>
      </c>
      <c r="D33" s="32">
        <v>9.0</v>
      </c>
      <c r="E33" s="37">
        <v>1.0</v>
      </c>
      <c r="F33" s="39">
        <v>5.0</v>
      </c>
      <c r="G33" s="40">
        <v>0.0</v>
      </c>
      <c r="H33" s="39">
        <v>4.0</v>
      </c>
      <c r="I33" s="39">
        <v>5.0</v>
      </c>
      <c r="J33" s="39">
        <v>6.0</v>
      </c>
      <c r="K33" s="42">
        <v>15.0</v>
      </c>
      <c r="L33" s="39">
        <v>1.0</v>
      </c>
      <c r="M33" s="32">
        <f t="shared" ref="M33:N33" si="31">C33+K33</f>
        <v>198</v>
      </c>
      <c r="N33" s="32">
        <f t="shared" si="31"/>
        <v>10</v>
      </c>
      <c r="O33" s="43" t="s">
        <v>53</v>
      </c>
      <c r="P33" s="43" t="s">
        <v>53</v>
      </c>
      <c r="Q33" s="43"/>
      <c r="R33" s="39">
        <f>if(G33=13,1,0)+VLOOKUP(B33,'101924'!B:T,17,false)</f>
        <v>0</v>
      </c>
      <c r="S33" s="39"/>
      <c r="T33" s="39">
        <f>if(G33=9,1,0)+VLOOKUP(B33,'101924'!B:T,19,false)</f>
        <v>8</v>
      </c>
      <c r="U33" s="39">
        <f>VLOOKUP(B33,'101924'!B$5:V$70,21,false)-A33</f>
        <v>0</v>
      </c>
      <c r="V33" s="30">
        <f t="shared" si="5"/>
        <v>29</v>
      </c>
    </row>
    <row r="34">
      <c r="A34" s="30">
        <f t="shared" si="3"/>
        <v>30</v>
      </c>
      <c r="B34" s="51" t="s">
        <v>99</v>
      </c>
      <c r="C34" s="32">
        <v>182.0</v>
      </c>
      <c r="D34" s="32">
        <v>13.0</v>
      </c>
      <c r="E34" s="37">
        <v>1.0</v>
      </c>
      <c r="F34" s="39">
        <v>6.0</v>
      </c>
      <c r="G34" s="40">
        <v>0.0</v>
      </c>
      <c r="H34" s="39">
        <v>3.0</v>
      </c>
      <c r="I34" s="39">
        <v>6.0</v>
      </c>
      <c r="J34" s="39">
        <v>6.0</v>
      </c>
      <c r="K34" s="42">
        <v>15.0</v>
      </c>
      <c r="L34" s="39">
        <v>2.0</v>
      </c>
      <c r="M34" s="32">
        <f t="shared" ref="M34:N34" si="32">C34+K34</f>
        <v>197</v>
      </c>
      <c r="N34" s="32">
        <f t="shared" si="32"/>
        <v>15</v>
      </c>
      <c r="O34" s="43" t="s">
        <v>53</v>
      </c>
      <c r="P34" s="43"/>
      <c r="Q34" s="43"/>
      <c r="R34" s="39">
        <f>if(G34=13,1,0)+VLOOKUP(B34,'101924'!B:T,17,false)</f>
        <v>0</v>
      </c>
      <c r="S34" s="39"/>
      <c r="T34" s="39">
        <f>if(G34=9,1,0)+VLOOKUP(B34,'101924'!B:T,19,false)</f>
        <v>3</v>
      </c>
      <c r="U34" s="39">
        <f>VLOOKUP(B34,'101924'!B$5:V$70,21,false)-A34</f>
        <v>0</v>
      </c>
      <c r="V34" s="30">
        <f t="shared" si="5"/>
        <v>30</v>
      </c>
    </row>
    <row r="35">
      <c r="A35" s="30">
        <f t="shared" si="3"/>
        <v>31</v>
      </c>
      <c r="B35" s="31" t="s">
        <v>46</v>
      </c>
      <c r="C35" s="32">
        <v>180.0</v>
      </c>
      <c r="D35" s="32">
        <v>14.0</v>
      </c>
      <c r="E35" s="37">
        <v>3.0</v>
      </c>
      <c r="F35" s="39">
        <v>0.0</v>
      </c>
      <c r="G35" s="40">
        <v>9.0</v>
      </c>
      <c r="H35" s="39">
        <v>0.0</v>
      </c>
      <c r="I35" s="39">
        <v>0.0</v>
      </c>
      <c r="J35" s="39">
        <v>0.0</v>
      </c>
      <c r="K35" s="42">
        <v>9.0</v>
      </c>
      <c r="L35" s="39">
        <v>0.0</v>
      </c>
      <c r="M35" s="32">
        <f t="shared" ref="M35:N35" si="33">C35+K35</f>
        <v>189</v>
      </c>
      <c r="N35" s="32">
        <f t="shared" si="33"/>
        <v>14</v>
      </c>
      <c r="O35" s="43" t="s">
        <v>53</v>
      </c>
      <c r="P35" s="43" t="s">
        <v>53</v>
      </c>
      <c r="Q35" s="43"/>
      <c r="R35" s="39">
        <f>if(G35=13,1,0)+VLOOKUP(B35,'101924'!B:T,17,false)</f>
        <v>0</v>
      </c>
      <c r="S35" s="39"/>
      <c r="T35" s="39">
        <f>if(G35=9,1,0)+VLOOKUP(B35,'101924'!B:T,19,false)</f>
        <v>7</v>
      </c>
      <c r="U35" s="39">
        <f>VLOOKUP(B35,'101924'!B$5:V$70,21,false)-A35</f>
        <v>8</v>
      </c>
      <c r="V35" s="30">
        <f t="shared" si="5"/>
        <v>31</v>
      </c>
    </row>
    <row r="36">
      <c r="A36" s="30">
        <f t="shared" si="3"/>
        <v>32</v>
      </c>
      <c r="B36" s="51" t="s">
        <v>103</v>
      </c>
      <c r="C36" s="32">
        <v>180.0</v>
      </c>
      <c r="D36" s="32">
        <v>11.0</v>
      </c>
      <c r="E36" s="37">
        <v>1.0</v>
      </c>
      <c r="F36" s="39">
        <v>6.0</v>
      </c>
      <c r="G36" s="40">
        <v>0.0</v>
      </c>
      <c r="H36" s="39">
        <v>6.0</v>
      </c>
      <c r="I36" s="39">
        <v>0.0</v>
      </c>
      <c r="J36" s="39">
        <v>6.0</v>
      </c>
      <c r="K36" s="42">
        <v>12.0</v>
      </c>
      <c r="L36" s="39">
        <v>2.0</v>
      </c>
      <c r="M36" s="32">
        <f t="shared" ref="M36:N36" si="34">C36+K36</f>
        <v>192</v>
      </c>
      <c r="N36" s="32">
        <f t="shared" si="34"/>
        <v>13</v>
      </c>
      <c r="O36" s="43" t="s">
        <v>53</v>
      </c>
      <c r="P36" s="43" t="s">
        <v>53</v>
      </c>
      <c r="Q36" s="43"/>
      <c r="R36" s="39">
        <f>if(G36=13,1,0)+VLOOKUP(B36,'101924'!B:T,17,false)</f>
        <v>1</v>
      </c>
      <c r="S36" s="39"/>
      <c r="T36" s="39">
        <f>if(G36=9,1,0)+VLOOKUP(B36,'101924'!B:T,19,false)</f>
        <v>9</v>
      </c>
      <c r="U36" s="39">
        <f>VLOOKUP(B36,'101924'!B$5:V$70,21,false)-A36</f>
        <v>3</v>
      </c>
      <c r="V36" s="30">
        <f t="shared" si="5"/>
        <v>32</v>
      </c>
    </row>
    <row r="37">
      <c r="A37" s="30">
        <f t="shared" si="3"/>
        <v>33</v>
      </c>
      <c r="B37" s="31" t="s">
        <v>66</v>
      </c>
      <c r="C37" s="32">
        <v>179.0</v>
      </c>
      <c r="D37" s="32">
        <v>9.0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5">C37+K37</f>
        <v>188</v>
      </c>
      <c r="N37" s="32">
        <f t="shared" si="35"/>
        <v>9</v>
      </c>
      <c r="O37" s="43" t="s">
        <v>53</v>
      </c>
      <c r="P37" s="43" t="s">
        <v>53</v>
      </c>
      <c r="Q37" s="43"/>
      <c r="R37" s="39">
        <f>if(G37=13,1,0)+VLOOKUP(B37,'101924'!B:T,17,false)</f>
        <v>2</v>
      </c>
      <c r="S37" s="39"/>
      <c r="T37" s="39">
        <f>if(G37=9,1,0)+VLOOKUP(B37,'101924'!B:T,19,false)</f>
        <v>7</v>
      </c>
      <c r="U37" s="39">
        <f>VLOOKUP(B37,'101924'!B$5:V$70,21,false)-A37</f>
        <v>-2</v>
      </c>
      <c r="V37" s="30">
        <f t="shared" si="5"/>
        <v>33</v>
      </c>
    </row>
    <row r="38">
      <c r="A38" s="30">
        <f t="shared" si="3"/>
        <v>34</v>
      </c>
      <c r="B38" s="51" t="s">
        <v>111</v>
      </c>
      <c r="C38" s="32">
        <v>179.0</v>
      </c>
      <c r="D38" s="32">
        <v>8.0</v>
      </c>
      <c r="E38" s="37">
        <v>1.0</v>
      </c>
      <c r="F38" s="39">
        <v>6.0</v>
      </c>
      <c r="G38" s="40">
        <v>0.0</v>
      </c>
      <c r="H38" s="39">
        <v>3.0</v>
      </c>
      <c r="I38" s="39">
        <v>0.0</v>
      </c>
      <c r="J38" s="39">
        <v>0.0</v>
      </c>
      <c r="K38" s="42">
        <v>3.0</v>
      </c>
      <c r="L38" s="39">
        <v>0.0</v>
      </c>
      <c r="M38" s="32">
        <f t="shared" ref="M38:N38" si="36">C38+K38</f>
        <v>182</v>
      </c>
      <c r="N38" s="32">
        <f t="shared" si="36"/>
        <v>8</v>
      </c>
      <c r="O38" s="43" t="s">
        <v>53</v>
      </c>
      <c r="P38" s="43" t="s">
        <v>53</v>
      </c>
      <c r="Q38" s="43"/>
      <c r="R38" s="39">
        <f>if(G38=13,1,0)+VLOOKUP(B38,'101924'!B:T,17,false)</f>
        <v>0</v>
      </c>
      <c r="S38" s="39"/>
      <c r="T38" s="39">
        <f>if(G38=9,1,0)+VLOOKUP(B38,'101924'!B:T,19,false)</f>
        <v>9</v>
      </c>
      <c r="U38" s="39">
        <f>VLOOKUP(B38,'101924'!B$5:V$70,21,false)-A38</f>
        <v>-2</v>
      </c>
      <c r="V38" s="30">
        <f t="shared" si="5"/>
        <v>34</v>
      </c>
    </row>
    <row r="39">
      <c r="A39" s="30">
        <f t="shared" si="3"/>
        <v>35</v>
      </c>
      <c r="B39" s="31" t="s">
        <v>97</v>
      </c>
      <c r="C39" s="32">
        <v>178.0</v>
      </c>
      <c r="D39" s="32">
        <v>10.0</v>
      </c>
      <c r="E39" s="37">
        <v>1.0</v>
      </c>
      <c r="F39" s="39">
        <v>6.0</v>
      </c>
      <c r="G39" s="40">
        <v>0.0</v>
      </c>
      <c r="H39" s="39">
        <v>6.0</v>
      </c>
      <c r="I39" s="39">
        <v>6.0</v>
      </c>
      <c r="J39" s="39">
        <v>0.0</v>
      </c>
      <c r="K39" s="42">
        <v>12.0</v>
      </c>
      <c r="L39" s="39">
        <v>2.0</v>
      </c>
      <c r="M39" s="32">
        <f t="shared" ref="M39:N39" si="37">C39+K39</f>
        <v>190</v>
      </c>
      <c r="N39" s="32">
        <f t="shared" si="37"/>
        <v>12</v>
      </c>
      <c r="O39" s="43" t="s">
        <v>53</v>
      </c>
      <c r="P39" s="43" t="s">
        <v>53</v>
      </c>
      <c r="Q39" s="43"/>
      <c r="R39" s="39">
        <f>if(G39=13,1,0)+VLOOKUP(B39,'101924'!B:T,17,false)</f>
        <v>1</v>
      </c>
      <c r="S39" s="39"/>
      <c r="T39" s="39">
        <f>if(G39=9,1,0)+VLOOKUP(B39,'101924'!B:T,19,false)</f>
        <v>8</v>
      </c>
      <c r="U39" s="39">
        <f>VLOOKUP(B39,'101924'!B$5:V$70,21,false)-A39</f>
        <v>-2</v>
      </c>
      <c r="V39" s="30">
        <f t="shared" si="5"/>
        <v>35</v>
      </c>
    </row>
    <row r="40">
      <c r="A40" s="30">
        <f t="shared" si="3"/>
        <v>36</v>
      </c>
      <c r="B40" s="31" t="s">
        <v>73</v>
      </c>
      <c r="C40" s="32">
        <v>178.0</v>
      </c>
      <c r="D40" s="32">
        <v>9.0</v>
      </c>
      <c r="E40" s="37">
        <v>2.0</v>
      </c>
      <c r="F40" s="39">
        <v>7.0</v>
      </c>
      <c r="G40" s="40">
        <v>0.0</v>
      </c>
      <c r="H40" s="39">
        <v>0.0</v>
      </c>
      <c r="I40" s="39">
        <v>6.0</v>
      </c>
      <c r="J40" s="39">
        <v>7.0</v>
      </c>
      <c r="K40" s="42">
        <v>13.0</v>
      </c>
      <c r="L40" s="39">
        <v>2.0</v>
      </c>
      <c r="M40" s="32">
        <f t="shared" ref="M40:N40" si="38">C40+K40</f>
        <v>191</v>
      </c>
      <c r="N40" s="32">
        <f t="shared" si="38"/>
        <v>11</v>
      </c>
      <c r="O40" s="43" t="s">
        <v>53</v>
      </c>
      <c r="P40" s="43" t="s">
        <v>53</v>
      </c>
      <c r="Q40" s="43"/>
      <c r="R40" s="39">
        <f>if(G40=13,1,0)+VLOOKUP(B40,'101924'!B:T,17,false)</f>
        <v>3</v>
      </c>
      <c r="S40" s="39"/>
      <c r="T40" s="39">
        <f>if(G40=9,1,0)+VLOOKUP(B40,'101924'!B:T,19,false)</f>
        <v>7</v>
      </c>
      <c r="U40" s="39">
        <f>VLOOKUP(B40,'101924'!B$5:V$70,21,false)-A40</f>
        <v>4</v>
      </c>
      <c r="V40" s="30">
        <f t="shared" si="5"/>
        <v>36</v>
      </c>
    </row>
    <row r="41">
      <c r="A41" s="30">
        <f t="shared" si="3"/>
        <v>37</v>
      </c>
      <c r="B41" s="31" t="s">
        <v>109</v>
      </c>
      <c r="C41" s="32">
        <v>178.0</v>
      </c>
      <c r="D41" s="32">
        <v>5.0</v>
      </c>
      <c r="E41" s="37">
        <v>1.0</v>
      </c>
      <c r="F41" s="39">
        <v>7.0</v>
      </c>
      <c r="G41" s="40">
        <v>0.0</v>
      </c>
      <c r="H41" s="39">
        <v>6.0</v>
      </c>
      <c r="I41" s="39">
        <v>6.0</v>
      </c>
      <c r="J41" s="39">
        <v>5.0</v>
      </c>
      <c r="K41" s="42">
        <v>17.0</v>
      </c>
      <c r="L41" s="39">
        <v>2.0</v>
      </c>
      <c r="M41" s="32">
        <f t="shared" ref="M41:N41" si="39">C41+K41</f>
        <v>195</v>
      </c>
      <c r="N41" s="32">
        <f t="shared" si="39"/>
        <v>7</v>
      </c>
      <c r="O41" s="43" t="s">
        <v>53</v>
      </c>
      <c r="P41" s="43" t="s">
        <v>53</v>
      </c>
      <c r="Q41" s="43"/>
      <c r="R41" s="39">
        <f>if(G41=13,1,0)+VLOOKUP(B41,'101924'!B:T,17,false)</f>
        <v>4</v>
      </c>
      <c r="S41" s="39"/>
      <c r="T41" s="39">
        <f>if(G41=9,1,0)+VLOOKUP(B41,'101924'!B:T,19,false)</f>
        <v>10</v>
      </c>
      <c r="U41" s="39">
        <f>VLOOKUP(B41,'101924'!B$5:V$70,21,false)-A41</f>
        <v>-3</v>
      </c>
      <c r="V41" s="30">
        <f t="shared" si="5"/>
        <v>37</v>
      </c>
    </row>
    <row r="42">
      <c r="A42" s="30">
        <f t="shared" si="3"/>
        <v>38</v>
      </c>
      <c r="B42" s="51" t="s">
        <v>114</v>
      </c>
      <c r="C42" s="32">
        <v>176.0</v>
      </c>
      <c r="D42" s="32">
        <v>11.0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40">C42+K42</f>
        <v>185</v>
      </c>
      <c r="N42" s="32">
        <f t="shared" si="40"/>
        <v>11</v>
      </c>
      <c r="O42" s="43" t="s">
        <v>53</v>
      </c>
      <c r="P42" s="43" t="s">
        <v>53</v>
      </c>
      <c r="Q42" s="43"/>
      <c r="R42" s="39">
        <f>if(G42=13,1,0)+VLOOKUP(B42,'101924'!B:T,17,false)</f>
        <v>2</v>
      </c>
      <c r="S42" s="39"/>
      <c r="T42" s="39">
        <f>if(G42=9,1,0)+VLOOKUP(B42,'101924'!B:T,19,false)</f>
        <v>6</v>
      </c>
      <c r="U42" s="39">
        <f>VLOOKUP(B42,'101924'!B$5:V$70,21,false)-A42</f>
        <v>3</v>
      </c>
      <c r="V42" s="30">
        <f t="shared" si="5"/>
        <v>38</v>
      </c>
    </row>
    <row r="43">
      <c r="A43" s="30">
        <f t="shared" si="3"/>
        <v>39</v>
      </c>
      <c r="B43" s="56" t="s">
        <v>107</v>
      </c>
      <c r="C43" s="32">
        <v>174.0</v>
      </c>
      <c r="D43" s="32">
        <v>15.0</v>
      </c>
      <c r="E43" s="37">
        <v>2.0</v>
      </c>
      <c r="F43" s="39">
        <v>7.0</v>
      </c>
      <c r="G43" s="40">
        <v>0.0</v>
      </c>
      <c r="H43" s="39">
        <v>0.0</v>
      </c>
      <c r="I43" s="39">
        <v>2.0</v>
      </c>
      <c r="J43" s="39">
        <v>5.0</v>
      </c>
      <c r="K43" s="42">
        <v>7.0</v>
      </c>
      <c r="L43" s="39">
        <v>0.0</v>
      </c>
      <c r="M43" s="32">
        <f t="shared" ref="M43:N43" si="41">C43+K43</f>
        <v>181</v>
      </c>
      <c r="N43" s="32">
        <f t="shared" si="41"/>
        <v>15</v>
      </c>
      <c r="O43" s="43" t="s">
        <v>53</v>
      </c>
      <c r="P43" s="43" t="s">
        <v>53</v>
      </c>
      <c r="Q43" s="43"/>
      <c r="R43" s="39">
        <f>if(G43=13,1,0)+VLOOKUP(B43,'101924'!B:T,17,false)</f>
        <v>0</v>
      </c>
      <c r="S43" s="39"/>
      <c r="T43" s="39">
        <f>if(G43=9,1,0)+VLOOKUP(B43,'101924'!B:T,19,false)</f>
        <v>4</v>
      </c>
      <c r="U43" s="39">
        <f>VLOOKUP(B43,'101924'!B$5:V$70,21,false)-A43</f>
        <v>-2</v>
      </c>
      <c r="V43" s="30">
        <f t="shared" si="5"/>
        <v>39</v>
      </c>
    </row>
    <row r="44">
      <c r="A44" s="30">
        <f t="shared" si="3"/>
        <v>40</v>
      </c>
      <c r="B44" s="51" t="s">
        <v>76</v>
      </c>
      <c r="C44" s="32">
        <v>174.0</v>
      </c>
      <c r="D44" s="32">
        <v>14.0</v>
      </c>
      <c r="E44" s="37">
        <v>1.0</v>
      </c>
      <c r="F44" s="39">
        <v>7.0</v>
      </c>
      <c r="G44" s="40">
        <v>0.0</v>
      </c>
      <c r="H44" s="39">
        <v>6.0</v>
      </c>
      <c r="I44" s="39">
        <v>2.0</v>
      </c>
      <c r="J44" s="39">
        <v>7.0</v>
      </c>
      <c r="K44" s="42">
        <v>15.0</v>
      </c>
      <c r="L44" s="39">
        <v>2.0</v>
      </c>
      <c r="M44" s="32">
        <f t="shared" ref="M44:N44" si="42">C44+K44</f>
        <v>189</v>
      </c>
      <c r="N44" s="32">
        <f t="shared" si="42"/>
        <v>16</v>
      </c>
      <c r="O44" s="43" t="s">
        <v>53</v>
      </c>
      <c r="P44" s="43" t="s">
        <v>53</v>
      </c>
      <c r="Q44" s="43"/>
      <c r="R44" s="39">
        <f>if(G44=13,1,0)+VLOOKUP(B44,'101924'!B:T,17,false)</f>
        <v>0</v>
      </c>
      <c r="S44" s="39"/>
      <c r="T44" s="39">
        <f>if(G44=9,1,0)+VLOOKUP(B44,'101924'!B:T,19,false)</f>
        <v>7</v>
      </c>
      <c r="U44" s="39">
        <f>VLOOKUP(B44,'101924'!B$5:V$70,21,false)-A44</f>
        <v>-2</v>
      </c>
      <c r="V44" s="30">
        <f t="shared" si="5"/>
        <v>40</v>
      </c>
    </row>
    <row r="45">
      <c r="A45" s="30">
        <f t="shared" si="3"/>
        <v>41</v>
      </c>
      <c r="B45" s="56" t="s">
        <v>110</v>
      </c>
      <c r="C45" s="32">
        <v>172.0</v>
      </c>
      <c r="D45" s="32">
        <v>6.0</v>
      </c>
      <c r="E45" s="37">
        <v>2.0</v>
      </c>
      <c r="F45" s="39">
        <v>8.0</v>
      </c>
      <c r="G45" s="40">
        <v>0.0</v>
      </c>
      <c r="H45" s="39">
        <v>6.0</v>
      </c>
      <c r="I45" s="39">
        <v>7.0</v>
      </c>
      <c r="J45" s="39">
        <v>4.0</v>
      </c>
      <c r="K45" s="42">
        <v>17.0</v>
      </c>
      <c r="L45" s="39">
        <v>2.0</v>
      </c>
      <c r="M45" s="32">
        <f t="shared" ref="M45:N45" si="43">C45+K45</f>
        <v>189</v>
      </c>
      <c r="N45" s="32">
        <f t="shared" si="43"/>
        <v>8</v>
      </c>
      <c r="O45" s="43" t="s">
        <v>53</v>
      </c>
      <c r="P45" s="43" t="s">
        <v>53</v>
      </c>
      <c r="Q45" s="43"/>
      <c r="R45" s="39">
        <f>if(G45=13,1,0)+VLOOKUP(B45,'101924'!B:T,17,false)</f>
        <v>4</v>
      </c>
      <c r="S45" s="39"/>
      <c r="T45" s="39">
        <f>if(G45=9,1,0)+VLOOKUP(B45,'101924'!B:T,19,false)</f>
        <v>5</v>
      </c>
      <c r="U45" s="39">
        <f>VLOOKUP(B45,'101924'!B$5:V$70,21,false)-A45</f>
        <v>-5</v>
      </c>
      <c r="V45" s="30">
        <f t="shared" si="5"/>
        <v>41</v>
      </c>
    </row>
    <row r="46">
      <c r="A46" s="30">
        <f t="shared" si="3"/>
        <v>42</v>
      </c>
      <c r="B46" s="78" t="s">
        <v>102</v>
      </c>
      <c r="C46" s="32">
        <v>172.0</v>
      </c>
      <c r="D46" s="32">
        <v>6.0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4">C46+K46</f>
        <v>181</v>
      </c>
      <c r="N46" s="32">
        <f t="shared" si="44"/>
        <v>6</v>
      </c>
      <c r="O46" s="43" t="s">
        <v>53</v>
      </c>
      <c r="P46" s="43" t="s">
        <v>53</v>
      </c>
      <c r="Q46" s="43"/>
      <c r="R46" s="39">
        <f>if(G46=13,1,0)+VLOOKUP(B46,'101924'!B:T,17,false)</f>
        <v>2</v>
      </c>
      <c r="S46" s="39"/>
      <c r="T46" s="39">
        <f>if(G46=9,1,0)+VLOOKUP(B46,'101924'!B:T,19,false)</f>
        <v>11</v>
      </c>
      <c r="U46" s="39">
        <f>VLOOKUP(B46,'101924'!B$5:V$70,21,false)-A46</f>
        <v>4</v>
      </c>
      <c r="V46" s="30">
        <f t="shared" si="5"/>
        <v>42</v>
      </c>
    </row>
    <row r="47">
      <c r="A47" s="30">
        <f t="shared" si="3"/>
        <v>43</v>
      </c>
      <c r="B47" s="31" t="s">
        <v>106</v>
      </c>
      <c r="C47" s="32">
        <v>169.0</v>
      </c>
      <c r="D47" s="32">
        <v>7.0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5">C47+K47</f>
        <v>178</v>
      </c>
      <c r="N47" s="32">
        <f t="shared" si="45"/>
        <v>7</v>
      </c>
      <c r="O47" s="43" t="s">
        <v>53</v>
      </c>
      <c r="P47" s="43" t="s">
        <v>53</v>
      </c>
      <c r="Q47" s="43"/>
      <c r="R47" s="39">
        <f>if(G47=13,1,0)+VLOOKUP(B47,'101924'!B:T,17,false)</f>
        <v>0</v>
      </c>
      <c r="S47" s="39"/>
      <c r="T47" s="39">
        <f>if(G47=9,1,0)+VLOOKUP(B47,'101924'!B:T,19,false)</f>
        <v>13</v>
      </c>
      <c r="U47" s="39">
        <f>VLOOKUP(B47,'101924'!B$5:V$70,21,false)-A47</f>
        <v>-1</v>
      </c>
      <c r="V47" s="30">
        <f t="shared" si="5"/>
        <v>43</v>
      </c>
    </row>
    <row r="48">
      <c r="A48" s="30">
        <f t="shared" si="3"/>
        <v>44</v>
      </c>
      <c r="B48" s="31" t="s">
        <v>81</v>
      </c>
      <c r="C48" s="32">
        <v>168.0</v>
      </c>
      <c r="D48" s="32">
        <v>7.0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6">C48+K48</f>
        <v>177</v>
      </c>
      <c r="N48" s="32">
        <f t="shared" si="46"/>
        <v>7</v>
      </c>
      <c r="O48" s="43" t="s">
        <v>53</v>
      </c>
      <c r="P48" s="43" t="s">
        <v>53</v>
      </c>
      <c r="Q48" s="43"/>
      <c r="R48" s="39">
        <f>if(G48=13,1,0)+VLOOKUP(B48,'101924'!B:T,17,false)</f>
        <v>1</v>
      </c>
      <c r="S48" s="39"/>
      <c r="T48" s="39">
        <f>if(G48=9,1,0)+VLOOKUP(B48,'101924'!B:T,19,false)</f>
        <v>11</v>
      </c>
      <c r="U48" s="39">
        <f>VLOOKUP(B48,'101924'!B$5:V$70,21,false)-A48</f>
        <v>-1</v>
      </c>
      <c r="V48" s="30">
        <f t="shared" si="5"/>
        <v>44</v>
      </c>
    </row>
    <row r="49">
      <c r="A49" s="30">
        <f t="shared" si="3"/>
        <v>45</v>
      </c>
      <c r="B49" s="31" t="s">
        <v>79</v>
      </c>
      <c r="C49" s="32">
        <v>168.0</v>
      </c>
      <c r="D49" s="32">
        <v>7.0</v>
      </c>
      <c r="E49" s="37">
        <v>3.0</v>
      </c>
      <c r="F49" s="39">
        <v>0.0</v>
      </c>
      <c r="G49" s="40">
        <v>9.0</v>
      </c>
      <c r="H49" s="39">
        <v>0.0</v>
      </c>
      <c r="I49" s="39">
        <v>0.0</v>
      </c>
      <c r="J49" s="39">
        <v>0.0</v>
      </c>
      <c r="K49" s="42">
        <v>9.0</v>
      </c>
      <c r="L49" s="39">
        <v>0.0</v>
      </c>
      <c r="M49" s="32">
        <f t="shared" ref="M49:N49" si="47">C49+K49</f>
        <v>177</v>
      </c>
      <c r="N49" s="32">
        <f t="shared" si="47"/>
        <v>7</v>
      </c>
      <c r="O49" s="43" t="s">
        <v>53</v>
      </c>
      <c r="P49" s="43" t="s">
        <v>53</v>
      </c>
      <c r="Q49" s="43"/>
      <c r="R49" s="39">
        <f>if(G49=13,1,0)+VLOOKUP(B49,'101924'!B:T,17,false)</f>
        <v>2</v>
      </c>
      <c r="S49" s="39"/>
      <c r="T49" s="39">
        <f>if(G49=9,1,0)+VLOOKUP(B49,'101924'!B:T,19,false)</f>
        <v>10</v>
      </c>
      <c r="U49" s="39">
        <f>VLOOKUP(B49,'101924'!B$5:V$70,21,false)-A49</f>
        <v>4</v>
      </c>
      <c r="V49" s="30">
        <f t="shared" si="5"/>
        <v>45</v>
      </c>
    </row>
    <row r="50">
      <c r="A50" s="30">
        <f t="shared" si="3"/>
        <v>46</v>
      </c>
      <c r="B50" s="51" t="s">
        <v>75</v>
      </c>
      <c r="C50" s="32">
        <v>168.0</v>
      </c>
      <c r="D50" s="32">
        <v>6.0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8">C50+K50</f>
        <v>177</v>
      </c>
      <c r="N50" s="32">
        <f t="shared" si="48"/>
        <v>6</v>
      </c>
      <c r="O50" s="43" t="s">
        <v>53</v>
      </c>
      <c r="P50" s="43" t="s">
        <v>53</v>
      </c>
      <c r="Q50" s="43"/>
      <c r="R50" s="39">
        <f>if(G50=13,1,0)+VLOOKUP(B50,'101924'!B:T,17,false)</f>
        <v>1</v>
      </c>
      <c r="S50" s="39"/>
      <c r="T50" s="39">
        <f>if(G50=9,1,0)+VLOOKUP(B50,'101924'!B:T,19,false)</f>
        <v>14</v>
      </c>
      <c r="U50" s="39">
        <f>VLOOKUP(B50,'101924'!B$5:V$70,21,false)-A50</f>
        <v>-2</v>
      </c>
      <c r="V50" s="30">
        <f t="shared" si="5"/>
        <v>46</v>
      </c>
    </row>
    <row r="51">
      <c r="A51" s="30">
        <f t="shared" si="3"/>
        <v>47</v>
      </c>
      <c r="B51" s="51" t="s">
        <v>108</v>
      </c>
      <c r="C51" s="32">
        <v>167.0</v>
      </c>
      <c r="D51" s="32">
        <v>8.0</v>
      </c>
      <c r="E51" s="37">
        <v>1.0</v>
      </c>
      <c r="F51" s="39">
        <v>8.0</v>
      </c>
      <c r="G51" s="40">
        <v>0.0</v>
      </c>
      <c r="H51" s="39">
        <v>6.0</v>
      </c>
      <c r="I51" s="39">
        <v>5.0</v>
      </c>
      <c r="J51" s="39">
        <v>6.0</v>
      </c>
      <c r="K51" s="42">
        <v>17.0</v>
      </c>
      <c r="L51" s="39">
        <v>2.0</v>
      </c>
      <c r="M51" s="32">
        <f t="shared" ref="M51:N51" si="49">C51+K51</f>
        <v>184</v>
      </c>
      <c r="N51" s="32">
        <f t="shared" si="49"/>
        <v>10</v>
      </c>
      <c r="O51" s="43" t="s">
        <v>53</v>
      </c>
      <c r="P51" s="43" t="s">
        <v>53</v>
      </c>
      <c r="Q51" s="43"/>
      <c r="R51" s="39">
        <f>if(G51=13,1,0)+VLOOKUP(B51,'101924'!B:T,17,false)</f>
        <v>0</v>
      </c>
      <c r="S51" s="39"/>
      <c r="T51" s="39">
        <f>if(G51=9,1,0)+VLOOKUP(B51,'101924'!B:T,19,false)</f>
        <v>12</v>
      </c>
      <c r="U51" s="39">
        <f>VLOOKUP(B51,'101924'!B$5:V$70,21,false)-A51</f>
        <v>-2</v>
      </c>
      <c r="V51" s="30">
        <f t="shared" si="5"/>
        <v>47</v>
      </c>
    </row>
    <row r="52">
      <c r="A52" s="30">
        <f t="shared" si="3"/>
        <v>48</v>
      </c>
      <c r="B52" s="31" t="s">
        <v>117</v>
      </c>
      <c r="C52" s="32">
        <v>165.0</v>
      </c>
      <c r="D52" s="32">
        <v>5.0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50">C52+K52</f>
        <v>174</v>
      </c>
      <c r="N52" s="32">
        <f t="shared" si="50"/>
        <v>5</v>
      </c>
      <c r="O52" s="43" t="s">
        <v>53</v>
      </c>
      <c r="P52" s="43" t="s">
        <v>53</v>
      </c>
      <c r="Q52" s="43"/>
      <c r="R52" s="39">
        <f>if(G52=13,1,0)+VLOOKUP(B52,'101924'!B:T,17,false)</f>
        <v>1</v>
      </c>
      <c r="S52" s="39"/>
      <c r="T52" s="39">
        <f>if(G52=9,1,0)+VLOOKUP(B52,'101924'!B:T,19,false)</f>
        <v>13</v>
      </c>
      <c r="U52" s="39">
        <f>VLOOKUP(B52,'101924'!B$5:V$70,21,false)-A52</f>
        <v>0</v>
      </c>
      <c r="V52" s="30">
        <f t="shared" si="5"/>
        <v>48</v>
      </c>
    </row>
    <row r="53">
      <c r="A53" s="30">
        <f t="shared" si="3"/>
        <v>49</v>
      </c>
      <c r="B53" s="31" t="s">
        <v>120</v>
      </c>
      <c r="C53" s="32">
        <v>163.0</v>
      </c>
      <c r="D53" s="32">
        <v>4.0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1">C53+K53</f>
        <v>172</v>
      </c>
      <c r="N53" s="32">
        <f t="shared" si="51"/>
        <v>4</v>
      </c>
      <c r="O53" s="43" t="s">
        <v>53</v>
      </c>
      <c r="P53" s="43" t="s">
        <v>53</v>
      </c>
      <c r="Q53" s="43"/>
      <c r="R53" s="39">
        <f>if(G53=13,1,0)+VLOOKUP(B53,'101924'!B:T,17,false)</f>
        <v>1</v>
      </c>
      <c r="S53" s="39"/>
      <c r="T53" s="39">
        <f>if(G53=9,1,0)+VLOOKUP(B53,'101924'!B:T,19,false)</f>
        <v>13</v>
      </c>
      <c r="U53" s="39">
        <f>VLOOKUP(B53,'101924'!B$5:V$70,21,false)-A53</f>
        <v>1</v>
      </c>
      <c r="V53" s="30">
        <f t="shared" si="5"/>
        <v>49</v>
      </c>
    </row>
    <row r="54">
      <c r="A54" s="30">
        <f t="shared" si="3"/>
        <v>50</v>
      </c>
      <c r="B54" s="51" t="s">
        <v>116</v>
      </c>
      <c r="C54" s="32">
        <v>162.0</v>
      </c>
      <c r="D54" s="32">
        <v>8.0</v>
      </c>
      <c r="E54" s="37">
        <v>1.0</v>
      </c>
      <c r="F54" s="39">
        <v>8.0</v>
      </c>
      <c r="G54" s="40">
        <v>0.0</v>
      </c>
      <c r="H54" s="39">
        <v>1.0</v>
      </c>
      <c r="I54" s="39">
        <v>5.0</v>
      </c>
      <c r="J54" s="39">
        <v>4.0</v>
      </c>
      <c r="K54" s="42">
        <v>10.0</v>
      </c>
      <c r="L54" s="39">
        <v>0.0</v>
      </c>
      <c r="M54" s="32">
        <f t="shared" ref="M54:N54" si="52">C54+K54</f>
        <v>172</v>
      </c>
      <c r="N54" s="32">
        <f t="shared" si="52"/>
        <v>8</v>
      </c>
      <c r="O54" s="43" t="s">
        <v>53</v>
      </c>
      <c r="P54" s="43" t="s">
        <v>53</v>
      </c>
      <c r="Q54" s="43"/>
      <c r="R54" s="39">
        <f>if(G54=13,1,0)+VLOOKUP(B54,'101924'!B:T,17,false)</f>
        <v>1</v>
      </c>
      <c r="S54" s="39"/>
      <c r="T54" s="39">
        <f>if(G54=9,1,0)+VLOOKUP(B54,'101924'!B:T,19,false)</f>
        <v>5</v>
      </c>
      <c r="U54" s="39">
        <f>VLOOKUP(B54,'101924'!B$5:V$70,21,false)-A54</f>
        <v>-3</v>
      </c>
      <c r="V54" s="30">
        <f t="shared" si="5"/>
        <v>50</v>
      </c>
    </row>
    <row r="55">
      <c r="A55" s="30">
        <f t="shared" si="3"/>
        <v>51</v>
      </c>
      <c r="B55" s="56" t="s">
        <v>115</v>
      </c>
      <c r="C55" s="32">
        <v>160.0</v>
      </c>
      <c r="D55" s="32">
        <v>11.0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3">C55+K55</f>
        <v>169</v>
      </c>
      <c r="N55" s="32">
        <f t="shared" si="53"/>
        <v>11</v>
      </c>
      <c r="O55" s="43" t="s">
        <v>53</v>
      </c>
      <c r="P55" s="43" t="s">
        <v>53</v>
      </c>
      <c r="Q55" s="43"/>
      <c r="R55" s="39">
        <f>if(G55=13,1,0)+VLOOKUP(B55,'101924'!B:T,17,false)</f>
        <v>0</v>
      </c>
      <c r="S55" s="39"/>
      <c r="T55" s="39">
        <f>if(G55=9,1,0)+VLOOKUP(B55,'101924'!B:T,19,false)</f>
        <v>3</v>
      </c>
      <c r="U55" s="39">
        <f>VLOOKUP(B55,'101924'!B$5:V$70,21,false)-A55</f>
        <v>0</v>
      </c>
      <c r="V55" s="30">
        <f t="shared" si="5"/>
        <v>51</v>
      </c>
    </row>
    <row r="56">
      <c r="A56" s="30">
        <f t="shared" si="3"/>
        <v>52</v>
      </c>
      <c r="B56" s="56" t="s">
        <v>51</v>
      </c>
      <c r="C56" s="32">
        <v>160.0</v>
      </c>
      <c r="D56" s="32">
        <v>9.0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4">C56+K56</f>
        <v>169</v>
      </c>
      <c r="N56" s="32">
        <f t="shared" si="54"/>
        <v>9</v>
      </c>
      <c r="O56" s="43" t="s">
        <v>53</v>
      </c>
      <c r="P56" s="43" t="s">
        <v>53</v>
      </c>
      <c r="Q56" s="43"/>
      <c r="R56" s="39">
        <f>if(G56=13,1,0)+VLOOKUP(B56,'101924'!B:T,17,false)</f>
        <v>1</v>
      </c>
      <c r="S56" s="39"/>
      <c r="T56" s="39">
        <f>if(G56=9,1,0)+VLOOKUP(B56,'101924'!B:T,19,false)</f>
        <v>8</v>
      </c>
      <c r="U56" s="39">
        <f>VLOOKUP(B56,'101924'!B$5:V$70,21,false)-A56</f>
        <v>0</v>
      </c>
      <c r="V56" s="30">
        <f t="shared" si="5"/>
        <v>52</v>
      </c>
    </row>
    <row r="57">
      <c r="A57" s="30">
        <f t="shared" si="3"/>
        <v>53</v>
      </c>
      <c r="B57" s="31" t="s">
        <v>56</v>
      </c>
      <c r="C57" s="32">
        <v>160.0</v>
      </c>
      <c r="D57" s="32">
        <v>3.0</v>
      </c>
      <c r="E57" s="37">
        <v>3.0</v>
      </c>
      <c r="F57" s="39">
        <v>0.0</v>
      </c>
      <c r="G57" s="40">
        <v>9.0</v>
      </c>
      <c r="H57" s="39">
        <v>0.0</v>
      </c>
      <c r="I57" s="39">
        <v>0.0</v>
      </c>
      <c r="J57" s="39">
        <v>0.0</v>
      </c>
      <c r="K57" s="42">
        <v>9.0</v>
      </c>
      <c r="L57" s="39">
        <v>0.0</v>
      </c>
      <c r="M57" s="32">
        <f t="shared" ref="M57:N57" si="55">C57+K57</f>
        <v>169</v>
      </c>
      <c r="N57" s="32">
        <f t="shared" si="55"/>
        <v>3</v>
      </c>
      <c r="O57" s="43" t="s">
        <v>53</v>
      </c>
      <c r="P57" s="43" t="s">
        <v>53</v>
      </c>
      <c r="Q57" s="43"/>
      <c r="R57" s="39">
        <f>if(G57=13,1,0)+VLOOKUP(B57,'101924'!B:T,17,false)</f>
        <v>1</v>
      </c>
      <c r="S57" s="39"/>
      <c r="T57" s="39">
        <f>if(G57=9,1,0)+VLOOKUP(B57,'101924'!B:T,19,false)</f>
        <v>14</v>
      </c>
      <c r="U57" s="39">
        <f>VLOOKUP(B57,'101924'!B$5:V$70,21,false)-A57</f>
        <v>0</v>
      </c>
      <c r="V57" s="30">
        <f t="shared" si="5"/>
        <v>53</v>
      </c>
    </row>
    <row r="58">
      <c r="A58" s="30">
        <f t="shared" si="3"/>
        <v>54</v>
      </c>
      <c r="B58" s="31" t="s">
        <v>119</v>
      </c>
      <c r="C58" s="32">
        <v>157.0</v>
      </c>
      <c r="D58" s="32">
        <v>4.0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6">C58+K58</f>
        <v>166</v>
      </c>
      <c r="N58" s="32">
        <f t="shared" si="56"/>
        <v>4</v>
      </c>
      <c r="O58" s="43" t="s">
        <v>53</v>
      </c>
      <c r="P58" s="43" t="s">
        <v>53</v>
      </c>
      <c r="Q58" s="43"/>
      <c r="R58" s="39">
        <f>if(G58=13,1,0)+VLOOKUP(B58,'101924'!B:T,17,false)</f>
        <v>0</v>
      </c>
      <c r="S58" s="39"/>
      <c r="T58" s="39">
        <f>if(G58=9,1,0)+VLOOKUP(B58,'101924'!B:T,19,false)</f>
        <v>15</v>
      </c>
      <c r="U58" s="39">
        <f>VLOOKUP(B58,'101924'!B$5:V$70,21,false)-A58</f>
        <v>0</v>
      </c>
      <c r="V58" s="30">
        <f t="shared" si="5"/>
        <v>54</v>
      </c>
    </row>
    <row r="59">
      <c r="A59" s="30">
        <f t="shared" si="3"/>
        <v>55</v>
      </c>
      <c r="B59" s="51" t="s">
        <v>112</v>
      </c>
      <c r="C59" s="32">
        <v>156.0</v>
      </c>
      <c r="D59" s="32">
        <v>7.0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7">C59+K59</f>
        <v>165</v>
      </c>
      <c r="N59" s="32">
        <f t="shared" si="57"/>
        <v>7</v>
      </c>
      <c r="O59" s="43" t="s">
        <v>53</v>
      </c>
      <c r="P59" s="43" t="s">
        <v>53</v>
      </c>
      <c r="Q59" s="43"/>
      <c r="R59" s="39">
        <f>if(G59=13,1,0)+VLOOKUP(B59,'101924'!B:T,17,false)</f>
        <v>0</v>
      </c>
      <c r="S59" s="39"/>
      <c r="T59" s="39">
        <f>if(G59=9,1,0)+VLOOKUP(B59,'101924'!B:T,19,false)</f>
        <v>9</v>
      </c>
      <c r="U59" s="39">
        <f>VLOOKUP(B59,'101924'!B$5:V$70,21,false)-A59</f>
        <v>5</v>
      </c>
      <c r="V59" s="30">
        <f t="shared" si="5"/>
        <v>55</v>
      </c>
    </row>
    <row r="60">
      <c r="A60" s="30">
        <f t="shared" si="3"/>
        <v>56</v>
      </c>
      <c r="B60" s="31" t="s">
        <v>123</v>
      </c>
      <c r="C60" s="32">
        <v>156.0</v>
      </c>
      <c r="D60" s="32">
        <v>5.0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8">C60+K60</f>
        <v>165</v>
      </c>
      <c r="N60" s="32">
        <f t="shared" si="58"/>
        <v>5</v>
      </c>
      <c r="O60" s="43" t="s">
        <v>53</v>
      </c>
      <c r="P60" s="43" t="s">
        <v>53</v>
      </c>
      <c r="Q60" s="43"/>
      <c r="R60" s="39">
        <f>if(G60=13,1,0)+VLOOKUP(B60,'101924'!B:T,17,false)</f>
        <v>0</v>
      </c>
      <c r="S60" s="39"/>
      <c r="T60" s="39">
        <f>if(G60=9,1,0)+VLOOKUP(B60,'101924'!B:T,19,false)</f>
        <v>15</v>
      </c>
      <c r="U60" s="39">
        <f>VLOOKUP(B60,'101924'!B$5:V$70,21,false)-A60</f>
        <v>3</v>
      </c>
      <c r="V60" s="30">
        <f t="shared" si="5"/>
        <v>56</v>
      </c>
    </row>
    <row r="61">
      <c r="A61" s="30">
        <f t="shared" si="3"/>
        <v>57</v>
      </c>
      <c r="B61" s="51" t="s">
        <v>118</v>
      </c>
      <c r="C61" s="32">
        <v>154.0</v>
      </c>
      <c r="D61" s="32">
        <v>6.0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9">C61+K61</f>
        <v>163</v>
      </c>
      <c r="N61" s="32">
        <f t="shared" si="59"/>
        <v>6</v>
      </c>
      <c r="O61" s="43" t="s">
        <v>53</v>
      </c>
      <c r="P61" s="43" t="s">
        <v>53</v>
      </c>
      <c r="Q61" s="43"/>
      <c r="R61" s="39">
        <f>if(G61=13,1,0)+VLOOKUP(B61,'101924'!B:T,17,false)</f>
        <v>0</v>
      </c>
      <c r="S61" s="39"/>
      <c r="T61" s="39">
        <f>if(G61=9,1,0)+VLOOKUP(B61,'101924'!B:T,19,false)</f>
        <v>11</v>
      </c>
      <c r="U61" s="39">
        <f>VLOOKUP(B61,'101924'!B$5:V$70,21,false)-A61</f>
        <v>-2</v>
      </c>
      <c r="V61" s="30">
        <f t="shared" si="5"/>
        <v>57</v>
      </c>
    </row>
    <row r="62">
      <c r="A62" s="30">
        <f t="shared" si="3"/>
        <v>58</v>
      </c>
      <c r="B62" s="31" t="s">
        <v>124</v>
      </c>
      <c r="C62" s="32">
        <v>154.0</v>
      </c>
      <c r="D62" s="32">
        <v>3.0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60">C62+K62</f>
        <v>163</v>
      </c>
      <c r="N62" s="32">
        <f t="shared" si="60"/>
        <v>3</v>
      </c>
      <c r="O62" s="43" t="s">
        <v>53</v>
      </c>
      <c r="P62" s="43" t="s">
        <v>53</v>
      </c>
      <c r="Q62" s="43"/>
      <c r="R62" s="39">
        <f>if(G62=13,1,0)+VLOOKUP(B62,'101924'!B:T,17,false)</f>
        <v>1</v>
      </c>
      <c r="S62" s="39"/>
      <c r="T62" s="39">
        <f>if(G62=9,1,0)+VLOOKUP(B62,'101924'!B:T,19,false)</f>
        <v>14</v>
      </c>
      <c r="U62" s="39">
        <f>VLOOKUP(B62,'101924'!B$5:V$70,21,false)-A62</f>
        <v>-2</v>
      </c>
      <c r="V62" s="30">
        <f t="shared" si="5"/>
        <v>58</v>
      </c>
    </row>
    <row r="63">
      <c r="A63" s="30">
        <f t="shared" si="3"/>
        <v>59</v>
      </c>
      <c r="B63" s="31" t="s">
        <v>125</v>
      </c>
      <c r="C63" s="32">
        <v>153.0</v>
      </c>
      <c r="D63" s="32">
        <v>3.0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1">C63+K63</f>
        <v>162</v>
      </c>
      <c r="N63" s="32">
        <f t="shared" si="61"/>
        <v>3</v>
      </c>
      <c r="O63" s="43" t="s">
        <v>53</v>
      </c>
      <c r="P63" s="43" t="s">
        <v>53</v>
      </c>
      <c r="Q63" s="43"/>
      <c r="R63" s="39">
        <f>if(G63=13,1,0)+VLOOKUP(B63,'101924'!B:T,17,false)</f>
        <v>0</v>
      </c>
      <c r="S63" s="39"/>
      <c r="T63" s="39">
        <f>if(G63=9,1,0)+VLOOKUP(B63,'101924'!B:T,19,false)</f>
        <v>16</v>
      </c>
      <c r="U63" s="39">
        <f>VLOOKUP(B63,'101924'!B$5:V$70,21,false)-A63</f>
        <v>-2</v>
      </c>
      <c r="V63" s="30">
        <f t="shared" si="5"/>
        <v>59</v>
      </c>
    </row>
    <row r="64">
      <c r="A64" s="30">
        <f t="shared" si="3"/>
        <v>60</v>
      </c>
      <c r="B64" s="56" t="s">
        <v>122</v>
      </c>
      <c r="C64" s="32">
        <v>153.0</v>
      </c>
      <c r="D64" s="32">
        <v>3.0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2">C64+K64</f>
        <v>162</v>
      </c>
      <c r="N64" s="32">
        <f t="shared" si="62"/>
        <v>3</v>
      </c>
      <c r="O64" s="43" t="s">
        <v>53</v>
      </c>
      <c r="P64" s="43" t="s">
        <v>53</v>
      </c>
      <c r="Q64" s="43"/>
      <c r="R64" s="39">
        <f>if(G64=13,1,0)+VLOOKUP(B64,'101924'!B:T,17,false)</f>
        <v>1</v>
      </c>
      <c r="S64" s="39"/>
      <c r="T64" s="39">
        <f>if(G64=9,1,0)+VLOOKUP(B64,'101924'!B:T,19,false)</f>
        <v>13</v>
      </c>
      <c r="U64" s="39">
        <f>VLOOKUP(B64,'101924'!B$5:V$70,21,false)-A64</f>
        <v>-2</v>
      </c>
      <c r="V64" s="30">
        <f t="shared" si="5"/>
        <v>60</v>
      </c>
    </row>
    <row r="65">
      <c r="A65" s="30">
        <f t="shared" si="3"/>
        <v>61</v>
      </c>
      <c r="B65" s="51" t="s">
        <v>113</v>
      </c>
      <c r="C65" s="32">
        <v>151.0</v>
      </c>
      <c r="D65" s="32">
        <v>10.0</v>
      </c>
      <c r="E65" s="37">
        <v>5.0</v>
      </c>
      <c r="F65" s="39">
        <v>0.0</v>
      </c>
      <c r="G65" s="40">
        <v>13.0</v>
      </c>
      <c r="H65" s="39">
        <v>0.0</v>
      </c>
      <c r="I65" s="39">
        <v>0.0</v>
      </c>
      <c r="J65" s="39">
        <v>0.0</v>
      </c>
      <c r="K65" s="42">
        <v>13.0</v>
      </c>
      <c r="L65" s="39">
        <v>0.0</v>
      </c>
      <c r="M65" s="32">
        <f t="shared" ref="M65:N65" si="63">C65+K65</f>
        <v>164</v>
      </c>
      <c r="N65" s="32">
        <f t="shared" si="63"/>
        <v>10</v>
      </c>
      <c r="O65" s="43" t="s">
        <v>53</v>
      </c>
      <c r="P65" s="43" t="s">
        <v>53</v>
      </c>
      <c r="Q65" s="43"/>
      <c r="R65" s="39">
        <f>if(G65=13,1,0)+VLOOKUP(B65,'101924'!B:T,17,false)</f>
        <v>1</v>
      </c>
      <c r="S65" s="39"/>
      <c r="T65" s="39">
        <f>if(G65=9,1,0)+VLOOKUP(B65,'101924'!B:T,19,false)</f>
        <v>4</v>
      </c>
      <c r="U65" s="39">
        <f>VLOOKUP(B65,'101924'!B$5:V$70,21,false)-A65</f>
        <v>1</v>
      </c>
      <c r="V65" s="30">
        <f t="shared" si="5"/>
        <v>61</v>
      </c>
    </row>
    <row r="66">
      <c r="A66" s="30">
        <f t="shared" si="3"/>
        <v>62</v>
      </c>
      <c r="B66" s="51" t="s">
        <v>121</v>
      </c>
      <c r="C66" s="32">
        <v>149.0</v>
      </c>
      <c r="D66" s="32">
        <v>4.0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4">C66+K66</f>
        <v>158</v>
      </c>
      <c r="N66" s="32">
        <f t="shared" si="64"/>
        <v>4</v>
      </c>
      <c r="O66" s="43" t="s">
        <v>53</v>
      </c>
      <c r="P66" s="43" t="s">
        <v>53</v>
      </c>
      <c r="Q66" s="43"/>
      <c r="R66" s="39">
        <f>if(G66=13,1,0)+VLOOKUP(B66,'101924'!B:T,17,false)</f>
        <v>0</v>
      </c>
      <c r="S66" s="39"/>
      <c r="T66" s="39">
        <f>if(G66=9,1,0)+VLOOKUP(B66,'101924'!B:T,19,false)</f>
        <v>14</v>
      </c>
      <c r="U66" s="39">
        <f>VLOOKUP(B66,'101924'!B$5:V$70,21,false)-A66</f>
        <v>-1</v>
      </c>
      <c r="V66" s="30">
        <f t="shared" si="5"/>
        <v>62</v>
      </c>
    </row>
    <row r="67">
      <c r="A67" s="30">
        <f t="shared" si="3"/>
        <v>63</v>
      </c>
      <c r="B67" s="31" t="s">
        <v>72</v>
      </c>
      <c r="C67" s="32">
        <v>148.0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5">C67+K67</f>
        <v>157</v>
      </c>
      <c r="N67" s="32">
        <f t="shared" si="65"/>
        <v>0</v>
      </c>
      <c r="O67" s="43" t="s">
        <v>53</v>
      </c>
      <c r="P67" s="43" t="s">
        <v>53</v>
      </c>
      <c r="Q67" s="43"/>
      <c r="R67" s="39">
        <f>if(G67=13,1,0)+VLOOKUP(B67,'101924'!B:T,17,false)</f>
        <v>1</v>
      </c>
      <c r="S67" s="39"/>
      <c r="T67" s="39">
        <f>if(G67=9,1,0)+VLOOKUP(B67,'101924'!B:T,19,false)</f>
        <v>16</v>
      </c>
      <c r="U67" s="39">
        <f>VLOOKUP(B67,'101924'!B$5:V$70,21,false)-A67</f>
        <v>0</v>
      </c>
      <c r="V67" s="30">
        <f t="shared" si="5"/>
        <v>63</v>
      </c>
    </row>
    <row r="68">
      <c r="A68" s="30">
        <f t="shared" si="3"/>
        <v>64</v>
      </c>
      <c r="B68" s="31" t="s">
        <v>126</v>
      </c>
      <c r="C68" s="32">
        <v>148.0</v>
      </c>
      <c r="D68" s="32">
        <v>0.0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6">C68+K68</f>
        <v>157</v>
      </c>
      <c r="N68" s="32">
        <f t="shared" si="66"/>
        <v>0</v>
      </c>
      <c r="O68" s="43" t="s">
        <v>53</v>
      </c>
      <c r="P68" s="43" t="s">
        <v>53</v>
      </c>
      <c r="Q68" s="43"/>
      <c r="R68" s="39">
        <f>if(G68=13,1,0)+VLOOKUP(B68,'101924'!B:T,17,false)</f>
        <v>1</v>
      </c>
      <c r="S68" s="39"/>
      <c r="T68" s="39">
        <f>if(G68=9,1,0)+VLOOKUP(B68,'101924'!B:T,19,false)</f>
        <v>15</v>
      </c>
      <c r="U68" s="39">
        <f>VLOOKUP(B68,'101924'!B$5:V$70,21,false)-A68</f>
        <v>0</v>
      </c>
      <c r="V68" s="30">
        <f t="shared" si="5"/>
        <v>64</v>
      </c>
    </row>
    <row r="69">
      <c r="A69" s="30">
        <f t="shared" si="3"/>
        <v>65</v>
      </c>
      <c r="B69" s="51" t="s">
        <v>74</v>
      </c>
      <c r="C69" s="32">
        <v>135.0</v>
      </c>
      <c r="D69" s="32">
        <v>0.0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7">C69+K69</f>
        <v>144</v>
      </c>
      <c r="N69" s="32">
        <f t="shared" si="67"/>
        <v>0</v>
      </c>
      <c r="O69" s="43" t="s">
        <v>53</v>
      </c>
      <c r="P69" s="43" t="s">
        <v>53</v>
      </c>
      <c r="Q69" s="43"/>
      <c r="R69" s="39">
        <f>if(G69=13,1,0)+VLOOKUP(B69,'101924'!B:T,17,false)</f>
        <v>0</v>
      </c>
      <c r="S69" s="39"/>
      <c r="T69" s="39">
        <f>if(G69=9,1,0)+VLOOKUP(B69,'101924'!B:T,19,false)</f>
        <v>17</v>
      </c>
      <c r="U69" s="39">
        <f>VLOOKUP(B69,'101924'!B$5:V$70,21,false)-A69</f>
        <v>1</v>
      </c>
      <c r="V69" s="30">
        <f t="shared" si="5"/>
        <v>65</v>
      </c>
    </row>
    <row r="70">
      <c r="A70" s="30">
        <f t="shared" si="3"/>
        <v>66</v>
      </c>
      <c r="B70" s="51" t="s">
        <v>80</v>
      </c>
      <c r="C70" s="32">
        <v>133.0</v>
      </c>
      <c r="D70" s="32">
        <v>6.0</v>
      </c>
      <c r="E70" s="37">
        <v>1.0</v>
      </c>
      <c r="F70" s="39">
        <v>8.0</v>
      </c>
      <c r="G70" s="40">
        <v>0.0</v>
      </c>
      <c r="H70" s="39">
        <v>1.0</v>
      </c>
      <c r="I70" s="39">
        <v>7.0</v>
      </c>
      <c r="J70" s="39">
        <v>6.0</v>
      </c>
      <c r="K70" s="42">
        <v>14.0</v>
      </c>
      <c r="L70" s="39">
        <v>2.0</v>
      </c>
      <c r="M70" s="32">
        <f t="shared" ref="M70:N70" si="68">C70+K70</f>
        <v>147</v>
      </c>
      <c r="N70" s="32">
        <f t="shared" si="68"/>
        <v>8</v>
      </c>
      <c r="O70" s="43" t="s">
        <v>53</v>
      </c>
      <c r="P70" s="43" t="s">
        <v>53</v>
      </c>
      <c r="Q70" s="43"/>
      <c r="R70" s="39">
        <f>if(G70=13,1,0)+VLOOKUP(B70,'101924'!B:T,17,false)</f>
        <v>0</v>
      </c>
      <c r="S70" s="39"/>
      <c r="T70" s="39">
        <f>if(G70=9,1,0)+VLOOKUP(B70,'101924'!B:T,19,false)</f>
        <v>8</v>
      </c>
      <c r="U70" s="39">
        <f>VLOOKUP(B70,'101924'!B$5:V$70,21,false)-A70</f>
        <v>-1</v>
      </c>
      <c r="V70" s="30">
        <f t="shared" si="5"/>
        <v>66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9">COUNTA(P5:P70)</f>
        <v>65</v>
      </c>
      <c r="Q73" s="8">
        <f t="shared" si="69"/>
        <v>1</v>
      </c>
    </row>
    <row r="74">
      <c r="A74" s="11"/>
      <c r="C74" s="11"/>
      <c r="D74" s="11"/>
      <c r="E74" s="11"/>
      <c r="O74" s="7" t="s">
        <v>164</v>
      </c>
      <c r="P74" s="8">
        <f t="shared" ref="P74:Q74" si="70">P75-P73</f>
        <v>1</v>
      </c>
      <c r="Q74" s="8">
        <f t="shared" si="70"/>
        <v>65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0</v>
      </c>
    </row>
    <row r="79">
      <c r="A79" s="11"/>
      <c r="B79" s="62" t="s">
        <v>129</v>
      </c>
      <c r="C79" s="62" t="s">
        <v>130</v>
      </c>
      <c r="D79" s="62" t="s">
        <v>131</v>
      </c>
      <c r="E79" s="62" t="s">
        <v>35</v>
      </c>
      <c r="J79" s="49"/>
      <c r="K79" s="59"/>
      <c r="L79" s="60"/>
      <c r="O79" s="7" t="s">
        <v>132</v>
      </c>
      <c r="P79" s="8"/>
      <c r="Q79" s="8">
        <f>countif(Q5:Q70,"N")</f>
        <v>1</v>
      </c>
    </row>
    <row r="80">
      <c r="A80" s="11"/>
      <c r="B80" s="51" t="str">
        <f>IFERROR(__xludf.DUMMYFUNCTION("QUERY(B5:L70,""Select B, K, L, F where K &gt;= 18 order by K desc, L desc"",0)"),"Adrian Tay")</f>
        <v>Adrian Tay</v>
      </c>
      <c r="C80" s="64">
        <f>IFERROR(__xludf.DUMMYFUNCTION("""COMPUTED_VALUE"""),19.0)</f>
        <v>19</v>
      </c>
      <c r="D80" s="64">
        <f>IFERROR(__xludf.DUMMYFUNCTION("""COMPUTED_VALUE"""),3.0)</f>
        <v>3</v>
      </c>
      <c r="E80" s="64">
        <f>IFERROR(__xludf.DUMMYFUNCTION("""COMPUTED_VALUE"""),1.0)</f>
        <v>1</v>
      </c>
      <c r="K80" s="59"/>
      <c r="L80" s="60"/>
      <c r="O80" s="7" t="s">
        <v>164</v>
      </c>
      <c r="P80" s="8"/>
      <c r="Q80" s="8">
        <f>countif(Q5:Q70,"")</f>
        <v>65</v>
      </c>
    </row>
    <row r="81">
      <c r="A81" s="11"/>
      <c r="B81" s="51" t="str">
        <f>IFERROR(__xludf.DUMMYFUNCTION("""COMPUTED_VALUE"""),"Suleman Alidina")</f>
        <v>Suleman Alidina</v>
      </c>
      <c r="C81" s="64">
        <f>IFERROR(__xludf.DUMMYFUNCTION("""COMPUTED_VALUE"""),19.0)</f>
        <v>19</v>
      </c>
      <c r="D81" s="64">
        <f>IFERROR(__xludf.DUMMYFUNCTION("""COMPUTED_VALUE"""),3.0)</f>
        <v>3</v>
      </c>
      <c r="E81" s="64">
        <f>IFERROR(__xludf.DUMMYFUNCTION("""COMPUTED_VALUE"""),2.0)</f>
        <v>2</v>
      </c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IFERROR(__xludf.DUMMYFUNCTION("""COMPUTED_VALUE"""),"Pulkit Mathur")</f>
        <v>Pulkit Mathur</v>
      </c>
      <c r="C82" s="64">
        <f>IFERROR(__xludf.DUMMYFUNCTION("""COMPUTED_VALUE"""),19.0)</f>
        <v>19</v>
      </c>
      <c r="D82" s="64">
        <f>IFERROR(__xludf.DUMMYFUNCTION("""COMPUTED_VALUE"""),3.0)</f>
        <v>3</v>
      </c>
      <c r="E82" s="64">
        <f>IFERROR(__xludf.DUMMYFUNCTION("""COMPUTED_VALUE"""),5.0)</f>
        <v>5</v>
      </c>
    </row>
    <row r="83">
      <c r="A83" s="11"/>
      <c r="B83" s="51" t="str">
        <f>IFERROR(__xludf.DUMMYFUNCTION("""COMPUTED_VALUE"""),"Troy Wong")</f>
        <v>Troy Wong</v>
      </c>
      <c r="C83" s="64">
        <f>IFERROR(__xludf.DUMMYFUNCTION("""COMPUTED_VALUE"""),18.0)</f>
        <v>18</v>
      </c>
      <c r="D83" s="64">
        <f>IFERROR(__xludf.DUMMYFUNCTION("""COMPUTED_VALUE"""),2.0)</f>
        <v>2</v>
      </c>
      <c r="E83" s="64">
        <f>IFERROR(__xludf.DUMMYFUNCTION("""COMPUTED_VALUE"""),4.0)</f>
        <v>4</v>
      </c>
    </row>
    <row r="84">
      <c r="A84" s="11"/>
      <c r="B84" s="51"/>
      <c r="C84" s="64"/>
      <c r="D84" s="64"/>
      <c r="E84" s="64"/>
      <c r="K84" s="10"/>
    </row>
    <row r="85">
      <c r="A85" s="11"/>
      <c r="B85" s="51"/>
      <c r="C85" s="64"/>
      <c r="D85" s="64"/>
      <c r="E85" s="64"/>
      <c r="K85" s="10"/>
    </row>
    <row r="86">
      <c r="A86" s="11"/>
      <c r="B86" s="51"/>
      <c r="C86" s="64"/>
      <c r="D86" s="64"/>
      <c r="E86" s="64"/>
      <c r="K86" s="10"/>
    </row>
    <row r="87">
      <c r="A87" s="11"/>
      <c r="B87" s="51"/>
      <c r="C87" s="64"/>
      <c r="D87" s="64"/>
      <c r="E87" s="64"/>
      <c r="K87" s="10"/>
    </row>
    <row r="88">
      <c r="A88" s="11"/>
      <c r="B88" s="51"/>
      <c r="C88" s="64"/>
      <c r="D88" s="64"/>
      <c r="E88" s="64"/>
    </row>
    <row r="89">
      <c r="A89" s="11"/>
      <c r="B89" s="51"/>
      <c r="C89" s="64"/>
      <c r="D89" s="64"/>
      <c r="E89" s="64"/>
    </row>
    <row r="90">
      <c r="A90" s="11"/>
      <c r="C90" s="11"/>
      <c r="D90" s="11"/>
      <c r="E90" s="11"/>
    </row>
    <row r="91">
      <c r="A91" s="11"/>
      <c r="B91" s="10"/>
      <c r="C91" s="11"/>
      <c r="D91" s="11"/>
      <c r="E91" s="11"/>
    </row>
    <row r="92" ht="37.5" customHeight="1">
      <c r="A92" s="11"/>
      <c r="B92" s="66" t="s">
        <v>135</v>
      </c>
      <c r="C92" s="66" t="s">
        <v>143</v>
      </c>
      <c r="D92" s="94" t="s">
        <v>170</v>
      </c>
      <c r="E92" s="94" t="s">
        <v>171</v>
      </c>
      <c r="F92" s="66" t="s">
        <v>172</v>
      </c>
    </row>
    <row r="93">
      <c r="A93" s="11"/>
      <c r="B93" s="51" t="str">
        <f>IFERROR(__xludf.DUMMYFUNCTION("query(B5:U70,""select B, U order by U Desc Limit 10"")"),"Jimmy Awolesi")</f>
        <v>Jimmy Awolesi</v>
      </c>
      <c r="C93" s="64">
        <f>IFERROR(__xludf.DUMMYFUNCTION("""COMPUTED_VALUE"""),8.0)</f>
        <v>8</v>
      </c>
      <c r="D93" s="64">
        <f>VLOOKUP(B93,'100524'!B$5:V$70,21, false)</f>
        <v>32</v>
      </c>
      <c r="E93" s="64">
        <f t="shared" ref="E93:E102" si="71">VLOOKUP(B93,B$5:V$70,21, false)</f>
        <v>31</v>
      </c>
      <c r="F93" s="64">
        <f>VLOOKUP(B93,'101924'!B$5:V$70,10, false)</f>
        <v>15</v>
      </c>
    </row>
    <row r="94">
      <c r="A94" s="11"/>
      <c r="B94" s="51" t="str">
        <f>IFERROR(__xludf.DUMMYFUNCTION("""COMPUTED_VALUE"""),"Lam Bui")</f>
        <v>Lam Bui</v>
      </c>
      <c r="C94" s="64">
        <f>IFERROR(__xludf.DUMMYFUNCTION("""COMPUTED_VALUE"""),7.0)</f>
        <v>7</v>
      </c>
      <c r="D94" s="64">
        <f>VLOOKUP(B94,'100524'!B$5:V$70,21, false)</f>
        <v>20</v>
      </c>
      <c r="E94" s="64">
        <f t="shared" si="71"/>
        <v>6</v>
      </c>
      <c r="F94" s="64">
        <f>VLOOKUP(B94,'101924'!B$5:V$70,10, false)</f>
        <v>19</v>
      </c>
    </row>
    <row r="95">
      <c r="A95" s="11"/>
      <c r="B95" s="51" t="str">
        <f>IFERROR(__xludf.DUMMYFUNCTION("""COMPUTED_VALUE"""),"James Phan")</f>
        <v>James Phan</v>
      </c>
      <c r="C95" s="64">
        <f>IFERROR(__xludf.DUMMYFUNCTION("""COMPUTED_VALUE"""),7.0)</f>
        <v>7</v>
      </c>
      <c r="D95" s="64">
        <f>VLOOKUP(B95,'100524'!B$5:V$70,21, false)</f>
        <v>12</v>
      </c>
      <c r="E95" s="64">
        <f t="shared" si="71"/>
        <v>12</v>
      </c>
      <c r="F95" s="64">
        <f>VLOOKUP(B95,'101924'!B$5:V$70,10, false)</f>
        <v>19</v>
      </c>
      <c r="P95" s="70"/>
    </row>
    <row r="96">
      <c r="A96" s="11"/>
      <c r="B96" s="51" t="str">
        <f>IFERROR(__xludf.DUMMYFUNCTION("""COMPUTED_VALUE"""),"Sandy Weyant")</f>
        <v>Sandy Weyant</v>
      </c>
      <c r="C96" s="64">
        <f>IFERROR(__xludf.DUMMYFUNCTION("""COMPUTED_VALUE"""),5.0)</f>
        <v>5</v>
      </c>
      <c r="D96" s="64">
        <f>VLOOKUP(B96,'100524'!B$5:V$70,21, false)</f>
        <v>60</v>
      </c>
      <c r="E96" s="64">
        <f t="shared" si="71"/>
        <v>55</v>
      </c>
      <c r="F96" s="64">
        <f>VLOOKUP(B96,'101924'!B$5:V$70,10, false)</f>
        <v>13</v>
      </c>
    </row>
    <row r="97">
      <c r="A97" s="11"/>
      <c r="B97" s="51" t="str">
        <f>IFERROR(__xludf.DUMMYFUNCTION("""COMPUTED_VALUE"""),"Arun Mallikarjuna")</f>
        <v>Arun Mallikarjuna</v>
      </c>
      <c r="C97" s="64">
        <f>IFERROR(__xludf.DUMMYFUNCTION("""COMPUTED_VALUE"""),4.0)</f>
        <v>4</v>
      </c>
      <c r="D97" s="64">
        <f>VLOOKUP(B97,'100524'!B$5:V$70,21, false)</f>
        <v>17</v>
      </c>
      <c r="E97" s="64">
        <f t="shared" si="71"/>
        <v>7</v>
      </c>
      <c r="F97" s="64">
        <f>VLOOKUP(B97,'101924'!B$5:V$70,10, false)</f>
        <v>15</v>
      </c>
    </row>
    <row r="98">
      <c r="A98" s="11"/>
      <c r="B98" s="51" t="str">
        <f>IFERROR(__xludf.DUMMYFUNCTION("""COMPUTED_VALUE"""),"Cid Macaraeg")</f>
        <v>Cid Macaraeg</v>
      </c>
      <c r="C98" s="64">
        <f>IFERROR(__xludf.DUMMYFUNCTION("""COMPUTED_VALUE"""),4.0)</f>
        <v>4</v>
      </c>
      <c r="D98" s="64">
        <f>VLOOKUP(B98,'100524'!B$5:V$70,21, false)</f>
        <v>23</v>
      </c>
      <c r="E98" s="64">
        <f t="shared" si="71"/>
        <v>22</v>
      </c>
      <c r="F98" s="64">
        <f>VLOOKUP(B98,'101924'!B$5:V$70,10, false)</f>
        <v>19</v>
      </c>
    </row>
    <row r="99">
      <c r="A99" s="11"/>
      <c r="B99" s="51" t="str">
        <f>IFERROR(__xludf.DUMMYFUNCTION("""COMPUTED_VALUE"""),"Manuel Rivera")</f>
        <v>Manuel Rivera</v>
      </c>
      <c r="C99" s="64">
        <f>IFERROR(__xludf.DUMMYFUNCTION("""COMPUTED_VALUE"""),4.0)</f>
        <v>4</v>
      </c>
      <c r="D99" s="64">
        <f>VLOOKUP(B99,'100524'!B$5:V$70,21, false)</f>
        <v>38</v>
      </c>
      <c r="E99" s="64">
        <f t="shared" si="71"/>
        <v>36</v>
      </c>
      <c r="F99" s="64">
        <f>VLOOKUP(B99,'101924'!B$5:V$70,10, false)</f>
        <v>13</v>
      </c>
    </row>
    <row r="100">
      <c r="A100" s="11"/>
      <c r="B100" s="51" t="str">
        <f>IFERROR(__xludf.DUMMYFUNCTION("""COMPUTED_VALUE"""),"Elayaraja Thangaraj ")</f>
        <v>Elayaraja Thangaraj </v>
      </c>
      <c r="C100" s="64">
        <f>IFERROR(__xludf.DUMMYFUNCTION("""COMPUTED_VALUE"""),4.0)</f>
        <v>4</v>
      </c>
      <c r="D100" s="64">
        <f>VLOOKUP(B100,'100524'!B$5:V$70,21, false)</f>
        <v>53</v>
      </c>
      <c r="E100" s="64">
        <f t="shared" si="71"/>
        <v>42</v>
      </c>
      <c r="F100" s="64">
        <f>VLOOKUP(B100,'101924'!B$5:V$70,10, false)</f>
        <v>14</v>
      </c>
    </row>
    <row r="101">
      <c r="A101" s="11"/>
      <c r="B101" s="51" t="str">
        <f>IFERROR(__xludf.DUMMYFUNCTION("""COMPUTED_VALUE"""),"Mauricio Palacios")</f>
        <v>Mauricio Palacios</v>
      </c>
      <c r="C101" s="64">
        <f>IFERROR(__xludf.DUMMYFUNCTION("""COMPUTED_VALUE"""),4.0)</f>
        <v>4</v>
      </c>
      <c r="D101" s="64">
        <f>VLOOKUP(B101,'100524'!B$5:V$70,21, false)</f>
        <v>46</v>
      </c>
      <c r="E101" s="64">
        <f t="shared" si="71"/>
        <v>45</v>
      </c>
      <c r="F101" s="64">
        <f>VLOOKUP(B101,'101924'!B$5:V$70,10, false)</f>
        <v>14</v>
      </c>
    </row>
    <row r="102">
      <c r="A102" s="11"/>
      <c r="B102" s="51" t="str">
        <f>IFERROR(__xludf.DUMMYFUNCTION("""COMPUTED_VALUE"""),"David Shin")</f>
        <v>David Shin</v>
      </c>
      <c r="C102" s="64">
        <f>IFERROR(__xludf.DUMMYFUNCTION("""COMPUTED_VALUE"""),3.0)</f>
        <v>3</v>
      </c>
      <c r="D102" s="64">
        <f>VLOOKUP(B102,'100524'!B$5:V$70,21, false)</f>
        <v>16</v>
      </c>
      <c r="E102" s="64">
        <f t="shared" si="71"/>
        <v>14</v>
      </c>
      <c r="F102" s="64">
        <f>VLOOKUP(B102,'101924'!B$5:V$70,10, false)</f>
        <v>16</v>
      </c>
    </row>
    <row r="103">
      <c r="A103" s="11"/>
      <c r="B103" s="10"/>
      <c r="C103" s="11"/>
      <c r="E103" s="11"/>
    </row>
    <row r="104">
      <c r="A104" s="11"/>
      <c r="B104" s="10"/>
      <c r="C104" s="11"/>
      <c r="E104" s="11"/>
    </row>
    <row r="105">
      <c r="A105" s="11"/>
      <c r="B105" s="62" t="s">
        <v>142</v>
      </c>
      <c r="C105" s="62" t="s">
        <v>143</v>
      </c>
      <c r="D105" s="94" t="s">
        <v>170</v>
      </c>
      <c r="E105" s="94" t="s">
        <v>171</v>
      </c>
      <c r="F105" s="66" t="s">
        <v>172</v>
      </c>
    </row>
    <row r="106">
      <c r="A106" s="11"/>
      <c r="B106" s="51" t="str">
        <f>IFERROR(__xludf.DUMMYFUNCTION("query(B5:U70,""select B, U order by U asc Limit 10"")"),"Frank Moon")</f>
        <v>Frank Moon</v>
      </c>
      <c r="C106" s="64">
        <f>IFERROR(__xludf.DUMMYFUNCTION("""COMPUTED_VALUE"""),-6.0)</f>
        <v>-6</v>
      </c>
      <c r="D106" s="64">
        <f>VLOOKUP(B106,'100524'!B$5:V$70,21, false)</f>
        <v>9</v>
      </c>
      <c r="E106" s="64">
        <f t="shared" ref="E106:E115" si="72">VLOOKUP(B106,B$5:V$70,21, false)</f>
        <v>16</v>
      </c>
      <c r="F106" s="64">
        <f>VLOOKUP(B106,'101224'!B$5:V$70,10, false)</f>
        <v>9</v>
      </c>
    </row>
    <row r="107">
      <c r="A107" s="11"/>
      <c r="B107" s="51" t="str">
        <f>IFERROR(__xludf.DUMMYFUNCTION("""COMPUTED_VALUE"""),"Sean Chang")</f>
        <v>Sean Chang</v>
      </c>
      <c r="C107" s="64">
        <f>IFERROR(__xludf.DUMMYFUNCTION("""COMPUTED_VALUE"""),-6.0)</f>
        <v>-6</v>
      </c>
      <c r="D107" s="64">
        <f>VLOOKUP(B107,'100524'!B$5:V$70,21, false)</f>
        <v>14</v>
      </c>
      <c r="E107" s="64">
        <f t="shared" si="72"/>
        <v>21</v>
      </c>
      <c r="F107" s="64">
        <f>VLOOKUP(B107,'101224'!B$5:V$70,10, false)</f>
        <v>14</v>
      </c>
    </row>
    <row r="108">
      <c r="A108" s="11"/>
      <c r="B108" s="51" t="str">
        <f>IFERROR(__xludf.DUMMYFUNCTION("""COMPUTED_VALUE"""),"Matthew Huang")</f>
        <v>Matthew Huang</v>
      </c>
      <c r="C108" s="64">
        <f>IFERROR(__xludf.DUMMYFUNCTION("""COMPUTED_VALUE"""),-5.0)</f>
        <v>-5</v>
      </c>
      <c r="D108" s="64">
        <f>VLOOKUP(B108,'100524'!B$5:V$70,21, false)</f>
        <v>5</v>
      </c>
      <c r="E108" s="64">
        <f t="shared" si="72"/>
        <v>17</v>
      </c>
      <c r="F108" s="64">
        <f>VLOOKUP(B108,'101224'!B$5:V$70,10, false)</f>
        <v>9</v>
      </c>
    </row>
    <row r="109">
      <c r="A109" s="11"/>
      <c r="B109" s="51" t="str">
        <f>IFERROR(__xludf.DUMMYFUNCTION("""COMPUTED_VALUE"""),"Andrew Wen")</f>
        <v>Andrew Wen</v>
      </c>
      <c r="C109" s="64">
        <f>IFERROR(__xludf.DUMMYFUNCTION("""COMPUTED_VALUE"""),-5.0)</f>
        <v>-5</v>
      </c>
      <c r="D109" s="64">
        <f>VLOOKUP(B109,'100524'!B$5:V$70,21, false)</f>
        <v>36</v>
      </c>
      <c r="E109" s="64">
        <f t="shared" si="72"/>
        <v>41</v>
      </c>
      <c r="F109" s="64">
        <f>VLOOKUP(B109,'101224'!B$5:V$70,10, false)</f>
        <v>10</v>
      </c>
    </row>
    <row r="110">
      <c r="A110" s="11"/>
      <c r="B110" s="51" t="str">
        <f>IFERROR(__xludf.DUMMYFUNCTION("""COMPUTED_VALUE"""),"Jonathan Phan")</f>
        <v>Jonathan Phan</v>
      </c>
      <c r="C110" s="64">
        <f>IFERROR(__xludf.DUMMYFUNCTION("""COMPUTED_VALUE"""),-3.0)</f>
        <v>-3</v>
      </c>
      <c r="D110" s="64">
        <f>VLOOKUP(B110,'100524'!B$5:V$70,21, false)</f>
        <v>4</v>
      </c>
      <c r="E110" s="64">
        <f t="shared" si="72"/>
        <v>9</v>
      </c>
      <c r="F110" s="64">
        <f>VLOOKUP(B110,'101224'!B$5:V$70,10, false)</f>
        <v>15</v>
      </c>
    </row>
    <row r="111">
      <c r="A111" s="11"/>
      <c r="B111" s="51" t="str">
        <f>IFERROR(__xludf.DUMMYFUNCTION("""COMPUTED_VALUE"""),"Suleman Alidina")</f>
        <v>Suleman Alidina</v>
      </c>
      <c r="C111" s="64">
        <f>IFERROR(__xludf.DUMMYFUNCTION("""COMPUTED_VALUE"""),-3.0)</f>
        <v>-3</v>
      </c>
      <c r="D111" s="64">
        <f>VLOOKUP(B111,'100524'!B$5:V$70,21, false)</f>
        <v>6</v>
      </c>
      <c r="E111" s="64">
        <f t="shared" si="72"/>
        <v>10</v>
      </c>
      <c r="F111" s="64">
        <f>VLOOKUP(B111,'101224'!B$5:V$70,10, false)</f>
        <v>14</v>
      </c>
    </row>
    <row r="112">
      <c r="A112" s="11"/>
      <c r="B112" s="51" t="str">
        <f>IFERROR(__xludf.DUMMYFUNCTION("""COMPUTED_VALUE"""),"Rajasekar Ramasamy")</f>
        <v>Rajasekar Ramasamy</v>
      </c>
      <c r="C112" s="64">
        <f>IFERROR(__xludf.DUMMYFUNCTION("""COMPUTED_VALUE"""),-3.0)</f>
        <v>-3</v>
      </c>
      <c r="D112" s="64">
        <f>VLOOKUP(B112,'100524'!B$5:V$70,21, false)</f>
        <v>8</v>
      </c>
      <c r="E112" s="64">
        <f t="shared" si="72"/>
        <v>11</v>
      </c>
      <c r="F112" s="64">
        <f>VLOOKUP(B112,'101224'!B$5:V$70,10, false)</f>
        <v>13</v>
      </c>
    </row>
    <row r="113">
      <c r="A113" s="11"/>
      <c r="B113" s="51" t="str">
        <f>IFERROR(__xludf.DUMMYFUNCTION("""COMPUTED_VALUE"""),"Wayne Liu")</f>
        <v>Wayne Liu</v>
      </c>
      <c r="C113" s="64">
        <f>IFERROR(__xludf.DUMMYFUNCTION("""COMPUTED_VALUE"""),-3.0)</f>
        <v>-3</v>
      </c>
      <c r="D113" s="64">
        <f>VLOOKUP(B113,'100524'!B$5:V$70,21, false)</f>
        <v>27</v>
      </c>
      <c r="E113" s="64">
        <f t="shared" si="72"/>
        <v>27</v>
      </c>
      <c r="F113" s="64">
        <f>VLOOKUP(B113,'101224'!B$5:V$70,10, false)</f>
        <v>10</v>
      </c>
    </row>
    <row r="114">
      <c r="A114" s="11"/>
      <c r="B114" s="51" t="str">
        <f>IFERROR(__xludf.DUMMYFUNCTION("""COMPUTED_VALUE"""),"Peter Cheng")</f>
        <v>Peter Cheng</v>
      </c>
      <c r="C114" s="64">
        <f>IFERROR(__xludf.DUMMYFUNCTION("""COMPUTED_VALUE"""),-3.0)</f>
        <v>-3</v>
      </c>
      <c r="D114" s="64">
        <f>VLOOKUP(B114,'100524'!B$5:V$70,21, false)</f>
        <v>42</v>
      </c>
      <c r="E114" s="64">
        <f t="shared" si="72"/>
        <v>37</v>
      </c>
      <c r="F114" s="64">
        <f>VLOOKUP(B114,'101224'!B$5:V$70,10, false)</f>
        <v>18</v>
      </c>
    </row>
    <row r="115">
      <c r="A115" s="11"/>
      <c r="B115" s="51" t="str">
        <f>IFERROR(__xludf.DUMMYFUNCTION("""COMPUTED_VALUE"""),"Saravanan Veerapandian")</f>
        <v>Saravanan Veerapandian</v>
      </c>
      <c r="C115" s="64">
        <f>IFERROR(__xludf.DUMMYFUNCTION("""COMPUTED_VALUE"""),-3.0)</f>
        <v>-3</v>
      </c>
      <c r="D115" s="64">
        <f>VLOOKUP(B115,'100524'!B$5:V$70,21, false)</f>
        <v>39</v>
      </c>
      <c r="E115" s="64">
        <f t="shared" si="72"/>
        <v>50</v>
      </c>
      <c r="F115" s="64">
        <f>VLOOKUP(B115,'101224'!B$5:V$70,10, false)</f>
        <v>9</v>
      </c>
    </row>
    <row r="116">
      <c r="A116" s="11"/>
      <c r="B116" s="10"/>
      <c r="C116" s="11"/>
      <c r="E116" s="11"/>
    </row>
    <row r="117">
      <c r="A117" s="11"/>
      <c r="B117" s="10"/>
      <c r="C117" s="11"/>
      <c r="E117" s="11"/>
    </row>
    <row r="118">
      <c r="A118" s="11"/>
      <c r="B118" s="10"/>
      <c r="C118" s="11"/>
      <c r="E118" s="11"/>
    </row>
    <row r="119">
      <c r="A119" s="11"/>
      <c r="B119" s="10"/>
      <c r="C119" s="11"/>
      <c r="E119" s="11"/>
    </row>
    <row r="120">
      <c r="A120" s="11"/>
      <c r="B120" s="10"/>
      <c r="C120" s="11"/>
      <c r="D120" s="11"/>
      <c r="E120" s="11"/>
    </row>
    <row r="121">
      <c r="A121" s="11"/>
      <c r="B121" s="10"/>
      <c r="C121" s="11"/>
      <c r="D121" s="11"/>
      <c r="E121" s="11"/>
    </row>
    <row r="122">
      <c r="A122" s="11"/>
      <c r="B122" s="10"/>
      <c r="C122" s="11"/>
      <c r="D122" s="11"/>
      <c r="E122" s="11"/>
    </row>
    <row r="123">
      <c r="A123" s="11"/>
      <c r="B123" s="10"/>
      <c r="C123" s="11"/>
      <c r="D123" s="11"/>
      <c r="E123" s="11"/>
    </row>
    <row r="124">
      <c r="A124" s="11"/>
      <c r="B124" s="10"/>
      <c r="C124" s="11"/>
      <c r="D124" s="11"/>
      <c r="E124" s="11"/>
    </row>
    <row r="125">
      <c r="A125" s="11"/>
      <c r="B125" s="10"/>
      <c r="C125" s="11"/>
      <c r="D125" s="11"/>
      <c r="E125" s="11"/>
    </row>
    <row r="126">
      <c r="A126" s="11"/>
      <c r="B126" s="10"/>
      <c r="C126" s="11"/>
      <c r="D126" s="11"/>
      <c r="E126" s="11"/>
    </row>
    <row r="127">
      <c r="A127" s="11"/>
      <c r="B127" s="10"/>
      <c r="C127" s="11"/>
      <c r="D127" s="11"/>
      <c r="E127" s="11"/>
    </row>
    <row r="128">
      <c r="A128" s="11"/>
      <c r="B128" s="10"/>
      <c r="C128" s="11"/>
      <c r="D128" s="11"/>
      <c r="E128" s="11"/>
    </row>
    <row r="129">
      <c r="A129" s="11"/>
      <c r="B129" s="10" t="s">
        <v>165</v>
      </c>
      <c r="C129" s="11"/>
      <c r="D129" s="11"/>
      <c r="E129" s="11"/>
    </row>
    <row r="130">
      <c r="A130" s="11"/>
      <c r="B130" s="27" t="s">
        <v>31</v>
      </c>
      <c r="C130" s="29" t="s">
        <v>2</v>
      </c>
      <c r="D130" s="29" t="s">
        <v>4</v>
      </c>
      <c r="E130" s="29" t="s">
        <v>33</v>
      </c>
      <c r="F130" s="29" t="s">
        <v>35</v>
      </c>
      <c r="G130" s="29" t="s">
        <v>36</v>
      </c>
      <c r="H130" s="29" t="s">
        <v>6</v>
      </c>
      <c r="I130" s="29" t="s">
        <v>7</v>
      </c>
      <c r="J130" s="29" t="s">
        <v>8</v>
      </c>
      <c r="K130" s="29" t="s">
        <v>2</v>
      </c>
      <c r="L130" s="29" t="s">
        <v>4</v>
      </c>
      <c r="M130" s="28" t="s">
        <v>2</v>
      </c>
      <c r="N130" s="28" t="s">
        <v>4</v>
      </c>
    </row>
    <row r="131">
      <c r="A131" s="11"/>
      <c r="B131" s="82" t="str">
        <f>IFERROR(__xludf.DUMMYFUNCTION("QUERY(B5:N70, ""Select B, C, D, E, F, G, H, I, J, K, L, M, N   where F &gt;= 1"")"),"Adrian Tay")</f>
        <v>Adrian Tay</v>
      </c>
      <c r="C131" s="87">
        <f>IFERROR(__xludf.DUMMYFUNCTION("""COMPUTED_VALUE"""),253.0)</f>
        <v>253</v>
      </c>
      <c r="D131" s="87">
        <f>IFERROR(__xludf.DUMMYFUNCTION("""COMPUTED_VALUE"""),29.0)</f>
        <v>29</v>
      </c>
      <c r="E131" s="86">
        <f>IFERROR(__xludf.DUMMYFUNCTION("""COMPUTED_VALUE"""),1.0)</f>
        <v>1</v>
      </c>
      <c r="F131" s="88">
        <f>IFERROR(__xludf.DUMMYFUNCTION("""COMPUTED_VALUE"""),1.0)</f>
        <v>1</v>
      </c>
      <c r="G131" s="88">
        <f>IFERROR(__xludf.DUMMYFUNCTION("""COMPUTED_VALUE"""),0.0)</f>
        <v>0</v>
      </c>
      <c r="H131" s="88">
        <f>IFERROR(__xludf.DUMMYFUNCTION("""COMPUTED_VALUE"""),6.0)</f>
        <v>6</v>
      </c>
      <c r="I131" s="88">
        <f>IFERROR(__xludf.DUMMYFUNCTION("""COMPUTED_VALUE"""),7.0)</f>
        <v>7</v>
      </c>
      <c r="J131" s="88">
        <f>IFERROR(__xludf.DUMMYFUNCTION("""COMPUTED_VALUE"""),6.0)</f>
        <v>6</v>
      </c>
      <c r="K131" s="88">
        <f>IFERROR(__xludf.DUMMYFUNCTION("""COMPUTED_VALUE"""),19.0)</f>
        <v>19</v>
      </c>
      <c r="L131" s="88">
        <f>IFERROR(__xludf.DUMMYFUNCTION("""COMPUTED_VALUE"""),3.0)</f>
        <v>3</v>
      </c>
      <c r="M131" s="89">
        <f>IFERROR(__xludf.DUMMYFUNCTION("""COMPUTED_VALUE"""),272.0)</f>
        <v>272</v>
      </c>
      <c r="N131" s="89">
        <f>IFERROR(__xludf.DUMMYFUNCTION("""COMPUTED_VALUE"""),32.0)</f>
        <v>32</v>
      </c>
    </row>
    <row r="132">
      <c r="A132" s="11"/>
      <c r="B132" s="82" t="str">
        <f>IFERROR(__xludf.DUMMYFUNCTION("""COMPUTED_VALUE"""),"Ted Shen")</f>
        <v>Ted Shen</v>
      </c>
      <c r="C132" s="87">
        <f>IFERROR(__xludf.DUMMYFUNCTION("""COMPUTED_VALUE"""),212.0)</f>
        <v>212</v>
      </c>
      <c r="D132" s="87">
        <f>IFERROR(__xludf.DUMMYFUNCTION("""COMPUTED_VALUE"""),19.0)</f>
        <v>19</v>
      </c>
      <c r="E132" s="86">
        <f>IFERROR(__xludf.DUMMYFUNCTION("""COMPUTED_VALUE"""),1.0)</f>
        <v>1</v>
      </c>
      <c r="F132" s="88">
        <f>IFERROR(__xludf.DUMMYFUNCTION("""COMPUTED_VALUE"""),1.0)</f>
        <v>1</v>
      </c>
      <c r="G132" s="88">
        <f>IFERROR(__xludf.DUMMYFUNCTION("""COMPUTED_VALUE"""),0.0)</f>
        <v>0</v>
      </c>
      <c r="H132" s="88">
        <f>IFERROR(__xludf.DUMMYFUNCTION("""COMPUTED_VALUE"""),0.0)</f>
        <v>0</v>
      </c>
      <c r="I132" s="88">
        <f>IFERROR(__xludf.DUMMYFUNCTION("""COMPUTED_VALUE"""),6.0)</f>
        <v>6</v>
      </c>
      <c r="J132" s="88">
        <f>IFERROR(__xludf.DUMMYFUNCTION("""COMPUTED_VALUE"""),6.0)</f>
        <v>6</v>
      </c>
      <c r="K132" s="88">
        <f>IFERROR(__xludf.DUMMYFUNCTION("""COMPUTED_VALUE"""),12.0)</f>
        <v>12</v>
      </c>
      <c r="L132" s="88">
        <f>IFERROR(__xludf.DUMMYFUNCTION("""COMPUTED_VALUE"""),1.0)</f>
        <v>1</v>
      </c>
      <c r="M132" s="89">
        <f>IFERROR(__xludf.DUMMYFUNCTION("""COMPUTED_VALUE"""),224.0)</f>
        <v>224</v>
      </c>
      <c r="N132" s="89">
        <f>IFERROR(__xludf.DUMMYFUNCTION("""COMPUTED_VALUE"""),20.0)</f>
        <v>20</v>
      </c>
    </row>
    <row r="133">
      <c r="A133" s="11"/>
      <c r="B133" s="82" t="str">
        <f>IFERROR(__xludf.DUMMYFUNCTION("""COMPUTED_VALUE"""),"Lam Bui")</f>
        <v>Lam Bui</v>
      </c>
      <c r="C133" s="87">
        <f>IFERROR(__xludf.DUMMYFUNCTION("""COMPUTED_VALUE"""),212.0)</f>
        <v>212</v>
      </c>
      <c r="D133" s="87">
        <f>IFERROR(__xludf.DUMMYFUNCTION("""COMPUTED_VALUE"""),19.0)</f>
        <v>19</v>
      </c>
      <c r="E133" s="86">
        <f>IFERROR(__xludf.DUMMYFUNCTION("""COMPUTED_VALUE"""),2.0)</f>
        <v>2</v>
      </c>
      <c r="F133" s="88">
        <f>IFERROR(__xludf.DUMMYFUNCTION("""COMPUTED_VALUE"""),1.0)</f>
        <v>1</v>
      </c>
      <c r="G133" s="88">
        <f>IFERROR(__xludf.DUMMYFUNCTION("""COMPUTED_VALUE"""),0.0)</f>
        <v>0</v>
      </c>
      <c r="H133" s="88">
        <f>IFERROR(__xludf.DUMMYFUNCTION("""COMPUTED_VALUE"""),6.0)</f>
        <v>6</v>
      </c>
      <c r="I133" s="88">
        <f>IFERROR(__xludf.DUMMYFUNCTION("""COMPUTED_VALUE"""),6.0)</f>
        <v>6</v>
      </c>
      <c r="J133" s="88">
        <f>IFERROR(__xludf.DUMMYFUNCTION("""COMPUTED_VALUE"""),2.0)</f>
        <v>2</v>
      </c>
      <c r="K133" s="88">
        <f>IFERROR(__xludf.DUMMYFUNCTION("""COMPUTED_VALUE"""),14.0)</f>
        <v>14</v>
      </c>
      <c r="L133" s="88">
        <f>IFERROR(__xludf.DUMMYFUNCTION("""COMPUTED_VALUE"""),1.0)</f>
        <v>1</v>
      </c>
      <c r="M133" s="89">
        <f>IFERROR(__xludf.DUMMYFUNCTION("""COMPUTED_VALUE"""),226.0)</f>
        <v>226</v>
      </c>
      <c r="N133" s="89">
        <f>IFERROR(__xludf.DUMMYFUNCTION("""COMPUTED_VALUE"""),20.0)</f>
        <v>20</v>
      </c>
    </row>
    <row r="134">
      <c r="A134" s="11"/>
      <c r="B134" s="82" t="str">
        <f>IFERROR(__xludf.DUMMYFUNCTION("""COMPUTED_VALUE"""),"Arun Mallikarjuna")</f>
        <v>Arun Mallikarjuna</v>
      </c>
      <c r="C134" s="87">
        <f>IFERROR(__xludf.DUMMYFUNCTION("""COMPUTED_VALUE"""),210.0)</f>
        <v>210</v>
      </c>
      <c r="D134" s="87">
        <f>IFERROR(__xludf.DUMMYFUNCTION("""COMPUTED_VALUE"""),18.0)</f>
        <v>18</v>
      </c>
      <c r="E134" s="86">
        <f>IFERROR(__xludf.DUMMYFUNCTION("""COMPUTED_VALUE"""),1.0)</f>
        <v>1</v>
      </c>
      <c r="F134" s="88">
        <f>IFERROR(__xludf.DUMMYFUNCTION("""COMPUTED_VALUE"""),1.0)</f>
        <v>1</v>
      </c>
      <c r="G134" s="88">
        <f>IFERROR(__xludf.DUMMYFUNCTION("""COMPUTED_VALUE"""),0.0)</f>
        <v>0</v>
      </c>
      <c r="H134" s="88">
        <f>IFERROR(__xludf.DUMMYFUNCTION("""COMPUTED_VALUE"""),0.0)</f>
        <v>0</v>
      </c>
      <c r="I134" s="88">
        <f>IFERROR(__xludf.DUMMYFUNCTION("""COMPUTED_VALUE"""),7.0)</f>
        <v>7</v>
      </c>
      <c r="J134" s="88">
        <f>IFERROR(__xludf.DUMMYFUNCTION("""COMPUTED_VALUE"""),2.0)</f>
        <v>2</v>
      </c>
      <c r="K134" s="88">
        <f>IFERROR(__xludf.DUMMYFUNCTION("""COMPUTED_VALUE"""),9.0)</f>
        <v>9</v>
      </c>
      <c r="L134" s="88">
        <f>IFERROR(__xludf.DUMMYFUNCTION("""COMPUTED_VALUE"""),1.0)</f>
        <v>1</v>
      </c>
      <c r="M134" s="89">
        <f>IFERROR(__xludf.DUMMYFUNCTION("""COMPUTED_VALUE"""),219.0)</f>
        <v>219</v>
      </c>
      <c r="N134" s="89">
        <f>IFERROR(__xludf.DUMMYFUNCTION("""COMPUTED_VALUE"""),19.0)</f>
        <v>19</v>
      </c>
    </row>
    <row r="135">
      <c r="A135" s="11"/>
      <c r="B135" s="84" t="str">
        <f>IFERROR(__xludf.DUMMYFUNCTION("""COMPUTED_VALUE"""),"Alejandro Mejia")</f>
        <v>Alejandro Mejia</v>
      </c>
      <c r="C135" s="95">
        <f>IFERROR(__xludf.DUMMYFUNCTION("""COMPUTED_VALUE"""),208.0)</f>
        <v>208</v>
      </c>
      <c r="D135" s="95">
        <f>IFERROR(__xludf.DUMMYFUNCTION("""COMPUTED_VALUE"""),24.0)</f>
        <v>24</v>
      </c>
      <c r="E135" s="96">
        <f>IFERROR(__xludf.DUMMYFUNCTION("""COMPUTED_VALUE"""),1.0)</f>
        <v>1</v>
      </c>
      <c r="F135" s="97">
        <f>IFERROR(__xludf.DUMMYFUNCTION("""COMPUTED_VALUE"""),2.0)</f>
        <v>2</v>
      </c>
      <c r="G135" s="97">
        <f>IFERROR(__xludf.DUMMYFUNCTION("""COMPUTED_VALUE"""),0.0)</f>
        <v>0</v>
      </c>
      <c r="H135" s="97">
        <f>IFERROR(__xludf.DUMMYFUNCTION("""COMPUTED_VALUE"""),6.0)</f>
        <v>6</v>
      </c>
      <c r="I135" s="97">
        <f>IFERROR(__xludf.DUMMYFUNCTION("""COMPUTED_VALUE"""),6.0)</f>
        <v>6</v>
      </c>
      <c r="J135" s="97">
        <f>IFERROR(__xludf.DUMMYFUNCTION("""COMPUTED_VALUE"""),2.0)</f>
        <v>2</v>
      </c>
      <c r="K135" s="97">
        <f>IFERROR(__xludf.DUMMYFUNCTION("""COMPUTED_VALUE"""),14.0)</f>
        <v>14</v>
      </c>
      <c r="L135" s="97">
        <f>IFERROR(__xludf.DUMMYFUNCTION("""COMPUTED_VALUE"""),1.0)</f>
        <v>1</v>
      </c>
      <c r="M135" s="98">
        <f>IFERROR(__xludf.DUMMYFUNCTION("""COMPUTED_VALUE"""),222.0)</f>
        <v>222</v>
      </c>
      <c r="N135" s="98">
        <f>IFERROR(__xludf.DUMMYFUNCTION("""COMPUTED_VALUE"""),25.0)</f>
        <v>25</v>
      </c>
    </row>
    <row r="136">
      <c r="A136" s="11"/>
      <c r="B136" s="84" t="str">
        <f>IFERROR(__xludf.DUMMYFUNCTION("""COMPUTED_VALUE"""),"Suleman Alidina")</f>
        <v>Suleman Alidina</v>
      </c>
      <c r="C136" s="95">
        <f>IFERROR(__xludf.DUMMYFUNCTION("""COMPUTED_VALUE"""),207.0)</f>
        <v>207</v>
      </c>
      <c r="D136" s="95">
        <f>IFERROR(__xludf.DUMMYFUNCTION("""COMPUTED_VALUE"""),21.0)</f>
        <v>21</v>
      </c>
      <c r="E136" s="96">
        <f>IFERROR(__xludf.DUMMYFUNCTION("""COMPUTED_VALUE"""),2.0)</f>
        <v>2</v>
      </c>
      <c r="F136" s="97">
        <f>IFERROR(__xludf.DUMMYFUNCTION("""COMPUTED_VALUE"""),2.0)</f>
        <v>2</v>
      </c>
      <c r="G136" s="97">
        <f>IFERROR(__xludf.DUMMYFUNCTION("""COMPUTED_VALUE"""),0.0)</f>
        <v>0</v>
      </c>
      <c r="H136" s="97">
        <f>IFERROR(__xludf.DUMMYFUNCTION("""COMPUTED_VALUE"""),7.0)</f>
        <v>7</v>
      </c>
      <c r="I136" s="97">
        <f>IFERROR(__xludf.DUMMYFUNCTION("""COMPUTED_VALUE"""),6.0)</f>
        <v>6</v>
      </c>
      <c r="J136" s="97">
        <f>IFERROR(__xludf.DUMMYFUNCTION("""COMPUTED_VALUE"""),6.0)</f>
        <v>6</v>
      </c>
      <c r="K136" s="97">
        <f>IFERROR(__xludf.DUMMYFUNCTION("""COMPUTED_VALUE"""),19.0)</f>
        <v>19</v>
      </c>
      <c r="L136" s="97">
        <f>IFERROR(__xludf.DUMMYFUNCTION("""COMPUTED_VALUE"""),3.0)</f>
        <v>3</v>
      </c>
      <c r="M136" s="98">
        <f>IFERROR(__xludf.DUMMYFUNCTION("""COMPUTED_VALUE"""),226.0)</f>
        <v>226</v>
      </c>
      <c r="N136" s="98">
        <f>IFERROR(__xludf.DUMMYFUNCTION("""COMPUTED_VALUE"""),24.0)</f>
        <v>24</v>
      </c>
    </row>
    <row r="137">
      <c r="A137" s="11"/>
      <c r="B137" s="84" t="str">
        <f>IFERROR(__xludf.DUMMYFUNCTION("""COMPUTED_VALUE"""),"Rajasekar Ramasamy")</f>
        <v>Rajasekar Ramasamy</v>
      </c>
      <c r="C137" s="95">
        <f>IFERROR(__xludf.DUMMYFUNCTION("""COMPUTED_VALUE"""),206.0)</f>
        <v>206</v>
      </c>
      <c r="D137" s="95">
        <f>IFERROR(__xludf.DUMMYFUNCTION("""COMPUTED_VALUE"""),17.0)</f>
        <v>17</v>
      </c>
      <c r="E137" s="96">
        <f>IFERROR(__xludf.DUMMYFUNCTION("""COMPUTED_VALUE"""),1.0)</f>
        <v>1</v>
      </c>
      <c r="F137" s="97">
        <f>IFERROR(__xludf.DUMMYFUNCTION("""COMPUTED_VALUE"""),2.0)</f>
        <v>2</v>
      </c>
      <c r="G137" s="97">
        <f>IFERROR(__xludf.DUMMYFUNCTION("""COMPUTED_VALUE"""),0.0)</f>
        <v>0</v>
      </c>
      <c r="H137" s="97">
        <f>IFERROR(__xludf.DUMMYFUNCTION("""COMPUTED_VALUE"""),7.0)</f>
        <v>7</v>
      </c>
      <c r="I137" s="97">
        <f>IFERROR(__xludf.DUMMYFUNCTION("""COMPUTED_VALUE"""),1.0)</f>
        <v>1</v>
      </c>
      <c r="J137" s="97">
        <f>IFERROR(__xludf.DUMMYFUNCTION("""COMPUTED_VALUE"""),2.0)</f>
        <v>2</v>
      </c>
      <c r="K137" s="97">
        <f>IFERROR(__xludf.DUMMYFUNCTION("""COMPUTED_VALUE"""),10.0)</f>
        <v>10</v>
      </c>
      <c r="L137" s="97">
        <f>IFERROR(__xludf.DUMMYFUNCTION("""COMPUTED_VALUE"""),1.0)</f>
        <v>1</v>
      </c>
      <c r="M137" s="98">
        <f>IFERROR(__xludf.DUMMYFUNCTION("""COMPUTED_VALUE"""),216.0)</f>
        <v>216</v>
      </c>
      <c r="N137" s="98">
        <f>IFERROR(__xludf.DUMMYFUNCTION("""COMPUTED_VALUE"""),18.0)</f>
        <v>18</v>
      </c>
    </row>
    <row r="138">
      <c r="A138" s="11"/>
      <c r="B138" s="84" t="str">
        <f>IFERROR(__xludf.DUMMYFUNCTION("""COMPUTED_VALUE"""),"James Phan")</f>
        <v>James Phan</v>
      </c>
      <c r="C138" s="95">
        <f>IFERROR(__xludf.DUMMYFUNCTION("""COMPUTED_VALUE"""),205.0)</f>
        <v>205</v>
      </c>
      <c r="D138" s="95">
        <f>IFERROR(__xludf.DUMMYFUNCTION("""COMPUTED_VALUE"""),17.0)</f>
        <v>17</v>
      </c>
      <c r="E138" s="96">
        <f>IFERROR(__xludf.DUMMYFUNCTION("""COMPUTED_VALUE"""),1.0)</f>
        <v>1</v>
      </c>
      <c r="F138" s="97">
        <f>IFERROR(__xludf.DUMMYFUNCTION("""COMPUTED_VALUE"""),2.0)</f>
        <v>2</v>
      </c>
      <c r="G138" s="97">
        <f>IFERROR(__xludf.DUMMYFUNCTION("""COMPUTED_VALUE"""),0.0)</f>
        <v>0</v>
      </c>
      <c r="H138" s="97">
        <f>IFERROR(__xludf.DUMMYFUNCTION("""COMPUTED_VALUE"""),6.0)</f>
        <v>6</v>
      </c>
      <c r="I138" s="97">
        <f>IFERROR(__xludf.DUMMYFUNCTION("""COMPUTED_VALUE"""),1.0)</f>
        <v>1</v>
      </c>
      <c r="J138" s="97">
        <f>IFERROR(__xludf.DUMMYFUNCTION("""COMPUTED_VALUE"""),6.0)</f>
        <v>6</v>
      </c>
      <c r="K138" s="97">
        <f>IFERROR(__xludf.DUMMYFUNCTION("""COMPUTED_VALUE"""),13.0)</f>
        <v>13</v>
      </c>
      <c r="L138" s="97">
        <f>IFERROR(__xludf.DUMMYFUNCTION("""COMPUTED_VALUE"""),1.0)</f>
        <v>1</v>
      </c>
      <c r="M138" s="98">
        <f>IFERROR(__xludf.DUMMYFUNCTION("""COMPUTED_VALUE"""),218.0)</f>
        <v>218</v>
      </c>
      <c r="N138" s="98">
        <f>IFERROR(__xludf.DUMMYFUNCTION("""COMPUTED_VALUE"""),18.0)</f>
        <v>18</v>
      </c>
    </row>
    <row r="139">
      <c r="A139" s="11"/>
      <c r="B139" s="84" t="str">
        <f>IFERROR(__xludf.DUMMYFUNCTION("""COMPUTED_VALUE"""),"Joe Luzzi")</f>
        <v>Joe Luzzi</v>
      </c>
      <c r="C139" s="87">
        <f>IFERROR(__xludf.DUMMYFUNCTION("""COMPUTED_VALUE"""),205.0)</f>
        <v>205</v>
      </c>
      <c r="D139" s="87">
        <f>IFERROR(__xludf.DUMMYFUNCTION("""COMPUTED_VALUE"""),14.0)</f>
        <v>14</v>
      </c>
      <c r="E139" s="86">
        <f>IFERROR(__xludf.DUMMYFUNCTION("""COMPUTED_VALUE"""),2.0)</f>
        <v>2</v>
      </c>
      <c r="F139" s="88">
        <f>IFERROR(__xludf.DUMMYFUNCTION("""COMPUTED_VALUE"""),3.0)</f>
        <v>3</v>
      </c>
      <c r="G139" s="88">
        <f>IFERROR(__xludf.DUMMYFUNCTION("""COMPUTED_VALUE"""),0.0)</f>
        <v>0</v>
      </c>
      <c r="H139" s="88">
        <f>IFERROR(__xludf.DUMMYFUNCTION("""COMPUTED_VALUE"""),6.0)</f>
        <v>6</v>
      </c>
      <c r="I139" s="88">
        <f>IFERROR(__xludf.DUMMYFUNCTION("""COMPUTED_VALUE"""),4.0)</f>
        <v>4</v>
      </c>
      <c r="J139" s="88">
        <f>IFERROR(__xludf.DUMMYFUNCTION("""COMPUTED_VALUE"""),7.0)</f>
        <v>7</v>
      </c>
      <c r="K139" s="88">
        <f>IFERROR(__xludf.DUMMYFUNCTION("""COMPUTED_VALUE"""),17.0)</f>
        <v>17</v>
      </c>
      <c r="L139" s="88">
        <f>IFERROR(__xludf.DUMMYFUNCTION("""COMPUTED_VALUE"""),2.0)</f>
        <v>2</v>
      </c>
      <c r="M139" s="89">
        <f>IFERROR(__xludf.DUMMYFUNCTION("""COMPUTED_VALUE"""),222.0)</f>
        <v>222</v>
      </c>
      <c r="N139" s="89">
        <f>IFERROR(__xludf.DUMMYFUNCTION("""COMPUTED_VALUE"""),16.0)</f>
        <v>16</v>
      </c>
    </row>
    <row r="140">
      <c r="A140" s="11"/>
      <c r="B140" s="84" t="str">
        <f>IFERROR(__xludf.DUMMYFUNCTION("""COMPUTED_VALUE"""),"Herman Au")</f>
        <v>Herman Au</v>
      </c>
      <c r="C140" s="87">
        <f>IFERROR(__xludf.DUMMYFUNCTION("""COMPUTED_VALUE"""),203.0)</f>
        <v>203</v>
      </c>
      <c r="D140" s="87">
        <f>IFERROR(__xludf.DUMMYFUNCTION("""COMPUTED_VALUE"""),14.0)</f>
        <v>14</v>
      </c>
      <c r="E140" s="86">
        <f>IFERROR(__xludf.DUMMYFUNCTION("""COMPUTED_VALUE"""),1.0)</f>
        <v>1</v>
      </c>
      <c r="F140" s="88">
        <f>IFERROR(__xludf.DUMMYFUNCTION("""COMPUTED_VALUE"""),3.0)</f>
        <v>3</v>
      </c>
      <c r="G140" s="88">
        <f>IFERROR(__xludf.DUMMYFUNCTION("""COMPUTED_VALUE"""),0.0)</f>
        <v>0</v>
      </c>
      <c r="H140" s="88">
        <f>IFERROR(__xludf.DUMMYFUNCTION("""COMPUTED_VALUE"""),2.0)</f>
        <v>2</v>
      </c>
      <c r="I140" s="88">
        <f>IFERROR(__xludf.DUMMYFUNCTION("""COMPUTED_VALUE"""),6.0)</f>
        <v>6</v>
      </c>
      <c r="J140" s="88">
        <f>IFERROR(__xludf.DUMMYFUNCTION("""COMPUTED_VALUE"""),7.0)</f>
        <v>7</v>
      </c>
      <c r="K140" s="88">
        <f>IFERROR(__xludf.DUMMYFUNCTION("""COMPUTED_VALUE"""),15.0)</f>
        <v>15</v>
      </c>
      <c r="L140" s="88">
        <f>IFERROR(__xludf.DUMMYFUNCTION("""COMPUTED_VALUE"""),2.0)</f>
        <v>2</v>
      </c>
      <c r="M140" s="89">
        <f>IFERROR(__xludf.DUMMYFUNCTION("""COMPUTED_VALUE"""),218.0)</f>
        <v>218</v>
      </c>
      <c r="N140" s="89">
        <f>IFERROR(__xludf.DUMMYFUNCTION("""COMPUTED_VALUE"""),16.0)</f>
        <v>16</v>
      </c>
    </row>
    <row r="141">
      <c r="A141" s="11"/>
      <c r="B141" s="82" t="str">
        <f>IFERROR(__xludf.DUMMYFUNCTION("""COMPUTED_VALUE"""),"Frank Moon")</f>
        <v>Frank Moon</v>
      </c>
      <c r="C141" s="87">
        <f>IFERROR(__xludf.DUMMYFUNCTION("""COMPUTED_VALUE"""),202.0)</f>
        <v>202</v>
      </c>
      <c r="D141" s="87">
        <f>IFERROR(__xludf.DUMMYFUNCTION("""COMPUTED_VALUE"""),18.0)</f>
        <v>18</v>
      </c>
      <c r="E141" s="86">
        <f>IFERROR(__xludf.DUMMYFUNCTION("""COMPUTED_VALUE"""),1.0)</f>
        <v>1</v>
      </c>
      <c r="F141" s="88">
        <f>IFERROR(__xludf.DUMMYFUNCTION("""COMPUTED_VALUE"""),3.0)</f>
        <v>3</v>
      </c>
      <c r="G141" s="88">
        <f>IFERROR(__xludf.DUMMYFUNCTION("""COMPUTED_VALUE"""),0.0)</f>
        <v>0</v>
      </c>
      <c r="H141" s="88">
        <f>IFERROR(__xludf.DUMMYFUNCTION("""COMPUTED_VALUE"""),6.0)</f>
        <v>6</v>
      </c>
      <c r="I141" s="88">
        <f>IFERROR(__xludf.DUMMYFUNCTION("""COMPUTED_VALUE"""),6.0)</f>
        <v>6</v>
      </c>
      <c r="J141" s="88">
        <f>IFERROR(__xludf.DUMMYFUNCTION("""COMPUTED_VALUE"""),5.0)</f>
        <v>5</v>
      </c>
      <c r="K141" s="88">
        <f>IFERROR(__xludf.DUMMYFUNCTION("""COMPUTED_VALUE"""),17.0)</f>
        <v>17</v>
      </c>
      <c r="L141" s="88">
        <f>IFERROR(__xludf.DUMMYFUNCTION("""COMPUTED_VALUE"""),2.0)</f>
        <v>2</v>
      </c>
      <c r="M141" s="89">
        <f>IFERROR(__xludf.DUMMYFUNCTION("""COMPUTED_VALUE"""),219.0)</f>
        <v>219</v>
      </c>
      <c r="N141" s="89">
        <f>IFERROR(__xludf.DUMMYFUNCTION("""COMPUTED_VALUE"""),20.0)</f>
        <v>20</v>
      </c>
    </row>
    <row r="142">
      <c r="A142" s="11"/>
      <c r="B142" s="82" t="str">
        <f>IFERROR(__xludf.DUMMYFUNCTION("""COMPUTED_VALUE"""),"Alex Hou")</f>
        <v>Alex Hou</v>
      </c>
      <c r="C142" s="87">
        <f>IFERROR(__xludf.DUMMYFUNCTION("""COMPUTED_VALUE"""),201.0)</f>
        <v>201</v>
      </c>
      <c r="D142" s="87">
        <f>IFERROR(__xludf.DUMMYFUNCTION("""COMPUTED_VALUE"""),17.0)</f>
        <v>17</v>
      </c>
      <c r="E142" s="86">
        <f>IFERROR(__xludf.DUMMYFUNCTION("""COMPUTED_VALUE"""),1.0)</f>
        <v>1</v>
      </c>
      <c r="F142" s="88">
        <f>IFERROR(__xludf.DUMMYFUNCTION("""COMPUTED_VALUE"""),3.0)</f>
        <v>3</v>
      </c>
      <c r="G142" s="88">
        <f>IFERROR(__xludf.DUMMYFUNCTION("""COMPUTED_VALUE"""),0.0)</f>
        <v>0</v>
      </c>
      <c r="H142" s="88">
        <f>IFERROR(__xludf.DUMMYFUNCTION("""COMPUTED_VALUE"""),2.0)</f>
        <v>2</v>
      </c>
      <c r="I142" s="88">
        <f>IFERROR(__xludf.DUMMYFUNCTION("""COMPUTED_VALUE"""),4.0)</f>
        <v>4</v>
      </c>
      <c r="J142" s="88">
        <f>IFERROR(__xludf.DUMMYFUNCTION("""COMPUTED_VALUE"""),5.0)</f>
        <v>5</v>
      </c>
      <c r="K142" s="88">
        <f>IFERROR(__xludf.DUMMYFUNCTION("""COMPUTED_VALUE"""),11.0)</f>
        <v>11</v>
      </c>
      <c r="L142" s="88">
        <f>IFERROR(__xludf.DUMMYFUNCTION("""COMPUTED_VALUE"""),0.0)</f>
        <v>0</v>
      </c>
      <c r="M142" s="89">
        <f>IFERROR(__xludf.DUMMYFUNCTION("""COMPUTED_VALUE"""),212.0)</f>
        <v>212</v>
      </c>
      <c r="N142" s="89">
        <f>IFERROR(__xludf.DUMMYFUNCTION("""COMPUTED_VALUE"""),17.0)</f>
        <v>17</v>
      </c>
    </row>
    <row r="143">
      <c r="A143" s="11"/>
      <c r="B143" s="84" t="str">
        <f>IFERROR(__xludf.DUMMYFUNCTION("""COMPUTED_VALUE"""),"Scott Li")</f>
        <v>Scott Li</v>
      </c>
      <c r="C143" s="95">
        <f>IFERROR(__xludf.DUMMYFUNCTION("""COMPUTED_VALUE"""),200.0)</f>
        <v>200</v>
      </c>
      <c r="D143" s="95">
        <f>IFERROR(__xludf.DUMMYFUNCTION("""COMPUTED_VALUE"""),16.0)</f>
        <v>16</v>
      </c>
      <c r="E143" s="96">
        <f>IFERROR(__xludf.DUMMYFUNCTION("""COMPUTED_VALUE"""),1.0)</f>
        <v>1</v>
      </c>
      <c r="F143" s="97">
        <f>IFERROR(__xludf.DUMMYFUNCTION("""COMPUTED_VALUE"""),4.0)</f>
        <v>4</v>
      </c>
      <c r="G143" s="97">
        <f>IFERROR(__xludf.DUMMYFUNCTION("""COMPUTED_VALUE"""),0.0)</f>
        <v>0</v>
      </c>
      <c r="H143" s="97">
        <f>IFERROR(__xludf.DUMMYFUNCTION("""COMPUTED_VALUE"""),3.0)</f>
        <v>3</v>
      </c>
      <c r="I143" s="97">
        <f>IFERROR(__xludf.DUMMYFUNCTION("""COMPUTED_VALUE"""),6.0)</f>
        <v>6</v>
      </c>
      <c r="J143" s="97">
        <f>IFERROR(__xludf.DUMMYFUNCTION("""COMPUTED_VALUE"""),4.0)</f>
        <v>4</v>
      </c>
      <c r="K143" s="97">
        <f>IFERROR(__xludf.DUMMYFUNCTION("""COMPUTED_VALUE"""),13.0)</f>
        <v>13</v>
      </c>
      <c r="L143" s="97"/>
      <c r="M143" s="98">
        <f>IFERROR(__xludf.DUMMYFUNCTION("""COMPUTED_VALUE"""),213.0)</f>
        <v>213</v>
      </c>
      <c r="N143" s="98">
        <f>IFERROR(__xludf.DUMMYFUNCTION("""COMPUTED_VALUE"""),16.0)</f>
        <v>16</v>
      </c>
    </row>
    <row r="144">
      <c r="A144" s="11"/>
      <c r="B144" s="84" t="str">
        <f>IFERROR(__xludf.DUMMYFUNCTION("""COMPUTED_VALUE"""),"Sean Chang")</f>
        <v>Sean Chang</v>
      </c>
      <c r="C144" s="95">
        <f>IFERROR(__xludf.DUMMYFUNCTION("""COMPUTED_VALUE"""),199.0)</f>
        <v>199</v>
      </c>
      <c r="D144" s="95">
        <f>IFERROR(__xludf.DUMMYFUNCTION("""COMPUTED_VALUE"""),15.0)</f>
        <v>15</v>
      </c>
      <c r="E144" s="96">
        <f>IFERROR(__xludf.DUMMYFUNCTION("""COMPUTED_VALUE"""),2.0)</f>
        <v>2</v>
      </c>
      <c r="F144" s="97">
        <f>IFERROR(__xludf.DUMMYFUNCTION("""COMPUTED_VALUE"""),4.0)</f>
        <v>4</v>
      </c>
      <c r="G144" s="97">
        <f>IFERROR(__xludf.DUMMYFUNCTION("""COMPUTED_VALUE"""),0.0)</f>
        <v>0</v>
      </c>
      <c r="H144" s="97">
        <f>IFERROR(__xludf.DUMMYFUNCTION("""COMPUTED_VALUE"""),6.0)</f>
        <v>6</v>
      </c>
      <c r="I144" s="97">
        <f>IFERROR(__xludf.DUMMYFUNCTION("""COMPUTED_VALUE"""),7.0)</f>
        <v>7</v>
      </c>
      <c r="J144" s="97">
        <f>IFERROR(__xludf.DUMMYFUNCTION("""COMPUTED_VALUE"""),4.0)</f>
        <v>4</v>
      </c>
      <c r="K144" s="97">
        <f>IFERROR(__xludf.DUMMYFUNCTION("""COMPUTED_VALUE"""),17.0)</f>
        <v>17</v>
      </c>
      <c r="L144" s="97">
        <f>IFERROR(__xludf.DUMMYFUNCTION("""COMPUTED_VALUE"""),2.0)</f>
        <v>2</v>
      </c>
      <c r="M144" s="98">
        <f>IFERROR(__xludf.DUMMYFUNCTION("""COMPUTED_VALUE"""),216.0)</f>
        <v>216</v>
      </c>
      <c r="N144" s="98">
        <f>IFERROR(__xludf.DUMMYFUNCTION("""COMPUTED_VALUE"""),17.0)</f>
        <v>17</v>
      </c>
    </row>
    <row r="145">
      <c r="A145" s="11"/>
      <c r="B145" s="84" t="str">
        <f>IFERROR(__xludf.DUMMYFUNCTION("""COMPUTED_VALUE"""),"Cid Macaraeg")</f>
        <v>Cid Macaraeg</v>
      </c>
      <c r="C145" s="95">
        <f>IFERROR(__xludf.DUMMYFUNCTION("""COMPUTED_VALUE"""),196.0)</f>
        <v>196</v>
      </c>
      <c r="D145" s="95">
        <f>IFERROR(__xludf.DUMMYFUNCTION("""COMPUTED_VALUE"""),14.0)</f>
        <v>14</v>
      </c>
      <c r="E145" s="96">
        <f>IFERROR(__xludf.DUMMYFUNCTION("""COMPUTED_VALUE"""),2.0)</f>
        <v>2</v>
      </c>
      <c r="F145" s="97">
        <f>IFERROR(__xludf.DUMMYFUNCTION("""COMPUTED_VALUE"""),4.0)</f>
        <v>4</v>
      </c>
      <c r="G145" s="97">
        <f>IFERROR(__xludf.DUMMYFUNCTION("""COMPUTED_VALUE"""),0.0)</f>
        <v>0</v>
      </c>
      <c r="H145" s="97">
        <f>IFERROR(__xludf.DUMMYFUNCTION("""COMPUTED_VALUE"""),3.0)</f>
        <v>3</v>
      </c>
      <c r="I145" s="97">
        <f>IFERROR(__xludf.DUMMYFUNCTION("""COMPUTED_VALUE"""),7.0)</f>
        <v>7</v>
      </c>
      <c r="J145" s="97">
        <f>IFERROR(__xludf.DUMMYFUNCTION("""COMPUTED_VALUE"""),6.0)</f>
        <v>6</v>
      </c>
      <c r="K145" s="97">
        <f>IFERROR(__xludf.DUMMYFUNCTION("""COMPUTED_VALUE"""),16.0)</f>
        <v>16</v>
      </c>
      <c r="L145" s="97">
        <f>IFERROR(__xludf.DUMMYFUNCTION("""COMPUTED_VALUE"""),2.0)</f>
        <v>2</v>
      </c>
      <c r="M145" s="98">
        <f>IFERROR(__xludf.DUMMYFUNCTION("""COMPUTED_VALUE"""),212.0)</f>
        <v>212</v>
      </c>
      <c r="N145" s="98">
        <f>IFERROR(__xludf.DUMMYFUNCTION("""COMPUTED_VALUE"""),16.0)</f>
        <v>16</v>
      </c>
    </row>
    <row r="146">
      <c r="A146" s="11"/>
      <c r="B146" s="84" t="str">
        <f>IFERROR(__xludf.DUMMYFUNCTION("""COMPUTED_VALUE"""),"Troy Wong")</f>
        <v>Troy Wong</v>
      </c>
      <c r="C146" s="95">
        <f>IFERROR(__xludf.DUMMYFUNCTION("""COMPUTED_VALUE"""),195.0)</f>
        <v>195</v>
      </c>
      <c r="D146" s="95">
        <f>IFERROR(__xludf.DUMMYFUNCTION("""COMPUTED_VALUE"""),11.0)</f>
        <v>11</v>
      </c>
      <c r="E146" s="96">
        <f>IFERROR(__xludf.DUMMYFUNCTION("""COMPUTED_VALUE"""),1.0)</f>
        <v>1</v>
      </c>
      <c r="F146" s="97">
        <f>IFERROR(__xludf.DUMMYFUNCTION("""COMPUTED_VALUE"""),4.0)</f>
        <v>4</v>
      </c>
      <c r="G146" s="97">
        <f>IFERROR(__xludf.DUMMYFUNCTION("""COMPUTED_VALUE"""),0.0)</f>
        <v>0</v>
      </c>
      <c r="H146" s="97">
        <f>IFERROR(__xludf.DUMMYFUNCTION("""COMPUTED_VALUE"""),6.0)</f>
        <v>6</v>
      </c>
      <c r="I146" s="97">
        <f>IFERROR(__xludf.DUMMYFUNCTION("""COMPUTED_VALUE"""),6.0)</f>
        <v>6</v>
      </c>
      <c r="J146" s="97">
        <f>IFERROR(__xludf.DUMMYFUNCTION("""COMPUTED_VALUE"""),6.0)</f>
        <v>6</v>
      </c>
      <c r="K146" s="97">
        <f>IFERROR(__xludf.DUMMYFUNCTION("""COMPUTED_VALUE"""),18.0)</f>
        <v>18</v>
      </c>
      <c r="L146" s="97">
        <f>IFERROR(__xludf.DUMMYFUNCTION("""COMPUTED_VALUE"""),2.0)</f>
        <v>2</v>
      </c>
      <c r="M146" s="98">
        <f>IFERROR(__xludf.DUMMYFUNCTION("""COMPUTED_VALUE"""),213.0)</f>
        <v>213</v>
      </c>
      <c r="N146" s="98">
        <f>IFERROR(__xludf.DUMMYFUNCTION("""COMPUTED_VALUE"""),13.0)</f>
        <v>13</v>
      </c>
    </row>
    <row r="147">
      <c r="A147" s="11"/>
      <c r="B147" s="82" t="str">
        <f>IFERROR(__xludf.DUMMYFUNCTION("""COMPUTED_VALUE"""),"Erik Hoeckmann")</f>
        <v>Erik Hoeckmann</v>
      </c>
      <c r="C147" s="87">
        <f>IFERROR(__xludf.DUMMYFUNCTION("""COMPUTED_VALUE"""),192.0)</f>
        <v>192</v>
      </c>
      <c r="D147" s="87">
        <f>IFERROR(__xludf.DUMMYFUNCTION("""COMPUTED_VALUE"""),15.0)</f>
        <v>15</v>
      </c>
      <c r="E147" s="86">
        <f>IFERROR(__xludf.DUMMYFUNCTION("""COMPUTED_VALUE"""),1.0)</f>
        <v>1</v>
      </c>
      <c r="F147" s="88">
        <f>IFERROR(__xludf.DUMMYFUNCTION("""COMPUTED_VALUE"""),5.0)</f>
        <v>5</v>
      </c>
      <c r="G147" s="88">
        <f>IFERROR(__xludf.DUMMYFUNCTION("""COMPUTED_VALUE"""),0.0)</f>
        <v>0</v>
      </c>
      <c r="H147" s="88">
        <f>IFERROR(__xludf.DUMMYFUNCTION("""COMPUTED_VALUE"""),6.0)</f>
        <v>6</v>
      </c>
      <c r="I147" s="88">
        <f>IFERROR(__xludf.DUMMYFUNCTION("""COMPUTED_VALUE"""),5.0)</f>
        <v>5</v>
      </c>
      <c r="J147" s="88">
        <f>IFERROR(__xludf.DUMMYFUNCTION("""COMPUTED_VALUE"""),3.0)</f>
        <v>3</v>
      </c>
      <c r="K147" s="88">
        <f>IFERROR(__xludf.DUMMYFUNCTION("""COMPUTED_VALUE"""),14.0)</f>
        <v>14</v>
      </c>
      <c r="L147" s="88">
        <f>IFERROR(__xludf.DUMMYFUNCTION("""COMPUTED_VALUE"""),1.0)</f>
        <v>1</v>
      </c>
      <c r="M147" s="89">
        <f>IFERROR(__xludf.DUMMYFUNCTION("""COMPUTED_VALUE"""),206.0)</f>
        <v>206</v>
      </c>
      <c r="N147" s="89">
        <f>IFERROR(__xludf.DUMMYFUNCTION("""COMPUTED_VALUE"""),16.0)</f>
        <v>16</v>
      </c>
    </row>
    <row r="148">
      <c r="A148" s="11"/>
      <c r="B148" s="82" t="str">
        <f>IFERROR(__xludf.DUMMYFUNCTION("""COMPUTED_VALUE"""),"Ramesh Bandaru")</f>
        <v>Ramesh Bandaru</v>
      </c>
      <c r="C148" s="87">
        <f>IFERROR(__xludf.DUMMYFUNCTION("""COMPUTED_VALUE"""),190.0)</f>
        <v>190</v>
      </c>
      <c r="D148" s="87">
        <f>IFERROR(__xludf.DUMMYFUNCTION("""COMPUTED_VALUE"""),13.0)</f>
        <v>13</v>
      </c>
      <c r="E148" s="86">
        <f>IFERROR(__xludf.DUMMYFUNCTION("""COMPUTED_VALUE"""),1.0)</f>
        <v>1</v>
      </c>
      <c r="F148" s="88">
        <f>IFERROR(__xludf.DUMMYFUNCTION("""COMPUTED_VALUE"""),5.0)</f>
        <v>5</v>
      </c>
      <c r="G148" s="88">
        <f>IFERROR(__xludf.DUMMYFUNCTION("""COMPUTED_VALUE"""),0.0)</f>
        <v>0</v>
      </c>
      <c r="H148" s="88">
        <f>IFERROR(__xludf.DUMMYFUNCTION("""COMPUTED_VALUE"""),4.0)</f>
        <v>4</v>
      </c>
      <c r="I148" s="88">
        <f>IFERROR(__xludf.DUMMYFUNCTION("""COMPUTED_VALUE"""),7.0)</f>
        <v>7</v>
      </c>
      <c r="J148" s="88">
        <f>IFERROR(__xludf.DUMMYFUNCTION("""COMPUTED_VALUE"""),3.0)</f>
        <v>3</v>
      </c>
      <c r="K148" s="88">
        <f>IFERROR(__xludf.DUMMYFUNCTION("""COMPUTED_VALUE"""),14.0)</f>
        <v>14</v>
      </c>
      <c r="L148" s="88">
        <f>IFERROR(__xludf.DUMMYFUNCTION("""COMPUTED_VALUE"""),1.0)</f>
        <v>1</v>
      </c>
      <c r="M148" s="89">
        <f>IFERROR(__xludf.DUMMYFUNCTION("""COMPUTED_VALUE"""),204.0)</f>
        <v>204</v>
      </c>
      <c r="N148" s="89">
        <f>IFERROR(__xludf.DUMMYFUNCTION("""COMPUTED_VALUE"""),14.0)</f>
        <v>14</v>
      </c>
    </row>
    <row r="149">
      <c r="A149" s="11"/>
      <c r="B149" s="82" t="str">
        <f>IFERROR(__xludf.DUMMYFUNCTION("""COMPUTED_VALUE"""),"Pulkit Mathur")</f>
        <v>Pulkit Mathur</v>
      </c>
      <c r="C149" s="87">
        <f>IFERROR(__xludf.DUMMYFUNCTION("""COMPUTED_VALUE"""),186.0)</f>
        <v>186</v>
      </c>
      <c r="D149" s="87">
        <f>IFERROR(__xludf.DUMMYFUNCTION("""COMPUTED_VALUE"""),13.0)</f>
        <v>13</v>
      </c>
      <c r="E149" s="86">
        <f>IFERROR(__xludf.DUMMYFUNCTION("""COMPUTED_VALUE"""),1.0)</f>
        <v>1</v>
      </c>
      <c r="F149" s="88">
        <f>IFERROR(__xludf.DUMMYFUNCTION("""COMPUTED_VALUE"""),5.0)</f>
        <v>5</v>
      </c>
      <c r="G149" s="88">
        <f>IFERROR(__xludf.DUMMYFUNCTION("""COMPUTED_VALUE"""),0.0)</f>
        <v>0</v>
      </c>
      <c r="H149" s="88">
        <f>IFERROR(__xludf.DUMMYFUNCTION("""COMPUTED_VALUE"""),6.0)</f>
        <v>6</v>
      </c>
      <c r="I149" s="88">
        <f>IFERROR(__xludf.DUMMYFUNCTION("""COMPUTED_VALUE"""),7.0)</f>
        <v>7</v>
      </c>
      <c r="J149" s="88">
        <f>IFERROR(__xludf.DUMMYFUNCTION("""COMPUTED_VALUE"""),6.0)</f>
        <v>6</v>
      </c>
      <c r="K149" s="88">
        <f>IFERROR(__xludf.DUMMYFUNCTION("""COMPUTED_VALUE"""),19.0)</f>
        <v>19</v>
      </c>
      <c r="L149" s="88">
        <f>IFERROR(__xludf.DUMMYFUNCTION("""COMPUTED_VALUE"""),3.0)</f>
        <v>3</v>
      </c>
      <c r="M149" s="89">
        <f>IFERROR(__xludf.DUMMYFUNCTION("""COMPUTED_VALUE"""),205.0)</f>
        <v>205</v>
      </c>
      <c r="N149" s="89">
        <f>IFERROR(__xludf.DUMMYFUNCTION("""COMPUTED_VALUE"""),16.0)</f>
        <v>16</v>
      </c>
    </row>
    <row r="150">
      <c r="A150" s="11"/>
      <c r="B150" s="82" t="str">
        <f>IFERROR(__xludf.DUMMYFUNCTION("""COMPUTED_VALUE"""),"Oscar Bonilla")</f>
        <v>Oscar Bonilla</v>
      </c>
      <c r="C150" s="87">
        <f>IFERROR(__xludf.DUMMYFUNCTION("""COMPUTED_VALUE"""),183.0)</f>
        <v>183</v>
      </c>
      <c r="D150" s="87">
        <f>IFERROR(__xludf.DUMMYFUNCTION("""COMPUTED_VALUE"""),9.0)</f>
        <v>9</v>
      </c>
      <c r="E150" s="86">
        <f>IFERROR(__xludf.DUMMYFUNCTION("""COMPUTED_VALUE"""),1.0)</f>
        <v>1</v>
      </c>
      <c r="F150" s="88">
        <f>IFERROR(__xludf.DUMMYFUNCTION("""COMPUTED_VALUE"""),5.0)</f>
        <v>5</v>
      </c>
      <c r="G150" s="88">
        <f>IFERROR(__xludf.DUMMYFUNCTION("""COMPUTED_VALUE"""),0.0)</f>
        <v>0</v>
      </c>
      <c r="H150" s="88">
        <f>IFERROR(__xludf.DUMMYFUNCTION("""COMPUTED_VALUE"""),4.0)</f>
        <v>4</v>
      </c>
      <c r="I150" s="88">
        <f>IFERROR(__xludf.DUMMYFUNCTION("""COMPUTED_VALUE"""),5.0)</f>
        <v>5</v>
      </c>
      <c r="J150" s="88">
        <f>IFERROR(__xludf.DUMMYFUNCTION("""COMPUTED_VALUE"""),6.0)</f>
        <v>6</v>
      </c>
      <c r="K150" s="88">
        <f>IFERROR(__xludf.DUMMYFUNCTION("""COMPUTED_VALUE"""),15.0)</f>
        <v>15</v>
      </c>
      <c r="L150" s="88">
        <f>IFERROR(__xludf.DUMMYFUNCTION("""COMPUTED_VALUE"""),1.0)</f>
        <v>1</v>
      </c>
      <c r="M150" s="89">
        <f>IFERROR(__xludf.DUMMYFUNCTION("""COMPUTED_VALUE"""),198.0)</f>
        <v>198</v>
      </c>
      <c r="N150" s="89">
        <f>IFERROR(__xludf.DUMMYFUNCTION("""COMPUTED_VALUE"""),10.0)</f>
        <v>10</v>
      </c>
    </row>
    <row r="151">
      <c r="A151" s="11"/>
      <c r="B151" s="84" t="str">
        <f>IFERROR(__xludf.DUMMYFUNCTION("""COMPUTED_VALUE"""),"Jim Miao")</f>
        <v>Jim Miao</v>
      </c>
      <c r="C151" s="95">
        <f>IFERROR(__xludf.DUMMYFUNCTION("""COMPUTED_VALUE"""),182.0)</f>
        <v>182</v>
      </c>
      <c r="D151" s="95">
        <f>IFERROR(__xludf.DUMMYFUNCTION("""COMPUTED_VALUE"""),13.0)</f>
        <v>13</v>
      </c>
      <c r="E151" s="96">
        <f>IFERROR(__xludf.DUMMYFUNCTION("""COMPUTED_VALUE"""),1.0)</f>
        <v>1</v>
      </c>
      <c r="F151" s="97">
        <f>IFERROR(__xludf.DUMMYFUNCTION("""COMPUTED_VALUE"""),6.0)</f>
        <v>6</v>
      </c>
      <c r="G151" s="97">
        <f>IFERROR(__xludf.DUMMYFUNCTION("""COMPUTED_VALUE"""),0.0)</f>
        <v>0</v>
      </c>
      <c r="H151" s="97">
        <f>IFERROR(__xludf.DUMMYFUNCTION("""COMPUTED_VALUE"""),3.0)</f>
        <v>3</v>
      </c>
      <c r="I151" s="97">
        <f>IFERROR(__xludf.DUMMYFUNCTION("""COMPUTED_VALUE"""),6.0)</f>
        <v>6</v>
      </c>
      <c r="J151" s="97">
        <f>IFERROR(__xludf.DUMMYFUNCTION("""COMPUTED_VALUE"""),6.0)</f>
        <v>6</v>
      </c>
      <c r="K151" s="97">
        <f>IFERROR(__xludf.DUMMYFUNCTION("""COMPUTED_VALUE"""),15.0)</f>
        <v>15</v>
      </c>
      <c r="L151" s="97">
        <f>IFERROR(__xludf.DUMMYFUNCTION("""COMPUTED_VALUE"""),2.0)</f>
        <v>2</v>
      </c>
      <c r="M151" s="98">
        <f>IFERROR(__xludf.DUMMYFUNCTION("""COMPUTED_VALUE"""),197.0)</f>
        <v>197</v>
      </c>
      <c r="N151" s="98">
        <f>IFERROR(__xludf.DUMMYFUNCTION("""COMPUTED_VALUE"""),15.0)</f>
        <v>15</v>
      </c>
    </row>
    <row r="152">
      <c r="A152" s="11"/>
      <c r="B152" s="84" t="str">
        <f>IFERROR(__xludf.DUMMYFUNCTION("""COMPUTED_VALUE"""),"Lloyd Sagar")</f>
        <v>Lloyd Sagar</v>
      </c>
      <c r="C152" s="95">
        <f>IFERROR(__xludf.DUMMYFUNCTION("""COMPUTED_VALUE"""),180.0)</f>
        <v>180</v>
      </c>
      <c r="D152" s="95">
        <f>IFERROR(__xludf.DUMMYFUNCTION("""COMPUTED_VALUE"""),11.0)</f>
        <v>11</v>
      </c>
      <c r="E152" s="96">
        <f>IFERROR(__xludf.DUMMYFUNCTION("""COMPUTED_VALUE"""),1.0)</f>
        <v>1</v>
      </c>
      <c r="F152" s="97">
        <f>IFERROR(__xludf.DUMMYFUNCTION("""COMPUTED_VALUE"""),6.0)</f>
        <v>6</v>
      </c>
      <c r="G152" s="97">
        <f>IFERROR(__xludf.DUMMYFUNCTION("""COMPUTED_VALUE"""),0.0)</f>
        <v>0</v>
      </c>
      <c r="H152" s="97">
        <f>IFERROR(__xludf.DUMMYFUNCTION("""COMPUTED_VALUE"""),6.0)</f>
        <v>6</v>
      </c>
      <c r="I152" s="97">
        <f>IFERROR(__xludf.DUMMYFUNCTION("""COMPUTED_VALUE"""),0.0)</f>
        <v>0</v>
      </c>
      <c r="J152" s="97">
        <f>IFERROR(__xludf.DUMMYFUNCTION("""COMPUTED_VALUE"""),6.0)</f>
        <v>6</v>
      </c>
      <c r="K152" s="97">
        <f>IFERROR(__xludf.DUMMYFUNCTION("""COMPUTED_VALUE"""),12.0)</f>
        <v>12</v>
      </c>
      <c r="L152" s="97">
        <f>IFERROR(__xludf.DUMMYFUNCTION("""COMPUTED_VALUE"""),2.0)</f>
        <v>2</v>
      </c>
      <c r="M152" s="98">
        <f>IFERROR(__xludf.DUMMYFUNCTION("""COMPUTED_VALUE"""),192.0)</f>
        <v>192</v>
      </c>
      <c r="N152" s="98">
        <f>IFERROR(__xludf.DUMMYFUNCTION("""COMPUTED_VALUE"""),13.0)</f>
        <v>13</v>
      </c>
    </row>
    <row r="153">
      <c r="A153" s="11"/>
      <c r="B153" s="84" t="str">
        <f>IFERROR(__xludf.DUMMYFUNCTION("""COMPUTED_VALUE"""),"Trish Newlin")</f>
        <v>Trish Newlin</v>
      </c>
      <c r="C153" s="95">
        <f>IFERROR(__xludf.DUMMYFUNCTION("""COMPUTED_VALUE"""),179.0)</f>
        <v>179</v>
      </c>
      <c r="D153" s="95">
        <f>IFERROR(__xludf.DUMMYFUNCTION("""COMPUTED_VALUE"""),8.0)</f>
        <v>8</v>
      </c>
      <c r="E153" s="96">
        <f>IFERROR(__xludf.DUMMYFUNCTION("""COMPUTED_VALUE"""),1.0)</f>
        <v>1</v>
      </c>
      <c r="F153" s="97">
        <f>IFERROR(__xludf.DUMMYFUNCTION("""COMPUTED_VALUE"""),6.0)</f>
        <v>6</v>
      </c>
      <c r="G153" s="97">
        <f>IFERROR(__xludf.DUMMYFUNCTION("""COMPUTED_VALUE"""),0.0)</f>
        <v>0</v>
      </c>
      <c r="H153" s="97">
        <f>IFERROR(__xludf.DUMMYFUNCTION("""COMPUTED_VALUE"""),3.0)</f>
        <v>3</v>
      </c>
      <c r="I153" s="97">
        <f>IFERROR(__xludf.DUMMYFUNCTION("""COMPUTED_VALUE"""),0.0)</f>
        <v>0</v>
      </c>
      <c r="J153" s="97">
        <f>IFERROR(__xludf.DUMMYFUNCTION("""COMPUTED_VALUE"""),0.0)</f>
        <v>0</v>
      </c>
      <c r="K153" s="97">
        <f>IFERROR(__xludf.DUMMYFUNCTION("""COMPUTED_VALUE"""),3.0)</f>
        <v>3</v>
      </c>
      <c r="L153" s="97">
        <f>IFERROR(__xludf.DUMMYFUNCTION("""COMPUTED_VALUE"""),0.0)</f>
        <v>0</v>
      </c>
      <c r="M153" s="98">
        <f>IFERROR(__xludf.DUMMYFUNCTION("""COMPUTED_VALUE"""),182.0)</f>
        <v>182</v>
      </c>
      <c r="N153" s="98">
        <f>IFERROR(__xludf.DUMMYFUNCTION("""COMPUTED_VALUE"""),8.0)</f>
        <v>8</v>
      </c>
    </row>
    <row r="154">
      <c r="A154" s="11"/>
      <c r="B154" s="84" t="str">
        <f>IFERROR(__xludf.DUMMYFUNCTION("""COMPUTED_VALUE"""),"Sanjaye Elayattu")</f>
        <v>Sanjaye Elayattu</v>
      </c>
      <c r="C154" s="95">
        <f>IFERROR(__xludf.DUMMYFUNCTION("""COMPUTED_VALUE"""),178.0)</f>
        <v>178</v>
      </c>
      <c r="D154" s="95">
        <f>IFERROR(__xludf.DUMMYFUNCTION("""COMPUTED_VALUE"""),10.0)</f>
        <v>10</v>
      </c>
      <c r="E154" s="96">
        <f>IFERROR(__xludf.DUMMYFUNCTION("""COMPUTED_VALUE"""),1.0)</f>
        <v>1</v>
      </c>
      <c r="F154" s="97">
        <f>IFERROR(__xludf.DUMMYFUNCTION("""COMPUTED_VALUE"""),6.0)</f>
        <v>6</v>
      </c>
      <c r="G154" s="97">
        <f>IFERROR(__xludf.DUMMYFUNCTION("""COMPUTED_VALUE"""),0.0)</f>
        <v>0</v>
      </c>
      <c r="H154" s="97">
        <f>IFERROR(__xludf.DUMMYFUNCTION("""COMPUTED_VALUE"""),6.0)</f>
        <v>6</v>
      </c>
      <c r="I154" s="97">
        <f>IFERROR(__xludf.DUMMYFUNCTION("""COMPUTED_VALUE"""),6.0)</f>
        <v>6</v>
      </c>
      <c r="J154" s="97">
        <f>IFERROR(__xludf.DUMMYFUNCTION("""COMPUTED_VALUE"""),0.0)</f>
        <v>0</v>
      </c>
      <c r="K154" s="97">
        <f>IFERROR(__xludf.DUMMYFUNCTION("""COMPUTED_VALUE"""),12.0)</f>
        <v>12</v>
      </c>
      <c r="L154" s="97">
        <f>IFERROR(__xludf.DUMMYFUNCTION("""COMPUTED_VALUE"""),2.0)</f>
        <v>2</v>
      </c>
      <c r="M154" s="98">
        <f>IFERROR(__xludf.DUMMYFUNCTION("""COMPUTED_VALUE"""),190.0)</f>
        <v>190</v>
      </c>
      <c r="N154" s="98">
        <f>IFERROR(__xludf.DUMMYFUNCTION("""COMPUTED_VALUE"""),12.0)</f>
        <v>12</v>
      </c>
    </row>
    <row r="155">
      <c r="A155" s="11"/>
      <c r="B155" s="82" t="str">
        <f>IFERROR(__xludf.DUMMYFUNCTION("""COMPUTED_VALUE"""),"Manuel Rivera")</f>
        <v>Manuel Rivera</v>
      </c>
      <c r="C155" s="87">
        <f>IFERROR(__xludf.DUMMYFUNCTION("""COMPUTED_VALUE"""),178.0)</f>
        <v>178</v>
      </c>
      <c r="D155" s="87">
        <f>IFERROR(__xludf.DUMMYFUNCTION("""COMPUTED_VALUE"""),9.0)</f>
        <v>9</v>
      </c>
      <c r="E155" s="86">
        <f>IFERROR(__xludf.DUMMYFUNCTION("""COMPUTED_VALUE"""),2.0)</f>
        <v>2</v>
      </c>
      <c r="F155" s="88">
        <f>IFERROR(__xludf.DUMMYFUNCTION("""COMPUTED_VALUE"""),7.0)</f>
        <v>7</v>
      </c>
      <c r="G155" s="88">
        <f>IFERROR(__xludf.DUMMYFUNCTION("""COMPUTED_VALUE"""),0.0)</f>
        <v>0</v>
      </c>
      <c r="H155" s="88">
        <f>IFERROR(__xludf.DUMMYFUNCTION("""COMPUTED_VALUE"""),0.0)</f>
        <v>0</v>
      </c>
      <c r="I155" s="88">
        <f>IFERROR(__xludf.DUMMYFUNCTION("""COMPUTED_VALUE"""),6.0)</f>
        <v>6</v>
      </c>
      <c r="J155" s="88">
        <f>IFERROR(__xludf.DUMMYFUNCTION("""COMPUTED_VALUE"""),7.0)</f>
        <v>7</v>
      </c>
      <c r="K155" s="88">
        <f>IFERROR(__xludf.DUMMYFUNCTION("""COMPUTED_VALUE"""),13.0)</f>
        <v>13</v>
      </c>
      <c r="L155" s="88">
        <f>IFERROR(__xludf.DUMMYFUNCTION("""COMPUTED_VALUE"""),2.0)</f>
        <v>2</v>
      </c>
      <c r="M155" s="89">
        <f>IFERROR(__xludf.DUMMYFUNCTION("""COMPUTED_VALUE"""),191.0)</f>
        <v>191</v>
      </c>
      <c r="N155" s="89">
        <f>IFERROR(__xludf.DUMMYFUNCTION("""COMPUTED_VALUE"""),11.0)</f>
        <v>11</v>
      </c>
    </row>
    <row r="156">
      <c r="A156" s="11"/>
      <c r="B156" s="82" t="str">
        <f>IFERROR(__xludf.DUMMYFUNCTION("""COMPUTED_VALUE"""),"Peter Cheng")</f>
        <v>Peter Cheng</v>
      </c>
      <c r="C156" s="87">
        <f>IFERROR(__xludf.DUMMYFUNCTION("""COMPUTED_VALUE"""),178.0)</f>
        <v>178</v>
      </c>
      <c r="D156" s="87">
        <f>IFERROR(__xludf.DUMMYFUNCTION("""COMPUTED_VALUE"""),5.0)</f>
        <v>5</v>
      </c>
      <c r="E156" s="86">
        <f>IFERROR(__xludf.DUMMYFUNCTION("""COMPUTED_VALUE"""),1.0)</f>
        <v>1</v>
      </c>
      <c r="F156" s="88">
        <f>IFERROR(__xludf.DUMMYFUNCTION("""COMPUTED_VALUE"""),7.0)</f>
        <v>7</v>
      </c>
      <c r="G156" s="88">
        <f>IFERROR(__xludf.DUMMYFUNCTION("""COMPUTED_VALUE"""),0.0)</f>
        <v>0</v>
      </c>
      <c r="H156" s="88">
        <f>IFERROR(__xludf.DUMMYFUNCTION("""COMPUTED_VALUE"""),6.0)</f>
        <v>6</v>
      </c>
      <c r="I156" s="88">
        <f>IFERROR(__xludf.DUMMYFUNCTION("""COMPUTED_VALUE"""),6.0)</f>
        <v>6</v>
      </c>
      <c r="J156" s="88">
        <f>IFERROR(__xludf.DUMMYFUNCTION("""COMPUTED_VALUE"""),5.0)</f>
        <v>5</v>
      </c>
      <c r="K156" s="88">
        <f>IFERROR(__xludf.DUMMYFUNCTION("""COMPUTED_VALUE"""),17.0)</f>
        <v>17</v>
      </c>
      <c r="L156" s="88">
        <f>IFERROR(__xludf.DUMMYFUNCTION("""COMPUTED_VALUE"""),2.0)</f>
        <v>2</v>
      </c>
      <c r="M156" s="89">
        <f>IFERROR(__xludf.DUMMYFUNCTION("""COMPUTED_VALUE"""),195.0)</f>
        <v>195</v>
      </c>
      <c r="N156" s="89">
        <f>IFERROR(__xludf.DUMMYFUNCTION("""COMPUTED_VALUE"""),7.0)</f>
        <v>7</v>
      </c>
    </row>
    <row r="157">
      <c r="A157" s="11"/>
      <c r="B157" s="82" t="str">
        <f>IFERROR(__xludf.DUMMYFUNCTION("""COMPUTED_VALUE"""),"Kumar Palakeel")</f>
        <v>Kumar Palakeel</v>
      </c>
      <c r="C157" s="87">
        <f>IFERROR(__xludf.DUMMYFUNCTION("""COMPUTED_VALUE"""),174.0)</f>
        <v>174</v>
      </c>
      <c r="D157" s="87">
        <f>IFERROR(__xludf.DUMMYFUNCTION("""COMPUTED_VALUE"""),15.0)</f>
        <v>15</v>
      </c>
      <c r="E157" s="86">
        <f>IFERROR(__xludf.DUMMYFUNCTION("""COMPUTED_VALUE"""),2.0)</f>
        <v>2</v>
      </c>
      <c r="F157" s="88">
        <f>IFERROR(__xludf.DUMMYFUNCTION("""COMPUTED_VALUE"""),7.0)</f>
        <v>7</v>
      </c>
      <c r="G157" s="88">
        <f>IFERROR(__xludf.DUMMYFUNCTION("""COMPUTED_VALUE"""),0.0)</f>
        <v>0</v>
      </c>
      <c r="H157" s="88">
        <f>IFERROR(__xludf.DUMMYFUNCTION("""COMPUTED_VALUE"""),0.0)</f>
        <v>0</v>
      </c>
      <c r="I157" s="88">
        <f>IFERROR(__xludf.DUMMYFUNCTION("""COMPUTED_VALUE"""),2.0)</f>
        <v>2</v>
      </c>
      <c r="J157" s="88">
        <f>IFERROR(__xludf.DUMMYFUNCTION("""COMPUTED_VALUE"""),5.0)</f>
        <v>5</v>
      </c>
      <c r="K157" s="88">
        <f>IFERROR(__xludf.DUMMYFUNCTION("""COMPUTED_VALUE"""),7.0)</f>
        <v>7</v>
      </c>
      <c r="L157" s="88">
        <f>IFERROR(__xludf.DUMMYFUNCTION("""COMPUTED_VALUE"""),0.0)</f>
        <v>0</v>
      </c>
      <c r="M157" s="89">
        <f>IFERROR(__xludf.DUMMYFUNCTION("""COMPUTED_VALUE"""),181.0)</f>
        <v>181</v>
      </c>
      <c r="N157" s="89">
        <f>IFERROR(__xludf.DUMMYFUNCTION("""COMPUTED_VALUE"""),15.0)</f>
        <v>15</v>
      </c>
    </row>
    <row r="158">
      <c r="A158" s="11"/>
      <c r="B158" s="82" t="str">
        <f>IFERROR(__xludf.DUMMYFUNCTION("""COMPUTED_VALUE"""),"Chinna Ponnaganti")</f>
        <v>Chinna Ponnaganti</v>
      </c>
      <c r="C158" s="87">
        <f>IFERROR(__xludf.DUMMYFUNCTION("""COMPUTED_VALUE"""),174.0)</f>
        <v>174</v>
      </c>
      <c r="D158" s="87">
        <f>IFERROR(__xludf.DUMMYFUNCTION("""COMPUTED_VALUE"""),14.0)</f>
        <v>14</v>
      </c>
      <c r="E158" s="86">
        <f>IFERROR(__xludf.DUMMYFUNCTION("""COMPUTED_VALUE"""),1.0)</f>
        <v>1</v>
      </c>
      <c r="F158" s="88">
        <f>IFERROR(__xludf.DUMMYFUNCTION("""COMPUTED_VALUE"""),7.0)</f>
        <v>7</v>
      </c>
      <c r="G158" s="88">
        <f>IFERROR(__xludf.DUMMYFUNCTION("""COMPUTED_VALUE"""),0.0)</f>
        <v>0</v>
      </c>
      <c r="H158" s="88">
        <f>IFERROR(__xludf.DUMMYFUNCTION("""COMPUTED_VALUE"""),6.0)</f>
        <v>6</v>
      </c>
      <c r="I158" s="88">
        <f>IFERROR(__xludf.DUMMYFUNCTION("""COMPUTED_VALUE"""),2.0)</f>
        <v>2</v>
      </c>
      <c r="J158" s="88">
        <f>IFERROR(__xludf.DUMMYFUNCTION("""COMPUTED_VALUE"""),7.0)</f>
        <v>7</v>
      </c>
      <c r="K158" s="88">
        <f>IFERROR(__xludf.DUMMYFUNCTION("""COMPUTED_VALUE"""),15.0)</f>
        <v>15</v>
      </c>
      <c r="L158" s="88">
        <f>IFERROR(__xludf.DUMMYFUNCTION("""COMPUTED_VALUE"""),2.0)</f>
        <v>2</v>
      </c>
      <c r="M158" s="89">
        <f>IFERROR(__xludf.DUMMYFUNCTION("""COMPUTED_VALUE"""),189.0)</f>
        <v>189</v>
      </c>
      <c r="N158" s="89">
        <f>IFERROR(__xludf.DUMMYFUNCTION("""COMPUTED_VALUE"""),16.0)</f>
        <v>16</v>
      </c>
    </row>
    <row r="159">
      <c r="A159" s="11"/>
      <c r="B159" s="84" t="str">
        <f>IFERROR(__xludf.DUMMYFUNCTION("""COMPUTED_VALUE"""),"Andrew Wen")</f>
        <v>Andrew Wen</v>
      </c>
      <c r="C159" s="95">
        <f>IFERROR(__xludf.DUMMYFUNCTION("""COMPUTED_VALUE"""),172.0)</f>
        <v>172</v>
      </c>
      <c r="D159" s="95">
        <f>IFERROR(__xludf.DUMMYFUNCTION("""COMPUTED_VALUE"""),6.0)</f>
        <v>6</v>
      </c>
      <c r="E159" s="96">
        <f>IFERROR(__xludf.DUMMYFUNCTION("""COMPUTED_VALUE"""),2.0)</f>
        <v>2</v>
      </c>
      <c r="F159" s="97">
        <f>IFERROR(__xludf.DUMMYFUNCTION("""COMPUTED_VALUE"""),8.0)</f>
        <v>8</v>
      </c>
      <c r="G159" s="97">
        <f>IFERROR(__xludf.DUMMYFUNCTION("""COMPUTED_VALUE"""),0.0)</f>
        <v>0</v>
      </c>
      <c r="H159" s="97">
        <f>IFERROR(__xludf.DUMMYFUNCTION("""COMPUTED_VALUE"""),6.0)</f>
        <v>6</v>
      </c>
      <c r="I159" s="97">
        <f>IFERROR(__xludf.DUMMYFUNCTION("""COMPUTED_VALUE"""),7.0)</f>
        <v>7</v>
      </c>
      <c r="J159" s="97">
        <f>IFERROR(__xludf.DUMMYFUNCTION("""COMPUTED_VALUE"""),4.0)</f>
        <v>4</v>
      </c>
      <c r="K159" s="97">
        <f>IFERROR(__xludf.DUMMYFUNCTION("""COMPUTED_VALUE"""),17.0)</f>
        <v>17</v>
      </c>
      <c r="L159" s="97">
        <f>IFERROR(__xludf.DUMMYFUNCTION("""COMPUTED_VALUE"""),2.0)</f>
        <v>2</v>
      </c>
      <c r="M159" s="98">
        <f>IFERROR(__xludf.DUMMYFUNCTION("""COMPUTED_VALUE"""),189.0)</f>
        <v>189</v>
      </c>
      <c r="N159" s="98">
        <f>IFERROR(__xludf.DUMMYFUNCTION("""COMPUTED_VALUE"""),8.0)</f>
        <v>8</v>
      </c>
    </row>
    <row r="160">
      <c r="A160" s="11"/>
      <c r="B160" s="84" t="str">
        <f>IFERROR(__xludf.DUMMYFUNCTION("""COMPUTED_VALUE"""),"Vinz Solano")</f>
        <v>Vinz Solano</v>
      </c>
      <c r="C160" s="95">
        <f>IFERROR(__xludf.DUMMYFUNCTION("""COMPUTED_VALUE"""),167.0)</f>
        <v>167</v>
      </c>
      <c r="D160" s="95">
        <f>IFERROR(__xludf.DUMMYFUNCTION("""COMPUTED_VALUE"""),8.0)</f>
        <v>8</v>
      </c>
      <c r="E160" s="96">
        <f>IFERROR(__xludf.DUMMYFUNCTION("""COMPUTED_VALUE"""),1.0)</f>
        <v>1</v>
      </c>
      <c r="F160" s="97">
        <f>IFERROR(__xludf.DUMMYFUNCTION("""COMPUTED_VALUE"""),8.0)</f>
        <v>8</v>
      </c>
      <c r="G160" s="97">
        <f>IFERROR(__xludf.DUMMYFUNCTION("""COMPUTED_VALUE"""),0.0)</f>
        <v>0</v>
      </c>
      <c r="H160" s="97">
        <f>IFERROR(__xludf.DUMMYFUNCTION("""COMPUTED_VALUE"""),6.0)</f>
        <v>6</v>
      </c>
      <c r="I160" s="97">
        <f>IFERROR(__xludf.DUMMYFUNCTION("""COMPUTED_VALUE"""),5.0)</f>
        <v>5</v>
      </c>
      <c r="J160" s="97">
        <f>IFERROR(__xludf.DUMMYFUNCTION("""COMPUTED_VALUE"""),6.0)</f>
        <v>6</v>
      </c>
      <c r="K160" s="97">
        <f>IFERROR(__xludf.DUMMYFUNCTION("""COMPUTED_VALUE"""),17.0)</f>
        <v>17</v>
      </c>
      <c r="L160" s="97">
        <f>IFERROR(__xludf.DUMMYFUNCTION("""COMPUTED_VALUE"""),2.0)</f>
        <v>2</v>
      </c>
      <c r="M160" s="98">
        <f>IFERROR(__xludf.DUMMYFUNCTION("""COMPUTED_VALUE"""),184.0)</f>
        <v>184</v>
      </c>
      <c r="N160" s="98">
        <f>IFERROR(__xludf.DUMMYFUNCTION("""COMPUTED_VALUE"""),10.0)</f>
        <v>10</v>
      </c>
    </row>
    <row r="161">
      <c r="A161" s="11"/>
      <c r="B161" s="84" t="str">
        <f>IFERROR(__xludf.DUMMYFUNCTION("""COMPUTED_VALUE"""),"Saravanan Veerapandian")</f>
        <v>Saravanan Veerapandian</v>
      </c>
      <c r="C161" s="95">
        <f>IFERROR(__xludf.DUMMYFUNCTION("""COMPUTED_VALUE"""),162.0)</f>
        <v>162</v>
      </c>
      <c r="D161" s="95">
        <f>IFERROR(__xludf.DUMMYFUNCTION("""COMPUTED_VALUE"""),8.0)</f>
        <v>8</v>
      </c>
      <c r="E161" s="96">
        <f>IFERROR(__xludf.DUMMYFUNCTION("""COMPUTED_VALUE"""),1.0)</f>
        <v>1</v>
      </c>
      <c r="F161" s="97">
        <f>IFERROR(__xludf.DUMMYFUNCTION("""COMPUTED_VALUE"""),8.0)</f>
        <v>8</v>
      </c>
      <c r="G161" s="97">
        <f>IFERROR(__xludf.DUMMYFUNCTION("""COMPUTED_VALUE"""),0.0)</f>
        <v>0</v>
      </c>
      <c r="H161" s="97">
        <f>IFERROR(__xludf.DUMMYFUNCTION("""COMPUTED_VALUE"""),1.0)</f>
        <v>1</v>
      </c>
      <c r="I161" s="97">
        <f>IFERROR(__xludf.DUMMYFUNCTION("""COMPUTED_VALUE"""),5.0)</f>
        <v>5</v>
      </c>
      <c r="J161" s="97">
        <f>IFERROR(__xludf.DUMMYFUNCTION("""COMPUTED_VALUE"""),4.0)</f>
        <v>4</v>
      </c>
      <c r="K161" s="97">
        <f>IFERROR(__xludf.DUMMYFUNCTION("""COMPUTED_VALUE"""),10.0)</f>
        <v>10</v>
      </c>
      <c r="L161" s="97">
        <f>IFERROR(__xludf.DUMMYFUNCTION("""COMPUTED_VALUE"""),0.0)</f>
        <v>0</v>
      </c>
      <c r="M161" s="98">
        <f>IFERROR(__xludf.DUMMYFUNCTION("""COMPUTED_VALUE"""),172.0)</f>
        <v>172</v>
      </c>
      <c r="N161" s="98">
        <f>IFERROR(__xludf.DUMMYFUNCTION("""COMPUTED_VALUE"""),8.0)</f>
        <v>8</v>
      </c>
    </row>
    <row r="162">
      <c r="A162" s="11"/>
      <c r="B162" s="84" t="str">
        <f>IFERROR(__xludf.DUMMYFUNCTION("""COMPUTED_VALUE"""),"Joyce Zhu")</f>
        <v>Joyce Zhu</v>
      </c>
      <c r="C162" s="95">
        <f>IFERROR(__xludf.DUMMYFUNCTION("""COMPUTED_VALUE"""),133.0)</f>
        <v>133</v>
      </c>
      <c r="D162" s="95">
        <f>IFERROR(__xludf.DUMMYFUNCTION("""COMPUTED_VALUE"""),6.0)</f>
        <v>6</v>
      </c>
      <c r="E162" s="96">
        <f>IFERROR(__xludf.DUMMYFUNCTION("""COMPUTED_VALUE"""),1.0)</f>
        <v>1</v>
      </c>
      <c r="F162" s="97">
        <f>IFERROR(__xludf.DUMMYFUNCTION("""COMPUTED_VALUE"""),8.0)</f>
        <v>8</v>
      </c>
      <c r="G162" s="97">
        <f>IFERROR(__xludf.DUMMYFUNCTION("""COMPUTED_VALUE"""),0.0)</f>
        <v>0</v>
      </c>
      <c r="H162" s="97">
        <f>IFERROR(__xludf.DUMMYFUNCTION("""COMPUTED_VALUE"""),1.0)</f>
        <v>1</v>
      </c>
      <c r="I162" s="97">
        <f>IFERROR(__xludf.DUMMYFUNCTION("""COMPUTED_VALUE"""),7.0)</f>
        <v>7</v>
      </c>
      <c r="J162" s="97">
        <f>IFERROR(__xludf.DUMMYFUNCTION("""COMPUTED_VALUE"""),6.0)</f>
        <v>6</v>
      </c>
      <c r="K162" s="97">
        <f>IFERROR(__xludf.DUMMYFUNCTION("""COMPUTED_VALUE"""),14.0)</f>
        <v>14</v>
      </c>
      <c r="L162" s="97">
        <f>IFERROR(__xludf.DUMMYFUNCTION("""COMPUTED_VALUE"""),2.0)</f>
        <v>2</v>
      </c>
      <c r="M162" s="98">
        <f>IFERROR(__xludf.DUMMYFUNCTION("""COMPUTED_VALUE"""),147.0)</f>
        <v>147</v>
      </c>
      <c r="N162" s="98">
        <f>IFERROR(__xludf.DUMMYFUNCTION("""COMPUTED_VALUE"""),8.0)</f>
        <v>8</v>
      </c>
    </row>
    <row r="163">
      <c r="A163" s="11"/>
      <c r="C163" s="11"/>
      <c r="D163" s="11"/>
      <c r="E163" s="11"/>
    </row>
    <row r="164">
      <c r="A164" s="11"/>
      <c r="C164" s="11"/>
      <c r="D164" s="11"/>
      <c r="E164" s="11"/>
    </row>
    <row r="165">
      <c r="A165" s="11"/>
      <c r="C165" s="11"/>
      <c r="D165" s="11"/>
      <c r="E165" s="11"/>
    </row>
    <row r="166">
      <c r="A166" s="11"/>
      <c r="C166" s="11"/>
      <c r="D166" s="11"/>
      <c r="E166" s="11"/>
    </row>
    <row r="167">
      <c r="A167" s="11"/>
      <c r="C167" s="11"/>
      <c r="D167" s="11"/>
      <c r="E167" s="11"/>
    </row>
    <row r="168">
      <c r="A168" s="11"/>
      <c r="C168" s="11"/>
      <c r="D168" s="11"/>
      <c r="E168" s="11"/>
    </row>
    <row r="169">
      <c r="A169" s="11"/>
      <c r="C169" s="11"/>
      <c r="D169" s="11"/>
      <c r="E169" s="11"/>
    </row>
    <row r="170">
      <c r="A170" s="11"/>
      <c r="C170" s="11"/>
      <c r="D170" s="11"/>
      <c r="E170" s="11"/>
    </row>
    <row r="171">
      <c r="A171" s="11"/>
      <c r="C171" s="11"/>
      <c r="D171" s="11"/>
      <c r="E171" s="11"/>
    </row>
    <row r="172">
      <c r="A172" s="11"/>
      <c r="C172" s="11"/>
      <c r="D172" s="11"/>
      <c r="E172" s="11"/>
    </row>
    <row r="173">
      <c r="A173" s="11"/>
      <c r="B173" s="10" t="s">
        <v>166</v>
      </c>
      <c r="C173" s="11"/>
      <c r="D173" s="11"/>
      <c r="E173" s="11"/>
    </row>
    <row r="174">
      <c r="A174" s="11"/>
      <c r="B174" s="27" t="s">
        <v>31</v>
      </c>
      <c r="C174" s="29" t="s">
        <v>2</v>
      </c>
      <c r="D174" s="29" t="s">
        <v>4</v>
      </c>
      <c r="E174" s="29" t="s">
        <v>33</v>
      </c>
      <c r="F174" s="29" t="s">
        <v>35</v>
      </c>
      <c r="G174" s="29" t="s">
        <v>36</v>
      </c>
      <c r="H174" s="29" t="s">
        <v>6</v>
      </c>
      <c r="I174" s="29" t="s">
        <v>7</v>
      </c>
      <c r="J174" s="29" t="s">
        <v>8</v>
      </c>
      <c r="K174" s="29" t="s">
        <v>2</v>
      </c>
      <c r="L174" s="29" t="s">
        <v>4</v>
      </c>
      <c r="M174" s="28" t="s">
        <v>2</v>
      </c>
      <c r="N174" s="28" t="s">
        <v>4</v>
      </c>
    </row>
    <row r="175">
      <c r="A175" s="11"/>
      <c r="B175" s="82" t="str">
        <f>IFERROR(__xludf.DUMMYFUNCTION("QUERY(B5:N70, ""Select B, C, D, E, F, G, H, I, J, K, L, M, N   where F = 0"")"),"Christopher Li")</f>
        <v>Christopher Li</v>
      </c>
      <c r="C175" s="87">
        <f>IFERROR(__xludf.DUMMYFUNCTION("""COMPUTED_VALUE"""),226.0)</f>
        <v>226</v>
      </c>
      <c r="D175" s="87">
        <f>IFERROR(__xludf.DUMMYFUNCTION("""COMPUTED_VALUE"""),23.0)</f>
        <v>23</v>
      </c>
      <c r="E175" s="86">
        <f>IFERROR(__xludf.DUMMYFUNCTION("""COMPUTED_VALUE"""),3.0)</f>
        <v>3</v>
      </c>
      <c r="F175" s="88">
        <f>IFERROR(__xludf.DUMMYFUNCTION("""COMPUTED_VALUE"""),0.0)</f>
        <v>0</v>
      </c>
      <c r="G175" s="88">
        <f>IFERROR(__xludf.DUMMYFUNCTION("""COMPUTED_VALUE"""),9.0)</f>
        <v>9</v>
      </c>
      <c r="H175" s="88">
        <f>IFERROR(__xludf.DUMMYFUNCTION("""COMPUTED_VALUE"""),0.0)</f>
        <v>0</v>
      </c>
      <c r="I175" s="88">
        <f>IFERROR(__xludf.DUMMYFUNCTION("""COMPUTED_VALUE"""),0.0)</f>
        <v>0</v>
      </c>
      <c r="J175" s="88">
        <f>IFERROR(__xludf.DUMMYFUNCTION("""COMPUTED_VALUE"""),0.0)</f>
        <v>0</v>
      </c>
      <c r="K175" s="88">
        <f>IFERROR(__xludf.DUMMYFUNCTION("""COMPUTED_VALUE"""),9.0)</f>
        <v>9</v>
      </c>
      <c r="L175" s="88">
        <f>IFERROR(__xludf.DUMMYFUNCTION("""COMPUTED_VALUE"""),0.0)</f>
        <v>0</v>
      </c>
      <c r="M175" s="89">
        <f>IFERROR(__xludf.DUMMYFUNCTION("""COMPUTED_VALUE"""),235.0)</f>
        <v>235</v>
      </c>
      <c r="N175" s="89">
        <f>IFERROR(__xludf.DUMMYFUNCTION("""COMPUTED_VALUE"""),23.0)</f>
        <v>23</v>
      </c>
    </row>
    <row r="176">
      <c r="A176" s="11"/>
      <c r="B176" s="82" t="str">
        <f>IFERROR(__xludf.DUMMYFUNCTION("""COMPUTED_VALUE"""),"Tom Le")</f>
        <v>Tom Le</v>
      </c>
      <c r="C176" s="87">
        <f>IFERROR(__xludf.DUMMYFUNCTION("""COMPUTED_VALUE"""),217.0)</f>
        <v>217</v>
      </c>
      <c r="D176" s="87">
        <f>IFERROR(__xludf.DUMMYFUNCTION("""COMPUTED_VALUE"""),24.0)</f>
        <v>24</v>
      </c>
      <c r="E176" s="86">
        <f>IFERROR(__xludf.DUMMYFUNCTION("""COMPUTED_VALUE"""),3.0)</f>
        <v>3</v>
      </c>
      <c r="F176" s="88">
        <f>IFERROR(__xludf.DUMMYFUNCTION("""COMPUTED_VALUE"""),0.0)</f>
        <v>0</v>
      </c>
      <c r="G176" s="88">
        <f>IFERROR(__xludf.DUMMYFUNCTION("""COMPUTED_VALUE"""),9.0)</f>
        <v>9</v>
      </c>
      <c r="H176" s="88">
        <f>IFERROR(__xludf.DUMMYFUNCTION("""COMPUTED_VALUE"""),0.0)</f>
        <v>0</v>
      </c>
      <c r="I176" s="88">
        <f>IFERROR(__xludf.DUMMYFUNCTION("""COMPUTED_VALUE"""),0.0)</f>
        <v>0</v>
      </c>
      <c r="J176" s="88">
        <f>IFERROR(__xludf.DUMMYFUNCTION("""COMPUTED_VALUE"""),0.0)</f>
        <v>0</v>
      </c>
      <c r="K176" s="88">
        <f>IFERROR(__xludf.DUMMYFUNCTION("""COMPUTED_VALUE"""),9.0)</f>
        <v>9</v>
      </c>
      <c r="L176" s="88">
        <f>IFERROR(__xludf.DUMMYFUNCTION("""COMPUTED_VALUE"""),0.0)</f>
        <v>0</v>
      </c>
      <c r="M176" s="89">
        <f>IFERROR(__xludf.DUMMYFUNCTION("""COMPUTED_VALUE"""),226.0)</f>
        <v>226</v>
      </c>
      <c r="N176" s="89">
        <f>IFERROR(__xludf.DUMMYFUNCTION("""COMPUTED_VALUE"""),24.0)</f>
        <v>24</v>
      </c>
    </row>
    <row r="177">
      <c r="A177" s="11"/>
      <c r="B177" s="82" t="str">
        <f>IFERROR(__xludf.DUMMYFUNCTION("""COMPUTED_VALUE"""),"Luis Hsu")</f>
        <v>Luis Hsu</v>
      </c>
      <c r="C177" s="87">
        <f>IFERROR(__xludf.DUMMYFUNCTION("""COMPUTED_VALUE"""),215.0)</f>
        <v>215</v>
      </c>
      <c r="D177" s="87">
        <f>IFERROR(__xludf.DUMMYFUNCTION("""COMPUTED_VALUE"""),19.0)</f>
        <v>19</v>
      </c>
      <c r="E177" s="86">
        <f>IFERROR(__xludf.DUMMYFUNCTION("""COMPUTED_VALUE"""),3.0)</f>
        <v>3</v>
      </c>
      <c r="F177" s="88">
        <f>IFERROR(__xludf.DUMMYFUNCTION("""COMPUTED_VALUE"""),0.0)</f>
        <v>0</v>
      </c>
      <c r="G177" s="88">
        <f>IFERROR(__xludf.DUMMYFUNCTION("""COMPUTED_VALUE"""),9.0)</f>
        <v>9</v>
      </c>
      <c r="H177" s="88">
        <f>IFERROR(__xludf.DUMMYFUNCTION("""COMPUTED_VALUE"""),0.0)</f>
        <v>0</v>
      </c>
      <c r="I177" s="88">
        <f>IFERROR(__xludf.DUMMYFUNCTION("""COMPUTED_VALUE"""),0.0)</f>
        <v>0</v>
      </c>
      <c r="J177" s="88">
        <f>IFERROR(__xludf.DUMMYFUNCTION("""COMPUTED_VALUE"""),0.0)</f>
        <v>0</v>
      </c>
      <c r="K177" s="88">
        <f>IFERROR(__xludf.DUMMYFUNCTION("""COMPUTED_VALUE"""),9.0)</f>
        <v>9</v>
      </c>
      <c r="L177" s="88">
        <f>IFERROR(__xludf.DUMMYFUNCTION("""COMPUTED_VALUE"""),0.0)</f>
        <v>0</v>
      </c>
      <c r="M177" s="89">
        <f>IFERROR(__xludf.DUMMYFUNCTION("""COMPUTED_VALUE"""),224.0)</f>
        <v>224</v>
      </c>
      <c r="N177" s="89">
        <f>IFERROR(__xludf.DUMMYFUNCTION("""COMPUTED_VALUE"""),19.0)</f>
        <v>19</v>
      </c>
    </row>
    <row r="178">
      <c r="A178" s="11"/>
      <c r="B178" s="82" t="str">
        <f>IFERROR(__xludf.DUMMYFUNCTION("""COMPUTED_VALUE"""),"Jonathan Phan")</f>
        <v>Jonathan Phan</v>
      </c>
      <c r="C178" s="87">
        <f>IFERROR(__xludf.DUMMYFUNCTION("""COMPUTED_VALUE"""),208.0)</f>
        <v>208</v>
      </c>
      <c r="D178" s="87">
        <f>IFERROR(__xludf.DUMMYFUNCTION("""COMPUTED_VALUE"""),18.0)</f>
        <v>18</v>
      </c>
      <c r="E178" s="86">
        <f>IFERROR(__xludf.DUMMYFUNCTION("""COMPUTED_VALUE"""),3.0)</f>
        <v>3</v>
      </c>
      <c r="F178" s="88">
        <f>IFERROR(__xludf.DUMMYFUNCTION("""COMPUTED_VALUE"""),0.0)</f>
        <v>0</v>
      </c>
      <c r="G178" s="88">
        <f>IFERROR(__xludf.DUMMYFUNCTION("""COMPUTED_VALUE"""),9.0)</f>
        <v>9</v>
      </c>
      <c r="H178" s="88">
        <f>IFERROR(__xludf.DUMMYFUNCTION("""COMPUTED_VALUE"""),0.0)</f>
        <v>0</v>
      </c>
      <c r="I178" s="88">
        <f>IFERROR(__xludf.DUMMYFUNCTION("""COMPUTED_VALUE"""),0.0)</f>
        <v>0</v>
      </c>
      <c r="J178" s="88">
        <f>IFERROR(__xludf.DUMMYFUNCTION("""COMPUTED_VALUE"""),0.0)</f>
        <v>0</v>
      </c>
      <c r="K178" s="88">
        <f>IFERROR(__xludf.DUMMYFUNCTION("""COMPUTED_VALUE"""),9.0)</f>
        <v>9</v>
      </c>
      <c r="L178" s="88">
        <f>IFERROR(__xludf.DUMMYFUNCTION("""COMPUTED_VALUE"""),0.0)</f>
        <v>0</v>
      </c>
      <c r="M178" s="89">
        <f>IFERROR(__xludf.DUMMYFUNCTION("""COMPUTED_VALUE"""),217.0)</f>
        <v>217</v>
      </c>
      <c r="N178" s="89">
        <f>IFERROR(__xludf.DUMMYFUNCTION("""COMPUTED_VALUE"""),18.0)</f>
        <v>18</v>
      </c>
    </row>
    <row r="179">
      <c r="A179" s="11"/>
      <c r="B179" s="82" t="str">
        <f>IFERROR(__xludf.DUMMYFUNCTION("""COMPUTED_VALUE"""),"David Shin")</f>
        <v>David Shin</v>
      </c>
      <c r="C179" s="87">
        <f>IFERROR(__xludf.DUMMYFUNCTION("""COMPUTED_VALUE"""),204.0)</f>
        <v>204</v>
      </c>
      <c r="D179" s="87">
        <f>IFERROR(__xludf.DUMMYFUNCTION("""COMPUTED_VALUE"""),16.0)</f>
        <v>16</v>
      </c>
      <c r="E179" s="86">
        <f>IFERROR(__xludf.DUMMYFUNCTION("""COMPUTED_VALUE"""),3.0)</f>
        <v>3</v>
      </c>
      <c r="F179" s="88">
        <f>IFERROR(__xludf.DUMMYFUNCTION("""COMPUTED_VALUE"""),0.0)</f>
        <v>0</v>
      </c>
      <c r="G179" s="88">
        <f>IFERROR(__xludf.DUMMYFUNCTION("""COMPUTED_VALUE"""),9.0)</f>
        <v>9</v>
      </c>
      <c r="H179" s="88">
        <f>IFERROR(__xludf.DUMMYFUNCTION("""COMPUTED_VALUE"""),0.0)</f>
        <v>0</v>
      </c>
      <c r="I179" s="88">
        <f>IFERROR(__xludf.DUMMYFUNCTION("""COMPUTED_VALUE"""),0.0)</f>
        <v>0</v>
      </c>
      <c r="J179" s="88">
        <f>IFERROR(__xludf.DUMMYFUNCTION("""COMPUTED_VALUE"""),0.0)</f>
        <v>0</v>
      </c>
      <c r="K179" s="88">
        <f>IFERROR(__xludf.DUMMYFUNCTION("""COMPUTED_VALUE"""),9.0)</f>
        <v>9</v>
      </c>
      <c r="L179" s="88">
        <f>IFERROR(__xludf.DUMMYFUNCTION("""COMPUTED_VALUE"""),0.0)</f>
        <v>0</v>
      </c>
      <c r="M179" s="89">
        <f>IFERROR(__xludf.DUMMYFUNCTION("""COMPUTED_VALUE"""),213.0)</f>
        <v>213</v>
      </c>
      <c r="N179" s="89">
        <f>IFERROR(__xludf.DUMMYFUNCTION("""COMPUTED_VALUE"""),16.0)</f>
        <v>16</v>
      </c>
    </row>
    <row r="180">
      <c r="A180" s="11"/>
      <c r="B180" s="82" t="str">
        <f>IFERROR(__xludf.DUMMYFUNCTION("""COMPUTED_VALUE"""),"Matthew Huang")</f>
        <v>Matthew Huang</v>
      </c>
      <c r="C180" s="87">
        <f>IFERROR(__xludf.DUMMYFUNCTION("""COMPUTED_VALUE"""),202.0)</f>
        <v>202</v>
      </c>
      <c r="D180" s="87">
        <f>IFERROR(__xludf.DUMMYFUNCTION("""COMPUTED_VALUE"""),16.0)</f>
        <v>16</v>
      </c>
      <c r="E180" s="86">
        <f>IFERROR(__xludf.DUMMYFUNCTION("""COMPUTED_VALUE"""),3.0)</f>
        <v>3</v>
      </c>
      <c r="F180" s="88">
        <f>IFERROR(__xludf.DUMMYFUNCTION("""COMPUTED_VALUE"""),0.0)</f>
        <v>0</v>
      </c>
      <c r="G180" s="88">
        <f>IFERROR(__xludf.DUMMYFUNCTION("""COMPUTED_VALUE"""),9.0)</f>
        <v>9</v>
      </c>
      <c r="H180" s="88">
        <f>IFERROR(__xludf.DUMMYFUNCTION("""COMPUTED_VALUE"""),0.0)</f>
        <v>0</v>
      </c>
      <c r="I180" s="88">
        <f>IFERROR(__xludf.DUMMYFUNCTION("""COMPUTED_VALUE"""),0.0)</f>
        <v>0</v>
      </c>
      <c r="J180" s="88">
        <f>IFERROR(__xludf.DUMMYFUNCTION("""COMPUTED_VALUE"""),0.0)</f>
        <v>0</v>
      </c>
      <c r="K180" s="88">
        <f>IFERROR(__xludf.DUMMYFUNCTION("""COMPUTED_VALUE"""),9.0)</f>
        <v>9</v>
      </c>
      <c r="L180" s="88">
        <f>IFERROR(__xludf.DUMMYFUNCTION("""COMPUTED_VALUE"""),0.0)</f>
        <v>0</v>
      </c>
      <c r="M180" s="89">
        <f>IFERROR(__xludf.DUMMYFUNCTION("""COMPUTED_VALUE"""),211.0)</f>
        <v>211</v>
      </c>
      <c r="N180" s="89">
        <f>IFERROR(__xludf.DUMMYFUNCTION("""COMPUTED_VALUE"""),16.0)</f>
        <v>16</v>
      </c>
    </row>
    <row r="181">
      <c r="A181" s="11"/>
      <c r="B181" s="82" t="str">
        <f>IFERROR(__xludf.DUMMYFUNCTION("""COMPUTED_VALUE"""),"Pavan Akkimsetty")</f>
        <v>Pavan Akkimsetty</v>
      </c>
      <c r="C181" s="87">
        <f>IFERROR(__xludf.DUMMYFUNCTION("""COMPUTED_VALUE"""),200.0)</f>
        <v>200</v>
      </c>
      <c r="D181" s="87">
        <f>IFERROR(__xludf.DUMMYFUNCTION("""COMPUTED_VALUE"""),16.0)</f>
        <v>16</v>
      </c>
      <c r="E181" s="86">
        <f>IFERROR(__xludf.DUMMYFUNCTION("""COMPUTED_VALUE"""),3.0)</f>
        <v>3</v>
      </c>
      <c r="F181" s="88">
        <f>IFERROR(__xludf.DUMMYFUNCTION("""COMPUTED_VALUE"""),0.0)</f>
        <v>0</v>
      </c>
      <c r="G181" s="88">
        <f>IFERROR(__xludf.DUMMYFUNCTION("""COMPUTED_VALUE"""),9.0)</f>
        <v>9</v>
      </c>
      <c r="H181" s="88">
        <f>IFERROR(__xludf.DUMMYFUNCTION("""COMPUTED_VALUE"""),0.0)</f>
        <v>0</v>
      </c>
      <c r="I181" s="88">
        <f>IFERROR(__xludf.DUMMYFUNCTION("""COMPUTED_VALUE"""),0.0)</f>
        <v>0</v>
      </c>
      <c r="J181" s="88">
        <f>IFERROR(__xludf.DUMMYFUNCTION("""COMPUTED_VALUE"""),0.0)</f>
        <v>0</v>
      </c>
      <c r="K181" s="88">
        <f>IFERROR(__xludf.DUMMYFUNCTION("""COMPUTED_VALUE"""),9.0)</f>
        <v>9</v>
      </c>
      <c r="L181" s="88">
        <f>IFERROR(__xludf.DUMMYFUNCTION("""COMPUTED_VALUE"""),0.0)</f>
        <v>0</v>
      </c>
      <c r="M181" s="89">
        <f>IFERROR(__xludf.DUMMYFUNCTION("""COMPUTED_VALUE"""),209.0)</f>
        <v>209</v>
      </c>
      <c r="N181" s="89">
        <f>IFERROR(__xludf.DUMMYFUNCTION("""COMPUTED_VALUE"""),16.0)</f>
        <v>16</v>
      </c>
    </row>
    <row r="182">
      <c r="A182" s="11"/>
      <c r="B182" s="82" t="str">
        <f>IFERROR(__xludf.DUMMYFUNCTION("""COMPUTED_VALUE"""),"Robert Chang")</f>
        <v>Robert Chang</v>
      </c>
      <c r="C182" s="87">
        <f>IFERROR(__xludf.DUMMYFUNCTION("""COMPUTED_VALUE"""),195.0)</f>
        <v>195</v>
      </c>
      <c r="D182" s="87">
        <f>IFERROR(__xludf.DUMMYFUNCTION("""COMPUTED_VALUE"""),10.0)</f>
        <v>10</v>
      </c>
      <c r="E182" s="86">
        <f>IFERROR(__xludf.DUMMYFUNCTION("""COMPUTED_VALUE"""),3.0)</f>
        <v>3</v>
      </c>
      <c r="F182" s="88">
        <f>IFERROR(__xludf.DUMMYFUNCTION("""COMPUTED_VALUE"""),0.0)</f>
        <v>0</v>
      </c>
      <c r="G182" s="88">
        <f>IFERROR(__xludf.DUMMYFUNCTION("""COMPUTED_VALUE"""),9.0)</f>
        <v>9</v>
      </c>
      <c r="H182" s="88">
        <f>IFERROR(__xludf.DUMMYFUNCTION("""COMPUTED_VALUE"""),0.0)</f>
        <v>0</v>
      </c>
      <c r="I182" s="88">
        <f>IFERROR(__xludf.DUMMYFUNCTION("""COMPUTED_VALUE"""),0.0)</f>
        <v>0</v>
      </c>
      <c r="J182" s="88">
        <f>IFERROR(__xludf.DUMMYFUNCTION("""COMPUTED_VALUE"""),0.0)</f>
        <v>0</v>
      </c>
      <c r="K182" s="88">
        <f>IFERROR(__xludf.DUMMYFUNCTION("""COMPUTED_VALUE"""),9.0)</f>
        <v>9</v>
      </c>
      <c r="L182" s="88">
        <f>IFERROR(__xludf.DUMMYFUNCTION("""COMPUTED_VALUE"""),0.0)</f>
        <v>0</v>
      </c>
      <c r="M182" s="89">
        <f>IFERROR(__xludf.DUMMYFUNCTION("""COMPUTED_VALUE"""),204.0)</f>
        <v>204</v>
      </c>
      <c r="N182" s="89">
        <f>IFERROR(__xludf.DUMMYFUNCTION("""COMPUTED_VALUE"""),10.0)</f>
        <v>10</v>
      </c>
    </row>
    <row r="183">
      <c r="A183" s="11"/>
      <c r="B183" s="82" t="str">
        <f>IFERROR(__xludf.DUMMYFUNCTION("""COMPUTED_VALUE"""),"Wayne Liu")</f>
        <v>Wayne Liu</v>
      </c>
      <c r="C183" s="87">
        <f>IFERROR(__xludf.DUMMYFUNCTION("""COMPUTED_VALUE"""),188.0)</f>
        <v>188</v>
      </c>
      <c r="D183" s="87">
        <f>IFERROR(__xludf.DUMMYFUNCTION("""COMPUTED_VALUE"""),19.0)</f>
        <v>19</v>
      </c>
      <c r="E183" s="86">
        <f>IFERROR(__xludf.DUMMYFUNCTION("""COMPUTED_VALUE"""),3.0)</f>
        <v>3</v>
      </c>
      <c r="F183" s="88">
        <f>IFERROR(__xludf.DUMMYFUNCTION("""COMPUTED_VALUE"""),0.0)</f>
        <v>0</v>
      </c>
      <c r="G183" s="88">
        <f>IFERROR(__xludf.DUMMYFUNCTION("""COMPUTED_VALUE"""),9.0)</f>
        <v>9</v>
      </c>
      <c r="H183" s="88">
        <f>IFERROR(__xludf.DUMMYFUNCTION("""COMPUTED_VALUE"""),0.0)</f>
        <v>0</v>
      </c>
      <c r="I183" s="88">
        <f>IFERROR(__xludf.DUMMYFUNCTION("""COMPUTED_VALUE"""),0.0)</f>
        <v>0</v>
      </c>
      <c r="J183" s="88">
        <f>IFERROR(__xludf.DUMMYFUNCTION("""COMPUTED_VALUE"""),0.0)</f>
        <v>0</v>
      </c>
      <c r="K183" s="88">
        <f>IFERROR(__xludf.DUMMYFUNCTION("""COMPUTED_VALUE"""),9.0)</f>
        <v>9</v>
      </c>
      <c r="L183" s="88">
        <f>IFERROR(__xludf.DUMMYFUNCTION("""COMPUTED_VALUE"""),0.0)</f>
        <v>0</v>
      </c>
      <c r="M183" s="89">
        <f>IFERROR(__xludf.DUMMYFUNCTION("""COMPUTED_VALUE"""),197.0)</f>
        <v>197</v>
      </c>
      <c r="N183" s="89">
        <f>IFERROR(__xludf.DUMMYFUNCTION("""COMPUTED_VALUE"""),19.0)</f>
        <v>19</v>
      </c>
    </row>
    <row r="184">
      <c r="A184" s="11"/>
      <c r="B184" s="82" t="str">
        <f>IFERROR(__xludf.DUMMYFUNCTION("""COMPUTED_VALUE"""),"Jimmy Awolesi")</f>
        <v>Jimmy Awolesi</v>
      </c>
      <c r="C184" s="87">
        <f>IFERROR(__xludf.DUMMYFUNCTION("""COMPUTED_VALUE"""),180.0)</f>
        <v>180</v>
      </c>
      <c r="D184" s="87">
        <f>IFERROR(__xludf.DUMMYFUNCTION("""COMPUTED_VALUE"""),14.0)</f>
        <v>14</v>
      </c>
      <c r="E184" s="86">
        <f>IFERROR(__xludf.DUMMYFUNCTION("""COMPUTED_VALUE"""),3.0)</f>
        <v>3</v>
      </c>
      <c r="F184" s="88">
        <f>IFERROR(__xludf.DUMMYFUNCTION("""COMPUTED_VALUE"""),0.0)</f>
        <v>0</v>
      </c>
      <c r="G184" s="88">
        <f>IFERROR(__xludf.DUMMYFUNCTION("""COMPUTED_VALUE"""),9.0)</f>
        <v>9</v>
      </c>
      <c r="H184" s="88">
        <f>IFERROR(__xludf.DUMMYFUNCTION("""COMPUTED_VALUE"""),0.0)</f>
        <v>0</v>
      </c>
      <c r="I184" s="88">
        <f>IFERROR(__xludf.DUMMYFUNCTION("""COMPUTED_VALUE"""),0.0)</f>
        <v>0</v>
      </c>
      <c r="J184" s="88">
        <f>IFERROR(__xludf.DUMMYFUNCTION("""COMPUTED_VALUE"""),0.0)</f>
        <v>0</v>
      </c>
      <c r="K184" s="88">
        <f>IFERROR(__xludf.DUMMYFUNCTION("""COMPUTED_VALUE"""),9.0)</f>
        <v>9</v>
      </c>
      <c r="L184" s="88">
        <f>IFERROR(__xludf.DUMMYFUNCTION("""COMPUTED_VALUE"""),0.0)</f>
        <v>0</v>
      </c>
      <c r="M184" s="89">
        <f>IFERROR(__xludf.DUMMYFUNCTION("""COMPUTED_VALUE"""),189.0)</f>
        <v>189</v>
      </c>
      <c r="N184" s="89">
        <f>IFERROR(__xludf.DUMMYFUNCTION("""COMPUTED_VALUE"""),14.0)</f>
        <v>14</v>
      </c>
    </row>
    <row r="185">
      <c r="A185" s="11"/>
      <c r="B185" s="82" t="str">
        <f>IFERROR(__xludf.DUMMYFUNCTION("""COMPUTED_VALUE"""),"Vamsi Lolla ")</f>
        <v>Vamsi Lolla </v>
      </c>
      <c r="C185" s="87">
        <f>IFERROR(__xludf.DUMMYFUNCTION("""COMPUTED_VALUE"""),179.0)</f>
        <v>179</v>
      </c>
      <c r="D185" s="87">
        <f>IFERROR(__xludf.DUMMYFUNCTION("""COMPUTED_VALUE"""),9.0)</f>
        <v>9</v>
      </c>
      <c r="E185" s="86">
        <f>IFERROR(__xludf.DUMMYFUNCTION("""COMPUTED_VALUE"""),3.0)</f>
        <v>3</v>
      </c>
      <c r="F185" s="88">
        <f>IFERROR(__xludf.DUMMYFUNCTION("""COMPUTED_VALUE"""),0.0)</f>
        <v>0</v>
      </c>
      <c r="G185" s="88">
        <f>IFERROR(__xludf.DUMMYFUNCTION("""COMPUTED_VALUE"""),9.0)</f>
        <v>9</v>
      </c>
      <c r="H185" s="88">
        <f>IFERROR(__xludf.DUMMYFUNCTION("""COMPUTED_VALUE"""),0.0)</f>
        <v>0</v>
      </c>
      <c r="I185" s="88">
        <f>IFERROR(__xludf.DUMMYFUNCTION("""COMPUTED_VALUE"""),0.0)</f>
        <v>0</v>
      </c>
      <c r="J185" s="88">
        <f>IFERROR(__xludf.DUMMYFUNCTION("""COMPUTED_VALUE"""),0.0)</f>
        <v>0</v>
      </c>
      <c r="K185" s="88">
        <f>IFERROR(__xludf.DUMMYFUNCTION("""COMPUTED_VALUE"""),9.0)</f>
        <v>9</v>
      </c>
      <c r="L185" s="88">
        <f>IFERROR(__xludf.DUMMYFUNCTION("""COMPUTED_VALUE"""),0.0)</f>
        <v>0</v>
      </c>
      <c r="M185" s="89">
        <f>IFERROR(__xludf.DUMMYFUNCTION("""COMPUTED_VALUE"""),188.0)</f>
        <v>188</v>
      </c>
      <c r="N185" s="89">
        <f>IFERROR(__xludf.DUMMYFUNCTION("""COMPUTED_VALUE"""),9.0)</f>
        <v>9</v>
      </c>
    </row>
    <row r="186">
      <c r="A186" s="11"/>
      <c r="B186" s="82" t="str">
        <f>IFERROR(__xludf.DUMMYFUNCTION("""COMPUTED_VALUE"""),"Coco Yan")</f>
        <v>Coco Yan</v>
      </c>
      <c r="C186" s="87">
        <f>IFERROR(__xludf.DUMMYFUNCTION("""COMPUTED_VALUE"""),176.0)</f>
        <v>176</v>
      </c>
      <c r="D186" s="87">
        <f>IFERROR(__xludf.DUMMYFUNCTION("""COMPUTED_VALUE"""),11.0)</f>
        <v>11</v>
      </c>
      <c r="E186" s="86">
        <f>IFERROR(__xludf.DUMMYFUNCTION("""COMPUTED_VALUE"""),3.0)</f>
        <v>3</v>
      </c>
      <c r="F186" s="88">
        <f>IFERROR(__xludf.DUMMYFUNCTION("""COMPUTED_VALUE"""),0.0)</f>
        <v>0</v>
      </c>
      <c r="G186" s="88">
        <f>IFERROR(__xludf.DUMMYFUNCTION("""COMPUTED_VALUE"""),9.0)</f>
        <v>9</v>
      </c>
      <c r="H186" s="88">
        <f>IFERROR(__xludf.DUMMYFUNCTION("""COMPUTED_VALUE"""),0.0)</f>
        <v>0</v>
      </c>
      <c r="I186" s="88">
        <f>IFERROR(__xludf.DUMMYFUNCTION("""COMPUTED_VALUE"""),0.0)</f>
        <v>0</v>
      </c>
      <c r="J186" s="88">
        <f>IFERROR(__xludf.DUMMYFUNCTION("""COMPUTED_VALUE"""),0.0)</f>
        <v>0</v>
      </c>
      <c r="K186" s="88">
        <f>IFERROR(__xludf.DUMMYFUNCTION("""COMPUTED_VALUE"""),9.0)</f>
        <v>9</v>
      </c>
      <c r="L186" s="88">
        <f>IFERROR(__xludf.DUMMYFUNCTION("""COMPUTED_VALUE"""),0.0)</f>
        <v>0</v>
      </c>
      <c r="M186" s="89">
        <f>IFERROR(__xludf.DUMMYFUNCTION("""COMPUTED_VALUE"""),185.0)</f>
        <v>185</v>
      </c>
      <c r="N186" s="89">
        <f>IFERROR(__xludf.DUMMYFUNCTION("""COMPUTED_VALUE"""),11.0)</f>
        <v>11</v>
      </c>
    </row>
    <row r="187">
      <c r="A187" s="11"/>
      <c r="B187" s="82" t="str">
        <f>IFERROR(__xludf.DUMMYFUNCTION("""COMPUTED_VALUE"""),"Elayaraja Thangaraj ")</f>
        <v>Elayaraja Thangaraj </v>
      </c>
      <c r="C187" s="87">
        <f>IFERROR(__xludf.DUMMYFUNCTION("""COMPUTED_VALUE"""),172.0)</f>
        <v>172</v>
      </c>
      <c r="D187" s="87">
        <f>IFERROR(__xludf.DUMMYFUNCTION("""COMPUTED_VALUE"""),6.0)</f>
        <v>6</v>
      </c>
      <c r="E187" s="86">
        <f>IFERROR(__xludf.DUMMYFUNCTION("""COMPUTED_VALUE"""),3.0)</f>
        <v>3</v>
      </c>
      <c r="F187" s="88">
        <f>IFERROR(__xludf.DUMMYFUNCTION("""COMPUTED_VALUE"""),0.0)</f>
        <v>0</v>
      </c>
      <c r="G187" s="88">
        <f>IFERROR(__xludf.DUMMYFUNCTION("""COMPUTED_VALUE"""),9.0)</f>
        <v>9</v>
      </c>
      <c r="H187" s="88">
        <f>IFERROR(__xludf.DUMMYFUNCTION("""COMPUTED_VALUE"""),0.0)</f>
        <v>0</v>
      </c>
      <c r="I187" s="88">
        <f>IFERROR(__xludf.DUMMYFUNCTION("""COMPUTED_VALUE"""),0.0)</f>
        <v>0</v>
      </c>
      <c r="J187" s="88">
        <f>IFERROR(__xludf.DUMMYFUNCTION("""COMPUTED_VALUE"""),0.0)</f>
        <v>0</v>
      </c>
      <c r="K187" s="88">
        <f>IFERROR(__xludf.DUMMYFUNCTION("""COMPUTED_VALUE"""),9.0)</f>
        <v>9</v>
      </c>
      <c r="L187" s="88">
        <f>IFERROR(__xludf.DUMMYFUNCTION("""COMPUTED_VALUE"""),0.0)</f>
        <v>0</v>
      </c>
      <c r="M187" s="89">
        <f>IFERROR(__xludf.DUMMYFUNCTION("""COMPUTED_VALUE"""),181.0)</f>
        <v>181</v>
      </c>
      <c r="N187" s="89">
        <f>IFERROR(__xludf.DUMMYFUNCTION("""COMPUTED_VALUE"""),6.0)</f>
        <v>6</v>
      </c>
    </row>
    <row r="188">
      <c r="A188" s="11"/>
      <c r="B188" s="82" t="str">
        <f>IFERROR(__xludf.DUMMYFUNCTION("""COMPUTED_VALUE"""),"Sai Dilip Ponnaganti")</f>
        <v>Sai Dilip Ponnaganti</v>
      </c>
      <c r="C188" s="87">
        <f>IFERROR(__xludf.DUMMYFUNCTION("""COMPUTED_VALUE"""),169.0)</f>
        <v>169</v>
      </c>
      <c r="D188" s="87">
        <f>IFERROR(__xludf.DUMMYFUNCTION("""COMPUTED_VALUE"""),7.0)</f>
        <v>7</v>
      </c>
      <c r="E188" s="86">
        <f>IFERROR(__xludf.DUMMYFUNCTION("""COMPUTED_VALUE"""),3.0)</f>
        <v>3</v>
      </c>
      <c r="F188" s="88">
        <f>IFERROR(__xludf.DUMMYFUNCTION("""COMPUTED_VALUE"""),0.0)</f>
        <v>0</v>
      </c>
      <c r="G188" s="88">
        <f>IFERROR(__xludf.DUMMYFUNCTION("""COMPUTED_VALUE"""),9.0)</f>
        <v>9</v>
      </c>
      <c r="H188" s="88">
        <f>IFERROR(__xludf.DUMMYFUNCTION("""COMPUTED_VALUE"""),0.0)</f>
        <v>0</v>
      </c>
      <c r="I188" s="88">
        <f>IFERROR(__xludf.DUMMYFUNCTION("""COMPUTED_VALUE"""),0.0)</f>
        <v>0</v>
      </c>
      <c r="J188" s="88">
        <f>IFERROR(__xludf.DUMMYFUNCTION("""COMPUTED_VALUE"""),0.0)</f>
        <v>0</v>
      </c>
      <c r="K188" s="88">
        <f>IFERROR(__xludf.DUMMYFUNCTION("""COMPUTED_VALUE"""),9.0)</f>
        <v>9</v>
      </c>
      <c r="L188" s="88">
        <f>IFERROR(__xludf.DUMMYFUNCTION("""COMPUTED_VALUE"""),0.0)</f>
        <v>0</v>
      </c>
      <c r="M188" s="89">
        <f>IFERROR(__xludf.DUMMYFUNCTION("""COMPUTED_VALUE"""),178.0)</f>
        <v>178</v>
      </c>
      <c r="N188" s="89">
        <f>IFERROR(__xludf.DUMMYFUNCTION("""COMPUTED_VALUE"""),7.0)</f>
        <v>7</v>
      </c>
    </row>
    <row r="189">
      <c r="A189" s="11"/>
      <c r="B189" s="82" t="str">
        <f>IFERROR(__xludf.DUMMYFUNCTION("""COMPUTED_VALUE"""),"Balaji Alahari")</f>
        <v>Balaji Alahari</v>
      </c>
      <c r="C189" s="87">
        <f>IFERROR(__xludf.DUMMYFUNCTION("""COMPUTED_VALUE"""),168.0)</f>
        <v>168</v>
      </c>
      <c r="D189" s="87">
        <f>IFERROR(__xludf.DUMMYFUNCTION("""COMPUTED_VALUE"""),7.0)</f>
        <v>7</v>
      </c>
      <c r="E189" s="86">
        <f>IFERROR(__xludf.DUMMYFUNCTION("""COMPUTED_VALUE"""),3.0)</f>
        <v>3</v>
      </c>
      <c r="F189" s="88">
        <f>IFERROR(__xludf.DUMMYFUNCTION("""COMPUTED_VALUE"""),0.0)</f>
        <v>0</v>
      </c>
      <c r="G189" s="88">
        <f>IFERROR(__xludf.DUMMYFUNCTION("""COMPUTED_VALUE"""),9.0)</f>
        <v>9</v>
      </c>
      <c r="H189" s="88">
        <f>IFERROR(__xludf.DUMMYFUNCTION("""COMPUTED_VALUE"""),0.0)</f>
        <v>0</v>
      </c>
      <c r="I189" s="88">
        <f>IFERROR(__xludf.DUMMYFUNCTION("""COMPUTED_VALUE"""),0.0)</f>
        <v>0</v>
      </c>
      <c r="J189" s="88">
        <f>IFERROR(__xludf.DUMMYFUNCTION("""COMPUTED_VALUE"""),0.0)</f>
        <v>0</v>
      </c>
      <c r="K189" s="88">
        <f>IFERROR(__xludf.DUMMYFUNCTION("""COMPUTED_VALUE"""),9.0)</f>
        <v>9</v>
      </c>
      <c r="L189" s="88">
        <f>IFERROR(__xludf.DUMMYFUNCTION("""COMPUTED_VALUE"""),0.0)</f>
        <v>0</v>
      </c>
      <c r="M189" s="89">
        <f>IFERROR(__xludf.DUMMYFUNCTION("""COMPUTED_VALUE"""),177.0)</f>
        <v>177</v>
      </c>
      <c r="N189" s="89">
        <f>IFERROR(__xludf.DUMMYFUNCTION("""COMPUTED_VALUE"""),7.0)</f>
        <v>7</v>
      </c>
    </row>
    <row r="190">
      <c r="A190" s="11"/>
      <c r="B190" s="82" t="str">
        <f>IFERROR(__xludf.DUMMYFUNCTION("""COMPUTED_VALUE"""),"Mauricio Palacios")</f>
        <v>Mauricio Palacios</v>
      </c>
      <c r="C190" s="87">
        <f>IFERROR(__xludf.DUMMYFUNCTION("""COMPUTED_VALUE"""),168.0)</f>
        <v>168</v>
      </c>
      <c r="D190" s="87">
        <f>IFERROR(__xludf.DUMMYFUNCTION("""COMPUTED_VALUE"""),7.0)</f>
        <v>7</v>
      </c>
      <c r="E190" s="86">
        <f>IFERROR(__xludf.DUMMYFUNCTION("""COMPUTED_VALUE"""),3.0)</f>
        <v>3</v>
      </c>
      <c r="F190" s="88">
        <f>IFERROR(__xludf.DUMMYFUNCTION("""COMPUTED_VALUE"""),0.0)</f>
        <v>0</v>
      </c>
      <c r="G190" s="88">
        <f>IFERROR(__xludf.DUMMYFUNCTION("""COMPUTED_VALUE"""),9.0)</f>
        <v>9</v>
      </c>
      <c r="H190" s="88">
        <f>IFERROR(__xludf.DUMMYFUNCTION("""COMPUTED_VALUE"""),0.0)</f>
        <v>0</v>
      </c>
      <c r="I190" s="88">
        <f>IFERROR(__xludf.DUMMYFUNCTION("""COMPUTED_VALUE"""),0.0)</f>
        <v>0</v>
      </c>
      <c r="J190" s="88">
        <f>IFERROR(__xludf.DUMMYFUNCTION("""COMPUTED_VALUE"""),0.0)</f>
        <v>0</v>
      </c>
      <c r="K190" s="88">
        <f>IFERROR(__xludf.DUMMYFUNCTION("""COMPUTED_VALUE"""),9.0)</f>
        <v>9</v>
      </c>
      <c r="L190" s="88">
        <f>IFERROR(__xludf.DUMMYFUNCTION("""COMPUTED_VALUE"""),0.0)</f>
        <v>0</v>
      </c>
      <c r="M190" s="89">
        <f>IFERROR(__xludf.DUMMYFUNCTION("""COMPUTED_VALUE"""),177.0)</f>
        <v>177</v>
      </c>
      <c r="N190" s="89">
        <f>IFERROR(__xludf.DUMMYFUNCTION("""COMPUTED_VALUE"""),7.0)</f>
        <v>7</v>
      </c>
    </row>
    <row r="191">
      <c r="A191" s="11"/>
      <c r="B191" s="82" t="str">
        <f>IFERROR(__xludf.DUMMYFUNCTION("""COMPUTED_VALUE"""),"Tony Lin")</f>
        <v>Tony Lin</v>
      </c>
      <c r="C191" s="87">
        <f>IFERROR(__xludf.DUMMYFUNCTION("""COMPUTED_VALUE"""),168.0)</f>
        <v>168</v>
      </c>
      <c r="D191" s="87">
        <f>IFERROR(__xludf.DUMMYFUNCTION("""COMPUTED_VALUE"""),6.0)</f>
        <v>6</v>
      </c>
      <c r="E191" s="86">
        <f>IFERROR(__xludf.DUMMYFUNCTION("""COMPUTED_VALUE"""),3.0)</f>
        <v>3</v>
      </c>
      <c r="F191" s="88">
        <f>IFERROR(__xludf.DUMMYFUNCTION("""COMPUTED_VALUE"""),0.0)</f>
        <v>0</v>
      </c>
      <c r="G191" s="88">
        <f>IFERROR(__xludf.DUMMYFUNCTION("""COMPUTED_VALUE"""),9.0)</f>
        <v>9</v>
      </c>
      <c r="H191" s="88">
        <f>IFERROR(__xludf.DUMMYFUNCTION("""COMPUTED_VALUE"""),0.0)</f>
        <v>0</v>
      </c>
      <c r="I191" s="88">
        <f>IFERROR(__xludf.DUMMYFUNCTION("""COMPUTED_VALUE"""),0.0)</f>
        <v>0</v>
      </c>
      <c r="J191" s="88">
        <f>IFERROR(__xludf.DUMMYFUNCTION("""COMPUTED_VALUE"""),0.0)</f>
        <v>0</v>
      </c>
      <c r="K191" s="88">
        <f>IFERROR(__xludf.DUMMYFUNCTION("""COMPUTED_VALUE"""),9.0)</f>
        <v>9</v>
      </c>
      <c r="L191" s="88">
        <f>IFERROR(__xludf.DUMMYFUNCTION("""COMPUTED_VALUE"""),0.0)</f>
        <v>0</v>
      </c>
      <c r="M191" s="89">
        <f>IFERROR(__xludf.DUMMYFUNCTION("""COMPUTED_VALUE"""),177.0)</f>
        <v>177</v>
      </c>
      <c r="N191" s="89">
        <f>IFERROR(__xludf.DUMMYFUNCTION("""COMPUTED_VALUE"""),6.0)</f>
        <v>6</v>
      </c>
    </row>
    <row r="192">
      <c r="A192" s="11"/>
      <c r="B192" s="82" t="str">
        <f>IFERROR(__xludf.DUMMYFUNCTION("""COMPUTED_VALUE"""),"Santosh Sundaresan ")</f>
        <v>Santosh Sundaresan </v>
      </c>
      <c r="C192" s="87">
        <f>IFERROR(__xludf.DUMMYFUNCTION("""COMPUTED_VALUE"""),165.0)</f>
        <v>165</v>
      </c>
      <c r="D192" s="87">
        <f>IFERROR(__xludf.DUMMYFUNCTION("""COMPUTED_VALUE"""),5.0)</f>
        <v>5</v>
      </c>
      <c r="E192" s="86">
        <f>IFERROR(__xludf.DUMMYFUNCTION("""COMPUTED_VALUE"""),3.0)</f>
        <v>3</v>
      </c>
      <c r="F192" s="88">
        <f>IFERROR(__xludf.DUMMYFUNCTION("""COMPUTED_VALUE"""),0.0)</f>
        <v>0</v>
      </c>
      <c r="G192" s="88">
        <f>IFERROR(__xludf.DUMMYFUNCTION("""COMPUTED_VALUE"""),9.0)</f>
        <v>9</v>
      </c>
      <c r="H192" s="88">
        <f>IFERROR(__xludf.DUMMYFUNCTION("""COMPUTED_VALUE"""),0.0)</f>
        <v>0</v>
      </c>
      <c r="I192" s="88">
        <f>IFERROR(__xludf.DUMMYFUNCTION("""COMPUTED_VALUE"""),0.0)</f>
        <v>0</v>
      </c>
      <c r="J192" s="88">
        <f>IFERROR(__xludf.DUMMYFUNCTION("""COMPUTED_VALUE"""),0.0)</f>
        <v>0</v>
      </c>
      <c r="K192" s="88">
        <f>IFERROR(__xludf.DUMMYFUNCTION("""COMPUTED_VALUE"""),9.0)</f>
        <v>9</v>
      </c>
      <c r="L192" s="88">
        <f>IFERROR(__xludf.DUMMYFUNCTION("""COMPUTED_VALUE"""),0.0)</f>
        <v>0</v>
      </c>
      <c r="M192" s="89">
        <f>IFERROR(__xludf.DUMMYFUNCTION("""COMPUTED_VALUE"""),174.0)</f>
        <v>174</v>
      </c>
      <c r="N192" s="89">
        <f>IFERROR(__xludf.DUMMYFUNCTION("""COMPUTED_VALUE"""),5.0)</f>
        <v>5</v>
      </c>
    </row>
    <row r="193">
      <c r="A193" s="11"/>
      <c r="B193" s="82" t="str">
        <f>IFERROR(__xludf.DUMMYFUNCTION("""COMPUTED_VALUE"""),"Naveen Raj")</f>
        <v>Naveen Raj</v>
      </c>
      <c r="C193" s="87">
        <f>IFERROR(__xludf.DUMMYFUNCTION("""COMPUTED_VALUE"""),163.0)</f>
        <v>163</v>
      </c>
      <c r="D193" s="87">
        <f>IFERROR(__xludf.DUMMYFUNCTION("""COMPUTED_VALUE"""),4.0)</f>
        <v>4</v>
      </c>
      <c r="E193" s="86">
        <f>IFERROR(__xludf.DUMMYFUNCTION("""COMPUTED_VALUE"""),3.0)</f>
        <v>3</v>
      </c>
      <c r="F193" s="88">
        <f>IFERROR(__xludf.DUMMYFUNCTION("""COMPUTED_VALUE"""),0.0)</f>
        <v>0</v>
      </c>
      <c r="G193" s="88">
        <f>IFERROR(__xludf.DUMMYFUNCTION("""COMPUTED_VALUE"""),9.0)</f>
        <v>9</v>
      </c>
      <c r="H193" s="88">
        <f>IFERROR(__xludf.DUMMYFUNCTION("""COMPUTED_VALUE"""),0.0)</f>
        <v>0</v>
      </c>
      <c r="I193" s="88">
        <f>IFERROR(__xludf.DUMMYFUNCTION("""COMPUTED_VALUE"""),0.0)</f>
        <v>0</v>
      </c>
      <c r="J193" s="88">
        <f>IFERROR(__xludf.DUMMYFUNCTION("""COMPUTED_VALUE"""),0.0)</f>
        <v>0</v>
      </c>
      <c r="K193" s="88">
        <f>IFERROR(__xludf.DUMMYFUNCTION("""COMPUTED_VALUE"""),9.0)</f>
        <v>9</v>
      </c>
      <c r="L193" s="88">
        <f>IFERROR(__xludf.DUMMYFUNCTION("""COMPUTED_VALUE"""),0.0)</f>
        <v>0</v>
      </c>
      <c r="M193" s="89">
        <f>IFERROR(__xludf.DUMMYFUNCTION("""COMPUTED_VALUE"""),172.0)</f>
        <v>172</v>
      </c>
      <c r="N193" s="89">
        <f>IFERROR(__xludf.DUMMYFUNCTION("""COMPUTED_VALUE"""),4.0)</f>
        <v>4</v>
      </c>
    </row>
    <row r="194">
      <c r="A194" s="11"/>
      <c r="B194" s="82" t="str">
        <f>IFERROR(__xludf.DUMMYFUNCTION("""COMPUTED_VALUE"""),"Eric Tan")</f>
        <v>Eric Tan</v>
      </c>
      <c r="C194" s="87">
        <f>IFERROR(__xludf.DUMMYFUNCTION("""COMPUTED_VALUE"""),160.0)</f>
        <v>160</v>
      </c>
      <c r="D194" s="87">
        <f>IFERROR(__xludf.DUMMYFUNCTION("""COMPUTED_VALUE"""),11.0)</f>
        <v>11</v>
      </c>
      <c r="E194" s="86">
        <f>IFERROR(__xludf.DUMMYFUNCTION("""COMPUTED_VALUE"""),3.0)</f>
        <v>3</v>
      </c>
      <c r="F194" s="88">
        <f>IFERROR(__xludf.DUMMYFUNCTION("""COMPUTED_VALUE"""),0.0)</f>
        <v>0</v>
      </c>
      <c r="G194" s="88">
        <f>IFERROR(__xludf.DUMMYFUNCTION("""COMPUTED_VALUE"""),9.0)</f>
        <v>9</v>
      </c>
      <c r="H194" s="88">
        <f>IFERROR(__xludf.DUMMYFUNCTION("""COMPUTED_VALUE"""),0.0)</f>
        <v>0</v>
      </c>
      <c r="I194" s="88">
        <f>IFERROR(__xludf.DUMMYFUNCTION("""COMPUTED_VALUE"""),0.0)</f>
        <v>0</v>
      </c>
      <c r="J194" s="88">
        <f>IFERROR(__xludf.DUMMYFUNCTION("""COMPUTED_VALUE"""),0.0)</f>
        <v>0</v>
      </c>
      <c r="K194" s="88">
        <f>IFERROR(__xludf.DUMMYFUNCTION("""COMPUTED_VALUE"""),9.0)</f>
        <v>9</v>
      </c>
      <c r="L194" s="88">
        <f>IFERROR(__xludf.DUMMYFUNCTION("""COMPUTED_VALUE"""),0.0)</f>
        <v>0</v>
      </c>
      <c r="M194" s="89">
        <f>IFERROR(__xludf.DUMMYFUNCTION("""COMPUTED_VALUE"""),169.0)</f>
        <v>169</v>
      </c>
      <c r="N194" s="89">
        <f>IFERROR(__xludf.DUMMYFUNCTION("""COMPUTED_VALUE"""),11.0)</f>
        <v>11</v>
      </c>
    </row>
    <row r="195">
      <c r="A195" s="11"/>
      <c r="B195" s="82" t="str">
        <f>IFERROR(__xludf.DUMMYFUNCTION("""COMPUTED_VALUE"""),"Vinaya Kajla")</f>
        <v>Vinaya Kajla</v>
      </c>
      <c r="C195" s="87">
        <f>IFERROR(__xludf.DUMMYFUNCTION("""COMPUTED_VALUE"""),160.0)</f>
        <v>160</v>
      </c>
      <c r="D195" s="87">
        <f>IFERROR(__xludf.DUMMYFUNCTION("""COMPUTED_VALUE"""),9.0)</f>
        <v>9</v>
      </c>
      <c r="E195" s="86">
        <f>IFERROR(__xludf.DUMMYFUNCTION("""COMPUTED_VALUE"""),3.0)</f>
        <v>3</v>
      </c>
      <c r="F195" s="88">
        <f>IFERROR(__xludf.DUMMYFUNCTION("""COMPUTED_VALUE"""),0.0)</f>
        <v>0</v>
      </c>
      <c r="G195" s="88">
        <f>IFERROR(__xludf.DUMMYFUNCTION("""COMPUTED_VALUE"""),9.0)</f>
        <v>9</v>
      </c>
      <c r="H195" s="88">
        <f>IFERROR(__xludf.DUMMYFUNCTION("""COMPUTED_VALUE"""),0.0)</f>
        <v>0</v>
      </c>
      <c r="I195" s="88">
        <f>IFERROR(__xludf.DUMMYFUNCTION("""COMPUTED_VALUE"""),0.0)</f>
        <v>0</v>
      </c>
      <c r="J195" s="88">
        <f>IFERROR(__xludf.DUMMYFUNCTION("""COMPUTED_VALUE"""),0.0)</f>
        <v>0</v>
      </c>
      <c r="K195" s="88">
        <f>IFERROR(__xludf.DUMMYFUNCTION("""COMPUTED_VALUE"""),9.0)</f>
        <v>9</v>
      </c>
      <c r="L195" s="88">
        <f>IFERROR(__xludf.DUMMYFUNCTION("""COMPUTED_VALUE"""),0.0)</f>
        <v>0</v>
      </c>
      <c r="M195" s="89">
        <f>IFERROR(__xludf.DUMMYFUNCTION("""COMPUTED_VALUE"""),169.0)</f>
        <v>169</v>
      </c>
      <c r="N195" s="89">
        <f>IFERROR(__xludf.DUMMYFUNCTION("""COMPUTED_VALUE"""),9.0)</f>
        <v>9</v>
      </c>
    </row>
    <row r="196">
      <c r="A196" s="11"/>
      <c r="B196" s="82" t="str">
        <f>IFERROR(__xludf.DUMMYFUNCTION("""COMPUTED_VALUE"""),"Susanta Mishra")</f>
        <v>Susanta Mishra</v>
      </c>
      <c r="C196" s="87">
        <f>IFERROR(__xludf.DUMMYFUNCTION("""COMPUTED_VALUE"""),160.0)</f>
        <v>160</v>
      </c>
      <c r="D196" s="87">
        <f>IFERROR(__xludf.DUMMYFUNCTION("""COMPUTED_VALUE"""),3.0)</f>
        <v>3</v>
      </c>
      <c r="E196" s="86">
        <f>IFERROR(__xludf.DUMMYFUNCTION("""COMPUTED_VALUE"""),3.0)</f>
        <v>3</v>
      </c>
      <c r="F196" s="88">
        <f>IFERROR(__xludf.DUMMYFUNCTION("""COMPUTED_VALUE"""),0.0)</f>
        <v>0</v>
      </c>
      <c r="G196" s="88">
        <f>IFERROR(__xludf.DUMMYFUNCTION("""COMPUTED_VALUE"""),9.0)</f>
        <v>9</v>
      </c>
      <c r="H196" s="88">
        <f>IFERROR(__xludf.DUMMYFUNCTION("""COMPUTED_VALUE"""),0.0)</f>
        <v>0</v>
      </c>
      <c r="I196" s="88">
        <f>IFERROR(__xludf.DUMMYFUNCTION("""COMPUTED_VALUE"""),0.0)</f>
        <v>0</v>
      </c>
      <c r="J196" s="88">
        <f>IFERROR(__xludf.DUMMYFUNCTION("""COMPUTED_VALUE"""),0.0)</f>
        <v>0</v>
      </c>
      <c r="K196" s="88">
        <f>IFERROR(__xludf.DUMMYFUNCTION("""COMPUTED_VALUE"""),9.0)</f>
        <v>9</v>
      </c>
      <c r="L196" s="88">
        <f>IFERROR(__xludf.DUMMYFUNCTION("""COMPUTED_VALUE"""),0.0)</f>
        <v>0</v>
      </c>
      <c r="M196" s="89">
        <f>IFERROR(__xludf.DUMMYFUNCTION("""COMPUTED_VALUE"""),169.0)</f>
        <v>169</v>
      </c>
      <c r="N196" s="89">
        <f>IFERROR(__xludf.DUMMYFUNCTION("""COMPUTED_VALUE"""),3.0)</f>
        <v>3</v>
      </c>
    </row>
    <row r="197">
      <c r="A197" s="11"/>
      <c r="B197" s="82" t="str">
        <f>IFERROR(__xludf.DUMMYFUNCTION("""COMPUTED_VALUE"""),"Trinath Goteti")</f>
        <v>Trinath Goteti</v>
      </c>
      <c r="C197" s="87">
        <f>IFERROR(__xludf.DUMMYFUNCTION("""COMPUTED_VALUE"""),157.0)</f>
        <v>157</v>
      </c>
      <c r="D197" s="87">
        <f>IFERROR(__xludf.DUMMYFUNCTION("""COMPUTED_VALUE"""),4.0)</f>
        <v>4</v>
      </c>
      <c r="E197" s="86">
        <f>IFERROR(__xludf.DUMMYFUNCTION("""COMPUTED_VALUE"""),3.0)</f>
        <v>3</v>
      </c>
      <c r="F197" s="88">
        <f>IFERROR(__xludf.DUMMYFUNCTION("""COMPUTED_VALUE"""),0.0)</f>
        <v>0</v>
      </c>
      <c r="G197" s="88">
        <f>IFERROR(__xludf.DUMMYFUNCTION("""COMPUTED_VALUE"""),9.0)</f>
        <v>9</v>
      </c>
      <c r="H197" s="88">
        <f>IFERROR(__xludf.DUMMYFUNCTION("""COMPUTED_VALUE"""),0.0)</f>
        <v>0</v>
      </c>
      <c r="I197" s="88">
        <f>IFERROR(__xludf.DUMMYFUNCTION("""COMPUTED_VALUE"""),0.0)</f>
        <v>0</v>
      </c>
      <c r="J197" s="88">
        <f>IFERROR(__xludf.DUMMYFUNCTION("""COMPUTED_VALUE"""),0.0)</f>
        <v>0</v>
      </c>
      <c r="K197" s="88">
        <f>IFERROR(__xludf.DUMMYFUNCTION("""COMPUTED_VALUE"""),9.0)</f>
        <v>9</v>
      </c>
      <c r="L197" s="88">
        <f>IFERROR(__xludf.DUMMYFUNCTION("""COMPUTED_VALUE"""),0.0)</f>
        <v>0</v>
      </c>
      <c r="M197" s="89">
        <f>IFERROR(__xludf.DUMMYFUNCTION("""COMPUTED_VALUE"""),166.0)</f>
        <v>166</v>
      </c>
      <c r="N197" s="89">
        <f>IFERROR(__xludf.DUMMYFUNCTION("""COMPUTED_VALUE"""),4.0)</f>
        <v>4</v>
      </c>
    </row>
    <row r="198">
      <c r="A198" s="11"/>
      <c r="B198" s="82" t="str">
        <f>IFERROR(__xludf.DUMMYFUNCTION("""COMPUTED_VALUE"""),"Sandy Weyant")</f>
        <v>Sandy Weyant</v>
      </c>
      <c r="C198" s="87">
        <f>IFERROR(__xludf.DUMMYFUNCTION("""COMPUTED_VALUE"""),156.0)</f>
        <v>156</v>
      </c>
      <c r="D198" s="87">
        <f>IFERROR(__xludf.DUMMYFUNCTION("""COMPUTED_VALUE"""),7.0)</f>
        <v>7</v>
      </c>
      <c r="E198" s="86">
        <f>IFERROR(__xludf.DUMMYFUNCTION("""COMPUTED_VALUE"""),3.0)</f>
        <v>3</v>
      </c>
      <c r="F198" s="88">
        <f>IFERROR(__xludf.DUMMYFUNCTION("""COMPUTED_VALUE"""),0.0)</f>
        <v>0</v>
      </c>
      <c r="G198" s="88">
        <f>IFERROR(__xludf.DUMMYFUNCTION("""COMPUTED_VALUE"""),9.0)</f>
        <v>9</v>
      </c>
      <c r="H198" s="88">
        <f>IFERROR(__xludf.DUMMYFUNCTION("""COMPUTED_VALUE"""),0.0)</f>
        <v>0</v>
      </c>
      <c r="I198" s="88">
        <f>IFERROR(__xludf.DUMMYFUNCTION("""COMPUTED_VALUE"""),0.0)</f>
        <v>0</v>
      </c>
      <c r="J198" s="88">
        <f>IFERROR(__xludf.DUMMYFUNCTION("""COMPUTED_VALUE"""),0.0)</f>
        <v>0</v>
      </c>
      <c r="K198" s="88">
        <f>IFERROR(__xludf.DUMMYFUNCTION("""COMPUTED_VALUE"""),9.0)</f>
        <v>9</v>
      </c>
      <c r="L198" s="88">
        <f>IFERROR(__xludf.DUMMYFUNCTION("""COMPUTED_VALUE"""),0.0)</f>
        <v>0</v>
      </c>
      <c r="M198" s="89">
        <f>IFERROR(__xludf.DUMMYFUNCTION("""COMPUTED_VALUE"""),165.0)</f>
        <v>165</v>
      </c>
      <c r="N198" s="89">
        <f>IFERROR(__xludf.DUMMYFUNCTION("""COMPUTED_VALUE"""),7.0)</f>
        <v>7</v>
      </c>
    </row>
    <row r="199">
      <c r="A199" s="11"/>
      <c r="B199" s="82" t="str">
        <f>IFERROR(__xludf.DUMMYFUNCTION("""COMPUTED_VALUE"""),"Manish Anand")</f>
        <v>Manish Anand</v>
      </c>
      <c r="C199" s="87">
        <f>IFERROR(__xludf.DUMMYFUNCTION("""COMPUTED_VALUE"""),156.0)</f>
        <v>156</v>
      </c>
      <c r="D199" s="87">
        <f>IFERROR(__xludf.DUMMYFUNCTION("""COMPUTED_VALUE"""),5.0)</f>
        <v>5</v>
      </c>
      <c r="E199" s="86">
        <f>IFERROR(__xludf.DUMMYFUNCTION("""COMPUTED_VALUE"""),3.0)</f>
        <v>3</v>
      </c>
      <c r="F199" s="88">
        <f>IFERROR(__xludf.DUMMYFUNCTION("""COMPUTED_VALUE"""),0.0)</f>
        <v>0</v>
      </c>
      <c r="G199" s="88">
        <f>IFERROR(__xludf.DUMMYFUNCTION("""COMPUTED_VALUE"""),9.0)</f>
        <v>9</v>
      </c>
      <c r="H199" s="88">
        <f>IFERROR(__xludf.DUMMYFUNCTION("""COMPUTED_VALUE"""),0.0)</f>
        <v>0</v>
      </c>
      <c r="I199" s="88">
        <f>IFERROR(__xludf.DUMMYFUNCTION("""COMPUTED_VALUE"""),0.0)</f>
        <v>0</v>
      </c>
      <c r="J199" s="88">
        <f>IFERROR(__xludf.DUMMYFUNCTION("""COMPUTED_VALUE"""),0.0)</f>
        <v>0</v>
      </c>
      <c r="K199" s="88">
        <f>IFERROR(__xludf.DUMMYFUNCTION("""COMPUTED_VALUE"""),9.0)</f>
        <v>9</v>
      </c>
      <c r="L199" s="88">
        <f>IFERROR(__xludf.DUMMYFUNCTION("""COMPUTED_VALUE"""),0.0)</f>
        <v>0</v>
      </c>
      <c r="M199" s="89">
        <f>IFERROR(__xludf.DUMMYFUNCTION("""COMPUTED_VALUE"""),165.0)</f>
        <v>165</v>
      </c>
      <c r="N199" s="89">
        <f>IFERROR(__xludf.DUMMYFUNCTION("""COMPUTED_VALUE"""),5.0)</f>
        <v>5</v>
      </c>
    </row>
    <row r="200">
      <c r="A200" s="11"/>
      <c r="B200" s="82" t="str">
        <f>IFERROR(__xludf.DUMMYFUNCTION("""COMPUTED_VALUE"""),"Rajesh Dorairaj")</f>
        <v>Rajesh Dorairaj</v>
      </c>
      <c r="C200" s="87">
        <f>IFERROR(__xludf.DUMMYFUNCTION("""COMPUTED_VALUE"""),154.0)</f>
        <v>154</v>
      </c>
      <c r="D200" s="87">
        <f>IFERROR(__xludf.DUMMYFUNCTION("""COMPUTED_VALUE"""),6.0)</f>
        <v>6</v>
      </c>
      <c r="E200" s="86">
        <f>IFERROR(__xludf.DUMMYFUNCTION("""COMPUTED_VALUE"""),3.0)</f>
        <v>3</v>
      </c>
      <c r="F200" s="88">
        <f>IFERROR(__xludf.DUMMYFUNCTION("""COMPUTED_VALUE"""),0.0)</f>
        <v>0</v>
      </c>
      <c r="G200" s="88">
        <f>IFERROR(__xludf.DUMMYFUNCTION("""COMPUTED_VALUE"""),9.0)</f>
        <v>9</v>
      </c>
      <c r="H200" s="88">
        <f>IFERROR(__xludf.DUMMYFUNCTION("""COMPUTED_VALUE"""),0.0)</f>
        <v>0</v>
      </c>
      <c r="I200" s="88">
        <f>IFERROR(__xludf.DUMMYFUNCTION("""COMPUTED_VALUE"""),0.0)</f>
        <v>0</v>
      </c>
      <c r="J200" s="88">
        <f>IFERROR(__xludf.DUMMYFUNCTION("""COMPUTED_VALUE"""),0.0)</f>
        <v>0</v>
      </c>
      <c r="K200" s="88">
        <f>IFERROR(__xludf.DUMMYFUNCTION("""COMPUTED_VALUE"""),9.0)</f>
        <v>9</v>
      </c>
      <c r="L200" s="88">
        <f>IFERROR(__xludf.DUMMYFUNCTION("""COMPUTED_VALUE"""),0.0)</f>
        <v>0</v>
      </c>
      <c r="M200" s="89">
        <f>IFERROR(__xludf.DUMMYFUNCTION("""COMPUTED_VALUE"""),163.0)</f>
        <v>163</v>
      </c>
      <c r="N200" s="89">
        <f>IFERROR(__xludf.DUMMYFUNCTION("""COMPUTED_VALUE"""),6.0)</f>
        <v>6</v>
      </c>
    </row>
    <row r="201">
      <c r="A201" s="11"/>
      <c r="B201" s="82" t="str">
        <f>IFERROR(__xludf.DUMMYFUNCTION("""COMPUTED_VALUE"""),"Nohely Mejia")</f>
        <v>Nohely Mejia</v>
      </c>
      <c r="C201" s="87">
        <f>IFERROR(__xludf.DUMMYFUNCTION("""COMPUTED_VALUE"""),154.0)</f>
        <v>154</v>
      </c>
      <c r="D201" s="87">
        <f>IFERROR(__xludf.DUMMYFUNCTION("""COMPUTED_VALUE"""),3.0)</f>
        <v>3</v>
      </c>
      <c r="E201" s="86">
        <f>IFERROR(__xludf.DUMMYFUNCTION("""COMPUTED_VALUE"""),3.0)</f>
        <v>3</v>
      </c>
      <c r="F201" s="88">
        <f>IFERROR(__xludf.DUMMYFUNCTION("""COMPUTED_VALUE"""),0.0)</f>
        <v>0</v>
      </c>
      <c r="G201" s="88">
        <f>IFERROR(__xludf.DUMMYFUNCTION("""COMPUTED_VALUE"""),9.0)</f>
        <v>9</v>
      </c>
      <c r="H201" s="88">
        <f>IFERROR(__xludf.DUMMYFUNCTION("""COMPUTED_VALUE"""),0.0)</f>
        <v>0</v>
      </c>
      <c r="I201" s="88">
        <f>IFERROR(__xludf.DUMMYFUNCTION("""COMPUTED_VALUE"""),0.0)</f>
        <v>0</v>
      </c>
      <c r="J201" s="88">
        <f>IFERROR(__xludf.DUMMYFUNCTION("""COMPUTED_VALUE"""),0.0)</f>
        <v>0</v>
      </c>
      <c r="K201" s="88">
        <f>IFERROR(__xludf.DUMMYFUNCTION("""COMPUTED_VALUE"""),9.0)</f>
        <v>9</v>
      </c>
      <c r="L201" s="88">
        <f>IFERROR(__xludf.DUMMYFUNCTION("""COMPUTED_VALUE"""),0.0)</f>
        <v>0</v>
      </c>
      <c r="M201" s="89">
        <f>IFERROR(__xludf.DUMMYFUNCTION("""COMPUTED_VALUE"""),163.0)</f>
        <v>163</v>
      </c>
      <c r="N201" s="89">
        <f>IFERROR(__xludf.DUMMYFUNCTION("""COMPUTED_VALUE"""),3.0)</f>
        <v>3</v>
      </c>
    </row>
    <row r="202">
      <c r="A202" s="11"/>
      <c r="B202" s="82" t="str">
        <f>IFERROR(__xludf.DUMMYFUNCTION("""COMPUTED_VALUE"""),"Eric Pan")</f>
        <v>Eric Pan</v>
      </c>
      <c r="C202" s="87">
        <f>IFERROR(__xludf.DUMMYFUNCTION("""COMPUTED_VALUE"""),153.0)</f>
        <v>153</v>
      </c>
      <c r="D202" s="87">
        <f>IFERROR(__xludf.DUMMYFUNCTION("""COMPUTED_VALUE"""),3.0)</f>
        <v>3</v>
      </c>
      <c r="E202" s="86">
        <f>IFERROR(__xludf.DUMMYFUNCTION("""COMPUTED_VALUE"""),3.0)</f>
        <v>3</v>
      </c>
      <c r="F202" s="88">
        <f>IFERROR(__xludf.DUMMYFUNCTION("""COMPUTED_VALUE"""),0.0)</f>
        <v>0</v>
      </c>
      <c r="G202" s="88">
        <f>IFERROR(__xludf.DUMMYFUNCTION("""COMPUTED_VALUE"""),9.0)</f>
        <v>9</v>
      </c>
      <c r="H202" s="88">
        <f>IFERROR(__xludf.DUMMYFUNCTION("""COMPUTED_VALUE"""),0.0)</f>
        <v>0</v>
      </c>
      <c r="I202" s="88">
        <f>IFERROR(__xludf.DUMMYFUNCTION("""COMPUTED_VALUE"""),0.0)</f>
        <v>0</v>
      </c>
      <c r="J202" s="88">
        <f>IFERROR(__xludf.DUMMYFUNCTION("""COMPUTED_VALUE"""),0.0)</f>
        <v>0</v>
      </c>
      <c r="K202" s="88">
        <f>IFERROR(__xludf.DUMMYFUNCTION("""COMPUTED_VALUE"""),9.0)</f>
        <v>9</v>
      </c>
      <c r="L202" s="88">
        <f>IFERROR(__xludf.DUMMYFUNCTION("""COMPUTED_VALUE"""),0.0)</f>
        <v>0</v>
      </c>
      <c r="M202" s="89">
        <f>IFERROR(__xludf.DUMMYFUNCTION("""COMPUTED_VALUE"""),162.0)</f>
        <v>162</v>
      </c>
      <c r="N202" s="89">
        <f>IFERROR(__xludf.DUMMYFUNCTION("""COMPUTED_VALUE"""),3.0)</f>
        <v>3</v>
      </c>
    </row>
    <row r="203">
      <c r="A203" s="11"/>
      <c r="B203" s="82" t="str">
        <f>IFERROR(__xludf.DUMMYFUNCTION("""COMPUTED_VALUE"""),"Vishnu Amarnath")</f>
        <v>Vishnu Amarnath</v>
      </c>
      <c r="C203" s="87">
        <f>IFERROR(__xludf.DUMMYFUNCTION("""COMPUTED_VALUE"""),153.0)</f>
        <v>153</v>
      </c>
      <c r="D203" s="87">
        <f>IFERROR(__xludf.DUMMYFUNCTION("""COMPUTED_VALUE"""),3.0)</f>
        <v>3</v>
      </c>
      <c r="E203" s="86">
        <f>IFERROR(__xludf.DUMMYFUNCTION("""COMPUTED_VALUE"""),3.0)</f>
        <v>3</v>
      </c>
      <c r="F203" s="88">
        <f>IFERROR(__xludf.DUMMYFUNCTION("""COMPUTED_VALUE"""),0.0)</f>
        <v>0</v>
      </c>
      <c r="G203" s="88">
        <f>IFERROR(__xludf.DUMMYFUNCTION("""COMPUTED_VALUE"""),9.0)</f>
        <v>9</v>
      </c>
      <c r="H203" s="88">
        <f>IFERROR(__xludf.DUMMYFUNCTION("""COMPUTED_VALUE"""),0.0)</f>
        <v>0</v>
      </c>
      <c r="I203" s="88">
        <f>IFERROR(__xludf.DUMMYFUNCTION("""COMPUTED_VALUE"""),0.0)</f>
        <v>0</v>
      </c>
      <c r="J203" s="88">
        <f>IFERROR(__xludf.DUMMYFUNCTION("""COMPUTED_VALUE"""),0.0)</f>
        <v>0</v>
      </c>
      <c r="K203" s="88">
        <f>IFERROR(__xludf.DUMMYFUNCTION("""COMPUTED_VALUE"""),9.0)</f>
        <v>9</v>
      </c>
      <c r="L203" s="88">
        <f>IFERROR(__xludf.DUMMYFUNCTION("""COMPUTED_VALUE"""),0.0)</f>
        <v>0</v>
      </c>
      <c r="M203" s="89">
        <f>IFERROR(__xludf.DUMMYFUNCTION("""COMPUTED_VALUE"""),162.0)</f>
        <v>162</v>
      </c>
      <c r="N203" s="89">
        <f>IFERROR(__xludf.DUMMYFUNCTION("""COMPUTED_VALUE"""),3.0)</f>
        <v>3</v>
      </c>
    </row>
    <row r="204">
      <c r="A204" s="11"/>
      <c r="B204" s="82" t="str">
        <f>IFERROR(__xludf.DUMMYFUNCTION("""COMPUTED_VALUE"""),"Nicole Ni")</f>
        <v>Nicole Ni</v>
      </c>
      <c r="C204" s="87">
        <f>IFERROR(__xludf.DUMMYFUNCTION("""COMPUTED_VALUE"""),151.0)</f>
        <v>151</v>
      </c>
      <c r="D204" s="87">
        <f>IFERROR(__xludf.DUMMYFUNCTION("""COMPUTED_VALUE"""),10.0)</f>
        <v>10</v>
      </c>
      <c r="E204" s="86">
        <f>IFERROR(__xludf.DUMMYFUNCTION("""COMPUTED_VALUE"""),5.0)</f>
        <v>5</v>
      </c>
      <c r="F204" s="88">
        <f>IFERROR(__xludf.DUMMYFUNCTION("""COMPUTED_VALUE"""),0.0)</f>
        <v>0</v>
      </c>
      <c r="G204" s="88">
        <f>IFERROR(__xludf.DUMMYFUNCTION("""COMPUTED_VALUE"""),13.0)</f>
        <v>13</v>
      </c>
      <c r="H204" s="88">
        <f>IFERROR(__xludf.DUMMYFUNCTION("""COMPUTED_VALUE"""),0.0)</f>
        <v>0</v>
      </c>
      <c r="I204" s="88">
        <f>IFERROR(__xludf.DUMMYFUNCTION("""COMPUTED_VALUE"""),0.0)</f>
        <v>0</v>
      </c>
      <c r="J204" s="88">
        <f>IFERROR(__xludf.DUMMYFUNCTION("""COMPUTED_VALUE"""),0.0)</f>
        <v>0</v>
      </c>
      <c r="K204" s="88">
        <f>IFERROR(__xludf.DUMMYFUNCTION("""COMPUTED_VALUE"""),13.0)</f>
        <v>13</v>
      </c>
      <c r="L204" s="88">
        <f>IFERROR(__xludf.DUMMYFUNCTION("""COMPUTED_VALUE"""),0.0)</f>
        <v>0</v>
      </c>
      <c r="M204" s="89">
        <f>IFERROR(__xludf.DUMMYFUNCTION("""COMPUTED_VALUE"""),164.0)</f>
        <v>164</v>
      </c>
      <c r="N204" s="89">
        <f>IFERROR(__xludf.DUMMYFUNCTION("""COMPUTED_VALUE"""),10.0)</f>
        <v>10</v>
      </c>
    </row>
    <row r="205">
      <c r="A205" s="11"/>
      <c r="B205" s="82" t="str">
        <f>IFERROR(__xludf.DUMMYFUNCTION("""COMPUTED_VALUE"""),"Leigh-Anh Nguyen")</f>
        <v>Leigh-Anh Nguyen</v>
      </c>
      <c r="C205" s="87">
        <f>IFERROR(__xludf.DUMMYFUNCTION("""COMPUTED_VALUE"""),149.0)</f>
        <v>149</v>
      </c>
      <c r="D205" s="87">
        <f>IFERROR(__xludf.DUMMYFUNCTION("""COMPUTED_VALUE"""),4.0)</f>
        <v>4</v>
      </c>
      <c r="E205" s="86">
        <f>IFERROR(__xludf.DUMMYFUNCTION("""COMPUTED_VALUE"""),3.0)</f>
        <v>3</v>
      </c>
      <c r="F205" s="88">
        <f>IFERROR(__xludf.DUMMYFUNCTION("""COMPUTED_VALUE"""),0.0)</f>
        <v>0</v>
      </c>
      <c r="G205" s="88">
        <f>IFERROR(__xludf.DUMMYFUNCTION("""COMPUTED_VALUE"""),9.0)</f>
        <v>9</v>
      </c>
      <c r="H205" s="88">
        <f>IFERROR(__xludf.DUMMYFUNCTION("""COMPUTED_VALUE"""),0.0)</f>
        <v>0</v>
      </c>
      <c r="I205" s="88">
        <f>IFERROR(__xludf.DUMMYFUNCTION("""COMPUTED_VALUE"""),0.0)</f>
        <v>0</v>
      </c>
      <c r="J205" s="88">
        <f>IFERROR(__xludf.DUMMYFUNCTION("""COMPUTED_VALUE"""),0.0)</f>
        <v>0</v>
      </c>
      <c r="K205" s="88">
        <f>IFERROR(__xludf.DUMMYFUNCTION("""COMPUTED_VALUE"""),9.0)</f>
        <v>9</v>
      </c>
      <c r="L205" s="88">
        <f>IFERROR(__xludf.DUMMYFUNCTION("""COMPUTED_VALUE"""),0.0)</f>
        <v>0</v>
      </c>
      <c r="M205" s="89">
        <f>IFERROR(__xludf.DUMMYFUNCTION("""COMPUTED_VALUE"""),158.0)</f>
        <v>158</v>
      </c>
      <c r="N205" s="89">
        <f>IFERROR(__xludf.DUMMYFUNCTION("""COMPUTED_VALUE"""),4.0)</f>
        <v>4</v>
      </c>
    </row>
    <row r="206">
      <c r="A206" s="11"/>
      <c r="B206" s="82" t="str">
        <f>IFERROR(__xludf.DUMMYFUNCTION("""COMPUTED_VALUE"""),"Peter Homsey")</f>
        <v>Peter Homsey</v>
      </c>
      <c r="C206" s="86">
        <f>IFERROR(__xludf.DUMMYFUNCTION("""COMPUTED_VALUE"""),148.0)</f>
        <v>148</v>
      </c>
      <c r="D206" s="87">
        <f>IFERROR(__xludf.DUMMYFUNCTION("""COMPUTED_VALUE"""),0.0)</f>
        <v>0</v>
      </c>
      <c r="E206" s="86">
        <f>IFERROR(__xludf.DUMMYFUNCTION("""COMPUTED_VALUE"""),3.0)</f>
        <v>3</v>
      </c>
      <c r="F206" s="88">
        <f>IFERROR(__xludf.DUMMYFUNCTION("""COMPUTED_VALUE"""),0.0)</f>
        <v>0</v>
      </c>
      <c r="G206" s="88">
        <f>IFERROR(__xludf.DUMMYFUNCTION("""COMPUTED_VALUE"""),9.0)</f>
        <v>9</v>
      </c>
      <c r="H206" s="88">
        <f>IFERROR(__xludf.DUMMYFUNCTION("""COMPUTED_VALUE"""),0.0)</f>
        <v>0</v>
      </c>
      <c r="I206" s="88">
        <f>IFERROR(__xludf.DUMMYFUNCTION("""COMPUTED_VALUE"""),0.0)</f>
        <v>0</v>
      </c>
      <c r="J206" s="88">
        <f>IFERROR(__xludf.DUMMYFUNCTION("""COMPUTED_VALUE"""),0.0)</f>
        <v>0</v>
      </c>
      <c r="K206" s="88">
        <f>IFERROR(__xludf.DUMMYFUNCTION("""COMPUTED_VALUE"""),9.0)</f>
        <v>9</v>
      </c>
      <c r="L206" s="88">
        <f>IFERROR(__xludf.DUMMYFUNCTION("""COMPUTED_VALUE"""),0.0)</f>
        <v>0</v>
      </c>
      <c r="M206" s="88">
        <f>IFERROR(__xludf.DUMMYFUNCTION("""COMPUTED_VALUE"""),157.0)</f>
        <v>157</v>
      </c>
      <c r="N206" s="89">
        <f>IFERROR(__xludf.DUMMYFUNCTION("""COMPUTED_VALUE"""),0.0)</f>
        <v>0</v>
      </c>
    </row>
    <row r="207">
      <c r="A207" s="11"/>
      <c r="B207" s="82" t="str">
        <f>IFERROR(__xludf.DUMMYFUNCTION("""COMPUTED_VALUE"""),"Amit Patel")</f>
        <v>Amit Patel</v>
      </c>
      <c r="C207" s="86">
        <f>IFERROR(__xludf.DUMMYFUNCTION("""COMPUTED_VALUE"""),148.0)</f>
        <v>148</v>
      </c>
      <c r="D207" s="87">
        <f>IFERROR(__xludf.DUMMYFUNCTION("""COMPUTED_VALUE"""),0.0)</f>
        <v>0</v>
      </c>
      <c r="E207" s="86">
        <f>IFERROR(__xludf.DUMMYFUNCTION("""COMPUTED_VALUE"""),3.0)</f>
        <v>3</v>
      </c>
      <c r="F207" s="88">
        <f>IFERROR(__xludf.DUMMYFUNCTION("""COMPUTED_VALUE"""),0.0)</f>
        <v>0</v>
      </c>
      <c r="G207" s="88">
        <f>IFERROR(__xludf.DUMMYFUNCTION("""COMPUTED_VALUE"""),9.0)</f>
        <v>9</v>
      </c>
      <c r="H207" s="88">
        <f>IFERROR(__xludf.DUMMYFUNCTION("""COMPUTED_VALUE"""),0.0)</f>
        <v>0</v>
      </c>
      <c r="I207" s="88">
        <f>IFERROR(__xludf.DUMMYFUNCTION("""COMPUTED_VALUE"""),0.0)</f>
        <v>0</v>
      </c>
      <c r="J207" s="88">
        <f>IFERROR(__xludf.DUMMYFUNCTION("""COMPUTED_VALUE"""),0.0)</f>
        <v>0</v>
      </c>
      <c r="K207" s="88">
        <f>IFERROR(__xludf.DUMMYFUNCTION("""COMPUTED_VALUE"""),9.0)</f>
        <v>9</v>
      </c>
      <c r="L207" s="88">
        <f>IFERROR(__xludf.DUMMYFUNCTION("""COMPUTED_VALUE"""),0.0)</f>
        <v>0</v>
      </c>
      <c r="M207" s="88">
        <f>IFERROR(__xludf.DUMMYFUNCTION("""COMPUTED_VALUE"""),157.0)</f>
        <v>157</v>
      </c>
      <c r="N207" s="89">
        <f>IFERROR(__xludf.DUMMYFUNCTION("""COMPUTED_VALUE"""),0.0)</f>
        <v>0</v>
      </c>
    </row>
    <row r="208">
      <c r="A208" s="11"/>
      <c r="B208" s="82" t="str">
        <f>IFERROR(__xludf.DUMMYFUNCTION("""COMPUTED_VALUE"""),"Jose Ortiz")</f>
        <v>Jose Ortiz</v>
      </c>
      <c r="C208" s="86">
        <f>IFERROR(__xludf.DUMMYFUNCTION("""COMPUTED_VALUE"""),135.0)</f>
        <v>135</v>
      </c>
      <c r="D208" s="87">
        <f>IFERROR(__xludf.DUMMYFUNCTION("""COMPUTED_VALUE"""),0.0)</f>
        <v>0</v>
      </c>
      <c r="E208" s="86">
        <f>IFERROR(__xludf.DUMMYFUNCTION("""COMPUTED_VALUE"""),3.0)</f>
        <v>3</v>
      </c>
      <c r="F208" s="88">
        <f>IFERROR(__xludf.DUMMYFUNCTION("""COMPUTED_VALUE"""),0.0)</f>
        <v>0</v>
      </c>
      <c r="G208" s="88">
        <f>IFERROR(__xludf.DUMMYFUNCTION("""COMPUTED_VALUE"""),9.0)</f>
        <v>9</v>
      </c>
      <c r="H208" s="88">
        <f>IFERROR(__xludf.DUMMYFUNCTION("""COMPUTED_VALUE"""),0.0)</f>
        <v>0</v>
      </c>
      <c r="I208" s="88">
        <f>IFERROR(__xludf.DUMMYFUNCTION("""COMPUTED_VALUE"""),0.0)</f>
        <v>0</v>
      </c>
      <c r="J208" s="88">
        <f>IFERROR(__xludf.DUMMYFUNCTION("""COMPUTED_VALUE"""),0.0)</f>
        <v>0</v>
      </c>
      <c r="K208" s="88">
        <f>IFERROR(__xludf.DUMMYFUNCTION("""COMPUTED_VALUE"""),9.0)</f>
        <v>9</v>
      </c>
      <c r="L208" s="88">
        <f>IFERROR(__xludf.DUMMYFUNCTION("""COMPUTED_VALUE"""),0.0)</f>
        <v>0</v>
      </c>
      <c r="M208" s="88">
        <f>IFERROR(__xludf.DUMMYFUNCTION("""COMPUTED_VALUE"""),144.0)</f>
        <v>144</v>
      </c>
      <c r="N208" s="89">
        <f>IFERROR(__xludf.DUMMYFUNCTION("""COMPUTED_VALUE"""),0.0)</f>
        <v>0</v>
      </c>
    </row>
    <row r="209">
      <c r="A209" s="11"/>
      <c r="B209" s="82"/>
      <c r="C209" s="86"/>
      <c r="D209" s="87"/>
      <c r="E209" s="86"/>
      <c r="F209" s="88"/>
      <c r="G209" s="88"/>
      <c r="H209" s="88"/>
      <c r="I209" s="88"/>
      <c r="J209" s="88"/>
      <c r="K209" s="88"/>
      <c r="L209" s="88"/>
      <c r="M209" s="88"/>
      <c r="N209" s="89"/>
    </row>
    <row r="210">
      <c r="A210" s="11"/>
      <c r="B210" s="82"/>
      <c r="C210" s="86"/>
      <c r="D210" s="87"/>
      <c r="E210" s="86"/>
      <c r="F210" s="88"/>
      <c r="G210" s="88"/>
      <c r="H210" s="88"/>
      <c r="I210" s="88"/>
      <c r="J210" s="88"/>
      <c r="K210" s="88"/>
      <c r="L210" s="88"/>
      <c r="M210" s="88"/>
      <c r="N210" s="89"/>
    </row>
    <row r="211">
      <c r="A211" s="11"/>
      <c r="B211" s="82"/>
      <c r="C211" s="86"/>
      <c r="D211" s="87"/>
      <c r="E211" s="86"/>
      <c r="F211" s="88"/>
      <c r="G211" s="88"/>
      <c r="H211" s="88"/>
      <c r="I211" s="88"/>
      <c r="J211" s="88"/>
      <c r="K211" s="88"/>
      <c r="L211" s="88"/>
      <c r="M211" s="88"/>
      <c r="N211" s="89"/>
    </row>
    <row r="212">
      <c r="A212" s="11"/>
      <c r="B212" s="82"/>
      <c r="C212" s="86"/>
      <c r="D212" s="87"/>
      <c r="E212" s="86"/>
      <c r="F212" s="88"/>
      <c r="G212" s="88"/>
      <c r="H212" s="88"/>
      <c r="I212" s="88"/>
      <c r="J212" s="88"/>
      <c r="K212" s="88"/>
      <c r="L212" s="88"/>
      <c r="M212" s="88"/>
      <c r="N212" s="89"/>
    </row>
    <row r="213">
      <c r="A213" s="11"/>
      <c r="B213" s="82"/>
      <c r="C213" s="86"/>
      <c r="D213" s="87"/>
      <c r="E213" s="86"/>
      <c r="F213" s="88"/>
      <c r="G213" s="88"/>
      <c r="H213" s="88"/>
      <c r="I213" s="88"/>
      <c r="J213" s="88"/>
      <c r="K213" s="88"/>
      <c r="L213" s="88"/>
      <c r="M213" s="88"/>
      <c r="N213" s="89"/>
    </row>
    <row r="214">
      <c r="A214" s="11"/>
      <c r="B214" s="82"/>
      <c r="C214" s="86"/>
      <c r="D214" s="87"/>
      <c r="E214" s="86"/>
      <c r="F214" s="88"/>
      <c r="G214" s="88"/>
      <c r="H214" s="88"/>
      <c r="I214" s="88"/>
      <c r="J214" s="88"/>
      <c r="K214" s="88"/>
      <c r="L214" s="88"/>
      <c r="M214" s="88"/>
      <c r="N214" s="89"/>
    </row>
    <row r="215">
      <c r="A215" s="11"/>
      <c r="B215" s="82"/>
      <c r="C215" s="86"/>
      <c r="D215" s="87"/>
      <c r="E215" s="86"/>
      <c r="F215" s="88"/>
      <c r="G215" s="88"/>
      <c r="H215" s="88"/>
      <c r="I215" s="88"/>
      <c r="J215" s="88"/>
      <c r="K215" s="88"/>
      <c r="L215" s="88"/>
      <c r="M215" s="88"/>
      <c r="N215" s="89"/>
    </row>
    <row r="216">
      <c r="A216" s="11"/>
      <c r="B216" s="82"/>
      <c r="C216" s="86"/>
      <c r="D216" s="87"/>
      <c r="E216" s="86"/>
      <c r="F216" s="88"/>
      <c r="G216" s="88"/>
      <c r="H216" s="88"/>
      <c r="I216" s="88"/>
      <c r="J216" s="88"/>
      <c r="K216" s="88"/>
      <c r="L216" s="88"/>
      <c r="M216" s="88"/>
      <c r="N216" s="89"/>
    </row>
    <row r="217">
      <c r="A217" s="11"/>
      <c r="B217" s="82"/>
      <c r="C217" s="86"/>
      <c r="D217" s="87"/>
      <c r="E217" s="86"/>
      <c r="F217" s="88"/>
      <c r="G217" s="88"/>
      <c r="H217" s="88"/>
      <c r="I217" s="88"/>
      <c r="J217" s="88"/>
      <c r="K217" s="88"/>
      <c r="L217" s="88"/>
      <c r="M217" s="88"/>
      <c r="N217" s="89"/>
    </row>
    <row r="218">
      <c r="A218" s="11"/>
      <c r="B218" s="82"/>
      <c r="C218" s="86"/>
      <c r="D218" s="87"/>
      <c r="E218" s="86"/>
      <c r="F218" s="88"/>
      <c r="G218" s="88"/>
      <c r="H218" s="88"/>
      <c r="I218" s="88"/>
      <c r="J218" s="88"/>
      <c r="K218" s="88"/>
      <c r="L218" s="88"/>
      <c r="M218" s="88"/>
      <c r="N218" s="89"/>
    </row>
    <row r="219">
      <c r="A219" s="11"/>
      <c r="B219" s="82"/>
      <c r="C219" s="86"/>
      <c r="D219" s="87"/>
      <c r="E219" s="86"/>
      <c r="F219" s="88"/>
      <c r="G219" s="88"/>
      <c r="H219" s="88"/>
      <c r="I219" s="88"/>
      <c r="J219" s="88"/>
      <c r="K219" s="88"/>
      <c r="L219" s="88"/>
      <c r="M219" s="88"/>
      <c r="N219" s="89"/>
    </row>
    <row r="220">
      <c r="A220" s="11"/>
      <c r="B220" s="82"/>
      <c r="C220" s="86"/>
      <c r="D220" s="87"/>
      <c r="E220" s="86"/>
      <c r="F220" s="88"/>
      <c r="G220" s="88"/>
      <c r="H220" s="88"/>
      <c r="I220" s="88"/>
      <c r="J220" s="88"/>
      <c r="K220" s="88"/>
      <c r="L220" s="88"/>
      <c r="M220" s="88"/>
      <c r="N220" s="89"/>
    </row>
    <row r="221">
      <c r="A221" s="11"/>
      <c r="B221" s="82"/>
      <c r="C221" s="86"/>
      <c r="D221" s="87"/>
      <c r="E221" s="86"/>
      <c r="F221" s="88"/>
      <c r="G221" s="88"/>
      <c r="H221" s="88"/>
      <c r="I221" s="88"/>
      <c r="J221" s="88"/>
      <c r="K221" s="88"/>
      <c r="L221" s="88"/>
      <c r="M221" s="88"/>
      <c r="N221" s="89"/>
    </row>
    <row r="222">
      <c r="A222" s="11"/>
      <c r="B222" s="82"/>
      <c r="C222" s="86"/>
      <c r="D222" s="87"/>
      <c r="E222" s="86"/>
      <c r="F222" s="88"/>
      <c r="G222" s="88"/>
      <c r="H222" s="88"/>
      <c r="I222" s="88"/>
      <c r="J222" s="88"/>
      <c r="K222" s="88"/>
      <c r="L222" s="88"/>
      <c r="M222" s="88"/>
      <c r="N222" s="89"/>
    </row>
    <row r="223">
      <c r="A223" s="11"/>
      <c r="B223" s="82"/>
      <c r="C223" s="86"/>
      <c r="D223" s="87"/>
      <c r="E223" s="86"/>
      <c r="F223" s="88"/>
      <c r="G223" s="88"/>
      <c r="H223" s="88"/>
      <c r="I223" s="88"/>
      <c r="J223" s="88"/>
      <c r="K223" s="88"/>
      <c r="L223" s="88"/>
      <c r="M223" s="88"/>
      <c r="N223" s="89"/>
    </row>
    <row r="224">
      <c r="A224" s="11"/>
      <c r="B224" s="82"/>
      <c r="C224" s="86"/>
      <c r="D224" s="87"/>
      <c r="E224" s="86"/>
      <c r="F224" s="88"/>
      <c r="G224" s="88"/>
      <c r="H224" s="88"/>
      <c r="I224" s="88"/>
      <c r="J224" s="88"/>
      <c r="K224" s="88"/>
      <c r="L224" s="88"/>
      <c r="M224" s="88"/>
      <c r="N224" s="89"/>
    </row>
    <row r="225">
      <c r="A225" s="11"/>
      <c r="B225" s="82"/>
      <c r="C225" s="86"/>
      <c r="D225" s="87"/>
      <c r="E225" s="86"/>
      <c r="F225" s="88"/>
      <c r="G225" s="88"/>
      <c r="H225" s="88"/>
      <c r="I225" s="88"/>
      <c r="J225" s="88"/>
      <c r="K225" s="88"/>
      <c r="L225" s="88"/>
      <c r="M225" s="88"/>
      <c r="N225" s="89"/>
    </row>
    <row r="226">
      <c r="A226" s="11"/>
      <c r="B226" s="82"/>
      <c r="C226" s="86"/>
      <c r="D226" s="87"/>
      <c r="E226" s="86"/>
      <c r="F226" s="88"/>
      <c r="G226" s="88"/>
      <c r="H226" s="88"/>
      <c r="I226" s="88"/>
      <c r="J226" s="88"/>
      <c r="K226" s="88"/>
      <c r="L226" s="88"/>
      <c r="M226" s="88"/>
      <c r="N226" s="89"/>
    </row>
    <row r="227">
      <c r="A227" s="11"/>
      <c r="B227" s="82"/>
      <c r="C227" s="86"/>
      <c r="D227" s="87"/>
      <c r="E227" s="86"/>
      <c r="F227" s="88"/>
      <c r="G227" s="88"/>
      <c r="H227" s="88"/>
      <c r="I227" s="88"/>
      <c r="J227" s="88"/>
      <c r="K227" s="88"/>
      <c r="L227" s="88"/>
      <c r="M227" s="88"/>
      <c r="N227" s="89"/>
    </row>
    <row r="228">
      <c r="A228" s="11"/>
      <c r="B228" s="82"/>
      <c r="C228" s="86"/>
      <c r="D228" s="87"/>
      <c r="E228" s="86"/>
      <c r="F228" s="88"/>
      <c r="G228" s="88"/>
      <c r="H228" s="88"/>
      <c r="I228" s="88"/>
      <c r="J228" s="88"/>
      <c r="K228" s="88"/>
      <c r="L228" s="88"/>
      <c r="M228" s="88"/>
      <c r="N228" s="89"/>
    </row>
    <row r="229">
      <c r="A229" s="11"/>
      <c r="B229" s="82"/>
      <c r="C229" s="86"/>
      <c r="D229" s="87"/>
      <c r="E229" s="86"/>
      <c r="F229" s="88"/>
      <c r="G229" s="88"/>
      <c r="H229" s="88"/>
      <c r="I229" s="88"/>
      <c r="J229" s="88"/>
      <c r="K229" s="88"/>
      <c r="L229" s="88"/>
      <c r="M229" s="88"/>
      <c r="N229" s="89"/>
    </row>
    <row r="230">
      <c r="A230" s="11"/>
      <c r="B230" s="82"/>
      <c r="C230" s="86"/>
      <c r="D230" s="87"/>
      <c r="E230" s="86"/>
      <c r="F230" s="88"/>
      <c r="G230" s="88"/>
      <c r="H230" s="88"/>
      <c r="I230" s="88"/>
      <c r="J230" s="88"/>
      <c r="K230" s="88"/>
      <c r="L230" s="88"/>
      <c r="M230" s="88"/>
      <c r="N230" s="89"/>
    </row>
    <row r="231">
      <c r="A231" s="11"/>
      <c r="B231" s="82"/>
      <c r="C231" s="86"/>
      <c r="D231" s="87"/>
      <c r="E231" s="86"/>
      <c r="F231" s="88"/>
      <c r="G231" s="88"/>
      <c r="H231" s="88"/>
      <c r="I231" s="88"/>
      <c r="J231" s="88"/>
      <c r="K231" s="88"/>
      <c r="L231" s="88"/>
      <c r="M231" s="88"/>
      <c r="N231" s="89"/>
    </row>
    <row r="232">
      <c r="A232" s="11"/>
      <c r="B232" s="82"/>
      <c r="C232" s="86"/>
      <c r="D232" s="87"/>
      <c r="E232" s="86"/>
      <c r="F232" s="88"/>
      <c r="G232" s="88"/>
      <c r="H232" s="88"/>
      <c r="I232" s="88"/>
      <c r="J232" s="88"/>
      <c r="K232" s="88"/>
      <c r="L232" s="88"/>
      <c r="M232" s="88"/>
      <c r="N232" s="89"/>
    </row>
    <row r="233">
      <c r="A233" s="11"/>
      <c r="B233" s="82"/>
      <c r="C233" s="86"/>
      <c r="D233" s="87"/>
      <c r="E233" s="86"/>
      <c r="F233" s="88"/>
      <c r="G233" s="88"/>
      <c r="H233" s="88"/>
      <c r="I233" s="88"/>
      <c r="J233" s="88"/>
      <c r="K233" s="88"/>
      <c r="L233" s="88"/>
      <c r="M233" s="88"/>
      <c r="N233" s="89"/>
    </row>
    <row r="234">
      <c r="A234" s="11"/>
      <c r="B234" s="82"/>
      <c r="C234" s="86"/>
      <c r="D234" s="87"/>
      <c r="E234" s="86"/>
      <c r="F234" s="88"/>
      <c r="G234" s="88"/>
      <c r="H234" s="88"/>
      <c r="I234" s="88"/>
      <c r="J234" s="88"/>
      <c r="K234" s="88"/>
      <c r="L234" s="88"/>
      <c r="M234" s="88"/>
      <c r="N234" s="89"/>
    </row>
    <row r="235">
      <c r="A235" s="11"/>
      <c r="B235" s="82"/>
      <c r="C235" s="86"/>
      <c r="D235" s="87"/>
      <c r="E235" s="86"/>
      <c r="F235" s="88"/>
      <c r="G235" s="88"/>
      <c r="H235" s="88"/>
      <c r="I235" s="88"/>
      <c r="J235" s="88"/>
      <c r="K235" s="88"/>
      <c r="L235" s="88"/>
      <c r="M235" s="88"/>
      <c r="N235" s="89"/>
    </row>
    <row r="236">
      <c r="A236" s="11"/>
      <c r="B236" s="82"/>
      <c r="C236" s="86"/>
      <c r="D236" s="87"/>
      <c r="E236" s="86"/>
      <c r="F236" s="88"/>
      <c r="G236" s="88"/>
      <c r="H236" s="88"/>
      <c r="I236" s="88"/>
      <c r="J236" s="88"/>
      <c r="K236" s="88"/>
      <c r="L236" s="88"/>
      <c r="M236" s="88"/>
      <c r="N236" s="89"/>
    </row>
    <row r="237">
      <c r="A237" s="11"/>
      <c r="B237" s="82"/>
      <c r="C237" s="86"/>
      <c r="D237" s="87"/>
      <c r="E237" s="86"/>
      <c r="F237" s="88"/>
      <c r="G237" s="88"/>
      <c r="H237" s="88"/>
      <c r="I237" s="88"/>
      <c r="J237" s="88"/>
      <c r="K237" s="88"/>
      <c r="L237" s="88"/>
      <c r="M237" s="88"/>
      <c r="N237" s="89"/>
    </row>
    <row r="238">
      <c r="A238" s="11"/>
      <c r="B238" s="82"/>
      <c r="C238" s="86"/>
      <c r="D238" s="87"/>
      <c r="E238" s="86"/>
      <c r="F238" s="88"/>
      <c r="G238" s="88"/>
      <c r="H238" s="88"/>
      <c r="I238" s="88"/>
      <c r="J238" s="88"/>
      <c r="K238" s="88"/>
      <c r="L238" s="88"/>
      <c r="M238" s="88"/>
      <c r="N238" s="89"/>
    </row>
    <row r="239">
      <c r="A239" s="11"/>
      <c r="B239" s="82"/>
      <c r="C239" s="86"/>
      <c r="D239" s="87"/>
      <c r="E239" s="86"/>
      <c r="F239" s="88"/>
      <c r="G239" s="88"/>
      <c r="H239" s="88"/>
      <c r="I239" s="88"/>
      <c r="J239" s="88"/>
      <c r="K239" s="88"/>
      <c r="L239" s="88"/>
      <c r="M239" s="88"/>
      <c r="N239" s="89"/>
    </row>
    <row r="240">
      <c r="A240" s="11"/>
      <c r="C240" s="11"/>
      <c r="D240" s="11"/>
      <c r="E240" s="11"/>
    </row>
    <row r="241">
      <c r="A241" s="11"/>
      <c r="C241" s="11"/>
      <c r="D241" s="11"/>
      <c r="E241" s="11"/>
    </row>
    <row r="242">
      <c r="A242" s="11"/>
      <c r="C242" s="11"/>
      <c r="D242" s="11"/>
      <c r="E242" s="11"/>
    </row>
    <row r="243">
      <c r="A243" s="11"/>
      <c r="C243" s="11"/>
      <c r="D243" s="11"/>
      <c r="E243" s="11"/>
    </row>
    <row r="244">
      <c r="A244" s="11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B261" s="90" t="s">
        <v>167</v>
      </c>
      <c r="C261" s="11"/>
      <c r="D261" s="11"/>
      <c r="E261" s="11"/>
      <c r="U261" s="90" t="s">
        <v>168</v>
      </c>
    </row>
    <row r="262">
      <c r="A262" s="49">
        <v>1.0</v>
      </c>
      <c r="B262" s="82" t="str">
        <f>IFERROR(__xludf.DUMMYFUNCTION("QUERY(B5:Q70, ""Select B   where Q is null"")"),"Adrian Tay")</f>
        <v>Adrian Tay</v>
      </c>
      <c r="C262" s="11"/>
      <c r="D262" s="11"/>
      <c r="E262" s="11"/>
      <c r="T262" s="49">
        <v>1.0</v>
      </c>
      <c r="U262" s="17" t="str">
        <f>IFERROR(__xludf.DUMMYFUNCTION("QUERY(B5:Q70, ""Select B   where Q = 'N' "")"),"Christopher Li")</f>
        <v>Christopher Li</v>
      </c>
    </row>
    <row r="263">
      <c r="A263" s="11">
        <f t="shared" ref="A263:A283" si="73">A262+1</f>
        <v>2</v>
      </c>
      <c r="B263" s="82" t="str">
        <f>IFERROR(__xludf.DUMMYFUNCTION("""COMPUTED_VALUE"""),"Tom Le")</f>
        <v>Tom Le</v>
      </c>
      <c r="C263" s="11"/>
      <c r="D263" s="11"/>
      <c r="E263" s="11"/>
      <c r="T263" s="11">
        <f t="shared" ref="T263:T274" si="74">T262+1</f>
        <v>2</v>
      </c>
    </row>
    <row r="264">
      <c r="A264" s="11">
        <f t="shared" si="73"/>
        <v>3</v>
      </c>
      <c r="B264" s="82" t="str">
        <f>IFERROR(__xludf.DUMMYFUNCTION("""COMPUTED_VALUE"""),"Luis Hsu")</f>
        <v>Luis Hsu</v>
      </c>
      <c r="C264" s="11"/>
      <c r="D264" s="11"/>
      <c r="E264" s="11"/>
      <c r="T264" s="11">
        <f t="shared" si="74"/>
        <v>3</v>
      </c>
    </row>
    <row r="265">
      <c r="A265" s="11">
        <f t="shared" si="73"/>
        <v>4</v>
      </c>
      <c r="B265" s="82" t="str">
        <f>IFERROR(__xludf.DUMMYFUNCTION("""COMPUTED_VALUE"""),"Ted Shen")</f>
        <v>Ted Shen</v>
      </c>
      <c r="C265" s="11"/>
      <c r="D265" s="11"/>
      <c r="E265" s="11"/>
      <c r="T265" s="11">
        <f t="shared" si="74"/>
        <v>4</v>
      </c>
    </row>
    <row r="266">
      <c r="A266" s="11">
        <f t="shared" si="73"/>
        <v>5</v>
      </c>
      <c r="B266" s="82" t="str">
        <f>IFERROR(__xludf.DUMMYFUNCTION("""COMPUTED_VALUE"""),"Lam Bui")</f>
        <v>Lam Bui</v>
      </c>
      <c r="C266" s="11"/>
      <c r="D266" s="11"/>
      <c r="E266" s="11"/>
      <c r="T266" s="11">
        <f t="shared" si="74"/>
        <v>5</v>
      </c>
    </row>
    <row r="267">
      <c r="A267" s="11">
        <f t="shared" si="73"/>
        <v>6</v>
      </c>
      <c r="B267" s="82" t="str">
        <f>IFERROR(__xludf.DUMMYFUNCTION("""COMPUTED_VALUE"""),"Arun Mallikarjuna")</f>
        <v>Arun Mallikarjuna</v>
      </c>
      <c r="C267" s="11"/>
      <c r="D267" s="11"/>
      <c r="E267" s="11"/>
      <c r="T267" s="11">
        <f t="shared" si="74"/>
        <v>6</v>
      </c>
    </row>
    <row r="268">
      <c r="A268" s="11">
        <f t="shared" si="73"/>
        <v>7</v>
      </c>
      <c r="B268" s="82" t="str">
        <f>IFERROR(__xludf.DUMMYFUNCTION("""COMPUTED_VALUE"""),"Alejandro Mejia")</f>
        <v>Alejandro Mejia</v>
      </c>
      <c r="C268" s="11"/>
      <c r="D268" s="11"/>
      <c r="E268" s="11"/>
      <c r="T268" s="11">
        <f t="shared" si="74"/>
        <v>7</v>
      </c>
    </row>
    <row r="269">
      <c r="A269" s="11">
        <f t="shared" si="73"/>
        <v>8</v>
      </c>
      <c r="B269" s="82" t="str">
        <f>IFERROR(__xludf.DUMMYFUNCTION("""COMPUTED_VALUE"""),"Jonathan Phan")</f>
        <v>Jonathan Phan</v>
      </c>
      <c r="C269" s="11"/>
      <c r="D269" s="11"/>
      <c r="E269" s="11"/>
      <c r="T269" s="11">
        <f t="shared" si="74"/>
        <v>8</v>
      </c>
    </row>
    <row r="270">
      <c r="A270" s="11">
        <f t="shared" si="73"/>
        <v>9</v>
      </c>
      <c r="B270" s="82" t="str">
        <f>IFERROR(__xludf.DUMMYFUNCTION("""COMPUTED_VALUE"""),"Suleman Alidina")</f>
        <v>Suleman Alidina</v>
      </c>
      <c r="C270" s="11"/>
      <c r="D270" s="11"/>
      <c r="E270" s="11"/>
      <c r="T270" s="11">
        <f t="shared" si="74"/>
        <v>9</v>
      </c>
    </row>
    <row r="271">
      <c r="A271" s="11">
        <f t="shared" si="73"/>
        <v>10</v>
      </c>
      <c r="B271" s="82" t="str">
        <f>IFERROR(__xludf.DUMMYFUNCTION("""COMPUTED_VALUE"""),"Rajasekar Ramasamy")</f>
        <v>Rajasekar Ramasamy</v>
      </c>
      <c r="C271" s="11"/>
      <c r="D271" s="11"/>
      <c r="E271" s="11"/>
      <c r="T271" s="11">
        <f t="shared" si="74"/>
        <v>10</v>
      </c>
    </row>
    <row r="272">
      <c r="A272" s="11">
        <f t="shared" si="73"/>
        <v>11</v>
      </c>
      <c r="B272" s="82" t="str">
        <f>IFERROR(__xludf.DUMMYFUNCTION("""COMPUTED_VALUE"""),"James Phan")</f>
        <v>James Phan</v>
      </c>
      <c r="C272" s="11"/>
      <c r="D272" s="11"/>
      <c r="E272" s="11"/>
      <c r="T272" s="11">
        <f t="shared" si="74"/>
        <v>11</v>
      </c>
    </row>
    <row r="273">
      <c r="A273" s="11">
        <f t="shared" si="73"/>
        <v>12</v>
      </c>
      <c r="B273" s="82" t="str">
        <f>IFERROR(__xludf.DUMMYFUNCTION("""COMPUTED_VALUE"""),"Joe Luzzi")</f>
        <v>Joe Luzzi</v>
      </c>
      <c r="C273" s="11"/>
      <c r="D273" s="11"/>
      <c r="E273" s="11"/>
      <c r="T273" s="11">
        <f t="shared" si="74"/>
        <v>12</v>
      </c>
    </row>
    <row r="274">
      <c r="A274" s="11">
        <f t="shared" si="73"/>
        <v>13</v>
      </c>
      <c r="B274" s="82" t="str">
        <f>IFERROR(__xludf.DUMMYFUNCTION("""COMPUTED_VALUE"""),"David Shin")</f>
        <v>David Shin</v>
      </c>
      <c r="C274" s="11"/>
      <c r="D274" s="11"/>
      <c r="E274" s="11"/>
      <c r="T274" s="11">
        <f t="shared" si="74"/>
        <v>13</v>
      </c>
    </row>
    <row r="275">
      <c r="A275" s="11">
        <f t="shared" si="73"/>
        <v>14</v>
      </c>
      <c r="B275" s="82" t="str">
        <f>IFERROR(__xludf.DUMMYFUNCTION("""COMPUTED_VALUE"""),"Herman Au")</f>
        <v>Herman Au</v>
      </c>
      <c r="C275" s="11"/>
      <c r="D275" s="11"/>
      <c r="E275" s="11"/>
    </row>
    <row r="276">
      <c r="A276" s="11">
        <f t="shared" si="73"/>
        <v>15</v>
      </c>
      <c r="B276" s="82" t="str">
        <f>IFERROR(__xludf.DUMMYFUNCTION("""COMPUTED_VALUE"""),"Frank Moon")</f>
        <v>Frank Moon</v>
      </c>
      <c r="C276" s="11"/>
      <c r="D276" s="11"/>
      <c r="E276" s="11"/>
    </row>
    <row r="277">
      <c r="A277" s="11">
        <f t="shared" si="73"/>
        <v>16</v>
      </c>
      <c r="B277" s="82" t="str">
        <f>IFERROR(__xludf.DUMMYFUNCTION("""COMPUTED_VALUE"""),"Matthew Huang")</f>
        <v>Matthew Huang</v>
      </c>
      <c r="C277" s="11"/>
      <c r="D277" s="11"/>
      <c r="E277" s="11"/>
    </row>
    <row r="278">
      <c r="A278" s="11">
        <f t="shared" si="73"/>
        <v>17</v>
      </c>
      <c r="B278" s="82" t="str">
        <f>IFERROR(__xludf.DUMMYFUNCTION("""COMPUTED_VALUE"""),"Alex Hou")</f>
        <v>Alex Hou</v>
      </c>
      <c r="C278" s="11"/>
      <c r="D278" s="11"/>
      <c r="E278" s="11"/>
    </row>
    <row r="279">
      <c r="A279" s="11">
        <f t="shared" si="73"/>
        <v>18</v>
      </c>
      <c r="B279" s="82" t="str">
        <f>IFERROR(__xludf.DUMMYFUNCTION("""COMPUTED_VALUE"""),"Scott Li")</f>
        <v>Scott Li</v>
      </c>
      <c r="C279" s="11"/>
      <c r="D279" s="11"/>
      <c r="E279" s="11"/>
    </row>
    <row r="280">
      <c r="A280" s="11">
        <f t="shared" si="73"/>
        <v>19</v>
      </c>
      <c r="B280" s="82" t="str">
        <f>IFERROR(__xludf.DUMMYFUNCTION("""COMPUTED_VALUE"""),"Pavan Akkimsetty")</f>
        <v>Pavan Akkimsetty</v>
      </c>
      <c r="C280" s="11"/>
      <c r="D280" s="11"/>
      <c r="E280" s="11"/>
    </row>
    <row r="281">
      <c r="A281" s="11">
        <f t="shared" si="73"/>
        <v>20</v>
      </c>
      <c r="B281" s="82" t="str">
        <f>IFERROR(__xludf.DUMMYFUNCTION("""COMPUTED_VALUE"""),"Sean Chang")</f>
        <v>Sean Chang</v>
      </c>
      <c r="C281" s="11"/>
      <c r="D281" s="11"/>
      <c r="E281" s="11"/>
    </row>
    <row r="282">
      <c r="A282" s="11">
        <f t="shared" si="73"/>
        <v>21</v>
      </c>
      <c r="B282" s="82" t="str">
        <f>IFERROR(__xludf.DUMMYFUNCTION("""COMPUTED_VALUE"""),"Cid Macaraeg")</f>
        <v>Cid Macaraeg</v>
      </c>
      <c r="C282" s="11"/>
      <c r="D282" s="11"/>
      <c r="E282" s="11"/>
    </row>
    <row r="283">
      <c r="A283" s="11">
        <f t="shared" si="73"/>
        <v>22</v>
      </c>
      <c r="B283" s="82" t="str">
        <f>IFERROR(__xludf.DUMMYFUNCTION("""COMPUTED_VALUE"""),"Troy Wong")</f>
        <v>Troy Wong</v>
      </c>
      <c r="C283" s="11"/>
      <c r="D283" s="11"/>
      <c r="E283" s="11"/>
    </row>
    <row r="284">
      <c r="A284" s="11"/>
      <c r="B284" s="17" t="str">
        <f>IFERROR(__xludf.DUMMYFUNCTION("""COMPUTED_VALUE"""),"Robert Chang")</f>
        <v>Robert Chang</v>
      </c>
      <c r="C284" s="11"/>
      <c r="D284" s="11"/>
      <c r="E284" s="11"/>
    </row>
    <row r="285">
      <c r="A285" s="11"/>
      <c r="B285" s="17" t="str">
        <f>IFERROR(__xludf.DUMMYFUNCTION("""COMPUTED_VALUE"""),"Erik Hoeckmann")</f>
        <v>Erik Hoeckmann</v>
      </c>
      <c r="C285" s="11"/>
      <c r="D285" s="11"/>
      <c r="E285" s="11"/>
    </row>
    <row r="286">
      <c r="A286" s="11"/>
      <c r="B286" s="17" t="str">
        <f>IFERROR(__xludf.DUMMYFUNCTION("""COMPUTED_VALUE"""),"Ramesh Bandaru")</f>
        <v>Ramesh Bandaru</v>
      </c>
      <c r="C286" s="11"/>
      <c r="D286" s="11"/>
      <c r="E286" s="11"/>
    </row>
    <row r="287">
      <c r="A287" s="11"/>
      <c r="B287" s="17" t="str">
        <f>IFERROR(__xludf.DUMMYFUNCTION("""COMPUTED_VALUE"""),"Wayne Liu")</f>
        <v>Wayne Liu</v>
      </c>
      <c r="C287" s="11"/>
      <c r="D287" s="11"/>
      <c r="E287" s="11"/>
    </row>
    <row r="288">
      <c r="A288" s="11"/>
      <c r="B288" s="17" t="str">
        <f>IFERROR(__xludf.DUMMYFUNCTION("""COMPUTED_VALUE"""),"Pulkit Mathur")</f>
        <v>Pulkit Mathur</v>
      </c>
      <c r="C288" s="11"/>
      <c r="D288" s="11"/>
      <c r="E288" s="11"/>
    </row>
    <row r="289">
      <c r="A289" s="11"/>
      <c r="B289" s="17" t="str">
        <f>IFERROR(__xludf.DUMMYFUNCTION("""COMPUTED_VALUE"""),"Oscar Bonilla")</f>
        <v>Oscar Bonilla</v>
      </c>
      <c r="C289" s="11"/>
      <c r="D289" s="11"/>
      <c r="E289" s="11"/>
    </row>
    <row r="290">
      <c r="A290" s="11"/>
      <c r="B290" s="17" t="str">
        <f>IFERROR(__xludf.DUMMYFUNCTION("""COMPUTED_VALUE"""),"Jim Miao")</f>
        <v>Jim Miao</v>
      </c>
      <c r="C290" s="11"/>
      <c r="D290" s="11"/>
      <c r="E290" s="11"/>
    </row>
    <row r="291">
      <c r="A291" s="11"/>
      <c r="B291" s="17" t="str">
        <f>IFERROR(__xludf.DUMMYFUNCTION("""COMPUTED_VALUE"""),"Jimmy Awolesi")</f>
        <v>Jimmy Awolesi</v>
      </c>
      <c r="C291" s="11"/>
      <c r="D291" s="11"/>
      <c r="E291" s="11"/>
    </row>
    <row r="292">
      <c r="A292" s="11"/>
      <c r="B292" s="17" t="str">
        <f>IFERROR(__xludf.DUMMYFUNCTION("""COMPUTED_VALUE"""),"Lloyd Sagar")</f>
        <v>Lloyd Sagar</v>
      </c>
      <c r="C292" s="11"/>
      <c r="D292" s="11"/>
      <c r="E292" s="11"/>
    </row>
    <row r="293">
      <c r="A293" s="11"/>
      <c r="B293" s="17" t="str">
        <f>IFERROR(__xludf.DUMMYFUNCTION("""COMPUTED_VALUE"""),"Vamsi Lolla ")</f>
        <v>Vamsi Lolla </v>
      </c>
      <c r="C293" s="11"/>
      <c r="D293" s="11"/>
      <c r="E293" s="11"/>
    </row>
    <row r="294">
      <c r="A294" s="11"/>
      <c r="B294" s="17" t="str">
        <f>IFERROR(__xludf.DUMMYFUNCTION("""COMPUTED_VALUE"""),"Trish Newlin")</f>
        <v>Trish Newlin</v>
      </c>
      <c r="C294" s="11"/>
      <c r="D294" s="11"/>
      <c r="E294" s="11"/>
    </row>
    <row r="295">
      <c r="A295" s="11"/>
      <c r="B295" s="17" t="str">
        <f>IFERROR(__xludf.DUMMYFUNCTION("""COMPUTED_VALUE"""),"Sanjaye Elayattu")</f>
        <v>Sanjaye Elayattu</v>
      </c>
      <c r="C295" s="11"/>
      <c r="D295" s="11"/>
      <c r="E295" s="11"/>
    </row>
    <row r="296">
      <c r="A296" s="11"/>
      <c r="B296" s="17" t="str">
        <f>IFERROR(__xludf.DUMMYFUNCTION("""COMPUTED_VALUE"""),"Manuel Rivera")</f>
        <v>Manuel Rivera</v>
      </c>
      <c r="C296" s="11"/>
      <c r="D296" s="11"/>
      <c r="E296" s="11"/>
    </row>
    <row r="297">
      <c r="A297" s="11"/>
      <c r="B297" s="17" t="str">
        <f>IFERROR(__xludf.DUMMYFUNCTION("""COMPUTED_VALUE"""),"Peter Cheng")</f>
        <v>Peter Cheng</v>
      </c>
      <c r="C297" s="11"/>
      <c r="D297" s="11"/>
      <c r="E297" s="11"/>
    </row>
    <row r="298">
      <c r="A298" s="11"/>
      <c r="B298" s="17" t="str">
        <f>IFERROR(__xludf.DUMMYFUNCTION("""COMPUTED_VALUE"""),"Coco Yan")</f>
        <v>Coco Yan</v>
      </c>
      <c r="C298" s="11"/>
      <c r="D298" s="11"/>
      <c r="E298" s="11"/>
    </row>
    <row r="299">
      <c r="A299" s="11"/>
      <c r="B299" s="17" t="str">
        <f>IFERROR(__xludf.DUMMYFUNCTION("""COMPUTED_VALUE"""),"Kumar Palakeel")</f>
        <v>Kumar Palakeel</v>
      </c>
      <c r="C299" s="11"/>
      <c r="D299" s="11"/>
      <c r="E299" s="11"/>
    </row>
    <row r="300">
      <c r="A300" s="11"/>
      <c r="B300" s="17" t="str">
        <f>IFERROR(__xludf.DUMMYFUNCTION("""COMPUTED_VALUE"""),"Chinna Ponnaganti")</f>
        <v>Chinna Ponnaganti</v>
      </c>
      <c r="C300" s="11"/>
      <c r="D300" s="11"/>
      <c r="E300" s="11"/>
    </row>
    <row r="301">
      <c r="A301" s="11"/>
      <c r="B301" s="17" t="str">
        <f>IFERROR(__xludf.DUMMYFUNCTION("""COMPUTED_VALUE"""),"Andrew Wen")</f>
        <v>Andrew Wen</v>
      </c>
      <c r="C301" s="11"/>
      <c r="D301" s="11"/>
      <c r="E301" s="11"/>
    </row>
    <row r="302">
      <c r="A302" s="11"/>
      <c r="B302" s="17" t="str">
        <f>IFERROR(__xludf.DUMMYFUNCTION("""COMPUTED_VALUE"""),"Elayaraja Thangaraj ")</f>
        <v>Elayaraja Thangaraj </v>
      </c>
      <c r="C302" s="11"/>
      <c r="D302" s="11"/>
      <c r="E302" s="11"/>
    </row>
    <row r="303">
      <c r="A303" s="11"/>
      <c r="B303" s="17" t="str">
        <f>IFERROR(__xludf.DUMMYFUNCTION("""COMPUTED_VALUE"""),"Sai Dilip Ponnaganti")</f>
        <v>Sai Dilip Ponnaganti</v>
      </c>
      <c r="C303" s="11"/>
      <c r="D303" s="11"/>
      <c r="E303" s="11"/>
    </row>
    <row r="304">
      <c r="A304" s="11"/>
      <c r="B304" s="17" t="str">
        <f>IFERROR(__xludf.DUMMYFUNCTION("""COMPUTED_VALUE"""),"Balaji Alahari")</f>
        <v>Balaji Alahari</v>
      </c>
      <c r="C304" s="11"/>
      <c r="D304" s="11"/>
      <c r="E304" s="11"/>
    </row>
    <row r="305">
      <c r="A305" s="11"/>
      <c r="B305" s="17" t="str">
        <f>IFERROR(__xludf.DUMMYFUNCTION("""COMPUTED_VALUE"""),"Mauricio Palacios")</f>
        <v>Mauricio Palacios</v>
      </c>
      <c r="C305" s="11"/>
      <c r="D305" s="11"/>
      <c r="E305" s="11"/>
    </row>
    <row r="306">
      <c r="A306" s="11"/>
      <c r="B306" s="17" t="str">
        <f>IFERROR(__xludf.DUMMYFUNCTION("""COMPUTED_VALUE"""),"Tony Lin")</f>
        <v>Tony Lin</v>
      </c>
      <c r="C306" s="11"/>
      <c r="D306" s="11"/>
      <c r="E306" s="11"/>
    </row>
    <row r="307">
      <c r="A307" s="11"/>
      <c r="B307" s="17" t="str">
        <f>IFERROR(__xludf.DUMMYFUNCTION("""COMPUTED_VALUE"""),"Vinz Solano")</f>
        <v>Vinz Solano</v>
      </c>
      <c r="C307" s="11"/>
      <c r="D307" s="11"/>
      <c r="E307" s="11"/>
    </row>
    <row r="308">
      <c r="A308" s="11"/>
      <c r="B308" s="17" t="str">
        <f>IFERROR(__xludf.DUMMYFUNCTION("""COMPUTED_VALUE"""),"Santosh Sundaresan ")</f>
        <v>Santosh Sundaresan </v>
      </c>
      <c r="C308" s="11"/>
      <c r="D308" s="11"/>
      <c r="E308" s="11"/>
    </row>
    <row r="309">
      <c r="A309" s="11"/>
      <c r="B309" s="17" t="str">
        <f>IFERROR(__xludf.DUMMYFUNCTION("""COMPUTED_VALUE"""),"Naveen Raj")</f>
        <v>Naveen Raj</v>
      </c>
      <c r="C309" s="11"/>
      <c r="D309" s="11"/>
      <c r="E309" s="11"/>
    </row>
    <row r="310">
      <c r="A310" s="11"/>
      <c r="B310" s="17" t="str">
        <f>IFERROR(__xludf.DUMMYFUNCTION("""COMPUTED_VALUE"""),"Saravanan Veerapandian")</f>
        <v>Saravanan Veerapandian</v>
      </c>
      <c r="C310" s="11"/>
      <c r="D310" s="11"/>
      <c r="E310" s="11"/>
    </row>
    <row r="311">
      <c r="A311" s="11"/>
      <c r="B311" s="17" t="str">
        <f>IFERROR(__xludf.DUMMYFUNCTION("""COMPUTED_VALUE"""),"Eric Tan")</f>
        <v>Eric Tan</v>
      </c>
      <c r="C311" s="11"/>
      <c r="D311" s="11"/>
      <c r="E311" s="11"/>
    </row>
    <row r="312">
      <c r="A312" s="11"/>
      <c r="B312" s="17" t="str">
        <f>IFERROR(__xludf.DUMMYFUNCTION("""COMPUTED_VALUE"""),"Vinaya Kajla")</f>
        <v>Vinaya Kajla</v>
      </c>
      <c r="C312" s="11"/>
      <c r="D312" s="11"/>
      <c r="E312" s="11"/>
    </row>
    <row r="313">
      <c r="A313" s="11"/>
      <c r="B313" s="17" t="str">
        <f>IFERROR(__xludf.DUMMYFUNCTION("""COMPUTED_VALUE"""),"Susanta Mishra")</f>
        <v>Susanta Mishra</v>
      </c>
      <c r="C313" s="11"/>
      <c r="D313" s="11"/>
      <c r="E313" s="11"/>
    </row>
    <row r="314">
      <c r="A314" s="11"/>
      <c r="B314" s="17" t="str">
        <f>IFERROR(__xludf.DUMMYFUNCTION("""COMPUTED_VALUE"""),"Trinath Goteti")</f>
        <v>Trinath Goteti</v>
      </c>
      <c r="C314" s="11"/>
      <c r="D314" s="11"/>
      <c r="E314" s="11"/>
    </row>
    <row r="315">
      <c r="A315" s="11"/>
      <c r="B315" s="17" t="str">
        <f>IFERROR(__xludf.DUMMYFUNCTION("""COMPUTED_VALUE"""),"Sandy Weyant")</f>
        <v>Sandy Weyant</v>
      </c>
      <c r="C315" s="11"/>
      <c r="D315" s="11"/>
      <c r="E315" s="11"/>
    </row>
    <row r="316">
      <c r="A316" s="11"/>
      <c r="B316" s="17" t="str">
        <f>IFERROR(__xludf.DUMMYFUNCTION("""COMPUTED_VALUE"""),"Manish Anand")</f>
        <v>Manish Anand</v>
      </c>
      <c r="C316" s="11"/>
      <c r="D316" s="11"/>
      <c r="E316" s="11"/>
    </row>
    <row r="317">
      <c r="A317" s="11"/>
      <c r="B317" s="17" t="str">
        <f>IFERROR(__xludf.DUMMYFUNCTION("""COMPUTED_VALUE"""),"Rajesh Dorairaj")</f>
        <v>Rajesh Dorairaj</v>
      </c>
      <c r="C317" s="11"/>
      <c r="D317" s="11"/>
      <c r="E317" s="11"/>
    </row>
    <row r="318">
      <c r="A318" s="11"/>
      <c r="B318" s="17" t="str">
        <f>IFERROR(__xludf.DUMMYFUNCTION("""COMPUTED_VALUE"""),"Nohely Mejia")</f>
        <v>Nohely Mejia</v>
      </c>
      <c r="C318" s="11"/>
      <c r="D318" s="11"/>
      <c r="E318" s="11"/>
    </row>
    <row r="319">
      <c r="A319" s="11"/>
      <c r="B319" s="17" t="str">
        <f>IFERROR(__xludf.DUMMYFUNCTION("""COMPUTED_VALUE"""),"Eric Pan")</f>
        <v>Eric Pan</v>
      </c>
      <c r="C319" s="11"/>
      <c r="D319" s="11"/>
      <c r="E319" s="11"/>
    </row>
    <row r="320">
      <c r="A320" s="11"/>
      <c r="B320" s="17" t="str">
        <f>IFERROR(__xludf.DUMMYFUNCTION("""COMPUTED_VALUE"""),"Vishnu Amarnath")</f>
        <v>Vishnu Amarnath</v>
      </c>
      <c r="C320" s="11"/>
      <c r="D320" s="11"/>
      <c r="E320" s="11"/>
    </row>
    <row r="321">
      <c r="A321" s="11"/>
      <c r="B321" s="17" t="str">
        <f>IFERROR(__xludf.DUMMYFUNCTION("""COMPUTED_VALUE"""),"Nicole Ni")</f>
        <v>Nicole Ni</v>
      </c>
      <c r="C321" s="11"/>
      <c r="D321" s="11"/>
      <c r="E321" s="11"/>
    </row>
    <row r="322">
      <c r="A322" s="11"/>
      <c r="B322" s="17" t="str">
        <f>IFERROR(__xludf.DUMMYFUNCTION("""COMPUTED_VALUE"""),"Leigh-Anh Nguyen")</f>
        <v>Leigh-Anh Nguyen</v>
      </c>
      <c r="C322" s="11"/>
      <c r="D322" s="11"/>
      <c r="E322" s="11"/>
    </row>
    <row r="323">
      <c r="A323" s="11"/>
      <c r="B323" s="17" t="str">
        <f>IFERROR(__xludf.DUMMYFUNCTION("""COMPUTED_VALUE"""),"Peter Homsey")</f>
        <v>Peter Homsey</v>
      </c>
      <c r="C323" s="11"/>
      <c r="D323" s="11"/>
      <c r="E323" s="11"/>
    </row>
    <row r="324">
      <c r="A324" s="11"/>
      <c r="B324" s="17" t="str">
        <f>IFERROR(__xludf.DUMMYFUNCTION("""COMPUTED_VALUE"""),"Amit Patel")</f>
        <v>Amit Patel</v>
      </c>
      <c r="C324" s="11"/>
      <c r="D324" s="11"/>
      <c r="E324" s="11"/>
    </row>
    <row r="325">
      <c r="A325" s="11"/>
      <c r="B325" s="17" t="str">
        <f>IFERROR(__xludf.DUMMYFUNCTION("""COMPUTED_VALUE"""),"Jose Ortiz")</f>
        <v>Jose Ortiz</v>
      </c>
      <c r="C325" s="11"/>
      <c r="D325" s="11"/>
      <c r="E325" s="11"/>
    </row>
    <row r="326">
      <c r="A326" s="11"/>
      <c r="B326" s="17" t="str">
        <f>IFERROR(__xludf.DUMMYFUNCTION("""COMPUTED_VALUE"""),"Joyce Zhu")</f>
        <v>Joyce Zhu</v>
      </c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B330" s="17" t="str">
        <f>IFERROR(__xludf.DUMMYFUNCTION("query(B5:U70,""select B, K, L order by K desc"")"),"Adrian Tay")</f>
        <v>Adrian Tay</v>
      </c>
      <c r="C330" s="92">
        <f>IFERROR(__xludf.DUMMYFUNCTION("""COMPUTED_VALUE"""),19.0)</f>
        <v>19</v>
      </c>
      <c r="D330" s="92">
        <f>IFERROR(__xludf.DUMMYFUNCTION("""COMPUTED_VALUE"""),3.0)</f>
        <v>3</v>
      </c>
      <c r="E330" s="11"/>
    </row>
    <row r="331">
      <c r="A331" s="11"/>
      <c r="B331" s="17" t="str">
        <f>IFERROR(__xludf.DUMMYFUNCTION("""COMPUTED_VALUE"""),"Suleman Alidina")</f>
        <v>Suleman Alidina</v>
      </c>
      <c r="C331" s="92">
        <f>IFERROR(__xludf.DUMMYFUNCTION("""COMPUTED_VALUE"""),19.0)</f>
        <v>19</v>
      </c>
      <c r="D331" s="92">
        <f>IFERROR(__xludf.DUMMYFUNCTION("""COMPUTED_VALUE"""),3.0)</f>
        <v>3</v>
      </c>
      <c r="E331" s="11"/>
    </row>
    <row r="332">
      <c r="A332" s="11"/>
      <c r="B332" s="17" t="str">
        <f>IFERROR(__xludf.DUMMYFUNCTION("""COMPUTED_VALUE"""),"Pulkit Mathur")</f>
        <v>Pulkit Mathur</v>
      </c>
      <c r="C332" s="92">
        <f>IFERROR(__xludf.DUMMYFUNCTION("""COMPUTED_VALUE"""),19.0)</f>
        <v>19</v>
      </c>
      <c r="D332" s="92">
        <f>IFERROR(__xludf.DUMMYFUNCTION("""COMPUTED_VALUE"""),3.0)</f>
        <v>3</v>
      </c>
      <c r="E332" s="11"/>
    </row>
    <row r="333">
      <c r="A333" s="11"/>
      <c r="B333" s="17" t="str">
        <f>IFERROR(__xludf.DUMMYFUNCTION("""COMPUTED_VALUE"""),"Troy Wong")</f>
        <v>Troy Wong</v>
      </c>
      <c r="C333" s="92">
        <f>IFERROR(__xludf.DUMMYFUNCTION("""COMPUTED_VALUE"""),18.0)</f>
        <v>18</v>
      </c>
      <c r="D333" s="92">
        <f>IFERROR(__xludf.DUMMYFUNCTION("""COMPUTED_VALUE"""),2.0)</f>
        <v>2</v>
      </c>
      <c r="E333" s="11"/>
    </row>
    <row r="334">
      <c r="A334" s="11"/>
      <c r="B334" s="17" t="str">
        <f>IFERROR(__xludf.DUMMYFUNCTION("""COMPUTED_VALUE"""),"Joe Luzzi")</f>
        <v>Joe Luzzi</v>
      </c>
      <c r="C334" s="92">
        <f>IFERROR(__xludf.DUMMYFUNCTION("""COMPUTED_VALUE"""),17.0)</f>
        <v>17</v>
      </c>
      <c r="D334" s="92">
        <f>IFERROR(__xludf.DUMMYFUNCTION("""COMPUTED_VALUE"""),2.0)</f>
        <v>2</v>
      </c>
      <c r="E334" s="11"/>
    </row>
    <row r="335">
      <c r="A335" s="11"/>
      <c r="B335" s="17" t="str">
        <f>IFERROR(__xludf.DUMMYFUNCTION("""COMPUTED_VALUE"""),"Frank Moon")</f>
        <v>Frank Moon</v>
      </c>
      <c r="C335" s="92">
        <f>IFERROR(__xludf.DUMMYFUNCTION("""COMPUTED_VALUE"""),17.0)</f>
        <v>17</v>
      </c>
      <c r="D335" s="92">
        <f>IFERROR(__xludf.DUMMYFUNCTION("""COMPUTED_VALUE"""),2.0)</f>
        <v>2</v>
      </c>
      <c r="E335" s="11"/>
    </row>
    <row r="336">
      <c r="A336" s="11"/>
      <c r="B336" s="17" t="str">
        <f>IFERROR(__xludf.DUMMYFUNCTION("""COMPUTED_VALUE"""),"Sean Chang")</f>
        <v>Sean Chang</v>
      </c>
      <c r="C336" s="92">
        <f>IFERROR(__xludf.DUMMYFUNCTION("""COMPUTED_VALUE"""),17.0)</f>
        <v>17</v>
      </c>
      <c r="D336" s="92">
        <f>IFERROR(__xludf.DUMMYFUNCTION("""COMPUTED_VALUE"""),2.0)</f>
        <v>2</v>
      </c>
      <c r="E336" s="11"/>
    </row>
    <row r="337">
      <c r="A337" s="11"/>
      <c r="B337" s="17" t="str">
        <f>IFERROR(__xludf.DUMMYFUNCTION("""COMPUTED_VALUE"""),"Peter Cheng")</f>
        <v>Peter Cheng</v>
      </c>
      <c r="C337" s="92">
        <f>IFERROR(__xludf.DUMMYFUNCTION("""COMPUTED_VALUE"""),17.0)</f>
        <v>17</v>
      </c>
      <c r="D337" s="92">
        <f>IFERROR(__xludf.DUMMYFUNCTION("""COMPUTED_VALUE"""),2.0)</f>
        <v>2</v>
      </c>
      <c r="E337" s="11"/>
    </row>
    <row r="338">
      <c r="A338" s="11"/>
      <c r="B338" s="17" t="str">
        <f>IFERROR(__xludf.DUMMYFUNCTION("""COMPUTED_VALUE"""),"Andrew Wen")</f>
        <v>Andrew Wen</v>
      </c>
      <c r="C338" s="92">
        <f>IFERROR(__xludf.DUMMYFUNCTION("""COMPUTED_VALUE"""),17.0)</f>
        <v>17</v>
      </c>
      <c r="D338" s="92">
        <f>IFERROR(__xludf.DUMMYFUNCTION("""COMPUTED_VALUE"""),2.0)</f>
        <v>2</v>
      </c>
      <c r="E338" s="11"/>
    </row>
    <row r="339">
      <c r="A339" s="11"/>
      <c r="B339" s="17" t="str">
        <f>IFERROR(__xludf.DUMMYFUNCTION("""COMPUTED_VALUE"""),"Vinz Solano")</f>
        <v>Vinz Solano</v>
      </c>
      <c r="C339" s="92">
        <f>IFERROR(__xludf.DUMMYFUNCTION("""COMPUTED_VALUE"""),17.0)</f>
        <v>17</v>
      </c>
      <c r="D339" s="92">
        <f>IFERROR(__xludf.DUMMYFUNCTION("""COMPUTED_VALUE"""),2.0)</f>
        <v>2</v>
      </c>
      <c r="E339" s="11"/>
    </row>
    <row r="340">
      <c r="A340" s="11"/>
      <c r="B340" s="17" t="str">
        <f>IFERROR(__xludf.DUMMYFUNCTION("""COMPUTED_VALUE"""),"Cid Macaraeg")</f>
        <v>Cid Macaraeg</v>
      </c>
      <c r="C340" s="92">
        <f>IFERROR(__xludf.DUMMYFUNCTION("""COMPUTED_VALUE"""),16.0)</f>
        <v>16</v>
      </c>
      <c r="D340" s="92">
        <f>IFERROR(__xludf.DUMMYFUNCTION("""COMPUTED_VALUE"""),2.0)</f>
        <v>2</v>
      </c>
      <c r="E340" s="11"/>
    </row>
    <row r="341">
      <c r="A341" s="11"/>
      <c r="B341" s="17" t="str">
        <f>IFERROR(__xludf.DUMMYFUNCTION("""COMPUTED_VALUE"""),"Herman Au")</f>
        <v>Herman Au</v>
      </c>
      <c r="C341" s="92">
        <f>IFERROR(__xludf.DUMMYFUNCTION("""COMPUTED_VALUE"""),15.0)</f>
        <v>15</v>
      </c>
      <c r="D341" s="92">
        <f>IFERROR(__xludf.DUMMYFUNCTION("""COMPUTED_VALUE"""),2.0)</f>
        <v>2</v>
      </c>
      <c r="E341" s="11"/>
    </row>
    <row r="342">
      <c r="A342" s="11"/>
      <c r="B342" s="17" t="str">
        <f>IFERROR(__xludf.DUMMYFUNCTION("""COMPUTED_VALUE"""),"Oscar Bonilla")</f>
        <v>Oscar Bonilla</v>
      </c>
      <c r="C342" s="92">
        <f>IFERROR(__xludf.DUMMYFUNCTION("""COMPUTED_VALUE"""),15.0)</f>
        <v>15</v>
      </c>
      <c r="D342" s="92">
        <f>IFERROR(__xludf.DUMMYFUNCTION("""COMPUTED_VALUE"""),1.0)</f>
        <v>1</v>
      </c>
      <c r="E342" s="11"/>
    </row>
    <row r="343">
      <c r="A343" s="11"/>
      <c r="B343" s="17" t="str">
        <f>IFERROR(__xludf.DUMMYFUNCTION("""COMPUTED_VALUE"""),"Jim Miao")</f>
        <v>Jim Miao</v>
      </c>
      <c r="C343" s="92">
        <f>IFERROR(__xludf.DUMMYFUNCTION("""COMPUTED_VALUE"""),15.0)</f>
        <v>15</v>
      </c>
      <c r="D343" s="92">
        <f>IFERROR(__xludf.DUMMYFUNCTION("""COMPUTED_VALUE"""),2.0)</f>
        <v>2</v>
      </c>
      <c r="E343" s="11"/>
    </row>
    <row r="344">
      <c r="A344" s="11"/>
      <c r="B344" s="17" t="str">
        <f>IFERROR(__xludf.DUMMYFUNCTION("""COMPUTED_VALUE"""),"Chinna Ponnaganti")</f>
        <v>Chinna Ponnaganti</v>
      </c>
      <c r="C344" s="92">
        <f>IFERROR(__xludf.DUMMYFUNCTION("""COMPUTED_VALUE"""),15.0)</f>
        <v>15</v>
      </c>
      <c r="D344" s="92">
        <f>IFERROR(__xludf.DUMMYFUNCTION("""COMPUTED_VALUE"""),2.0)</f>
        <v>2</v>
      </c>
      <c r="E344" s="11"/>
    </row>
    <row r="345">
      <c r="A345" s="11"/>
      <c r="B345" s="17" t="str">
        <f>IFERROR(__xludf.DUMMYFUNCTION("""COMPUTED_VALUE"""),"Lam Bui")</f>
        <v>Lam Bui</v>
      </c>
      <c r="C345" s="92">
        <f>IFERROR(__xludf.DUMMYFUNCTION("""COMPUTED_VALUE"""),14.0)</f>
        <v>14</v>
      </c>
      <c r="D345" s="92">
        <f>IFERROR(__xludf.DUMMYFUNCTION("""COMPUTED_VALUE"""),1.0)</f>
        <v>1</v>
      </c>
      <c r="E345" s="11"/>
    </row>
    <row r="346">
      <c r="A346" s="11"/>
      <c r="B346" s="17" t="str">
        <f>IFERROR(__xludf.DUMMYFUNCTION("""COMPUTED_VALUE"""),"Alejandro Mejia")</f>
        <v>Alejandro Mejia</v>
      </c>
      <c r="C346" s="92">
        <f>IFERROR(__xludf.DUMMYFUNCTION("""COMPUTED_VALUE"""),14.0)</f>
        <v>14</v>
      </c>
      <c r="D346" s="92">
        <f>IFERROR(__xludf.DUMMYFUNCTION("""COMPUTED_VALUE"""),1.0)</f>
        <v>1</v>
      </c>
      <c r="E346" s="11"/>
    </row>
    <row r="347">
      <c r="A347" s="11"/>
      <c r="B347" s="17" t="str">
        <f>IFERROR(__xludf.DUMMYFUNCTION("""COMPUTED_VALUE"""),"Erik Hoeckmann")</f>
        <v>Erik Hoeckmann</v>
      </c>
      <c r="C347" s="92">
        <f>IFERROR(__xludf.DUMMYFUNCTION("""COMPUTED_VALUE"""),14.0)</f>
        <v>14</v>
      </c>
      <c r="D347" s="92">
        <f>IFERROR(__xludf.DUMMYFUNCTION("""COMPUTED_VALUE"""),1.0)</f>
        <v>1</v>
      </c>
      <c r="E347" s="11"/>
    </row>
    <row r="348">
      <c r="A348" s="11"/>
      <c r="B348" s="17" t="str">
        <f>IFERROR(__xludf.DUMMYFUNCTION("""COMPUTED_VALUE"""),"Ramesh Bandaru")</f>
        <v>Ramesh Bandaru</v>
      </c>
      <c r="C348" s="92">
        <f>IFERROR(__xludf.DUMMYFUNCTION("""COMPUTED_VALUE"""),14.0)</f>
        <v>14</v>
      </c>
      <c r="D348" s="92">
        <f>IFERROR(__xludf.DUMMYFUNCTION("""COMPUTED_VALUE"""),1.0)</f>
        <v>1</v>
      </c>
      <c r="E348" s="11"/>
    </row>
    <row r="349">
      <c r="A349" s="11"/>
      <c r="B349" s="17" t="str">
        <f>IFERROR(__xludf.DUMMYFUNCTION("""COMPUTED_VALUE"""),"Joyce Zhu")</f>
        <v>Joyce Zhu</v>
      </c>
      <c r="C349" s="92">
        <f>IFERROR(__xludf.DUMMYFUNCTION("""COMPUTED_VALUE"""),14.0)</f>
        <v>14</v>
      </c>
      <c r="D349" s="92">
        <f>IFERROR(__xludf.DUMMYFUNCTION("""COMPUTED_VALUE"""),2.0)</f>
        <v>2</v>
      </c>
      <c r="E349" s="11"/>
    </row>
    <row r="350">
      <c r="A350" s="11"/>
      <c r="B350" s="17" t="str">
        <f>IFERROR(__xludf.DUMMYFUNCTION("""COMPUTED_VALUE"""),"James Phan")</f>
        <v>James Phan</v>
      </c>
      <c r="C350" s="92">
        <f>IFERROR(__xludf.DUMMYFUNCTION("""COMPUTED_VALUE"""),13.0)</f>
        <v>13</v>
      </c>
      <c r="D350" s="92">
        <f>IFERROR(__xludf.DUMMYFUNCTION("""COMPUTED_VALUE"""),1.0)</f>
        <v>1</v>
      </c>
      <c r="E350" s="11"/>
    </row>
    <row r="351">
      <c r="A351" s="11"/>
      <c r="B351" s="17" t="str">
        <f>IFERROR(__xludf.DUMMYFUNCTION("""COMPUTED_VALUE"""),"Scott Li")</f>
        <v>Scott Li</v>
      </c>
      <c r="C351" s="92">
        <f>IFERROR(__xludf.DUMMYFUNCTION("""COMPUTED_VALUE"""),13.0)</f>
        <v>13</v>
      </c>
      <c r="D351" s="92"/>
      <c r="E351" s="11"/>
    </row>
    <row r="352">
      <c r="A352" s="11"/>
      <c r="B352" s="17" t="str">
        <f>IFERROR(__xludf.DUMMYFUNCTION("""COMPUTED_VALUE"""),"Manuel Rivera")</f>
        <v>Manuel Rivera</v>
      </c>
      <c r="C352" s="92">
        <f>IFERROR(__xludf.DUMMYFUNCTION("""COMPUTED_VALUE"""),13.0)</f>
        <v>13</v>
      </c>
      <c r="D352" s="92">
        <f>IFERROR(__xludf.DUMMYFUNCTION("""COMPUTED_VALUE"""),2.0)</f>
        <v>2</v>
      </c>
      <c r="E352" s="11"/>
    </row>
    <row r="353">
      <c r="A353" s="11"/>
      <c r="B353" s="17" t="str">
        <f>IFERROR(__xludf.DUMMYFUNCTION("""COMPUTED_VALUE"""),"Nicole Ni")</f>
        <v>Nicole Ni</v>
      </c>
      <c r="C353" s="92">
        <f>IFERROR(__xludf.DUMMYFUNCTION("""COMPUTED_VALUE"""),13.0)</f>
        <v>13</v>
      </c>
      <c r="D353" s="92">
        <f>IFERROR(__xludf.DUMMYFUNCTION("""COMPUTED_VALUE"""),0.0)</f>
        <v>0</v>
      </c>
      <c r="E353" s="11"/>
    </row>
    <row r="354">
      <c r="A354" s="11"/>
      <c r="B354" s="17" t="str">
        <f>IFERROR(__xludf.DUMMYFUNCTION("""COMPUTED_VALUE"""),"Ted Shen")</f>
        <v>Ted Shen</v>
      </c>
      <c r="C354" s="92">
        <f>IFERROR(__xludf.DUMMYFUNCTION("""COMPUTED_VALUE"""),12.0)</f>
        <v>12</v>
      </c>
      <c r="D354" s="92">
        <f>IFERROR(__xludf.DUMMYFUNCTION("""COMPUTED_VALUE"""),1.0)</f>
        <v>1</v>
      </c>
      <c r="E354" s="11"/>
    </row>
    <row r="355">
      <c r="A355" s="11"/>
      <c r="B355" s="17" t="str">
        <f>IFERROR(__xludf.DUMMYFUNCTION("""COMPUTED_VALUE"""),"Lloyd Sagar")</f>
        <v>Lloyd Sagar</v>
      </c>
      <c r="C355" s="92">
        <f>IFERROR(__xludf.DUMMYFUNCTION("""COMPUTED_VALUE"""),12.0)</f>
        <v>12</v>
      </c>
      <c r="D355" s="92">
        <f>IFERROR(__xludf.DUMMYFUNCTION("""COMPUTED_VALUE"""),2.0)</f>
        <v>2</v>
      </c>
      <c r="E355" s="11"/>
    </row>
    <row r="356">
      <c r="A356" s="11"/>
      <c r="B356" s="17" t="str">
        <f>IFERROR(__xludf.DUMMYFUNCTION("""COMPUTED_VALUE"""),"Sanjaye Elayattu")</f>
        <v>Sanjaye Elayattu</v>
      </c>
      <c r="C356" s="92">
        <f>IFERROR(__xludf.DUMMYFUNCTION("""COMPUTED_VALUE"""),12.0)</f>
        <v>12</v>
      </c>
      <c r="D356" s="92">
        <f>IFERROR(__xludf.DUMMYFUNCTION("""COMPUTED_VALUE"""),2.0)</f>
        <v>2</v>
      </c>
      <c r="E356" s="11"/>
    </row>
    <row r="357">
      <c r="A357" s="11"/>
      <c r="B357" s="17" t="str">
        <f>IFERROR(__xludf.DUMMYFUNCTION("""COMPUTED_VALUE"""),"Alex Hou")</f>
        <v>Alex Hou</v>
      </c>
      <c r="C357" s="92">
        <f>IFERROR(__xludf.DUMMYFUNCTION("""COMPUTED_VALUE"""),11.0)</f>
        <v>11</v>
      </c>
      <c r="D357" s="92">
        <f>IFERROR(__xludf.DUMMYFUNCTION("""COMPUTED_VALUE"""),0.0)</f>
        <v>0</v>
      </c>
      <c r="E357" s="11"/>
    </row>
    <row r="358">
      <c r="A358" s="11"/>
      <c r="B358" s="17" t="str">
        <f>IFERROR(__xludf.DUMMYFUNCTION("""COMPUTED_VALUE"""),"Rajasekar Ramasamy")</f>
        <v>Rajasekar Ramasamy</v>
      </c>
      <c r="C358" s="92">
        <f>IFERROR(__xludf.DUMMYFUNCTION("""COMPUTED_VALUE"""),10.0)</f>
        <v>10</v>
      </c>
      <c r="D358" s="92">
        <f>IFERROR(__xludf.DUMMYFUNCTION("""COMPUTED_VALUE"""),1.0)</f>
        <v>1</v>
      </c>
      <c r="E358" s="11"/>
    </row>
    <row r="359">
      <c r="A359" s="11"/>
      <c r="B359" s="17" t="str">
        <f>IFERROR(__xludf.DUMMYFUNCTION("""COMPUTED_VALUE"""),"Saravanan Veerapandian")</f>
        <v>Saravanan Veerapandian</v>
      </c>
      <c r="C359" s="92">
        <f>IFERROR(__xludf.DUMMYFUNCTION("""COMPUTED_VALUE"""),10.0)</f>
        <v>10</v>
      </c>
      <c r="D359" s="92">
        <f>IFERROR(__xludf.DUMMYFUNCTION("""COMPUTED_VALUE"""),0.0)</f>
        <v>0</v>
      </c>
      <c r="E359" s="11"/>
    </row>
    <row r="360">
      <c r="A360" s="11"/>
      <c r="B360" s="17" t="str">
        <f>IFERROR(__xludf.DUMMYFUNCTION("""COMPUTED_VALUE"""),"Christopher Li")</f>
        <v>Christopher Li</v>
      </c>
      <c r="C360" s="92">
        <f>IFERROR(__xludf.DUMMYFUNCTION("""COMPUTED_VALUE"""),9.0)</f>
        <v>9</v>
      </c>
      <c r="D360" s="92">
        <f>IFERROR(__xludf.DUMMYFUNCTION("""COMPUTED_VALUE"""),0.0)</f>
        <v>0</v>
      </c>
      <c r="E360" s="11"/>
    </row>
    <row r="361">
      <c r="A361" s="11"/>
      <c r="B361" s="17" t="str">
        <f>IFERROR(__xludf.DUMMYFUNCTION("""COMPUTED_VALUE"""),"Tom Le")</f>
        <v>Tom Le</v>
      </c>
      <c r="C361" s="92">
        <f>IFERROR(__xludf.DUMMYFUNCTION("""COMPUTED_VALUE"""),9.0)</f>
        <v>9</v>
      </c>
      <c r="D361" s="92">
        <f>IFERROR(__xludf.DUMMYFUNCTION("""COMPUTED_VALUE"""),0.0)</f>
        <v>0</v>
      </c>
      <c r="E361" s="11"/>
    </row>
    <row r="362">
      <c r="A362" s="11"/>
      <c r="B362" s="17" t="str">
        <f>IFERROR(__xludf.DUMMYFUNCTION("""COMPUTED_VALUE"""),"Luis Hsu")</f>
        <v>Luis Hsu</v>
      </c>
      <c r="C362" s="92">
        <f>IFERROR(__xludf.DUMMYFUNCTION("""COMPUTED_VALUE"""),9.0)</f>
        <v>9</v>
      </c>
      <c r="D362" s="92">
        <f>IFERROR(__xludf.DUMMYFUNCTION("""COMPUTED_VALUE"""),0.0)</f>
        <v>0</v>
      </c>
      <c r="E362" s="11"/>
    </row>
    <row r="363">
      <c r="A363" s="11"/>
      <c r="B363" s="17" t="str">
        <f>IFERROR(__xludf.DUMMYFUNCTION("""COMPUTED_VALUE"""),"Arun Mallikarjuna")</f>
        <v>Arun Mallikarjuna</v>
      </c>
      <c r="C363" s="92">
        <f>IFERROR(__xludf.DUMMYFUNCTION("""COMPUTED_VALUE"""),9.0)</f>
        <v>9</v>
      </c>
      <c r="D363" s="92">
        <f>IFERROR(__xludf.DUMMYFUNCTION("""COMPUTED_VALUE"""),1.0)</f>
        <v>1</v>
      </c>
      <c r="E363" s="11"/>
    </row>
    <row r="364">
      <c r="A364" s="11"/>
      <c r="B364" s="17" t="str">
        <f>IFERROR(__xludf.DUMMYFUNCTION("""COMPUTED_VALUE"""),"Jonathan Phan")</f>
        <v>Jonathan Phan</v>
      </c>
      <c r="C364" s="92">
        <f>IFERROR(__xludf.DUMMYFUNCTION("""COMPUTED_VALUE"""),9.0)</f>
        <v>9</v>
      </c>
      <c r="D364" s="92">
        <f>IFERROR(__xludf.DUMMYFUNCTION("""COMPUTED_VALUE"""),0.0)</f>
        <v>0</v>
      </c>
      <c r="E364" s="11"/>
    </row>
    <row r="365">
      <c r="A365" s="11"/>
      <c r="B365" s="17" t="str">
        <f>IFERROR(__xludf.DUMMYFUNCTION("""COMPUTED_VALUE"""),"David Shin")</f>
        <v>David Shin</v>
      </c>
      <c r="C365" s="92">
        <f>IFERROR(__xludf.DUMMYFUNCTION("""COMPUTED_VALUE"""),9.0)</f>
        <v>9</v>
      </c>
      <c r="D365" s="92">
        <f>IFERROR(__xludf.DUMMYFUNCTION("""COMPUTED_VALUE"""),0.0)</f>
        <v>0</v>
      </c>
      <c r="E365" s="11"/>
    </row>
    <row r="366">
      <c r="A366" s="11"/>
      <c r="B366" s="17" t="str">
        <f>IFERROR(__xludf.DUMMYFUNCTION("""COMPUTED_VALUE"""),"Matthew Huang")</f>
        <v>Matthew Huang</v>
      </c>
      <c r="C366" s="92">
        <f>IFERROR(__xludf.DUMMYFUNCTION("""COMPUTED_VALUE"""),9.0)</f>
        <v>9</v>
      </c>
      <c r="D366" s="92">
        <f>IFERROR(__xludf.DUMMYFUNCTION("""COMPUTED_VALUE"""),0.0)</f>
        <v>0</v>
      </c>
      <c r="E366" s="11"/>
    </row>
    <row r="367">
      <c r="A367" s="11"/>
      <c r="B367" s="17" t="str">
        <f>IFERROR(__xludf.DUMMYFUNCTION("""COMPUTED_VALUE"""),"Pavan Akkimsetty")</f>
        <v>Pavan Akkimsetty</v>
      </c>
      <c r="C367" s="92">
        <f>IFERROR(__xludf.DUMMYFUNCTION("""COMPUTED_VALUE"""),9.0)</f>
        <v>9</v>
      </c>
      <c r="D367" s="92">
        <f>IFERROR(__xludf.DUMMYFUNCTION("""COMPUTED_VALUE"""),0.0)</f>
        <v>0</v>
      </c>
      <c r="E367" s="11"/>
    </row>
    <row r="368">
      <c r="A368" s="11"/>
      <c r="B368" s="17" t="str">
        <f>IFERROR(__xludf.DUMMYFUNCTION("""COMPUTED_VALUE"""),"Robert Chang")</f>
        <v>Robert Chang</v>
      </c>
      <c r="C368" s="92">
        <f>IFERROR(__xludf.DUMMYFUNCTION("""COMPUTED_VALUE"""),9.0)</f>
        <v>9</v>
      </c>
      <c r="D368" s="92">
        <f>IFERROR(__xludf.DUMMYFUNCTION("""COMPUTED_VALUE"""),0.0)</f>
        <v>0</v>
      </c>
      <c r="E368" s="11"/>
    </row>
    <row r="369">
      <c r="A369" s="11"/>
      <c r="B369" s="17" t="str">
        <f>IFERROR(__xludf.DUMMYFUNCTION("""COMPUTED_VALUE"""),"Wayne Liu")</f>
        <v>Wayne Liu</v>
      </c>
      <c r="C369" s="92">
        <f>IFERROR(__xludf.DUMMYFUNCTION("""COMPUTED_VALUE"""),9.0)</f>
        <v>9</v>
      </c>
      <c r="D369" s="92">
        <f>IFERROR(__xludf.DUMMYFUNCTION("""COMPUTED_VALUE"""),0.0)</f>
        <v>0</v>
      </c>
      <c r="E369" s="11"/>
    </row>
    <row r="370">
      <c r="A370" s="11"/>
      <c r="B370" s="17" t="str">
        <f>IFERROR(__xludf.DUMMYFUNCTION("""COMPUTED_VALUE"""),"Jimmy Awolesi")</f>
        <v>Jimmy Awolesi</v>
      </c>
      <c r="C370" s="92">
        <f>IFERROR(__xludf.DUMMYFUNCTION("""COMPUTED_VALUE"""),9.0)</f>
        <v>9</v>
      </c>
      <c r="D370" s="92">
        <f>IFERROR(__xludf.DUMMYFUNCTION("""COMPUTED_VALUE"""),0.0)</f>
        <v>0</v>
      </c>
      <c r="E370" s="11"/>
    </row>
    <row r="371">
      <c r="A371" s="11"/>
      <c r="B371" s="17" t="str">
        <f>IFERROR(__xludf.DUMMYFUNCTION("""COMPUTED_VALUE"""),"Vamsi Lolla ")</f>
        <v>Vamsi Lolla </v>
      </c>
      <c r="C371" s="92">
        <f>IFERROR(__xludf.DUMMYFUNCTION("""COMPUTED_VALUE"""),9.0)</f>
        <v>9</v>
      </c>
      <c r="D371" s="92">
        <f>IFERROR(__xludf.DUMMYFUNCTION("""COMPUTED_VALUE"""),0.0)</f>
        <v>0</v>
      </c>
      <c r="E371" s="11"/>
    </row>
    <row r="372">
      <c r="A372" s="11"/>
      <c r="B372" s="17" t="str">
        <f>IFERROR(__xludf.DUMMYFUNCTION("""COMPUTED_VALUE"""),"Coco Yan")</f>
        <v>Coco Yan</v>
      </c>
      <c r="C372" s="92">
        <f>IFERROR(__xludf.DUMMYFUNCTION("""COMPUTED_VALUE"""),9.0)</f>
        <v>9</v>
      </c>
      <c r="D372" s="92">
        <f>IFERROR(__xludf.DUMMYFUNCTION("""COMPUTED_VALUE"""),0.0)</f>
        <v>0</v>
      </c>
      <c r="E372" s="11"/>
    </row>
    <row r="373">
      <c r="A373" s="11"/>
      <c r="B373" s="17" t="str">
        <f>IFERROR(__xludf.DUMMYFUNCTION("""COMPUTED_VALUE"""),"Elayaraja Thangaraj ")</f>
        <v>Elayaraja Thangaraj </v>
      </c>
      <c r="C373" s="92">
        <f>IFERROR(__xludf.DUMMYFUNCTION("""COMPUTED_VALUE"""),9.0)</f>
        <v>9</v>
      </c>
      <c r="D373" s="92">
        <f>IFERROR(__xludf.DUMMYFUNCTION("""COMPUTED_VALUE"""),0.0)</f>
        <v>0</v>
      </c>
      <c r="E373" s="11"/>
    </row>
    <row r="374">
      <c r="A374" s="11"/>
      <c r="B374" s="17" t="str">
        <f>IFERROR(__xludf.DUMMYFUNCTION("""COMPUTED_VALUE"""),"Sai Dilip Ponnaganti")</f>
        <v>Sai Dilip Ponnaganti</v>
      </c>
      <c r="C374" s="92">
        <f>IFERROR(__xludf.DUMMYFUNCTION("""COMPUTED_VALUE"""),9.0)</f>
        <v>9</v>
      </c>
      <c r="D374" s="92">
        <f>IFERROR(__xludf.DUMMYFUNCTION("""COMPUTED_VALUE"""),0.0)</f>
        <v>0</v>
      </c>
      <c r="E374" s="11"/>
    </row>
    <row r="375">
      <c r="A375" s="11"/>
      <c r="B375" s="17" t="str">
        <f>IFERROR(__xludf.DUMMYFUNCTION("""COMPUTED_VALUE"""),"Balaji Alahari")</f>
        <v>Balaji Alahari</v>
      </c>
      <c r="C375" s="92">
        <f>IFERROR(__xludf.DUMMYFUNCTION("""COMPUTED_VALUE"""),9.0)</f>
        <v>9</v>
      </c>
      <c r="D375" s="92">
        <f>IFERROR(__xludf.DUMMYFUNCTION("""COMPUTED_VALUE"""),0.0)</f>
        <v>0</v>
      </c>
      <c r="E375" s="11"/>
    </row>
    <row r="376">
      <c r="A376" s="11"/>
      <c r="B376" s="17" t="str">
        <f>IFERROR(__xludf.DUMMYFUNCTION("""COMPUTED_VALUE"""),"Mauricio Palacios")</f>
        <v>Mauricio Palacios</v>
      </c>
      <c r="C376" s="92">
        <f>IFERROR(__xludf.DUMMYFUNCTION("""COMPUTED_VALUE"""),9.0)</f>
        <v>9</v>
      </c>
      <c r="D376" s="92">
        <f>IFERROR(__xludf.DUMMYFUNCTION("""COMPUTED_VALUE"""),0.0)</f>
        <v>0</v>
      </c>
      <c r="E376" s="11"/>
    </row>
    <row r="377">
      <c r="A377" s="11"/>
      <c r="B377" s="17" t="str">
        <f>IFERROR(__xludf.DUMMYFUNCTION("""COMPUTED_VALUE"""),"Tony Lin")</f>
        <v>Tony Lin</v>
      </c>
      <c r="C377" s="92">
        <f>IFERROR(__xludf.DUMMYFUNCTION("""COMPUTED_VALUE"""),9.0)</f>
        <v>9</v>
      </c>
      <c r="D377" s="92">
        <f>IFERROR(__xludf.DUMMYFUNCTION("""COMPUTED_VALUE"""),0.0)</f>
        <v>0</v>
      </c>
      <c r="E377" s="11"/>
    </row>
    <row r="378">
      <c r="A378" s="11"/>
      <c r="B378" s="17" t="str">
        <f>IFERROR(__xludf.DUMMYFUNCTION("""COMPUTED_VALUE"""),"Santosh Sundaresan ")</f>
        <v>Santosh Sundaresan </v>
      </c>
      <c r="C378" s="92">
        <f>IFERROR(__xludf.DUMMYFUNCTION("""COMPUTED_VALUE"""),9.0)</f>
        <v>9</v>
      </c>
      <c r="D378" s="92">
        <f>IFERROR(__xludf.DUMMYFUNCTION("""COMPUTED_VALUE"""),0.0)</f>
        <v>0</v>
      </c>
      <c r="E378" s="11"/>
    </row>
    <row r="379">
      <c r="A379" s="11"/>
      <c r="B379" s="17" t="str">
        <f>IFERROR(__xludf.DUMMYFUNCTION("""COMPUTED_VALUE"""),"Naveen Raj")</f>
        <v>Naveen Raj</v>
      </c>
      <c r="C379" s="92">
        <f>IFERROR(__xludf.DUMMYFUNCTION("""COMPUTED_VALUE"""),9.0)</f>
        <v>9</v>
      </c>
      <c r="D379" s="92">
        <f>IFERROR(__xludf.DUMMYFUNCTION("""COMPUTED_VALUE"""),0.0)</f>
        <v>0</v>
      </c>
      <c r="E379" s="11"/>
    </row>
    <row r="380">
      <c r="A380" s="11"/>
      <c r="B380" s="17" t="str">
        <f>IFERROR(__xludf.DUMMYFUNCTION("""COMPUTED_VALUE"""),"Eric Tan")</f>
        <v>Eric Tan</v>
      </c>
      <c r="C380" s="92">
        <f>IFERROR(__xludf.DUMMYFUNCTION("""COMPUTED_VALUE"""),9.0)</f>
        <v>9</v>
      </c>
      <c r="D380" s="92">
        <f>IFERROR(__xludf.DUMMYFUNCTION("""COMPUTED_VALUE"""),0.0)</f>
        <v>0</v>
      </c>
      <c r="E380" s="11"/>
    </row>
    <row r="381">
      <c r="A381" s="11"/>
      <c r="B381" s="17" t="str">
        <f>IFERROR(__xludf.DUMMYFUNCTION("""COMPUTED_VALUE"""),"Vinaya Kajla")</f>
        <v>Vinaya Kajla</v>
      </c>
      <c r="C381" s="92">
        <f>IFERROR(__xludf.DUMMYFUNCTION("""COMPUTED_VALUE"""),9.0)</f>
        <v>9</v>
      </c>
      <c r="D381" s="92">
        <f>IFERROR(__xludf.DUMMYFUNCTION("""COMPUTED_VALUE"""),0.0)</f>
        <v>0</v>
      </c>
      <c r="E381" s="11"/>
    </row>
    <row r="382">
      <c r="A382" s="11"/>
      <c r="B382" s="17" t="str">
        <f>IFERROR(__xludf.DUMMYFUNCTION("""COMPUTED_VALUE"""),"Susanta Mishra")</f>
        <v>Susanta Mishra</v>
      </c>
      <c r="C382" s="92">
        <f>IFERROR(__xludf.DUMMYFUNCTION("""COMPUTED_VALUE"""),9.0)</f>
        <v>9</v>
      </c>
      <c r="D382" s="92">
        <f>IFERROR(__xludf.DUMMYFUNCTION("""COMPUTED_VALUE"""),0.0)</f>
        <v>0</v>
      </c>
      <c r="E382" s="11"/>
    </row>
    <row r="383">
      <c r="A383" s="11"/>
      <c r="B383" s="17" t="str">
        <f>IFERROR(__xludf.DUMMYFUNCTION("""COMPUTED_VALUE"""),"Trinath Goteti")</f>
        <v>Trinath Goteti</v>
      </c>
      <c r="C383" s="92">
        <f>IFERROR(__xludf.DUMMYFUNCTION("""COMPUTED_VALUE"""),9.0)</f>
        <v>9</v>
      </c>
      <c r="D383" s="92">
        <f>IFERROR(__xludf.DUMMYFUNCTION("""COMPUTED_VALUE"""),0.0)</f>
        <v>0</v>
      </c>
      <c r="E383" s="11"/>
    </row>
    <row r="384">
      <c r="A384" s="11"/>
      <c r="B384" s="17" t="str">
        <f>IFERROR(__xludf.DUMMYFUNCTION("""COMPUTED_VALUE"""),"Sandy Weyant")</f>
        <v>Sandy Weyant</v>
      </c>
      <c r="C384" s="92">
        <f>IFERROR(__xludf.DUMMYFUNCTION("""COMPUTED_VALUE"""),9.0)</f>
        <v>9</v>
      </c>
      <c r="D384" s="92">
        <f>IFERROR(__xludf.DUMMYFUNCTION("""COMPUTED_VALUE"""),0.0)</f>
        <v>0</v>
      </c>
      <c r="E384" s="11"/>
    </row>
    <row r="385">
      <c r="A385" s="11"/>
      <c r="B385" s="17" t="str">
        <f>IFERROR(__xludf.DUMMYFUNCTION("""COMPUTED_VALUE"""),"Manish Anand")</f>
        <v>Manish Anand</v>
      </c>
      <c r="C385" s="92">
        <f>IFERROR(__xludf.DUMMYFUNCTION("""COMPUTED_VALUE"""),9.0)</f>
        <v>9</v>
      </c>
      <c r="D385" s="92">
        <f>IFERROR(__xludf.DUMMYFUNCTION("""COMPUTED_VALUE"""),0.0)</f>
        <v>0</v>
      </c>
      <c r="E385" s="11"/>
    </row>
    <row r="386">
      <c r="A386" s="11"/>
      <c r="B386" s="17" t="str">
        <f>IFERROR(__xludf.DUMMYFUNCTION("""COMPUTED_VALUE"""),"Rajesh Dorairaj")</f>
        <v>Rajesh Dorairaj</v>
      </c>
      <c r="C386" s="92">
        <f>IFERROR(__xludf.DUMMYFUNCTION("""COMPUTED_VALUE"""),9.0)</f>
        <v>9</v>
      </c>
      <c r="D386" s="92">
        <f>IFERROR(__xludf.DUMMYFUNCTION("""COMPUTED_VALUE"""),0.0)</f>
        <v>0</v>
      </c>
      <c r="E386" s="11"/>
    </row>
    <row r="387">
      <c r="A387" s="11"/>
      <c r="B387" s="17" t="str">
        <f>IFERROR(__xludf.DUMMYFUNCTION("""COMPUTED_VALUE"""),"Nohely Mejia")</f>
        <v>Nohely Mejia</v>
      </c>
      <c r="C387" s="92">
        <f>IFERROR(__xludf.DUMMYFUNCTION("""COMPUTED_VALUE"""),9.0)</f>
        <v>9</v>
      </c>
      <c r="D387" s="92">
        <f>IFERROR(__xludf.DUMMYFUNCTION("""COMPUTED_VALUE"""),0.0)</f>
        <v>0</v>
      </c>
      <c r="E387" s="11"/>
    </row>
    <row r="388">
      <c r="A388" s="11"/>
      <c r="B388" s="17" t="str">
        <f>IFERROR(__xludf.DUMMYFUNCTION("""COMPUTED_VALUE"""),"Eric Pan")</f>
        <v>Eric Pan</v>
      </c>
      <c r="C388" s="92">
        <f>IFERROR(__xludf.DUMMYFUNCTION("""COMPUTED_VALUE"""),9.0)</f>
        <v>9</v>
      </c>
      <c r="D388" s="92">
        <f>IFERROR(__xludf.DUMMYFUNCTION("""COMPUTED_VALUE"""),0.0)</f>
        <v>0</v>
      </c>
      <c r="E388" s="11"/>
    </row>
    <row r="389">
      <c r="A389" s="11"/>
      <c r="B389" s="17" t="str">
        <f>IFERROR(__xludf.DUMMYFUNCTION("""COMPUTED_VALUE"""),"Vishnu Amarnath")</f>
        <v>Vishnu Amarnath</v>
      </c>
      <c r="C389" s="92">
        <f>IFERROR(__xludf.DUMMYFUNCTION("""COMPUTED_VALUE"""),9.0)</f>
        <v>9</v>
      </c>
      <c r="D389" s="92">
        <f>IFERROR(__xludf.DUMMYFUNCTION("""COMPUTED_VALUE"""),0.0)</f>
        <v>0</v>
      </c>
      <c r="E389" s="11"/>
    </row>
    <row r="390">
      <c r="A390" s="11"/>
      <c r="B390" s="17" t="str">
        <f>IFERROR(__xludf.DUMMYFUNCTION("""COMPUTED_VALUE"""),"Leigh-Anh Nguyen")</f>
        <v>Leigh-Anh Nguyen</v>
      </c>
      <c r="C390" s="92">
        <f>IFERROR(__xludf.DUMMYFUNCTION("""COMPUTED_VALUE"""),9.0)</f>
        <v>9</v>
      </c>
      <c r="D390" s="92">
        <f>IFERROR(__xludf.DUMMYFUNCTION("""COMPUTED_VALUE"""),0.0)</f>
        <v>0</v>
      </c>
      <c r="E390" s="11"/>
    </row>
    <row r="391">
      <c r="A391" s="11"/>
      <c r="B391" s="17" t="str">
        <f>IFERROR(__xludf.DUMMYFUNCTION("""COMPUTED_VALUE"""),"Peter Homsey")</f>
        <v>Peter Homsey</v>
      </c>
      <c r="C391" s="92">
        <f>IFERROR(__xludf.DUMMYFUNCTION("""COMPUTED_VALUE"""),9.0)</f>
        <v>9</v>
      </c>
      <c r="D391" s="92">
        <f>IFERROR(__xludf.DUMMYFUNCTION("""COMPUTED_VALUE"""),0.0)</f>
        <v>0</v>
      </c>
      <c r="E391" s="11"/>
    </row>
    <row r="392">
      <c r="A392" s="11"/>
      <c r="B392" s="17" t="str">
        <f>IFERROR(__xludf.DUMMYFUNCTION("""COMPUTED_VALUE"""),"Amit Patel")</f>
        <v>Amit Patel</v>
      </c>
      <c r="C392" s="92">
        <f>IFERROR(__xludf.DUMMYFUNCTION("""COMPUTED_VALUE"""),9.0)</f>
        <v>9</v>
      </c>
      <c r="D392" s="92">
        <f>IFERROR(__xludf.DUMMYFUNCTION("""COMPUTED_VALUE"""),0.0)</f>
        <v>0</v>
      </c>
      <c r="E392" s="11"/>
    </row>
    <row r="393">
      <c r="A393" s="11"/>
      <c r="B393" s="17" t="str">
        <f>IFERROR(__xludf.DUMMYFUNCTION("""COMPUTED_VALUE"""),"Jose Ortiz")</f>
        <v>Jose Ortiz</v>
      </c>
      <c r="C393" s="92">
        <f>IFERROR(__xludf.DUMMYFUNCTION("""COMPUTED_VALUE"""),9.0)</f>
        <v>9</v>
      </c>
      <c r="D393" s="92">
        <f>IFERROR(__xludf.DUMMYFUNCTION("""COMPUTED_VALUE"""),0.0)</f>
        <v>0</v>
      </c>
      <c r="E393" s="11"/>
    </row>
    <row r="394">
      <c r="A394" s="11"/>
      <c r="B394" s="17" t="str">
        <f>IFERROR(__xludf.DUMMYFUNCTION("""COMPUTED_VALUE"""),"Kumar Palakeel")</f>
        <v>Kumar Palakeel</v>
      </c>
      <c r="C394" s="92">
        <f>IFERROR(__xludf.DUMMYFUNCTION("""COMPUTED_VALUE"""),7.0)</f>
        <v>7</v>
      </c>
      <c r="D394" s="92">
        <f>IFERROR(__xludf.DUMMYFUNCTION("""COMPUTED_VALUE"""),0.0)</f>
        <v>0</v>
      </c>
      <c r="E394" s="11"/>
    </row>
    <row r="395">
      <c r="A395" s="11"/>
      <c r="B395" s="17" t="str">
        <f>IFERROR(__xludf.DUMMYFUNCTION("""COMPUTED_VALUE"""),"Trish Newlin")</f>
        <v>Trish Newlin</v>
      </c>
      <c r="C395" s="92">
        <f>IFERROR(__xludf.DUMMYFUNCTION("""COMPUTED_VALUE"""),3.0)</f>
        <v>3</v>
      </c>
      <c r="D395" s="92">
        <f>IFERROR(__xludf.DUMMYFUNCTION("""COMPUTED_VALUE"""),0.0)</f>
        <v>0</v>
      </c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  <row r="1030">
      <c r="A1030" s="11"/>
      <c r="C1030" s="11"/>
      <c r="D1030" s="11"/>
      <c r="E1030" s="11"/>
    </row>
    <row r="1031">
      <c r="A1031" s="11"/>
      <c r="C1031" s="11"/>
      <c r="D1031" s="11"/>
      <c r="E1031" s="11"/>
    </row>
    <row r="1032">
      <c r="A1032" s="11"/>
      <c r="C1032" s="11"/>
      <c r="D1032" s="11"/>
      <c r="E1032" s="11"/>
    </row>
    <row r="1033">
      <c r="A1033" s="11"/>
      <c r="C1033" s="11"/>
      <c r="D1033" s="11"/>
      <c r="E1033" s="11"/>
    </row>
    <row r="1034">
      <c r="A1034" s="11"/>
      <c r="C1034" s="11"/>
      <c r="D1034" s="11"/>
      <c r="E1034" s="11"/>
    </row>
    <row r="1035">
      <c r="A1035" s="11"/>
      <c r="C1035" s="11"/>
      <c r="D1035" s="11"/>
      <c r="E1035" s="11"/>
    </row>
    <row r="1036">
      <c r="A1036" s="11"/>
      <c r="C1036" s="11"/>
      <c r="D1036" s="11"/>
      <c r="E1036" s="11"/>
    </row>
    <row r="1037">
      <c r="A1037" s="11"/>
      <c r="C1037" s="11"/>
      <c r="D1037" s="11"/>
      <c r="E1037" s="11"/>
    </row>
    <row r="1038">
      <c r="A1038" s="11"/>
      <c r="C1038" s="11"/>
      <c r="D1038" s="11"/>
      <c r="E1038" s="11"/>
    </row>
    <row r="1039">
      <c r="A1039" s="11"/>
      <c r="C1039" s="11"/>
      <c r="D1039" s="11"/>
      <c r="E1039" s="11"/>
    </row>
    <row r="1040">
      <c r="A1040" s="11"/>
      <c r="C1040" s="11"/>
      <c r="D1040" s="11"/>
      <c r="E1040" s="11"/>
    </row>
    <row r="1041">
      <c r="A1041" s="11"/>
      <c r="C1041" s="11"/>
      <c r="D1041" s="11"/>
      <c r="E1041" s="11"/>
    </row>
    <row r="1042">
      <c r="A1042" s="11"/>
      <c r="C1042" s="11"/>
      <c r="D1042" s="11"/>
      <c r="E1042" s="11"/>
    </row>
    <row r="1043">
      <c r="A1043" s="11"/>
      <c r="C1043" s="11"/>
      <c r="D1043" s="11"/>
      <c r="E1043" s="11"/>
    </row>
    <row r="1044">
      <c r="A1044" s="11"/>
      <c r="C1044" s="11"/>
      <c r="D1044" s="11"/>
      <c r="E1044" s="11"/>
    </row>
    <row r="1045">
      <c r="A1045" s="11"/>
      <c r="C1045" s="11"/>
      <c r="D1045" s="11"/>
      <c r="E1045" s="11"/>
    </row>
    <row r="1046">
      <c r="A1046" s="11"/>
      <c r="C1046" s="11"/>
      <c r="D1046" s="11"/>
      <c r="E1046" s="11"/>
    </row>
    <row r="1047">
      <c r="A1047" s="11"/>
      <c r="C1047" s="11"/>
      <c r="D1047" s="11"/>
      <c r="E1047" s="11"/>
    </row>
    <row r="1048">
      <c r="A1048" s="11"/>
      <c r="C1048" s="11"/>
      <c r="D1048" s="11"/>
      <c r="E1048" s="11"/>
    </row>
    <row r="1049">
      <c r="A1049" s="11"/>
      <c r="C1049" s="11"/>
      <c r="D1049" s="11"/>
      <c r="E1049" s="11"/>
    </row>
    <row r="1050">
      <c r="A1050" s="11"/>
      <c r="C1050" s="11"/>
      <c r="D1050" s="11"/>
      <c r="E1050" s="11"/>
    </row>
    <row r="1051">
      <c r="A1051" s="11"/>
      <c r="C1051" s="11"/>
      <c r="D1051" s="11"/>
      <c r="E1051" s="11"/>
    </row>
    <row r="1052">
      <c r="A1052" s="11"/>
      <c r="C1052" s="11"/>
      <c r="D1052" s="11"/>
      <c r="E1052" s="11"/>
    </row>
    <row r="1053">
      <c r="A1053" s="11"/>
      <c r="C1053" s="11"/>
      <c r="D1053" s="11"/>
      <c r="E1053" s="11"/>
    </row>
    <row r="1054">
      <c r="A1054" s="11"/>
      <c r="C1054" s="11"/>
      <c r="D1054" s="11"/>
      <c r="E1054" s="11"/>
    </row>
    <row r="1055">
      <c r="A1055" s="11"/>
      <c r="C1055" s="11"/>
      <c r="D1055" s="11"/>
      <c r="E1055" s="11"/>
    </row>
    <row r="1056">
      <c r="A1056" s="11"/>
      <c r="C1056" s="11"/>
      <c r="D1056" s="11"/>
      <c r="E1056" s="11"/>
    </row>
    <row r="1057">
      <c r="A1057" s="11"/>
      <c r="C1057" s="11"/>
      <c r="D1057" s="11"/>
      <c r="E1057" s="11"/>
    </row>
    <row r="1058">
      <c r="A1058" s="11"/>
      <c r="C1058" s="11"/>
      <c r="D1058" s="11"/>
      <c r="E1058" s="11"/>
    </row>
    <row r="1059">
      <c r="A1059" s="11"/>
      <c r="C1059" s="11"/>
      <c r="D1059" s="11"/>
      <c r="E1059" s="11"/>
    </row>
    <row r="1060">
      <c r="A1060" s="11"/>
      <c r="C1060" s="11"/>
      <c r="D1060" s="11"/>
      <c r="E1060" s="11"/>
    </row>
    <row r="1061">
      <c r="A1061" s="11"/>
      <c r="C1061" s="11"/>
      <c r="D1061" s="11"/>
      <c r="E1061" s="11"/>
    </row>
    <row r="1062">
      <c r="A1062" s="11"/>
      <c r="C1062" s="11"/>
      <c r="D1062" s="11"/>
      <c r="E1062" s="11"/>
    </row>
    <row r="1063">
      <c r="A1063" s="11"/>
      <c r="C1063" s="11"/>
      <c r="D1063" s="11"/>
      <c r="E1063" s="11"/>
    </row>
    <row r="1064">
      <c r="A1064" s="11"/>
      <c r="C1064" s="11"/>
      <c r="D1064" s="11"/>
      <c r="E1064" s="11"/>
    </row>
    <row r="1065">
      <c r="A1065" s="11"/>
      <c r="C1065" s="11"/>
      <c r="D1065" s="11"/>
      <c r="E1065" s="11"/>
    </row>
    <row r="1066">
      <c r="A1066" s="11"/>
      <c r="C1066" s="11"/>
      <c r="D1066" s="11"/>
      <c r="E1066" s="11"/>
    </row>
    <row r="1067">
      <c r="A1067" s="11"/>
      <c r="C1067" s="11"/>
      <c r="D1067" s="11"/>
      <c r="E1067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">
    <cfRule type="expression" dxfId="1" priority="3">
      <formula>E5=1</formula>
    </cfRule>
  </conditionalFormatting>
  <conditionalFormatting sqref="B5:B70">
    <cfRule type="expression" dxfId="3" priority="4">
      <formula>E5=2</formula>
    </cfRule>
  </conditionalFormatting>
  <conditionalFormatting sqref="B5:B70">
    <cfRule type="expression" dxfId="4" priority="5">
      <formula>E5=3</formula>
    </cfRule>
  </conditionalFormatting>
  <conditionalFormatting sqref="B5:B70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9.38"/>
    <col customWidth="1" min="6" max="6" width="7.5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7.0"/>
    <col customWidth="1" min="17" max="18" width="6.75"/>
    <col customWidth="1" min="19" max="19" width="8.0"/>
    <col customWidth="1" min="20" max="20" width="8.75"/>
    <col customWidth="1" min="21" max="21" width="14.88"/>
  </cols>
  <sheetData>
    <row r="1">
      <c r="A1" s="11"/>
      <c r="B1" s="12" t="s">
        <v>23</v>
      </c>
      <c r="C1" s="81">
        <v>45584.0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16.0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28</v>
      </c>
      <c r="Q3" s="25" t="s">
        <v>29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  <c r="U4" s="29" t="s">
        <v>42</v>
      </c>
      <c r="V4" s="26" t="s">
        <v>30</v>
      </c>
    </row>
    <row r="5">
      <c r="A5" s="30">
        <v>1.0</v>
      </c>
      <c r="B5" s="31" t="s">
        <v>43</v>
      </c>
      <c r="C5" s="32">
        <v>237.0</v>
      </c>
      <c r="D5" s="32">
        <v>27.0</v>
      </c>
      <c r="E5" s="37">
        <v>1.0</v>
      </c>
      <c r="F5" s="39">
        <v>1.0</v>
      </c>
      <c r="G5" s="40">
        <v>0.0</v>
      </c>
      <c r="H5" s="39">
        <v>4.0</v>
      </c>
      <c r="I5" s="39">
        <v>6.0</v>
      </c>
      <c r="J5" s="39">
        <v>6.0</v>
      </c>
      <c r="K5" s="42">
        <v>16.0</v>
      </c>
      <c r="L5" s="39">
        <v>2.0</v>
      </c>
      <c r="M5" s="32">
        <f t="shared" ref="M5:N5" si="1">C5+K5</f>
        <v>253</v>
      </c>
      <c r="N5" s="32">
        <f t="shared" si="1"/>
        <v>29</v>
      </c>
      <c r="O5" s="43" t="s">
        <v>53</v>
      </c>
      <c r="P5" s="43" t="s">
        <v>53</v>
      </c>
      <c r="Q5" s="43"/>
      <c r="R5" s="39">
        <f>if(G5=13,1,0)+VLOOKUP(B5,'101224'!B:T,17,false)</f>
        <v>2</v>
      </c>
      <c r="S5" s="39"/>
      <c r="T5" s="39">
        <f>if(G5=9,1,0)+VLOOKUP(B5,'101224'!B:T,19,false)</f>
        <v>2</v>
      </c>
      <c r="U5" s="39">
        <f>VLOOKUP(B5,'101224'!B$5:V$70,21,false)-A5</f>
        <v>0</v>
      </c>
      <c r="V5" s="30">
        <v>1.0</v>
      </c>
    </row>
    <row r="6">
      <c r="A6" s="30">
        <f t="shared" ref="A6:A70" si="3">A5+1</f>
        <v>2</v>
      </c>
      <c r="B6" s="51" t="s">
        <v>92</v>
      </c>
      <c r="C6" s="32">
        <v>211.0</v>
      </c>
      <c r="D6" s="32">
        <v>21.0</v>
      </c>
      <c r="E6" s="37">
        <v>1.0</v>
      </c>
      <c r="F6" s="39">
        <v>1.0</v>
      </c>
      <c r="G6" s="40">
        <v>0.0</v>
      </c>
      <c r="H6" s="39">
        <v>6.0</v>
      </c>
      <c r="I6" s="39">
        <v>6.0</v>
      </c>
      <c r="J6" s="39">
        <v>3.0</v>
      </c>
      <c r="K6" s="42">
        <v>15.0</v>
      </c>
      <c r="L6" s="39">
        <v>2.0</v>
      </c>
      <c r="M6" s="32">
        <f t="shared" ref="M6:N6" si="2">C6+K6</f>
        <v>226</v>
      </c>
      <c r="N6" s="32">
        <f t="shared" si="2"/>
        <v>23</v>
      </c>
      <c r="O6" s="43" t="s">
        <v>53</v>
      </c>
      <c r="P6" s="43" t="s">
        <v>53</v>
      </c>
      <c r="Q6" s="43" t="s">
        <v>88</v>
      </c>
      <c r="R6" s="39">
        <f>if(G6=13,1,0)+VLOOKUP(B6,'101224'!B:T,17,false)</f>
        <v>1</v>
      </c>
      <c r="S6" s="39"/>
      <c r="T6" s="39">
        <f>if(G6=9,1,0)+VLOOKUP(B6,'101224'!B:T,19,false)</f>
        <v>5</v>
      </c>
      <c r="U6" s="39">
        <f>VLOOKUP(B6,'101224'!B$5:V$70,21,false)-A6</f>
        <v>1</v>
      </c>
      <c r="V6" s="30">
        <f t="shared" ref="V6:V70" si="5">V5+1</f>
        <v>2</v>
      </c>
    </row>
    <row r="7">
      <c r="A7" s="30">
        <f t="shared" si="3"/>
        <v>3</v>
      </c>
      <c r="B7" s="31" t="s">
        <v>61</v>
      </c>
      <c r="C7" s="32">
        <v>208.0</v>
      </c>
      <c r="D7" s="32">
        <v>24.0</v>
      </c>
      <c r="E7" s="37">
        <v>3.0</v>
      </c>
      <c r="F7" s="39">
        <v>0.0</v>
      </c>
      <c r="G7" s="40">
        <v>9.0</v>
      </c>
      <c r="H7" s="39">
        <v>0.0</v>
      </c>
      <c r="I7" s="39">
        <v>0.0</v>
      </c>
      <c r="J7" s="39">
        <v>0.0</v>
      </c>
      <c r="K7" s="42">
        <v>9.0</v>
      </c>
      <c r="L7" s="39">
        <v>0.0</v>
      </c>
      <c r="M7" s="32">
        <f t="shared" ref="M7:N7" si="4">C7+K7</f>
        <v>217</v>
      </c>
      <c r="N7" s="32">
        <f t="shared" si="4"/>
        <v>24</v>
      </c>
      <c r="O7" s="43" t="s">
        <v>53</v>
      </c>
      <c r="P7" s="43" t="s">
        <v>53</v>
      </c>
      <c r="Q7" s="43"/>
      <c r="R7" s="39">
        <f>if(G7=13,1,0)+VLOOKUP(B7,'101224'!B:T,17,false)</f>
        <v>0</v>
      </c>
      <c r="S7" s="39"/>
      <c r="T7" s="39">
        <f>if(G7=9,1,0)+VLOOKUP(B7,'101224'!B:T,19,false)</f>
        <v>4</v>
      </c>
      <c r="U7" s="39">
        <f>VLOOKUP(B7,'101224'!B$5:V$70,21,false)-A7</f>
        <v>-1</v>
      </c>
      <c r="V7" s="30">
        <f t="shared" si="5"/>
        <v>3</v>
      </c>
    </row>
    <row r="8">
      <c r="A8" s="30">
        <f t="shared" si="3"/>
        <v>4</v>
      </c>
      <c r="B8" s="31" t="s">
        <v>71</v>
      </c>
      <c r="C8" s="32">
        <v>203.0</v>
      </c>
      <c r="D8" s="32">
        <v>19.0</v>
      </c>
      <c r="E8" s="37">
        <v>3.0</v>
      </c>
      <c r="F8" s="39">
        <v>0.0</v>
      </c>
      <c r="G8" s="40">
        <v>9.0</v>
      </c>
      <c r="H8" s="39">
        <v>0.0</v>
      </c>
      <c r="I8" s="39">
        <v>0.0</v>
      </c>
      <c r="J8" s="39">
        <v>0.0</v>
      </c>
      <c r="K8" s="42">
        <v>9.0</v>
      </c>
      <c r="L8" s="39">
        <v>0.0</v>
      </c>
      <c r="M8" s="32">
        <f t="shared" ref="M8:N8" si="6">C8+K8</f>
        <v>212</v>
      </c>
      <c r="N8" s="32">
        <f t="shared" si="6"/>
        <v>19</v>
      </c>
      <c r="O8" s="43" t="s">
        <v>53</v>
      </c>
      <c r="P8" s="43" t="s">
        <v>53</v>
      </c>
      <c r="Q8" s="43"/>
      <c r="R8" s="39">
        <f>if(G8=13,1,0)+VLOOKUP(B8,'101224'!B:T,17,false)</f>
        <v>1</v>
      </c>
      <c r="S8" s="39"/>
      <c r="T8" s="39">
        <f>if(G8=9,1,0)+VLOOKUP(B8,'101224'!B:T,19,false)</f>
        <v>1</v>
      </c>
      <c r="U8" s="39">
        <f>VLOOKUP(B8,'101224'!B$5:V$70,21,false)-A8</f>
        <v>0</v>
      </c>
      <c r="V8" s="30">
        <f t="shared" si="5"/>
        <v>4</v>
      </c>
    </row>
    <row r="9">
      <c r="A9" s="30">
        <f t="shared" si="3"/>
        <v>5</v>
      </c>
      <c r="B9" s="51" t="s">
        <v>100</v>
      </c>
      <c r="C9" s="32">
        <v>202.0</v>
      </c>
      <c r="D9" s="32">
        <v>19.0</v>
      </c>
      <c r="E9" s="37">
        <v>5.0</v>
      </c>
      <c r="F9" s="39">
        <v>0.0</v>
      </c>
      <c r="G9" s="40">
        <v>13.0</v>
      </c>
      <c r="H9" s="39">
        <v>0.0</v>
      </c>
      <c r="I9" s="39">
        <v>0.0</v>
      </c>
      <c r="J9" s="39">
        <v>0.0</v>
      </c>
      <c r="K9" s="42">
        <v>13.0</v>
      </c>
      <c r="L9" s="39">
        <v>0.0</v>
      </c>
      <c r="M9" s="32">
        <f t="shared" ref="M9:N9" si="7">C9+K9</f>
        <v>215</v>
      </c>
      <c r="N9" s="32">
        <f t="shared" si="7"/>
        <v>19</v>
      </c>
      <c r="O9" s="43" t="s">
        <v>53</v>
      </c>
      <c r="P9" s="43" t="s">
        <v>53</v>
      </c>
      <c r="Q9" s="43"/>
      <c r="R9" s="39">
        <f>if(G9=13,1,0)+VLOOKUP(B9,'101224'!B:T,17,false)</f>
        <v>2</v>
      </c>
      <c r="S9" s="39"/>
      <c r="T9" s="39">
        <f>if(G9=9,1,0)+VLOOKUP(B9,'101224'!B:T,19,false)</f>
        <v>3</v>
      </c>
      <c r="U9" s="39">
        <f>VLOOKUP(B9,'101224'!B$5:V$70,21,false)-A9</f>
        <v>2</v>
      </c>
      <c r="V9" s="30">
        <f t="shared" si="5"/>
        <v>5</v>
      </c>
    </row>
    <row r="10">
      <c r="A10" s="30">
        <f t="shared" si="3"/>
        <v>6</v>
      </c>
      <c r="B10" s="31" t="s">
        <v>91</v>
      </c>
      <c r="C10" s="32">
        <v>199.0</v>
      </c>
      <c r="D10" s="32">
        <v>18.0</v>
      </c>
      <c r="E10" s="37">
        <v>3.0</v>
      </c>
      <c r="F10" s="39">
        <v>0.0</v>
      </c>
      <c r="G10" s="40">
        <v>9.0</v>
      </c>
      <c r="H10" s="39">
        <v>0.0</v>
      </c>
      <c r="I10" s="39">
        <v>0.0</v>
      </c>
      <c r="J10" s="39">
        <v>0.0</v>
      </c>
      <c r="K10" s="42">
        <v>9.0</v>
      </c>
      <c r="L10" s="39">
        <v>0.0</v>
      </c>
      <c r="M10" s="32">
        <f t="shared" ref="M10:N10" si="8">C10+K10</f>
        <v>208</v>
      </c>
      <c r="N10" s="32">
        <f t="shared" si="8"/>
        <v>18</v>
      </c>
      <c r="O10" s="43" t="s">
        <v>53</v>
      </c>
      <c r="P10" s="43" t="s">
        <v>53</v>
      </c>
      <c r="Q10" s="43"/>
      <c r="R10" s="39">
        <f>if(G10=13,1,0)+VLOOKUP(B10,'101224'!B:T,17,false)</f>
        <v>1</v>
      </c>
      <c r="S10" s="39"/>
      <c r="T10" s="39">
        <f>if(G10=9,1,0)+VLOOKUP(B10,'101224'!B:T,19,false)</f>
        <v>3</v>
      </c>
      <c r="U10" s="39">
        <f>VLOOKUP(B10,'101224'!B$5:V$70,21,false)-A10</f>
        <v>4</v>
      </c>
      <c r="V10" s="30">
        <f t="shared" si="5"/>
        <v>6</v>
      </c>
    </row>
    <row r="11">
      <c r="A11" s="30">
        <f t="shared" si="3"/>
        <v>7</v>
      </c>
      <c r="B11" s="51" t="s">
        <v>54</v>
      </c>
      <c r="C11" s="32">
        <v>198.0</v>
      </c>
      <c r="D11" s="32">
        <v>21.0</v>
      </c>
      <c r="E11" s="37">
        <v>4.0</v>
      </c>
      <c r="F11" s="39">
        <v>0.0</v>
      </c>
      <c r="G11" s="40">
        <v>9.0</v>
      </c>
      <c r="H11" s="39">
        <v>0.0</v>
      </c>
      <c r="I11" s="39">
        <v>0.0</v>
      </c>
      <c r="J11" s="39">
        <v>0.0</v>
      </c>
      <c r="K11" s="42">
        <v>9.0</v>
      </c>
      <c r="L11" s="39">
        <v>0.0</v>
      </c>
      <c r="M11" s="32">
        <f t="shared" ref="M11:N11" si="9">C11+K11</f>
        <v>207</v>
      </c>
      <c r="N11" s="32">
        <f t="shared" si="9"/>
        <v>21</v>
      </c>
      <c r="O11" s="43" t="s">
        <v>53</v>
      </c>
      <c r="P11" s="43" t="s">
        <v>53</v>
      </c>
      <c r="Q11" s="43"/>
      <c r="R11" s="39">
        <f>if(G11=13,1,0)+VLOOKUP(B11,'101224'!B:T,17,false)</f>
        <v>0</v>
      </c>
      <c r="S11" s="39"/>
      <c r="T11" s="39">
        <f>if(G11=9,1,0)+VLOOKUP(B11,'101224'!B:T,19,false)</f>
        <v>3</v>
      </c>
      <c r="U11" s="39">
        <f>VLOOKUP(B11,'101224'!B$5:V$70,21,false)-A11</f>
        <v>1</v>
      </c>
      <c r="V11" s="30">
        <f t="shared" si="5"/>
        <v>7</v>
      </c>
    </row>
    <row r="12">
      <c r="A12" s="30">
        <f t="shared" si="3"/>
        <v>8</v>
      </c>
      <c r="B12" s="31" t="s">
        <v>68</v>
      </c>
      <c r="C12" s="32">
        <v>197.0</v>
      </c>
      <c r="D12" s="32">
        <v>17.0</v>
      </c>
      <c r="E12" s="37">
        <v>3.0</v>
      </c>
      <c r="F12" s="39">
        <v>0.0</v>
      </c>
      <c r="G12" s="40">
        <v>9.0</v>
      </c>
      <c r="H12" s="39">
        <v>0.0</v>
      </c>
      <c r="I12" s="39">
        <v>0.0</v>
      </c>
      <c r="J12" s="39">
        <v>0.0</v>
      </c>
      <c r="K12" s="42">
        <v>9.0</v>
      </c>
      <c r="L12" s="39">
        <v>0.0</v>
      </c>
      <c r="M12" s="32">
        <f t="shared" ref="M12:N12" si="10">C12+K12</f>
        <v>206</v>
      </c>
      <c r="N12" s="32">
        <f t="shared" si="10"/>
        <v>17</v>
      </c>
      <c r="O12" s="43" t="s">
        <v>53</v>
      </c>
      <c r="P12" s="43" t="s">
        <v>53</v>
      </c>
      <c r="Q12" s="43"/>
      <c r="R12" s="39">
        <f>if(G12=13,1,0)+VLOOKUP(B12,'101224'!B:T,17,false)</f>
        <v>2</v>
      </c>
      <c r="S12" s="39"/>
      <c r="T12" s="39">
        <f>if(G12=9,1,0)+VLOOKUP(B12,'101224'!B:T,19,false)</f>
        <v>3</v>
      </c>
      <c r="U12" s="39">
        <f>VLOOKUP(B12,'101224'!B$5:V$70,21,false)-A12</f>
        <v>1</v>
      </c>
      <c r="V12" s="30">
        <f t="shared" si="5"/>
        <v>8</v>
      </c>
    </row>
    <row r="13">
      <c r="A13" s="30">
        <f t="shared" si="3"/>
        <v>9</v>
      </c>
      <c r="B13" s="31" t="s">
        <v>34</v>
      </c>
      <c r="C13" s="32">
        <v>196.0</v>
      </c>
      <c r="D13" s="32">
        <v>22.0</v>
      </c>
      <c r="E13" s="37">
        <v>1.0</v>
      </c>
      <c r="F13" s="39">
        <v>1.0</v>
      </c>
      <c r="G13" s="40">
        <v>0.0</v>
      </c>
      <c r="H13" s="39">
        <v>6.0</v>
      </c>
      <c r="I13" s="39">
        <v>0.0</v>
      </c>
      <c r="J13" s="39">
        <v>6.0</v>
      </c>
      <c r="K13" s="42">
        <v>12.0</v>
      </c>
      <c r="L13" s="39">
        <v>2.0</v>
      </c>
      <c r="M13" s="32">
        <f t="shared" ref="M13:N13" si="11">C13+K13</f>
        <v>208</v>
      </c>
      <c r="N13" s="32">
        <f t="shared" si="11"/>
        <v>24</v>
      </c>
      <c r="O13" s="43" t="s">
        <v>53</v>
      </c>
      <c r="P13" s="43" t="s">
        <v>53</v>
      </c>
      <c r="Q13" s="43"/>
      <c r="R13" s="39">
        <f>if(G13=13,1,0)+VLOOKUP(B13,'101224'!B:T,17,false)</f>
        <v>0</v>
      </c>
      <c r="S13" s="39"/>
      <c r="T13" s="39">
        <f>if(G13=9,1,0)+VLOOKUP(B13,'101224'!B:T,19,false)</f>
        <v>3</v>
      </c>
      <c r="U13" s="39">
        <f>VLOOKUP(B13,'101224'!B$5:V$70,21,false)-A13</f>
        <v>-4</v>
      </c>
      <c r="V13" s="30">
        <f t="shared" si="5"/>
        <v>9</v>
      </c>
    </row>
    <row r="14">
      <c r="A14" s="30">
        <f t="shared" si="3"/>
        <v>10</v>
      </c>
      <c r="B14" s="51" t="s">
        <v>78</v>
      </c>
      <c r="C14" s="32">
        <v>195.0</v>
      </c>
      <c r="D14" s="32">
        <v>18.0</v>
      </c>
      <c r="E14" s="37">
        <v>1.0</v>
      </c>
      <c r="F14" s="39">
        <v>1.0</v>
      </c>
      <c r="G14" s="40">
        <v>0.0</v>
      </c>
      <c r="H14" s="39">
        <v>4.0</v>
      </c>
      <c r="I14" s="39">
        <v>0.0</v>
      </c>
      <c r="J14" s="39">
        <v>3.0</v>
      </c>
      <c r="K14" s="42">
        <v>7.0</v>
      </c>
      <c r="L14" s="39">
        <v>0.0</v>
      </c>
      <c r="M14" s="32">
        <f t="shared" ref="M14:N14" si="12">C14+K14</f>
        <v>202</v>
      </c>
      <c r="N14" s="32">
        <f t="shared" si="12"/>
        <v>18</v>
      </c>
      <c r="O14" s="43" t="s">
        <v>53</v>
      </c>
      <c r="P14" s="43" t="s">
        <v>53</v>
      </c>
      <c r="Q14" s="43"/>
      <c r="R14" s="39">
        <f>if(G14=13,1,0)+VLOOKUP(B14,'101224'!B:T,17,false)</f>
        <v>0</v>
      </c>
      <c r="S14" s="39"/>
      <c r="T14" s="39">
        <f>if(G14=9,1,0)+VLOOKUP(B14,'101224'!B:T,19,false)</f>
        <v>1</v>
      </c>
      <c r="U14" s="39">
        <f>VLOOKUP(B14,'101224'!B$5:V$70,21,false)-A14</f>
        <v>-4</v>
      </c>
      <c r="V14" s="30">
        <f t="shared" si="5"/>
        <v>10</v>
      </c>
    </row>
    <row r="15">
      <c r="A15" s="30">
        <f t="shared" si="3"/>
        <v>11</v>
      </c>
      <c r="B15" s="51" t="s">
        <v>87</v>
      </c>
      <c r="C15" s="32">
        <v>195.0</v>
      </c>
      <c r="D15" s="32">
        <v>17.0</v>
      </c>
      <c r="E15" s="37">
        <v>1.0</v>
      </c>
      <c r="F15" s="39">
        <v>2.0</v>
      </c>
      <c r="G15" s="40">
        <v>0.0</v>
      </c>
      <c r="H15" s="39">
        <v>6.0</v>
      </c>
      <c r="I15" s="39">
        <v>3.0</v>
      </c>
      <c r="J15" s="39">
        <v>6.0</v>
      </c>
      <c r="K15" s="42">
        <v>15.0</v>
      </c>
      <c r="L15" s="39">
        <v>1.0</v>
      </c>
      <c r="M15" s="32">
        <f t="shared" ref="M15:N15" si="13">C15+K15</f>
        <v>210</v>
      </c>
      <c r="N15" s="32">
        <f t="shared" si="13"/>
        <v>18</v>
      </c>
      <c r="O15" s="43" t="s">
        <v>53</v>
      </c>
      <c r="P15" s="43" t="s">
        <v>53</v>
      </c>
      <c r="Q15" s="43"/>
      <c r="R15" s="39">
        <f>if(G15=13,1,0)+VLOOKUP(B15,'101224'!B:T,17,false)</f>
        <v>3</v>
      </c>
      <c r="S15" s="39"/>
      <c r="T15" s="39">
        <f>if(G15=9,1,0)+VLOOKUP(B15,'101224'!B:T,19,false)</f>
        <v>1</v>
      </c>
      <c r="U15" s="39">
        <f>VLOOKUP(B15,'101224'!B$5:V$70,21,false)-A15</f>
        <v>2</v>
      </c>
      <c r="V15" s="30">
        <f t="shared" si="5"/>
        <v>11</v>
      </c>
    </row>
    <row r="16">
      <c r="A16" s="30">
        <f t="shared" si="3"/>
        <v>12</v>
      </c>
      <c r="B16" s="31" t="s">
        <v>90</v>
      </c>
      <c r="C16" s="32">
        <v>193.0</v>
      </c>
      <c r="D16" s="32">
        <v>16.0</v>
      </c>
      <c r="E16" s="37">
        <v>3.0</v>
      </c>
      <c r="F16" s="39">
        <v>0.0</v>
      </c>
      <c r="G16" s="40">
        <v>9.0</v>
      </c>
      <c r="H16" s="39">
        <v>0.0</v>
      </c>
      <c r="I16" s="39">
        <v>0.0</v>
      </c>
      <c r="J16" s="39">
        <v>0.0</v>
      </c>
      <c r="K16" s="42">
        <v>9.0</v>
      </c>
      <c r="L16" s="39">
        <v>0.0</v>
      </c>
      <c r="M16" s="32">
        <f t="shared" ref="M16:N16" si="14">C16+K16</f>
        <v>202</v>
      </c>
      <c r="N16" s="32">
        <f t="shared" si="14"/>
        <v>16</v>
      </c>
      <c r="O16" s="43" t="s">
        <v>53</v>
      </c>
      <c r="P16" s="43" t="s">
        <v>53</v>
      </c>
      <c r="Q16" s="43"/>
      <c r="R16" s="39">
        <f>if(G16=13,1,0)+VLOOKUP(B16,'101224'!B:T,17,false)</f>
        <v>2</v>
      </c>
      <c r="S16" s="39"/>
      <c r="T16" s="39">
        <f>if(G16=9,1,0)+VLOOKUP(B16,'101224'!B:T,19,false)</f>
        <v>4</v>
      </c>
      <c r="U16" s="39">
        <f>VLOOKUP(B16,'101224'!B$5:V$70,21,false)-A16</f>
        <v>-1</v>
      </c>
      <c r="V16" s="30">
        <f t="shared" si="5"/>
        <v>12</v>
      </c>
    </row>
    <row r="17">
      <c r="A17" s="30">
        <f t="shared" si="3"/>
        <v>13</v>
      </c>
      <c r="B17" s="31" t="s">
        <v>82</v>
      </c>
      <c r="C17" s="32">
        <v>193.0</v>
      </c>
      <c r="D17" s="32">
        <v>16.0</v>
      </c>
      <c r="E17" s="37">
        <v>2.0</v>
      </c>
      <c r="F17" s="39">
        <v>2.0</v>
      </c>
      <c r="G17" s="40">
        <v>0.0</v>
      </c>
      <c r="H17" s="39">
        <v>6.0</v>
      </c>
      <c r="I17" s="39">
        <v>6.0</v>
      </c>
      <c r="J17" s="39">
        <v>7.0</v>
      </c>
      <c r="K17" s="42">
        <v>19.0</v>
      </c>
      <c r="L17" s="39">
        <v>3.0</v>
      </c>
      <c r="M17" s="32">
        <f t="shared" ref="M17:N17" si="15">C17+K17</f>
        <v>212</v>
      </c>
      <c r="N17" s="32">
        <f t="shared" si="15"/>
        <v>19</v>
      </c>
      <c r="O17" s="43" t="s">
        <v>53</v>
      </c>
      <c r="P17" s="43" t="s">
        <v>53</v>
      </c>
      <c r="Q17" s="43"/>
      <c r="R17" s="39">
        <f>if(G17=13,1,0)+VLOOKUP(B17,'101224'!B:T,17,false)</f>
        <v>2</v>
      </c>
      <c r="S17" s="39"/>
      <c r="T17" s="39">
        <f>if(G17=9,1,0)+VLOOKUP(B17,'101224'!B:T,19,false)</f>
        <v>7</v>
      </c>
      <c r="U17" s="39">
        <f>VLOOKUP(B17,'101224'!B$5:V$70,21,false)-A17</f>
        <v>8</v>
      </c>
      <c r="V17" s="30">
        <f t="shared" si="5"/>
        <v>13</v>
      </c>
    </row>
    <row r="18">
      <c r="A18" s="30">
        <f t="shared" si="3"/>
        <v>14</v>
      </c>
      <c r="B18" s="31" t="s">
        <v>86</v>
      </c>
      <c r="C18" s="32">
        <v>191.0</v>
      </c>
      <c r="D18" s="32">
        <v>13.0</v>
      </c>
      <c r="E18" s="37">
        <v>1.0</v>
      </c>
      <c r="F18" s="39">
        <v>2.0</v>
      </c>
      <c r="G18" s="40">
        <v>0.0</v>
      </c>
      <c r="H18" s="39">
        <v>4.0</v>
      </c>
      <c r="I18" s="39">
        <v>3.0</v>
      </c>
      <c r="J18" s="39">
        <v>7.0</v>
      </c>
      <c r="K18" s="42">
        <v>14.0</v>
      </c>
      <c r="L18" s="39">
        <v>1.0</v>
      </c>
      <c r="M18" s="32">
        <f t="shared" ref="M18:N18" si="16">C18+K18</f>
        <v>205</v>
      </c>
      <c r="N18" s="32">
        <f t="shared" si="16"/>
        <v>14</v>
      </c>
      <c r="O18" s="43" t="s">
        <v>53</v>
      </c>
      <c r="P18" s="43" t="s">
        <v>53</v>
      </c>
      <c r="Q18" s="43"/>
      <c r="R18" s="39">
        <f>if(G18=13,1,0)+VLOOKUP(B18,'101224'!B:T,17,false)</f>
        <v>4</v>
      </c>
      <c r="S18" s="39"/>
      <c r="T18" s="39">
        <f>if(G18=9,1,0)+VLOOKUP(B18,'101224'!B:T,19,false)</f>
        <v>1</v>
      </c>
      <c r="U18" s="39">
        <f>VLOOKUP(B18,'101224'!B$5:V$70,21,false)-A18</f>
        <v>0</v>
      </c>
      <c r="V18" s="30">
        <f t="shared" si="5"/>
        <v>14</v>
      </c>
    </row>
    <row r="19">
      <c r="A19" s="30">
        <f t="shared" si="3"/>
        <v>15</v>
      </c>
      <c r="B19" s="31" t="s">
        <v>98</v>
      </c>
      <c r="C19" s="32">
        <v>190.0</v>
      </c>
      <c r="D19" s="32">
        <v>15.0</v>
      </c>
      <c r="E19" s="37">
        <v>3.0</v>
      </c>
      <c r="F19" s="39">
        <v>0.0</v>
      </c>
      <c r="G19" s="40">
        <v>9.0</v>
      </c>
      <c r="H19" s="39">
        <v>0.0</v>
      </c>
      <c r="I19" s="39">
        <v>0.0</v>
      </c>
      <c r="J19" s="39">
        <v>0.0</v>
      </c>
      <c r="K19" s="42">
        <v>9.0</v>
      </c>
      <c r="L19" s="39">
        <v>0.0</v>
      </c>
      <c r="M19" s="32">
        <f t="shared" ref="M19:N19" si="17">C19+K19</f>
        <v>199</v>
      </c>
      <c r="N19" s="32">
        <f t="shared" si="17"/>
        <v>15</v>
      </c>
      <c r="O19" s="43" t="s">
        <v>53</v>
      </c>
      <c r="P19" s="43" t="s">
        <v>53</v>
      </c>
      <c r="Q19" s="43"/>
      <c r="R19" s="39">
        <f>if(G19=13,1,0)+VLOOKUP(B19,'101224'!B:T,17,false)</f>
        <v>1</v>
      </c>
      <c r="S19" s="39"/>
      <c r="T19" s="39">
        <f>if(G19=9,1,0)+VLOOKUP(B19,'101224'!B:T,19,false)</f>
        <v>6</v>
      </c>
      <c r="U19" s="39">
        <f>VLOOKUP(B19,'101224'!B$5:V$70,21,false)-A19</f>
        <v>0</v>
      </c>
      <c r="V19" s="30">
        <f t="shared" si="5"/>
        <v>15</v>
      </c>
    </row>
    <row r="20">
      <c r="A20" s="30">
        <f t="shared" si="3"/>
        <v>16</v>
      </c>
      <c r="B20" s="51" t="s">
        <v>84</v>
      </c>
      <c r="C20" s="32">
        <v>190.0</v>
      </c>
      <c r="D20" s="32">
        <v>14.0</v>
      </c>
      <c r="E20" s="37">
        <v>5.0</v>
      </c>
      <c r="F20" s="39">
        <v>0.0</v>
      </c>
      <c r="G20" s="40">
        <v>13.0</v>
      </c>
      <c r="H20" s="39">
        <v>0.0</v>
      </c>
      <c r="I20" s="39">
        <v>0.0</v>
      </c>
      <c r="J20" s="39">
        <v>0.0</v>
      </c>
      <c r="K20" s="42">
        <v>13.0</v>
      </c>
      <c r="L20" s="39">
        <v>0.0</v>
      </c>
      <c r="M20" s="32">
        <f t="shared" ref="M20:N20" si="18">C20+K20</f>
        <v>203</v>
      </c>
      <c r="N20" s="32">
        <f t="shared" si="18"/>
        <v>14</v>
      </c>
      <c r="O20" s="43" t="s">
        <v>53</v>
      </c>
      <c r="P20" s="43" t="s">
        <v>53</v>
      </c>
      <c r="Q20" s="43"/>
      <c r="R20" s="39">
        <f>if(G20=13,1,0)+VLOOKUP(B20,'101224'!B:T,17,false)</f>
        <v>2</v>
      </c>
      <c r="S20" s="39"/>
      <c r="T20" s="39">
        <f>if(G20=9,1,0)+VLOOKUP(B20,'101224'!B:T,19,false)</f>
        <v>2</v>
      </c>
      <c r="U20" s="39">
        <f>VLOOKUP(B20,'101224'!B$5:V$70,21,false)-A20</f>
        <v>0</v>
      </c>
      <c r="V20" s="30">
        <f t="shared" si="5"/>
        <v>16</v>
      </c>
    </row>
    <row r="21">
      <c r="A21" s="30">
        <f t="shared" si="3"/>
        <v>17</v>
      </c>
      <c r="B21" s="31" t="s">
        <v>57</v>
      </c>
      <c r="C21" s="32">
        <v>188.0</v>
      </c>
      <c r="D21" s="32">
        <v>15.0</v>
      </c>
      <c r="E21" s="37">
        <v>2.0</v>
      </c>
      <c r="F21" s="39">
        <v>2.0</v>
      </c>
      <c r="G21" s="40">
        <v>0.0</v>
      </c>
      <c r="H21" s="39">
        <v>4.0</v>
      </c>
      <c r="I21" s="39">
        <v>6.0</v>
      </c>
      <c r="J21" s="39">
        <v>6.0</v>
      </c>
      <c r="K21" s="42">
        <v>16.0</v>
      </c>
      <c r="L21" s="39">
        <v>1.0</v>
      </c>
      <c r="M21" s="32">
        <f t="shared" ref="M21:N21" si="19">C21+K21</f>
        <v>204</v>
      </c>
      <c r="N21" s="32">
        <f t="shared" si="19"/>
        <v>16</v>
      </c>
      <c r="O21" s="43" t="s">
        <v>53</v>
      </c>
      <c r="P21" s="43" t="s">
        <v>53</v>
      </c>
      <c r="Q21" s="43"/>
      <c r="R21" s="39">
        <f>if(G21=13,1,0)+VLOOKUP(B21,'101224'!B:T,17,false)</f>
        <v>2</v>
      </c>
      <c r="S21" s="39"/>
      <c r="T21" s="39">
        <f>if(G21=9,1,0)+VLOOKUP(B21,'101224'!B:T,19,false)</f>
        <v>3</v>
      </c>
      <c r="U21" s="39">
        <f>VLOOKUP(B21,'101224'!B$5:V$70,21,false)-A21</f>
        <v>1</v>
      </c>
      <c r="V21" s="30">
        <f t="shared" si="5"/>
        <v>17</v>
      </c>
    </row>
    <row r="22">
      <c r="A22" s="30">
        <f t="shared" si="3"/>
        <v>18</v>
      </c>
      <c r="B22" s="51" t="s">
        <v>93</v>
      </c>
      <c r="C22" s="32">
        <v>187.0</v>
      </c>
      <c r="D22" s="32">
        <v>16.0</v>
      </c>
      <c r="E22" s="37">
        <v>1.0</v>
      </c>
      <c r="F22" s="39">
        <v>3.0</v>
      </c>
      <c r="G22" s="40">
        <v>0.0</v>
      </c>
      <c r="H22" s="39">
        <v>7.0</v>
      </c>
      <c r="I22" s="39">
        <v>3.0</v>
      </c>
      <c r="J22" s="39">
        <v>4.0</v>
      </c>
      <c r="K22" s="42">
        <v>14.0</v>
      </c>
      <c r="L22" s="39">
        <v>1.0</v>
      </c>
      <c r="M22" s="32">
        <f t="shared" ref="M22:N22" si="20">C22+K22</f>
        <v>201</v>
      </c>
      <c r="N22" s="32">
        <f t="shared" si="20"/>
        <v>17</v>
      </c>
      <c r="O22" s="43" t="s">
        <v>53</v>
      </c>
      <c r="P22" s="43" t="s">
        <v>53</v>
      </c>
      <c r="Q22" s="43"/>
      <c r="R22" s="39">
        <f>if(G22=13,1,0)+VLOOKUP(B22,'101224'!B:T,17,false)</f>
        <v>0</v>
      </c>
      <c r="S22" s="39"/>
      <c r="T22" s="39">
        <f>if(G22=9,1,0)+VLOOKUP(B22,'101224'!B:T,19,false)</f>
        <v>1</v>
      </c>
      <c r="U22" s="39">
        <f>VLOOKUP(B22,'101224'!B$5:V$70,21,false)-A22</f>
        <v>1</v>
      </c>
      <c r="V22" s="30">
        <f t="shared" si="5"/>
        <v>18</v>
      </c>
    </row>
    <row r="23">
      <c r="A23" s="30">
        <f t="shared" si="3"/>
        <v>19</v>
      </c>
      <c r="B23" s="51" t="s">
        <v>85</v>
      </c>
      <c r="C23" s="32">
        <v>186.0</v>
      </c>
      <c r="D23" s="32">
        <v>14.0</v>
      </c>
      <c r="E23" s="37">
        <v>1.0</v>
      </c>
      <c r="F23" s="39">
        <v>3.0</v>
      </c>
      <c r="G23" s="40">
        <v>0.0</v>
      </c>
      <c r="H23" s="39">
        <v>7.0</v>
      </c>
      <c r="I23" s="39">
        <v>6.0</v>
      </c>
      <c r="J23" s="39">
        <v>6.0</v>
      </c>
      <c r="K23" s="42">
        <v>19.0</v>
      </c>
      <c r="L23" s="39">
        <v>3.0</v>
      </c>
      <c r="M23" s="32">
        <f t="shared" ref="M23:N23" si="21">C23+K23</f>
        <v>205</v>
      </c>
      <c r="N23" s="32">
        <f t="shared" si="21"/>
        <v>17</v>
      </c>
      <c r="O23" s="43" t="s">
        <v>53</v>
      </c>
      <c r="P23" s="43" t="s">
        <v>53</v>
      </c>
      <c r="Q23" s="43"/>
      <c r="R23" s="39">
        <f>if(G23=13,1,0)+VLOOKUP(B23,'101224'!B:T,17,false)</f>
        <v>0</v>
      </c>
      <c r="S23" s="39"/>
      <c r="T23" s="39">
        <f>if(G23=9,1,0)+VLOOKUP(B23,'101224'!B:T,19,false)</f>
        <v>9</v>
      </c>
      <c r="U23" s="39">
        <f>VLOOKUP(B23,'101224'!B$5:V$70,21,false)-A23</f>
        <v>-7</v>
      </c>
      <c r="V23" s="30">
        <f t="shared" si="5"/>
        <v>19</v>
      </c>
    </row>
    <row r="24">
      <c r="A24" s="30">
        <f t="shared" si="3"/>
        <v>20</v>
      </c>
      <c r="B24" s="56" t="s">
        <v>65</v>
      </c>
      <c r="C24" s="32">
        <v>185.0</v>
      </c>
      <c r="D24" s="32">
        <v>15.0</v>
      </c>
      <c r="E24" s="37">
        <v>1.0</v>
      </c>
      <c r="F24" s="39">
        <v>3.0</v>
      </c>
      <c r="G24" s="40">
        <v>0.0</v>
      </c>
      <c r="H24" s="39">
        <v>6.0</v>
      </c>
      <c r="I24" s="39">
        <v>3.0</v>
      </c>
      <c r="J24" s="39">
        <v>6.0</v>
      </c>
      <c r="K24" s="42">
        <v>15.0</v>
      </c>
      <c r="L24" s="39">
        <v>1.0</v>
      </c>
      <c r="M24" s="32">
        <f t="shared" ref="M24:N24" si="22">C24+K24</f>
        <v>200</v>
      </c>
      <c r="N24" s="32">
        <f t="shared" si="22"/>
        <v>16</v>
      </c>
      <c r="O24" s="43" t="s">
        <v>53</v>
      </c>
      <c r="P24" s="43" t="s">
        <v>53</v>
      </c>
      <c r="Q24" s="43"/>
      <c r="R24" s="39">
        <f>if(G24=13,1,0)+VLOOKUP(B24,'101224'!B:T,17,false)</f>
        <v>0</v>
      </c>
      <c r="S24" s="39"/>
      <c r="T24" s="39">
        <f>if(G24=9,1,0)+VLOOKUP(B24,'101224'!B:T,19,false)</f>
        <v>5</v>
      </c>
      <c r="U24" s="39">
        <f>VLOOKUP(B24,'101224'!B$5:V$70,21,false)-A24</f>
        <v>0</v>
      </c>
      <c r="V24" s="30">
        <f t="shared" si="5"/>
        <v>20</v>
      </c>
    </row>
    <row r="25">
      <c r="A25" s="30">
        <f t="shared" si="3"/>
        <v>21</v>
      </c>
      <c r="B25" s="31" t="s">
        <v>83</v>
      </c>
      <c r="C25" s="32">
        <v>184.0</v>
      </c>
      <c r="D25" s="32">
        <v>15.0</v>
      </c>
      <c r="E25" s="37">
        <v>1.0</v>
      </c>
      <c r="F25" s="39">
        <v>3.0</v>
      </c>
      <c r="G25" s="40">
        <v>0.0</v>
      </c>
      <c r="H25" s="39">
        <v>6.0</v>
      </c>
      <c r="I25" s="39">
        <v>6.0</v>
      </c>
      <c r="J25" s="39">
        <v>4.0</v>
      </c>
      <c r="K25" s="42">
        <v>16.0</v>
      </c>
      <c r="L25" s="39">
        <v>1.0</v>
      </c>
      <c r="M25" s="32">
        <f t="shared" ref="M25:N25" si="23">C25+K25</f>
        <v>200</v>
      </c>
      <c r="N25" s="32">
        <f t="shared" si="23"/>
        <v>16</v>
      </c>
      <c r="O25" s="43" t="s">
        <v>53</v>
      </c>
      <c r="P25" s="43" t="s">
        <v>53</v>
      </c>
      <c r="Q25" s="43"/>
      <c r="R25" s="39">
        <f>if(G25=13,1,0)+VLOOKUP(B25,'101224'!B:T,17,false)</f>
        <v>0</v>
      </c>
      <c r="S25" s="39"/>
      <c r="T25" s="39">
        <f>if(G25=9,1,0)+VLOOKUP(B25,'101224'!B:T,19,false)</f>
        <v>8</v>
      </c>
      <c r="U25" s="39">
        <f>VLOOKUP(B25,'101224'!B$5:V$70,21,false)-A25</f>
        <v>-4</v>
      </c>
      <c r="V25" s="30">
        <f t="shared" si="5"/>
        <v>21</v>
      </c>
    </row>
    <row r="26">
      <c r="A26" s="30">
        <f t="shared" si="3"/>
        <v>22</v>
      </c>
      <c r="B26" s="51" t="s">
        <v>94</v>
      </c>
      <c r="C26" s="32">
        <v>180.0</v>
      </c>
      <c r="D26" s="32">
        <v>10.0</v>
      </c>
      <c r="E26" s="37">
        <v>1.0</v>
      </c>
      <c r="F26" s="39">
        <v>4.0</v>
      </c>
      <c r="G26" s="40">
        <v>0.0</v>
      </c>
      <c r="H26" s="39">
        <v>6.0</v>
      </c>
      <c r="I26" s="39">
        <v>6.0</v>
      </c>
      <c r="J26" s="39">
        <v>3.0</v>
      </c>
      <c r="K26" s="42">
        <v>15.0</v>
      </c>
      <c r="L26" s="39">
        <v>1.0</v>
      </c>
      <c r="M26" s="32">
        <f t="shared" ref="M26:N26" si="24">C26+K26</f>
        <v>195</v>
      </c>
      <c r="N26" s="32">
        <f t="shared" si="24"/>
        <v>11</v>
      </c>
      <c r="O26" s="43" t="s">
        <v>53</v>
      </c>
      <c r="P26" s="43" t="s">
        <v>53</v>
      </c>
      <c r="Q26" s="43"/>
      <c r="R26" s="39">
        <f>if(G26=13,1,0)+VLOOKUP(B26,'101224'!B:T,17,false)</f>
        <v>2</v>
      </c>
      <c r="S26" s="39"/>
      <c r="T26" s="39">
        <f>if(G26=9,1,0)+VLOOKUP(B26,'101224'!B:T,19,false)</f>
        <v>5</v>
      </c>
      <c r="U26" s="39">
        <f>VLOOKUP(B26,'101224'!B$5:V$70,21,false)-A26</f>
        <v>0</v>
      </c>
      <c r="V26" s="30">
        <f t="shared" si="5"/>
        <v>22</v>
      </c>
    </row>
    <row r="27">
      <c r="A27" s="30">
        <f t="shared" si="3"/>
        <v>23</v>
      </c>
      <c r="B27" s="31" t="s">
        <v>96</v>
      </c>
      <c r="C27" s="32">
        <v>179.0</v>
      </c>
      <c r="D27" s="32">
        <v>15.0</v>
      </c>
      <c r="E27" s="37">
        <v>5.0</v>
      </c>
      <c r="F27" s="39">
        <v>0.0</v>
      </c>
      <c r="G27" s="40">
        <v>13.0</v>
      </c>
      <c r="H27" s="39">
        <v>0.0</v>
      </c>
      <c r="I27" s="39">
        <v>0.0</v>
      </c>
      <c r="J27" s="39">
        <v>0.0</v>
      </c>
      <c r="K27" s="42">
        <v>13.0</v>
      </c>
      <c r="L27" s="39">
        <v>0.0</v>
      </c>
      <c r="M27" s="32">
        <f t="shared" ref="M27:N27" si="25">C27+K27</f>
        <v>192</v>
      </c>
      <c r="N27" s="32">
        <f t="shared" si="25"/>
        <v>15</v>
      </c>
      <c r="O27" s="43" t="s">
        <v>53</v>
      </c>
      <c r="P27" s="43" t="s">
        <v>53</v>
      </c>
      <c r="Q27" s="43"/>
      <c r="R27" s="39">
        <f>if(G27=13,1,0)+VLOOKUP(B27,'101224'!B:T,17,false)</f>
        <v>2</v>
      </c>
      <c r="S27" s="39"/>
      <c r="T27" s="39">
        <f>if(G27=9,1,0)+VLOOKUP(B27,'101224'!B:T,19,false)</f>
        <v>7</v>
      </c>
      <c r="U27" s="39">
        <f>VLOOKUP(B27,'101224'!B$5:V$70,21,false)-A27</f>
        <v>6</v>
      </c>
      <c r="V27" s="30">
        <f t="shared" si="5"/>
        <v>23</v>
      </c>
    </row>
    <row r="28">
      <c r="A28" s="30">
        <f t="shared" si="3"/>
        <v>24</v>
      </c>
      <c r="B28" s="51" t="s">
        <v>104</v>
      </c>
      <c r="C28" s="32">
        <v>177.0</v>
      </c>
      <c r="D28" s="32">
        <v>18.0</v>
      </c>
      <c r="E28" s="37">
        <v>1.0</v>
      </c>
      <c r="F28" s="39">
        <v>4.0</v>
      </c>
      <c r="G28" s="40">
        <v>0.0</v>
      </c>
      <c r="H28" s="39">
        <v>7.0</v>
      </c>
      <c r="I28" s="39">
        <v>1.0</v>
      </c>
      <c r="J28" s="39">
        <v>3.0</v>
      </c>
      <c r="K28" s="42">
        <v>11.0</v>
      </c>
      <c r="L28" s="39">
        <v>1.0</v>
      </c>
      <c r="M28" s="32">
        <f t="shared" ref="M28:N28" si="26">C28+K28</f>
        <v>188</v>
      </c>
      <c r="N28" s="32">
        <f t="shared" si="26"/>
        <v>19</v>
      </c>
      <c r="O28" s="43" t="s">
        <v>53</v>
      </c>
      <c r="P28" s="43" t="s">
        <v>53</v>
      </c>
      <c r="Q28" s="43"/>
      <c r="R28" s="39">
        <f>if(G28=13,1,0)+VLOOKUP(B28,'101224'!B:T,17,false)</f>
        <v>0</v>
      </c>
      <c r="S28" s="39"/>
      <c r="T28" s="39">
        <f>if(G28=9,1,0)+VLOOKUP(B28,'101224'!B:T,19,false)</f>
        <v>0</v>
      </c>
      <c r="U28" s="39">
        <f>VLOOKUP(B28,'101224'!B$5:V$70,21,false)-A28</f>
        <v>2</v>
      </c>
      <c r="V28" s="30">
        <f t="shared" si="5"/>
        <v>24</v>
      </c>
    </row>
    <row r="29">
      <c r="A29" s="30">
        <f t="shared" si="3"/>
        <v>25</v>
      </c>
      <c r="B29" s="56" t="s">
        <v>101</v>
      </c>
      <c r="C29" s="32">
        <v>177.0</v>
      </c>
      <c r="D29" s="32">
        <v>12.0</v>
      </c>
      <c r="E29" s="37">
        <v>1.0</v>
      </c>
      <c r="F29" s="39">
        <v>4.0</v>
      </c>
      <c r="G29" s="40">
        <v>0.0</v>
      </c>
      <c r="H29" s="39">
        <v>6.0</v>
      </c>
      <c r="I29" s="39">
        <v>1.0</v>
      </c>
      <c r="J29" s="39">
        <v>6.0</v>
      </c>
      <c r="K29" s="42">
        <v>13.0</v>
      </c>
      <c r="L29" s="39">
        <v>1.0</v>
      </c>
      <c r="M29" s="32">
        <f t="shared" ref="M29:N29" si="27">C29+K29</f>
        <v>190</v>
      </c>
      <c r="N29" s="32">
        <f t="shared" si="27"/>
        <v>13</v>
      </c>
      <c r="O29" s="43" t="s">
        <v>53</v>
      </c>
      <c r="P29" s="43" t="s">
        <v>53</v>
      </c>
      <c r="Q29" s="43"/>
      <c r="R29" s="39">
        <f>if(G29=13,1,0)+VLOOKUP(B29,'101224'!B:T,17,false)</f>
        <v>0</v>
      </c>
      <c r="S29" s="39"/>
      <c r="T29" s="39">
        <f>if(G29=9,1,0)+VLOOKUP(B29,'101224'!B:T,19,false)</f>
        <v>7</v>
      </c>
      <c r="U29" s="39">
        <f>VLOOKUP(B29,'101224'!B$5:V$70,21,false)-A29</f>
        <v>-2</v>
      </c>
      <c r="V29" s="30">
        <f t="shared" si="5"/>
        <v>25</v>
      </c>
    </row>
    <row r="30">
      <c r="A30" s="30">
        <f t="shared" si="3"/>
        <v>26</v>
      </c>
      <c r="B30" s="51" t="s">
        <v>95</v>
      </c>
      <c r="C30" s="32">
        <v>177.0</v>
      </c>
      <c r="D30" s="32">
        <v>11.0</v>
      </c>
      <c r="E30" s="37">
        <v>2.0</v>
      </c>
      <c r="F30" s="39">
        <v>4.0</v>
      </c>
      <c r="G30" s="40">
        <v>0.0</v>
      </c>
      <c r="H30" s="39">
        <v>7.0</v>
      </c>
      <c r="I30" s="39">
        <v>6.0</v>
      </c>
      <c r="J30" s="39">
        <v>6.0</v>
      </c>
      <c r="K30" s="42">
        <v>19.0</v>
      </c>
      <c r="L30" s="39">
        <v>3.0</v>
      </c>
      <c r="M30" s="32">
        <f t="shared" ref="M30:N30" si="28">C30+K30</f>
        <v>196</v>
      </c>
      <c r="N30" s="32">
        <f t="shared" si="28"/>
        <v>14</v>
      </c>
      <c r="O30" s="43" t="s">
        <v>53</v>
      </c>
      <c r="P30" s="43" t="s">
        <v>53</v>
      </c>
      <c r="Q30" s="43"/>
      <c r="R30" s="39">
        <f>if(G30=13,1,0)+VLOOKUP(B30,'101224'!B:T,17,false)</f>
        <v>1</v>
      </c>
      <c r="S30" s="39"/>
      <c r="T30" s="39">
        <f>if(G30=9,1,0)+VLOOKUP(B30,'101224'!B:T,19,false)</f>
        <v>8</v>
      </c>
      <c r="U30" s="39">
        <f>VLOOKUP(B30,'101224'!B$5:V$70,21,false)-A30</f>
        <v>-2</v>
      </c>
      <c r="V30" s="30">
        <f t="shared" si="5"/>
        <v>26</v>
      </c>
    </row>
    <row r="31">
      <c r="A31" s="30">
        <f t="shared" si="3"/>
        <v>27</v>
      </c>
      <c r="B31" s="31" t="s">
        <v>89</v>
      </c>
      <c r="C31" s="32">
        <v>177.0</v>
      </c>
      <c r="D31" s="32">
        <v>7.0</v>
      </c>
      <c r="E31" s="37">
        <v>2.0</v>
      </c>
      <c r="F31" s="39">
        <v>5.0</v>
      </c>
      <c r="G31" s="40">
        <v>0.0</v>
      </c>
      <c r="H31" s="39">
        <v>6.0</v>
      </c>
      <c r="I31" s="39">
        <v>6.0</v>
      </c>
      <c r="J31" s="39">
        <v>6.0</v>
      </c>
      <c r="K31" s="42">
        <v>18.0</v>
      </c>
      <c r="L31" s="39">
        <v>3.0</v>
      </c>
      <c r="M31" s="32">
        <f t="shared" ref="M31:N31" si="29">C31+K31</f>
        <v>195</v>
      </c>
      <c r="N31" s="32">
        <f t="shared" si="29"/>
        <v>10</v>
      </c>
      <c r="O31" s="43" t="s">
        <v>53</v>
      </c>
      <c r="P31" s="43" t="s">
        <v>53</v>
      </c>
      <c r="Q31" s="43"/>
      <c r="R31" s="39">
        <f>if(G31=13,1,0)+VLOOKUP(B31,'101224'!B:T,17,false)</f>
        <v>5</v>
      </c>
      <c r="S31" s="39"/>
      <c r="T31" s="39">
        <f>if(G31=9,1,0)+VLOOKUP(B31,'101224'!B:T,19,false)</f>
        <v>7</v>
      </c>
      <c r="U31" s="39">
        <f>VLOOKUP(B31,'101224'!B$5:V$70,21,false)-A31</f>
        <v>-2</v>
      </c>
      <c r="V31" s="30">
        <f t="shared" si="5"/>
        <v>27</v>
      </c>
    </row>
    <row r="32">
      <c r="A32" s="30">
        <f t="shared" si="3"/>
        <v>28</v>
      </c>
      <c r="B32" s="31" t="s">
        <v>63</v>
      </c>
      <c r="C32" s="32">
        <v>176.0</v>
      </c>
      <c r="D32" s="32">
        <v>12.0</v>
      </c>
      <c r="E32" s="37">
        <v>1.0</v>
      </c>
      <c r="F32" s="39">
        <v>5.0</v>
      </c>
      <c r="G32" s="40">
        <v>0.0</v>
      </c>
      <c r="H32" s="39">
        <v>6.0</v>
      </c>
      <c r="I32" s="39">
        <v>2.0</v>
      </c>
      <c r="J32" s="39">
        <v>2.0</v>
      </c>
      <c r="K32" s="42">
        <v>10.0</v>
      </c>
      <c r="L32" s="39">
        <v>1.0</v>
      </c>
      <c r="M32" s="32">
        <f t="shared" ref="M32:N32" si="30">C32+K32</f>
        <v>186</v>
      </c>
      <c r="N32" s="32">
        <f t="shared" si="30"/>
        <v>13</v>
      </c>
      <c r="O32" s="43" t="s">
        <v>53</v>
      </c>
      <c r="P32" s="43" t="s">
        <v>53</v>
      </c>
      <c r="Q32" s="43"/>
      <c r="R32" s="39">
        <f>if(G32=13,1,0)+VLOOKUP(B32,'101224'!B:T,17,false)</f>
        <v>1</v>
      </c>
      <c r="S32" s="39"/>
      <c r="T32" s="39">
        <f>if(G32=9,1,0)+VLOOKUP(B32,'101224'!B:T,19,false)</f>
        <v>10</v>
      </c>
      <c r="U32" s="39">
        <f>VLOOKUP(B32,'101224'!B$5:V$70,21,false)-A32</f>
        <v>5</v>
      </c>
      <c r="V32" s="30">
        <f t="shared" si="5"/>
        <v>28</v>
      </c>
    </row>
    <row r="33">
      <c r="A33" s="30">
        <f t="shared" si="3"/>
        <v>29</v>
      </c>
      <c r="B33" s="31" t="s">
        <v>105</v>
      </c>
      <c r="C33" s="32">
        <v>174.0</v>
      </c>
      <c r="D33" s="32">
        <v>9.0</v>
      </c>
      <c r="E33" s="37">
        <v>3.0</v>
      </c>
      <c r="F33" s="39">
        <v>0.0</v>
      </c>
      <c r="G33" s="40">
        <v>9.0</v>
      </c>
      <c r="H33" s="39">
        <v>0.0</v>
      </c>
      <c r="I33" s="39">
        <v>0.0</v>
      </c>
      <c r="J33" s="39">
        <v>0.0</v>
      </c>
      <c r="K33" s="42">
        <v>9.0</v>
      </c>
      <c r="L33" s="39">
        <v>0.0</v>
      </c>
      <c r="M33" s="32">
        <f t="shared" ref="M33:N33" si="31">C33+K33</f>
        <v>183</v>
      </c>
      <c r="N33" s="32">
        <f t="shared" si="31"/>
        <v>9</v>
      </c>
      <c r="O33" s="43" t="s">
        <v>53</v>
      </c>
      <c r="P33" s="43" t="s">
        <v>53</v>
      </c>
      <c r="Q33" s="43"/>
      <c r="R33" s="39">
        <f>if(G33=13,1,0)+VLOOKUP(B33,'101224'!B:T,17,false)</f>
        <v>0</v>
      </c>
      <c r="S33" s="39"/>
      <c r="T33" s="39">
        <f>if(G33=9,1,0)+VLOOKUP(B33,'101224'!B:T,19,false)</f>
        <v>8</v>
      </c>
      <c r="U33" s="39">
        <f>VLOOKUP(B33,'101224'!B$5:V$70,21,false)-A33</f>
        <v>-2</v>
      </c>
      <c r="V33" s="30">
        <f t="shared" si="5"/>
        <v>29</v>
      </c>
    </row>
    <row r="34">
      <c r="A34" s="30">
        <f t="shared" si="3"/>
        <v>30</v>
      </c>
      <c r="B34" s="51" t="s">
        <v>99</v>
      </c>
      <c r="C34" s="32">
        <v>173.0</v>
      </c>
      <c r="D34" s="32">
        <v>12.0</v>
      </c>
      <c r="E34" s="37">
        <v>1.0</v>
      </c>
      <c r="F34" s="39">
        <v>5.0</v>
      </c>
      <c r="G34" s="40">
        <v>0.0</v>
      </c>
      <c r="H34" s="39">
        <v>1.0</v>
      </c>
      <c r="I34" s="39">
        <v>6.0</v>
      </c>
      <c r="J34" s="39">
        <v>2.0</v>
      </c>
      <c r="K34" s="42">
        <v>9.0</v>
      </c>
      <c r="L34" s="39">
        <v>1.0</v>
      </c>
      <c r="M34" s="32">
        <f t="shared" ref="M34:N34" si="32">C34+K34</f>
        <v>182</v>
      </c>
      <c r="N34" s="32">
        <f t="shared" si="32"/>
        <v>13</v>
      </c>
      <c r="O34" s="43" t="s">
        <v>53</v>
      </c>
      <c r="P34" s="43"/>
      <c r="Q34" s="43"/>
      <c r="R34" s="39">
        <f>if(G34=13,1,0)+VLOOKUP(B34,'101224'!B:T,17,false)</f>
        <v>0</v>
      </c>
      <c r="S34" s="39"/>
      <c r="T34" s="39">
        <f>if(G34=9,1,0)+VLOOKUP(B34,'101224'!B:T,19,false)</f>
        <v>3</v>
      </c>
      <c r="U34" s="39">
        <f>VLOOKUP(B34,'101224'!B$5:V$70,21,false)-A34</f>
        <v>-2</v>
      </c>
      <c r="V34" s="30">
        <f t="shared" si="5"/>
        <v>30</v>
      </c>
    </row>
    <row r="35">
      <c r="A35" s="30">
        <f t="shared" si="3"/>
        <v>31</v>
      </c>
      <c r="B35" s="31" t="s">
        <v>66</v>
      </c>
      <c r="C35" s="32">
        <v>170.0</v>
      </c>
      <c r="D35" s="32">
        <v>9.0</v>
      </c>
      <c r="E35" s="37">
        <v>3.0</v>
      </c>
      <c r="F35" s="39">
        <v>0.0</v>
      </c>
      <c r="G35" s="40">
        <v>9.0</v>
      </c>
      <c r="H35" s="39">
        <v>0.0</v>
      </c>
      <c r="I35" s="39">
        <v>0.0</v>
      </c>
      <c r="J35" s="39">
        <v>0.0</v>
      </c>
      <c r="K35" s="42">
        <v>9.0</v>
      </c>
      <c r="L35" s="39">
        <v>0.0</v>
      </c>
      <c r="M35" s="32">
        <f t="shared" ref="M35:N35" si="33">C35+K35</f>
        <v>179</v>
      </c>
      <c r="N35" s="32">
        <f t="shared" si="33"/>
        <v>9</v>
      </c>
      <c r="O35" s="43" t="s">
        <v>53</v>
      </c>
      <c r="P35" s="43" t="s">
        <v>53</v>
      </c>
      <c r="Q35" s="43"/>
      <c r="R35" s="39">
        <f>if(G35=13,1,0)+VLOOKUP(B35,'101224'!B:T,17,false)</f>
        <v>2</v>
      </c>
      <c r="S35" s="39"/>
      <c r="T35" s="39">
        <f>if(G35=9,1,0)+VLOOKUP(B35,'101224'!B:T,19,false)</f>
        <v>6</v>
      </c>
      <c r="U35" s="39">
        <f>VLOOKUP(B35,'101224'!B$5:V$70,21,false)-A35</f>
        <v>-1</v>
      </c>
      <c r="V35" s="30">
        <f t="shared" si="5"/>
        <v>31</v>
      </c>
    </row>
    <row r="36">
      <c r="A36" s="30">
        <f t="shared" si="3"/>
        <v>32</v>
      </c>
      <c r="B36" s="51" t="s">
        <v>111</v>
      </c>
      <c r="C36" s="32">
        <v>170.0</v>
      </c>
      <c r="D36" s="32">
        <v>8.0</v>
      </c>
      <c r="E36" s="37">
        <v>3.0</v>
      </c>
      <c r="F36" s="39">
        <v>0.0</v>
      </c>
      <c r="G36" s="40">
        <v>9.0</v>
      </c>
      <c r="H36" s="39">
        <v>0.0</v>
      </c>
      <c r="I36" s="39">
        <v>0.0</v>
      </c>
      <c r="J36" s="39">
        <v>0.0</v>
      </c>
      <c r="K36" s="42">
        <v>9.0</v>
      </c>
      <c r="L36" s="39">
        <v>0.0</v>
      </c>
      <c r="M36" s="32">
        <f t="shared" ref="M36:N36" si="34">C36+K36</f>
        <v>179</v>
      </c>
      <c r="N36" s="32">
        <f t="shared" si="34"/>
        <v>8</v>
      </c>
      <c r="O36" s="43" t="s">
        <v>53</v>
      </c>
      <c r="P36" s="43" t="s">
        <v>53</v>
      </c>
      <c r="Q36" s="43"/>
      <c r="R36" s="39">
        <f>if(G36=13,1,0)+VLOOKUP(B36,'101224'!B:T,17,false)</f>
        <v>0</v>
      </c>
      <c r="S36" s="39"/>
      <c r="T36" s="39">
        <f>if(G36=9,1,0)+VLOOKUP(B36,'101224'!B:T,19,false)</f>
        <v>9</v>
      </c>
      <c r="U36" s="39">
        <f>VLOOKUP(B36,'101224'!B$5:V$70,21,false)-A36</f>
        <v>-1</v>
      </c>
      <c r="V36" s="30">
        <f t="shared" si="5"/>
        <v>32</v>
      </c>
    </row>
    <row r="37">
      <c r="A37" s="30">
        <f t="shared" si="3"/>
        <v>33</v>
      </c>
      <c r="B37" s="31" t="s">
        <v>97</v>
      </c>
      <c r="C37" s="32">
        <v>169.0</v>
      </c>
      <c r="D37" s="32">
        <v>9.0</v>
      </c>
      <c r="E37" s="37">
        <v>1.0</v>
      </c>
      <c r="F37" s="39">
        <v>5.0</v>
      </c>
      <c r="G37" s="40">
        <v>0.0</v>
      </c>
      <c r="H37" s="39">
        <v>1.0</v>
      </c>
      <c r="I37" s="39">
        <v>2.0</v>
      </c>
      <c r="J37" s="39">
        <v>6.0</v>
      </c>
      <c r="K37" s="42">
        <v>9.0</v>
      </c>
      <c r="L37" s="39">
        <v>1.0</v>
      </c>
      <c r="M37" s="32">
        <f t="shared" ref="M37:N37" si="35">C37+K37</f>
        <v>178</v>
      </c>
      <c r="N37" s="32">
        <f t="shared" si="35"/>
        <v>10</v>
      </c>
      <c r="O37" s="43" t="s">
        <v>53</v>
      </c>
      <c r="P37" s="43" t="s">
        <v>53</v>
      </c>
      <c r="Q37" s="43"/>
      <c r="R37" s="39">
        <f>if(G37=13,1,0)+VLOOKUP(B37,'101224'!B:T,17,false)</f>
        <v>1</v>
      </c>
      <c r="S37" s="39"/>
      <c r="T37" s="39">
        <f>if(G37=9,1,0)+VLOOKUP(B37,'101224'!B:T,19,false)</f>
        <v>8</v>
      </c>
      <c r="U37" s="39">
        <f>VLOOKUP(B37,'101224'!B$5:V$70,21,false)-A37</f>
        <v>5</v>
      </c>
      <c r="V37" s="30">
        <f t="shared" si="5"/>
        <v>33</v>
      </c>
    </row>
    <row r="38">
      <c r="A38" s="30">
        <f t="shared" si="3"/>
        <v>34</v>
      </c>
      <c r="B38" s="31" t="s">
        <v>109</v>
      </c>
      <c r="C38" s="32">
        <v>169.0</v>
      </c>
      <c r="D38" s="32">
        <v>5.0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6">C38+K38</f>
        <v>178</v>
      </c>
      <c r="N38" s="32">
        <f t="shared" si="36"/>
        <v>5</v>
      </c>
      <c r="O38" s="43" t="s">
        <v>53</v>
      </c>
      <c r="P38" s="43" t="s">
        <v>53</v>
      </c>
      <c r="Q38" s="43"/>
      <c r="R38" s="39">
        <f>if(G38=13,1,0)+VLOOKUP(B38,'101224'!B:T,17,false)</f>
        <v>4</v>
      </c>
      <c r="S38" s="39"/>
      <c r="T38" s="39">
        <f>if(G38=9,1,0)+VLOOKUP(B38,'101224'!B:T,19,false)</f>
        <v>10</v>
      </c>
      <c r="U38" s="39">
        <f>VLOOKUP(B38,'101224'!B$5:V$70,21,false)-A38</f>
        <v>7</v>
      </c>
      <c r="V38" s="30">
        <f t="shared" si="5"/>
        <v>34</v>
      </c>
    </row>
    <row r="39">
      <c r="A39" s="30">
        <f t="shared" si="3"/>
        <v>35</v>
      </c>
      <c r="B39" s="51" t="s">
        <v>103</v>
      </c>
      <c r="C39" s="32">
        <v>166.0</v>
      </c>
      <c r="D39" s="32">
        <v>9.0</v>
      </c>
      <c r="E39" s="37">
        <v>1.0</v>
      </c>
      <c r="F39" s="39">
        <v>6.0</v>
      </c>
      <c r="G39" s="40">
        <v>0.0</v>
      </c>
      <c r="H39" s="39">
        <v>6.0</v>
      </c>
      <c r="I39" s="39">
        <v>2.0</v>
      </c>
      <c r="J39" s="39">
        <v>6.0</v>
      </c>
      <c r="K39" s="42">
        <v>14.0</v>
      </c>
      <c r="L39" s="39">
        <v>2.0</v>
      </c>
      <c r="M39" s="32">
        <f t="shared" ref="M39:N39" si="37">C39+K39</f>
        <v>180</v>
      </c>
      <c r="N39" s="32">
        <f t="shared" si="37"/>
        <v>11</v>
      </c>
      <c r="O39" s="43" t="s">
        <v>53</v>
      </c>
      <c r="P39" s="43" t="s">
        <v>53</v>
      </c>
      <c r="Q39" s="43"/>
      <c r="R39" s="39">
        <f>if(G39=13,1,0)+VLOOKUP(B39,'101224'!B:T,17,false)</f>
        <v>1</v>
      </c>
      <c r="S39" s="39"/>
      <c r="T39" s="39">
        <f>if(G39=9,1,0)+VLOOKUP(B39,'101224'!B:T,19,false)</f>
        <v>9</v>
      </c>
      <c r="U39" s="39">
        <f>VLOOKUP(B39,'101224'!B$5:V$70,21,false)-A39</f>
        <v>-1</v>
      </c>
      <c r="V39" s="30">
        <f t="shared" si="5"/>
        <v>35</v>
      </c>
    </row>
    <row r="40">
      <c r="A40" s="30">
        <f t="shared" si="3"/>
        <v>36</v>
      </c>
      <c r="B40" s="56" t="s">
        <v>110</v>
      </c>
      <c r="C40" s="32">
        <v>166.0</v>
      </c>
      <c r="D40" s="32">
        <v>6.0</v>
      </c>
      <c r="E40" s="37">
        <v>2.0</v>
      </c>
      <c r="F40" s="39">
        <v>6.0</v>
      </c>
      <c r="G40" s="40">
        <v>0.0</v>
      </c>
      <c r="H40" s="39">
        <v>3.0</v>
      </c>
      <c r="I40" s="39">
        <v>2.0</v>
      </c>
      <c r="J40" s="39">
        <v>1.0</v>
      </c>
      <c r="K40" s="42">
        <v>6.0</v>
      </c>
      <c r="L40" s="39">
        <v>0.0</v>
      </c>
      <c r="M40" s="32">
        <f t="shared" ref="M40:N40" si="38">C40+K40</f>
        <v>172</v>
      </c>
      <c r="N40" s="32">
        <f t="shared" si="38"/>
        <v>6</v>
      </c>
      <c r="O40" s="43" t="s">
        <v>53</v>
      </c>
      <c r="P40" s="43" t="s">
        <v>53</v>
      </c>
      <c r="Q40" s="43"/>
      <c r="R40" s="39">
        <f>if(G40=13,1,0)+VLOOKUP(B40,'101224'!B:T,17,false)</f>
        <v>4</v>
      </c>
      <c r="S40" s="39"/>
      <c r="T40" s="39">
        <f>if(G40=9,1,0)+VLOOKUP(B40,'101224'!B:T,19,false)</f>
        <v>5</v>
      </c>
      <c r="U40" s="39">
        <f>VLOOKUP(B40,'101224'!B$5:V$70,21,false)-A40</f>
        <v>0</v>
      </c>
      <c r="V40" s="30">
        <f t="shared" si="5"/>
        <v>36</v>
      </c>
    </row>
    <row r="41">
      <c r="A41" s="30">
        <f t="shared" si="3"/>
        <v>37</v>
      </c>
      <c r="B41" s="56" t="s">
        <v>107</v>
      </c>
      <c r="C41" s="32">
        <v>165.0</v>
      </c>
      <c r="D41" s="32">
        <v>15.0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9">C41+K41</f>
        <v>174</v>
      </c>
      <c r="N41" s="32">
        <f t="shared" si="39"/>
        <v>15</v>
      </c>
      <c r="O41" s="43" t="s">
        <v>53</v>
      </c>
      <c r="P41" s="43" t="s">
        <v>53</v>
      </c>
      <c r="Q41" s="43"/>
      <c r="R41" s="39">
        <f>if(G41=13,1,0)+VLOOKUP(B41,'101224'!B:T,17,false)</f>
        <v>0</v>
      </c>
      <c r="S41" s="39"/>
      <c r="T41" s="39">
        <f>if(G41=9,1,0)+VLOOKUP(B41,'101224'!B:T,19,false)</f>
        <v>4</v>
      </c>
      <c r="U41" s="39">
        <f>VLOOKUP(B41,'101224'!B$5:V$70,21,false)-A41</f>
        <v>0</v>
      </c>
      <c r="V41" s="30">
        <f t="shared" si="5"/>
        <v>37</v>
      </c>
    </row>
    <row r="42">
      <c r="A42" s="30">
        <f t="shared" si="3"/>
        <v>38</v>
      </c>
      <c r="B42" s="51" t="s">
        <v>76</v>
      </c>
      <c r="C42" s="32">
        <v>165.0</v>
      </c>
      <c r="D42" s="32">
        <v>14.0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40">C42+K42</f>
        <v>174</v>
      </c>
      <c r="N42" s="32">
        <f t="shared" si="40"/>
        <v>14</v>
      </c>
      <c r="O42" s="43" t="s">
        <v>53</v>
      </c>
      <c r="P42" s="43" t="s">
        <v>53</v>
      </c>
      <c r="Q42" s="43"/>
      <c r="R42" s="39">
        <f>if(G42=13,1,0)+VLOOKUP(B42,'101224'!B:T,17,false)</f>
        <v>0</v>
      </c>
      <c r="S42" s="39"/>
      <c r="T42" s="39">
        <f>if(G42=9,1,0)+VLOOKUP(B42,'101224'!B:T,19,false)</f>
        <v>7</v>
      </c>
      <c r="U42" s="39">
        <f>VLOOKUP(B42,'101224'!B$5:V$70,21,false)-A42</f>
        <v>-3</v>
      </c>
      <c r="V42" s="30">
        <f t="shared" si="5"/>
        <v>38</v>
      </c>
    </row>
    <row r="43">
      <c r="A43" s="30">
        <f t="shared" si="3"/>
        <v>39</v>
      </c>
      <c r="B43" s="31" t="s">
        <v>46</v>
      </c>
      <c r="C43" s="32">
        <v>165.0</v>
      </c>
      <c r="D43" s="32">
        <v>12.0</v>
      </c>
      <c r="E43" s="37">
        <v>1.0</v>
      </c>
      <c r="F43" s="39">
        <v>6.0</v>
      </c>
      <c r="G43" s="40">
        <v>0.0</v>
      </c>
      <c r="H43" s="39">
        <v>3.0</v>
      </c>
      <c r="I43" s="39">
        <v>6.0</v>
      </c>
      <c r="J43" s="39">
        <v>6.0</v>
      </c>
      <c r="K43" s="42">
        <v>15.0</v>
      </c>
      <c r="L43" s="39">
        <v>2.0</v>
      </c>
      <c r="M43" s="32">
        <f t="shared" ref="M43:N43" si="41">C43+K43</f>
        <v>180</v>
      </c>
      <c r="N43" s="32">
        <f t="shared" si="41"/>
        <v>14</v>
      </c>
      <c r="O43" s="43" t="s">
        <v>53</v>
      </c>
      <c r="P43" s="43" t="s">
        <v>53</v>
      </c>
      <c r="Q43" s="43"/>
      <c r="R43" s="39">
        <f>if(G43=13,1,0)+VLOOKUP(B43,'101224'!B:T,17,false)</f>
        <v>0</v>
      </c>
      <c r="S43" s="39"/>
      <c r="T43" s="39">
        <f>if(G43=9,1,0)+VLOOKUP(B43,'101224'!B:T,19,false)</f>
        <v>6</v>
      </c>
      <c r="U43" s="39">
        <f>VLOOKUP(B43,'101224'!B$5:V$70,21,false)-A43</f>
        <v>-7</v>
      </c>
      <c r="V43" s="30">
        <f t="shared" si="5"/>
        <v>39</v>
      </c>
    </row>
    <row r="44">
      <c r="A44" s="30">
        <f t="shared" si="3"/>
        <v>40</v>
      </c>
      <c r="B44" s="31" t="s">
        <v>73</v>
      </c>
      <c r="C44" s="32">
        <v>165.0</v>
      </c>
      <c r="D44" s="32">
        <v>7.0</v>
      </c>
      <c r="E44" s="37">
        <v>2.0</v>
      </c>
      <c r="F44" s="39">
        <v>6.0</v>
      </c>
      <c r="G44" s="40">
        <v>0.0</v>
      </c>
      <c r="H44" s="39">
        <v>6.0</v>
      </c>
      <c r="I44" s="39">
        <v>6.0</v>
      </c>
      <c r="J44" s="39">
        <v>1.0</v>
      </c>
      <c r="K44" s="42">
        <v>13.0</v>
      </c>
      <c r="L44" s="39">
        <v>2.0</v>
      </c>
      <c r="M44" s="32">
        <f t="shared" ref="M44:N44" si="42">C44+K44</f>
        <v>178</v>
      </c>
      <c r="N44" s="32">
        <f t="shared" si="42"/>
        <v>9</v>
      </c>
      <c r="O44" s="43" t="s">
        <v>53</v>
      </c>
      <c r="P44" s="43" t="s">
        <v>53</v>
      </c>
      <c r="Q44" s="43"/>
      <c r="R44" s="39">
        <f>if(G44=13,1,0)+VLOOKUP(B44,'101224'!B:T,17,false)</f>
        <v>3</v>
      </c>
      <c r="S44" s="39"/>
      <c r="T44" s="39">
        <f>if(G44=9,1,0)+VLOOKUP(B44,'101224'!B:T,19,false)</f>
        <v>7</v>
      </c>
      <c r="U44" s="39">
        <f>VLOOKUP(B44,'101224'!B$5:V$70,21,false)-A44</f>
        <v>-1</v>
      </c>
      <c r="V44" s="30">
        <f t="shared" si="5"/>
        <v>40</v>
      </c>
    </row>
    <row r="45">
      <c r="A45" s="30">
        <f t="shared" si="3"/>
        <v>41</v>
      </c>
      <c r="B45" s="51" t="s">
        <v>114</v>
      </c>
      <c r="C45" s="32">
        <v>163.0</v>
      </c>
      <c r="D45" s="32">
        <v>9.0</v>
      </c>
      <c r="E45" s="37">
        <v>2.0</v>
      </c>
      <c r="F45" s="39">
        <v>7.0</v>
      </c>
      <c r="G45" s="40">
        <v>0.0</v>
      </c>
      <c r="H45" s="39">
        <v>6.0</v>
      </c>
      <c r="I45" s="39">
        <v>1.0</v>
      </c>
      <c r="J45" s="39">
        <v>6.0</v>
      </c>
      <c r="K45" s="42">
        <v>13.0</v>
      </c>
      <c r="L45" s="39">
        <v>2.0</v>
      </c>
      <c r="M45" s="32">
        <f t="shared" ref="M45:N45" si="43">C45+K45</f>
        <v>176</v>
      </c>
      <c r="N45" s="32">
        <f t="shared" si="43"/>
        <v>11</v>
      </c>
      <c r="O45" s="43" t="s">
        <v>53</v>
      </c>
      <c r="P45" s="43" t="s">
        <v>53</v>
      </c>
      <c r="Q45" s="43"/>
      <c r="R45" s="39">
        <f>if(G45=13,1,0)+VLOOKUP(B45,'101224'!B:T,17,false)</f>
        <v>2</v>
      </c>
      <c r="S45" s="39"/>
      <c r="T45" s="39">
        <f>if(G45=9,1,0)+VLOOKUP(B45,'101224'!B:T,19,false)</f>
        <v>5</v>
      </c>
      <c r="U45" s="39">
        <f>VLOOKUP(B45,'101224'!B$5:V$70,21,false)-A45</f>
        <v>1</v>
      </c>
      <c r="V45" s="30">
        <f t="shared" si="5"/>
        <v>41</v>
      </c>
    </row>
    <row r="46">
      <c r="A46" s="30">
        <f t="shared" si="3"/>
        <v>42</v>
      </c>
      <c r="B46" s="57" t="s">
        <v>106</v>
      </c>
      <c r="C46" s="32">
        <v>160.0</v>
      </c>
      <c r="D46" s="32">
        <v>7.0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4">C46+K46</f>
        <v>169</v>
      </c>
      <c r="N46" s="32">
        <f t="shared" si="44"/>
        <v>7</v>
      </c>
      <c r="O46" s="43" t="s">
        <v>53</v>
      </c>
      <c r="P46" s="43" t="s">
        <v>53</v>
      </c>
      <c r="Q46" s="43"/>
      <c r="R46" s="39">
        <f>if(G46=13,1,0)+VLOOKUP(B46,'101224'!B:T,17,false)</f>
        <v>0</v>
      </c>
      <c r="S46" s="39"/>
      <c r="T46" s="39">
        <f>if(G46=9,1,0)+VLOOKUP(B46,'101224'!B:T,19,false)</f>
        <v>12</v>
      </c>
      <c r="U46" s="39">
        <f>VLOOKUP(B46,'101224'!B$5:V$70,21,false)-A46</f>
        <v>-2</v>
      </c>
      <c r="V46" s="30">
        <f t="shared" si="5"/>
        <v>42</v>
      </c>
    </row>
    <row r="47">
      <c r="A47" s="30">
        <f t="shared" si="3"/>
        <v>43</v>
      </c>
      <c r="B47" s="31" t="s">
        <v>81</v>
      </c>
      <c r="C47" s="32">
        <v>159.0</v>
      </c>
      <c r="D47" s="32">
        <v>7.0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5">C47+K47</f>
        <v>168</v>
      </c>
      <c r="N47" s="32">
        <f t="shared" si="45"/>
        <v>7</v>
      </c>
      <c r="O47" s="43" t="s">
        <v>53</v>
      </c>
      <c r="P47" s="43" t="s">
        <v>53</v>
      </c>
      <c r="Q47" s="43"/>
      <c r="R47" s="39">
        <f>if(G47=13,1,0)+VLOOKUP(B47,'101224'!B:T,17,false)</f>
        <v>1</v>
      </c>
      <c r="S47" s="39"/>
      <c r="T47" s="39">
        <f>if(G47=9,1,0)+VLOOKUP(B47,'101224'!B:T,19,false)</f>
        <v>10</v>
      </c>
      <c r="U47" s="39">
        <f>VLOOKUP(B47,'101224'!B$5:V$70,21,false)-A47</f>
        <v>4</v>
      </c>
      <c r="V47" s="30">
        <f t="shared" si="5"/>
        <v>43</v>
      </c>
    </row>
    <row r="48">
      <c r="A48" s="30">
        <f t="shared" si="3"/>
        <v>44</v>
      </c>
      <c r="B48" s="51" t="s">
        <v>75</v>
      </c>
      <c r="C48" s="32">
        <v>159.0</v>
      </c>
      <c r="D48" s="32">
        <v>6.0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6">C48+K48</f>
        <v>168</v>
      </c>
      <c r="N48" s="32">
        <f t="shared" si="46"/>
        <v>6</v>
      </c>
      <c r="O48" s="43" t="s">
        <v>53</v>
      </c>
      <c r="P48" s="43" t="s">
        <v>53</v>
      </c>
      <c r="Q48" s="43"/>
      <c r="R48" s="39">
        <f>if(G48=13,1,0)+VLOOKUP(B48,'101224'!B:T,17,false)</f>
        <v>1</v>
      </c>
      <c r="S48" s="39"/>
      <c r="T48" s="39">
        <f>if(G48=9,1,0)+VLOOKUP(B48,'101224'!B:T,19,false)</f>
        <v>13</v>
      </c>
      <c r="U48" s="39">
        <f>VLOOKUP(B48,'101224'!B$5:V$70,21,false)-A48</f>
        <v>-1</v>
      </c>
      <c r="V48" s="30">
        <f t="shared" si="5"/>
        <v>44</v>
      </c>
    </row>
    <row r="49">
      <c r="A49" s="30">
        <f t="shared" si="3"/>
        <v>45</v>
      </c>
      <c r="B49" s="51" t="s">
        <v>108</v>
      </c>
      <c r="C49" s="32">
        <v>158.0</v>
      </c>
      <c r="D49" s="32">
        <v>8.0</v>
      </c>
      <c r="E49" s="37">
        <v>3.0</v>
      </c>
      <c r="F49" s="39">
        <v>0.0</v>
      </c>
      <c r="G49" s="40">
        <v>9.0</v>
      </c>
      <c r="H49" s="39">
        <v>0.0</v>
      </c>
      <c r="I49" s="39">
        <v>0.0</v>
      </c>
      <c r="J49" s="39">
        <v>0.0</v>
      </c>
      <c r="K49" s="42">
        <v>9.0</v>
      </c>
      <c r="L49" s="39">
        <v>0.0</v>
      </c>
      <c r="M49" s="32">
        <f t="shared" ref="M49:N49" si="47">C49+K49</f>
        <v>167</v>
      </c>
      <c r="N49" s="32">
        <f t="shared" si="47"/>
        <v>8</v>
      </c>
      <c r="O49" s="43" t="s">
        <v>53</v>
      </c>
      <c r="P49" s="43" t="s">
        <v>53</v>
      </c>
      <c r="Q49" s="43"/>
      <c r="R49" s="39">
        <f>if(G49=13,1,0)+VLOOKUP(B49,'101224'!B:T,17,false)</f>
        <v>0</v>
      </c>
      <c r="S49" s="39"/>
      <c r="T49" s="39">
        <f>if(G49=9,1,0)+VLOOKUP(B49,'101224'!B:T,19,false)</f>
        <v>12</v>
      </c>
      <c r="U49" s="39">
        <f>VLOOKUP(B49,'101224'!B$5:V$70,21,false)-A49</f>
        <v>8</v>
      </c>
      <c r="V49" s="30">
        <f t="shared" si="5"/>
        <v>45</v>
      </c>
    </row>
    <row r="50">
      <c r="A50" s="30">
        <f t="shared" si="3"/>
        <v>46</v>
      </c>
      <c r="B50" s="51" t="s">
        <v>102</v>
      </c>
      <c r="C50" s="32">
        <v>158.0</v>
      </c>
      <c r="D50" s="32">
        <v>4.0</v>
      </c>
      <c r="E50" s="37">
        <v>1.0</v>
      </c>
      <c r="F50" s="39">
        <v>7.0</v>
      </c>
      <c r="G50" s="40">
        <v>0.0</v>
      </c>
      <c r="H50" s="39">
        <v>2.0</v>
      </c>
      <c r="I50" s="39">
        <v>6.0</v>
      </c>
      <c r="J50" s="39">
        <v>6.0</v>
      </c>
      <c r="K50" s="42">
        <v>14.0</v>
      </c>
      <c r="L50" s="39">
        <v>2.0</v>
      </c>
      <c r="M50" s="32">
        <f t="shared" ref="M50:N50" si="48">C50+K50</f>
        <v>172</v>
      </c>
      <c r="N50" s="32">
        <f t="shared" si="48"/>
        <v>6</v>
      </c>
      <c r="O50" s="43" t="s">
        <v>53</v>
      </c>
      <c r="P50" s="43" t="s">
        <v>53</v>
      </c>
      <c r="Q50" s="43"/>
      <c r="R50" s="39">
        <f>if(G50=13,1,0)+VLOOKUP(B50,'101224'!B:T,17,false)</f>
        <v>2</v>
      </c>
      <c r="S50" s="39"/>
      <c r="T50" s="39">
        <f>if(G50=9,1,0)+VLOOKUP(B50,'101224'!B:T,19,false)</f>
        <v>10</v>
      </c>
      <c r="U50" s="39">
        <f>VLOOKUP(B50,'101224'!B$5:V$70,21,false)-A50</f>
        <v>-2</v>
      </c>
      <c r="V50" s="30">
        <f t="shared" si="5"/>
        <v>46</v>
      </c>
    </row>
    <row r="51">
      <c r="A51" s="30">
        <f t="shared" si="3"/>
        <v>47</v>
      </c>
      <c r="B51" s="51" t="s">
        <v>116</v>
      </c>
      <c r="C51" s="32">
        <v>157.0</v>
      </c>
      <c r="D51" s="32">
        <v>8.0</v>
      </c>
      <c r="E51" s="37">
        <v>1.0</v>
      </c>
      <c r="F51" s="39">
        <v>7.0</v>
      </c>
      <c r="G51" s="40">
        <v>0.0</v>
      </c>
      <c r="H51" s="39">
        <v>2.0</v>
      </c>
      <c r="I51" s="39">
        <v>1.0</v>
      </c>
      <c r="J51" s="39">
        <v>2.0</v>
      </c>
      <c r="K51" s="42">
        <v>5.0</v>
      </c>
      <c r="L51" s="39">
        <v>0.0</v>
      </c>
      <c r="M51" s="32">
        <f t="shared" ref="M51:N51" si="49">C51+K51</f>
        <v>162</v>
      </c>
      <c r="N51" s="32">
        <f t="shared" si="49"/>
        <v>8</v>
      </c>
      <c r="O51" s="43" t="s">
        <v>53</v>
      </c>
      <c r="P51" s="43" t="s">
        <v>53</v>
      </c>
      <c r="Q51" s="43"/>
      <c r="R51" s="39">
        <f>if(G51=13,1,0)+VLOOKUP(B51,'101224'!B:T,17,false)</f>
        <v>1</v>
      </c>
      <c r="S51" s="39"/>
      <c r="T51" s="39">
        <f>if(G51=9,1,0)+VLOOKUP(B51,'101224'!B:T,19,false)</f>
        <v>5</v>
      </c>
      <c r="U51" s="39">
        <f>VLOOKUP(B51,'101224'!B$5:V$70,21,false)-A51</f>
        <v>-2</v>
      </c>
      <c r="V51" s="30">
        <f t="shared" si="5"/>
        <v>47</v>
      </c>
    </row>
    <row r="52">
      <c r="A52" s="30">
        <f t="shared" si="3"/>
        <v>48</v>
      </c>
      <c r="B52" s="31" t="s">
        <v>117</v>
      </c>
      <c r="C52" s="32">
        <v>156.0</v>
      </c>
      <c r="D52" s="32">
        <v>5.0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50">C52+K52</f>
        <v>165</v>
      </c>
      <c r="N52" s="32">
        <f t="shared" si="50"/>
        <v>5</v>
      </c>
      <c r="O52" s="43" t="s">
        <v>53</v>
      </c>
      <c r="P52" s="43" t="s">
        <v>53</v>
      </c>
      <c r="Q52" s="43"/>
      <c r="R52" s="39">
        <f>if(G52=13,1,0)+VLOOKUP(B52,'101224'!B:T,17,false)</f>
        <v>1</v>
      </c>
      <c r="S52" s="39"/>
      <c r="T52" s="39">
        <f>if(G52=9,1,0)+VLOOKUP(B52,'101224'!B:T,19,false)</f>
        <v>12</v>
      </c>
      <c r="U52" s="39">
        <f>VLOOKUP(B52,'101224'!B$5:V$70,21,false)-A52</f>
        <v>-2</v>
      </c>
      <c r="V52" s="30">
        <f t="shared" si="5"/>
        <v>48</v>
      </c>
    </row>
    <row r="53">
      <c r="A53" s="30">
        <f t="shared" si="3"/>
        <v>49</v>
      </c>
      <c r="B53" s="31" t="s">
        <v>79</v>
      </c>
      <c r="C53" s="32">
        <v>154.0</v>
      </c>
      <c r="D53" s="32">
        <v>5.0</v>
      </c>
      <c r="E53" s="37">
        <v>2.0</v>
      </c>
      <c r="F53" s="39">
        <v>7.0</v>
      </c>
      <c r="G53" s="40">
        <v>0.0</v>
      </c>
      <c r="H53" s="39">
        <v>6.0</v>
      </c>
      <c r="I53" s="39">
        <v>6.0</v>
      </c>
      <c r="J53" s="39">
        <v>2.0</v>
      </c>
      <c r="K53" s="42">
        <v>14.0</v>
      </c>
      <c r="L53" s="39">
        <v>2.0</v>
      </c>
      <c r="M53" s="32">
        <f t="shared" ref="M53:N53" si="51">C53+K53</f>
        <v>168</v>
      </c>
      <c r="N53" s="32">
        <f t="shared" si="51"/>
        <v>7</v>
      </c>
      <c r="O53" s="43" t="s">
        <v>53</v>
      </c>
      <c r="P53" s="43" t="s">
        <v>53</v>
      </c>
      <c r="Q53" s="43"/>
      <c r="R53" s="39">
        <f>if(G53=13,1,0)+VLOOKUP(B53,'101224'!B:T,17,false)</f>
        <v>2</v>
      </c>
      <c r="S53" s="39"/>
      <c r="T53" s="39">
        <f>if(G53=9,1,0)+VLOOKUP(B53,'101224'!B:T,19,false)</f>
        <v>9</v>
      </c>
      <c r="U53" s="39">
        <f>VLOOKUP(B53,'101224'!B$5:V$70,21,false)-A53</f>
        <v>1</v>
      </c>
      <c r="V53" s="30">
        <f t="shared" si="5"/>
        <v>49</v>
      </c>
    </row>
    <row r="54">
      <c r="A54" s="30">
        <f t="shared" si="3"/>
        <v>50</v>
      </c>
      <c r="B54" s="31" t="s">
        <v>120</v>
      </c>
      <c r="C54" s="32">
        <v>154.0</v>
      </c>
      <c r="D54" s="32">
        <v>4.0</v>
      </c>
      <c r="E54" s="37">
        <v>3.0</v>
      </c>
      <c r="F54" s="39">
        <v>0.0</v>
      </c>
      <c r="G54" s="40">
        <v>9.0</v>
      </c>
      <c r="H54" s="39">
        <v>0.0</v>
      </c>
      <c r="I54" s="39">
        <v>0.0</v>
      </c>
      <c r="J54" s="39">
        <v>0.0</v>
      </c>
      <c r="K54" s="42">
        <v>9.0</v>
      </c>
      <c r="L54" s="39">
        <v>0.0</v>
      </c>
      <c r="M54" s="32">
        <f t="shared" ref="M54:N54" si="52">C54+K54</f>
        <v>163</v>
      </c>
      <c r="N54" s="32">
        <f t="shared" si="52"/>
        <v>4</v>
      </c>
      <c r="O54" s="43" t="s">
        <v>53</v>
      </c>
      <c r="P54" s="43" t="s">
        <v>53</v>
      </c>
      <c r="Q54" s="43"/>
      <c r="R54" s="39">
        <f>if(G54=13,1,0)+VLOOKUP(B54,'101224'!B:T,17,false)</f>
        <v>1</v>
      </c>
      <c r="S54" s="39"/>
      <c r="T54" s="39">
        <f>if(G54=9,1,0)+VLOOKUP(B54,'101224'!B:T,19,false)</f>
        <v>12</v>
      </c>
      <c r="U54" s="39">
        <f>VLOOKUP(B54,'101224'!B$5:V$70,21,false)-A54</f>
        <v>-2</v>
      </c>
      <c r="V54" s="30">
        <f t="shared" si="5"/>
        <v>50</v>
      </c>
    </row>
    <row r="55">
      <c r="A55" s="30">
        <f t="shared" si="3"/>
        <v>51</v>
      </c>
      <c r="B55" s="56" t="s">
        <v>115</v>
      </c>
      <c r="C55" s="32">
        <v>151.0</v>
      </c>
      <c r="D55" s="32">
        <v>11.0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3">C55+K55</f>
        <v>160</v>
      </c>
      <c r="N55" s="32">
        <f t="shared" si="53"/>
        <v>11</v>
      </c>
      <c r="O55" s="43" t="s">
        <v>53</v>
      </c>
      <c r="P55" s="43" t="s">
        <v>53</v>
      </c>
      <c r="Q55" s="43"/>
      <c r="R55" s="39">
        <f>if(G55=13,1,0)+VLOOKUP(B55,'101224'!B:T,17,false)</f>
        <v>0</v>
      </c>
      <c r="S55" s="39"/>
      <c r="T55" s="39">
        <f>if(G55=9,1,0)+VLOOKUP(B55,'101224'!B:T,19,false)</f>
        <v>2</v>
      </c>
      <c r="U55" s="39">
        <f>VLOOKUP(B55,'101224'!B$5:V$70,21,false)-A55</f>
        <v>-2</v>
      </c>
      <c r="V55" s="30">
        <f t="shared" si="5"/>
        <v>51</v>
      </c>
    </row>
    <row r="56">
      <c r="A56" s="30">
        <f t="shared" si="3"/>
        <v>52</v>
      </c>
      <c r="B56" s="56" t="s">
        <v>51</v>
      </c>
      <c r="C56" s="32">
        <v>151.0</v>
      </c>
      <c r="D56" s="32">
        <v>9.0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4">C56+K56</f>
        <v>160</v>
      </c>
      <c r="N56" s="32">
        <f t="shared" si="54"/>
        <v>9</v>
      </c>
      <c r="O56" s="43" t="s">
        <v>53</v>
      </c>
      <c r="P56" s="43" t="s">
        <v>53</v>
      </c>
      <c r="Q56" s="43"/>
      <c r="R56" s="39">
        <f>if(G56=13,1,0)+VLOOKUP(B56,'101224'!B:T,17,false)</f>
        <v>1</v>
      </c>
      <c r="S56" s="39"/>
      <c r="T56" s="39">
        <f>if(G56=9,1,0)+VLOOKUP(B56,'101224'!B:T,19,false)</f>
        <v>7</v>
      </c>
      <c r="U56" s="39">
        <f>VLOOKUP(B56,'101224'!B$5:V$70,21,false)-A56</f>
        <v>-1</v>
      </c>
      <c r="V56" s="30">
        <f t="shared" si="5"/>
        <v>52</v>
      </c>
    </row>
    <row r="57">
      <c r="A57" s="30">
        <f t="shared" si="3"/>
        <v>53</v>
      </c>
      <c r="B57" s="31" t="s">
        <v>56</v>
      </c>
      <c r="C57" s="32">
        <v>151.0</v>
      </c>
      <c r="D57" s="32">
        <v>3.0</v>
      </c>
      <c r="E57" s="37">
        <v>3.0</v>
      </c>
      <c r="F57" s="39">
        <v>0.0</v>
      </c>
      <c r="G57" s="40">
        <v>9.0</v>
      </c>
      <c r="H57" s="39">
        <v>0.0</v>
      </c>
      <c r="I57" s="39">
        <v>0.0</v>
      </c>
      <c r="J57" s="39">
        <v>0.0</v>
      </c>
      <c r="K57" s="42">
        <v>9.0</v>
      </c>
      <c r="L57" s="39">
        <v>0.0</v>
      </c>
      <c r="M57" s="32">
        <f t="shared" ref="M57:N57" si="55">C57+K57</f>
        <v>160</v>
      </c>
      <c r="N57" s="32">
        <f t="shared" si="55"/>
        <v>3</v>
      </c>
      <c r="O57" s="43" t="s">
        <v>53</v>
      </c>
      <c r="P57" s="43" t="s">
        <v>53</v>
      </c>
      <c r="Q57" s="43"/>
      <c r="R57" s="39">
        <f>if(G57=13,1,0)+VLOOKUP(B57,'101224'!B:T,17,false)</f>
        <v>1</v>
      </c>
      <c r="S57" s="39"/>
      <c r="T57" s="39">
        <f>if(G57=9,1,0)+VLOOKUP(B57,'101224'!B:T,19,false)</f>
        <v>13</v>
      </c>
      <c r="U57" s="39">
        <f>VLOOKUP(B57,'101224'!B$5:V$70,21,false)-A57</f>
        <v>-1</v>
      </c>
      <c r="V57" s="30">
        <f t="shared" si="5"/>
        <v>53</v>
      </c>
    </row>
    <row r="58">
      <c r="A58" s="30">
        <f t="shared" si="3"/>
        <v>54</v>
      </c>
      <c r="B58" s="31" t="s">
        <v>119</v>
      </c>
      <c r="C58" s="32">
        <v>148.0</v>
      </c>
      <c r="D58" s="32">
        <v>4.0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6">C58+K58</f>
        <v>157</v>
      </c>
      <c r="N58" s="32">
        <f t="shared" si="56"/>
        <v>4</v>
      </c>
      <c r="O58" s="43" t="s">
        <v>53</v>
      </c>
      <c r="P58" s="43" t="s">
        <v>53</v>
      </c>
      <c r="Q58" s="43"/>
      <c r="R58" s="39">
        <f>if(G58=13,1,0)+VLOOKUP(B58,'101224'!B:T,17,false)</f>
        <v>0</v>
      </c>
      <c r="S58" s="39"/>
      <c r="T58" s="39">
        <f>if(G58=9,1,0)+VLOOKUP(B58,'101224'!B:T,19,false)</f>
        <v>14</v>
      </c>
      <c r="U58" s="39">
        <f>VLOOKUP(B58,'101224'!B$5:V$70,21,false)-A58</f>
        <v>0</v>
      </c>
      <c r="V58" s="30">
        <f t="shared" si="5"/>
        <v>54</v>
      </c>
    </row>
    <row r="59">
      <c r="A59" s="30">
        <f t="shared" si="3"/>
        <v>55</v>
      </c>
      <c r="B59" s="51" t="s">
        <v>118</v>
      </c>
      <c r="C59" s="32">
        <v>145.0</v>
      </c>
      <c r="D59" s="32">
        <v>6.0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7">C59+K59</f>
        <v>154</v>
      </c>
      <c r="N59" s="32">
        <f t="shared" si="57"/>
        <v>6</v>
      </c>
      <c r="O59" s="43" t="s">
        <v>53</v>
      </c>
      <c r="P59" s="43" t="s">
        <v>53</v>
      </c>
      <c r="Q59" s="43"/>
      <c r="R59" s="39">
        <f>if(G59=13,1,0)+VLOOKUP(B59,'101224'!B:T,17,false)</f>
        <v>0</v>
      </c>
      <c r="S59" s="39"/>
      <c r="T59" s="39">
        <f>if(G59=9,1,0)+VLOOKUP(B59,'101224'!B:T,19,false)</f>
        <v>10</v>
      </c>
      <c r="U59" s="39">
        <f>VLOOKUP(B59,'101224'!B$5:V$70,21,false)-A59</f>
        <v>0</v>
      </c>
      <c r="V59" s="30">
        <f t="shared" si="5"/>
        <v>55</v>
      </c>
    </row>
    <row r="60">
      <c r="A60" s="30">
        <f t="shared" si="3"/>
        <v>56</v>
      </c>
      <c r="B60" s="31" t="s">
        <v>124</v>
      </c>
      <c r="C60" s="32">
        <v>145.0</v>
      </c>
      <c r="D60" s="32">
        <v>3.0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8">C60+K60</f>
        <v>154</v>
      </c>
      <c r="N60" s="32">
        <f t="shared" si="58"/>
        <v>3</v>
      </c>
      <c r="O60" s="43" t="s">
        <v>53</v>
      </c>
      <c r="P60" s="43" t="s">
        <v>53</v>
      </c>
      <c r="Q60" s="43"/>
      <c r="R60" s="39">
        <f>if(G60=13,1,0)+VLOOKUP(B60,'101224'!B:T,17,false)</f>
        <v>1</v>
      </c>
      <c r="S60" s="39"/>
      <c r="T60" s="39">
        <f>if(G60=9,1,0)+VLOOKUP(B60,'101224'!B:T,19,false)</f>
        <v>13</v>
      </c>
      <c r="U60" s="39">
        <f>VLOOKUP(B60,'101224'!B$5:V$70,21,false)-A60</f>
        <v>0</v>
      </c>
      <c r="V60" s="30">
        <f t="shared" si="5"/>
        <v>56</v>
      </c>
    </row>
    <row r="61">
      <c r="A61" s="30">
        <f t="shared" si="3"/>
        <v>57</v>
      </c>
      <c r="B61" s="31" t="s">
        <v>125</v>
      </c>
      <c r="C61" s="32">
        <v>144.0</v>
      </c>
      <c r="D61" s="32">
        <v>3.0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9">C61+K61</f>
        <v>153</v>
      </c>
      <c r="N61" s="32">
        <f t="shared" si="59"/>
        <v>3</v>
      </c>
      <c r="O61" s="43" t="s">
        <v>53</v>
      </c>
      <c r="P61" s="43" t="s">
        <v>53</v>
      </c>
      <c r="Q61" s="43"/>
      <c r="R61" s="39">
        <f>if(G61=13,1,0)+VLOOKUP(B61,'101224'!B:T,17,false)</f>
        <v>0</v>
      </c>
      <c r="S61" s="39"/>
      <c r="T61" s="39">
        <f>if(G61=9,1,0)+VLOOKUP(B61,'101224'!B:T,19,false)</f>
        <v>15</v>
      </c>
      <c r="U61" s="39">
        <f>VLOOKUP(B61,'101224'!B$5:V$70,21,false)-A61</f>
        <v>0</v>
      </c>
      <c r="V61" s="30">
        <f t="shared" si="5"/>
        <v>57</v>
      </c>
    </row>
    <row r="62">
      <c r="A62" s="30">
        <f t="shared" si="3"/>
        <v>58</v>
      </c>
      <c r="B62" s="56" t="s">
        <v>122</v>
      </c>
      <c r="C62" s="32">
        <v>144.0</v>
      </c>
      <c r="D62" s="32">
        <v>3.0</v>
      </c>
      <c r="E62" s="37">
        <v>4.0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60">C62+K62</f>
        <v>153</v>
      </c>
      <c r="N62" s="32">
        <f t="shared" si="60"/>
        <v>3</v>
      </c>
      <c r="O62" s="43" t="s">
        <v>53</v>
      </c>
      <c r="P62" s="43" t="s">
        <v>53</v>
      </c>
      <c r="Q62" s="43"/>
      <c r="R62" s="39">
        <f>if(G62=13,1,0)+VLOOKUP(B62,'101224'!B:T,17,false)</f>
        <v>1</v>
      </c>
      <c r="S62" s="39"/>
      <c r="T62" s="39">
        <f>if(G62=9,1,0)+VLOOKUP(B62,'101224'!B:T,19,false)</f>
        <v>12</v>
      </c>
      <c r="U62" s="39">
        <f>VLOOKUP(B62,'101224'!B$5:V$70,21,false)-A62</f>
        <v>0</v>
      </c>
      <c r="V62" s="30">
        <f t="shared" si="5"/>
        <v>58</v>
      </c>
    </row>
    <row r="63">
      <c r="A63" s="30">
        <f t="shared" si="3"/>
        <v>59</v>
      </c>
      <c r="B63" s="31" t="s">
        <v>123</v>
      </c>
      <c r="C63" s="32">
        <v>144.0</v>
      </c>
      <c r="D63" s="32">
        <v>3.0</v>
      </c>
      <c r="E63" s="37">
        <v>1.0</v>
      </c>
      <c r="F63" s="39">
        <v>8.0</v>
      </c>
      <c r="G63" s="40">
        <v>0.0</v>
      </c>
      <c r="H63" s="39">
        <v>6.0</v>
      </c>
      <c r="I63" s="39">
        <v>0.0</v>
      </c>
      <c r="J63" s="39">
        <v>6.0</v>
      </c>
      <c r="K63" s="42">
        <v>12.0</v>
      </c>
      <c r="L63" s="39">
        <v>2.0</v>
      </c>
      <c r="M63" s="32">
        <f t="shared" ref="M63:N63" si="61">C63+K63</f>
        <v>156</v>
      </c>
      <c r="N63" s="32">
        <f t="shared" si="61"/>
        <v>5</v>
      </c>
      <c r="O63" s="43" t="s">
        <v>53</v>
      </c>
      <c r="P63" s="43" t="s">
        <v>53</v>
      </c>
      <c r="Q63" s="43"/>
      <c r="R63" s="39">
        <f>if(G63=13,1,0)+VLOOKUP(B63,'101224'!B:T,17,false)</f>
        <v>0</v>
      </c>
      <c r="S63" s="39"/>
      <c r="T63" s="39">
        <f>if(G63=9,1,0)+VLOOKUP(B63,'101224'!B:T,19,false)</f>
        <v>14</v>
      </c>
      <c r="U63" s="39">
        <f>VLOOKUP(B63,'101224'!B$5:V$70,21,false)-A63</f>
        <v>0</v>
      </c>
      <c r="V63" s="30">
        <f t="shared" si="5"/>
        <v>59</v>
      </c>
    </row>
    <row r="64">
      <c r="A64" s="30">
        <f t="shared" si="3"/>
        <v>60</v>
      </c>
      <c r="B64" s="51" t="s">
        <v>112</v>
      </c>
      <c r="C64" s="32">
        <v>143.0</v>
      </c>
      <c r="D64" s="32">
        <v>5.0</v>
      </c>
      <c r="E64" s="37">
        <v>1.0</v>
      </c>
      <c r="F64" s="39">
        <v>8.0</v>
      </c>
      <c r="G64" s="40">
        <v>0.0</v>
      </c>
      <c r="H64" s="39">
        <v>1.0</v>
      </c>
      <c r="I64" s="39">
        <v>6.0</v>
      </c>
      <c r="J64" s="39">
        <v>6.0</v>
      </c>
      <c r="K64" s="42">
        <v>13.0</v>
      </c>
      <c r="L64" s="39">
        <v>2.0</v>
      </c>
      <c r="M64" s="32">
        <f t="shared" ref="M64:N64" si="62">C64+K64</f>
        <v>156</v>
      </c>
      <c r="N64" s="32">
        <f t="shared" si="62"/>
        <v>7</v>
      </c>
      <c r="O64" s="43" t="s">
        <v>53</v>
      </c>
      <c r="P64" s="43" t="s">
        <v>53</v>
      </c>
      <c r="Q64" s="43"/>
      <c r="R64" s="39">
        <f>if(G64=13,1,0)+VLOOKUP(B64,'101224'!B:T,17,false)</f>
        <v>0</v>
      </c>
      <c r="S64" s="39"/>
      <c r="T64" s="39">
        <f>if(G64=9,1,0)+VLOOKUP(B64,'101224'!B:T,19,false)</f>
        <v>8</v>
      </c>
      <c r="U64" s="39">
        <f>VLOOKUP(B64,'101224'!B$5:V$70,21,false)-A64</f>
        <v>0</v>
      </c>
      <c r="V64" s="30">
        <f t="shared" si="5"/>
        <v>60</v>
      </c>
    </row>
    <row r="65">
      <c r="A65" s="30">
        <f t="shared" si="3"/>
        <v>61</v>
      </c>
      <c r="B65" s="51" t="s">
        <v>121</v>
      </c>
      <c r="C65" s="32">
        <v>140.0</v>
      </c>
      <c r="D65" s="32">
        <v>4.0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3">C65+K65</f>
        <v>149</v>
      </c>
      <c r="N65" s="32">
        <f t="shared" si="63"/>
        <v>4</v>
      </c>
      <c r="O65" s="43" t="s">
        <v>53</v>
      </c>
      <c r="P65" s="43" t="s">
        <v>53</v>
      </c>
      <c r="Q65" s="43"/>
      <c r="R65" s="39">
        <f>if(G65=13,1,0)+VLOOKUP(B65,'101224'!B:T,17,false)</f>
        <v>0</v>
      </c>
      <c r="S65" s="39"/>
      <c r="T65" s="39">
        <f>if(G65=9,1,0)+VLOOKUP(B65,'101224'!B:T,19,false)</f>
        <v>13</v>
      </c>
      <c r="U65" s="39">
        <f>VLOOKUP(B65,'101224'!B$5:V$70,21,false)-A65</f>
        <v>0</v>
      </c>
      <c r="V65" s="30">
        <f t="shared" si="5"/>
        <v>61</v>
      </c>
    </row>
    <row r="66">
      <c r="A66" s="30">
        <f t="shared" si="3"/>
        <v>62</v>
      </c>
      <c r="B66" s="51" t="s">
        <v>113</v>
      </c>
      <c r="C66" s="32">
        <v>139.0</v>
      </c>
      <c r="D66" s="32">
        <v>8.0</v>
      </c>
      <c r="E66" s="37">
        <v>1.0</v>
      </c>
      <c r="F66" s="39">
        <v>8.0</v>
      </c>
      <c r="G66" s="40">
        <v>0.0</v>
      </c>
      <c r="H66" s="39">
        <v>6.0</v>
      </c>
      <c r="I66" s="39">
        <v>6.0</v>
      </c>
      <c r="J66" s="39">
        <v>0.0</v>
      </c>
      <c r="K66" s="42">
        <v>12.0</v>
      </c>
      <c r="L66" s="39">
        <v>2.0</v>
      </c>
      <c r="M66" s="32">
        <f t="shared" ref="M66:N66" si="64">C66+K66</f>
        <v>151</v>
      </c>
      <c r="N66" s="32">
        <f t="shared" si="64"/>
        <v>10</v>
      </c>
      <c r="O66" s="43" t="s">
        <v>53</v>
      </c>
      <c r="P66" s="43" t="s">
        <v>53</v>
      </c>
      <c r="Q66" s="43"/>
      <c r="R66" s="39">
        <f>if(G66=13,1,0)+VLOOKUP(B66,'101224'!B:T,17,false)</f>
        <v>0</v>
      </c>
      <c r="S66" s="39"/>
      <c r="T66" s="39">
        <f>if(G66=9,1,0)+VLOOKUP(B66,'101224'!B:T,19,false)</f>
        <v>4</v>
      </c>
      <c r="U66" s="39">
        <f>VLOOKUP(B66,'101224'!B$5:V$70,21,false)-A66</f>
        <v>2</v>
      </c>
      <c r="V66" s="30">
        <f t="shared" si="5"/>
        <v>62</v>
      </c>
    </row>
    <row r="67">
      <c r="A67" s="30">
        <f t="shared" si="3"/>
        <v>63</v>
      </c>
      <c r="B67" s="31" t="s">
        <v>72</v>
      </c>
      <c r="C67" s="32">
        <v>139.0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5">C67+K67</f>
        <v>148</v>
      </c>
      <c r="N67" s="32">
        <f t="shared" si="65"/>
        <v>0</v>
      </c>
      <c r="O67" s="43" t="s">
        <v>53</v>
      </c>
      <c r="P67" s="43" t="s">
        <v>53</v>
      </c>
      <c r="Q67" s="43"/>
      <c r="R67" s="39">
        <f>if(G67=13,1,0)+VLOOKUP(B67,'101224'!B:T,17,false)</f>
        <v>1</v>
      </c>
      <c r="S67" s="39"/>
      <c r="T67" s="39">
        <f>if(G67=9,1,0)+VLOOKUP(B67,'101224'!B:T,19,false)</f>
        <v>15</v>
      </c>
      <c r="U67" s="39">
        <f>VLOOKUP(B67,'101224'!B$5:V$70,21,false)-A67</f>
        <v>-1</v>
      </c>
      <c r="V67" s="30">
        <f t="shared" si="5"/>
        <v>63</v>
      </c>
    </row>
    <row r="68">
      <c r="A68" s="30">
        <f t="shared" si="3"/>
        <v>64</v>
      </c>
      <c r="B68" s="31" t="s">
        <v>126</v>
      </c>
      <c r="C68" s="32">
        <v>139.0</v>
      </c>
      <c r="D68" s="32">
        <v>0.0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6">C68+K68</f>
        <v>148</v>
      </c>
      <c r="N68" s="32">
        <f t="shared" si="66"/>
        <v>0</v>
      </c>
      <c r="O68" s="43" t="s">
        <v>53</v>
      </c>
      <c r="P68" s="43" t="s">
        <v>53</v>
      </c>
      <c r="Q68" s="43"/>
      <c r="R68" s="39">
        <f>if(G68=13,1,0)+VLOOKUP(B68,'101224'!B:T,17,false)</f>
        <v>1</v>
      </c>
      <c r="S68" s="39"/>
      <c r="T68" s="39">
        <f>if(G68=9,1,0)+VLOOKUP(B68,'101224'!B:T,19,false)</f>
        <v>14</v>
      </c>
      <c r="U68" s="39">
        <f>VLOOKUP(B68,'101224'!B$5:V$70,21,false)-A68</f>
        <v>-1</v>
      </c>
      <c r="V68" s="30">
        <f t="shared" si="5"/>
        <v>64</v>
      </c>
    </row>
    <row r="69">
      <c r="A69" s="30">
        <f t="shared" si="3"/>
        <v>65</v>
      </c>
      <c r="B69" s="51" t="s">
        <v>80</v>
      </c>
      <c r="C69" s="32">
        <v>132.0</v>
      </c>
      <c r="D69" s="32">
        <v>6.0</v>
      </c>
      <c r="E69" s="37">
        <v>1.0</v>
      </c>
      <c r="F69" s="39">
        <v>8.0</v>
      </c>
      <c r="G69" s="40">
        <v>0.0</v>
      </c>
      <c r="H69" s="39">
        <v>1.0</v>
      </c>
      <c r="I69" s="39">
        <v>0.0</v>
      </c>
      <c r="J69" s="39">
        <v>0.0</v>
      </c>
      <c r="K69" s="42">
        <v>1.0</v>
      </c>
      <c r="L69" s="39">
        <v>0.0</v>
      </c>
      <c r="M69" s="32">
        <f t="shared" ref="M69:N69" si="67">C69+K69</f>
        <v>133</v>
      </c>
      <c r="N69" s="32">
        <f t="shared" si="67"/>
        <v>6</v>
      </c>
      <c r="O69" s="43" t="s">
        <v>53</v>
      </c>
      <c r="P69" s="43" t="s">
        <v>53</v>
      </c>
      <c r="Q69" s="43"/>
      <c r="R69" s="39">
        <f>if(G69=13,1,0)+VLOOKUP(B69,'101224'!B:T,17,false)</f>
        <v>0</v>
      </c>
      <c r="S69" s="39"/>
      <c r="T69" s="39">
        <f>if(G69=9,1,0)+VLOOKUP(B69,'101224'!B:T,19,false)</f>
        <v>8</v>
      </c>
      <c r="U69" s="39">
        <f>VLOOKUP(B69,'101224'!B$5:V$70,21,false)-A69</f>
        <v>0</v>
      </c>
      <c r="V69" s="30">
        <f t="shared" si="5"/>
        <v>65</v>
      </c>
    </row>
    <row r="70">
      <c r="A70" s="30">
        <f t="shared" si="3"/>
        <v>66</v>
      </c>
      <c r="B70" s="51" t="s">
        <v>74</v>
      </c>
      <c r="C70" s="32">
        <v>126.0</v>
      </c>
      <c r="D70" s="32">
        <v>0.0</v>
      </c>
      <c r="E70" s="37">
        <v>3.0</v>
      </c>
      <c r="F70" s="39">
        <v>0.0</v>
      </c>
      <c r="G70" s="40">
        <v>9.0</v>
      </c>
      <c r="H70" s="39">
        <v>0.0</v>
      </c>
      <c r="I70" s="39">
        <v>0.0</v>
      </c>
      <c r="J70" s="39">
        <v>0.0</v>
      </c>
      <c r="K70" s="42">
        <v>9.0</v>
      </c>
      <c r="L70" s="39">
        <v>0.0</v>
      </c>
      <c r="M70" s="32">
        <f t="shared" ref="M70:N70" si="68">C70+K70</f>
        <v>135</v>
      </c>
      <c r="N70" s="32">
        <f t="shared" si="68"/>
        <v>0</v>
      </c>
      <c r="O70" s="43" t="s">
        <v>53</v>
      </c>
      <c r="P70" s="43" t="s">
        <v>53</v>
      </c>
      <c r="Q70" s="43"/>
      <c r="R70" s="39">
        <f>if(G70=13,1,0)+VLOOKUP(B70,'101224'!B:T,17,false)</f>
        <v>0</v>
      </c>
      <c r="S70" s="39"/>
      <c r="T70" s="39">
        <f>if(G70=9,1,0)+VLOOKUP(B70,'101224'!B:T,19,false)</f>
        <v>16</v>
      </c>
      <c r="U70" s="39">
        <f>VLOOKUP(B70,'101224'!B$5:V$70,21,false)-A70</f>
        <v>0</v>
      </c>
      <c r="V70" s="30">
        <f t="shared" si="5"/>
        <v>66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9">COUNTA(P5:P70)</f>
        <v>65</v>
      </c>
      <c r="Q73" s="8">
        <f t="shared" si="69"/>
        <v>1</v>
      </c>
    </row>
    <row r="74">
      <c r="A74" s="11"/>
      <c r="C74" s="11"/>
      <c r="D74" s="11"/>
      <c r="E74" s="11"/>
      <c r="O74" s="7" t="s">
        <v>164</v>
      </c>
      <c r="P74" s="8">
        <f t="shared" ref="P74:Q74" si="70">P75-P73</f>
        <v>1</v>
      </c>
      <c r="Q74" s="8">
        <f t="shared" si="70"/>
        <v>65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0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1</v>
      </c>
    </row>
    <row r="80">
      <c r="A80" s="11"/>
      <c r="B80" s="51" t="str">
        <f>IFERROR(__xludf.DUMMYFUNCTION("QUERY(B5:L70,""Select B, K, L where K &gt;= 18 order by K desc, L desc"",0)"),"Lam Bui")</f>
        <v>Lam Bui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65</v>
      </c>
    </row>
    <row r="81">
      <c r="A81" s="11"/>
      <c r="B81" s="51" t="str">
        <f>IFERROR(__xludf.DUMMYFUNCTION("""COMPUTED_VALUE"""),"James Phan")</f>
        <v>James Phan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IFERROR(__xludf.DUMMYFUNCTION("""COMPUTED_VALUE"""),"Cid Macaraeg")</f>
        <v>Cid Macaraeg</v>
      </c>
      <c r="C82" s="71">
        <f>IFERROR(__xludf.DUMMYFUNCTION("""COMPUTED_VALUE"""),19.0)</f>
        <v>19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IFERROR(__xludf.DUMMYFUNCTION("""COMPUTED_VALUE"""),"Robert Chang")</f>
        <v>Robert Chang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</row>
    <row r="84">
      <c r="A84" s="11"/>
      <c r="B84" s="51"/>
      <c r="C84" s="71"/>
      <c r="D84" s="71"/>
      <c r="E84" s="11"/>
      <c r="K84" s="10"/>
    </row>
    <row r="85">
      <c r="A85" s="11"/>
      <c r="B85" s="51"/>
      <c r="C85" s="71"/>
      <c r="D85" s="71"/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/>
      <c r="C91" s="11"/>
      <c r="D91" s="11"/>
      <c r="E91" s="11"/>
    </row>
    <row r="92" ht="37.5" customHeight="1">
      <c r="A92" s="11"/>
      <c r="B92" s="66" t="s">
        <v>135</v>
      </c>
      <c r="C92" s="66" t="s">
        <v>143</v>
      </c>
      <c r="D92" s="94" t="s">
        <v>170</v>
      </c>
      <c r="E92" s="94" t="s">
        <v>171</v>
      </c>
      <c r="F92" s="66" t="s">
        <v>172</v>
      </c>
    </row>
    <row r="93">
      <c r="A93" s="11"/>
      <c r="B93" s="51" t="str">
        <f>IFERROR(__xludf.DUMMYFUNCTION("query(B5:U70,""select B, U order by U Desc Limit 10"")"),"Lam Bui")</f>
        <v>Lam Bui</v>
      </c>
      <c r="C93" s="64">
        <f>IFERROR(__xludf.DUMMYFUNCTION("""COMPUTED_VALUE"""),8.0)</f>
        <v>8</v>
      </c>
      <c r="D93" s="64">
        <f>VLOOKUP(B93,'100524'!B$5:V$70,21, false)</f>
        <v>20</v>
      </c>
      <c r="E93" s="64">
        <f t="shared" ref="E93:E102" si="71">VLOOKUP(B93,B$5:V$70,21, false)</f>
        <v>13</v>
      </c>
      <c r="F93" s="64">
        <f>VLOOKUP(B93,'101224'!B$5:V$70,10, false)</f>
        <v>18</v>
      </c>
    </row>
    <row r="94">
      <c r="A94" s="11"/>
      <c r="B94" s="51" t="str">
        <f>IFERROR(__xludf.DUMMYFUNCTION("""COMPUTED_VALUE"""),"Vinz Solano")</f>
        <v>Vinz Solano</v>
      </c>
      <c r="C94" s="64">
        <f>IFERROR(__xludf.DUMMYFUNCTION("""COMPUTED_VALUE"""),8.0)</f>
        <v>8</v>
      </c>
      <c r="D94" s="64">
        <f>VLOOKUP(B94,'100524'!B$5:V$70,21, false)</f>
        <v>61</v>
      </c>
      <c r="E94" s="64">
        <f t="shared" si="71"/>
        <v>45</v>
      </c>
      <c r="F94" s="64">
        <f>VLOOKUP(B94,'101224'!B$5:V$70,10, false)</f>
        <v>18</v>
      </c>
    </row>
    <row r="95">
      <c r="A95" s="11"/>
      <c r="B95" s="51" t="str">
        <f>IFERROR(__xludf.DUMMYFUNCTION("""COMPUTED_VALUE"""),"Peter Cheng")</f>
        <v>Peter Cheng</v>
      </c>
      <c r="C95" s="64">
        <f>IFERROR(__xludf.DUMMYFUNCTION("""COMPUTED_VALUE"""),7.0)</f>
        <v>7</v>
      </c>
      <c r="D95" s="64">
        <f>VLOOKUP(B95,'100524'!B$5:V$70,21, false)</f>
        <v>42</v>
      </c>
      <c r="E95" s="64">
        <f t="shared" si="71"/>
        <v>34</v>
      </c>
      <c r="F95" s="64">
        <f>VLOOKUP(B95,'101224'!B$5:V$70,10, false)</f>
        <v>18</v>
      </c>
      <c r="P95" s="70"/>
    </row>
    <row r="96">
      <c r="A96" s="11"/>
      <c r="B96" s="51" t="str">
        <f>IFERROR(__xludf.DUMMYFUNCTION("""COMPUTED_VALUE"""),"Erik Hoeckmann")</f>
        <v>Erik Hoeckmann</v>
      </c>
      <c r="C96" s="64">
        <f>IFERROR(__xludf.DUMMYFUNCTION("""COMPUTED_VALUE"""),6.0)</f>
        <v>6</v>
      </c>
      <c r="D96" s="64">
        <f>VLOOKUP(B96,'100524'!B$5:V$70,21, false)</f>
        <v>31</v>
      </c>
      <c r="E96" s="64">
        <f t="shared" si="71"/>
        <v>23</v>
      </c>
      <c r="F96" s="64">
        <f>VLOOKUP(B96,'101224'!B$5:V$70,10, false)</f>
        <v>18</v>
      </c>
    </row>
    <row r="97">
      <c r="A97" s="11"/>
      <c r="B97" s="51" t="str">
        <f>IFERROR(__xludf.DUMMYFUNCTION("""COMPUTED_VALUE"""),"Pulkit Mathur")</f>
        <v>Pulkit Mathur</v>
      </c>
      <c r="C97" s="64">
        <f>IFERROR(__xludf.DUMMYFUNCTION("""COMPUTED_VALUE"""),5.0)</f>
        <v>5</v>
      </c>
      <c r="D97" s="64">
        <f>VLOOKUP(B97,'100524'!B$5:V$70,21, false)</f>
        <v>34</v>
      </c>
      <c r="E97" s="64">
        <f t="shared" si="71"/>
        <v>28</v>
      </c>
      <c r="F97" s="64">
        <f>VLOOKUP(B97,'101224'!B$5:V$70,10, false)</f>
        <v>18</v>
      </c>
    </row>
    <row r="98">
      <c r="A98" s="11"/>
      <c r="B98" s="51" t="str">
        <f>IFERROR(__xludf.DUMMYFUNCTION("""COMPUTED_VALUE"""),"Sanjaye Elayattu")</f>
        <v>Sanjaye Elayattu</v>
      </c>
      <c r="C98" s="64">
        <f>IFERROR(__xludf.DUMMYFUNCTION("""COMPUTED_VALUE"""),5.0)</f>
        <v>5</v>
      </c>
      <c r="D98" s="64">
        <f>VLOOKUP(B98,'100524'!B$5:V$70,21, false)</f>
        <v>33</v>
      </c>
      <c r="E98" s="64">
        <f t="shared" si="71"/>
        <v>33</v>
      </c>
      <c r="F98" s="64">
        <f>VLOOKUP(B98,'101224'!B$5:V$70,10, false)</f>
        <v>14</v>
      </c>
    </row>
    <row r="99">
      <c r="A99" s="11"/>
      <c r="B99" s="51" t="str">
        <f>IFERROR(__xludf.DUMMYFUNCTION("""COMPUTED_VALUE"""),"Jonathan Phan")</f>
        <v>Jonathan Phan</v>
      </c>
      <c r="C99" s="64">
        <f>IFERROR(__xludf.DUMMYFUNCTION("""COMPUTED_VALUE"""),4.0)</f>
        <v>4</v>
      </c>
      <c r="D99" s="64">
        <f>VLOOKUP(B99,'100524'!B$5:V$70,21, false)</f>
        <v>4</v>
      </c>
      <c r="E99" s="64">
        <f t="shared" si="71"/>
        <v>6</v>
      </c>
      <c r="F99" s="64">
        <f>VLOOKUP(B99,'101224'!B$5:V$70,10, false)</f>
        <v>15</v>
      </c>
    </row>
    <row r="100">
      <c r="A100" s="11"/>
      <c r="B100" s="51" t="str">
        <f>IFERROR(__xludf.DUMMYFUNCTION("""COMPUTED_VALUE"""),"Balaji Alahari")</f>
        <v>Balaji Alahari</v>
      </c>
      <c r="C100" s="64">
        <f>IFERROR(__xludf.DUMMYFUNCTION("""COMPUTED_VALUE"""),4.0)</f>
        <v>4</v>
      </c>
      <c r="D100" s="64">
        <f>VLOOKUP(B100,'100524'!B$5:V$70,21, false)</f>
        <v>45</v>
      </c>
      <c r="E100" s="64">
        <f t="shared" si="71"/>
        <v>43</v>
      </c>
      <c r="F100" s="64">
        <f>VLOOKUP(B100,'101224'!B$5:V$70,10, false)</f>
        <v>13</v>
      </c>
    </row>
    <row r="101">
      <c r="A101" s="11"/>
      <c r="B101" s="51" t="str">
        <f>IFERROR(__xludf.DUMMYFUNCTION("""COMPUTED_VALUE"""),"Luis Hsu")</f>
        <v>Luis Hsu</v>
      </c>
      <c r="C101" s="64">
        <f>IFERROR(__xludf.DUMMYFUNCTION("""COMPUTED_VALUE"""),2.0)</f>
        <v>2</v>
      </c>
      <c r="D101" s="64">
        <f>VLOOKUP(B101,'100524'!B$5:V$70,21, false)</f>
        <v>3</v>
      </c>
      <c r="E101" s="64">
        <f t="shared" si="71"/>
        <v>5</v>
      </c>
      <c r="F101" s="64">
        <f>VLOOKUP(B101,'101224'!B$5:V$70,10, false)</f>
        <v>16</v>
      </c>
    </row>
    <row r="102">
      <c r="A102" s="11"/>
      <c r="B102" s="51" t="str">
        <f>IFERROR(__xludf.DUMMYFUNCTION("""COMPUTED_VALUE"""),"Arun Mallikarjuna")</f>
        <v>Arun Mallikarjuna</v>
      </c>
      <c r="C102" s="64">
        <f>IFERROR(__xludf.DUMMYFUNCTION("""COMPUTED_VALUE"""),2.0)</f>
        <v>2</v>
      </c>
      <c r="D102" s="64">
        <f>VLOOKUP(B102,'100524'!B$5:V$70,21, false)</f>
        <v>17</v>
      </c>
      <c r="E102" s="64">
        <f t="shared" si="71"/>
        <v>11</v>
      </c>
      <c r="F102" s="64">
        <f>VLOOKUP(B102,'101224'!B$5:V$70,10, false)</f>
        <v>18</v>
      </c>
    </row>
    <row r="103">
      <c r="A103" s="11"/>
      <c r="B103" s="10"/>
      <c r="C103" s="11"/>
      <c r="E103" s="11"/>
    </row>
    <row r="104">
      <c r="A104" s="11"/>
      <c r="B104" s="10"/>
      <c r="C104" s="11"/>
      <c r="E104" s="11"/>
    </row>
    <row r="105">
      <c r="A105" s="11"/>
      <c r="B105" s="62" t="s">
        <v>142</v>
      </c>
      <c r="C105" s="62" t="s">
        <v>143</v>
      </c>
      <c r="D105" s="94" t="s">
        <v>170</v>
      </c>
      <c r="E105" s="94" t="s">
        <v>171</v>
      </c>
      <c r="F105" s="66" t="s">
        <v>172</v>
      </c>
    </row>
    <row r="106">
      <c r="A106" s="11"/>
      <c r="B106" s="51" t="str">
        <f>IFERROR(__xludf.DUMMYFUNCTION("query(B5:U70,""select B, U order by U asc Limit 10"")"),"James Phan")</f>
        <v>James Phan</v>
      </c>
      <c r="C106" s="64">
        <f>IFERROR(__xludf.DUMMYFUNCTION("""COMPUTED_VALUE"""),-7.0)</f>
        <v>-7</v>
      </c>
      <c r="D106" s="64">
        <f>VLOOKUP(B106,'100524'!B$5:V$70,21, false)</f>
        <v>12</v>
      </c>
      <c r="E106" s="64">
        <f t="shared" ref="E106:E115" si="72">VLOOKUP(B106,B$5:V$70,21, false)</f>
        <v>19</v>
      </c>
      <c r="F106" s="64">
        <f>VLOOKUP(B106,'101224'!B$5:V$70,10, false)</f>
        <v>9</v>
      </c>
    </row>
    <row r="107">
      <c r="A107" s="11"/>
      <c r="B107" s="51" t="str">
        <f>IFERROR(__xludf.DUMMYFUNCTION("""COMPUTED_VALUE"""),"Jimmy Awolesi")</f>
        <v>Jimmy Awolesi</v>
      </c>
      <c r="C107" s="64">
        <f>IFERROR(__xludf.DUMMYFUNCTION("""COMPUTED_VALUE"""),-7.0)</f>
        <v>-7</v>
      </c>
      <c r="D107" s="64">
        <f>VLOOKUP(B107,'100524'!B$5:V$70,21, false)</f>
        <v>32</v>
      </c>
      <c r="E107" s="64">
        <f t="shared" si="72"/>
        <v>39</v>
      </c>
      <c r="F107" s="64">
        <f>VLOOKUP(B107,'101224'!B$5:V$70,10, false)</f>
        <v>7</v>
      </c>
    </row>
    <row r="108">
      <c r="A108" s="11"/>
      <c r="B108" s="51" t="str">
        <f>IFERROR(__xludf.DUMMYFUNCTION("""COMPUTED_VALUE"""),"Alejandro Mejia")</f>
        <v>Alejandro Mejia</v>
      </c>
      <c r="C108" s="64">
        <f>IFERROR(__xludf.DUMMYFUNCTION("""COMPUTED_VALUE"""),-4.0)</f>
        <v>-4</v>
      </c>
      <c r="D108" s="64">
        <f>VLOOKUP(B108,'100524'!B$5:V$70,21, false)</f>
        <v>11</v>
      </c>
      <c r="E108" s="64">
        <f t="shared" si="72"/>
        <v>9</v>
      </c>
      <c r="F108" s="64">
        <f>VLOOKUP(B108,'101224'!B$5:V$70,10, false)</f>
        <v>9</v>
      </c>
    </row>
    <row r="109">
      <c r="A109" s="11"/>
      <c r="B109" s="51" t="str">
        <f>IFERROR(__xludf.DUMMYFUNCTION("""COMPUTED_VALUE"""),"Frank Moon")</f>
        <v>Frank Moon</v>
      </c>
      <c r="C109" s="64">
        <f>IFERROR(__xludf.DUMMYFUNCTION("""COMPUTED_VALUE"""),-4.0)</f>
        <v>-4</v>
      </c>
      <c r="D109" s="64">
        <f>VLOOKUP(B109,'100524'!B$5:V$70,21, false)</f>
        <v>9</v>
      </c>
      <c r="E109" s="64">
        <f t="shared" si="72"/>
        <v>10</v>
      </c>
      <c r="F109" s="64">
        <f>VLOOKUP(B109,'101224'!B$5:V$70,10, false)</f>
        <v>9</v>
      </c>
    </row>
    <row r="110">
      <c r="A110" s="11"/>
      <c r="B110" s="51" t="str">
        <f>IFERROR(__xludf.DUMMYFUNCTION("""COMPUTED_VALUE"""),"Pavan Akkimsetty")</f>
        <v>Pavan Akkimsetty</v>
      </c>
      <c r="C110" s="64">
        <f>IFERROR(__xludf.DUMMYFUNCTION("""COMPUTED_VALUE"""),-4.0)</f>
        <v>-4</v>
      </c>
      <c r="D110" s="64">
        <f>VLOOKUP(B110,'100524'!B$5:V$70,21, false)</f>
        <v>15</v>
      </c>
      <c r="E110" s="64">
        <f t="shared" si="72"/>
        <v>21</v>
      </c>
      <c r="F110" s="64">
        <f>VLOOKUP(B110,'101224'!B$5:V$70,10, false)</f>
        <v>9</v>
      </c>
    </row>
    <row r="111">
      <c r="A111" s="11"/>
      <c r="B111" s="51" t="str">
        <f>IFERROR(__xludf.DUMMYFUNCTION("""COMPUTED_VALUE"""),"Chinna Ponnaganti")</f>
        <v>Chinna Ponnaganti</v>
      </c>
      <c r="C111" s="64">
        <f>IFERROR(__xludf.DUMMYFUNCTION("""COMPUTED_VALUE"""),-3.0)</f>
        <v>-3</v>
      </c>
      <c r="D111" s="64">
        <f>VLOOKUP(B111,'100524'!B$5:V$70,21, false)</f>
        <v>40</v>
      </c>
      <c r="E111" s="64">
        <f t="shared" si="72"/>
        <v>38</v>
      </c>
      <c r="F111" s="64">
        <f>VLOOKUP(B111,'101224'!B$5:V$70,10, false)</f>
        <v>9</v>
      </c>
    </row>
    <row r="112">
      <c r="A112" s="11"/>
      <c r="B112" s="51" t="str">
        <f>IFERROR(__xludf.DUMMYFUNCTION("""COMPUTED_VALUE"""),"Ramesh Bandaru")</f>
        <v>Ramesh Bandaru</v>
      </c>
      <c r="C112" s="64">
        <f>IFERROR(__xludf.DUMMYFUNCTION("""COMPUTED_VALUE"""),-2.0)</f>
        <v>-2</v>
      </c>
      <c r="D112" s="64">
        <f>VLOOKUP(B112,'100524'!B$5:V$70,21, false)</f>
        <v>26</v>
      </c>
      <c r="E112" s="64">
        <f t="shared" si="72"/>
        <v>25</v>
      </c>
      <c r="F112" s="64">
        <f>VLOOKUP(B112,'101224'!B$5:V$70,10, false)</f>
        <v>9</v>
      </c>
    </row>
    <row r="113">
      <c r="A113" s="11"/>
      <c r="B113" s="51" t="str">
        <f>IFERROR(__xludf.DUMMYFUNCTION("""COMPUTED_VALUE"""),"Cid Macaraeg")</f>
        <v>Cid Macaraeg</v>
      </c>
      <c r="C113" s="64">
        <f>IFERROR(__xludf.DUMMYFUNCTION("""COMPUTED_VALUE"""),-2.0)</f>
        <v>-2</v>
      </c>
      <c r="D113" s="64">
        <f>VLOOKUP(B113,'100524'!B$5:V$70,21, false)</f>
        <v>23</v>
      </c>
      <c r="E113" s="64">
        <f t="shared" si="72"/>
        <v>26</v>
      </c>
      <c r="F113" s="64">
        <f>VLOOKUP(B113,'101224'!B$5:V$70,10, false)</f>
        <v>9</v>
      </c>
    </row>
    <row r="114">
      <c r="A114" s="11"/>
      <c r="B114" s="51" t="str">
        <f>IFERROR(__xludf.DUMMYFUNCTION("""COMPUTED_VALUE"""),"Robert Chang")</f>
        <v>Robert Chang</v>
      </c>
      <c r="C114" s="64">
        <f>IFERROR(__xludf.DUMMYFUNCTION("""COMPUTED_VALUE"""),-2.0)</f>
        <v>-2</v>
      </c>
      <c r="D114" s="64">
        <f>VLOOKUP(B114,'100524'!B$5:V$70,21, false)</f>
        <v>25</v>
      </c>
      <c r="E114" s="64">
        <f t="shared" si="72"/>
        <v>27</v>
      </c>
      <c r="F114" s="64">
        <f>VLOOKUP(B114,'101224'!B$5:V$70,10, false)</f>
        <v>9</v>
      </c>
    </row>
    <row r="115">
      <c r="A115" s="11"/>
      <c r="B115" s="51" t="str">
        <f>IFERROR(__xludf.DUMMYFUNCTION("""COMPUTED_VALUE"""),"Oscar Bonilla")</f>
        <v>Oscar Bonilla</v>
      </c>
      <c r="C115" s="64">
        <f>IFERROR(__xludf.DUMMYFUNCTION("""COMPUTED_VALUE"""),-2.0)</f>
        <v>-2</v>
      </c>
      <c r="D115" s="64">
        <f>VLOOKUP(B115,'100524'!B$5:V$70,21, false)</f>
        <v>24</v>
      </c>
      <c r="E115" s="64">
        <f t="shared" si="72"/>
        <v>29</v>
      </c>
      <c r="F115" s="64">
        <f>VLOOKUP(B115,'101224'!B$5:V$70,10, false)</f>
        <v>9</v>
      </c>
    </row>
    <row r="116">
      <c r="A116" s="11"/>
      <c r="B116" s="10"/>
      <c r="C116" s="11"/>
      <c r="E116" s="11"/>
    </row>
    <row r="117">
      <c r="A117" s="11"/>
      <c r="B117" s="10"/>
      <c r="C117" s="11"/>
      <c r="E117" s="11"/>
    </row>
    <row r="118">
      <c r="A118" s="11"/>
      <c r="B118" s="10"/>
      <c r="C118" s="11"/>
      <c r="E118" s="11"/>
    </row>
    <row r="119">
      <c r="A119" s="11"/>
      <c r="B119" s="10"/>
      <c r="C119" s="11"/>
      <c r="E119" s="11"/>
    </row>
    <row r="120">
      <c r="A120" s="11"/>
      <c r="B120" s="10"/>
      <c r="C120" s="11"/>
      <c r="D120" s="11"/>
      <c r="E120" s="11"/>
    </row>
    <row r="121">
      <c r="A121" s="11"/>
      <c r="B121" s="10"/>
      <c r="C121" s="11"/>
      <c r="D121" s="11"/>
      <c r="E121" s="11"/>
    </row>
    <row r="122">
      <c r="A122" s="11"/>
      <c r="B122" s="10"/>
      <c r="C122" s="11"/>
      <c r="D122" s="11"/>
      <c r="E122" s="11"/>
    </row>
    <row r="123">
      <c r="A123" s="11"/>
      <c r="B123" s="10"/>
      <c r="C123" s="11"/>
      <c r="D123" s="11"/>
      <c r="E123" s="11"/>
    </row>
    <row r="124">
      <c r="A124" s="11"/>
      <c r="B124" s="10"/>
      <c r="C124" s="11"/>
      <c r="D124" s="11"/>
      <c r="E124" s="11"/>
    </row>
    <row r="125">
      <c r="A125" s="11"/>
      <c r="B125" s="10"/>
      <c r="C125" s="11"/>
      <c r="D125" s="11"/>
      <c r="E125" s="11"/>
    </row>
    <row r="126">
      <c r="A126" s="11"/>
      <c r="B126" s="10"/>
      <c r="C126" s="11"/>
      <c r="D126" s="11"/>
      <c r="E126" s="11"/>
    </row>
    <row r="127">
      <c r="A127" s="11"/>
      <c r="B127" s="10"/>
      <c r="C127" s="11"/>
      <c r="D127" s="11"/>
      <c r="E127" s="11"/>
    </row>
    <row r="128">
      <c r="A128" s="11"/>
      <c r="B128" s="10"/>
      <c r="C128" s="11"/>
      <c r="D128" s="11"/>
      <c r="E128" s="11"/>
    </row>
    <row r="129">
      <c r="A129" s="11"/>
      <c r="B129" s="10" t="s">
        <v>165</v>
      </c>
      <c r="C129" s="11"/>
      <c r="D129" s="11"/>
      <c r="E129" s="11"/>
    </row>
    <row r="130">
      <c r="A130" s="11"/>
      <c r="B130" s="27" t="s">
        <v>31</v>
      </c>
      <c r="C130" s="29" t="s">
        <v>2</v>
      </c>
      <c r="D130" s="29" t="s">
        <v>4</v>
      </c>
      <c r="E130" s="29" t="s">
        <v>33</v>
      </c>
      <c r="F130" s="29" t="s">
        <v>35</v>
      </c>
      <c r="G130" s="29" t="s">
        <v>36</v>
      </c>
      <c r="H130" s="29" t="s">
        <v>6</v>
      </c>
      <c r="I130" s="29" t="s">
        <v>7</v>
      </c>
      <c r="J130" s="29" t="s">
        <v>8</v>
      </c>
      <c r="K130" s="29" t="s">
        <v>2</v>
      </c>
      <c r="L130" s="29" t="s">
        <v>4</v>
      </c>
      <c r="M130" s="28" t="s">
        <v>2</v>
      </c>
      <c r="N130" s="28" t="s">
        <v>4</v>
      </c>
    </row>
    <row r="131">
      <c r="A131" s="11"/>
      <c r="B131" s="82" t="str">
        <f>IFERROR(__xludf.DUMMYFUNCTION("QUERY(B5:N70, ""Select B, C, D, E, F, G, H, I, J, K, L, M, N   where F &gt;= 1"")"),"Adrian Tay")</f>
        <v>Adrian Tay</v>
      </c>
      <c r="C131" s="87">
        <f>IFERROR(__xludf.DUMMYFUNCTION("""COMPUTED_VALUE"""),237.0)</f>
        <v>237</v>
      </c>
      <c r="D131" s="87">
        <f>IFERROR(__xludf.DUMMYFUNCTION("""COMPUTED_VALUE"""),27.0)</f>
        <v>27</v>
      </c>
      <c r="E131" s="86">
        <f>IFERROR(__xludf.DUMMYFUNCTION("""COMPUTED_VALUE"""),1.0)</f>
        <v>1</v>
      </c>
      <c r="F131" s="88">
        <f>IFERROR(__xludf.DUMMYFUNCTION("""COMPUTED_VALUE"""),1.0)</f>
        <v>1</v>
      </c>
      <c r="G131" s="88">
        <f>IFERROR(__xludf.DUMMYFUNCTION("""COMPUTED_VALUE"""),0.0)</f>
        <v>0</v>
      </c>
      <c r="H131" s="88">
        <f>IFERROR(__xludf.DUMMYFUNCTION("""COMPUTED_VALUE"""),4.0)</f>
        <v>4</v>
      </c>
      <c r="I131" s="88">
        <f>IFERROR(__xludf.DUMMYFUNCTION("""COMPUTED_VALUE"""),6.0)</f>
        <v>6</v>
      </c>
      <c r="J131" s="88">
        <f>IFERROR(__xludf.DUMMYFUNCTION("""COMPUTED_VALUE"""),6.0)</f>
        <v>6</v>
      </c>
      <c r="K131" s="88">
        <f>IFERROR(__xludf.DUMMYFUNCTION("""COMPUTED_VALUE"""),16.0)</f>
        <v>16</v>
      </c>
      <c r="L131" s="88">
        <f>IFERROR(__xludf.DUMMYFUNCTION("""COMPUTED_VALUE"""),2.0)</f>
        <v>2</v>
      </c>
      <c r="M131" s="89">
        <f>IFERROR(__xludf.DUMMYFUNCTION("""COMPUTED_VALUE"""),253.0)</f>
        <v>253</v>
      </c>
      <c r="N131" s="89">
        <f>IFERROR(__xludf.DUMMYFUNCTION("""COMPUTED_VALUE"""),29.0)</f>
        <v>29</v>
      </c>
    </row>
    <row r="132">
      <c r="A132" s="11"/>
      <c r="B132" s="82" t="str">
        <f>IFERROR(__xludf.DUMMYFUNCTION("""COMPUTED_VALUE"""),"Christopher Li")</f>
        <v>Christopher Li</v>
      </c>
      <c r="C132" s="87">
        <f>IFERROR(__xludf.DUMMYFUNCTION("""COMPUTED_VALUE"""),211.0)</f>
        <v>211</v>
      </c>
      <c r="D132" s="87">
        <f>IFERROR(__xludf.DUMMYFUNCTION("""COMPUTED_VALUE"""),21.0)</f>
        <v>21</v>
      </c>
      <c r="E132" s="86">
        <f>IFERROR(__xludf.DUMMYFUNCTION("""COMPUTED_VALUE"""),1.0)</f>
        <v>1</v>
      </c>
      <c r="F132" s="88">
        <f>IFERROR(__xludf.DUMMYFUNCTION("""COMPUTED_VALUE"""),1.0)</f>
        <v>1</v>
      </c>
      <c r="G132" s="88">
        <f>IFERROR(__xludf.DUMMYFUNCTION("""COMPUTED_VALUE"""),0.0)</f>
        <v>0</v>
      </c>
      <c r="H132" s="88">
        <f>IFERROR(__xludf.DUMMYFUNCTION("""COMPUTED_VALUE"""),6.0)</f>
        <v>6</v>
      </c>
      <c r="I132" s="88">
        <f>IFERROR(__xludf.DUMMYFUNCTION("""COMPUTED_VALUE"""),6.0)</f>
        <v>6</v>
      </c>
      <c r="J132" s="88">
        <f>IFERROR(__xludf.DUMMYFUNCTION("""COMPUTED_VALUE"""),3.0)</f>
        <v>3</v>
      </c>
      <c r="K132" s="88">
        <f>IFERROR(__xludf.DUMMYFUNCTION("""COMPUTED_VALUE"""),15.0)</f>
        <v>15</v>
      </c>
      <c r="L132" s="88">
        <f>IFERROR(__xludf.DUMMYFUNCTION("""COMPUTED_VALUE"""),2.0)</f>
        <v>2</v>
      </c>
      <c r="M132" s="89">
        <f>IFERROR(__xludf.DUMMYFUNCTION("""COMPUTED_VALUE"""),226.0)</f>
        <v>226</v>
      </c>
      <c r="N132" s="89">
        <f>IFERROR(__xludf.DUMMYFUNCTION("""COMPUTED_VALUE"""),23.0)</f>
        <v>23</v>
      </c>
    </row>
    <row r="133">
      <c r="A133" s="11"/>
      <c r="B133" s="82" t="str">
        <f>IFERROR(__xludf.DUMMYFUNCTION("""COMPUTED_VALUE"""),"Alejandro Mejia")</f>
        <v>Alejandro Mejia</v>
      </c>
      <c r="C133" s="87">
        <f>IFERROR(__xludf.DUMMYFUNCTION("""COMPUTED_VALUE"""),196.0)</f>
        <v>196</v>
      </c>
      <c r="D133" s="87">
        <f>IFERROR(__xludf.DUMMYFUNCTION("""COMPUTED_VALUE"""),22.0)</f>
        <v>22</v>
      </c>
      <c r="E133" s="86">
        <f>IFERROR(__xludf.DUMMYFUNCTION("""COMPUTED_VALUE"""),1.0)</f>
        <v>1</v>
      </c>
      <c r="F133" s="88">
        <f>IFERROR(__xludf.DUMMYFUNCTION("""COMPUTED_VALUE"""),1.0)</f>
        <v>1</v>
      </c>
      <c r="G133" s="88">
        <f>IFERROR(__xludf.DUMMYFUNCTION("""COMPUTED_VALUE"""),0.0)</f>
        <v>0</v>
      </c>
      <c r="H133" s="88">
        <f>IFERROR(__xludf.DUMMYFUNCTION("""COMPUTED_VALUE"""),6.0)</f>
        <v>6</v>
      </c>
      <c r="I133" s="88">
        <f>IFERROR(__xludf.DUMMYFUNCTION("""COMPUTED_VALUE"""),0.0)</f>
        <v>0</v>
      </c>
      <c r="J133" s="88">
        <f>IFERROR(__xludf.DUMMYFUNCTION("""COMPUTED_VALUE"""),6.0)</f>
        <v>6</v>
      </c>
      <c r="K133" s="88">
        <f>IFERROR(__xludf.DUMMYFUNCTION("""COMPUTED_VALUE"""),12.0)</f>
        <v>12</v>
      </c>
      <c r="L133" s="88">
        <f>IFERROR(__xludf.DUMMYFUNCTION("""COMPUTED_VALUE"""),2.0)</f>
        <v>2</v>
      </c>
      <c r="M133" s="89">
        <f>IFERROR(__xludf.DUMMYFUNCTION("""COMPUTED_VALUE"""),208.0)</f>
        <v>208</v>
      </c>
      <c r="N133" s="89">
        <f>IFERROR(__xludf.DUMMYFUNCTION("""COMPUTED_VALUE"""),24.0)</f>
        <v>24</v>
      </c>
    </row>
    <row r="134">
      <c r="A134" s="11"/>
      <c r="B134" s="82" t="str">
        <f>IFERROR(__xludf.DUMMYFUNCTION("""COMPUTED_VALUE"""),"Frank Moon")</f>
        <v>Frank Moon</v>
      </c>
      <c r="C134" s="87">
        <f>IFERROR(__xludf.DUMMYFUNCTION("""COMPUTED_VALUE"""),195.0)</f>
        <v>195</v>
      </c>
      <c r="D134" s="87">
        <f>IFERROR(__xludf.DUMMYFUNCTION("""COMPUTED_VALUE"""),18.0)</f>
        <v>18</v>
      </c>
      <c r="E134" s="86">
        <f>IFERROR(__xludf.DUMMYFUNCTION("""COMPUTED_VALUE"""),1.0)</f>
        <v>1</v>
      </c>
      <c r="F134" s="88">
        <f>IFERROR(__xludf.DUMMYFUNCTION("""COMPUTED_VALUE"""),1.0)</f>
        <v>1</v>
      </c>
      <c r="G134" s="88">
        <f>IFERROR(__xludf.DUMMYFUNCTION("""COMPUTED_VALUE"""),0.0)</f>
        <v>0</v>
      </c>
      <c r="H134" s="88">
        <f>IFERROR(__xludf.DUMMYFUNCTION("""COMPUTED_VALUE"""),4.0)</f>
        <v>4</v>
      </c>
      <c r="I134" s="88">
        <f>IFERROR(__xludf.DUMMYFUNCTION("""COMPUTED_VALUE"""),0.0)</f>
        <v>0</v>
      </c>
      <c r="J134" s="88">
        <f>IFERROR(__xludf.DUMMYFUNCTION("""COMPUTED_VALUE"""),3.0)</f>
        <v>3</v>
      </c>
      <c r="K134" s="88">
        <f>IFERROR(__xludf.DUMMYFUNCTION("""COMPUTED_VALUE"""),7.0)</f>
        <v>7</v>
      </c>
      <c r="L134" s="88">
        <f>IFERROR(__xludf.DUMMYFUNCTION("""COMPUTED_VALUE"""),0.0)</f>
        <v>0</v>
      </c>
      <c r="M134" s="89">
        <f>IFERROR(__xludf.DUMMYFUNCTION("""COMPUTED_VALUE"""),202.0)</f>
        <v>202</v>
      </c>
      <c r="N134" s="89">
        <f>IFERROR(__xludf.DUMMYFUNCTION("""COMPUTED_VALUE"""),18.0)</f>
        <v>18</v>
      </c>
    </row>
    <row r="135">
      <c r="A135" s="11"/>
      <c r="B135" s="84" t="str">
        <f>IFERROR(__xludf.DUMMYFUNCTION("""COMPUTED_VALUE"""),"Arun Mallikarjuna")</f>
        <v>Arun Mallikarjuna</v>
      </c>
      <c r="C135" s="95">
        <f>IFERROR(__xludf.DUMMYFUNCTION("""COMPUTED_VALUE"""),195.0)</f>
        <v>195</v>
      </c>
      <c r="D135" s="95">
        <f>IFERROR(__xludf.DUMMYFUNCTION("""COMPUTED_VALUE"""),17.0)</f>
        <v>17</v>
      </c>
      <c r="E135" s="96">
        <f>IFERROR(__xludf.DUMMYFUNCTION("""COMPUTED_VALUE"""),1.0)</f>
        <v>1</v>
      </c>
      <c r="F135" s="97">
        <f>IFERROR(__xludf.DUMMYFUNCTION("""COMPUTED_VALUE"""),2.0)</f>
        <v>2</v>
      </c>
      <c r="G135" s="97">
        <f>IFERROR(__xludf.DUMMYFUNCTION("""COMPUTED_VALUE"""),0.0)</f>
        <v>0</v>
      </c>
      <c r="H135" s="97">
        <f>IFERROR(__xludf.DUMMYFUNCTION("""COMPUTED_VALUE"""),6.0)</f>
        <v>6</v>
      </c>
      <c r="I135" s="97">
        <f>IFERROR(__xludf.DUMMYFUNCTION("""COMPUTED_VALUE"""),3.0)</f>
        <v>3</v>
      </c>
      <c r="J135" s="97">
        <f>IFERROR(__xludf.DUMMYFUNCTION("""COMPUTED_VALUE"""),6.0)</f>
        <v>6</v>
      </c>
      <c r="K135" s="97">
        <f>IFERROR(__xludf.DUMMYFUNCTION("""COMPUTED_VALUE"""),15.0)</f>
        <v>15</v>
      </c>
      <c r="L135" s="97">
        <f>IFERROR(__xludf.DUMMYFUNCTION("""COMPUTED_VALUE"""),1.0)</f>
        <v>1</v>
      </c>
      <c r="M135" s="98">
        <f>IFERROR(__xludf.DUMMYFUNCTION("""COMPUTED_VALUE"""),210.0)</f>
        <v>210</v>
      </c>
      <c r="N135" s="98">
        <f>IFERROR(__xludf.DUMMYFUNCTION("""COMPUTED_VALUE"""),18.0)</f>
        <v>18</v>
      </c>
    </row>
    <row r="136">
      <c r="A136" s="11"/>
      <c r="B136" s="84" t="str">
        <f>IFERROR(__xludf.DUMMYFUNCTION("""COMPUTED_VALUE"""),"Lam Bui")</f>
        <v>Lam Bui</v>
      </c>
      <c r="C136" s="95">
        <f>IFERROR(__xludf.DUMMYFUNCTION("""COMPUTED_VALUE"""),193.0)</f>
        <v>193</v>
      </c>
      <c r="D136" s="95">
        <f>IFERROR(__xludf.DUMMYFUNCTION("""COMPUTED_VALUE"""),16.0)</f>
        <v>16</v>
      </c>
      <c r="E136" s="96">
        <f>IFERROR(__xludf.DUMMYFUNCTION("""COMPUTED_VALUE"""),2.0)</f>
        <v>2</v>
      </c>
      <c r="F136" s="97">
        <f>IFERROR(__xludf.DUMMYFUNCTION("""COMPUTED_VALUE"""),2.0)</f>
        <v>2</v>
      </c>
      <c r="G136" s="97">
        <f>IFERROR(__xludf.DUMMYFUNCTION("""COMPUTED_VALUE"""),0.0)</f>
        <v>0</v>
      </c>
      <c r="H136" s="97">
        <f>IFERROR(__xludf.DUMMYFUNCTION("""COMPUTED_VALUE"""),6.0)</f>
        <v>6</v>
      </c>
      <c r="I136" s="97">
        <f>IFERROR(__xludf.DUMMYFUNCTION("""COMPUTED_VALUE"""),6.0)</f>
        <v>6</v>
      </c>
      <c r="J136" s="97">
        <f>IFERROR(__xludf.DUMMYFUNCTION("""COMPUTED_VALUE"""),7.0)</f>
        <v>7</v>
      </c>
      <c r="K136" s="97">
        <f>IFERROR(__xludf.DUMMYFUNCTION("""COMPUTED_VALUE"""),19.0)</f>
        <v>19</v>
      </c>
      <c r="L136" s="97">
        <f>IFERROR(__xludf.DUMMYFUNCTION("""COMPUTED_VALUE"""),3.0)</f>
        <v>3</v>
      </c>
      <c r="M136" s="98">
        <f>IFERROR(__xludf.DUMMYFUNCTION("""COMPUTED_VALUE"""),212.0)</f>
        <v>212</v>
      </c>
      <c r="N136" s="98">
        <f>IFERROR(__xludf.DUMMYFUNCTION("""COMPUTED_VALUE"""),19.0)</f>
        <v>19</v>
      </c>
    </row>
    <row r="137">
      <c r="A137" s="11"/>
      <c r="B137" s="84" t="str">
        <f>IFERROR(__xludf.DUMMYFUNCTION("""COMPUTED_VALUE"""),"Joe Luzzi")</f>
        <v>Joe Luzzi</v>
      </c>
      <c r="C137" s="95">
        <f>IFERROR(__xludf.DUMMYFUNCTION("""COMPUTED_VALUE"""),191.0)</f>
        <v>191</v>
      </c>
      <c r="D137" s="95">
        <f>IFERROR(__xludf.DUMMYFUNCTION("""COMPUTED_VALUE"""),13.0)</f>
        <v>13</v>
      </c>
      <c r="E137" s="96">
        <f>IFERROR(__xludf.DUMMYFUNCTION("""COMPUTED_VALUE"""),1.0)</f>
        <v>1</v>
      </c>
      <c r="F137" s="97">
        <f>IFERROR(__xludf.DUMMYFUNCTION("""COMPUTED_VALUE"""),2.0)</f>
        <v>2</v>
      </c>
      <c r="G137" s="97">
        <f>IFERROR(__xludf.DUMMYFUNCTION("""COMPUTED_VALUE"""),0.0)</f>
        <v>0</v>
      </c>
      <c r="H137" s="97">
        <f>IFERROR(__xludf.DUMMYFUNCTION("""COMPUTED_VALUE"""),4.0)</f>
        <v>4</v>
      </c>
      <c r="I137" s="97">
        <f>IFERROR(__xludf.DUMMYFUNCTION("""COMPUTED_VALUE"""),3.0)</f>
        <v>3</v>
      </c>
      <c r="J137" s="97">
        <f>IFERROR(__xludf.DUMMYFUNCTION("""COMPUTED_VALUE"""),7.0)</f>
        <v>7</v>
      </c>
      <c r="K137" s="97">
        <f>IFERROR(__xludf.DUMMYFUNCTION("""COMPUTED_VALUE"""),14.0)</f>
        <v>14</v>
      </c>
      <c r="L137" s="97">
        <f>IFERROR(__xludf.DUMMYFUNCTION("""COMPUTED_VALUE"""),1.0)</f>
        <v>1</v>
      </c>
      <c r="M137" s="98">
        <f>IFERROR(__xludf.DUMMYFUNCTION("""COMPUTED_VALUE"""),205.0)</f>
        <v>205</v>
      </c>
      <c r="N137" s="98">
        <f>IFERROR(__xludf.DUMMYFUNCTION("""COMPUTED_VALUE"""),14.0)</f>
        <v>14</v>
      </c>
    </row>
    <row r="138">
      <c r="A138" s="11"/>
      <c r="B138" s="84" t="str">
        <f>IFERROR(__xludf.DUMMYFUNCTION("""COMPUTED_VALUE"""),"David Shin")</f>
        <v>David Shin</v>
      </c>
      <c r="C138" s="95">
        <f>IFERROR(__xludf.DUMMYFUNCTION("""COMPUTED_VALUE"""),188.0)</f>
        <v>188</v>
      </c>
      <c r="D138" s="95">
        <f>IFERROR(__xludf.DUMMYFUNCTION("""COMPUTED_VALUE"""),15.0)</f>
        <v>15</v>
      </c>
      <c r="E138" s="96">
        <f>IFERROR(__xludf.DUMMYFUNCTION("""COMPUTED_VALUE"""),2.0)</f>
        <v>2</v>
      </c>
      <c r="F138" s="97">
        <f>IFERROR(__xludf.DUMMYFUNCTION("""COMPUTED_VALUE"""),2.0)</f>
        <v>2</v>
      </c>
      <c r="G138" s="97">
        <f>IFERROR(__xludf.DUMMYFUNCTION("""COMPUTED_VALUE"""),0.0)</f>
        <v>0</v>
      </c>
      <c r="H138" s="97">
        <f>IFERROR(__xludf.DUMMYFUNCTION("""COMPUTED_VALUE"""),4.0)</f>
        <v>4</v>
      </c>
      <c r="I138" s="97">
        <f>IFERROR(__xludf.DUMMYFUNCTION("""COMPUTED_VALUE"""),6.0)</f>
        <v>6</v>
      </c>
      <c r="J138" s="97">
        <f>IFERROR(__xludf.DUMMYFUNCTION("""COMPUTED_VALUE"""),6.0)</f>
        <v>6</v>
      </c>
      <c r="K138" s="97">
        <f>IFERROR(__xludf.DUMMYFUNCTION("""COMPUTED_VALUE"""),16.0)</f>
        <v>16</v>
      </c>
      <c r="L138" s="97">
        <f>IFERROR(__xludf.DUMMYFUNCTION("""COMPUTED_VALUE"""),1.0)</f>
        <v>1</v>
      </c>
      <c r="M138" s="98">
        <f>IFERROR(__xludf.DUMMYFUNCTION("""COMPUTED_VALUE"""),204.0)</f>
        <v>204</v>
      </c>
      <c r="N138" s="98">
        <f>IFERROR(__xludf.DUMMYFUNCTION("""COMPUTED_VALUE"""),16.0)</f>
        <v>16</v>
      </c>
    </row>
    <row r="139">
      <c r="A139" s="11"/>
      <c r="B139" s="84" t="str">
        <f>IFERROR(__xludf.DUMMYFUNCTION("""COMPUTED_VALUE"""),"Alex Hou")</f>
        <v>Alex Hou</v>
      </c>
      <c r="C139" s="87">
        <f>IFERROR(__xludf.DUMMYFUNCTION("""COMPUTED_VALUE"""),187.0)</f>
        <v>187</v>
      </c>
      <c r="D139" s="87">
        <f>IFERROR(__xludf.DUMMYFUNCTION("""COMPUTED_VALUE"""),16.0)</f>
        <v>16</v>
      </c>
      <c r="E139" s="86">
        <f>IFERROR(__xludf.DUMMYFUNCTION("""COMPUTED_VALUE"""),1.0)</f>
        <v>1</v>
      </c>
      <c r="F139" s="88">
        <f>IFERROR(__xludf.DUMMYFUNCTION("""COMPUTED_VALUE"""),3.0)</f>
        <v>3</v>
      </c>
      <c r="G139" s="88">
        <f>IFERROR(__xludf.DUMMYFUNCTION("""COMPUTED_VALUE"""),0.0)</f>
        <v>0</v>
      </c>
      <c r="H139" s="88">
        <f>IFERROR(__xludf.DUMMYFUNCTION("""COMPUTED_VALUE"""),7.0)</f>
        <v>7</v>
      </c>
      <c r="I139" s="88">
        <f>IFERROR(__xludf.DUMMYFUNCTION("""COMPUTED_VALUE"""),3.0)</f>
        <v>3</v>
      </c>
      <c r="J139" s="88">
        <f>IFERROR(__xludf.DUMMYFUNCTION("""COMPUTED_VALUE"""),4.0)</f>
        <v>4</v>
      </c>
      <c r="K139" s="88">
        <f>IFERROR(__xludf.DUMMYFUNCTION("""COMPUTED_VALUE"""),14.0)</f>
        <v>14</v>
      </c>
      <c r="L139" s="88">
        <f>IFERROR(__xludf.DUMMYFUNCTION("""COMPUTED_VALUE"""),1.0)</f>
        <v>1</v>
      </c>
      <c r="M139" s="89">
        <f>IFERROR(__xludf.DUMMYFUNCTION("""COMPUTED_VALUE"""),201.0)</f>
        <v>201</v>
      </c>
      <c r="N139" s="89">
        <f>IFERROR(__xludf.DUMMYFUNCTION("""COMPUTED_VALUE"""),17.0)</f>
        <v>17</v>
      </c>
    </row>
    <row r="140">
      <c r="A140" s="11"/>
      <c r="B140" s="84" t="str">
        <f>IFERROR(__xludf.DUMMYFUNCTION("""COMPUTED_VALUE"""),"James Phan")</f>
        <v>James Phan</v>
      </c>
      <c r="C140" s="87">
        <f>IFERROR(__xludf.DUMMYFUNCTION("""COMPUTED_VALUE"""),186.0)</f>
        <v>186</v>
      </c>
      <c r="D140" s="87">
        <f>IFERROR(__xludf.DUMMYFUNCTION("""COMPUTED_VALUE"""),14.0)</f>
        <v>14</v>
      </c>
      <c r="E140" s="86">
        <f>IFERROR(__xludf.DUMMYFUNCTION("""COMPUTED_VALUE"""),1.0)</f>
        <v>1</v>
      </c>
      <c r="F140" s="88">
        <f>IFERROR(__xludf.DUMMYFUNCTION("""COMPUTED_VALUE"""),3.0)</f>
        <v>3</v>
      </c>
      <c r="G140" s="88">
        <f>IFERROR(__xludf.DUMMYFUNCTION("""COMPUTED_VALUE"""),0.0)</f>
        <v>0</v>
      </c>
      <c r="H140" s="88">
        <f>IFERROR(__xludf.DUMMYFUNCTION("""COMPUTED_VALUE"""),7.0)</f>
        <v>7</v>
      </c>
      <c r="I140" s="88">
        <f>IFERROR(__xludf.DUMMYFUNCTION("""COMPUTED_VALUE"""),6.0)</f>
        <v>6</v>
      </c>
      <c r="J140" s="88">
        <f>IFERROR(__xludf.DUMMYFUNCTION("""COMPUTED_VALUE"""),6.0)</f>
        <v>6</v>
      </c>
      <c r="K140" s="88">
        <f>IFERROR(__xludf.DUMMYFUNCTION("""COMPUTED_VALUE"""),19.0)</f>
        <v>19</v>
      </c>
      <c r="L140" s="88">
        <f>IFERROR(__xludf.DUMMYFUNCTION("""COMPUTED_VALUE"""),3.0)</f>
        <v>3</v>
      </c>
      <c r="M140" s="89">
        <f>IFERROR(__xludf.DUMMYFUNCTION("""COMPUTED_VALUE"""),205.0)</f>
        <v>205</v>
      </c>
      <c r="N140" s="89">
        <f>IFERROR(__xludf.DUMMYFUNCTION("""COMPUTED_VALUE"""),17.0)</f>
        <v>17</v>
      </c>
    </row>
    <row r="141">
      <c r="A141" s="11"/>
      <c r="B141" s="82" t="str">
        <f>IFERROR(__xludf.DUMMYFUNCTION("""COMPUTED_VALUE"""),"Scott Li")</f>
        <v>Scott Li</v>
      </c>
      <c r="C141" s="87">
        <f>IFERROR(__xludf.DUMMYFUNCTION("""COMPUTED_VALUE"""),185.0)</f>
        <v>185</v>
      </c>
      <c r="D141" s="87">
        <f>IFERROR(__xludf.DUMMYFUNCTION("""COMPUTED_VALUE"""),15.0)</f>
        <v>15</v>
      </c>
      <c r="E141" s="86">
        <f>IFERROR(__xludf.DUMMYFUNCTION("""COMPUTED_VALUE"""),1.0)</f>
        <v>1</v>
      </c>
      <c r="F141" s="88">
        <f>IFERROR(__xludf.DUMMYFUNCTION("""COMPUTED_VALUE"""),3.0)</f>
        <v>3</v>
      </c>
      <c r="G141" s="88">
        <f>IFERROR(__xludf.DUMMYFUNCTION("""COMPUTED_VALUE"""),0.0)</f>
        <v>0</v>
      </c>
      <c r="H141" s="88">
        <f>IFERROR(__xludf.DUMMYFUNCTION("""COMPUTED_VALUE"""),6.0)</f>
        <v>6</v>
      </c>
      <c r="I141" s="88">
        <f>IFERROR(__xludf.DUMMYFUNCTION("""COMPUTED_VALUE"""),3.0)</f>
        <v>3</v>
      </c>
      <c r="J141" s="88">
        <f>IFERROR(__xludf.DUMMYFUNCTION("""COMPUTED_VALUE"""),6.0)</f>
        <v>6</v>
      </c>
      <c r="K141" s="88">
        <f>IFERROR(__xludf.DUMMYFUNCTION("""COMPUTED_VALUE"""),15.0)</f>
        <v>15</v>
      </c>
      <c r="L141" s="88">
        <f>IFERROR(__xludf.DUMMYFUNCTION("""COMPUTED_VALUE"""),1.0)</f>
        <v>1</v>
      </c>
      <c r="M141" s="89">
        <f>IFERROR(__xludf.DUMMYFUNCTION("""COMPUTED_VALUE"""),200.0)</f>
        <v>200</v>
      </c>
      <c r="N141" s="89">
        <f>IFERROR(__xludf.DUMMYFUNCTION("""COMPUTED_VALUE"""),16.0)</f>
        <v>16</v>
      </c>
    </row>
    <row r="142">
      <c r="A142" s="11"/>
      <c r="B142" s="82" t="str">
        <f>IFERROR(__xludf.DUMMYFUNCTION("""COMPUTED_VALUE"""),"Pavan Akkimsetty")</f>
        <v>Pavan Akkimsetty</v>
      </c>
      <c r="C142" s="87">
        <f>IFERROR(__xludf.DUMMYFUNCTION("""COMPUTED_VALUE"""),184.0)</f>
        <v>184</v>
      </c>
      <c r="D142" s="87">
        <f>IFERROR(__xludf.DUMMYFUNCTION("""COMPUTED_VALUE"""),15.0)</f>
        <v>15</v>
      </c>
      <c r="E142" s="86">
        <f>IFERROR(__xludf.DUMMYFUNCTION("""COMPUTED_VALUE"""),1.0)</f>
        <v>1</v>
      </c>
      <c r="F142" s="88">
        <f>IFERROR(__xludf.DUMMYFUNCTION("""COMPUTED_VALUE"""),3.0)</f>
        <v>3</v>
      </c>
      <c r="G142" s="88">
        <f>IFERROR(__xludf.DUMMYFUNCTION("""COMPUTED_VALUE"""),0.0)</f>
        <v>0</v>
      </c>
      <c r="H142" s="88">
        <f>IFERROR(__xludf.DUMMYFUNCTION("""COMPUTED_VALUE"""),6.0)</f>
        <v>6</v>
      </c>
      <c r="I142" s="88">
        <f>IFERROR(__xludf.DUMMYFUNCTION("""COMPUTED_VALUE"""),6.0)</f>
        <v>6</v>
      </c>
      <c r="J142" s="88">
        <f>IFERROR(__xludf.DUMMYFUNCTION("""COMPUTED_VALUE"""),4.0)</f>
        <v>4</v>
      </c>
      <c r="K142" s="88">
        <f>IFERROR(__xludf.DUMMYFUNCTION("""COMPUTED_VALUE"""),16.0)</f>
        <v>16</v>
      </c>
      <c r="L142" s="88">
        <f>IFERROR(__xludf.DUMMYFUNCTION("""COMPUTED_VALUE"""),1.0)</f>
        <v>1</v>
      </c>
      <c r="M142" s="89">
        <f>IFERROR(__xludf.DUMMYFUNCTION("""COMPUTED_VALUE"""),200.0)</f>
        <v>200</v>
      </c>
      <c r="N142" s="89">
        <f>IFERROR(__xludf.DUMMYFUNCTION("""COMPUTED_VALUE"""),16.0)</f>
        <v>16</v>
      </c>
    </row>
    <row r="143">
      <c r="A143" s="11"/>
      <c r="B143" s="84" t="str">
        <f>IFERROR(__xludf.DUMMYFUNCTION("""COMPUTED_VALUE"""),"Troy Wong")</f>
        <v>Troy Wong</v>
      </c>
      <c r="C143" s="95">
        <f>IFERROR(__xludf.DUMMYFUNCTION("""COMPUTED_VALUE"""),180.0)</f>
        <v>180</v>
      </c>
      <c r="D143" s="95">
        <f>IFERROR(__xludf.DUMMYFUNCTION("""COMPUTED_VALUE"""),10.0)</f>
        <v>10</v>
      </c>
      <c r="E143" s="96">
        <f>IFERROR(__xludf.DUMMYFUNCTION("""COMPUTED_VALUE"""),1.0)</f>
        <v>1</v>
      </c>
      <c r="F143" s="97">
        <f>IFERROR(__xludf.DUMMYFUNCTION("""COMPUTED_VALUE"""),4.0)</f>
        <v>4</v>
      </c>
      <c r="G143" s="97">
        <f>IFERROR(__xludf.DUMMYFUNCTION("""COMPUTED_VALUE"""),0.0)</f>
        <v>0</v>
      </c>
      <c r="H143" s="97">
        <f>IFERROR(__xludf.DUMMYFUNCTION("""COMPUTED_VALUE"""),6.0)</f>
        <v>6</v>
      </c>
      <c r="I143" s="97">
        <f>IFERROR(__xludf.DUMMYFUNCTION("""COMPUTED_VALUE"""),6.0)</f>
        <v>6</v>
      </c>
      <c r="J143" s="97">
        <f>IFERROR(__xludf.DUMMYFUNCTION("""COMPUTED_VALUE"""),3.0)</f>
        <v>3</v>
      </c>
      <c r="K143" s="97">
        <f>IFERROR(__xludf.DUMMYFUNCTION("""COMPUTED_VALUE"""),15.0)</f>
        <v>15</v>
      </c>
      <c r="L143" s="97">
        <f>IFERROR(__xludf.DUMMYFUNCTION("""COMPUTED_VALUE"""),1.0)</f>
        <v>1</v>
      </c>
      <c r="M143" s="98">
        <f>IFERROR(__xludf.DUMMYFUNCTION("""COMPUTED_VALUE"""),195.0)</f>
        <v>195</v>
      </c>
      <c r="N143" s="98">
        <f>IFERROR(__xludf.DUMMYFUNCTION("""COMPUTED_VALUE"""),11.0)</f>
        <v>11</v>
      </c>
    </row>
    <row r="144">
      <c r="A144" s="11"/>
      <c r="B144" s="84" t="str">
        <f>IFERROR(__xludf.DUMMYFUNCTION("""COMPUTED_VALUE"""),"Wayne Liu")</f>
        <v>Wayne Liu</v>
      </c>
      <c r="C144" s="95">
        <f>IFERROR(__xludf.DUMMYFUNCTION("""COMPUTED_VALUE"""),177.0)</f>
        <v>177</v>
      </c>
      <c r="D144" s="95">
        <f>IFERROR(__xludf.DUMMYFUNCTION("""COMPUTED_VALUE"""),18.0)</f>
        <v>18</v>
      </c>
      <c r="E144" s="96">
        <f>IFERROR(__xludf.DUMMYFUNCTION("""COMPUTED_VALUE"""),1.0)</f>
        <v>1</v>
      </c>
      <c r="F144" s="97">
        <f>IFERROR(__xludf.DUMMYFUNCTION("""COMPUTED_VALUE"""),4.0)</f>
        <v>4</v>
      </c>
      <c r="G144" s="97">
        <f>IFERROR(__xludf.DUMMYFUNCTION("""COMPUTED_VALUE"""),0.0)</f>
        <v>0</v>
      </c>
      <c r="H144" s="97">
        <f>IFERROR(__xludf.DUMMYFUNCTION("""COMPUTED_VALUE"""),7.0)</f>
        <v>7</v>
      </c>
      <c r="I144" s="97">
        <f>IFERROR(__xludf.DUMMYFUNCTION("""COMPUTED_VALUE"""),1.0)</f>
        <v>1</v>
      </c>
      <c r="J144" s="97">
        <f>IFERROR(__xludf.DUMMYFUNCTION("""COMPUTED_VALUE"""),3.0)</f>
        <v>3</v>
      </c>
      <c r="K144" s="97">
        <f>IFERROR(__xludf.DUMMYFUNCTION("""COMPUTED_VALUE"""),11.0)</f>
        <v>11</v>
      </c>
      <c r="L144" s="97">
        <f>IFERROR(__xludf.DUMMYFUNCTION("""COMPUTED_VALUE"""),1.0)</f>
        <v>1</v>
      </c>
      <c r="M144" s="98">
        <f>IFERROR(__xludf.DUMMYFUNCTION("""COMPUTED_VALUE"""),188.0)</f>
        <v>188</v>
      </c>
      <c r="N144" s="98">
        <f>IFERROR(__xludf.DUMMYFUNCTION("""COMPUTED_VALUE"""),19.0)</f>
        <v>19</v>
      </c>
    </row>
    <row r="145">
      <c r="A145" s="11"/>
      <c r="B145" s="84" t="str">
        <f>IFERROR(__xludf.DUMMYFUNCTION("""COMPUTED_VALUE"""),"Ramesh Bandaru")</f>
        <v>Ramesh Bandaru</v>
      </c>
      <c r="C145" s="95">
        <f>IFERROR(__xludf.DUMMYFUNCTION("""COMPUTED_VALUE"""),177.0)</f>
        <v>177</v>
      </c>
      <c r="D145" s="95">
        <f>IFERROR(__xludf.DUMMYFUNCTION("""COMPUTED_VALUE"""),12.0)</f>
        <v>12</v>
      </c>
      <c r="E145" s="96">
        <f>IFERROR(__xludf.DUMMYFUNCTION("""COMPUTED_VALUE"""),1.0)</f>
        <v>1</v>
      </c>
      <c r="F145" s="97">
        <f>IFERROR(__xludf.DUMMYFUNCTION("""COMPUTED_VALUE"""),4.0)</f>
        <v>4</v>
      </c>
      <c r="G145" s="97">
        <f>IFERROR(__xludf.DUMMYFUNCTION("""COMPUTED_VALUE"""),0.0)</f>
        <v>0</v>
      </c>
      <c r="H145" s="97">
        <f>IFERROR(__xludf.DUMMYFUNCTION("""COMPUTED_VALUE"""),6.0)</f>
        <v>6</v>
      </c>
      <c r="I145" s="97">
        <f>IFERROR(__xludf.DUMMYFUNCTION("""COMPUTED_VALUE"""),1.0)</f>
        <v>1</v>
      </c>
      <c r="J145" s="97">
        <f>IFERROR(__xludf.DUMMYFUNCTION("""COMPUTED_VALUE"""),6.0)</f>
        <v>6</v>
      </c>
      <c r="K145" s="97">
        <f>IFERROR(__xludf.DUMMYFUNCTION("""COMPUTED_VALUE"""),13.0)</f>
        <v>13</v>
      </c>
      <c r="L145" s="97">
        <f>IFERROR(__xludf.DUMMYFUNCTION("""COMPUTED_VALUE"""),1.0)</f>
        <v>1</v>
      </c>
      <c r="M145" s="98">
        <f>IFERROR(__xludf.DUMMYFUNCTION("""COMPUTED_VALUE"""),190.0)</f>
        <v>190</v>
      </c>
      <c r="N145" s="98">
        <f>IFERROR(__xludf.DUMMYFUNCTION("""COMPUTED_VALUE"""),13.0)</f>
        <v>13</v>
      </c>
    </row>
    <row r="146">
      <c r="A146" s="11"/>
      <c r="B146" s="84" t="str">
        <f>IFERROR(__xludf.DUMMYFUNCTION("""COMPUTED_VALUE"""),"Cid Macaraeg")</f>
        <v>Cid Macaraeg</v>
      </c>
      <c r="C146" s="95">
        <f>IFERROR(__xludf.DUMMYFUNCTION("""COMPUTED_VALUE"""),177.0)</f>
        <v>177</v>
      </c>
      <c r="D146" s="95">
        <f>IFERROR(__xludf.DUMMYFUNCTION("""COMPUTED_VALUE"""),11.0)</f>
        <v>11</v>
      </c>
      <c r="E146" s="96">
        <f>IFERROR(__xludf.DUMMYFUNCTION("""COMPUTED_VALUE"""),2.0)</f>
        <v>2</v>
      </c>
      <c r="F146" s="97">
        <f>IFERROR(__xludf.DUMMYFUNCTION("""COMPUTED_VALUE"""),4.0)</f>
        <v>4</v>
      </c>
      <c r="G146" s="97">
        <f>IFERROR(__xludf.DUMMYFUNCTION("""COMPUTED_VALUE"""),0.0)</f>
        <v>0</v>
      </c>
      <c r="H146" s="97">
        <f>IFERROR(__xludf.DUMMYFUNCTION("""COMPUTED_VALUE"""),7.0)</f>
        <v>7</v>
      </c>
      <c r="I146" s="97">
        <f>IFERROR(__xludf.DUMMYFUNCTION("""COMPUTED_VALUE"""),6.0)</f>
        <v>6</v>
      </c>
      <c r="J146" s="97">
        <f>IFERROR(__xludf.DUMMYFUNCTION("""COMPUTED_VALUE"""),6.0)</f>
        <v>6</v>
      </c>
      <c r="K146" s="97">
        <f>IFERROR(__xludf.DUMMYFUNCTION("""COMPUTED_VALUE"""),19.0)</f>
        <v>19</v>
      </c>
      <c r="L146" s="97">
        <f>IFERROR(__xludf.DUMMYFUNCTION("""COMPUTED_VALUE"""),3.0)</f>
        <v>3</v>
      </c>
      <c r="M146" s="98">
        <f>IFERROR(__xludf.DUMMYFUNCTION("""COMPUTED_VALUE"""),196.0)</f>
        <v>196</v>
      </c>
      <c r="N146" s="98">
        <f>IFERROR(__xludf.DUMMYFUNCTION("""COMPUTED_VALUE"""),14.0)</f>
        <v>14</v>
      </c>
    </row>
    <row r="147">
      <c r="A147" s="11"/>
      <c r="B147" s="82" t="str">
        <f>IFERROR(__xludf.DUMMYFUNCTION("""COMPUTED_VALUE"""),"Robert Chang")</f>
        <v>Robert Chang</v>
      </c>
      <c r="C147" s="87">
        <f>IFERROR(__xludf.DUMMYFUNCTION("""COMPUTED_VALUE"""),177.0)</f>
        <v>177</v>
      </c>
      <c r="D147" s="87">
        <f>IFERROR(__xludf.DUMMYFUNCTION("""COMPUTED_VALUE"""),7.0)</f>
        <v>7</v>
      </c>
      <c r="E147" s="86">
        <f>IFERROR(__xludf.DUMMYFUNCTION("""COMPUTED_VALUE"""),2.0)</f>
        <v>2</v>
      </c>
      <c r="F147" s="88">
        <f>IFERROR(__xludf.DUMMYFUNCTION("""COMPUTED_VALUE"""),5.0)</f>
        <v>5</v>
      </c>
      <c r="G147" s="88">
        <f>IFERROR(__xludf.DUMMYFUNCTION("""COMPUTED_VALUE"""),0.0)</f>
        <v>0</v>
      </c>
      <c r="H147" s="88">
        <f>IFERROR(__xludf.DUMMYFUNCTION("""COMPUTED_VALUE"""),6.0)</f>
        <v>6</v>
      </c>
      <c r="I147" s="88">
        <f>IFERROR(__xludf.DUMMYFUNCTION("""COMPUTED_VALUE"""),6.0)</f>
        <v>6</v>
      </c>
      <c r="J147" s="88">
        <f>IFERROR(__xludf.DUMMYFUNCTION("""COMPUTED_VALUE"""),6.0)</f>
        <v>6</v>
      </c>
      <c r="K147" s="88">
        <f>IFERROR(__xludf.DUMMYFUNCTION("""COMPUTED_VALUE"""),18.0)</f>
        <v>18</v>
      </c>
      <c r="L147" s="88">
        <f>IFERROR(__xludf.DUMMYFUNCTION("""COMPUTED_VALUE"""),3.0)</f>
        <v>3</v>
      </c>
      <c r="M147" s="89">
        <f>IFERROR(__xludf.DUMMYFUNCTION("""COMPUTED_VALUE"""),195.0)</f>
        <v>195</v>
      </c>
      <c r="N147" s="89">
        <f>IFERROR(__xludf.DUMMYFUNCTION("""COMPUTED_VALUE"""),10.0)</f>
        <v>10</v>
      </c>
    </row>
    <row r="148">
      <c r="A148" s="11"/>
      <c r="B148" s="82" t="str">
        <f>IFERROR(__xludf.DUMMYFUNCTION("""COMPUTED_VALUE"""),"Pulkit Mathur")</f>
        <v>Pulkit Mathur</v>
      </c>
      <c r="C148" s="87">
        <f>IFERROR(__xludf.DUMMYFUNCTION("""COMPUTED_VALUE"""),176.0)</f>
        <v>176</v>
      </c>
      <c r="D148" s="87">
        <f>IFERROR(__xludf.DUMMYFUNCTION("""COMPUTED_VALUE"""),12.0)</f>
        <v>12</v>
      </c>
      <c r="E148" s="86">
        <f>IFERROR(__xludf.DUMMYFUNCTION("""COMPUTED_VALUE"""),1.0)</f>
        <v>1</v>
      </c>
      <c r="F148" s="88">
        <f>IFERROR(__xludf.DUMMYFUNCTION("""COMPUTED_VALUE"""),5.0)</f>
        <v>5</v>
      </c>
      <c r="G148" s="88">
        <f>IFERROR(__xludf.DUMMYFUNCTION("""COMPUTED_VALUE"""),0.0)</f>
        <v>0</v>
      </c>
      <c r="H148" s="88">
        <f>IFERROR(__xludf.DUMMYFUNCTION("""COMPUTED_VALUE"""),6.0)</f>
        <v>6</v>
      </c>
      <c r="I148" s="88">
        <f>IFERROR(__xludf.DUMMYFUNCTION("""COMPUTED_VALUE"""),2.0)</f>
        <v>2</v>
      </c>
      <c r="J148" s="88">
        <f>IFERROR(__xludf.DUMMYFUNCTION("""COMPUTED_VALUE"""),2.0)</f>
        <v>2</v>
      </c>
      <c r="K148" s="88">
        <f>IFERROR(__xludf.DUMMYFUNCTION("""COMPUTED_VALUE"""),10.0)</f>
        <v>10</v>
      </c>
      <c r="L148" s="88">
        <f>IFERROR(__xludf.DUMMYFUNCTION("""COMPUTED_VALUE"""),1.0)</f>
        <v>1</v>
      </c>
      <c r="M148" s="89">
        <f>IFERROR(__xludf.DUMMYFUNCTION("""COMPUTED_VALUE"""),186.0)</f>
        <v>186</v>
      </c>
      <c r="N148" s="89">
        <f>IFERROR(__xludf.DUMMYFUNCTION("""COMPUTED_VALUE"""),13.0)</f>
        <v>13</v>
      </c>
    </row>
    <row r="149">
      <c r="A149" s="11"/>
      <c r="B149" s="82" t="str">
        <f>IFERROR(__xludf.DUMMYFUNCTION("""COMPUTED_VALUE"""),"Jim Miao")</f>
        <v>Jim Miao</v>
      </c>
      <c r="C149" s="87">
        <f>IFERROR(__xludf.DUMMYFUNCTION("""COMPUTED_VALUE"""),173.0)</f>
        <v>173</v>
      </c>
      <c r="D149" s="87">
        <f>IFERROR(__xludf.DUMMYFUNCTION("""COMPUTED_VALUE"""),12.0)</f>
        <v>12</v>
      </c>
      <c r="E149" s="86">
        <f>IFERROR(__xludf.DUMMYFUNCTION("""COMPUTED_VALUE"""),1.0)</f>
        <v>1</v>
      </c>
      <c r="F149" s="88">
        <f>IFERROR(__xludf.DUMMYFUNCTION("""COMPUTED_VALUE"""),5.0)</f>
        <v>5</v>
      </c>
      <c r="G149" s="88">
        <f>IFERROR(__xludf.DUMMYFUNCTION("""COMPUTED_VALUE"""),0.0)</f>
        <v>0</v>
      </c>
      <c r="H149" s="88">
        <f>IFERROR(__xludf.DUMMYFUNCTION("""COMPUTED_VALUE"""),1.0)</f>
        <v>1</v>
      </c>
      <c r="I149" s="88">
        <f>IFERROR(__xludf.DUMMYFUNCTION("""COMPUTED_VALUE"""),6.0)</f>
        <v>6</v>
      </c>
      <c r="J149" s="88">
        <f>IFERROR(__xludf.DUMMYFUNCTION("""COMPUTED_VALUE"""),2.0)</f>
        <v>2</v>
      </c>
      <c r="K149" s="88">
        <f>IFERROR(__xludf.DUMMYFUNCTION("""COMPUTED_VALUE"""),9.0)</f>
        <v>9</v>
      </c>
      <c r="L149" s="88">
        <f>IFERROR(__xludf.DUMMYFUNCTION("""COMPUTED_VALUE"""),1.0)</f>
        <v>1</v>
      </c>
      <c r="M149" s="89">
        <f>IFERROR(__xludf.DUMMYFUNCTION("""COMPUTED_VALUE"""),182.0)</f>
        <v>182</v>
      </c>
      <c r="N149" s="89">
        <f>IFERROR(__xludf.DUMMYFUNCTION("""COMPUTED_VALUE"""),13.0)</f>
        <v>13</v>
      </c>
    </row>
    <row r="150">
      <c r="A150" s="11"/>
      <c r="B150" s="82" t="str">
        <f>IFERROR(__xludf.DUMMYFUNCTION("""COMPUTED_VALUE"""),"Sanjaye Elayattu")</f>
        <v>Sanjaye Elayattu</v>
      </c>
      <c r="C150" s="87">
        <f>IFERROR(__xludf.DUMMYFUNCTION("""COMPUTED_VALUE"""),169.0)</f>
        <v>169</v>
      </c>
      <c r="D150" s="87">
        <f>IFERROR(__xludf.DUMMYFUNCTION("""COMPUTED_VALUE"""),9.0)</f>
        <v>9</v>
      </c>
      <c r="E150" s="86">
        <f>IFERROR(__xludf.DUMMYFUNCTION("""COMPUTED_VALUE"""),1.0)</f>
        <v>1</v>
      </c>
      <c r="F150" s="88">
        <f>IFERROR(__xludf.DUMMYFUNCTION("""COMPUTED_VALUE"""),5.0)</f>
        <v>5</v>
      </c>
      <c r="G150" s="88">
        <f>IFERROR(__xludf.DUMMYFUNCTION("""COMPUTED_VALUE"""),0.0)</f>
        <v>0</v>
      </c>
      <c r="H150" s="88">
        <f>IFERROR(__xludf.DUMMYFUNCTION("""COMPUTED_VALUE"""),1.0)</f>
        <v>1</v>
      </c>
      <c r="I150" s="88">
        <f>IFERROR(__xludf.DUMMYFUNCTION("""COMPUTED_VALUE"""),2.0)</f>
        <v>2</v>
      </c>
      <c r="J150" s="88">
        <f>IFERROR(__xludf.DUMMYFUNCTION("""COMPUTED_VALUE"""),6.0)</f>
        <v>6</v>
      </c>
      <c r="K150" s="88">
        <f>IFERROR(__xludf.DUMMYFUNCTION("""COMPUTED_VALUE"""),9.0)</f>
        <v>9</v>
      </c>
      <c r="L150" s="88">
        <f>IFERROR(__xludf.DUMMYFUNCTION("""COMPUTED_VALUE"""),1.0)</f>
        <v>1</v>
      </c>
      <c r="M150" s="89">
        <f>IFERROR(__xludf.DUMMYFUNCTION("""COMPUTED_VALUE"""),178.0)</f>
        <v>178</v>
      </c>
      <c r="N150" s="89">
        <f>IFERROR(__xludf.DUMMYFUNCTION("""COMPUTED_VALUE"""),10.0)</f>
        <v>10</v>
      </c>
    </row>
    <row r="151">
      <c r="A151" s="11"/>
      <c r="B151" s="84" t="str">
        <f>IFERROR(__xludf.DUMMYFUNCTION("""COMPUTED_VALUE"""),"Lloyd Sagar")</f>
        <v>Lloyd Sagar</v>
      </c>
      <c r="C151" s="95">
        <f>IFERROR(__xludf.DUMMYFUNCTION("""COMPUTED_VALUE"""),166.0)</f>
        <v>166</v>
      </c>
      <c r="D151" s="95">
        <f>IFERROR(__xludf.DUMMYFUNCTION("""COMPUTED_VALUE"""),9.0)</f>
        <v>9</v>
      </c>
      <c r="E151" s="96">
        <f>IFERROR(__xludf.DUMMYFUNCTION("""COMPUTED_VALUE"""),1.0)</f>
        <v>1</v>
      </c>
      <c r="F151" s="97">
        <f>IFERROR(__xludf.DUMMYFUNCTION("""COMPUTED_VALUE"""),6.0)</f>
        <v>6</v>
      </c>
      <c r="G151" s="97">
        <f>IFERROR(__xludf.DUMMYFUNCTION("""COMPUTED_VALUE"""),0.0)</f>
        <v>0</v>
      </c>
      <c r="H151" s="97">
        <f>IFERROR(__xludf.DUMMYFUNCTION("""COMPUTED_VALUE"""),6.0)</f>
        <v>6</v>
      </c>
      <c r="I151" s="97">
        <f>IFERROR(__xludf.DUMMYFUNCTION("""COMPUTED_VALUE"""),2.0)</f>
        <v>2</v>
      </c>
      <c r="J151" s="97">
        <f>IFERROR(__xludf.DUMMYFUNCTION("""COMPUTED_VALUE"""),6.0)</f>
        <v>6</v>
      </c>
      <c r="K151" s="97">
        <f>IFERROR(__xludf.DUMMYFUNCTION("""COMPUTED_VALUE"""),14.0)</f>
        <v>14</v>
      </c>
      <c r="L151" s="97">
        <f>IFERROR(__xludf.DUMMYFUNCTION("""COMPUTED_VALUE"""),2.0)</f>
        <v>2</v>
      </c>
      <c r="M151" s="98">
        <f>IFERROR(__xludf.DUMMYFUNCTION("""COMPUTED_VALUE"""),180.0)</f>
        <v>180</v>
      </c>
      <c r="N151" s="98">
        <f>IFERROR(__xludf.DUMMYFUNCTION("""COMPUTED_VALUE"""),11.0)</f>
        <v>11</v>
      </c>
    </row>
    <row r="152">
      <c r="A152" s="11"/>
      <c r="B152" s="84" t="str">
        <f>IFERROR(__xludf.DUMMYFUNCTION("""COMPUTED_VALUE"""),"Andrew Wen")</f>
        <v>Andrew Wen</v>
      </c>
      <c r="C152" s="95">
        <f>IFERROR(__xludf.DUMMYFUNCTION("""COMPUTED_VALUE"""),166.0)</f>
        <v>166</v>
      </c>
      <c r="D152" s="95">
        <f>IFERROR(__xludf.DUMMYFUNCTION("""COMPUTED_VALUE"""),6.0)</f>
        <v>6</v>
      </c>
      <c r="E152" s="96">
        <f>IFERROR(__xludf.DUMMYFUNCTION("""COMPUTED_VALUE"""),2.0)</f>
        <v>2</v>
      </c>
      <c r="F152" s="97">
        <f>IFERROR(__xludf.DUMMYFUNCTION("""COMPUTED_VALUE"""),6.0)</f>
        <v>6</v>
      </c>
      <c r="G152" s="97">
        <f>IFERROR(__xludf.DUMMYFUNCTION("""COMPUTED_VALUE"""),0.0)</f>
        <v>0</v>
      </c>
      <c r="H152" s="97">
        <f>IFERROR(__xludf.DUMMYFUNCTION("""COMPUTED_VALUE"""),3.0)</f>
        <v>3</v>
      </c>
      <c r="I152" s="97">
        <f>IFERROR(__xludf.DUMMYFUNCTION("""COMPUTED_VALUE"""),2.0)</f>
        <v>2</v>
      </c>
      <c r="J152" s="97">
        <f>IFERROR(__xludf.DUMMYFUNCTION("""COMPUTED_VALUE"""),1.0)</f>
        <v>1</v>
      </c>
      <c r="K152" s="97">
        <f>IFERROR(__xludf.DUMMYFUNCTION("""COMPUTED_VALUE"""),6.0)</f>
        <v>6</v>
      </c>
      <c r="L152" s="97">
        <f>IFERROR(__xludf.DUMMYFUNCTION("""COMPUTED_VALUE"""),0.0)</f>
        <v>0</v>
      </c>
      <c r="M152" s="98">
        <f>IFERROR(__xludf.DUMMYFUNCTION("""COMPUTED_VALUE"""),172.0)</f>
        <v>172</v>
      </c>
      <c r="N152" s="98">
        <f>IFERROR(__xludf.DUMMYFUNCTION("""COMPUTED_VALUE"""),6.0)</f>
        <v>6</v>
      </c>
    </row>
    <row r="153">
      <c r="A153" s="11"/>
      <c r="B153" s="84" t="str">
        <f>IFERROR(__xludf.DUMMYFUNCTION("""COMPUTED_VALUE"""),"Jimmy Awolesi")</f>
        <v>Jimmy Awolesi</v>
      </c>
      <c r="C153" s="95">
        <f>IFERROR(__xludf.DUMMYFUNCTION("""COMPUTED_VALUE"""),165.0)</f>
        <v>165</v>
      </c>
      <c r="D153" s="95">
        <f>IFERROR(__xludf.DUMMYFUNCTION("""COMPUTED_VALUE"""),12.0)</f>
        <v>12</v>
      </c>
      <c r="E153" s="96">
        <f>IFERROR(__xludf.DUMMYFUNCTION("""COMPUTED_VALUE"""),1.0)</f>
        <v>1</v>
      </c>
      <c r="F153" s="97">
        <f>IFERROR(__xludf.DUMMYFUNCTION("""COMPUTED_VALUE"""),6.0)</f>
        <v>6</v>
      </c>
      <c r="G153" s="97">
        <f>IFERROR(__xludf.DUMMYFUNCTION("""COMPUTED_VALUE"""),0.0)</f>
        <v>0</v>
      </c>
      <c r="H153" s="97">
        <f>IFERROR(__xludf.DUMMYFUNCTION("""COMPUTED_VALUE"""),3.0)</f>
        <v>3</v>
      </c>
      <c r="I153" s="97">
        <f>IFERROR(__xludf.DUMMYFUNCTION("""COMPUTED_VALUE"""),6.0)</f>
        <v>6</v>
      </c>
      <c r="J153" s="97">
        <f>IFERROR(__xludf.DUMMYFUNCTION("""COMPUTED_VALUE"""),6.0)</f>
        <v>6</v>
      </c>
      <c r="K153" s="97">
        <f>IFERROR(__xludf.DUMMYFUNCTION("""COMPUTED_VALUE"""),15.0)</f>
        <v>15</v>
      </c>
      <c r="L153" s="97">
        <f>IFERROR(__xludf.DUMMYFUNCTION("""COMPUTED_VALUE"""),2.0)</f>
        <v>2</v>
      </c>
      <c r="M153" s="98">
        <f>IFERROR(__xludf.DUMMYFUNCTION("""COMPUTED_VALUE"""),180.0)</f>
        <v>180</v>
      </c>
      <c r="N153" s="98">
        <f>IFERROR(__xludf.DUMMYFUNCTION("""COMPUTED_VALUE"""),14.0)</f>
        <v>14</v>
      </c>
    </row>
    <row r="154">
      <c r="A154" s="11"/>
      <c r="B154" s="84" t="str">
        <f>IFERROR(__xludf.DUMMYFUNCTION("""COMPUTED_VALUE"""),"Manuel Rivera")</f>
        <v>Manuel Rivera</v>
      </c>
      <c r="C154" s="95">
        <f>IFERROR(__xludf.DUMMYFUNCTION("""COMPUTED_VALUE"""),165.0)</f>
        <v>165</v>
      </c>
      <c r="D154" s="95">
        <f>IFERROR(__xludf.DUMMYFUNCTION("""COMPUTED_VALUE"""),7.0)</f>
        <v>7</v>
      </c>
      <c r="E154" s="96">
        <f>IFERROR(__xludf.DUMMYFUNCTION("""COMPUTED_VALUE"""),2.0)</f>
        <v>2</v>
      </c>
      <c r="F154" s="97">
        <f>IFERROR(__xludf.DUMMYFUNCTION("""COMPUTED_VALUE"""),6.0)</f>
        <v>6</v>
      </c>
      <c r="G154" s="97">
        <f>IFERROR(__xludf.DUMMYFUNCTION("""COMPUTED_VALUE"""),0.0)</f>
        <v>0</v>
      </c>
      <c r="H154" s="97">
        <f>IFERROR(__xludf.DUMMYFUNCTION("""COMPUTED_VALUE"""),6.0)</f>
        <v>6</v>
      </c>
      <c r="I154" s="97">
        <f>IFERROR(__xludf.DUMMYFUNCTION("""COMPUTED_VALUE"""),6.0)</f>
        <v>6</v>
      </c>
      <c r="J154" s="97">
        <f>IFERROR(__xludf.DUMMYFUNCTION("""COMPUTED_VALUE"""),1.0)</f>
        <v>1</v>
      </c>
      <c r="K154" s="97">
        <f>IFERROR(__xludf.DUMMYFUNCTION("""COMPUTED_VALUE"""),13.0)</f>
        <v>13</v>
      </c>
      <c r="L154" s="97">
        <f>IFERROR(__xludf.DUMMYFUNCTION("""COMPUTED_VALUE"""),2.0)</f>
        <v>2</v>
      </c>
      <c r="M154" s="98">
        <f>IFERROR(__xludf.DUMMYFUNCTION("""COMPUTED_VALUE"""),178.0)</f>
        <v>178</v>
      </c>
      <c r="N154" s="98">
        <f>IFERROR(__xludf.DUMMYFUNCTION("""COMPUTED_VALUE"""),9.0)</f>
        <v>9</v>
      </c>
    </row>
    <row r="155">
      <c r="A155" s="11"/>
      <c r="B155" s="82" t="str">
        <f>IFERROR(__xludf.DUMMYFUNCTION("""COMPUTED_VALUE"""),"Coco Yan")</f>
        <v>Coco Yan</v>
      </c>
      <c r="C155" s="87">
        <f>IFERROR(__xludf.DUMMYFUNCTION("""COMPUTED_VALUE"""),163.0)</f>
        <v>163</v>
      </c>
      <c r="D155" s="87">
        <f>IFERROR(__xludf.DUMMYFUNCTION("""COMPUTED_VALUE"""),9.0)</f>
        <v>9</v>
      </c>
      <c r="E155" s="86">
        <f>IFERROR(__xludf.DUMMYFUNCTION("""COMPUTED_VALUE"""),2.0)</f>
        <v>2</v>
      </c>
      <c r="F155" s="88">
        <f>IFERROR(__xludf.DUMMYFUNCTION("""COMPUTED_VALUE"""),7.0)</f>
        <v>7</v>
      </c>
      <c r="G155" s="88">
        <f>IFERROR(__xludf.DUMMYFUNCTION("""COMPUTED_VALUE"""),0.0)</f>
        <v>0</v>
      </c>
      <c r="H155" s="88">
        <f>IFERROR(__xludf.DUMMYFUNCTION("""COMPUTED_VALUE"""),6.0)</f>
        <v>6</v>
      </c>
      <c r="I155" s="88">
        <f>IFERROR(__xludf.DUMMYFUNCTION("""COMPUTED_VALUE"""),1.0)</f>
        <v>1</v>
      </c>
      <c r="J155" s="88">
        <f>IFERROR(__xludf.DUMMYFUNCTION("""COMPUTED_VALUE"""),6.0)</f>
        <v>6</v>
      </c>
      <c r="K155" s="88">
        <f>IFERROR(__xludf.DUMMYFUNCTION("""COMPUTED_VALUE"""),13.0)</f>
        <v>13</v>
      </c>
      <c r="L155" s="88">
        <f>IFERROR(__xludf.DUMMYFUNCTION("""COMPUTED_VALUE"""),2.0)</f>
        <v>2</v>
      </c>
      <c r="M155" s="89">
        <f>IFERROR(__xludf.DUMMYFUNCTION("""COMPUTED_VALUE"""),176.0)</f>
        <v>176</v>
      </c>
      <c r="N155" s="89">
        <f>IFERROR(__xludf.DUMMYFUNCTION("""COMPUTED_VALUE"""),11.0)</f>
        <v>11</v>
      </c>
    </row>
    <row r="156">
      <c r="A156" s="11"/>
      <c r="B156" s="82" t="str">
        <f>IFERROR(__xludf.DUMMYFUNCTION("""COMPUTED_VALUE"""),"Elayaraja Thangaraj ")</f>
        <v>Elayaraja Thangaraj </v>
      </c>
      <c r="C156" s="87">
        <f>IFERROR(__xludf.DUMMYFUNCTION("""COMPUTED_VALUE"""),158.0)</f>
        <v>158</v>
      </c>
      <c r="D156" s="87">
        <f>IFERROR(__xludf.DUMMYFUNCTION("""COMPUTED_VALUE"""),4.0)</f>
        <v>4</v>
      </c>
      <c r="E156" s="86">
        <f>IFERROR(__xludf.DUMMYFUNCTION("""COMPUTED_VALUE"""),1.0)</f>
        <v>1</v>
      </c>
      <c r="F156" s="88">
        <f>IFERROR(__xludf.DUMMYFUNCTION("""COMPUTED_VALUE"""),7.0)</f>
        <v>7</v>
      </c>
      <c r="G156" s="88">
        <f>IFERROR(__xludf.DUMMYFUNCTION("""COMPUTED_VALUE"""),0.0)</f>
        <v>0</v>
      </c>
      <c r="H156" s="88">
        <f>IFERROR(__xludf.DUMMYFUNCTION("""COMPUTED_VALUE"""),2.0)</f>
        <v>2</v>
      </c>
      <c r="I156" s="88">
        <f>IFERROR(__xludf.DUMMYFUNCTION("""COMPUTED_VALUE"""),6.0)</f>
        <v>6</v>
      </c>
      <c r="J156" s="88">
        <f>IFERROR(__xludf.DUMMYFUNCTION("""COMPUTED_VALUE"""),6.0)</f>
        <v>6</v>
      </c>
      <c r="K156" s="88">
        <f>IFERROR(__xludf.DUMMYFUNCTION("""COMPUTED_VALUE"""),14.0)</f>
        <v>14</v>
      </c>
      <c r="L156" s="88">
        <f>IFERROR(__xludf.DUMMYFUNCTION("""COMPUTED_VALUE"""),2.0)</f>
        <v>2</v>
      </c>
      <c r="M156" s="89">
        <f>IFERROR(__xludf.DUMMYFUNCTION("""COMPUTED_VALUE"""),172.0)</f>
        <v>172</v>
      </c>
      <c r="N156" s="89">
        <f>IFERROR(__xludf.DUMMYFUNCTION("""COMPUTED_VALUE"""),6.0)</f>
        <v>6</v>
      </c>
    </row>
    <row r="157">
      <c r="A157" s="11"/>
      <c r="B157" s="82" t="str">
        <f>IFERROR(__xludf.DUMMYFUNCTION("""COMPUTED_VALUE"""),"Saravanan Veerapandian")</f>
        <v>Saravanan Veerapandian</v>
      </c>
      <c r="C157" s="87">
        <f>IFERROR(__xludf.DUMMYFUNCTION("""COMPUTED_VALUE"""),157.0)</f>
        <v>157</v>
      </c>
      <c r="D157" s="87">
        <f>IFERROR(__xludf.DUMMYFUNCTION("""COMPUTED_VALUE"""),8.0)</f>
        <v>8</v>
      </c>
      <c r="E157" s="86">
        <f>IFERROR(__xludf.DUMMYFUNCTION("""COMPUTED_VALUE"""),1.0)</f>
        <v>1</v>
      </c>
      <c r="F157" s="88">
        <f>IFERROR(__xludf.DUMMYFUNCTION("""COMPUTED_VALUE"""),7.0)</f>
        <v>7</v>
      </c>
      <c r="G157" s="88">
        <f>IFERROR(__xludf.DUMMYFUNCTION("""COMPUTED_VALUE"""),0.0)</f>
        <v>0</v>
      </c>
      <c r="H157" s="88">
        <f>IFERROR(__xludf.DUMMYFUNCTION("""COMPUTED_VALUE"""),2.0)</f>
        <v>2</v>
      </c>
      <c r="I157" s="88">
        <f>IFERROR(__xludf.DUMMYFUNCTION("""COMPUTED_VALUE"""),1.0)</f>
        <v>1</v>
      </c>
      <c r="J157" s="88">
        <f>IFERROR(__xludf.DUMMYFUNCTION("""COMPUTED_VALUE"""),2.0)</f>
        <v>2</v>
      </c>
      <c r="K157" s="88">
        <f>IFERROR(__xludf.DUMMYFUNCTION("""COMPUTED_VALUE"""),5.0)</f>
        <v>5</v>
      </c>
      <c r="L157" s="88">
        <f>IFERROR(__xludf.DUMMYFUNCTION("""COMPUTED_VALUE"""),0.0)</f>
        <v>0</v>
      </c>
      <c r="M157" s="89">
        <f>IFERROR(__xludf.DUMMYFUNCTION("""COMPUTED_VALUE"""),162.0)</f>
        <v>162</v>
      </c>
      <c r="N157" s="89">
        <f>IFERROR(__xludf.DUMMYFUNCTION("""COMPUTED_VALUE"""),8.0)</f>
        <v>8</v>
      </c>
    </row>
    <row r="158">
      <c r="A158" s="11"/>
      <c r="B158" s="82" t="str">
        <f>IFERROR(__xludf.DUMMYFUNCTION("""COMPUTED_VALUE"""),"Mauricio Palacios")</f>
        <v>Mauricio Palacios</v>
      </c>
      <c r="C158" s="87">
        <f>IFERROR(__xludf.DUMMYFUNCTION("""COMPUTED_VALUE"""),154.0)</f>
        <v>154</v>
      </c>
      <c r="D158" s="87">
        <f>IFERROR(__xludf.DUMMYFUNCTION("""COMPUTED_VALUE"""),5.0)</f>
        <v>5</v>
      </c>
      <c r="E158" s="86">
        <f>IFERROR(__xludf.DUMMYFUNCTION("""COMPUTED_VALUE"""),2.0)</f>
        <v>2</v>
      </c>
      <c r="F158" s="88">
        <f>IFERROR(__xludf.DUMMYFUNCTION("""COMPUTED_VALUE"""),7.0)</f>
        <v>7</v>
      </c>
      <c r="G158" s="88">
        <f>IFERROR(__xludf.DUMMYFUNCTION("""COMPUTED_VALUE"""),0.0)</f>
        <v>0</v>
      </c>
      <c r="H158" s="88">
        <f>IFERROR(__xludf.DUMMYFUNCTION("""COMPUTED_VALUE"""),6.0)</f>
        <v>6</v>
      </c>
      <c r="I158" s="88">
        <f>IFERROR(__xludf.DUMMYFUNCTION("""COMPUTED_VALUE"""),6.0)</f>
        <v>6</v>
      </c>
      <c r="J158" s="88">
        <f>IFERROR(__xludf.DUMMYFUNCTION("""COMPUTED_VALUE"""),2.0)</f>
        <v>2</v>
      </c>
      <c r="K158" s="88">
        <f>IFERROR(__xludf.DUMMYFUNCTION("""COMPUTED_VALUE"""),14.0)</f>
        <v>14</v>
      </c>
      <c r="L158" s="88">
        <f>IFERROR(__xludf.DUMMYFUNCTION("""COMPUTED_VALUE"""),2.0)</f>
        <v>2</v>
      </c>
      <c r="M158" s="89">
        <f>IFERROR(__xludf.DUMMYFUNCTION("""COMPUTED_VALUE"""),168.0)</f>
        <v>168</v>
      </c>
      <c r="N158" s="89">
        <f>IFERROR(__xludf.DUMMYFUNCTION("""COMPUTED_VALUE"""),7.0)</f>
        <v>7</v>
      </c>
    </row>
    <row r="159">
      <c r="A159" s="11"/>
      <c r="B159" s="84" t="str">
        <f>IFERROR(__xludf.DUMMYFUNCTION("""COMPUTED_VALUE"""),"Manish Anand")</f>
        <v>Manish Anand</v>
      </c>
      <c r="C159" s="95">
        <f>IFERROR(__xludf.DUMMYFUNCTION("""COMPUTED_VALUE"""),144.0)</f>
        <v>144</v>
      </c>
      <c r="D159" s="95">
        <f>IFERROR(__xludf.DUMMYFUNCTION("""COMPUTED_VALUE"""),3.0)</f>
        <v>3</v>
      </c>
      <c r="E159" s="96">
        <f>IFERROR(__xludf.DUMMYFUNCTION("""COMPUTED_VALUE"""),1.0)</f>
        <v>1</v>
      </c>
      <c r="F159" s="97">
        <f>IFERROR(__xludf.DUMMYFUNCTION("""COMPUTED_VALUE"""),8.0)</f>
        <v>8</v>
      </c>
      <c r="G159" s="97">
        <f>IFERROR(__xludf.DUMMYFUNCTION("""COMPUTED_VALUE"""),0.0)</f>
        <v>0</v>
      </c>
      <c r="H159" s="97">
        <f>IFERROR(__xludf.DUMMYFUNCTION("""COMPUTED_VALUE"""),6.0)</f>
        <v>6</v>
      </c>
      <c r="I159" s="97">
        <f>IFERROR(__xludf.DUMMYFUNCTION("""COMPUTED_VALUE"""),0.0)</f>
        <v>0</v>
      </c>
      <c r="J159" s="97">
        <f>IFERROR(__xludf.DUMMYFUNCTION("""COMPUTED_VALUE"""),6.0)</f>
        <v>6</v>
      </c>
      <c r="K159" s="97">
        <f>IFERROR(__xludf.DUMMYFUNCTION("""COMPUTED_VALUE"""),12.0)</f>
        <v>12</v>
      </c>
      <c r="L159" s="97">
        <f>IFERROR(__xludf.DUMMYFUNCTION("""COMPUTED_VALUE"""),2.0)</f>
        <v>2</v>
      </c>
      <c r="M159" s="98">
        <f>IFERROR(__xludf.DUMMYFUNCTION("""COMPUTED_VALUE"""),156.0)</f>
        <v>156</v>
      </c>
      <c r="N159" s="98">
        <f>IFERROR(__xludf.DUMMYFUNCTION("""COMPUTED_VALUE"""),5.0)</f>
        <v>5</v>
      </c>
    </row>
    <row r="160">
      <c r="A160" s="11"/>
      <c r="B160" s="84" t="str">
        <f>IFERROR(__xludf.DUMMYFUNCTION("""COMPUTED_VALUE"""),"Sandy Weyant")</f>
        <v>Sandy Weyant</v>
      </c>
      <c r="C160" s="95">
        <f>IFERROR(__xludf.DUMMYFUNCTION("""COMPUTED_VALUE"""),143.0)</f>
        <v>143</v>
      </c>
      <c r="D160" s="95">
        <f>IFERROR(__xludf.DUMMYFUNCTION("""COMPUTED_VALUE"""),5.0)</f>
        <v>5</v>
      </c>
      <c r="E160" s="96">
        <f>IFERROR(__xludf.DUMMYFUNCTION("""COMPUTED_VALUE"""),1.0)</f>
        <v>1</v>
      </c>
      <c r="F160" s="97">
        <f>IFERROR(__xludf.DUMMYFUNCTION("""COMPUTED_VALUE"""),8.0)</f>
        <v>8</v>
      </c>
      <c r="G160" s="97">
        <f>IFERROR(__xludf.DUMMYFUNCTION("""COMPUTED_VALUE"""),0.0)</f>
        <v>0</v>
      </c>
      <c r="H160" s="97">
        <f>IFERROR(__xludf.DUMMYFUNCTION("""COMPUTED_VALUE"""),1.0)</f>
        <v>1</v>
      </c>
      <c r="I160" s="97">
        <f>IFERROR(__xludf.DUMMYFUNCTION("""COMPUTED_VALUE"""),6.0)</f>
        <v>6</v>
      </c>
      <c r="J160" s="97">
        <f>IFERROR(__xludf.DUMMYFUNCTION("""COMPUTED_VALUE"""),6.0)</f>
        <v>6</v>
      </c>
      <c r="K160" s="97">
        <f>IFERROR(__xludf.DUMMYFUNCTION("""COMPUTED_VALUE"""),13.0)</f>
        <v>13</v>
      </c>
      <c r="L160" s="97">
        <f>IFERROR(__xludf.DUMMYFUNCTION("""COMPUTED_VALUE"""),2.0)</f>
        <v>2</v>
      </c>
      <c r="M160" s="98">
        <f>IFERROR(__xludf.DUMMYFUNCTION("""COMPUTED_VALUE"""),156.0)</f>
        <v>156</v>
      </c>
      <c r="N160" s="98">
        <f>IFERROR(__xludf.DUMMYFUNCTION("""COMPUTED_VALUE"""),7.0)</f>
        <v>7</v>
      </c>
    </row>
    <row r="161">
      <c r="A161" s="11"/>
      <c r="B161" s="84" t="str">
        <f>IFERROR(__xludf.DUMMYFUNCTION("""COMPUTED_VALUE"""),"Nicole Ni")</f>
        <v>Nicole Ni</v>
      </c>
      <c r="C161" s="95">
        <f>IFERROR(__xludf.DUMMYFUNCTION("""COMPUTED_VALUE"""),139.0)</f>
        <v>139</v>
      </c>
      <c r="D161" s="95">
        <f>IFERROR(__xludf.DUMMYFUNCTION("""COMPUTED_VALUE"""),8.0)</f>
        <v>8</v>
      </c>
      <c r="E161" s="96">
        <f>IFERROR(__xludf.DUMMYFUNCTION("""COMPUTED_VALUE"""),1.0)</f>
        <v>1</v>
      </c>
      <c r="F161" s="97">
        <f>IFERROR(__xludf.DUMMYFUNCTION("""COMPUTED_VALUE"""),8.0)</f>
        <v>8</v>
      </c>
      <c r="G161" s="97">
        <f>IFERROR(__xludf.DUMMYFUNCTION("""COMPUTED_VALUE"""),0.0)</f>
        <v>0</v>
      </c>
      <c r="H161" s="97">
        <f>IFERROR(__xludf.DUMMYFUNCTION("""COMPUTED_VALUE"""),6.0)</f>
        <v>6</v>
      </c>
      <c r="I161" s="97">
        <f>IFERROR(__xludf.DUMMYFUNCTION("""COMPUTED_VALUE"""),6.0)</f>
        <v>6</v>
      </c>
      <c r="J161" s="97">
        <f>IFERROR(__xludf.DUMMYFUNCTION("""COMPUTED_VALUE"""),0.0)</f>
        <v>0</v>
      </c>
      <c r="K161" s="97">
        <f>IFERROR(__xludf.DUMMYFUNCTION("""COMPUTED_VALUE"""),12.0)</f>
        <v>12</v>
      </c>
      <c r="L161" s="97">
        <f>IFERROR(__xludf.DUMMYFUNCTION("""COMPUTED_VALUE"""),2.0)</f>
        <v>2</v>
      </c>
      <c r="M161" s="98">
        <f>IFERROR(__xludf.DUMMYFUNCTION("""COMPUTED_VALUE"""),151.0)</f>
        <v>151</v>
      </c>
      <c r="N161" s="98">
        <f>IFERROR(__xludf.DUMMYFUNCTION("""COMPUTED_VALUE"""),10.0)</f>
        <v>10</v>
      </c>
    </row>
    <row r="162">
      <c r="A162" s="11"/>
      <c r="B162" s="84" t="str">
        <f>IFERROR(__xludf.DUMMYFUNCTION("""COMPUTED_VALUE"""),"Joyce Zhu")</f>
        <v>Joyce Zhu</v>
      </c>
      <c r="C162" s="95">
        <f>IFERROR(__xludf.DUMMYFUNCTION("""COMPUTED_VALUE"""),132.0)</f>
        <v>132</v>
      </c>
      <c r="D162" s="95">
        <f>IFERROR(__xludf.DUMMYFUNCTION("""COMPUTED_VALUE"""),6.0)</f>
        <v>6</v>
      </c>
      <c r="E162" s="96">
        <f>IFERROR(__xludf.DUMMYFUNCTION("""COMPUTED_VALUE"""),1.0)</f>
        <v>1</v>
      </c>
      <c r="F162" s="97">
        <f>IFERROR(__xludf.DUMMYFUNCTION("""COMPUTED_VALUE"""),8.0)</f>
        <v>8</v>
      </c>
      <c r="G162" s="97">
        <f>IFERROR(__xludf.DUMMYFUNCTION("""COMPUTED_VALUE"""),0.0)</f>
        <v>0</v>
      </c>
      <c r="H162" s="97">
        <f>IFERROR(__xludf.DUMMYFUNCTION("""COMPUTED_VALUE"""),1.0)</f>
        <v>1</v>
      </c>
      <c r="I162" s="97">
        <f>IFERROR(__xludf.DUMMYFUNCTION("""COMPUTED_VALUE"""),0.0)</f>
        <v>0</v>
      </c>
      <c r="J162" s="97">
        <f>IFERROR(__xludf.DUMMYFUNCTION("""COMPUTED_VALUE"""),0.0)</f>
        <v>0</v>
      </c>
      <c r="K162" s="97">
        <f>IFERROR(__xludf.DUMMYFUNCTION("""COMPUTED_VALUE"""),1.0)</f>
        <v>1</v>
      </c>
      <c r="L162" s="97">
        <f>IFERROR(__xludf.DUMMYFUNCTION("""COMPUTED_VALUE"""),0.0)</f>
        <v>0</v>
      </c>
      <c r="M162" s="98">
        <f>IFERROR(__xludf.DUMMYFUNCTION("""COMPUTED_VALUE"""),133.0)</f>
        <v>133</v>
      </c>
      <c r="N162" s="98">
        <f>IFERROR(__xludf.DUMMYFUNCTION("""COMPUTED_VALUE"""),6.0)</f>
        <v>6</v>
      </c>
    </row>
    <row r="163">
      <c r="A163" s="11"/>
      <c r="C163" s="11"/>
      <c r="D163" s="11"/>
      <c r="E163" s="11"/>
    </row>
    <row r="164">
      <c r="A164" s="11"/>
      <c r="C164" s="11"/>
      <c r="D164" s="11"/>
      <c r="E164" s="11"/>
    </row>
    <row r="165">
      <c r="A165" s="11"/>
      <c r="C165" s="11"/>
      <c r="D165" s="11"/>
      <c r="E165" s="11"/>
    </row>
    <row r="166">
      <c r="A166" s="11"/>
      <c r="C166" s="11"/>
      <c r="D166" s="11"/>
      <c r="E166" s="11"/>
    </row>
    <row r="167">
      <c r="A167" s="11"/>
      <c r="C167" s="11"/>
      <c r="D167" s="11"/>
      <c r="E167" s="11"/>
    </row>
    <row r="168">
      <c r="A168" s="11"/>
      <c r="C168" s="11"/>
      <c r="D168" s="11"/>
      <c r="E168" s="11"/>
    </row>
    <row r="169">
      <c r="A169" s="11"/>
      <c r="C169" s="11"/>
      <c r="D169" s="11"/>
      <c r="E169" s="11"/>
    </row>
    <row r="170">
      <c r="A170" s="11"/>
      <c r="C170" s="11"/>
      <c r="D170" s="11"/>
      <c r="E170" s="11"/>
    </row>
    <row r="171">
      <c r="A171" s="11"/>
      <c r="C171" s="11"/>
      <c r="D171" s="11"/>
      <c r="E171" s="11"/>
    </row>
    <row r="172">
      <c r="A172" s="11"/>
      <c r="C172" s="11"/>
      <c r="D172" s="11"/>
      <c r="E172" s="11"/>
    </row>
    <row r="173">
      <c r="A173" s="11"/>
      <c r="B173" s="10" t="s">
        <v>166</v>
      </c>
      <c r="C173" s="11"/>
      <c r="D173" s="11"/>
      <c r="E173" s="11"/>
    </row>
    <row r="174">
      <c r="A174" s="11"/>
      <c r="B174" s="27" t="s">
        <v>31</v>
      </c>
      <c r="C174" s="29" t="s">
        <v>2</v>
      </c>
      <c r="D174" s="29" t="s">
        <v>4</v>
      </c>
      <c r="E174" s="29" t="s">
        <v>33</v>
      </c>
      <c r="F174" s="29" t="s">
        <v>35</v>
      </c>
      <c r="G174" s="29" t="s">
        <v>36</v>
      </c>
      <c r="H174" s="29" t="s">
        <v>6</v>
      </c>
      <c r="I174" s="29" t="s">
        <v>7</v>
      </c>
      <c r="J174" s="29" t="s">
        <v>8</v>
      </c>
      <c r="K174" s="29" t="s">
        <v>2</v>
      </c>
      <c r="L174" s="29" t="s">
        <v>4</v>
      </c>
      <c r="M174" s="28" t="s">
        <v>2</v>
      </c>
      <c r="N174" s="28" t="s">
        <v>4</v>
      </c>
    </row>
    <row r="175">
      <c r="A175" s="11"/>
      <c r="B175" s="82" t="str">
        <f>IFERROR(__xludf.DUMMYFUNCTION("QUERY(B5:N70, ""Select B, C, D, E, F, G, H, I, J, K, L, M, N   where F = 0"")"),"Tom Le")</f>
        <v>Tom Le</v>
      </c>
      <c r="C175" s="87">
        <f>IFERROR(__xludf.DUMMYFUNCTION("""COMPUTED_VALUE"""),208.0)</f>
        <v>208</v>
      </c>
      <c r="D175" s="87">
        <f>IFERROR(__xludf.DUMMYFUNCTION("""COMPUTED_VALUE"""),24.0)</f>
        <v>24</v>
      </c>
      <c r="E175" s="86">
        <f>IFERROR(__xludf.DUMMYFUNCTION("""COMPUTED_VALUE"""),3.0)</f>
        <v>3</v>
      </c>
      <c r="F175" s="88">
        <f>IFERROR(__xludf.DUMMYFUNCTION("""COMPUTED_VALUE"""),0.0)</f>
        <v>0</v>
      </c>
      <c r="G175" s="88">
        <f>IFERROR(__xludf.DUMMYFUNCTION("""COMPUTED_VALUE"""),9.0)</f>
        <v>9</v>
      </c>
      <c r="H175" s="88">
        <f>IFERROR(__xludf.DUMMYFUNCTION("""COMPUTED_VALUE"""),0.0)</f>
        <v>0</v>
      </c>
      <c r="I175" s="88">
        <f>IFERROR(__xludf.DUMMYFUNCTION("""COMPUTED_VALUE"""),0.0)</f>
        <v>0</v>
      </c>
      <c r="J175" s="88">
        <f>IFERROR(__xludf.DUMMYFUNCTION("""COMPUTED_VALUE"""),0.0)</f>
        <v>0</v>
      </c>
      <c r="K175" s="88">
        <f>IFERROR(__xludf.DUMMYFUNCTION("""COMPUTED_VALUE"""),9.0)</f>
        <v>9</v>
      </c>
      <c r="L175" s="88">
        <f>IFERROR(__xludf.DUMMYFUNCTION("""COMPUTED_VALUE"""),0.0)</f>
        <v>0</v>
      </c>
      <c r="M175" s="89">
        <f>IFERROR(__xludf.DUMMYFUNCTION("""COMPUTED_VALUE"""),217.0)</f>
        <v>217</v>
      </c>
      <c r="N175" s="89">
        <f>IFERROR(__xludf.DUMMYFUNCTION("""COMPUTED_VALUE"""),24.0)</f>
        <v>24</v>
      </c>
    </row>
    <row r="176">
      <c r="A176" s="11"/>
      <c r="B176" s="82" t="str">
        <f>IFERROR(__xludf.DUMMYFUNCTION("""COMPUTED_VALUE"""),"Ted Shen")</f>
        <v>Ted Shen</v>
      </c>
      <c r="C176" s="87">
        <f>IFERROR(__xludf.DUMMYFUNCTION("""COMPUTED_VALUE"""),203.0)</f>
        <v>203</v>
      </c>
      <c r="D176" s="87">
        <f>IFERROR(__xludf.DUMMYFUNCTION("""COMPUTED_VALUE"""),19.0)</f>
        <v>19</v>
      </c>
      <c r="E176" s="86">
        <f>IFERROR(__xludf.DUMMYFUNCTION("""COMPUTED_VALUE"""),3.0)</f>
        <v>3</v>
      </c>
      <c r="F176" s="88">
        <f>IFERROR(__xludf.DUMMYFUNCTION("""COMPUTED_VALUE"""),0.0)</f>
        <v>0</v>
      </c>
      <c r="G176" s="88">
        <f>IFERROR(__xludf.DUMMYFUNCTION("""COMPUTED_VALUE"""),9.0)</f>
        <v>9</v>
      </c>
      <c r="H176" s="88">
        <f>IFERROR(__xludf.DUMMYFUNCTION("""COMPUTED_VALUE"""),0.0)</f>
        <v>0</v>
      </c>
      <c r="I176" s="88">
        <f>IFERROR(__xludf.DUMMYFUNCTION("""COMPUTED_VALUE"""),0.0)</f>
        <v>0</v>
      </c>
      <c r="J176" s="88">
        <f>IFERROR(__xludf.DUMMYFUNCTION("""COMPUTED_VALUE"""),0.0)</f>
        <v>0</v>
      </c>
      <c r="K176" s="88">
        <f>IFERROR(__xludf.DUMMYFUNCTION("""COMPUTED_VALUE"""),9.0)</f>
        <v>9</v>
      </c>
      <c r="L176" s="88">
        <f>IFERROR(__xludf.DUMMYFUNCTION("""COMPUTED_VALUE"""),0.0)</f>
        <v>0</v>
      </c>
      <c r="M176" s="89">
        <f>IFERROR(__xludf.DUMMYFUNCTION("""COMPUTED_VALUE"""),212.0)</f>
        <v>212</v>
      </c>
      <c r="N176" s="89">
        <f>IFERROR(__xludf.DUMMYFUNCTION("""COMPUTED_VALUE"""),19.0)</f>
        <v>19</v>
      </c>
    </row>
    <row r="177">
      <c r="A177" s="11"/>
      <c r="B177" s="82" t="str">
        <f>IFERROR(__xludf.DUMMYFUNCTION("""COMPUTED_VALUE"""),"Luis Hsu")</f>
        <v>Luis Hsu</v>
      </c>
      <c r="C177" s="87">
        <f>IFERROR(__xludf.DUMMYFUNCTION("""COMPUTED_VALUE"""),202.0)</f>
        <v>202</v>
      </c>
      <c r="D177" s="87">
        <f>IFERROR(__xludf.DUMMYFUNCTION("""COMPUTED_VALUE"""),19.0)</f>
        <v>19</v>
      </c>
      <c r="E177" s="86">
        <f>IFERROR(__xludf.DUMMYFUNCTION("""COMPUTED_VALUE"""),5.0)</f>
        <v>5</v>
      </c>
      <c r="F177" s="88">
        <f>IFERROR(__xludf.DUMMYFUNCTION("""COMPUTED_VALUE"""),0.0)</f>
        <v>0</v>
      </c>
      <c r="G177" s="88">
        <f>IFERROR(__xludf.DUMMYFUNCTION("""COMPUTED_VALUE"""),13.0)</f>
        <v>13</v>
      </c>
      <c r="H177" s="88">
        <f>IFERROR(__xludf.DUMMYFUNCTION("""COMPUTED_VALUE"""),0.0)</f>
        <v>0</v>
      </c>
      <c r="I177" s="88">
        <f>IFERROR(__xludf.DUMMYFUNCTION("""COMPUTED_VALUE"""),0.0)</f>
        <v>0</v>
      </c>
      <c r="J177" s="88">
        <f>IFERROR(__xludf.DUMMYFUNCTION("""COMPUTED_VALUE"""),0.0)</f>
        <v>0</v>
      </c>
      <c r="K177" s="88">
        <f>IFERROR(__xludf.DUMMYFUNCTION("""COMPUTED_VALUE"""),13.0)</f>
        <v>13</v>
      </c>
      <c r="L177" s="88">
        <f>IFERROR(__xludf.DUMMYFUNCTION("""COMPUTED_VALUE"""),0.0)</f>
        <v>0</v>
      </c>
      <c r="M177" s="89">
        <f>IFERROR(__xludf.DUMMYFUNCTION("""COMPUTED_VALUE"""),215.0)</f>
        <v>215</v>
      </c>
      <c r="N177" s="89">
        <f>IFERROR(__xludf.DUMMYFUNCTION("""COMPUTED_VALUE"""),19.0)</f>
        <v>19</v>
      </c>
    </row>
    <row r="178">
      <c r="A178" s="11"/>
      <c r="B178" s="82" t="str">
        <f>IFERROR(__xludf.DUMMYFUNCTION("""COMPUTED_VALUE"""),"Jonathan Phan")</f>
        <v>Jonathan Phan</v>
      </c>
      <c r="C178" s="87">
        <f>IFERROR(__xludf.DUMMYFUNCTION("""COMPUTED_VALUE"""),199.0)</f>
        <v>199</v>
      </c>
      <c r="D178" s="87">
        <f>IFERROR(__xludf.DUMMYFUNCTION("""COMPUTED_VALUE"""),18.0)</f>
        <v>18</v>
      </c>
      <c r="E178" s="86">
        <f>IFERROR(__xludf.DUMMYFUNCTION("""COMPUTED_VALUE"""),3.0)</f>
        <v>3</v>
      </c>
      <c r="F178" s="88">
        <f>IFERROR(__xludf.DUMMYFUNCTION("""COMPUTED_VALUE"""),0.0)</f>
        <v>0</v>
      </c>
      <c r="G178" s="88">
        <f>IFERROR(__xludf.DUMMYFUNCTION("""COMPUTED_VALUE"""),9.0)</f>
        <v>9</v>
      </c>
      <c r="H178" s="88">
        <f>IFERROR(__xludf.DUMMYFUNCTION("""COMPUTED_VALUE"""),0.0)</f>
        <v>0</v>
      </c>
      <c r="I178" s="88">
        <f>IFERROR(__xludf.DUMMYFUNCTION("""COMPUTED_VALUE"""),0.0)</f>
        <v>0</v>
      </c>
      <c r="J178" s="88">
        <f>IFERROR(__xludf.DUMMYFUNCTION("""COMPUTED_VALUE"""),0.0)</f>
        <v>0</v>
      </c>
      <c r="K178" s="88">
        <f>IFERROR(__xludf.DUMMYFUNCTION("""COMPUTED_VALUE"""),9.0)</f>
        <v>9</v>
      </c>
      <c r="L178" s="88">
        <f>IFERROR(__xludf.DUMMYFUNCTION("""COMPUTED_VALUE"""),0.0)</f>
        <v>0</v>
      </c>
      <c r="M178" s="89">
        <f>IFERROR(__xludf.DUMMYFUNCTION("""COMPUTED_VALUE"""),208.0)</f>
        <v>208</v>
      </c>
      <c r="N178" s="89">
        <f>IFERROR(__xludf.DUMMYFUNCTION("""COMPUTED_VALUE"""),18.0)</f>
        <v>18</v>
      </c>
    </row>
    <row r="179">
      <c r="A179" s="11"/>
      <c r="B179" s="82" t="str">
        <f>IFERROR(__xludf.DUMMYFUNCTION("""COMPUTED_VALUE"""),"Suleman Alidina")</f>
        <v>Suleman Alidina</v>
      </c>
      <c r="C179" s="87">
        <f>IFERROR(__xludf.DUMMYFUNCTION("""COMPUTED_VALUE"""),198.0)</f>
        <v>198</v>
      </c>
      <c r="D179" s="87">
        <f>IFERROR(__xludf.DUMMYFUNCTION("""COMPUTED_VALUE"""),21.0)</f>
        <v>21</v>
      </c>
      <c r="E179" s="86">
        <f>IFERROR(__xludf.DUMMYFUNCTION("""COMPUTED_VALUE"""),4.0)</f>
        <v>4</v>
      </c>
      <c r="F179" s="88">
        <f>IFERROR(__xludf.DUMMYFUNCTION("""COMPUTED_VALUE"""),0.0)</f>
        <v>0</v>
      </c>
      <c r="G179" s="88">
        <f>IFERROR(__xludf.DUMMYFUNCTION("""COMPUTED_VALUE"""),9.0)</f>
        <v>9</v>
      </c>
      <c r="H179" s="88">
        <f>IFERROR(__xludf.DUMMYFUNCTION("""COMPUTED_VALUE"""),0.0)</f>
        <v>0</v>
      </c>
      <c r="I179" s="88">
        <f>IFERROR(__xludf.DUMMYFUNCTION("""COMPUTED_VALUE"""),0.0)</f>
        <v>0</v>
      </c>
      <c r="J179" s="88">
        <f>IFERROR(__xludf.DUMMYFUNCTION("""COMPUTED_VALUE"""),0.0)</f>
        <v>0</v>
      </c>
      <c r="K179" s="88">
        <f>IFERROR(__xludf.DUMMYFUNCTION("""COMPUTED_VALUE"""),9.0)</f>
        <v>9</v>
      </c>
      <c r="L179" s="88">
        <f>IFERROR(__xludf.DUMMYFUNCTION("""COMPUTED_VALUE"""),0.0)</f>
        <v>0</v>
      </c>
      <c r="M179" s="89">
        <f>IFERROR(__xludf.DUMMYFUNCTION("""COMPUTED_VALUE"""),207.0)</f>
        <v>207</v>
      </c>
      <c r="N179" s="89">
        <f>IFERROR(__xludf.DUMMYFUNCTION("""COMPUTED_VALUE"""),21.0)</f>
        <v>21</v>
      </c>
    </row>
    <row r="180">
      <c r="A180" s="11"/>
      <c r="B180" s="82" t="str">
        <f>IFERROR(__xludf.DUMMYFUNCTION("""COMPUTED_VALUE"""),"Rajasekar Ramasamy")</f>
        <v>Rajasekar Ramasamy</v>
      </c>
      <c r="C180" s="87">
        <f>IFERROR(__xludf.DUMMYFUNCTION("""COMPUTED_VALUE"""),197.0)</f>
        <v>197</v>
      </c>
      <c r="D180" s="87">
        <f>IFERROR(__xludf.DUMMYFUNCTION("""COMPUTED_VALUE"""),17.0)</f>
        <v>17</v>
      </c>
      <c r="E180" s="86">
        <f>IFERROR(__xludf.DUMMYFUNCTION("""COMPUTED_VALUE"""),3.0)</f>
        <v>3</v>
      </c>
      <c r="F180" s="88">
        <f>IFERROR(__xludf.DUMMYFUNCTION("""COMPUTED_VALUE"""),0.0)</f>
        <v>0</v>
      </c>
      <c r="G180" s="88">
        <f>IFERROR(__xludf.DUMMYFUNCTION("""COMPUTED_VALUE"""),9.0)</f>
        <v>9</v>
      </c>
      <c r="H180" s="88">
        <f>IFERROR(__xludf.DUMMYFUNCTION("""COMPUTED_VALUE"""),0.0)</f>
        <v>0</v>
      </c>
      <c r="I180" s="88">
        <f>IFERROR(__xludf.DUMMYFUNCTION("""COMPUTED_VALUE"""),0.0)</f>
        <v>0</v>
      </c>
      <c r="J180" s="88">
        <f>IFERROR(__xludf.DUMMYFUNCTION("""COMPUTED_VALUE"""),0.0)</f>
        <v>0</v>
      </c>
      <c r="K180" s="88">
        <f>IFERROR(__xludf.DUMMYFUNCTION("""COMPUTED_VALUE"""),9.0)</f>
        <v>9</v>
      </c>
      <c r="L180" s="88">
        <f>IFERROR(__xludf.DUMMYFUNCTION("""COMPUTED_VALUE"""),0.0)</f>
        <v>0</v>
      </c>
      <c r="M180" s="89">
        <f>IFERROR(__xludf.DUMMYFUNCTION("""COMPUTED_VALUE"""),206.0)</f>
        <v>206</v>
      </c>
      <c r="N180" s="89">
        <f>IFERROR(__xludf.DUMMYFUNCTION("""COMPUTED_VALUE"""),17.0)</f>
        <v>17</v>
      </c>
    </row>
    <row r="181">
      <c r="A181" s="11"/>
      <c r="B181" s="82" t="str">
        <f>IFERROR(__xludf.DUMMYFUNCTION("""COMPUTED_VALUE"""),"Matthew Huang")</f>
        <v>Matthew Huang</v>
      </c>
      <c r="C181" s="87">
        <f>IFERROR(__xludf.DUMMYFUNCTION("""COMPUTED_VALUE"""),193.0)</f>
        <v>193</v>
      </c>
      <c r="D181" s="87">
        <f>IFERROR(__xludf.DUMMYFUNCTION("""COMPUTED_VALUE"""),16.0)</f>
        <v>16</v>
      </c>
      <c r="E181" s="86">
        <f>IFERROR(__xludf.DUMMYFUNCTION("""COMPUTED_VALUE"""),3.0)</f>
        <v>3</v>
      </c>
      <c r="F181" s="88">
        <f>IFERROR(__xludf.DUMMYFUNCTION("""COMPUTED_VALUE"""),0.0)</f>
        <v>0</v>
      </c>
      <c r="G181" s="88">
        <f>IFERROR(__xludf.DUMMYFUNCTION("""COMPUTED_VALUE"""),9.0)</f>
        <v>9</v>
      </c>
      <c r="H181" s="88">
        <f>IFERROR(__xludf.DUMMYFUNCTION("""COMPUTED_VALUE"""),0.0)</f>
        <v>0</v>
      </c>
      <c r="I181" s="88">
        <f>IFERROR(__xludf.DUMMYFUNCTION("""COMPUTED_VALUE"""),0.0)</f>
        <v>0</v>
      </c>
      <c r="J181" s="88">
        <f>IFERROR(__xludf.DUMMYFUNCTION("""COMPUTED_VALUE"""),0.0)</f>
        <v>0</v>
      </c>
      <c r="K181" s="88">
        <f>IFERROR(__xludf.DUMMYFUNCTION("""COMPUTED_VALUE"""),9.0)</f>
        <v>9</v>
      </c>
      <c r="L181" s="88">
        <f>IFERROR(__xludf.DUMMYFUNCTION("""COMPUTED_VALUE"""),0.0)</f>
        <v>0</v>
      </c>
      <c r="M181" s="89">
        <f>IFERROR(__xludf.DUMMYFUNCTION("""COMPUTED_VALUE"""),202.0)</f>
        <v>202</v>
      </c>
      <c r="N181" s="89">
        <f>IFERROR(__xludf.DUMMYFUNCTION("""COMPUTED_VALUE"""),16.0)</f>
        <v>16</v>
      </c>
    </row>
    <row r="182">
      <c r="A182" s="11"/>
      <c r="B182" s="82" t="str">
        <f>IFERROR(__xludf.DUMMYFUNCTION("""COMPUTED_VALUE"""),"Sean Chang")</f>
        <v>Sean Chang</v>
      </c>
      <c r="C182" s="87">
        <f>IFERROR(__xludf.DUMMYFUNCTION("""COMPUTED_VALUE"""),190.0)</f>
        <v>190</v>
      </c>
      <c r="D182" s="87">
        <f>IFERROR(__xludf.DUMMYFUNCTION("""COMPUTED_VALUE"""),15.0)</f>
        <v>15</v>
      </c>
      <c r="E182" s="86">
        <f>IFERROR(__xludf.DUMMYFUNCTION("""COMPUTED_VALUE"""),3.0)</f>
        <v>3</v>
      </c>
      <c r="F182" s="88">
        <f>IFERROR(__xludf.DUMMYFUNCTION("""COMPUTED_VALUE"""),0.0)</f>
        <v>0</v>
      </c>
      <c r="G182" s="88">
        <f>IFERROR(__xludf.DUMMYFUNCTION("""COMPUTED_VALUE"""),9.0)</f>
        <v>9</v>
      </c>
      <c r="H182" s="88">
        <f>IFERROR(__xludf.DUMMYFUNCTION("""COMPUTED_VALUE"""),0.0)</f>
        <v>0</v>
      </c>
      <c r="I182" s="88">
        <f>IFERROR(__xludf.DUMMYFUNCTION("""COMPUTED_VALUE"""),0.0)</f>
        <v>0</v>
      </c>
      <c r="J182" s="88">
        <f>IFERROR(__xludf.DUMMYFUNCTION("""COMPUTED_VALUE"""),0.0)</f>
        <v>0</v>
      </c>
      <c r="K182" s="88">
        <f>IFERROR(__xludf.DUMMYFUNCTION("""COMPUTED_VALUE"""),9.0)</f>
        <v>9</v>
      </c>
      <c r="L182" s="88">
        <f>IFERROR(__xludf.DUMMYFUNCTION("""COMPUTED_VALUE"""),0.0)</f>
        <v>0</v>
      </c>
      <c r="M182" s="89">
        <f>IFERROR(__xludf.DUMMYFUNCTION("""COMPUTED_VALUE"""),199.0)</f>
        <v>199</v>
      </c>
      <c r="N182" s="89">
        <f>IFERROR(__xludf.DUMMYFUNCTION("""COMPUTED_VALUE"""),15.0)</f>
        <v>15</v>
      </c>
    </row>
    <row r="183">
      <c r="A183" s="11"/>
      <c r="B183" s="82" t="str">
        <f>IFERROR(__xludf.DUMMYFUNCTION("""COMPUTED_VALUE"""),"Herman Au")</f>
        <v>Herman Au</v>
      </c>
      <c r="C183" s="87">
        <f>IFERROR(__xludf.DUMMYFUNCTION("""COMPUTED_VALUE"""),190.0)</f>
        <v>190</v>
      </c>
      <c r="D183" s="87">
        <f>IFERROR(__xludf.DUMMYFUNCTION("""COMPUTED_VALUE"""),14.0)</f>
        <v>14</v>
      </c>
      <c r="E183" s="86">
        <f>IFERROR(__xludf.DUMMYFUNCTION("""COMPUTED_VALUE"""),5.0)</f>
        <v>5</v>
      </c>
      <c r="F183" s="88">
        <f>IFERROR(__xludf.DUMMYFUNCTION("""COMPUTED_VALUE"""),0.0)</f>
        <v>0</v>
      </c>
      <c r="G183" s="88">
        <f>IFERROR(__xludf.DUMMYFUNCTION("""COMPUTED_VALUE"""),13.0)</f>
        <v>13</v>
      </c>
      <c r="H183" s="88">
        <f>IFERROR(__xludf.DUMMYFUNCTION("""COMPUTED_VALUE"""),0.0)</f>
        <v>0</v>
      </c>
      <c r="I183" s="88">
        <f>IFERROR(__xludf.DUMMYFUNCTION("""COMPUTED_VALUE"""),0.0)</f>
        <v>0</v>
      </c>
      <c r="J183" s="88">
        <f>IFERROR(__xludf.DUMMYFUNCTION("""COMPUTED_VALUE"""),0.0)</f>
        <v>0</v>
      </c>
      <c r="K183" s="88">
        <f>IFERROR(__xludf.DUMMYFUNCTION("""COMPUTED_VALUE"""),13.0)</f>
        <v>13</v>
      </c>
      <c r="L183" s="88">
        <f>IFERROR(__xludf.DUMMYFUNCTION("""COMPUTED_VALUE"""),0.0)</f>
        <v>0</v>
      </c>
      <c r="M183" s="89">
        <f>IFERROR(__xludf.DUMMYFUNCTION("""COMPUTED_VALUE"""),203.0)</f>
        <v>203</v>
      </c>
      <c r="N183" s="89">
        <f>IFERROR(__xludf.DUMMYFUNCTION("""COMPUTED_VALUE"""),14.0)</f>
        <v>14</v>
      </c>
    </row>
    <row r="184">
      <c r="A184" s="11"/>
      <c r="B184" s="82" t="str">
        <f>IFERROR(__xludf.DUMMYFUNCTION("""COMPUTED_VALUE"""),"Erik Hoeckmann")</f>
        <v>Erik Hoeckmann</v>
      </c>
      <c r="C184" s="87">
        <f>IFERROR(__xludf.DUMMYFUNCTION("""COMPUTED_VALUE"""),179.0)</f>
        <v>179</v>
      </c>
      <c r="D184" s="87">
        <f>IFERROR(__xludf.DUMMYFUNCTION("""COMPUTED_VALUE"""),15.0)</f>
        <v>15</v>
      </c>
      <c r="E184" s="86">
        <f>IFERROR(__xludf.DUMMYFUNCTION("""COMPUTED_VALUE"""),5.0)</f>
        <v>5</v>
      </c>
      <c r="F184" s="88">
        <f>IFERROR(__xludf.DUMMYFUNCTION("""COMPUTED_VALUE"""),0.0)</f>
        <v>0</v>
      </c>
      <c r="G184" s="88">
        <f>IFERROR(__xludf.DUMMYFUNCTION("""COMPUTED_VALUE"""),13.0)</f>
        <v>13</v>
      </c>
      <c r="H184" s="88">
        <f>IFERROR(__xludf.DUMMYFUNCTION("""COMPUTED_VALUE"""),0.0)</f>
        <v>0</v>
      </c>
      <c r="I184" s="88">
        <f>IFERROR(__xludf.DUMMYFUNCTION("""COMPUTED_VALUE"""),0.0)</f>
        <v>0</v>
      </c>
      <c r="J184" s="88">
        <f>IFERROR(__xludf.DUMMYFUNCTION("""COMPUTED_VALUE"""),0.0)</f>
        <v>0</v>
      </c>
      <c r="K184" s="88">
        <f>IFERROR(__xludf.DUMMYFUNCTION("""COMPUTED_VALUE"""),13.0)</f>
        <v>13</v>
      </c>
      <c r="L184" s="88">
        <f>IFERROR(__xludf.DUMMYFUNCTION("""COMPUTED_VALUE"""),0.0)</f>
        <v>0</v>
      </c>
      <c r="M184" s="89">
        <f>IFERROR(__xludf.DUMMYFUNCTION("""COMPUTED_VALUE"""),192.0)</f>
        <v>192</v>
      </c>
      <c r="N184" s="89">
        <f>IFERROR(__xludf.DUMMYFUNCTION("""COMPUTED_VALUE"""),15.0)</f>
        <v>15</v>
      </c>
    </row>
    <row r="185">
      <c r="A185" s="11"/>
      <c r="B185" s="82" t="str">
        <f>IFERROR(__xludf.DUMMYFUNCTION("""COMPUTED_VALUE"""),"Oscar Bonilla")</f>
        <v>Oscar Bonilla</v>
      </c>
      <c r="C185" s="87">
        <f>IFERROR(__xludf.DUMMYFUNCTION("""COMPUTED_VALUE"""),174.0)</f>
        <v>174</v>
      </c>
      <c r="D185" s="87">
        <f>IFERROR(__xludf.DUMMYFUNCTION("""COMPUTED_VALUE"""),9.0)</f>
        <v>9</v>
      </c>
      <c r="E185" s="86">
        <f>IFERROR(__xludf.DUMMYFUNCTION("""COMPUTED_VALUE"""),3.0)</f>
        <v>3</v>
      </c>
      <c r="F185" s="88">
        <f>IFERROR(__xludf.DUMMYFUNCTION("""COMPUTED_VALUE"""),0.0)</f>
        <v>0</v>
      </c>
      <c r="G185" s="88">
        <f>IFERROR(__xludf.DUMMYFUNCTION("""COMPUTED_VALUE"""),9.0)</f>
        <v>9</v>
      </c>
      <c r="H185" s="88">
        <f>IFERROR(__xludf.DUMMYFUNCTION("""COMPUTED_VALUE"""),0.0)</f>
        <v>0</v>
      </c>
      <c r="I185" s="88">
        <f>IFERROR(__xludf.DUMMYFUNCTION("""COMPUTED_VALUE"""),0.0)</f>
        <v>0</v>
      </c>
      <c r="J185" s="88">
        <f>IFERROR(__xludf.DUMMYFUNCTION("""COMPUTED_VALUE"""),0.0)</f>
        <v>0</v>
      </c>
      <c r="K185" s="88">
        <f>IFERROR(__xludf.DUMMYFUNCTION("""COMPUTED_VALUE"""),9.0)</f>
        <v>9</v>
      </c>
      <c r="L185" s="88">
        <f>IFERROR(__xludf.DUMMYFUNCTION("""COMPUTED_VALUE"""),0.0)</f>
        <v>0</v>
      </c>
      <c r="M185" s="89">
        <f>IFERROR(__xludf.DUMMYFUNCTION("""COMPUTED_VALUE"""),183.0)</f>
        <v>183</v>
      </c>
      <c r="N185" s="89">
        <f>IFERROR(__xludf.DUMMYFUNCTION("""COMPUTED_VALUE"""),9.0)</f>
        <v>9</v>
      </c>
    </row>
    <row r="186">
      <c r="A186" s="11"/>
      <c r="B186" s="82" t="str">
        <f>IFERROR(__xludf.DUMMYFUNCTION("""COMPUTED_VALUE"""),"Vamsi Lolla ")</f>
        <v>Vamsi Lolla </v>
      </c>
      <c r="C186" s="87">
        <f>IFERROR(__xludf.DUMMYFUNCTION("""COMPUTED_VALUE"""),170.0)</f>
        <v>170</v>
      </c>
      <c r="D186" s="87">
        <f>IFERROR(__xludf.DUMMYFUNCTION("""COMPUTED_VALUE"""),9.0)</f>
        <v>9</v>
      </c>
      <c r="E186" s="86">
        <f>IFERROR(__xludf.DUMMYFUNCTION("""COMPUTED_VALUE"""),3.0)</f>
        <v>3</v>
      </c>
      <c r="F186" s="88">
        <f>IFERROR(__xludf.DUMMYFUNCTION("""COMPUTED_VALUE"""),0.0)</f>
        <v>0</v>
      </c>
      <c r="G186" s="88">
        <f>IFERROR(__xludf.DUMMYFUNCTION("""COMPUTED_VALUE"""),9.0)</f>
        <v>9</v>
      </c>
      <c r="H186" s="88">
        <f>IFERROR(__xludf.DUMMYFUNCTION("""COMPUTED_VALUE"""),0.0)</f>
        <v>0</v>
      </c>
      <c r="I186" s="88">
        <f>IFERROR(__xludf.DUMMYFUNCTION("""COMPUTED_VALUE"""),0.0)</f>
        <v>0</v>
      </c>
      <c r="J186" s="88">
        <f>IFERROR(__xludf.DUMMYFUNCTION("""COMPUTED_VALUE"""),0.0)</f>
        <v>0</v>
      </c>
      <c r="K186" s="88">
        <f>IFERROR(__xludf.DUMMYFUNCTION("""COMPUTED_VALUE"""),9.0)</f>
        <v>9</v>
      </c>
      <c r="L186" s="88">
        <f>IFERROR(__xludf.DUMMYFUNCTION("""COMPUTED_VALUE"""),0.0)</f>
        <v>0</v>
      </c>
      <c r="M186" s="89">
        <f>IFERROR(__xludf.DUMMYFUNCTION("""COMPUTED_VALUE"""),179.0)</f>
        <v>179</v>
      </c>
      <c r="N186" s="89">
        <f>IFERROR(__xludf.DUMMYFUNCTION("""COMPUTED_VALUE"""),9.0)</f>
        <v>9</v>
      </c>
    </row>
    <row r="187">
      <c r="A187" s="11"/>
      <c r="B187" s="82" t="str">
        <f>IFERROR(__xludf.DUMMYFUNCTION("""COMPUTED_VALUE"""),"Trish Newlin")</f>
        <v>Trish Newlin</v>
      </c>
      <c r="C187" s="87">
        <f>IFERROR(__xludf.DUMMYFUNCTION("""COMPUTED_VALUE"""),170.0)</f>
        <v>170</v>
      </c>
      <c r="D187" s="87">
        <f>IFERROR(__xludf.DUMMYFUNCTION("""COMPUTED_VALUE"""),8.0)</f>
        <v>8</v>
      </c>
      <c r="E187" s="86">
        <f>IFERROR(__xludf.DUMMYFUNCTION("""COMPUTED_VALUE"""),3.0)</f>
        <v>3</v>
      </c>
      <c r="F187" s="88">
        <f>IFERROR(__xludf.DUMMYFUNCTION("""COMPUTED_VALUE"""),0.0)</f>
        <v>0</v>
      </c>
      <c r="G187" s="88">
        <f>IFERROR(__xludf.DUMMYFUNCTION("""COMPUTED_VALUE"""),9.0)</f>
        <v>9</v>
      </c>
      <c r="H187" s="88">
        <f>IFERROR(__xludf.DUMMYFUNCTION("""COMPUTED_VALUE"""),0.0)</f>
        <v>0</v>
      </c>
      <c r="I187" s="88">
        <f>IFERROR(__xludf.DUMMYFUNCTION("""COMPUTED_VALUE"""),0.0)</f>
        <v>0</v>
      </c>
      <c r="J187" s="88">
        <f>IFERROR(__xludf.DUMMYFUNCTION("""COMPUTED_VALUE"""),0.0)</f>
        <v>0</v>
      </c>
      <c r="K187" s="88">
        <f>IFERROR(__xludf.DUMMYFUNCTION("""COMPUTED_VALUE"""),9.0)</f>
        <v>9</v>
      </c>
      <c r="L187" s="88">
        <f>IFERROR(__xludf.DUMMYFUNCTION("""COMPUTED_VALUE"""),0.0)</f>
        <v>0</v>
      </c>
      <c r="M187" s="89">
        <f>IFERROR(__xludf.DUMMYFUNCTION("""COMPUTED_VALUE"""),179.0)</f>
        <v>179</v>
      </c>
      <c r="N187" s="89">
        <f>IFERROR(__xludf.DUMMYFUNCTION("""COMPUTED_VALUE"""),8.0)</f>
        <v>8</v>
      </c>
    </row>
    <row r="188">
      <c r="A188" s="11"/>
      <c r="B188" s="82" t="str">
        <f>IFERROR(__xludf.DUMMYFUNCTION("""COMPUTED_VALUE"""),"Peter Cheng")</f>
        <v>Peter Cheng</v>
      </c>
      <c r="C188" s="87">
        <f>IFERROR(__xludf.DUMMYFUNCTION("""COMPUTED_VALUE"""),169.0)</f>
        <v>169</v>
      </c>
      <c r="D188" s="87">
        <f>IFERROR(__xludf.DUMMYFUNCTION("""COMPUTED_VALUE"""),5.0)</f>
        <v>5</v>
      </c>
      <c r="E188" s="86">
        <f>IFERROR(__xludf.DUMMYFUNCTION("""COMPUTED_VALUE"""),3.0)</f>
        <v>3</v>
      </c>
      <c r="F188" s="88">
        <f>IFERROR(__xludf.DUMMYFUNCTION("""COMPUTED_VALUE"""),0.0)</f>
        <v>0</v>
      </c>
      <c r="G188" s="88">
        <f>IFERROR(__xludf.DUMMYFUNCTION("""COMPUTED_VALUE"""),9.0)</f>
        <v>9</v>
      </c>
      <c r="H188" s="88">
        <f>IFERROR(__xludf.DUMMYFUNCTION("""COMPUTED_VALUE"""),0.0)</f>
        <v>0</v>
      </c>
      <c r="I188" s="88">
        <f>IFERROR(__xludf.DUMMYFUNCTION("""COMPUTED_VALUE"""),0.0)</f>
        <v>0</v>
      </c>
      <c r="J188" s="88">
        <f>IFERROR(__xludf.DUMMYFUNCTION("""COMPUTED_VALUE"""),0.0)</f>
        <v>0</v>
      </c>
      <c r="K188" s="88">
        <f>IFERROR(__xludf.DUMMYFUNCTION("""COMPUTED_VALUE"""),9.0)</f>
        <v>9</v>
      </c>
      <c r="L188" s="88">
        <f>IFERROR(__xludf.DUMMYFUNCTION("""COMPUTED_VALUE"""),0.0)</f>
        <v>0</v>
      </c>
      <c r="M188" s="89">
        <f>IFERROR(__xludf.DUMMYFUNCTION("""COMPUTED_VALUE"""),178.0)</f>
        <v>178</v>
      </c>
      <c r="N188" s="89">
        <f>IFERROR(__xludf.DUMMYFUNCTION("""COMPUTED_VALUE"""),5.0)</f>
        <v>5</v>
      </c>
    </row>
    <row r="189">
      <c r="A189" s="11"/>
      <c r="B189" s="82" t="str">
        <f>IFERROR(__xludf.DUMMYFUNCTION("""COMPUTED_VALUE"""),"Kumar Palakeel")</f>
        <v>Kumar Palakeel</v>
      </c>
      <c r="C189" s="87">
        <f>IFERROR(__xludf.DUMMYFUNCTION("""COMPUTED_VALUE"""),165.0)</f>
        <v>165</v>
      </c>
      <c r="D189" s="87">
        <f>IFERROR(__xludf.DUMMYFUNCTION("""COMPUTED_VALUE"""),15.0)</f>
        <v>15</v>
      </c>
      <c r="E189" s="86">
        <f>IFERROR(__xludf.DUMMYFUNCTION("""COMPUTED_VALUE"""),3.0)</f>
        <v>3</v>
      </c>
      <c r="F189" s="88">
        <f>IFERROR(__xludf.DUMMYFUNCTION("""COMPUTED_VALUE"""),0.0)</f>
        <v>0</v>
      </c>
      <c r="G189" s="88">
        <f>IFERROR(__xludf.DUMMYFUNCTION("""COMPUTED_VALUE"""),9.0)</f>
        <v>9</v>
      </c>
      <c r="H189" s="88">
        <f>IFERROR(__xludf.DUMMYFUNCTION("""COMPUTED_VALUE"""),0.0)</f>
        <v>0</v>
      </c>
      <c r="I189" s="88">
        <f>IFERROR(__xludf.DUMMYFUNCTION("""COMPUTED_VALUE"""),0.0)</f>
        <v>0</v>
      </c>
      <c r="J189" s="88">
        <f>IFERROR(__xludf.DUMMYFUNCTION("""COMPUTED_VALUE"""),0.0)</f>
        <v>0</v>
      </c>
      <c r="K189" s="88">
        <f>IFERROR(__xludf.DUMMYFUNCTION("""COMPUTED_VALUE"""),9.0)</f>
        <v>9</v>
      </c>
      <c r="L189" s="88">
        <f>IFERROR(__xludf.DUMMYFUNCTION("""COMPUTED_VALUE"""),0.0)</f>
        <v>0</v>
      </c>
      <c r="M189" s="89">
        <f>IFERROR(__xludf.DUMMYFUNCTION("""COMPUTED_VALUE"""),174.0)</f>
        <v>174</v>
      </c>
      <c r="N189" s="89">
        <f>IFERROR(__xludf.DUMMYFUNCTION("""COMPUTED_VALUE"""),15.0)</f>
        <v>15</v>
      </c>
    </row>
    <row r="190">
      <c r="A190" s="11"/>
      <c r="B190" s="82" t="str">
        <f>IFERROR(__xludf.DUMMYFUNCTION("""COMPUTED_VALUE"""),"Chinna Ponnaganti")</f>
        <v>Chinna Ponnaganti</v>
      </c>
      <c r="C190" s="87">
        <f>IFERROR(__xludf.DUMMYFUNCTION("""COMPUTED_VALUE"""),165.0)</f>
        <v>165</v>
      </c>
      <c r="D190" s="87">
        <f>IFERROR(__xludf.DUMMYFUNCTION("""COMPUTED_VALUE"""),14.0)</f>
        <v>14</v>
      </c>
      <c r="E190" s="86">
        <f>IFERROR(__xludf.DUMMYFUNCTION("""COMPUTED_VALUE"""),3.0)</f>
        <v>3</v>
      </c>
      <c r="F190" s="88">
        <f>IFERROR(__xludf.DUMMYFUNCTION("""COMPUTED_VALUE"""),0.0)</f>
        <v>0</v>
      </c>
      <c r="G190" s="88">
        <f>IFERROR(__xludf.DUMMYFUNCTION("""COMPUTED_VALUE"""),9.0)</f>
        <v>9</v>
      </c>
      <c r="H190" s="88">
        <f>IFERROR(__xludf.DUMMYFUNCTION("""COMPUTED_VALUE"""),0.0)</f>
        <v>0</v>
      </c>
      <c r="I190" s="88">
        <f>IFERROR(__xludf.DUMMYFUNCTION("""COMPUTED_VALUE"""),0.0)</f>
        <v>0</v>
      </c>
      <c r="J190" s="88">
        <f>IFERROR(__xludf.DUMMYFUNCTION("""COMPUTED_VALUE"""),0.0)</f>
        <v>0</v>
      </c>
      <c r="K190" s="88">
        <f>IFERROR(__xludf.DUMMYFUNCTION("""COMPUTED_VALUE"""),9.0)</f>
        <v>9</v>
      </c>
      <c r="L190" s="88">
        <f>IFERROR(__xludf.DUMMYFUNCTION("""COMPUTED_VALUE"""),0.0)</f>
        <v>0</v>
      </c>
      <c r="M190" s="89">
        <f>IFERROR(__xludf.DUMMYFUNCTION("""COMPUTED_VALUE"""),174.0)</f>
        <v>174</v>
      </c>
      <c r="N190" s="89">
        <f>IFERROR(__xludf.DUMMYFUNCTION("""COMPUTED_VALUE"""),14.0)</f>
        <v>14</v>
      </c>
    </row>
    <row r="191">
      <c r="A191" s="11"/>
      <c r="B191" s="82" t="str">
        <f>IFERROR(__xludf.DUMMYFUNCTION("""COMPUTED_VALUE"""),"Sai Dilip Ponnaganti")</f>
        <v>Sai Dilip Ponnaganti</v>
      </c>
      <c r="C191" s="87">
        <f>IFERROR(__xludf.DUMMYFUNCTION("""COMPUTED_VALUE"""),160.0)</f>
        <v>160</v>
      </c>
      <c r="D191" s="87">
        <f>IFERROR(__xludf.DUMMYFUNCTION("""COMPUTED_VALUE"""),7.0)</f>
        <v>7</v>
      </c>
      <c r="E191" s="86">
        <f>IFERROR(__xludf.DUMMYFUNCTION("""COMPUTED_VALUE"""),3.0)</f>
        <v>3</v>
      </c>
      <c r="F191" s="88">
        <f>IFERROR(__xludf.DUMMYFUNCTION("""COMPUTED_VALUE"""),0.0)</f>
        <v>0</v>
      </c>
      <c r="G191" s="88">
        <f>IFERROR(__xludf.DUMMYFUNCTION("""COMPUTED_VALUE"""),9.0)</f>
        <v>9</v>
      </c>
      <c r="H191" s="88">
        <f>IFERROR(__xludf.DUMMYFUNCTION("""COMPUTED_VALUE"""),0.0)</f>
        <v>0</v>
      </c>
      <c r="I191" s="88">
        <f>IFERROR(__xludf.DUMMYFUNCTION("""COMPUTED_VALUE"""),0.0)</f>
        <v>0</v>
      </c>
      <c r="J191" s="88">
        <f>IFERROR(__xludf.DUMMYFUNCTION("""COMPUTED_VALUE"""),0.0)</f>
        <v>0</v>
      </c>
      <c r="K191" s="88">
        <f>IFERROR(__xludf.DUMMYFUNCTION("""COMPUTED_VALUE"""),9.0)</f>
        <v>9</v>
      </c>
      <c r="L191" s="88">
        <f>IFERROR(__xludf.DUMMYFUNCTION("""COMPUTED_VALUE"""),0.0)</f>
        <v>0</v>
      </c>
      <c r="M191" s="89">
        <f>IFERROR(__xludf.DUMMYFUNCTION("""COMPUTED_VALUE"""),169.0)</f>
        <v>169</v>
      </c>
      <c r="N191" s="89">
        <f>IFERROR(__xludf.DUMMYFUNCTION("""COMPUTED_VALUE"""),7.0)</f>
        <v>7</v>
      </c>
    </row>
    <row r="192">
      <c r="A192" s="11"/>
      <c r="B192" s="82" t="str">
        <f>IFERROR(__xludf.DUMMYFUNCTION("""COMPUTED_VALUE"""),"Balaji Alahari")</f>
        <v>Balaji Alahari</v>
      </c>
      <c r="C192" s="87">
        <f>IFERROR(__xludf.DUMMYFUNCTION("""COMPUTED_VALUE"""),159.0)</f>
        <v>159</v>
      </c>
      <c r="D192" s="87">
        <f>IFERROR(__xludf.DUMMYFUNCTION("""COMPUTED_VALUE"""),7.0)</f>
        <v>7</v>
      </c>
      <c r="E192" s="86">
        <f>IFERROR(__xludf.DUMMYFUNCTION("""COMPUTED_VALUE"""),3.0)</f>
        <v>3</v>
      </c>
      <c r="F192" s="88">
        <f>IFERROR(__xludf.DUMMYFUNCTION("""COMPUTED_VALUE"""),0.0)</f>
        <v>0</v>
      </c>
      <c r="G192" s="88">
        <f>IFERROR(__xludf.DUMMYFUNCTION("""COMPUTED_VALUE"""),9.0)</f>
        <v>9</v>
      </c>
      <c r="H192" s="88">
        <f>IFERROR(__xludf.DUMMYFUNCTION("""COMPUTED_VALUE"""),0.0)</f>
        <v>0</v>
      </c>
      <c r="I192" s="88">
        <f>IFERROR(__xludf.DUMMYFUNCTION("""COMPUTED_VALUE"""),0.0)</f>
        <v>0</v>
      </c>
      <c r="J192" s="88">
        <f>IFERROR(__xludf.DUMMYFUNCTION("""COMPUTED_VALUE"""),0.0)</f>
        <v>0</v>
      </c>
      <c r="K192" s="88">
        <f>IFERROR(__xludf.DUMMYFUNCTION("""COMPUTED_VALUE"""),9.0)</f>
        <v>9</v>
      </c>
      <c r="L192" s="88">
        <f>IFERROR(__xludf.DUMMYFUNCTION("""COMPUTED_VALUE"""),0.0)</f>
        <v>0</v>
      </c>
      <c r="M192" s="89">
        <f>IFERROR(__xludf.DUMMYFUNCTION("""COMPUTED_VALUE"""),168.0)</f>
        <v>168</v>
      </c>
      <c r="N192" s="89">
        <f>IFERROR(__xludf.DUMMYFUNCTION("""COMPUTED_VALUE"""),7.0)</f>
        <v>7</v>
      </c>
    </row>
    <row r="193">
      <c r="A193" s="11"/>
      <c r="B193" s="82" t="str">
        <f>IFERROR(__xludf.DUMMYFUNCTION("""COMPUTED_VALUE"""),"Tony Lin")</f>
        <v>Tony Lin</v>
      </c>
      <c r="C193" s="87">
        <f>IFERROR(__xludf.DUMMYFUNCTION("""COMPUTED_VALUE"""),159.0)</f>
        <v>159</v>
      </c>
      <c r="D193" s="87">
        <f>IFERROR(__xludf.DUMMYFUNCTION("""COMPUTED_VALUE"""),6.0)</f>
        <v>6</v>
      </c>
      <c r="E193" s="86">
        <f>IFERROR(__xludf.DUMMYFUNCTION("""COMPUTED_VALUE"""),3.0)</f>
        <v>3</v>
      </c>
      <c r="F193" s="88">
        <f>IFERROR(__xludf.DUMMYFUNCTION("""COMPUTED_VALUE"""),0.0)</f>
        <v>0</v>
      </c>
      <c r="G193" s="88">
        <f>IFERROR(__xludf.DUMMYFUNCTION("""COMPUTED_VALUE"""),9.0)</f>
        <v>9</v>
      </c>
      <c r="H193" s="88">
        <f>IFERROR(__xludf.DUMMYFUNCTION("""COMPUTED_VALUE"""),0.0)</f>
        <v>0</v>
      </c>
      <c r="I193" s="88">
        <f>IFERROR(__xludf.DUMMYFUNCTION("""COMPUTED_VALUE"""),0.0)</f>
        <v>0</v>
      </c>
      <c r="J193" s="88">
        <f>IFERROR(__xludf.DUMMYFUNCTION("""COMPUTED_VALUE"""),0.0)</f>
        <v>0</v>
      </c>
      <c r="K193" s="88">
        <f>IFERROR(__xludf.DUMMYFUNCTION("""COMPUTED_VALUE"""),9.0)</f>
        <v>9</v>
      </c>
      <c r="L193" s="88">
        <f>IFERROR(__xludf.DUMMYFUNCTION("""COMPUTED_VALUE"""),0.0)</f>
        <v>0</v>
      </c>
      <c r="M193" s="89">
        <f>IFERROR(__xludf.DUMMYFUNCTION("""COMPUTED_VALUE"""),168.0)</f>
        <v>168</v>
      </c>
      <c r="N193" s="89">
        <f>IFERROR(__xludf.DUMMYFUNCTION("""COMPUTED_VALUE"""),6.0)</f>
        <v>6</v>
      </c>
    </row>
    <row r="194">
      <c r="A194" s="11"/>
      <c r="B194" s="82" t="str">
        <f>IFERROR(__xludf.DUMMYFUNCTION("""COMPUTED_VALUE"""),"Vinz Solano")</f>
        <v>Vinz Solano</v>
      </c>
      <c r="C194" s="87">
        <f>IFERROR(__xludf.DUMMYFUNCTION("""COMPUTED_VALUE"""),158.0)</f>
        <v>158</v>
      </c>
      <c r="D194" s="87">
        <f>IFERROR(__xludf.DUMMYFUNCTION("""COMPUTED_VALUE"""),8.0)</f>
        <v>8</v>
      </c>
      <c r="E194" s="86">
        <f>IFERROR(__xludf.DUMMYFUNCTION("""COMPUTED_VALUE"""),3.0)</f>
        <v>3</v>
      </c>
      <c r="F194" s="88">
        <f>IFERROR(__xludf.DUMMYFUNCTION("""COMPUTED_VALUE"""),0.0)</f>
        <v>0</v>
      </c>
      <c r="G194" s="88">
        <f>IFERROR(__xludf.DUMMYFUNCTION("""COMPUTED_VALUE"""),9.0)</f>
        <v>9</v>
      </c>
      <c r="H194" s="88">
        <f>IFERROR(__xludf.DUMMYFUNCTION("""COMPUTED_VALUE"""),0.0)</f>
        <v>0</v>
      </c>
      <c r="I194" s="88">
        <f>IFERROR(__xludf.DUMMYFUNCTION("""COMPUTED_VALUE"""),0.0)</f>
        <v>0</v>
      </c>
      <c r="J194" s="88">
        <f>IFERROR(__xludf.DUMMYFUNCTION("""COMPUTED_VALUE"""),0.0)</f>
        <v>0</v>
      </c>
      <c r="K194" s="88">
        <f>IFERROR(__xludf.DUMMYFUNCTION("""COMPUTED_VALUE"""),9.0)</f>
        <v>9</v>
      </c>
      <c r="L194" s="88">
        <f>IFERROR(__xludf.DUMMYFUNCTION("""COMPUTED_VALUE"""),0.0)</f>
        <v>0</v>
      </c>
      <c r="M194" s="89">
        <f>IFERROR(__xludf.DUMMYFUNCTION("""COMPUTED_VALUE"""),167.0)</f>
        <v>167</v>
      </c>
      <c r="N194" s="89">
        <f>IFERROR(__xludf.DUMMYFUNCTION("""COMPUTED_VALUE"""),8.0)</f>
        <v>8</v>
      </c>
    </row>
    <row r="195">
      <c r="A195" s="11"/>
      <c r="B195" s="82" t="str">
        <f>IFERROR(__xludf.DUMMYFUNCTION("""COMPUTED_VALUE"""),"Santosh Sundaresan ")</f>
        <v>Santosh Sundaresan </v>
      </c>
      <c r="C195" s="87">
        <f>IFERROR(__xludf.DUMMYFUNCTION("""COMPUTED_VALUE"""),156.0)</f>
        <v>156</v>
      </c>
      <c r="D195" s="87">
        <f>IFERROR(__xludf.DUMMYFUNCTION("""COMPUTED_VALUE"""),5.0)</f>
        <v>5</v>
      </c>
      <c r="E195" s="86">
        <f>IFERROR(__xludf.DUMMYFUNCTION("""COMPUTED_VALUE"""),3.0)</f>
        <v>3</v>
      </c>
      <c r="F195" s="88">
        <f>IFERROR(__xludf.DUMMYFUNCTION("""COMPUTED_VALUE"""),0.0)</f>
        <v>0</v>
      </c>
      <c r="G195" s="88">
        <f>IFERROR(__xludf.DUMMYFUNCTION("""COMPUTED_VALUE"""),9.0)</f>
        <v>9</v>
      </c>
      <c r="H195" s="88">
        <f>IFERROR(__xludf.DUMMYFUNCTION("""COMPUTED_VALUE"""),0.0)</f>
        <v>0</v>
      </c>
      <c r="I195" s="88">
        <f>IFERROR(__xludf.DUMMYFUNCTION("""COMPUTED_VALUE"""),0.0)</f>
        <v>0</v>
      </c>
      <c r="J195" s="88">
        <f>IFERROR(__xludf.DUMMYFUNCTION("""COMPUTED_VALUE"""),0.0)</f>
        <v>0</v>
      </c>
      <c r="K195" s="88">
        <f>IFERROR(__xludf.DUMMYFUNCTION("""COMPUTED_VALUE"""),9.0)</f>
        <v>9</v>
      </c>
      <c r="L195" s="88">
        <f>IFERROR(__xludf.DUMMYFUNCTION("""COMPUTED_VALUE"""),0.0)</f>
        <v>0</v>
      </c>
      <c r="M195" s="89">
        <f>IFERROR(__xludf.DUMMYFUNCTION("""COMPUTED_VALUE"""),165.0)</f>
        <v>165</v>
      </c>
      <c r="N195" s="89">
        <f>IFERROR(__xludf.DUMMYFUNCTION("""COMPUTED_VALUE"""),5.0)</f>
        <v>5</v>
      </c>
    </row>
    <row r="196">
      <c r="A196" s="11"/>
      <c r="B196" s="82" t="str">
        <f>IFERROR(__xludf.DUMMYFUNCTION("""COMPUTED_VALUE"""),"Naveen Raj")</f>
        <v>Naveen Raj</v>
      </c>
      <c r="C196" s="87">
        <f>IFERROR(__xludf.DUMMYFUNCTION("""COMPUTED_VALUE"""),154.0)</f>
        <v>154</v>
      </c>
      <c r="D196" s="87">
        <f>IFERROR(__xludf.DUMMYFUNCTION("""COMPUTED_VALUE"""),4.0)</f>
        <v>4</v>
      </c>
      <c r="E196" s="86">
        <f>IFERROR(__xludf.DUMMYFUNCTION("""COMPUTED_VALUE"""),3.0)</f>
        <v>3</v>
      </c>
      <c r="F196" s="88">
        <f>IFERROR(__xludf.DUMMYFUNCTION("""COMPUTED_VALUE"""),0.0)</f>
        <v>0</v>
      </c>
      <c r="G196" s="88">
        <f>IFERROR(__xludf.DUMMYFUNCTION("""COMPUTED_VALUE"""),9.0)</f>
        <v>9</v>
      </c>
      <c r="H196" s="88">
        <f>IFERROR(__xludf.DUMMYFUNCTION("""COMPUTED_VALUE"""),0.0)</f>
        <v>0</v>
      </c>
      <c r="I196" s="88">
        <f>IFERROR(__xludf.DUMMYFUNCTION("""COMPUTED_VALUE"""),0.0)</f>
        <v>0</v>
      </c>
      <c r="J196" s="88">
        <f>IFERROR(__xludf.DUMMYFUNCTION("""COMPUTED_VALUE"""),0.0)</f>
        <v>0</v>
      </c>
      <c r="K196" s="88">
        <f>IFERROR(__xludf.DUMMYFUNCTION("""COMPUTED_VALUE"""),9.0)</f>
        <v>9</v>
      </c>
      <c r="L196" s="88">
        <f>IFERROR(__xludf.DUMMYFUNCTION("""COMPUTED_VALUE"""),0.0)</f>
        <v>0</v>
      </c>
      <c r="M196" s="89">
        <f>IFERROR(__xludf.DUMMYFUNCTION("""COMPUTED_VALUE"""),163.0)</f>
        <v>163</v>
      </c>
      <c r="N196" s="89">
        <f>IFERROR(__xludf.DUMMYFUNCTION("""COMPUTED_VALUE"""),4.0)</f>
        <v>4</v>
      </c>
    </row>
    <row r="197">
      <c r="A197" s="11"/>
      <c r="B197" s="82" t="str">
        <f>IFERROR(__xludf.DUMMYFUNCTION("""COMPUTED_VALUE"""),"Eric Tan")</f>
        <v>Eric Tan</v>
      </c>
      <c r="C197" s="87">
        <f>IFERROR(__xludf.DUMMYFUNCTION("""COMPUTED_VALUE"""),151.0)</f>
        <v>151</v>
      </c>
      <c r="D197" s="87">
        <f>IFERROR(__xludf.DUMMYFUNCTION("""COMPUTED_VALUE"""),11.0)</f>
        <v>11</v>
      </c>
      <c r="E197" s="86">
        <f>IFERROR(__xludf.DUMMYFUNCTION("""COMPUTED_VALUE"""),3.0)</f>
        <v>3</v>
      </c>
      <c r="F197" s="88">
        <f>IFERROR(__xludf.DUMMYFUNCTION("""COMPUTED_VALUE"""),0.0)</f>
        <v>0</v>
      </c>
      <c r="G197" s="88">
        <f>IFERROR(__xludf.DUMMYFUNCTION("""COMPUTED_VALUE"""),9.0)</f>
        <v>9</v>
      </c>
      <c r="H197" s="88">
        <f>IFERROR(__xludf.DUMMYFUNCTION("""COMPUTED_VALUE"""),0.0)</f>
        <v>0</v>
      </c>
      <c r="I197" s="88">
        <f>IFERROR(__xludf.DUMMYFUNCTION("""COMPUTED_VALUE"""),0.0)</f>
        <v>0</v>
      </c>
      <c r="J197" s="88">
        <f>IFERROR(__xludf.DUMMYFUNCTION("""COMPUTED_VALUE"""),0.0)</f>
        <v>0</v>
      </c>
      <c r="K197" s="88">
        <f>IFERROR(__xludf.DUMMYFUNCTION("""COMPUTED_VALUE"""),9.0)</f>
        <v>9</v>
      </c>
      <c r="L197" s="88">
        <f>IFERROR(__xludf.DUMMYFUNCTION("""COMPUTED_VALUE"""),0.0)</f>
        <v>0</v>
      </c>
      <c r="M197" s="89">
        <f>IFERROR(__xludf.DUMMYFUNCTION("""COMPUTED_VALUE"""),160.0)</f>
        <v>160</v>
      </c>
      <c r="N197" s="89">
        <f>IFERROR(__xludf.DUMMYFUNCTION("""COMPUTED_VALUE"""),11.0)</f>
        <v>11</v>
      </c>
    </row>
    <row r="198">
      <c r="A198" s="11"/>
      <c r="B198" s="82" t="str">
        <f>IFERROR(__xludf.DUMMYFUNCTION("""COMPUTED_VALUE"""),"Vinaya Kajla")</f>
        <v>Vinaya Kajla</v>
      </c>
      <c r="C198" s="87">
        <f>IFERROR(__xludf.DUMMYFUNCTION("""COMPUTED_VALUE"""),151.0)</f>
        <v>151</v>
      </c>
      <c r="D198" s="87">
        <f>IFERROR(__xludf.DUMMYFUNCTION("""COMPUTED_VALUE"""),9.0)</f>
        <v>9</v>
      </c>
      <c r="E198" s="86">
        <f>IFERROR(__xludf.DUMMYFUNCTION("""COMPUTED_VALUE"""),3.0)</f>
        <v>3</v>
      </c>
      <c r="F198" s="88">
        <f>IFERROR(__xludf.DUMMYFUNCTION("""COMPUTED_VALUE"""),0.0)</f>
        <v>0</v>
      </c>
      <c r="G198" s="88">
        <f>IFERROR(__xludf.DUMMYFUNCTION("""COMPUTED_VALUE"""),9.0)</f>
        <v>9</v>
      </c>
      <c r="H198" s="88">
        <f>IFERROR(__xludf.DUMMYFUNCTION("""COMPUTED_VALUE"""),0.0)</f>
        <v>0</v>
      </c>
      <c r="I198" s="88">
        <f>IFERROR(__xludf.DUMMYFUNCTION("""COMPUTED_VALUE"""),0.0)</f>
        <v>0</v>
      </c>
      <c r="J198" s="88">
        <f>IFERROR(__xludf.DUMMYFUNCTION("""COMPUTED_VALUE"""),0.0)</f>
        <v>0</v>
      </c>
      <c r="K198" s="88">
        <f>IFERROR(__xludf.DUMMYFUNCTION("""COMPUTED_VALUE"""),9.0)</f>
        <v>9</v>
      </c>
      <c r="L198" s="88">
        <f>IFERROR(__xludf.DUMMYFUNCTION("""COMPUTED_VALUE"""),0.0)</f>
        <v>0</v>
      </c>
      <c r="M198" s="89">
        <f>IFERROR(__xludf.DUMMYFUNCTION("""COMPUTED_VALUE"""),160.0)</f>
        <v>160</v>
      </c>
      <c r="N198" s="89">
        <f>IFERROR(__xludf.DUMMYFUNCTION("""COMPUTED_VALUE"""),9.0)</f>
        <v>9</v>
      </c>
    </row>
    <row r="199">
      <c r="A199" s="11"/>
      <c r="B199" s="82" t="str">
        <f>IFERROR(__xludf.DUMMYFUNCTION("""COMPUTED_VALUE"""),"Susanta Mishra")</f>
        <v>Susanta Mishra</v>
      </c>
      <c r="C199" s="87">
        <f>IFERROR(__xludf.DUMMYFUNCTION("""COMPUTED_VALUE"""),151.0)</f>
        <v>151</v>
      </c>
      <c r="D199" s="87">
        <f>IFERROR(__xludf.DUMMYFUNCTION("""COMPUTED_VALUE"""),3.0)</f>
        <v>3</v>
      </c>
      <c r="E199" s="86">
        <f>IFERROR(__xludf.DUMMYFUNCTION("""COMPUTED_VALUE"""),3.0)</f>
        <v>3</v>
      </c>
      <c r="F199" s="88">
        <f>IFERROR(__xludf.DUMMYFUNCTION("""COMPUTED_VALUE"""),0.0)</f>
        <v>0</v>
      </c>
      <c r="G199" s="88">
        <f>IFERROR(__xludf.DUMMYFUNCTION("""COMPUTED_VALUE"""),9.0)</f>
        <v>9</v>
      </c>
      <c r="H199" s="88">
        <f>IFERROR(__xludf.DUMMYFUNCTION("""COMPUTED_VALUE"""),0.0)</f>
        <v>0</v>
      </c>
      <c r="I199" s="88">
        <f>IFERROR(__xludf.DUMMYFUNCTION("""COMPUTED_VALUE"""),0.0)</f>
        <v>0</v>
      </c>
      <c r="J199" s="88">
        <f>IFERROR(__xludf.DUMMYFUNCTION("""COMPUTED_VALUE"""),0.0)</f>
        <v>0</v>
      </c>
      <c r="K199" s="88">
        <f>IFERROR(__xludf.DUMMYFUNCTION("""COMPUTED_VALUE"""),9.0)</f>
        <v>9</v>
      </c>
      <c r="L199" s="88">
        <f>IFERROR(__xludf.DUMMYFUNCTION("""COMPUTED_VALUE"""),0.0)</f>
        <v>0</v>
      </c>
      <c r="M199" s="89">
        <f>IFERROR(__xludf.DUMMYFUNCTION("""COMPUTED_VALUE"""),160.0)</f>
        <v>160</v>
      </c>
      <c r="N199" s="89">
        <f>IFERROR(__xludf.DUMMYFUNCTION("""COMPUTED_VALUE"""),3.0)</f>
        <v>3</v>
      </c>
    </row>
    <row r="200">
      <c r="A200" s="11"/>
      <c r="B200" s="82" t="str">
        <f>IFERROR(__xludf.DUMMYFUNCTION("""COMPUTED_VALUE"""),"Trinath Goteti")</f>
        <v>Trinath Goteti</v>
      </c>
      <c r="C200" s="87">
        <f>IFERROR(__xludf.DUMMYFUNCTION("""COMPUTED_VALUE"""),148.0)</f>
        <v>148</v>
      </c>
      <c r="D200" s="87">
        <f>IFERROR(__xludf.DUMMYFUNCTION("""COMPUTED_VALUE"""),4.0)</f>
        <v>4</v>
      </c>
      <c r="E200" s="86">
        <f>IFERROR(__xludf.DUMMYFUNCTION("""COMPUTED_VALUE"""),3.0)</f>
        <v>3</v>
      </c>
      <c r="F200" s="88">
        <f>IFERROR(__xludf.DUMMYFUNCTION("""COMPUTED_VALUE"""),0.0)</f>
        <v>0</v>
      </c>
      <c r="G200" s="88">
        <f>IFERROR(__xludf.DUMMYFUNCTION("""COMPUTED_VALUE"""),9.0)</f>
        <v>9</v>
      </c>
      <c r="H200" s="88">
        <f>IFERROR(__xludf.DUMMYFUNCTION("""COMPUTED_VALUE"""),0.0)</f>
        <v>0</v>
      </c>
      <c r="I200" s="88">
        <f>IFERROR(__xludf.DUMMYFUNCTION("""COMPUTED_VALUE"""),0.0)</f>
        <v>0</v>
      </c>
      <c r="J200" s="88">
        <f>IFERROR(__xludf.DUMMYFUNCTION("""COMPUTED_VALUE"""),0.0)</f>
        <v>0</v>
      </c>
      <c r="K200" s="88">
        <f>IFERROR(__xludf.DUMMYFUNCTION("""COMPUTED_VALUE"""),9.0)</f>
        <v>9</v>
      </c>
      <c r="L200" s="88">
        <f>IFERROR(__xludf.DUMMYFUNCTION("""COMPUTED_VALUE"""),0.0)</f>
        <v>0</v>
      </c>
      <c r="M200" s="89">
        <f>IFERROR(__xludf.DUMMYFUNCTION("""COMPUTED_VALUE"""),157.0)</f>
        <v>157</v>
      </c>
      <c r="N200" s="89">
        <f>IFERROR(__xludf.DUMMYFUNCTION("""COMPUTED_VALUE"""),4.0)</f>
        <v>4</v>
      </c>
    </row>
    <row r="201">
      <c r="A201" s="11"/>
      <c r="B201" s="82" t="str">
        <f>IFERROR(__xludf.DUMMYFUNCTION("""COMPUTED_VALUE"""),"Rajesh Dorairaj")</f>
        <v>Rajesh Dorairaj</v>
      </c>
      <c r="C201" s="87">
        <f>IFERROR(__xludf.DUMMYFUNCTION("""COMPUTED_VALUE"""),145.0)</f>
        <v>145</v>
      </c>
      <c r="D201" s="87">
        <f>IFERROR(__xludf.DUMMYFUNCTION("""COMPUTED_VALUE"""),6.0)</f>
        <v>6</v>
      </c>
      <c r="E201" s="86">
        <f>IFERROR(__xludf.DUMMYFUNCTION("""COMPUTED_VALUE"""),3.0)</f>
        <v>3</v>
      </c>
      <c r="F201" s="88">
        <f>IFERROR(__xludf.DUMMYFUNCTION("""COMPUTED_VALUE"""),0.0)</f>
        <v>0</v>
      </c>
      <c r="G201" s="88">
        <f>IFERROR(__xludf.DUMMYFUNCTION("""COMPUTED_VALUE"""),9.0)</f>
        <v>9</v>
      </c>
      <c r="H201" s="88">
        <f>IFERROR(__xludf.DUMMYFUNCTION("""COMPUTED_VALUE"""),0.0)</f>
        <v>0</v>
      </c>
      <c r="I201" s="88">
        <f>IFERROR(__xludf.DUMMYFUNCTION("""COMPUTED_VALUE"""),0.0)</f>
        <v>0</v>
      </c>
      <c r="J201" s="88">
        <f>IFERROR(__xludf.DUMMYFUNCTION("""COMPUTED_VALUE"""),0.0)</f>
        <v>0</v>
      </c>
      <c r="K201" s="88">
        <f>IFERROR(__xludf.DUMMYFUNCTION("""COMPUTED_VALUE"""),9.0)</f>
        <v>9</v>
      </c>
      <c r="L201" s="88">
        <f>IFERROR(__xludf.DUMMYFUNCTION("""COMPUTED_VALUE"""),0.0)</f>
        <v>0</v>
      </c>
      <c r="M201" s="89">
        <f>IFERROR(__xludf.DUMMYFUNCTION("""COMPUTED_VALUE"""),154.0)</f>
        <v>154</v>
      </c>
      <c r="N201" s="89">
        <f>IFERROR(__xludf.DUMMYFUNCTION("""COMPUTED_VALUE"""),6.0)</f>
        <v>6</v>
      </c>
    </row>
    <row r="202">
      <c r="A202" s="11"/>
      <c r="B202" s="82" t="str">
        <f>IFERROR(__xludf.DUMMYFUNCTION("""COMPUTED_VALUE"""),"Nohely Mejia")</f>
        <v>Nohely Mejia</v>
      </c>
      <c r="C202" s="87">
        <f>IFERROR(__xludf.DUMMYFUNCTION("""COMPUTED_VALUE"""),145.0)</f>
        <v>145</v>
      </c>
      <c r="D202" s="87">
        <f>IFERROR(__xludf.DUMMYFUNCTION("""COMPUTED_VALUE"""),3.0)</f>
        <v>3</v>
      </c>
      <c r="E202" s="86">
        <f>IFERROR(__xludf.DUMMYFUNCTION("""COMPUTED_VALUE"""),3.0)</f>
        <v>3</v>
      </c>
      <c r="F202" s="88">
        <f>IFERROR(__xludf.DUMMYFUNCTION("""COMPUTED_VALUE"""),0.0)</f>
        <v>0</v>
      </c>
      <c r="G202" s="88">
        <f>IFERROR(__xludf.DUMMYFUNCTION("""COMPUTED_VALUE"""),9.0)</f>
        <v>9</v>
      </c>
      <c r="H202" s="88">
        <f>IFERROR(__xludf.DUMMYFUNCTION("""COMPUTED_VALUE"""),0.0)</f>
        <v>0</v>
      </c>
      <c r="I202" s="88">
        <f>IFERROR(__xludf.DUMMYFUNCTION("""COMPUTED_VALUE"""),0.0)</f>
        <v>0</v>
      </c>
      <c r="J202" s="88">
        <f>IFERROR(__xludf.DUMMYFUNCTION("""COMPUTED_VALUE"""),0.0)</f>
        <v>0</v>
      </c>
      <c r="K202" s="88">
        <f>IFERROR(__xludf.DUMMYFUNCTION("""COMPUTED_VALUE"""),9.0)</f>
        <v>9</v>
      </c>
      <c r="L202" s="88">
        <f>IFERROR(__xludf.DUMMYFUNCTION("""COMPUTED_VALUE"""),0.0)</f>
        <v>0</v>
      </c>
      <c r="M202" s="89">
        <f>IFERROR(__xludf.DUMMYFUNCTION("""COMPUTED_VALUE"""),154.0)</f>
        <v>154</v>
      </c>
      <c r="N202" s="89">
        <f>IFERROR(__xludf.DUMMYFUNCTION("""COMPUTED_VALUE"""),3.0)</f>
        <v>3</v>
      </c>
    </row>
    <row r="203">
      <c r="A203" s="11"/>
      <c r="B203" s="82" t="str">
        <f>IFERROR(__xludf.DUMMYFUNCTION("""COMPUTED_VALUE"""),"Eric Pan")</f>
        <v>Eric Pan</v>
      </c>
      <c r="C203" s="87">
        <f>IFERROR(__xludf.DUMMYFUNCTION("""COMPUTED_VALUE"""),144.0)</f>
        <v>144</v>
      </c>
      <c r="D203" s="87">
        <f>IFERROR(__xludf.DUMMYFUNCTION("""COMPUTED_VALUE"""),3.0)</f>
        <v>3</v>
      </c>
      <c r="E203" s="86">
        <f>IFERROR(__xludf.DUMMYFUNCTION("""COMPUTED_VALUE"""),3.0)</f>
        <v>3</v>
      </c>
      <c r="F203" s="88">
        <f>IFERROR(__xludf.DUMMYFUNCTION("""COMPUTED_VALUE"""),0.0)</f>
        <v>0</v>
      </c>
      <c r="G203" s="88">
        <f>IFERROR(__xludf.DUMMYFUNCTION("""COMPUTED_VALUE"""),9.0)</f>
        <v>9</v>
      </c>
      <c r="H203" s="88">
        <f>IFERROR(__xludf.DUMMYFUNCTION("""COMPUTED_VALUE"""),0.0)</f>
        <v>0</v>
      </c>
      <c r="I203" s="88">
        <f>IFERROR(__xludf.DUMMYFUNCTION("""COMPUTED_VALUE"""),0.0)</f>
        <v>0</v>
      </c>
      <c r="J203" s="88">
        <f>IFERROR(__xludf.DUMMYFUNCTION("""COMPUTED_VALUE"""),0.0)</f>
        <v>0</v>
      </c>
      <c r="K203" s="88">
        <f>IFERROR(__xludf.DUMMYFUNCTION("""COMPUTED_VALUE"""),9.0)</f>
        <v>9</v>
      </c>
      <c r="L203" s="88">
        <f>IFERROR(__xludf.DUMMYFUNCTION("""COMPUTED_VALUE"""),0.0)</f>
        <v>0</v>
      </c>
      <c r="M203" s="89">
        <f>IFERROR(__xludf.DUMMYFUNCTION("""COMPUTED_VALUE"""),153.0)</f>
        <v>153</v>
      </c>
      <c r="N203" s="89">
        <f>IFERROR(__xludf.DUMMYFUNCTION("""COMPUTED_VALUE"""),3.0)</f>
        <v>3</v>
      </c>
    </row>
    <row r="204">
      <c r="A204" s="11"/>
      <c r="B204" s="82" t="str">
        <f>IFERROR(__xludf.DUMMYFUNCTION("""COMPUTED_VALUE"""),"Vishnu Amarnath")</f>
        <v>Vishnu Amarnath</v>
      </c>
      <c r="C204" s="87">
        <f>IFERROR(__xludf.DUMMYFUNCTION("""COMPUTED_VALUE"""),144.0)</f>
        <v>144</v>
      </c>
      <c r="D204" s="87">
        <f>IFERROR(__xludf.DUMMYFUNCTION("""COMPUTED_VALUE"""),3.0)</f>
        <v>3</v>
      </c>
      <c r="E204" s="86">
        <f>IFERROR(__xludf.DUMMYFUNCTION("""COMPUTED_VALUE"""),4.0)</f>
        <v>4</v>
      </c>
      <c r="F204" s="88">
        <f>IFERROR(__xludf.DUMMYFUNCTION("""COMPUTED_VALUE"""),0.0)</f>
        <v>0</v>
      </c>
      <c r="G204" s="88">
        <f>IFERROR(__xludf.DUMMYFUNCTION("""COMPUTED_VALUE"""),9.0)</f>
        <v>9</v>
      </c>
      <c r="H204" s="88">
        <f>IFERROR(__xludf.DUMMYFUNCTION("""COMPUTED_VALUE"""),0.0)</f>
        <v>0</v>
      </c>
      <c r="I204" s="88">
        <f>IFERROR(__xludf.DUMMYFUNCTION("""COMPUTED_VALUE"""),0.0)</f>
        <v>0</v>
      </c>
      <c r="J204" s="88">
        <f>IFERROR(__xludf.DUMMYFUNCTION("""COMPUTED_VALUE"""),0.0)</f>
        <v>0</v>
      </c>
      <c r="K204" s="88">
        <f>IFERROR(__xludf.DUMMYFUNCTION("""COMPUTED_VALUE"""),9.0)</f>
        <v>9</v>
      </c>
      <c r="L204" s="88">
        <f>IFERROR(__xludf.DUMMYFUNCTION("""COMPUTED_VALUE"""),0.0)</f>
        <v>0</v>
      </c>
      <c r="M204" s="89">
        <f>IFERROR(__xludf.DUMMYFUNCTION("""COMPUTED_VALUE"""),153.0)</f>
        <v>153</v>
      </c>
      <c r="N204" s="89">
        <f>IFERROR(__xludf.DUMMYFUNCTION("""COMPUTED_VALUE"""),3.0)</f>
        <v>3</v>
      </c>
    </row>
    <row r="205">
      <c r="A205" s="11"/>
      <c r="B205" s="82" t="str">
        <f>IFERROR(__xludf.DUMMYFUNCTION("""COMPUTED_VALUE"""),"Leigh-Anh Nguyen")</f>
        <v>Leigh-Anh Nguyen</v>
      </c>
      <c r="C205" s="87">
        <f>IFERROR(__xludf.DUMMYFUNCTION("""COMPUTED_VALUE"""),140.0)</f>
        <v>140</v>
      </c>
      <c r="D205" s="87">
        <f>IFERROR(__xludf.DUMMYFUNCTION("""COMPUTED_VALUE"""),4.0)</f>
        <v>4</v>
      </c>
      <c r="E205" s="86">
        <f>IFERROR(__xludf.DUMMYFUNCTION("""COMPUTED_VALUE"""),3.0)</f>
        <v>3</v>
      </c>
      <c r="F205" s="88">
        <f>IFERROR(__xludf.DUMMYFUNCTION("""COMPUTED_VALUE"""),0.0)</f>
        <v>0</v>
      </c>
      <c r="G205" s="88">
        <f>IFERROR(__xludf.DUMMYFUNCTION("""COMPUTED_VALUE"""),9.0)</f>
        <v>9</v>
      </c>
      <c r="H205" s="88">
        <f>IFERROR(__xludf.DUMMYFUNCTION("""COMPUTED_VALUE"""),0.0)</f>
        <v>0</v>
      </c>
      <c r="I205" s="88">
        <f>IFERROR(__xludf.DUMMYFUNCTION("""COMPUTED_VALUE"""),0.0)</f>
        <v>0</v>
      </c>
      <c r="J205" s="88">
        <f>IFERROR(__xludf.DUMMYFUNCTION("""COMPUTED_VALUE"""),0.0)</f>
        <v>0</v>
      </c>
      <c r="K205" s="88">
        <f>IFERROR(__xludf.DUMMYFUNCTION("""COMPUTED_VALUE"""),9.0)</f>
        <v>9</v>
      </c>
      <c r="L205" s="88">
        <f>IFERROR(__xludf.DUMMYFUNCTION("""COMPUTED_VALUE"""),0.0)</f>
        <v>0</v>
      </c>
      <c r="M205" s="89">
        <f>IFERROR(__xludf.DUMMYFUNCTION("""COMPUTED_VALUE"""),149.0)</f>
        <v>149</v>
      </c>
      <c r="N205" s="89">
        <f>IFERROR(__xludf.DUMMYFUNCTION("""COMPUTED_VALUE"""),4.0)</f>
        <v>4</v>
      </c>
    </row>
    <row r="206">
      <c r="A206" s="11"/>
      <c r="B206" s="82" t="str">
        <f>IFERROR(__xludf.DUMMYFUNCTION("""COMPUTED_VALUE"""),"Peter Homsey")</f>
        <v>Peter Homsey</v>
      </c>
      <c r="C206" s="86">
        <f>IFERROR(__xludf.DUMMYFUNCTION("""COMPUTED_VALUE"""),139.0)</f>
        <v>139</v>
      </c>
      <c r="D206" s="87">
        <f>IFERROR(__xludf.DUMMYFUNCTION("""COMPUTED_VALUE"""),0.0)</f>
        <v>0</v>
      </c>
      <c r="E206" s="86">
        <f>IFERROR(__xludf.DUMMYFUNCTION("""COMPUTED_VALUE"""),3.0)</f>
        <v>3</v>
      </c>
      <c r="F206" s="88">
        <f>IFERROR(__xludf.DUMMYFUNCTION("""COMPUTED_VALUE"""),0.0)</f>
        <v>0</v>
      </c>
      <c r="G206" s="88">
        <f>IFERROR(__xludf.DUMMYFUNCTION("""COMPUTED_VALUE"""),9.0)</f>
        <v>9</v>
      </c>
      <c r="H206" s="88">
        <f>IFERROR(__xludf.DUMMYFUNCTION("""COMPUTED_VALUE"""),0.0)</f>
        <v>0</v>
      </c>
      <c r="I206" s="88">
        <f>IFERROR(__xludf.DUMMYFUNCTION("""COMPUTED_VALUE"""),0.0)</f>
        <v>0</v>
      </c>
      <c r="J206" s="88">
        <f>IFERROR(__xludf.DUMMYFUNCTION("""COMPUTED_VALUE"""),0.0)</f>
        <v>0</v>
      </c>
      <c r="K206" s="88">
        <f>IFERROR(__xludf.DUMMYFUNCTION("""COMPUTED_VALUE"""),9.0)</f>
        <v>9</v>
      </c>
      <c r="L206" s="88">
        <f>IFERROR(__xludf.DUMMYFUNCTION("""COMPUTED_VALUE"""),0.0)</f>
        <v>0</v>
      </c>
      <c r="M206" s="88">
        <f>IFERROR(__xludf.DUMMYFUNCTION("""COMPUTED_VALUE"""),148.0)</f>
        <v>148</v>
      </c>
      <c r="N206" s="89">
        <f>IFERROR(__xludf.DUMMYFUNCTION("""COMPUTED_VALUE"""),0.0)</f>
        <v>0</v>
      </c>
    </row>
    <row r="207">
      <c r="A207" s="11"/>
      <c r="B207" s="82" t="str">
        <f>IFERROR(__xludf.DUMMYFUNCTION("""COMPUTED_VALUE"""),"Amit Patel")</f>
        <v>Amit Patel</v>
      </c>
      <c r="C207" s="86">
        <f>IFERROR(__xludf.DUMMYFUNCTION("""COMPUTED_VALUE"""),139.0)</f>
        <v>139</v>
      </c>
      <c r="D207" s="87">
        <f>IFERROR(__xludf.DUMMYFUNCTION("""COMPUTED_VALUE"""),0.0)</f>
        <v>0</v>
      </c>
      <c r="E207" s="86">
        <f>IFERROR(__xludf.DUMMYFUNCTION("""COMPUTED_VALUE"""),3.0)</f>
        <v>3</v>
      </c>
      <c r="F207" s="88">
        <f>IFERROR(__xludf.DUMMYFUNCTION("""COMPUTED_VALUE"""),0.0)</f>
        <v>0</v>
      </c>
      <c r="G207" s="88">
        <f>IFERROR(__xludf.DUMMYFUNCTION("""COMPUTED_VALUE"""),9.0)</f>
        <v>9</v>
      </c>
      <c r="H207" s="88">
        <f>IFERROR(__xludf.DUMMYFUNCTION("""COMPUTED_VALUE"""),0.0)</f>
        <v>0</v>
      </c>
      <c r="I207" s="88">
        <f>IFERROR(__xludf.DUMMYFUNCTION("""COMPUTED_VALUE"""),0.0)</f>
        <v>0</v>
      </c>
      <c r="J207" s="88">
        <f>IFERROR(__xludf.DUMMYFUNCTION("""COMPUTED_VALUE"""),0.0)</f>
        <v>0</v>
      </c>
      <c r="K207" s="88">
        <f>IFERROR(__xludf.DUMMYFUNCTION("""COMPUTED_VALUE"""),9.0)</f>
        <v>9</v>
      </c>
      <c r="L207" s="88">
        <f>IFERROR(__xludf.DUMMYFUNCTION("""COMPUTED_VALUE"""),0.0)</f>
        <v>0</v>
      </c>
      <c r="M207" s="88">
        <f>IFERROR(__xludf.DUMMYFUNCTION("""COMPUTED_VALUE"""),148.0)</f>
        <v>148</v>
      </c>
      <c r="N207" s="89">
        <f>IFERROR(__xludf.DUMMYFUNCTION("""COMPUTED_VALUE"""),0.0)</f>
        <v>0</v>
      </c>
    </row>
    <row r="208">
      <c r="A208" s="11"/>
      <c r="B208" s="82" t="str">
        <f>IFERROR(__xludf.DUMMYFUNCTION("""COMPUTED_VALUE"""),"Jose Ortiz")</f>
        <v>Jose Ortiz</v>
      </c>
      <c r="C208" s="86">
        <f>IFERROR(__xludf.DUMMYFUNCTION("""COMPUTED_VALUE"""),126.0)</f>
        <v>126</v>
      </c>
      <c r="D208" s="87">
        <f>IFERROR(__xludf.DUMMYFUNCTION("""COMPUTED_VALUE"""),0.0)</f>
        <v>0</v>
      </c>
      <c r="E208" s="86">
        <f>IFERROR(__xludf.DUMMYFUNCTION("""COMPUTED_VALUE"""),3.0)</f>
        <v>3</v>
      </c>
      <c r="F208" s="88">
        <f>IFERROR(__xludf.DUMMYFUNCTION("""COMPUTED_VALUE"""),0.0)</f>
        <v>0</v>
      </c>
      <c r="G208" s="88">
        <f>IFERROR(__xludf.DUMMYFUNCTION("""COMPUTED_VALUE"""),9.0)</f>
        <v>9</v>
      </c>
      <c r="H208" s="88">
        <f>IFERROR(__xludf.DUMMYFUNCTION("""COMPUTED_VALUE"""),0.0)</f>
        <v>0</v>
      </c>
      <c r="I208" s="88">
        <f>IFERROR(__xludf.DUMMYFUNCTION("""COMPUTED_VALUE"""),0.0)</f>
        <v>0</v>
      </c>
      <c r="J208" s="88">
        <f>IFERROR(__xludf.DUMMYFUNCTION("""COMPUTED_VALUE"""),0.0)</f>
        <v>0</v>
      </c>
      <c r="K208" s="88">
        <f>IFERROR(__xludf.DUMMYFUNCTION("""COMPUTED_VALUE"""),9.0)</f>
        <v>9</v>
      </c>
      <c r="L208" s="88">
        <f>IFERROR(__xludf.DUMMYFUNCTION("""COMPUTED_VALUE"""),0.0)</f>
        <v>0</v>
      </c>
      <c r="M208" s="88">
        <f>IFERROR(__xludf.DUMMYFUNCTION("""COMPUTED_VALUE"""),135.0)</f>
        <v>135</v>
      </c>
      <c r="N208" s="89">
        <f>IFERROR(__xludf.DUMMYFUNCTION("""COMPUTED_VALUE"""),0.0)</f>
        <v>0</v>
      </c>
    </row>
    <row r="209">
      <c r="A209" s="11"/>
      <c r="B209" s="82"/>
      <c r="C209" s="86"/>
      <c r="D209" s="87"/>
      <c r="E209" s="86"/>
      <c r="F209" s="88"/>
      <c r="G209" s="88"/>
      <c r="H209" s="88"/>
      <c r="I209" s="88"/>
      <c r="J209" s="88"/>
      <c r="K209" s="88"/>
      <c r="L209" s="88"/>
      <c r="M209" s="88"/>
      <c r="N209" s="89"/>
    </row>
    <row r="210">
      <c r="A210" s="11"/>
      <c r="B210" s="82"/>
      <c r="C210" s="86"/>
      <c r="D210" s="87"/>
      <c r="E210" s="86"/>
      <c r="F210" s="88"/>
      <c r="G210" s="88"/>
      <c r="H210" s="88"/>
      <c r="I210" s="88"/>
      <c r="J210" s="88"/>
      <c r="K210" s="88"/>
      <c r="L210" s="88"/>
      <c r="M210" s="88"/>
      <c r="N210" s="89"/>
    </row>
    <row r="211">
      <c r="A211" s="11"/>
      <c r="B211" s="82"/>
      <c r="C211" s="86"/>
      <c r="D211" s="87"/>
      <c r="E211" s="86"/>
      <c r="F211" s="88"/>
      <c r="G211" s="88"/>
      <c r="H211" s="88"/>
      <c r="I211" s="88"/>
      <c r="J211" s="88"/>
      <c r="K211" s="88"/>
      <c r="L211" s="88"/>
      <c r="M211" s="88"/>
      <c r="N211" s="89"/>
    </row>
    <row r="212">
      <c r="A212" s="11"/>
      <c r="B212" s="82"/>
      <c r="C212" s="86"/>
      <c r="D212" s="87"/>
      <c r="E212" s="86"/>
      <c r="F212" s="88"/>
      <c r="G212" s="88"/>
      <c r="H212" s="88"/>
      <c r="I212" s="88"/>
      <c r="J212" s="88"/>
      <c r="K212" s="88"/>
      <c r="L212" s="88"/>
      <c r="M212" s="88"/>
      <c r="N212" s="89"/>
    </row>
    <row r="213">
      <c r="A213" s="11"/>
      <c r="B213" s="82"/>
      <c r="C213" s="86"/>
      <c r="D213" s="87"/>
      <c r="E213" s="86"/>
      <c r="F213" s="88"/>
      <c r="G213" s="88"/>
      <c r="H213" s="88"/>
      <c r="I213" s="88"/>
      <c r="J213" s="88"/>
      <c r="K213" s="88"/>
      <c r="L213" s="88"/>
      <c r="M213" s="88"/>
      <c r="N213" s="89"/>
    </row>
    <row r="214">
      <c r="A214" s="11"/>
      <c r="B214" s="82"/>
      <c r="C214" s="86"/>
      <c r="D214" s="87"/>
      <c r="E214" s="86"/>
      <c r="F214" s="88"/>
      <c r="G214" s="88"/>
      <c r="H214" s="88"/>
      <c r="I214" s="88"/>
      <c r="J214" s="88"/>
      <c r="K214" s="88"/>
      <c r="L214" s="88"/>
      <c r="M214" s="88"/>
      <c r="N214" s="89"/>
    </row>
    <row r="215">
      <c r="A215" s="11"/>
      <c r="B215" s="82"/>
      <c r="C215" s="86"/>
      <c r="D215" s="87"/>
      <c r="E215" s="86"/>
      <c r="F215" s="88"/>
      <c r="G215" s="88"/>
      <c r="H215" s="88"/>
      <c r="I215" s="88"/>
      <c r="J215" s="88"/>
      <c r="K215" s="88"/>
      <c r="L215" s="88"/>
      <c r="M215" s="88"/>
      <c r="N215" s="89"/>
    </row>
    <row r="216">
      <c r="A216" s="11"/>
      <c r="B216" s="82"/>
      <c r="C216" s="86"/>
      <c r="D216" s="87"/>
      <c r="E216" s="86"/>
      <c r="F216" s="88"/>
      <c r="G216" s="88"/>
      <c r="H216" s="88"/>
      <c r="I216" s="88"/>
      <c r="J216" s="88"/>
      <c r="K216" s="88"/>
      <c r="L216" s="88"/>
      <c r="M216" s="88"/>
      <c r="N216" s="89"/>
    </row>
    <row r="217">
      <c r="A217" s="11"/>
      <c r="B217" s="82"/>
      <c r="C217" s="86"/>
      <c r="D217" s="87"/>
      <c r="E217" s="86"/>
      <c r="F217" s="88"/>
      <c r="G217" s="88"/>
      <c r="H217" s="88"/>
      <c r="I217" s="88"/>
      <c r="J217" s="88"/>
      <c r="K217" s="88"/>
      <c r="L217" s="88"/>
      <c r="M217" s="88"/>
      <c r="N217" s="89"/>
    </row>
    <row r="218">
      <c r="A218" s="11"/>
      <c r="B218" s="82"/>
      <c r="C218" s="86"/>
      <c r="D218" s="87"/>
      <c r="E218" s="86"/>
      <c r="F218" s="88"/>
      <c r="G218" s="88"/>
      <c r="H218" s="88"/>
      <c r="I218" s="88"/>
      <c r="J218" s="88"/>
      <c r="K218" s="88"/>
      <c r="L218" s="88"/>
      <c r="M218" s="88"/>
      <c r="N218" s="89"/>
    </row>
    <row r="219">
      <c r="A219" s="11"/>
      <c r="B219" s="82"/>
      <c r="C219" s="86"/>
      <c r="D219" s="87"/>
      <c r="E219" s="86"/>
      <c r="F219" s="88"/>
      <c r="G219" s="88"/>
      <c r="H219" s="88"/>
      <c r="I219" s="88"/>
      <c r="J219" s="88"/>
      <c r="K219" s="88"/>
      <c r="L219" s="88"/>
      <c r="M219" s="88"/>
      <c r="N219" s="89"/>
    </row>
    <row r="220">
      <c r="A220" s="11"/>
      <c r="B220" s="82"/>
      <c r="C220" s="86"/>
      <c r="D220" s="87"/>
      <c r="E220" s="86"/>
      <c r="F220" s="88"/>
      <c r="G220" s="88"/>
      <c r="H220" s="88"/>
      <c r="I220" s="88"/>
      <c r="J220" s="88"/>
      <c r="K220" s="88"/>
      <c r="L220" s="88"/>
      <c r="M220" s="88"/>
      <c r="N220" s="89"/>
    </row>
    <row r="221">
      <c r="A221" s="11"/>
      <c r="B221" s="82"/>
      <c r="C221" s="86"/>
      <c r="D221" s="87"/>
      <c r="E221" s="86"/>
      <c r="F221" s="88"/>
      <c r="G221" s="88"/>
      <c r="H221" s="88"/>
      <c r="I221" s="88"/>
      <c r="J221" s="88"/>
      <c r="K221" s="88"/>
      <c r="L221" s="88"/>
      <c r="M221" s="88"/>
      <c r="N221" s="89"/>
    </row>
    <row r="222">
      <c r="A222" s="11"/>
      <c r="B222" s="82"/>
      <c r="C222" s="86"/>
      <c r="D222" s="87"/>
      <c r="E222" s="86"/>
      <c r="F222" s="88"/>
      <c r="G222" s="88"/>
      <c r="H222" s="88"/>
      <c r="I222" s="88"/>
      <c r="J222" s="88"/>
      <c r="K222" s="88"/>
      <c r="L222" s="88"/>
      <c r="M222" s="88"/>
      <c r="N222" s="89"/>
    </row>
    <row r="223">
      <c r="A223" s="11"/>
      <c r="B223" s="82"/>
      <c r="C223" s="86"/>
      <c r="D223" s="87"/>
      <c r="E223" s="86"/>
      <c r="F223" s="88"/>
      <c r="G223" s="88"/>
      <c r="H223" s="88"/>
      <c r="I223" s="88"/>
      <c r="J223" s="88"/>
      <c r="K223" s="88"/>
      <c r="L223" s="88"/>
      <c r="M223" s="88"/>
      <c r="N223" s="89"/>
    </row>
    <row r="224">
      <c r="A224" s="11"/>
      <c r="B224" s="82"/>
      <c r="C224" s="86"/>
      <c r="D224" s="87"/>
      <c r="E224" s="86"/>
      <c r="F224" s="88"/>
      <c r="G224" s="88"/>
      <c r="H224" s="88"/>
      <c r="I224" s="88"/>
      <c r="J224" s="88"/>
      <c r="K224" s="88"/>
      <c r="L224" s="88"/>
      <c r="M224" s="88"/>
      <c r="N224" s="89"/>
    </row>
    <row r="225">
      <c r="A225" s="11"/>
      <c r="B225" s="82"/>
      <c r="C225" s="86"/>
      <c r="D225" s="87"/>
      <c r="E225" s="86"/>
      <c r="F225" s="88"/>
      <c r="G225" s="88"/>
      <c r="H225" s="88"/>
      <c r="I225" s="88"/>
      <c r="J225" s="88"/>
      <c r="K225" s="88"/>
      <c r="L225" s="88"/>
      <c r="M225" s="88"/>
      <c r="N225" s="89"/>
    </row>
    <row r="226">
      <c r="A226" s="11"/>
      <c r="B226" s="82"/>
      <c r="C226" s="86"/>
      <c r="D226" s="87"/>
      <c r="E226" s="86"/>
      <c r="F226" s="88"/>
      <c r="G226" s="88"/>
      <c r="H226" s="88"/>
      <c r="I226" s="88"/>
      <c r="J226" s="88"/>
      <c r="K226" s="88"/>
      <c r="L226" s="88"/>
      <c r="M226" s="88"/>
      <c r="N226" s="89"/>
    </row>
    <row r="227">
      <c r="A227" s="11"/>
      <c r="B227" s="82"/>
      <c r="C227" s="86"/>
      <c r="D227" s="87"/>
      <c r="E227" s="86"/>
      <c r="F227" s="88"/>
      <c r="G227" s="88"/>
      <c r="H227" s="88"/>
      <c r="I227" s="88"/>
      <c r="J227" s="88"/>
      <c r="K227" s="88"/>
      <c r="L227" s="88"/>
      <c r="M227" s="88"/>
      <c r="N227" s="89"/>
    </row>
    <row r="228">
      <c r="A228" s="11"/>
      <c r="B228" s="82"/>
      <c r="C228" s="86"/>
      <c r="D228" s="87"/>
      <c r="E228" s="86"/>
      <c r="F228" s="88"/>
      <c r="G228" s="88"/>
      <c r="H228" s="88"/>
      <c r="I228" s="88"/>
      <c r="J228" s="88"/>
      <c r="K228" s="88"/>
      <c r="L228" s="88"/>
      <c r="M228" s="88"/>
      <c r="N228" s="89"/>
    </row>
    <row r="229">
      <c r="A229" s="11"/>
      <c r="B229" s="82"/>
      <c r="C229" s="86"/>
      <c r="D229" s="87"/>
      <c r="E229" s="86"/>
      <c r="F229" s="88"/>
      <c r="G229" s="88"/>
      <c r="H229" s="88"/>
      <c r="I229" s="88"/>
      <c r="J229" s="88"/>
      <c r="K229" s="88"/>
      <c r="L229" s="88"/>
      <c r="M229" s="88"/>
      <c r="N229" s="89"/>
    </row>
    <row r="230">
      <c r="A230" s="11"/>
      <c r="B230" s="82"/>
      <c r="C230" s="86"/>
      <c r="D230" s="87"/>
      <c r="E230" s="86"/>
      <c r="F230" s="88"/>
      <c r="G230" s="88"/>
      <c r="H230" s="88"/>
      <c r="I230" s="88"/>
      <c r="J230" s="88"/>
      <c r="K230" s="88"/>
      <c r="L230" s="88"/>
      <c r="M230" s="88"/>
      <c r="N230" s="89"/>
    </row>
    <row r="231">
      <c r="A231" s="11"/>
      <c r="B231" s="82"/>
      <c r="C231" s="86"/>
      <c r="D231" s="87"/>
      <c r="E231" s="86"/>
      <c r="F231" s="88"/>
      <c r="G231" s="88"/>
      <c r="H231" s="88"/>
      <c r="I231" s="88"/>
      <c r="J231" s="88"/>
      <c r="K231" s="88"/>
      <c r="L231" s="88"/>
      <c r="M231" s="88"/>
      <c r="N231" s="89"/>
    </row>
    <row r="232">
      <c r="A232" s="11"/>
      <c r="B232" s="82"/>
      <c r="C232" s="86"/>
      <c r="D232" s="87"/>
      <c r="E232" s="86"/>
      <c r="F232" s="88"/>
      <c r="G232" s="88"/>
      <c r="H232" s="88"/>
      <c r="I232" s="88"/>
      <c r="J232" s="88"/>
      <c r="K232" s="88"/>
      <c r="L232" s="88"/>
      <c r="M232" s="88"/>
      <c r="N232" s="89"/>
    </row>
    <row r="233">
      <c r="A233" s="11"/>
      <c r="B233" s="82"/>
      <c r="C233" s="86"/>
      <c r="D233" s="87"/>
      <c r="E233" s="86"/>
      <c r="F233" s="88"/>
      <c r="G233" s="88"/>
      <c r="H233" s="88"/>
      <c r="I233" s="88"/>
      <c r="J233" s="88"/>
      <c r="K233" s="88"/>
      <c r="L233" s="88"/>
      <c r="M233" s="88"/>
      <c r="N233" s="89"/>
    </row>
    <row r="234">
      <c r="A234" s="11"/>
      <c r="B234" s="82"/>
      <c r="C234" s="86"/>
      <c r="D234" s="87"/>
      <c r="E234" s="86"/>
      <c r="F234" s="88"/>
      <c r="G234" s="88"/>
      <c r="H234" s="88"/>
      <c r="I234" s="88"/>
      <c r="J234" s="88"/>
      <c r="K234" s="88"/>
      <c r="L234" s="88"/>
      <c r="M234" s="88"/>
      <c r="N234" s="89"/>
    </row>
    <row r="235">
      <c r="A235" s="11"/>
      <c r="B235" s="82"/>
      <c r="C235" s="86"/>
      <c r="D235" s="87"/>
      <c r="E235" s="86"/>
      <c r="F235" s="88"/>
      <c r="G235" s="88"/>
      <c r="H235" s="88"/>
      <c r="I235" s="88"/>
      <c r="J235" s="88"/>
      <c r="K235" s="88"/>
      <c r="L235" s="88"/>
      <c r="M235" s="88"/>
      <c r="N235" s="89"/>
    </row>
    <row r="236">
      <c r="A236" s="11"/>
      <c r="B236" s="82"/>
      <c r="C236" s="86"/>
      <c r="D236" s="87"/>
      <c r="E236" s="86"/>
      <c r="F236" s="88"/>
      <c r="G236" s="88"/>
      <c r="H236" s="88"/>
      <c r="I236" s="88"/>
      <c r="J236" s="88"/>
      <c r="K236" s="88"/>
      <c r="L236" s="88"/>
      <c r="M236" s="88"/>
      <c r="N236" s="89"/>
    </row>
    <row r="237">
      <c r="A237" s="11"/>
      <c r="B237" s="82"/>
      <c r="C237" s="86"/>
      <c r="D237" s="87"/>
      <c r="E237" s="86"/>
      <c r="F237" s="88"/>
      <c r="G237" s="88"/>
      <c r="H237" s="88"/>
      <c r="I237" s="88"/>
      <c r="J237" s="88"/>
      <c r="K237" s="88"/>
      <c r="L237" s="88"/>
      <c r="M237" s="88"/>
      <c r="N237" s="89"/>
    </row>
    <row r="238">
      <c r="A238" s="11"/>
      <c r="B238" s="82"/>
      <c r="C238" s="86"/>
      <c r="D238" s="87"/>
      <c r="E238" s="86"/>
      <c r="F238" s="88"/>
      <c r="G238" s="88"/>
      <c r="H238" s="88"/>
      <c r="I238" s="88"/>
      <c r="J238" s="88"/>
      <c r="K238" s="88"/>
      <c r="L238" s="88"/>
      <c r="M238" s="88"/>
      <c r="N238" s="89"/>
    </row>
    <row r="239">
      <c r="A239" s="11"/>
      <c r="B239" s="82"/>
      <c r="C239" s="86"/>
      <c r="D239" s="87"/>
      <c r="E239" s="86"/>
      <c r="F239" s="88"/>
      <c r="G239" s="88"/>
      <c r="H239" s="88"/>
      <c r="I239" s="88"/>
      <c r="J239" s="88"/>
      <c r="K239" s="88"/>
      <c r="L239" s="88"/>
      <c r="M239" s="88"/>
      <c r="N239" s="89"/>
    </row>
    <row r="240">
      <c r="A240" s="11"/>
      <c r="C240" s="11"/>
      <c r="D240" s="11"/>
      <c r="E240" s="11"/>
    </row>
    <row r="241">
      <c r="A241" s="11"/>
      <c r="C241" s="11"/>
      <c r="D241" s="11"/>
      <c r="E241" s="11"/>
    </row>
    <row r="242">
      <c r="A242" s="11"/>
      <c r="C242" s="11"/>
      <c r="D242" s="11"/>
      <c r="E242" s="11"/>
    </row>
    <row r="243">
      <c r="A243" s="11"/>
      <c r="C243" s="11"/>
      <c r="D243" s="11"/>
      <c r="E243" s="11"/>
    </row>
    <row r="244">
      <c r="A244" s="11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B261" s="90" t="s">
        <v>167</v>
      </c>
      <c r="C261" s="11"/>
      <c r="D261" s="11"/>
      <c r="E261" s="11"/>
      <c r="U261" s="90" t="s">
        <v>168</v>
      </c>
    </row>
    <row r="262">
      <c r="A262" s="49">
        <v>1.0</v>
      </c>
      <c r="B262" s="82" t="str">
        <f>IFERROR(__xludf.DUMMYFUNCTION("QUERY(B5:Q70, ""Select B   where Q is null"")"),"Adrian Tay")</f>
        <v>Adrian Tay</v>
      </c>
      <c r="C262" s="11"/>
      <c r="D262" s="11"/>
      <c r="E262" s="11"/>
      <c r="T262" s="49">
        <v>1.0</v>
      </c>
      <c r="U262" s="17" t="str">
        <f>IFERROR(__xludf.DUMMYFUNCTION("QUERY(B5:Q70, ""Select B   where Q = 'N' "")"),"Christopher Li")</f>
        <v>Christopher Li</v>
      </c>
    </row>
    <row r="263">
      <c r="A263" s="11">
        <f t="shared" ref="A263:A283" si="73">A262+1</f>
        <v>2</v>
      </c>
      <c r="B263" s="82" t="str">
        <f>IFERROR(__xludf.DUMMYFUNCTION("""COMPUTED_VALUE"""),"Tom Le")</f>
        <v>Tom Le</v>
      </c>
      <c r="C263" s="11"/>
      <c r="D263" s="11"/>
      <c r="E263" s="11"/>
      <c r="T263" s="11">
        <f t="shared" ref="T263:T274" si="74">T262+1</f>
        <v>2</v>
      </c>
    </row>
    <row r="264">
      <c r="A264" s="11">
        <f t="shared" si="73"/>
        <v>3</v>
      </c>
      <c r="B264" s="82" t="str">
        <f>IFERROR(__xludf.DUMMYFUNCTION("""COMPUTED_VALUE"""),"Ted Shen")</f>
        <v>Ted Shen</v>
      </c>
      <c r="C264" s="11"/>
      <c r="D264" s="11"/>
      <c r="E264" s="11"/>
      <c r="T264" s="11">
        <f t="shared" si="74"/>
        <v>3</v>
      </c>
    </row>
    <row r="265">
      <c r="A265" s="11">
        <f t="shared" si="73"/>
        <v>4</v>
      </c>
      <c r="B265" s="82" t="str">
        <f>IFERROR(__xludf.DUMMYFUNCTION("""COMPUTED_VALUE"""),"Luis Hsu")</f>
        <v>Luis Hsu</v>
      </c>
      <c r="C265" s="11"/>
      <c r="D265" s="11"/>
      <c r="E265" s="11"/>
      <c r="T265" s="11">
        <f t="shared" si="74"/>
        <v>4</v>
      </c>
    </row>
    <row r="266">
      <c r="A266" s="11">
        <f t="shared" si="73"/>
        <v>5</v>
      </c>
      <c r="B266" s="82" t="str">
        <f>IFERROR(__xludf.DUMMYFUNCTION("""COMPUTED_VALUE"""),"Jonathan Phan")</f>
        <v>Jonathan Phan</v>
      </c>
      <c r="C266" s="11"/>
      <c r="D266" s="11"/>
      <c r="E266" s="11"/>
      <c r="T266" s="11">
        <f t="shared" si="74"/>
        <v>5</v>
      </c>
    </row>
    <row r="267">
      <c r="A267" s="11">
        <f t="shared" si="73"/>
        <v>6</v>
      </c>
      <c r="B267" s="82" t="str">
        <f>IFERROR(__xludf.DUMMYFUNCTION("""COMPUTED_VALUE"""),"Suleman Alidina")</f>
        <v>Suleman Alidina</v>
      </c>
      <c r="C267" s="11"/>
      <c r="D267" s="11"/>
      <c r="E267" s="11"/>
      <c r="T267" s="11">
        <f t="shared" si="74"/>
        <v>6</v>
      </c>
    </row>
    <row r="268">
      <c r="A268" s="11">
        <f t="shared" si="73"/>
        <v>7</v>
      </c>
      <c r="B268" s="82" t="str">
        <f>IFERROR(__xludf.DUMMYFUNCTION("""COMPUTED_VALUE"""),"Rajasekar Ramasamy")</f>
        <v>Rajasekar Ramasamy</v>
      </c>
      <c r="C268" s="11"/>
      <c r="D268" s="11"/>
      <c r="E268" s="11"/>
      <c r="T268" s="11">
        <f t="shared" si="74"/>
        <v>7</v>
      </c>
    </row>
    <row r="269">
      <c r="A269" s="11">
        <f t="shared" si="73"/>
        <v>8</v>
      </c>
      <c r="B269" s="82" t="str">
        <f>IFERROR(__xludf.DUMMYFUNCTION("""COMPUTED_VALUE"""),"Alejandro Mejia")</f>
        <v>Alejandro Mejia</v>
      </c>
      <c r="C269" s="11"/>
      <c r="D269" s="11"/>
      <c r="E269" s="11"/>
      <c r="T269" s="11">
        <f t="shared" si="74"/>
        <v>8</v>
      </c>
    </row>
    <row r="270">
      <c r="A270" s="11">
        <f t="shared" si="73"/>
        <v>9</v>
      </c>
      <c r="B270" s="82" t="str">
        <f>IFERROR(__xludf.DUMMYFUNCTION("""COMPUTED_VALUE"""),"Frank Moon")</f>
        <v>Frank Moon</v>
      </c>
      <c r="C270" s="11"/>
      <c r="D270" s="11"/>
      <c r="E270" s="11"/>
      <c r="T270" s="11">
        <f t="shared" si="74"/>
        <v>9</v>
      </c>
    </row>
    <row r="271">
      <c r="A271" s="11">
        <f t="shared" si="73"/>
        <v>10</v>
      </c>
      <c r="B271" s="82" t="str">
        <f>IFERROR(__xludf.DUMMYFUNCTION("""COMPUTED_VALUE"""),"Arun Mallikarjuna")</f>
        <v>Arun Mallikarjuna</v>
      </c>
      <c r="C271" s="11"/>
      <c r="D271" s="11"/>
      <c r="E271" s="11"/>
      <c r="T271" s="11">
        <f t="shared" si="74"/>
        <v>10</v>
      </c>
    </row>
    <row r="272">
      <c r="A272" s="11">
        <f t="shared" si="73"/>
        <v>11</v>
      </c>
      <c r="B272" s="82" t="str">
        <f>IFERROR(__xludf.DUMMYFUNCTION("""COMPUTED_VALUE"""),"Matthew Huang")</f>
        <v>Matthew Huang</v>
      </c>
      <c r="C272" s="11"/>
      <c r="D272" s="11"/>
      <c r="E272" s="11"/>
      <c r="T272" s="11">
        <f t="shared" si="74"/>
        <v>11</v>
      </c>
    </row>
    <row r="273">
      <c r="A273" s="11">
        <f t="shared" si="73"/>
        <v>12</v>
      </c>
      <c r="B273" s="82" t="str">
        <f>IFERROR(__xludf.DUMMYFUNCTION("""COMPUTED_VALUE"""),"Lam Bui")</f>
        <v>Lam Bui</v>
      </c>
      <c r="C273" s="11"/>
      <c r="D273" s="11"/>
      <c r="E273" s="11"/>
      <c r="T273" s="11">
        <f t="shared" si="74"/>
        <v>12</v>
      </c>
    </row>
    <row r="274">
      <c r="A274" s="11">
        <f t="shared" si="73"/>
        <v>13</v>
      </c>
      <c r="B274" s="82" t="str">
        <f>IFERROR(__xludf.DUMMYFUNCTION("""COMPUTED_VALUE"""),"Joe Luzzi")</f>
        <v>Joe Luzzi</v>
      </c>
      <c r="C274" s="11"/>
      <c r="D274" s="11"/>
      <c r="E274" s="11"/>
      <c r="T274" s="11">
        <f t="shared" si="74"/>
        <v>13</v>
      </c>
    </row>
    <row r="275">
      <c r="A275" s="11">
        <f t="shared" si="73"/>
        <v>14</v>
      </c>
      <c r="B275" s="82" t="str">
        <f>IFERROR(__xludf.DUMMYFUNCTION("""COMPUTED_VALUE"""),"Sean Chang")</f>
        <v>Sean Chang</v>
      </c>
      <c r="C275" s="11"/>
      <c r="D275" s="11"/>
      <c r="E275" s="11"/>
    </row>
    <row r="276">
      <c r="A276" s="11">
        <f t="shared" si="73"/>
        <v>15</v>
      </c>
      <c r="B276" s="82" t="str">
        <f>IFERROR(__xludf.DUMMYFUNCTION("""COMPUTED_VALUE"""),"Herman Au")</f>
        <v>Herman Au</v>
      </c>
      <c r="C276" s="11"/>
      <c r="D276" s="11"/>
      <c r="E276" s="11"/>
    </row>
    <row r="277">
      <c r="A277" s="11">
        <f t="shared" si="73"/>
        <v>16</v>
      </c>
      <c r="B277" s="82" t="str">
        <f>IFERROR(__xludf.DUMMYFUNCTION("""COMPUTED_VALUE"""),"David Shin")</f>
        <v>David Shin</v>
      </c>
      <c r="C277" s="11"/>
      <c r="D277" s="11"/>
      <c r="E277" s="11"/>
    </row>
    <row r="278">
      <c r="A278" s="11">
        <f t="shared" si="73"/>
        <v>17</v>
      </c>
      <c r="B278" s="82" t="str">
        <f>IFERROR(__xludf.DUMMYFUNCTION("""COMPUTED_VALUE"""),"Alex Hou")</f>
        <v>Alex Hou</v>
      </c>
      <c r="C278" s="11"/>
      <c r="D278" s="11"/>
      <c r="E278" s="11"/>
    </row>
    <row r="279">
      <c r="A279" s="11">
        <f t="shared" si="73"/>
        <v>18</v>
      </c>
      <c r="B279" s="82" t="str">
        <f>IFERROR(__xludf.DUMMYFUNCTION("""COMPUTED_VALUE"""),"James Phan")</f>
        <v>James Phan</v>
      </c>
      <c r="C279" s="11"/>
      <c r="D279" s="11"/>
      <c r="E279" s="11"/>
    </row>
    <row r="280">
      <c r="A280" s="11">
        <f t="shared" si="73"/>
        <v>19</v>
      </c>
      <c r="B280" s="82" t="str">
        <f>IFERROR(__xludf.DUMMYFUNCTION("""COMPUTED_VALUE"""),"Scott Li")</f>
        <v>Scott Li</v>
      </c>
      <c r="C280" s="11"/>
      <c r="D280" s="11"/>
      <c r="E280" s="11"/>
    </row>
    <row r="281">
      <c r="A281" s="11">
        <f t="shared" si="73"/>
        <v>20</v>
      </c>
      <c r="B281" s="82" t="str">
        <f>IFERROR(__xludf.DUMMYFUNCTION("""COMPUTED_VALUE"""),"Pavan Akkimsetty")</f>
        <v>Pavan Akkimsetty</v>
      </c>
      <c r="C281" s="11"/>
      <c r="D281" s="11"/>
      <c r="E281" s="11"/>
    </row>
    <row r="282">
      <c r="A282" s="11">
        <f t="shared" si="73"/>
        <v>21</v>
      </c>
      <c r="B282" s="82" t="str">
        <f>IFERROR(__xludf.DUMMYFUNCTION("""COMPUTED_VALUE"""),"Troy Wong")</f>
        <v>Troy Wong</v>
      </c>
      <c r="C282" s="11"/>
      <c r="D282" s="11"/>
      <c r="E282" s="11"/>
    </row>
    <row r="283">
      <c r="A283" s="11">
        <f t="shared" si="73"/>
        <v>22</v>
      </c>
      <c r="B283" s="82" t="str">
        <f>IFERROR(__xludf.DUMMYFUNCTION("""COMPUTED_VALUE"""),"Erik Hoeckmann")</f>
        <v>Erik Hoeckmann</v>
      </c>
      <c r="C283" s="11"/>
      <c r="D283" s="11"/>
      <c r="E283" s="11"/>
    </row>
    <row r="284">
      <c r="A284" s="11"/>
      <c r="B284" s="17" t="str">
        <f>IFERROR(__xludf.DUMMYFUNCTION("""COMPUTED_VALUE"""),"Wayne Liu")</f>
        <v>Wayne Liu</v>
      </c>
      <c r="C284" s="11"/>
      <c r="D284" s="11"/>
      <c r="E284" s="11"/>
    </row>
    <row r="285">
      <c r="A285" s="11"/>
      <c r="B285" s="17" t="str">
        <f>IFERROR(__xludf.DUMMYFUNCTION("""COMPUTED_VALUE"""),"Ramesh Bandaru")</f>
        <v>Ramesh Bandaru</v>
      </c>
      <c r="C285" s="11"/>
      <c r="D285" s="11"/>
      <c r="E285" s="11"/>
    </row>
    <row r="286">
      <c r="A286" s="11"/>
      <c r="B286" s="17" t="str">
        <f>IFERROR(__xludf.DUMMYFUNCTION("""COMPUTED_VALUE"""),"Cid Macaraeg")</f>
        <v>Cid Macaraeg</v>
      </c>
      <c r="C286" s="11"/>
      <c r="D286" s="11"/>
      <c r="E286" s="11"/>
    </row>
    <row r="287">
      <c r="A287" s="11"/>
      <c r="B287" s="17" t="str">
        <f>IFERROR(__xludf.DUMMYFUNCTION("""COMPUTED_VALUE"""),"Robert Chang")</f>
        <v>Robert Chang</v>
      </c>
      <c r="C287" s="11"/>
      <c r="D287" s="11"/>
      <c r="E287" s="11"/>
    </row>
    <row r="288">
      <c r="A288" s="11"/>
      <c r="B288" s="17" t="str">
        <f>IFERROR(__xludf.DUMMYFUNCTION("""COMPUTED_VALUE"""),"Pulkit Mathur")</f>
        <v>Pulkit Mathur</v>
      </c>
      <c r="C288" s="11"/>
      <c r="D288" s="11"/>
      <c r="E288" s="11"/>
    </row>
    <row r="289">
      <c r="A289" s="11"/>
      <c r="B289" s="17" t="str">
        <f>IFERROR(__xludf.DUMMYFUNCTION("""COMPUTED_VALUE"""),"Oscar Bonilla")</f>
        <v>Oscar Bonilla</v>
      </c>
      <c r="C289" s="11"/>
      <c r="D289" s="11"/>
      <c r="E289" s="11"/>
    </row>
    <row r="290">
      <c r="A290" s="11"/>
      <c r="B290" s="17" t="str">
        <f>IFERROR(__xludf.DUMMYFUNCTION("""COMPUTED_VALUE"""),"Jim Miao")</f>
        <v>Jim Miao</v>
      </c>
      <c r="C290" s="11"/>
      <c r="D290" s="11"/>
      <c r="E290" s="11"/>
    </row>
    <row r="291">
      <c r="A291" s="11"/>
      <c r="B291" s="17" t="str">
        <f>IFERROR(__xludf.DUMMYFUNCTION("""COMPUTED_VALUE"""),"Vamsi Lolla ")</f>
        <v>Vamsi Lolla </v>
      </c>
      <c r="C291" s="11"/>
      <c r="D291" s="11"/>
      <c r="E291" s="11"/>
    </row>
    <row r="292">
      <c r="A292" s="11"/>
      <c r="B292" s="17" t="str">
        <f>IFERROR(__xludf.DUMMYFUNCTION("""COMPUTED_VALUE"""),"Trish Newlin")</f>
        <v>Trish Newlin</v>
      </c>
      <c r="C292" s="11"/>
      <c r="D292" s="11"/>
      <c r="E292" s="11"/>
    </row>
    <row r="293">
      <c r="A293" s="11"/>
      <c r="B293" s="17" t="str">
        <f>IFERROR(__xludf.DUMMYFUNCTION("""COMPUTED_VALUE"""),"Sanjaye Elayattu")</f>
        <v>Sanjaye Elayattu</v>
      </c>
      <c r="C293" s="11"/>
      <c r="D293" s="11"/>
      <c r="E293" s="11"/>
    </row>
    <row r="294">
      <c r="A294" s="11"/>
      <c r="B294" s="17" t="str">
        <f>IFERROR(__xludf.DUMMYFUNCTION("""COMPUTED_VALUE"""),"Peter Cheng")</f>
        <v>Peter Cheng</v>
      </c>
      <c r="C294" s="11"/>
      <c r="D294" s="11"/>
      <c r="E294" s="11"/>
    </row>
    <row r="295">
      <c r="A295" s="11"/>
      <c r="B295" s="17" t="str">
        <f>IFERROR(__xludf.DUMMYFUNCTION("""COMPUTED_VALUE"""),"Lloyd Sagar")</f>
        <v>Lloyd Sagar</v>
      </c>
      <c r="C295" s="11"/>
      <c r="D295" s="11"/>
      <c r="E295" s="11"/>
    </row>
    <row r="296">
      <c r="A296" s="11"/>
      <c r="B296" s="17" t="str">
        <f>IFERROR(__xludf.DUMMYFUNCTION("""COMPUTED_VALUE"""),"Andrew Wen")</f>
        <v>Andrew Wen</v>
      </c>
      <c r="C296" s="11"/>
      <c r="D296" s="11"/>
      <c r="E296" s="11"/>
    </row>
    <row r="297">
      <c r="A297" s="11"/>
      <c r="B297" s="17" t="str">
        <f>IFERROR(__xludf.DUMMYFUNCTION("""COMPUTED_VALUE"""),"Kumar Palakeel")</f>
        <v>Kumar Palakeel</v>
      </c>
      <c r="C297" s="11"/>
      <c r="D297" s="11"/>
      <c r="E297" s="11"/>
    </row>
    <row r="298">
      <c r="A298" s="11"/>
      <c r="B298" s="17" t="str">
        <f>IFERROR(__xludf.DUMMYFUNCTION("""COMPUTED_VALUE"""),"Chinna Ponnaganti")</f>
        <v>Chinna Ponnaganti</v>
      </c>
      <c r="C298" s="11"/>
      <c r="D298" s="11"/>
      <c r="E298" s="11"/>
    </row>
    <row r="299">
      <c r="A299" s="11"/>
      <c r="B299" s="17" t="str">
        <f>IFERROR(__xludf.DUMMYFUNCTION("""COMPUTED_VALUE"""),"Jimmy Awolesi")</f>
        <v>Jimmy Awolesi</v>
      </c>
      <c r="C299" s="11"/>
      <c r="D299" s="11"/>
      <c r="E299" s="11"/>
    </row>
    <row r="300">
      <c r="A300" s="11"/>
      <c r="B300" s="17" t="str">
        <f>IFERROR(__xludf.DUMMYFUNCTION("""COMPUTED_VALUE"""),"Manuel Rivera")</f>
        <v>Manuel Rivera</v>
      </c>
      <c r="C300" s="11"/>
      <c r="D300" s="11"/>
      <c r="E300" s="11"/>
    </row>
    <row r="301">
      <c r="A301" s="11"/>
      <c r="B301" s="17" t="str">
        <f>IFERROR(__xludf.DUMMYFUNCTION("""COMPUTED_VALUE"""),"Coco Yan")</f>
        <v>Coco Yan</v>
      </c>
      <c r="C301" s="11"/>
      <c r="D301" s="11"/>
      <c r="E301" s="11"/>
    </row>
    <row r="302">
      <c r="A302" s="11"/>
      <c r="B302" s="17" t="str">
        <f>IFERROR(__xludf.DUMMYFUNCTION("""COMPUTED_VALUE"""),"Sai Dilip Ponnaganti")</f>
        <v>Sai Dilip Ponnaganti</v>
      </c>
      <c r="C302" s="11"/>
      <c r="D302" s="11"/>
      <c r="E302" s="11"/>
    </row>
    <row r="303">
      <c r="A303" s="11"/>
      <c r="B303" s="17" t="str">
        <f>IFERROR(__xludf.DUMMYFUNCTION("""COMPUTED_VALUE"""),"Balaji Alahari")</f>
        <v>Balaji Alahari</v>
      </c>
      <c r="C303" s="11"/>
      <c r="D303" s="11"/>
      <c r="E303" s="11"/>
    </row>
    <row r="304">
      <c r="A304" s="11"/>
      <c r="B304" s="17" t="str">
        <f>IFERROR(__xludf.DUMMYFUNCTION("""COMPUTED_VALUE"""),"Tony Lin")</f>
        <v>Tony Lin</v>
      </c>
      <c r="C304" s="11"/>
      <c r="D304" s="11"/>
      <c r="E304" s="11"/>
    </row>
    <row r="305">
      <c r="A305" s="11"/>
      <c r="B305" s="17" t="str">
        <f>IFERROR(__xludf.DUMMYFUNCTION("""COMPUTED_VALUE"""),"Vinz Solano")</f>
        <v>Vinz Solano</v>
      </c>
      <c r="C305" s="11"/>
      <c r="D305" s="11"/>
      <c r="E305" s="11"/>
    </row>
    <row r="306">
      <c r="A306" s="11"/>
      <c r="B306" s="17" t="str">
        <f>IFERROR(__xludf.DUMMYFUNCTION("""COMPUTED_VALUE"""),"Elayaraja Thangaraj ")</f>
        <v>Elayaraja Thangaraj </v>
      </c>
      <c r="C306" s="11"/>
      <c r="D306" s="11"/>
      <c r="E306" s="11"/>
    </row>
    <row r="307">
      <c r="A307" s="11"/>
      <c r="B307" s="17" t="str">
        <f>IFERROR(__xludf.DUMMYFUNCTION("""COMPUTED_VALUE"""),"Saravanan Veerapandian")</f>
        <v>Saravanan Veerapandian</v>
      </c>
      <c r="C307" s="11"/>
      <c r="D307" s="11"/>
      <c r="E307" s="11"/>
    </row>
    <row r="308">
      <c r="A308" s="11"/>
      <c r="B308" s="17" t="str">
        <f>IFERROR(__xludf.DUMMYFUNCTION("""COMPUTED_VALUE"""),"Santosh Sundaresan ")</f>
        <v>Santosh Sundaresan </v>
      </c>
      <c r="C308" s="11"/>
      <c r="D308" s="11"/>
      <c r="E308" s="11"/>
    </row>
    <row r="309">
      <c r="A309" s="11"/>
      <c r="B309" s="17" t="str">
        <f>IFERROR(__xludf.DUMMYFUNCTION("""COMPUTED_VALUE"""),"Mauricio Palacios")</f>
        <v>Mauricio Palacios</v>
      </c>
      <c r="C309" s="11"/>
      <c r="D309" s="11"/>
      <c r="E309" s="11"/>
    </row>
    <row r="310">
      <c r="A310" s="11"/>
      <c r="B310" s="17" t="str">
        <f>IFERROR(__xludf.DUMMYFUNCTION("""COMPUTED_VALUE"""),"Naveen Raj")</f>
        <v>Naveen Raj</v>
      </c>
      <c r="C310" s="11"/>
      <c r="D310" s="11"/>
      <c r="E310" s="11"/>
    </row>
    <row r="311">
      <c r="A311" s="11"/>
      <c r="B311" s="17" t="str">
        <f>IFERROR(__xludf.DUMMYFUNCTION("""COMPUTED_VALUE"""),"Eric Tan")</f>
        <v>Eric Tan</v>
      </c>
      <c r="C311" s="11"/>
      <c r="D311" s="11"/>
      <c r="E311" s="11"/>
    </row>
    <row r="312">
      <c r="A312" s="11"/>
      <c r="B312" s="17" t="str">
        <f>IFERROR(__xludf.DUMMYFUNCTION("""COMPUTED_VALUE"""),"Vinaya Kajla")</f>
        <v>Vinaya Kajla</v>
      </c>
      <c r="C312" s="11"/>
      <c r="D312" s="11"/>
      <c r="E312" s="11"/>
    </row>
    <row r="313">
      <c r="A313" s="11"/>
      <c r="B313" s="17" t="str">
        <f>IFERROR(__xludf.DUMMYFUNCTION("""COMPUTED_VALUE"""),"Susanta Mishra")</f>
        <v>Susanta Mishra</v>
      </c>
      <c r="C313" s="11"/>
      <c r="D313" s="11"/>
      <c r="E313" s="11"/>
    </row>
    <row r="314">
      <c r="A314" s="11"/>
      <c r="B314" s="17" t="str">
        <f>IFERROR(__xludf.DUMMYFUNCTION("""COMPUTED_VALUE"""),"Trinath Goteti")</f>
        <v>Trinath Goteti</v>
      </c>
      <c r="C314" s="11"/>
      <c r="D314" s="11"/>
      <c r="E314" s="11"/>
    </row>
    <row r="315">
      <c r="A315" s="11"/>
      <c r="B315" s="17" t="str">
        <f>IFERROR(__xludf.DUMMYFUNCTION("""COMPUTED_VALUE"""),"Rajesh Dorairaj")</f>
        <v>Rajesh Dorairaj</v>
      </c>
      <c r="C315" s="11"/>
      <c r="D315" s="11"/>
      <c r="E315" s="11"/>
    </row>
    <row r="316">
      <c r="A316" s="11"/>
      <c r="B316" s="17" t="str">
        <f>IFERROR(__xludf.DUMMYFUNCTION("""COMPUTED_VALUE"""),"Nohely Mejia")</f>
        <v>Nohely Mejia</v>
      </c>
      <c r="C316" s="11"/>
      <c r="D316" s="11"/>
      <c r="E316" s="11"/>
    </row>
    <row r="317">
      <c r="A317" s="11"/>
      <c r="B317" s="17" t="str">
        <f>IFERROR(__xludf.DUMMYFUNCTION("""COMPUTED_VALUE"""),"Eric Pan")</f>
        <v>Eric Pan</v>
      </c>
      <c r="C317" s="11"/>
      <c r="D317" s="11"/>
      <c r="E317" s="11"/>
    </row>
    <row r="318">
      <c r="A318" s="11"/>
      <c r="B318" s="17" t="str">
        <f>IFERROR(__xludf.DUMMYFUNCTION("""COMPUTED_VALUE"""),"Vishnu Amarnath")</f>
        <v>Vishnu Amarnath</v>
      </c>
      <c r="C318" s="11"/>
      <c r="D318" s="11"/>
      <c r="E318" s="11"/>
    </row>
    <row r="319">
      <c r="A319" s="11"/>
      <c r="B319" s="17" t="str">
        <f>IFERROR(__xludf.DUMMYFUNCTION("""COMPUTED_VALUE"""),"Manish Anand")</f>
        <v>Manish Anand</v>
      </c>
      <c r="C319" s="11"/>
      <c r="D319" s="11"/>
      <c r="E319" s="11"/>
    </row>
    <row r="320">
      <c r="A320" s="11"/>
      <c r="B320" s="17" t="str">
        <f>IFERROR(__xludf.DUMMYFUNCTION("""COMPUTED_VALUE"""),"Sandy Weyant")</f>
        <v>Sandy Weyant</v>
      </c>
      <c r="C320" s="11"/>
      <c r="D320" s="11"/>
      <c r="E320" s="11"/>
    </row>
    <row r="321">
      <c r="A321" s="11"/>
      <c r="B321" s="17" t="str">
        <f>IFERROR(__xludf.DUMMYFUNCTION("""COMPUTED_VALUE"""),"Leigh-Anh Nguyen")</f>
        <v>Leigh-Anh Nguyen</v>
      </c>
      <c r="C321" s="11"/>
      <c r="D321" s="11"/>
      <c r="E321" s="11"/>
    </row>
    <row r="322">
      <c r="A322" s="11"/>
      <c r="B322" s="17" t="str">
        <f>IFERROR(__xludf.DUMMYFUNCTION("""COMPUTED_VALUE"""),"Nicole Ni")</f>
        <v>Nicole Ni</v>
      </c>
      <c r="C322" s="11"/>
      <c r="D322" s="11"/>
      <c r="E322" s="11"/>
    </row>
    <row r="323">
      <c r="A323" s="11"/>
      <c r="B323" s="17" t="str">
        <f>IFERROR(__xludf.DUMMYFUNCTION("""COMPUTED_VALUE"""),"Peter Homsey")</f>
        <v>Peter Homsey</v>
      </c>
      <c r="C323" s="11"/>
      <c r="D323" s="11"/>
      <c r="E323" s="11"/>
    </row>
    <row r="324">
      <c r="A324" s="11"/>
      <c r="B324" s="17" t="str">
        <f>IFERROR(__xludf.DUMMYFUNCTION("""COMPUTED_VALUE"""),"Amit Patel")</f>
        <v>Amit Patel</v>
      </c>
      <c r="C324" s="11"/>
      <c r="D324" s="11"/>
      <c r="E324" s="11"/>
    </row>
    <row r="325">
      <c r="A325" s="11"/>
      <c r="B325" s="17" t="str">
        <f>IFERROR(__xludf.DUMMYFUNCTION("""COMPUTED_VALUE"""),"Joyce Zhu")</f>
        <v>Joyce Zhu</v>
      </c>
      <c r="C325" s="11"/>
      <c r="D325" s="11"/>
      <c r="E325" s="11"/>
    </row>
    <row r="326">
      <c r="A326" s="11"/>
      <c r="B326" s="17" t="str">
        <f>IFERROR(__xludf.DUMMYFUNCTION("""COMPUTED_VALUE"""),"Jose Ortiz")</f>
        <v>Jose Ortiz</v>
      </c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  <row r="1030">
      <c r="A1030" s="11"/>
      <c r="C1030" s="11"/>
      <c r="D1030" s="11"/>
      <c r="E1030" s="11"/>
    </row>
    <row r="1031">
      <c r="A1031" s="11"/>
      <c r="C1031" s="11"/>
      <c r="D1031" s="11"/>
      <c r="E1031" s="11"/>
    </row>
    <row r="1032">
      <c r="A1032" s="11"/>
      <c r="C1032" s="11"/>
      <c r="D1032" s="11"/>
      <c r="E1032" s="11"/>
    </row>
    <row r="1033">
      <c r="A1033" s="11"/>
      <c r="C1033" s="11"/>
      <c r="D1033" s="11"/>
      <c r="E1033" s="11"/>
    </row>
    <row r="1034">
      <c r="A1034" s="11"/>
      <c r="C1034" s="11"/>
      <c r="D1034" s="11"/>
      <c r="E1034" s="11"/>
    </row>
    <row r="1035">
      <c r="A1035" s="11"/>
      <c r="C1035" s="11"/>
      <c r="D1035" s="11"/>
      <c r="E1035" s="11"/>
    </row>
    <row r="1036">
      <c r="A1036" s="11"/>
      <c r="C1036" s="11"/>
      <c r="D1036" s="11"/>
      <c r="E1036" s="11"/>
    </row>
    <row r="1037">
      <c r="A1037" s="11"/>
      <c r="C1037" s="11"/>
      <c r="D1037" s="11"/>
      <c r="E1037" s="11"/>
    </row>
    <row r="1038">
      <c r="A1038" s="11"/>
      <c r="C1038" s="11"/>
      <c r="D1038" s="11"/>
      <c r="E1038" s="11"/>
    </row>
    <row r="1039">
      <c r="A1039" s="11"/>
      <c r="C1039" s="11"/>
      <c r="D1039" s="11"/>
      <c r="E1039" s="11"/>
    </row>
    <row r="1040">
      <c r="A1040" s="11"/>
      <c r="C1040" s="11"/>
      <c r="D1040" s="11"/>
      <c r="E1040" s="11"/>
    </row>
    <row r="1041">
      <c r="A1041" s="11"/>
      <c r="C1041" s="11"/>
      <c r="D1041" s="11"/>
      <c r="E1041" s="11"/>
    </row>
    <row r="1042">
      <c r="A1042" s="11"/>
      <c r="C1042" s="11"/>
      <c r="D1042" s="11"/>
      <c r="E1042" s="11"/>
    </row>
    <row r="1043">
      <c r="A1043" s="11"/>
      <c r="C1043" s="11"/>
      <c r="D1043" s="11"/>
      <c r="E1043" s="11"/>
    </row>
    <row r="1044">
      <c r="A1044" s="11"/>
      <c r="C1044" s="11"/>
      <c r="D1044" s="11"/>
      <c r="E1044" s="11"/>
    </row>
    <row r="1045">
      <c r="A1045" s="11"/>
      <c r="C1045" s="11"/>
      <c r="D1045" s="11"/>
      <c r="E1045" s="11"/>
    </row>
    <row r="1046">
      <c r="A1046" s="11"/>
      <c r="C1046" s="11"/>
      <c r="D1046" s="11"/>
      <c r="E1046" s="11"/>
    </row>
    <row r="1047">
      <c r="A1047" s="11"/>
      <c r="C1047" s="11"/>
      <c r="D1047" s="11"/>
      <c r="E1047" s="11"/>
    </row>
    <row r="1048">
      <c r="A1048" s="11"/>
      <c r="C1048" s="11"/>
      <c r="D1048" s="11"/>
      <c r="E1048" s="11"/>
    </row>
    <row r="1049">
      <c r="A1049" s="11"/>
      <c r="C1049" s="11"/>
      <c r="D1049" s="11"/>
      <c r="E1049" s="11"/>
    </row>
    <row r="1050">
      <c r="A1050" s="11"/>
      <c r="C1050" s="11"/>
      <c r="D1050" s="11"/>
      <c r="E1050" s="11"/>
    </row>
    <row r="1051">
      <c r="A1051" s="11"/>
      <c r="C1051" s="11"/>
      <c r="D1051" s="11"/>
      <c r="E1051" s="11"/>
    </row>
    <row r="1052">
      <c r="A1052" s="11"/>
      <c r="C1052" s="11"/>
      <c r="D1052" s="11"/>
      <c r="E1052" s="11"/>
    </row>
    <row r="1053">
      <c r="A1053" s="11"/>
      <c r="C1053" s="11"/>
      <c r="D1053" s="11"/>
      <c r="E1053" s="11"/>
    </row>
    <row r="1054">
      <c r="A1054" s="11"/>
      <c r="C1054" s="11"/>
      <c r="D1054" s="11"/>
      <c r="E1054" s="11"/>
    </row>
    <row r="1055">
      <c r="A1055" s="11"/>
      <c r="C1055" s="11"/>
      <c r="D1055" s="11"/>
      <c r="E1055" s="11"/>
    </row>
    <row r="1056">
      <c r="A1056" s="11"/>
      <c r="C1056" s="11"/>
      <c r="D1056" s="11"/>
      <c r="E1056" s="11"/>
    </row>
    <row r="1057">
      <c r="A1057" s="11"/>
      <c r="C1057" s="11"/>
      <c r="D1057" s="11"/>
      <c r="E1057" s="11"/>
    </row>
    <row r="1058">
      <c r="A1058" s="11"/>
      <c r="C1058" s="11"/>
      <c r="D1058" s="11"/>
      <c r="E1058" s="11"/>
    </row>
    <row r="1059">
      <c r="A1059" s="11"/>
      <c r="C1059" s="11"/>
      <c r="D1059" s="11"/>
      <c r="E1059" s="11"/>
    </row>
    <row r="1060">
      <c r="A1060" s="11"/>
      <c r="C1060" s="11"/>
      <c r="D1060" s="11"/>
      <c r="E1060" s="11"/>
    </row>
    <row r="1061">
      <c r="A1061" s="11"/>
      <c r="C1061" s="11"/>
      <c r="D1061" s="11"/>
      <c r="E1061" s="11"/>
    </row>
    <row r="1062">
      <c r="A1062" s="11"/>
      <c r="C1062" s="11"/>
      <c r="D1062" s="11"/>
      <c r="E1062" s="11"/>
    </row>
    <row r="1063">
      <c r="A1063" s="11"/>
      <c r="C1063" s="11"/>
      <c r="D1063" s="11"/>
      <c r="E1063" s="11"/>
    </row>
    <row r="1064">
      <c r="A1064" s="11"/>
      <c r="C1064" s="11"/>
      <c r="D1064" s="11"/>
      <c r="E1064" s="11"/>
    </row>
    <row r="1065">
      <c r="A1065" s="11"/>
      <c r="C1065" s="11"/>
      <c r="D1065" s="11"/>
      <c r="E1065" s="11"/>
    </row>
    <row r="1066">
      <c r="A1066" s="11"/>
      <c r="C1066" s="11"/>
      <c r="D1066" s="11"/>
      <c r="E1066" s="11"/>
    </row>
    <row r="1067">
      <c r="A1067" s="11"/>
      <c r="C1067" s="11"/>
      <c r="D1067" s="11"/>
      <c r="E1067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">
    <cfRule type="expression" dxfId="1" priority="3">
      <formula>E5=1</formula>
    </cfRule>
  </conditionalFormatting>
  <conditionalFormatting sqref="B5:B70">
    <cfRule type="expression" dxfId="3" priority="4">
      <formula>E5=2</formula>
    </cfRule>
  </conditionalFormatting>
  <conditionalFormatting sqref="B5:B70">
    <cfRule type="expression" dxfId="4" priority="5">
      <formula>E5=3</formula>
    </cfRule>
  </conditionalFormatting>
  <conditionalFormatting sqref="B5:B70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88"/>
    <col customWidth="1" min="4" max="4" width="8.25"/>
    <col customWidth="1" min="5" max="5" width="9.38"/>
    <col customWidth="1" min="6" max="6" width="7.5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7.0"/>
    <col customWidth="1" min="17" max="18" width="6.75"/>
    <col customWidth="1" min="19" max="19" width="8.0"/>
    <col customWidth="1" min="20" max="20" width="8.75"/>
    <col customWidth="1" min="21" max="21" width="14.88"/>
  </cols>
  <sheetData>
    <row r="1">
      <c r="A1" s="11"/>
      <c r="B1" s="12" t="s">
        <v>23</v>
      </c>
      <c r="C1" s="81">
        <v>45577.0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15.0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28</v>
      </c>
      <c r="Q3" s="25" t="s">
        <v>29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  <c r="U4" s="29" t="s">
        <v>42</v>
      </c>
      <c r="V4" s="26" t="s">
        <v>30</v>
      </c>
    </row>
    <row r="5">
      <c r="A5" s="30">
        <v>1.0</v>
      </c>
      <c r="B5" s="31" t="s">
        <v>43</v>
      </c>
      <c r="C5" s="32">
        <v>218.0</v>
      </c>
      <c r="D5" s="32">
        <v>25.0</v>
      </c>
      <c r="E5" s="37">
        <v>1.0</v>
      </c>
      <c r="F5" s="39">
        <v>1.0</v>
      </c>
      <c r="G5" s="40">
        <v>0.0</v>
      </c>
      <c r="H5" s="39">
        <v>7.0</v>
      </c>
      <c r="I5" s="39">
        <v>6.0</v>
      </c>
      <c r="J5" s="39">
        <v>6.0</v>
      </c>
      <c r="K5" s="42">
        <v>19.0</v>
      </c>
      <c r="L5" s="39">
        <v>2.0</v>
      </c>
      <c r="M5" s="32">
        <f t="shared" ref="M5:N5" si="1">C5+K5</f>
        <v>237</v>
      </c>
      <c r="N5" s="32">
        <f t="shared" si="1"/>
        <v>27</v>
      </c>
      <c r="O5" s="43" t="s">
        <v>53</v>
      </c>
      <c r="P5" s="43" t="s">
        <v>53</v>
      </c>
      <c r="Q5" s="43"/>
      <c r="R5" s="39">
        <f>if(G5=13,1,0)+VLOOKUP(B5,'100524'!B:T,17,false)</f>
        <v>2</v>
      </c>
      <c r="S5" s="39"/>
      <c r="T5" s="39">
        <f>if(G5=9,1,0)+VLOOKUP(B5,'100524'!B:T,19,false)</f>
        <v>2</v>
      </c>
      <c r="U5" s="39">
        <f>VLOOKUP(B5,'100524'!B$5:V$70,21,false)-A5</f>
        <v>0</v>
      </c>
      <c r="V5" s="30">
        <v>1.0</v>
      </c>
    </row>
    <row r="6">
      <c r="A6" s="30">
        <f t="shared" ref="A6:A70" si="3">A5+1</f>
        <v>2</v>
      </c>
      <c r="B6" s="31" t="s">
        <v>61</v>
      </c>
      <c r="C6" s="32">
        <v>192.0</v>
      </c>
      <c r="D6" s="32">
        <v>22.0</v>
      </c>
      <c r="E6" s="37">
        <v>1.0</v>
      </c>
      <c r="F6" s="39">
        <v>1.0</v>
      </c>
      <c r="G6" s="40">
        <v>0.0</v>
      </c>
      <c r="H6" s="39">
        <v>7.0</v>
      </c>
      <c r="I6" s="39">
        <v>2.0</v>
      </c>
      <c r="J6" s="39">
        <v>7.0</v>
      </c>
      <c r="K6" s="42">
        <v>16.0</v>
      </c>
      <c r="L6" s="39">
        <v>2.0</v>
      </c>
      <c r="M6" s="32">
        <f t="shared" ref="M6:N6" si="2">C6+K6</f>
        <v>208</v>
      </c>
      <c r="N6" s="32">
        <f t="shared" si="2"/>
        <v>24</v>
      </c>
      <c r="O6" s="43" t="s">
        <v>53</v>
      </c>
      <c r="P6" s="43" t="s">
        <v>53</v>
      </c>
      <c r="Q6" s="43"/>
      <c r="R6" s="39">
        <f>if(G6=13,1,0)+VLOOKUP(B6,'100524'!B:T,17,false)</f>
        <v>0</v>
      </c>
      <c r="S6" s="39"/>
      <c r="T6" s="39">
        <f>if(G6=9,1,0)+VLOOKUP(B6,'100524'!B:T,19,false)</f>
        <v>3</v>
      </c>
      <c r="U6" s="39">
        <f>VLOOKUP(B6,'100524'!B$5:V$70,21,false)-A6</f>
        <v>0</v>
      </c>
      <c r="V6" s="30">
        <f t="shared" ref="V6:V70" si="5">V5+1</f>
        <v>2</v>
      </c>
    </row>
    <row r="7">
      <c r="A7" s="30">
        <f t="shared" si="3"/>
        <v>3</v>
      </c>
      <c r="B7" s="51" t="s">
        <v>92</v>
      </c>
      <c r="C7" s="32">
        <v>192.0</v>
      </c>
      <c r="D7" s="32">
        <v>19.0</v>
      </c>
      <c r="E7" s="37">
        <v>1.0</v>
      </c>
      <c r="F7" s="39">
        <v>1.0</v>
      </c>
      <c r="G7" s="40">
        <v>0.0</v>
      </c>
      <c r="H7" s="39">
        <v>6.0</v>
      </c>
      <c r="I7" s="39">
        <v>6.0</v>
      </c>
      <c r="J7" s="39">
        <v>7.0</v>
      </c>
      <c r="K7" s="42">
        <v>19.0</v>
      </c>
      <c r="L7" s="39">
        <v>2.0</v>
      </c>
      <c r="M7" s="32">
        <f t="shared" ref="M7:N7" si="4">C7+K7</f>
        <v>211</v>
      </c>
      <c r="N7" s="32">
        <f t="shared" si="4"/>
        <v>21</v>
      </c>
      <c r="O7" s="43" t="s">
        <v>53</v>
      </c>
      <c r="P7" s="43" t="s">
        <v>53</v>
      </c>
      <c r="Q7" s="43" t="s">
        <v>88</v>
      </c>
      <c r="R7" s="39">
        <f>if(G7=13,1,0)+VLOOKUP(B7,'100524'!B:T,17,false)</f>
        <v>1</v>
      </c>
      <c r="S7" s="39"/>
      <c r="T7" s="39">
        <f>if(G7=9,1,0)+VLOOKUP(B7,'100524'!B:T,19,false)</f>
        <v>5</v>
      </c>
      <c r="U7" s="39">
        <f>VLOOKUP(B7,'100524'!B$5:V$70,21,false)-A7</f>
        <v>4</v>
      </c>
      <c r="V7" s="30">
        <f t="shared" si="5"/>
        <v>3</v>
      </c>
    </row>
    <row r="8">
      <c r="A8" s="30">
        <f t="shared" si="3"/>
        <v>4</v>
      </c>
      <c r="B8" s="31" t="s">
        <v>71</v>
      </c>
      <c r="C8" s="32">
        <v>189.0</v>
      </c>
      <c r="D8" s="32">
        <v>19.0</v>
      </c>
      <c r="E8" s="37">
        <v>1.0</v>
      </c>
      <c r="F8" s="39">
        <v>1.0</v>
      </c>
      <c r="G8" s="40">
        <v>0.0</v>
      </c>
      <c r="H8" s="39">
        <v>6.0</v>
      </c>
      <c r="I8" s="39">
        <v>2.0</v>
      </c>
      <c r="J8" s="39">
        <v>6.0</v>
      </c>
      <c r="K8" s="42">
        <v>14.0</v>
      </c>
      <c r="L8" s="39">
        <v>0.0</v>
      </c>
      <c r="M8" s="32">
        <f t="shared" ref="M8:N8" si="6">C8+K8</f>
        <v>203</v>
      </c>
      <c r="N8" s="32">
        <f t="shared" si="6"/>
        <v>19</v>
      </c>
      <c r="O8" s="43" t="s">
        <v>53</v>
      </c>
      <c r="P8" s="43" t="s">
        <v>53</v>
      </c>
      <c r="Q8" s="43"/>
      <c r="R8" s="39">
        <f>if(G8=13,1,0)+VLOOKUP(B8,'100524'!B:T,17,false)</f>
        <v>1</v>
      </c>
      <c r="S8" s="39"/>
      <c r="T8" s="39">
        <f>if(G8=9,1,0)+VLOOKUP(B8,'100524'!B:T,19,false)</f>
        <v>0</v>
      </c>
      <c r="U8" s="39">
        <f>VLOOKUP(B8,'100524'!B$5:V$70,21,false)-A8</f>
        <v>6</v>
      </c>
      <c r="V8" s="30">
        <f t="shared" si="5"/>
        <v>4</v>
      </c>
    </row>
    <row r="9">
      <c r="A9" s="30">
        <f t="shared" si="3"/>
        <v>5</v>
      </c>
      <c r="B9" s="31" t="s">
        <v>34</v>
      </c>
      <c r="C9" s="32">
        <v>187.0</v>
      </c>
      <c r="D9" s="32">
        <v>22.0</v>
      </c>
      <c r="E9" s="37">
        <v>3.0</v>
      </c>
      <c r="F9" s="39">
        <v>0.0</v>
      </c>
      <c r="G9" s="40">
        <v>9.0</v>
      </c>
      <c r="H9" s="39">
        <v>0.0</v>
      </c>
      <c r="I9" s="39">
        <v>0.0</v>
      </c>
      <c r="J9" s="39">
        <v>0.0</v>
      </c>
      <c r="K9" s="42">
        <v>9.0</v>
      </c>
      <c r="L9" s="39">
        <v>0.0</v>
      </c>
      <c r="M9" s="32">
        <f t="shared" ref="M9:N9" si="7">C9+K9</f>
        <v>196</v>
      </c>
      <c r="N9" s="32">
        <f t="shared" si="7"/>
        <v>22</v>
      </c>
      <c r="O9" s="43" t="s">
        <v>53</v>
      </c>
      <c r="P9" s="43" t="s">
        <v>53</v>
      </c>
      <c r="Q9" s="43"/>
      <c r="R9" s="39">
        <f>if(G9=13,1,0)+VLOOKUP(B9,'100524'!B:T,17,false)</f>
        <v>0</v>
      </c>
      <c r="S9" s="39"/>
      <c r="T9" s="39">
        <f>if(G9=9,1,0)+VLOOKUP(B9,'100524'!B:T,19,false)</f>
        <v>3</v>
      </c>
      <c r="U9" s="39">
        <f>VLOOKUP(B9,'100524'!B$5:V$70,21,false)-A9</f>
        <v>6</v>
      </c>
      <c r="V9" s="30">
        <f t="shared" si="5"/>
        <v>5</v>
      </c>
    </row>
    <row r="10">
      <c r="A10" s="30">
        <f t="shared" si="3"/>
        <v>6</v>
      </c>
      <c r="B10" s="51" t="s">
        <v>78</v>
      </c>
      <c r="C10" s="32">
        <v>186.0</v>
      </c>
      <c r="D10" s="32">
        <v>18.0</v>
      </c>
      <c r="E10" s="37">
        <v>1.0</v>
      </c>
      <c r="F10" s="39">
        <v>2.0</v>
      </c>
      <c r="G10" s="40">
        <v>0.0</v>
      </c>
      <c r="H10" s="39">
        <v>2.0</v>
      </c>
      <c r="I10" s="39">
        <v>3.0</v>
      </c>
      <c r="J10" s="39">
        <v>4.0</v>
      </c>
      <c r="K10" s="42">
        <v>9.0</v>
      </c>
      <c r="L10" s="39">
        <v>0.0</v>
      </c>
      <c r="M10" s="32">
        <f t="shared" ref="M10:N10" si="8">C10+K10</f>
        <v>195</v>
      </c>
      <c r="N10" s="32">
        <f t="shared" si="8"/>
        <v>18</v>
      </c>
      <c r="O10" s="43" t="s">
        <v>53</v>
      </c>
      <c r="P10" s="43" t="s">
        <v>53</v>
      </c>
      <c r="Q10" s="43"/>
      <c r="R10" s="39">
        <f>if(G10=13,1,0)+VLOOKUP(B10,'100524'!B:T,17,false)</f>
        <v>0</v>
      </c>
      <c r="S10" s="39"/>
      <c r="T10" s="39">
        <f>if(G10=9,1,0)+VLOOKUP(B10,'100524'!B:T,19,false)</f>
        <v>1</v>
      </c>
      <c r="U10" s="39">
        <f>VLOOKUP(B10,'100524'!B$5:V$70,21,false)-A10</f>
        <v>3</v>
      </c>
      <c r="V10" s="30">
        <f t="shared" si="5"/>
        <v>6</v>
      </c>
    </row>
    <row r="11">
      <c r="A11" s="30">
        <f t="shared" si="3"/>
        <v>7</v>
      </c>
      <c r="B11" s="51" t="s">
        <v>100</v>
      </c>
      <c r="C11" s="32">
        <v>186.0</v>
      </c>
      <c r="D11" s="32">
        <v>17.0</v>
      </c>
      <c r="E11" s="37">
        <v>1.0</v>
      </c>
      <c r="F11" s="39">
        <v>2.0</v>
      </c>
      <c r="G11" s="40">
        <v>0.0</v>
      </c>
      <c r="H11" s="39">
        <v>6.0</v>
      </c>
      <c r="I11" s="39">
        <v>6.0</v>
      </c>
      <c r="J11" s="39">
        <v>4.0</v>
      </c>
      <c r="K11" s="42">
        <v>16.0</v>
      </c>
      <c r="L11" s="39">
        <v>2.0</v>
      </c>
      <c r="M11" s="32">
        <f t="shared" ref="M11:N11" si="9">C11+K11</f>
        <v>202</v>
      </c>
      <c r="N11" s="32">
        <f t="shared" si="9"/>
        <v>19</v>
      </c>
      <c r="O11" s="43" t="s">
        <v>53</v>
      </c>
      <c r="P11" s="43" t="s">
        <v>53</v>
      </c>
      <c r="Q11" s="43"/>
      <c r="R11" s="39">
        <f>if(G11=13,1,0)+VLOOKUP(B11,'100524'!B:T,17,false)</f>
        <v>1</v>
      </c>
      <c r="S11" s="39"/>
      <c r="T11" s="39">
        <f>if(G11=9,1,0)+VLOOKUP(B11,'100524'!B:T,19,false)</f>
        <v>3</v>
      </c>
      <c r="U11" s="39">
        <f>VLOOKUP(B11,'100524'!B$5:V$70,21,false)-A11</f>
        <v>-4</v>
      </c>
      <c r="V11" s="30">
        <f t="shared" si="5"/>
        <v>7</v>
      </c>
    </row>
    <row r="12">
      <c r="A12" s="30">
        <f t="shared" si="3"/>
        <v>8</v>
      </c>
      <c r="B12" s="51" t="s">
        <v>54</v>
      </c>
      <c r="C12" s="32">
        <v>184.0</v>
      </c>
      <c r="D12" s="32">
        <v>19.0</v>
      </c>
      <c r="E12" s="37">
        <v>1.0</v>
      </c>
      <c r="F12" s="39">
        <v>2.0</v>
      </c>
      <c r="G12" s="40">
        <v>0.0</v>
      </c>
      <c r="H12" s="39">
        <v>2.0</v>
      </c>
      <c r="I12" s="39">
        <v>6.0</v>
      </c>
      <c r="J12" s="39">
        <v>6.0</v>
      </c>
      <c r="K12" s="42">
        <v>14.0</v>
      </c>
      <c r="L12" s="39">
        <v>2.0</v>
      </c>
      <c r="M12" s="32">
        <f t="shared" ref="M12:N12" si="10">C12+K12</f>
        <v>198</v>
      </c>
      <c r="N12" s="32">
        <f t="shared" si="10"/>
        <v>21</v>
      </c>
      <c r="O12" s="43" t="s">
        <v>53</v>
      </c>
      <c r="P12" s="43" t="s">
        <v>53</v>
      </c>
      <c r="Q12" s="43"/>
      <c r="R12" s="39">
        <f>if(G12=13,1,0)+VLOOKUP(B12,'100524'!B:T,17,false)</f>
        <v>0</v>
      </c>
      <c r="S12" s="39"/>
      <c r="T12" s="39">
        <f>if(G12=9,1,0)+VLOOKUP(B12,'100524'!B:T,19,false)</f>
        <v>2</v>
      </c>
      <c r="U12" s="39">
        <f>VLOOKUP(B12,'100524'!B$5:V$70,21,false)-A12</f>
        <v>-2</v>
      </c>
      <c r="V12" s="30">
        <f t="shared" si="5"/>
        <v>8</v>
      </c>
    </row>
    <row r="13">
      <c r="A13" s="30">
        <f t="shared" si="3"/>
        <v>9</v>
      </c>
      <c r="B13" s="31" t="s">
        <v>68</v>
      </c>
      <c r="C13" s="32">
        <v>184.0</v>
      </c>
      <c r="D13" s="32">
        <v>17.0</v>
      </c>
      <c r="E13" s="37">
        <v>5.0</v>
      </c>
      <c r="F13" s="39">
        <v>0.0</v>
      </c>
      <c r="G13" s="40">
        <v>13.0</v>
      </c>
      <c r="H13" s="39">
        <v>0.0</v>
      </c>
      <c r="I13" s="39">
        <v>0.0</v>
      </c>
      <c r="J13" s="39">
        <v>0.0</v>
      </c>
      <c r="K13" s="42">
        <v>13.0</v>
      </c>
      <c r="L13" s="39">
        <v>0.0</v>
      </c>
      <c r="M13" s="32">
        <f t="shared" ref="M13:N13" si="11">C13+K13</f>
        <v>197</v>
      </c>
      <c r="N13" s="32">
        <f t="shared" si="11"/>
        <v>17</v>
      </c>
      <c r="O13" s="43" t="s">
        <v>53</v>
      </c>
      <c r="P13" s="43" t="s">
        <v>53</v>
      </c>
      <c r="Q13" s="43"/>
      <c r="R13" s="39">
        <f>if(G13=13,1,0)+VLOOKUP(B13,'100524'!B:T,17,false)</f>
        <v>2</v>
      </c>
      <c r="S13" s="39"/>
      <c r="T13" s="39">
        <f>if(G13=9,1,0)+VLOOKUP(B13,'100524'!B:T,19,false)</f>
        <v>2</v>
      </c>
      <c r="U13" s="39">
        <f>VLOOKUP(B13,'100524'!B$5:V$70,21,false)-A13</f>
        <v>-1</v>
      </c>
      <c r="V13" s="30">
        <f t="shared" si="5"/>
        <v>9</v>
      </c>
    </row>
    <row r="14">
      <c r="A14" s="30">
        <f t="shared" si="3"/>
        <v>10</v>
      </c>
      <c r="B14" s="31" t="s">
        <v>91</v>
      </c>
      <c r="C14" s="32">
        <v>184.0</v>
      </c>
      <c r="D14" s="32">
        <v>16.0</v>
      </c>
      <c r="E14" s="37">
        <v>1.0</v>
      </c>
      <c r="F14" s="39">
        <v>2.0</v>
      </c>
      <c r="G14" s="40">
        <v>0.0</v>
      </c>
      <c r="H14" s="39">
        <v>6.0</v>
      </c>
      <c r="I14" s="39">
        <v>3.0</v>
      </c>
      <c r="J14" s="39">
        <v>6.0</v>
      </c>
      <c r="K14" s="42">
        <v>15.0</v>
      </c>
      <c r="L14" s="39">
        <v>2.0</v>
      </c>
      <c r="M14" s="32">
        <f t="shared" ref="M14:N14" si="12">C14+K14</f>
        <v>199</v>
      </c>
      <c r="N14" s="32">
        <f t="shared" si="12"/>
        <v>18</v>
      </c>
      <c r="O14" s="43" t="s">
        <v>53</v>
      </c>
      <c r="P14" s="43" t="s">
        <v>53</v>
      </c>
      <c r="Q14" s="43"/>
      <c r="R14" s="39">
        <f>if(G14=13,1,0)+VLOOKUP(B14,'100524'!B:T,17,false)</f>
        <v>1</v>
      </c>
      <c r="S14" s="39"/>
      <c r="T14" s="39">
        <f>if(G14=9,1,0)+VLOOKUP(B14,'100524'!B:T,19,false)</f>
        <v>2</v>
      </c>
      <c r="U14" s="39">
        <f>VLOOKUP(B14,'100524'!B$5:V$70,21,false)-A14</f>
        <v>-6</v>
      </c>
      <c r="V14" s="30">
        <f t="shared" si="5"/>
        <v>10</v>
      </c>
    </row>
    <row r="15">
      <c r="A15" s="30">
        <f t="shared" si="3"/>
        <v>11</v>
      </c>
      <c r="B15" s="31" t="s">
        <v>90</v>
      </c>
      <c r="C15" s="32">
        <v>184.0</v>
      </c>
      <c r="D15" s="32">
        <v>16.0</v>
      </c>
      <c r="E15" s="37">
        <v>3.0</v>
      </c>
      <c r="F15" s="39">
        <v>0.0</v>
      </c>
      <c r="G15" s="40">
        <v>9.0</v>
      </c>
      <c r="H15" s="39">
        <v>0.0</v>
      </c>
      <c r="I15" s="39">
        <v>0.0</v>
      </c>
      <c r="J15" s="39">
        <v>0.0</v>
      </c>
      <c r="K15" s="42">
        <v>9.0</v>
      </c>
      <c r="L15" s="39">
        <v>0.0</v>
      </c>
      <c r="M15" s="32">
        <f t="shared" ref="M15:N15" si="13">C15+K15</f>
        <v>193</v>
      </c>
      <c r="N15" s="32">
        <f t="shared" si="13"/>
        <v>16</v>
      </c>
      <c r="O15" s="43" t="s">
        <v>53</v>
      </c>
      <c r="P15" s="43" t="s">
        <v>53</v>
      </c>
      <c r="Q15" s="43"/>
      <c r="R15" s="39">
        <f>if(G15=13,1,0)+VLOOKUP(B15,'100524'!B:T,17,false)</f>
        <v>2</v>
      </c>
      <c r="S15" s="39"/>
      <c r="T15" s="39">
        <f>if(G15=9,1,0)+VLOOKUP(B15,'100524'!B:T,19,false)</f>
        <v>3</v>
      </c>
      <c r="U15" s="39">
        <f>VLOOKUP(B15,'100524'!B$5:V$70,21,false)-A15</f>
        <v>-6</v>
      </c>
      <c r="V15" s="30">
        <f t="shared" si="5"/>
        <v>11</v>
      </c>
    </row>
    <row r="16">
      <c r="A16" s="30">
        <f t="shared" si="3"/>
        <v>12</v>
      </c>
      <c r="B16" s="51" t="s">
        <v>85</v>
      </c>
      <c r="C16" s="32">
        <v>177.0</v>
      </c>
      <c r="D16" s="32">
        <v>14.0</v>
      </c>
      <c r="E16" s="37">
        <v>3.0</v>
      </c>
      <c r="F16" s="39">
        <v>0.0</v>
      </c>
      <c r="G16" s="40">
        <v>9.0</v>
      </c>
      <c r="H16" s="39">
        <v>0.0</v>
      </c>
      <c r="I16" s="39">
        <v>0.0</v>
      </c>
      <c r="J16" s="39">
        <v>0.0</v>
      </c>
      <c r="K16" s="42">
        <v>9.0</v>
      </c>
      <c r="L16" s="39">
        <v>0.0</v>
      </c>
      <c r="M16" s="32">
        <f t="shared" ref="M16:N16" si="14">C16+K16</f>
        <v>186</v>
      </c>
      <c r="N16" s="32">
        <f t="shared" si="14"/>
        <v>14</v>
      </c>
      <c r="O16" s="43" t="s">
        <v>53</v>
      </c>
      <c r="P16" s="43" t="s">
        <v>53</v>
      </c>
      <c r="Q16" s="43"/>
      <c r="R16" s="39">
        <f>if(G16=13,1,0)+VLOOKUP(B16,'100524'!B:T,17,false)</f>
        <v>0</v>
      </c>
      <c r="S16" s="39"/>
      <c r="T16" s="39">
        <f>if(G16=9,1,0)+VLOOKUP(B16,'100524'!B:T,19,false)</f>
        <v>9</v>
      </c>
      <c r="U16" s="39">
        <f>VLOOKUP(B16,'100524'!B$5:V$70,21,false)-A16</f>
        <v>0</v>
      </c>
      <c r="V16" s="30">
        <f t="shared" si="5"/>
        <v>12</v>
      </c>
    </row>
    <row r="17">
      <c r="A17" s="30">
        <f t="shared" si="3"/>
        <v>13</v>
      </c>
      <c r="B17" s="51" t="s">
        <v>87</v>
      </c>
      <c r="C17" s="32">
        <v>177.0</v>
      </c>
      <c r="D17" s="32">
        <v>14.0</v>
      </c>
      <c r="E17" s="37">
        <v>1.0</v>
      </c>
      <c r="F17" s="39">
        <v>3.0</v>
      </c>
      <c r="G17" s="40">
        <v>0.0</v>
      </c>
      <c r="H17" s="39">
        <v>6.0</v>
      </c>
      <c r="I17" s="39">
        <v>6.0</v>
      </c>
      <c r="J17" s="39">
        <v>6.0</v>
      </c>
      <c r="K17" s="42">
        <v>18.0</v>
      </c>
      <c r="L17" s="39">
        <v>3.0</v>
      </c>
      <c r="M17" s="32">
        <f t="shared" ref="M17:N17" si="15">C17+K17</f>
        <v>195</v>
      </c>
      <c r="N17" s="32">
        <f t="shared" si="15"/>
        <v>17</v>
      </c>
      <c r="O17" s="43" t="s">
        <v>53</v>
      </c>
      <c r="P17" s="43" t="s">
        <v>53</v>
      </c>
      <c r="Q17" s="43"/>
      <c r="R17" s="39">
        <f>if(G17=13,1,0)+VLOOKUP(B17,'100524'!B:T,17,false)</f>
        <v>3</v>
      </c>
      <c r="S17" s="39"/>
      <c r="T17" s="39">
        <f>if(G17=9,1,0)+VLOOKUP(B17,'100524'!B:T,19,false)</f>
        <v>1</v>
      </c>
      <c r="U17" s="39">
        <f>VLOOKUP(B17,'100524'!B$5:V$70,21,false)-A17</f>
        <v>4</v>
      </c>
      <c r="V17" s="30">
        <f t="shared" si="5"/>
        <v>13</v>
      </c>
    </row>
    <row r="18">
      <c r="A18" s="30">
        <f t="shared" si="3"/>
        <v>14</v>
      </c>
      <c r="B18" s="31" t="s">
        <v>86</v>
      </c>
      <c r="C18" s="32">
        <v>177.0</v>
      </c>
      <c r="D18" s="32">
        <v>12.0</v>
      </c>
      <c r="E18" s="37">
        <v>2.0</v>
      </c>
      <c r="F18" s="39">
        <v>3.0</v>
      </c>
      <c r="G18" s="40">
        <v>0.0</v>
      </c>
      <c r="H18" s="39">
        <v>4.0</v>
      </c>
      <c r="I18" s="39">
        <v>4.0</v>
      </c>
      <c r="J18" s="39">
        <v>6.0</v>
      </c>
      <c r="K18" s="42">
        <v>14.0</v>
      </c>
      <c r="L18" s="39">
        <v>1.0</v>
      </c>
      <c r="M18" s="32">
        <f t="shared" ref="M18:N18" si="16">C18+K18</f>
        <v>191</v>
      </c>
      <c r="N18" s="32">
        <f t="shared" si="16"/>
        <v>13</v>
      </c>
      <c r="O18" s="43" t="s">
        <v>53</v>
      </c>
      <c r="P18" s="43" t="s">
        <v>53</v>
      </c>
      <c r="Q18" s="43"/>
      <c r="R18" s="39">
        <f>if(G18=13,1,0)+VLOOKUP(B18,'100524'!B:T,17,false)</f>
        <v>4</v>
      </c>
      <c r="S18" s="39"/>
      <c r="T18" s="39">
        <f>if(G18=9,1,0)+VLOOKUP(B18,'100524'!B:T,19,false)</f>
        <v>1</v>
      </c>
      <c r="U18" s="39">
        <f>VLOOKUP(B18,'100524'!B$5:V$70,21,false)-A18</f>
        <v>-1</v>
      </c>
      <c r="V18" s="30">
        <f t="shared" si="5"/>
        <v>14</v>
      </c>
    </row>
    <row r="19">
      <c r="A19" s="30">
        <f t="shared" si="3"/>
        <v>15</v>
      </c>
      <c r="B19" s="31" t="s">
        <v>98</v>
      </c>
      <c r="C19" s="32">
        <v>176.0</v>
      </c>
      <c r="D19" s="32">
        <v>14.0</v>
      </c>
      <c r="E19" s="37">
        <v>2.0</v>
      </c>
      <c r="F19" s="39">
        <v>3.0</v>
      </c>
      <c r="G19" s="40">
        <v>0.0</v>
      </c>
      <c r="H19" s="39">
        <v>4.0</v>
      </c>
      <c r="I19" s="39">
        <v>6.0</v>
      </c>
      <c r="J19" s="39">
        <v>4.0</v>
      </c>
      <c r="K19" s="42">
        <v>14.0</v>
      </c>
      <c r="L19" s="39">
        <v>1.0</v>
      </c>
      <c r="M19" s="32">
        <f t="shared" ref="M19:N19" si="17">C19+K19</f>
        <v>190</v>
      </c>
      <c r="N19" s="32">
        <f t="shared" si="17"/>
        <v>15</v>
      </c>
      <c r="O19" s="43" t="s">
        <v>53</v>
      </c>
      <c r="P19" s="43" t="s">
        <v>53</v>
      </c>
      <c r="Q19" s="43"/>
      <c r="R19" s="39">
        <f>if(G19=13,1,0)+VLOOKUP(B19,'100524'!B:T,17,false)</f>
        <v>1</v>
      </c>
      <c r="S19" s="39"/>
      <c r="T19" s="39">
        <f>if(G19=9,1,0)+VLOOKUP(B19,'100524'!B:T,19,false)</f>
        <v>5</v>
      </c>
      <c r="U19" s="39">
        <f>VLOOKUP(B19,'100524'!B$5:V$70,21,false)-A19</f>
        <v>-1</v>
      </c>
      <c r="V19" s="30">
        <f t="shared" si="5"/>
        <v>15</v>
      </c>
    </row>
    <row r="20">
      <c r="A20" s="30">
        <f t="shared" si="3"/>
        <v>16</v>
      </c>
      <c r="B20" s="51" t="s">
        <v>84</v>
      </c>
      <c r="C20" s="32">
        <v>176.0</v>
      </c>
      <c r="D20" s="32">
        <v>13.0</v>
      </c>
      <c r="E20" s="37">
        <v>1.0</v>
      </c>
      <c r="F20" s="39">
        <v>3.0</v>
      </c>
      <c r="G20" s="40">
        <v>0.0</v>
      </c>
      <c r="H20" s="39">
        <v>6.0</v>
      </c>
      <c r="I20" s="39">
        <v>4.0</v>
      </c>
      <c r="J20" s="39">
        <v>4.0</v>
      </c>
      <c r="K20" s="42">
        <v>14.0</v>
      </c>
      <c r="L20" s="39">
        <v>1.0</v>
      </c>
      <c r="M20" s="32">
        <f t="shared" ref="M20:N20" si="18">C20+K20</f>
        <v>190</v>
      </c>
      <c r="N20" s="32">
        <f t="shared" si="18"/>
        <v>14</v>
      </c>
      <c r="O20" s="43" t="s">
        <v>53</v>
      </c>
      <c r="P20" s="43" t="s">
        <v>53</v>
      </c>
      <c r="Q20" s="43"/>
      <c r="R20" s="39">
        <f>if(G20=13,1,0)+VLOOKUP(B20,'100524'!B:T,17,false)</f>
        <v>1</v>
      </c>
      <c r="S20" s="39"/>
      <c r="T20" s="39">
        <f>if(G20=9,1,0)+VLOOKUP(B20,'100524'!B:T,19,false)</f>
        <v>2</v>
      </c>
      <c r="U20" s="39">
        <f>VLOOKUP(B20,'100524'!B$5:V$70,21,false)-A20</f>
        <v>2</v>
      </c>
      <c r="V20" s="30">
        <f t="shared" si="5"/>
        <v>16</v>
      </c>
    </row>
    <row r="21">
      <c r="A21" s="30">
        <f t="shared" si="3"/>
        <v>17</v>
      </c>
      <c r="B21" s="31" t="s">
        <v>83</v>
      </c>
      <c r="C21" s="32">
        <v>175.0</v>
      </c>
      <c r="D21" s="32">
        <v>15.0</v>
      </c>
      <c r="E21" s="37">
        <v>3.0</v>
      </c>
      <c r="F21" s="39">
        <v>0.0</v>
      </c>
      <c r="G21" s="40">
        <v>9.0</v>
      </c>
      <c r="H21" s="39">
        <v>0.0</v>
      </c>
      <c r="I21" s="39">
        <v>0.0</v>
      </c>
      <c r="J21" s="39">
        <v>0.0</v>
      </c>
      <c r="K21" s="42">
        <v>9.0</v>
      </c>
      <c r="L21" s="39">
        <v>0.0</v>
      </c>
      <c r="M21" s="32">
        <f t="shared" ref="M21:N21" si="19">C21+K21</f>
        <v>184</v>
      </c>
      <c r="N21" s="32">
        <f t="shared" si="19"/>
        <v>15</v>
      </c>
      <c r="O21" s="43" t="s">
        <v>53</v>
      </c>
      <c r="P21" s="43" t="s">
        <v>53</v>
      </c>
      <c r="Q21" s="43"/>
      <c r="R21" s="39">
        <f>if(G21=13,1,0)+VLOOKUP(B21,'100524'!B:T,17,false)</f>
        <v>0</v>
      </c>
      <c r="S21" s="39"/>
      <c r="T21" s="39">
        <f>if(G21=9,1,0)+VLOOKUP(B21,'100524'!B:T,19,false)</f>
        <v>8</v>
      </c>
      <c r="U21" s="39">
        <f>VLOOKUP(B21,'100524'!B$5:V$70,21,false)-A21</f>
        <v>-2</v>
      </c>
      <c r="V21" s="30">
        <f t="shared" si="5"/>
        <v>17</v>
      </c>
    </row>
    <row r="22">
      <c r="A22" s="30">
        <f t="shared" si="3"/>
        <v>18</v>
      </c>
      <c r="B22" s="31" t="s">
        <v>57</v>
      </c>
      <c r="C22" s="32">
        <v>175.0</v>
      </c>
      <c r="D22" s="32">
        <v>15.0</v>
      </c>
      <c r="E22" s="37">
        <v>5.0</v>
      </c>
      <c r="F22" s="39">
        <v>0.0</v>
      </c>
      <c r="G22" s="40">
        <v>13.0</v>
      </c>
      <c r="H22" s="39">
        <v>0.0</v>
      </c>
      <c r="I22" s="39">
        <v>0.0</v>
      </c>
      <c r="J22" s="39">
        <v>0.0</v>
      </c>
      <c r="K22" s="42">
        <v>13.0</v>
      </c>
      <c r="L22" s="39">
        <v>0.0</v>
      </c>
      <c r="M22" s="32">
        <f t="shared" ref="M22:N22" si="20">C22+K22</f>
        <v>188</v>
      </c>
      <c r="N22" s="32">
        <f t="shared" si="20"/>
        <v>15</v>
      </c>
      <c r="O22" s="43" t="s">
        <v>53</v>
      </c>
      <c r="P22" s="43" t="s">
        <v>53</v>
      </c>
      <c r="Q22" s="43"/>
      <c r="R22" s="39">
        <f>if(G22=13,1,0)+VLOOKUP(B22,'100524'!B:T,17,false)</f>
        <v>2</v>
      </c>
      <c r="S22" s="39"/>
      <c r="T22" s="39">
        <f>if(G22=9,1,0)+VLOOKUP(B22,'100524'!B:T,19,false)</f>
        <v>3</v>
      </c>
      <c r="U22" s="39">
        <f>VLOOKUP(B22,'100524'!B$5:V$70,21,false)-A22</f>
        <v>-2</v>
      </c>
      <c r="V22" s="30">
        <f t="shared" si="5"/>
        <v>18</v>
      </c>
    </row>
    <row r="23">
      <c r="A23" s="30">
        <f t="shared" si="3"/>
        <v>19</v>
      </c>
      <c r="B23" s="51" t="s">
        <v>93</v>
      </c>
      <c r="C23" s="32">
        <v>175.0</v>
      </c>
      <c r="D23" s="32">
        <v>15.0</v>
      </c>
      <c r="E23" s="37">
        <v>1.0</v>
      </c>
      <c r="F23" s="39">
        <v>4.0</v>
      </c>
      <c r="G23" s="40">
        <v>0.0</v>
      </c>
      <c r="H23" s="39">
        <v>3.0</v>
      </c>
      <c r="I23" s="39">
        <v>3.0</v>
      </c>
      <c r="J23" s="39">
        <v>6.0</v>
      </c>
      <c r="K23" s="42">
        <v>12.0</v>
      </c>
      <c r="L23" s="39">
        <v>1.0</v>
      </c>
      <c r="M23" s="32">
        <f t="shared" ref="M23:N23" si="21">C23+K23</f>
        <v>187</v>
      </c>
      <c r="N23" s="32">
        <f t="shared" si="21"/>
        <v>16</v>
      </c>
      <c r="O23" s="43" t="s">
        <v>53</v>
      </c>
      <c r="P23" s="43" t="s">
        <v>53</v>
      </c>
      <c r="Q23" s="43"/>
      <c r="R23" s="39">
        <f>if(G23=13,1,0)+VLOOKUP(B23,'100524'!B:T,17,false)</f>
        <v>0</v>
      </c>
      <c r="S23" s="39"/>
      <c r="T23" s="39">
        <f>if(G23=9,1,0)+VLOOKUP(B23,'100524'!B:T,19,false)</f>
        <v>1</v>
      </c>
      <c r="U23" s="39">
        <f>VLOOKUP(B23,'100524'!B$5:V$70,21,false)-A23</f>
        <v>0</v>
      </c>
      <c r="V23" s="30">
        <f t="shared" si="5"/>
        <v>19</v>
      </c>
    </row>
    <row r="24">
      <c r="A24" s="30">
        <f t="shared" si="3"/>
        <v>20</v>
      </c>
      <c r="B24" s="56" t="s">
        <v>65</v>
      </c>
      <c r="C24" s="32">
        <v>175.0</v>
      </c>
      <c r="D24" s="32">
        <v>14.0</v>
      </c>
      <c r="E24" s="37">
        <v>1.0</v>
      </c>
      <c r="F24" s="39">
        <v>4.0</v>
      </c>
      <c r="G24" s="40">
        <v>0.0</v>
      </c>
      <c r="H24" s="39">
        <v>3.0</v>
      </c>
      <c r="I24" s="39">
        <v>6.0</v>
      </c>
      <c r="J24" s="39">
        <v>1.0</v>
      </c>
      <c r="K24" s="42">
        <v>10.0</v>
      </c>
      <c r="L24" s="39">
        <v>1.0</v>
      </c>
      <c r="M24" s="32">
        <f t="shared" ref="M24:N24" si="22">C24+K24</f>
        <v>185</v>
      </c>
      <c r="N24" s="32">
        <f t="shared" si="22"/>
        <v>15</v>
      </c>
      <c r="O24" s="43" t="s">
        <v>53</v>
      </c>
      <c r="P24" s="43" t="s">
        <v>53</v>
      </c>
      <c r="Q24" s="43"/>
      <c r="R24" s="39">
        <f>if(G24=13,1,0)+VLOOKUP(B24,'100524'!B:T,17,false)</f>
        <v>0</v>
      </c>
      <c r="S24" s="39"/>
      <c r="T24" s="39">
        <f>if(G24=9,1,0)+VLOOKUP(B24,'100524'!B:T,19,false)</f>
        <v>5</v>
      </c>
      <c r="U24" s="39">
        <f>VLOOKUP(B24,'100524'!B$5:V$70,21,false)-A24</f>
        <v>2</v>
      </c>
      <c r="V24" s="30">
        <f t="shared" si="5"/>
        <v>20</v>
      </c>
    </row>
    <row r="25">
      <c r="A25" s="30">
        <f t="shared" si="3"/>
        <v>21</v>
      </c>
      <c r="B25" s="31" t="s">
        <v>82</v>
      </c>
      <c r="C25" s="32">
        <v>175.0</v>
      </c>
      <c r="D25" s="32">
        <v>13.0</v>
      </c>
      <c r="E25" s="37">
        <v>2.0</v>
      </c>
      <c r="F25" s="39">
        <v>4.0</v>
      </c>
      <c r="G25" s="40">
        <v>0.0</v>
      </c>
      <c r="H25" s="39">
        <v>6.0</v>
      </c>
      <c r="I25" s="39">
        <v>6.0</v>
      </c>
      <c r="J25" s="39">
        <v>6.0</v>
      </c>
      <c r="K25" s="42">
        <v>18.0</v>
      </c>
      <c r="L25" s="39">
        <v>3.0</v>
      </c>
      <c r="M25" s="32">
        <f t="shared" ref="M25:N25" si="23">C25+K25</f>
        <v>193</v>
      </c>
      <c r="N25" s="32">
        <f t="shared" si="23"/>
        <v>16</v>
      </c>
      <c r="O25" s="43" t="s">
        <v>53</v>
      </c>
      <c r="P25" s="43" t="s">
        <v>53</v>
      </c>
      <c r="Q25" s="43"/>
      <c r="R25" s="39">
        <f>if(G25=13,1,0)+VLOOKUP(B25,'100524'!B:T,17,false)</f>
        <v>2</v>
      </c>
      <c r="S25" s="39"/>
      <c r="T25" s="39">
        <f>if(G25=9,1,0)+VLOOKUP(B25,'100524'!B:T,19,false)</f>
        <v>7</v>
      </c>
      <c r="U25" s="39">
        <f>VLOOKUP(B25,'100524'!B$5:V$70,21,false)-A25</f>
        <v>-1</v>
      </c>
      <c r="V25" s="30">
        <f t="shared" si="5"/>
        <v>21</v>
      </c>
    </row>
    <row r="26">
      <c r="A26" s="30">
        <f t="shared" si="3"/>
        <v>22</v>
      </c>
      <c r="B26" s="51" t="s">
        <v>94</v>
      </c>
      <c r="C26" s="32">
        <v>171.0</v>
      </c>
      <c r="D26" s="32">
        <v>10.0</v>
      </c>
      <c r="E26" s="37">
        <v>3.0</v>
      </c>
      <c r="F26" s="39">
        <v>0.0</v>
      </c>
      <c r="G26" s="40">
        <v>9.0</v>
      </c>
      <c r="H26" s="39">
        <v>0.0</v>
      </c>
      <c r="I26" s="39">
        <v>0.0</v>
      </c>
      <c r="J26" s="39">
        <v>0.0</v>
      </c>
      <c r="K26" s="42">
        <v>9.0</v>
      </c>
      <c r="L26" s="39">
        <v>0.0</v>
      </c>
      <c r="M26" s="32">
        <f t="shared" ref="M26:N26" si="24">C26+K26</f>
        <v>180</v>
      </c>
      <c r="N26" s="32">
        <f t="shared" si="24"/>
        <v>10</v>
      </c>
      <c r="O26" s="43" t="s">
        <v>53</v>
      </c>
      <c r="P26" s="43" t="s">
        <v>53</v>
      </c>
      <c r="Q26" s="43"/>
      <c r="R26" s="39">
        <f>if(G26=13,1,0)+VLOOKUP(B26,'100524'!B:T,17,false)</f>
        <v>2</v>
      </c>
      <c r="S26" s="39"/>
      <c r="T26" s="39">
        <f>if(G26=9,1,0)+VLOOKUP(B26,'100524'!B:T,19,false)</f>
        <v>5</v>
      </c>
      <c r="U26" s="39">
        <f>VLOOKUP(B26,'100524'!B$5:V$70,21,false)-A26</f>
        <v>-1</v>
      </c>
      <c r="V26" s="30">
        <f t="shared" si="5"/>
        <v>22</v>
      </c>
    </row>
    <row r="27">
      <c r="A27" s="30">
        <f t="shared" si="3"/>
        <v>23</v>
      </c>
      <c r="B27" s="56" t="s">
        <v>101</v>
      </c>
      <c r="C27" s="32">
        <v>168.0</v>
      </c>
      <c r="D27" s="32">
        <v>12.0</v>
      </c>
      <c r="E27" s="37">
        <v>3.0</v>
      </c>
      <c r="F27" s="39">
        <v>0.0</v>
      </c>
      <c r="G27" s="40">
        <v>9.0</v>
      </c>
      <c r="H27" s="39">
        <v>0.0</v>
      </c>
      <c r="I27" s="39">
        <v>0.0</v>
      </c>
      <c r="J27" s="39">
        <v>0.0</v>
      </c>
      <c r="K27" s="42">
        <v>9.0</v>
      </c>
      <c r="L27" s="39">
        <v>0.0</v>
      </c>
      <c r="M27" s="32">
        <f t="shared" ref="M27:N27" si="25">C27+K27</f>
        <v>177</v>
      </c>
      <c r="N27" s="32">
        <f t="shared" si="25"/>
        <v>12</v>
      </c>
      <c r="O27" s="43" t="s">
        <v>53</v>
      </c>
      <c r="P27" s="43" t="s">
        <v>53</v>
      </c>
      <c r="Q27" s="43"/>
      <c r="R27" s="39">
        <f>if(G27=13,1,0)+VLOOKUP(B27,'100524'!B:T,17,false)</f>
        <v>0</v>
      </c>
      <c r="S27" s="39"/>
      <c r="T27" s="39">
        <f>if(G27=9,1,0)+VLOOKUP(B27,'100524'!B:T,19,false)</f>
        <v>7</v>
      </c>
      <c r="U27" s="39">
        <f>VLOOKUP(B27,'100524'!B$5:V$70,21,false)-A27</f>
        <v>3</v>
      </c>
      <c r="V27" s="30">
        <f t="shared" si="5"/>
        <v>23</v>
      </c>
    </row>
    <row r="28">
      <c r="A28" s="30">
        <f t="shared" si="3"/>
        <v>24</v>
      </c>
      <c r="B28" s="51" t="s">
        <v>95</v>
      </c>
      <c r="C28" s="32">
        <v>168.0</v>
      </c>
      <c r="D28" s="32">
        <v>11.0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6">C28+K28</f>
        <v>177</v>
      </c>
      <c r="N28" s="32">
        <f t="shared" si="26"/>
        <v>11</v>
      </c>
      <c r="O28" s="43" t="s">
        <v>53</v>
      </c>
      <c r="P28" s="43" t="s">
        <v>53</v>
      </c>
      <c r="Q28" s="43"/>
      <c r="R28" s="39">
        <f>if(G28=13,1,0)+VLOOKUP(B28,'100524'!B:T,17,false)</f>
        <v>1</v>
      </c>
      <c r="S28" s="39"/>
      <c r="T28" s="39">
        <f>if(G28=9,1,0)+VLOOKUP(B28,'100524'!B:T,19,false)</f>
        <v>8</v>
      </c>
      <c r="U28" s="39">
        <f>VLOOKUP(B28,'100524'!B$5:V$70,21,false)-A28</f>
        <v>-1</v>
      </c>
      <c r="V28" s="30">
        <f t="shared" si="5"/>
        <v>24</v>
      </c>
    </row>
    <row r="29">
      <c r="A29" s="30">
        <f t="shared" si="3"/>
        <v>25</v>
      </c>
      <c r="B29" s="31" t="s">
        <v>89</v>
      </c>
      <c r="C29" s="32">
        <v>168.0</v>
      </c>
      <c r="D29" s="32">
        <v>7.0</v>
      </c>
      <c r="E29" s="37">
        <v>3.0</v>
      </c>
      <c r="F29" s="39">
        <v>0.0</v>
      </c>
      <c r="G29" s="40">
        <v>9.0</v>
      </c>
      <c r="H29" s="39">
        <v>0.0</v>
      </c>
      <c r="I29" s="39">
        <v>0.0</v>
      </c>
      <c r="J29" s="39">
        <v>0.0</v>
      </c>
      <c r="K29" s="42">
        <v>9.0</v>
      </c>
      <c r="L29" s="39">
        <v>0.0</v>
      </c>
      <c r="M29" s="32">
        <f t="shared" ref="M29:N29" si="27">C29+K29</f>
        <v>177</v>
      </c>
      <c r="N29" s="32">
        <f t="shared" si="27"/>
        <v>7</v>
      </c>
      <c r="O29" s="43" t="s">
        <v>53</v>
      </c>
      <c r="P29" s="43" t="s">
        <v>53</v>
      </c>
      <c r="Q29" s="43"/>
      <c r="R29" s="39">
        <f>if(G29=13,1,0)+VLOOKUP(B29,'100524'!B:T,17,false)</f>
        <v>5</v>
      </c>
      <c r="S29" s="39"/>
      <c r="T29" s="39">
        <f>if(G29=9,1,0)+VLOOKUP(B29,'100524'!B:T,19,false)</f>
        <v>7</v>
      </c>
      <c r="U29" s="39">
        <f>VLOOKUP(B29,'100524'!B$5:V$70,21,false)-A29</f>
        <v>0</v>
      </c>
      <c r="V29" s="30">
        <f t="shared" si="5"/>
        <v>25</v>
      </c>
    </row>
    <row r="30">
      <c r="A30" s="30">
        <f t="shared" si="3"/>
        <v>26</v>
      </c>
      <c r="B30" s="51" t="s">
        <v>104</v>
      </c>
      <c r="C30" s="32">
        <v>167.0</v>
      </c>
      <c r="D30" s="32">
        <v>17.0</v>
      </c>
      <c r="E30" s="37">
        <v>1.0</v>
      </c>
      <c r="F30" s="39">
        <v>4.0</v>
      </c>
      <c r="G30" s="40">
        <v>0.0</v>
      </c>
      <c r="H30" s="39">
        <v>6.0</v>
      </c>
      <c r="I30" s="39">
        <v>3.0</v>
      </c>
      <c r="J30" s="39">
        <v>1.0</v>
      </c>
      <c r="K30" s="42">
        <v>10.0</v>
      </c>
      <c r="L30" s="39">
        <v>1.0</v>
      </c>
      <c r="M30" s="32">
        <f t="shared" ref="M30:N30" si="28">C30+K30</f>
        <v>177</v>
      </c>
      <c r="N30" s="32">
        <f t="shared" si="28"/>
        <v>18</v>
      </c>
      <c r="O30" s="43" t="s">
        <v>53</v>
      </c>
      <c r="P30" s="43" t="s">
        <v>53</v>
      </c>
      <c r="Q30" s="43"/>
      <c r="R30" s="39">
        <f>if(G30=13,1,0)+VLOOKUP(B30,'100524'!B:T,17,false)</f>
        <v>0</v>
      </c>
      <c r="S30" s="39"/>
      <c r="T30" s="39">
        <f>if(G30=9,1,0)+VLOOKUP(B30,'100524'!B:T,19,false)</f>
        <v>0</v>
      </c>
      <c r="U30" s="39">
        <f>VLOOKUP(B30,'100524'!B$5:V$70,21,false)-A30</f>
        <v>1</v>
      </c>
      <c r="V30" s="30">
        <f t="shared" si="5"/>
        <v>26</v>
      </c>
    </row>
    <row r="31">
      <c r="A31" s="30">
        <f t="shared" si="3"/>
        <v>27</v>
      </c>
      <c r="B31" s="31" t="s">
        <v>105</v>
      </c>
      <c r="C31" s="32">
        <v>165.0</v>
      </c>
      <c r="D31" s="32">
        <v>9.0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9">C31+K31</f>
        <v>174</v>
      </c>
      <c r="N31" s="32">
        <f t="shared" si="29"/>
        <v>9</v>
      </c>
      <c r="O31" s="43" t="s">
        <v>53</v>
      </c>
      <c r="P31" s="43" t="s">
        <v>53</v>
      </c>
      <c r="Q31" s="43"/>
      <c r="R31" s="39">
        <f>if(G31=13,1,0)+VLOOKUP(B31,'100524'!B:T,17,false)</f>
        <v>0</v>
      </c>
      <c r="S31" s="39"/>
      <c r="T31" s="39">
        <f>if(G31=9,1,0)+VLOOKUP(B31,'100524'!B:T,19,false)</f>
        <v>7</v>
      </c>
      <c r="U31" s="39">
        <f>VLOOKUP(B31,'100524'!B$5:V$70,21,false)-A31</f>
        <v>-3</v>
      </c>
      <c r="V31" s="30">
        <f t="shared" si="5"/>
        <v>27</v>
      </c>
    </row>
    <row r="32">
      <c r="A32" s="30">
        <f t="shared" si="3"/>
        <v>28</v>
      </c>
      <c r="B32" s="51" t="s">
        <v>99</v>
      </c>
      <c r="C32" s="32">
        <v>163.0</v>
      </c>
      <c r="D32" s="32">
        <v>11.0</v>
      </c>
      <c r="E32" s="37">
        <v>1.0</v>
      </c>
      <c r="F32" s="39">
        <v>5.0</v>
      </c>
      <c r="G32" s="40">
        <v>0.0</v>
      </c>
      <c r="H32" s="39">
        <v>4.0</v>
      </c>
      <c r="I32" s="39">
        <v>0.0</v>
      </c>
      <c r="J32" s="39">
        <v>6.0</v>
      </c>
      <c r="K32" s="42">
        <v>10.0</v>
      </c>
      <c r="L32" s="39">
        <v>1.0</v>
      </c>
      <c r="M32" s="32">
        <f t="shared" ref="M32:N32" si="30">C32+K32</f>
        <v>173</v>
      </c>
      <c r="N32" s="32">
        <f t="shared" si="30"/>
        <v>12</v>
      </c>
      <c r="O32" s="43" t="s">
        <v>53</v>
      </c>
      <c r="P32" s="43"/>
      <c r="Q32" s="43"/>
      <c r="R32" s="39">
        <f>if(G32=13,1,0)+VLOOKUP(B32,'100524'!B:T,17,false)</f>
        <v>0</v>
      </c>
      <c r="S32" s="39"/>
      <c r="T32" s="39">
        <f>if(G32=9,1,0)+VLOOKUP(B32,'100524'!B:T,19,false)</f>
        <v>3</v>
      </c>
      <c r="U32" s="39">
        <f>VLOOKUP(B32,'100524'!B$5:V$70,21,false)-A32</f>
        <v>2</v>
      </c>
      <c r="V32" s="30">
        <f t="shared" si="5"/>
        <v>28</v>
      </c>
    </row>
    <row r="33">
      <c r="A33" s="30">
        <f t="shared" si="3"/>
        <v>29</v>
      </c>
      <c r="B33" s="31" t="s">
        <v>96</v>
      </c>
      <c r="C33" s="32">
        <v>161.0</v>
      </c>
      <c r="D33" s="32">
        <v>12.0</v>
      </c>
      <c r="E33" s="37">
        <v>2.0</v>
      </c>
      <c r="F33" s="39">
        <v>5.0</v>
      </c>
      <c r="G33" s="40">
        <v>0.0</v>
      </c>
      <c r="H33" s="39">
        <v>6.0</v>
      </c>
      <c r="I33" s="39">
        <v>6.0</v>
      </c>
      <c r="J33" s="39">
        <v>6.0</v>
      </c>
      <c r="K33" s="42">
        <v>18.0</v>
      </c>
      <c r="L33" s="39">
        <v>3.0</v>
      </c>
      <c r="M33" s="32">
        <f t="shared" ref="M33:N33" si="31">C33+K33</f>
        <v>179</v>
      </c>
      <c r="N33" s="32">
        <f t="shared" si="31"/>
        <v>15</v>
      </c>
      <c r="O33" s="43" t="s">
        <v>53</v>
      </c>
      <c r="P33" s="43" t="s">
        <v>53</v>
      </c>
      <c r="Q33" s="43"/>
      <c r="R33" s="39">
        <f>if(G33=13,1,0)+VLOOKUP(B33,'100524'!B:T,17,false)</f>
        <v>1</v>
      </c>
      <c r="S33" s="39"/>
      <c r="T33" s="39">
        <f>if(G33=9,1,0)+VLOOKUP(B33,'100524'!B:T,19,false)</f>
        <v>7</v>
      </c>
      <c r="U33" s="39">
        <f>VLOOKUP(B33,'100524'!B$5:V$70,21,false)-A33</f>
        <v>2</v>
      </c>
      <c r="V33" s="30">
        <f t="shared" si="5"/>
        <v>29</v>
      </c>
    </row>
    <row r="34">
      <c r="A34" s="30">
        <f t="shared" si="3"/>
        <v>30</v>
      </c>
      <c r="B34" s="31" t="s">
        <v>66</v>
      </c>
      <c r="C34" s="32">
        <v>161.0</v>
      </c>
      <c r="D34" s="32">
        <v>9.0</v>
      </c>
      <c r="E34" s="37">
        <v>3.0</v>
      </c>
      <c r="F34" s="39">
        <v>0.0</v>
      </c>
      <c r="G34" s="40">
        <v>9.0</v>
      </c>
      <c r="H34" s="39">
        <v>0.0</v>
      </c>
      <c r="I34" s="39">
        <v>0.0</v>
      </c>
      <c r="J34" s="39">
        <v>0.0</v>
      </c>
      <c r="K34" s="42">
        <v>9.0</v>
      </c>
      <c r="L34" s="39">
        <v>0.0</v>
      </c>
      <c r="M34" s="32">
        <f t="shared" ref="M34:N34" si="32">C34+K34</f>
        <v>170</v>
      </c>
      <c r="N34" s="32">
        <f t="shared" si="32"/>
        <v>9</v>
      </c>
      <c r="O34" s="43" t="s">
        <v>53</v>
      </c>
      <c r="P34" s="43" t="s">
        <v>53</v>
      </c>
      <c r="Q34" s="43"/>
      <c r="R34" s="39">
        <f>if(G34=13,1,0)+VLOOKUP(B34,'100524'!B:T,17,false)</f>
        <v>2</v>
      </c>
      <c r="S34" s="39"/>
      <c r="T34" s="39">
        <f>if(G34=9,1,0)+VLOOKUP(B34,'100524'!B:T,19,false)</f>
        <v>5</v>
      </c>
      <c r="U34" s="39">
        <f>VLOOKUP(B34,'100524'!B$5:V$70,21,false)-A34</f>
        <v>-2</v>
      </c>
      <c r="V34" s="30">
        <f t="shared" si="5"/>
        <v>30</v>
      </c>
    </row>
    <row r="35">
      <c r="A35" s="30">
        <f t="shared" si="3"/>
        <v>31</v>
      </c>
      <c r="B35" s="51" t="s">
        <v>111</v>
      </c>
      <c r="C35" s="32">
        <v>159.0</v>
      </c>
      <c r="D35" s="32">
        <v>7.0</v>
      </c>
      <c r="E35" s="37">
        <v>1.0</v>
      </c>
      <c r="F35" s="39">
        <v>5.0</v>
      </c>
      <c r="G35" s="40">
        <v>0.0</v>
      </c>
      <c r="H35" s="39">
        <v>4.0</v>
      </c>
      <c r="I35" s="39">
        <v>6.0</v>
      </c>
      <c r="J35" s="39">
        <v>1.0</v>
      </c>
      <c r="K35" s="42">
        <v>11.0</v>
      </c>
      <c r="L35" s="39">
        <v>1.0</v>
      </c>
      <c r="M35" s="32">
        <f t="shared" ref="M35:N35" si="33">C35+K35</f>
        <v>170</v>
      </c>
      <c r="N35" s="32">
        <f t="shared" si="33"/>
        <v>8</v>
      </c>
      <c r="O35" s="43" t="s">
        <v>53</v>
      </c>
      <c r="P35" s="43" t="s">
        <v>53</v>
      </c>
      <c r="Q35" s="43"/>
      <c r="R35" s="39">
        <f>if(G35=13,1,0)+VLOOKUP(B35,'100524'!B:T,17,false)</f>
        <v>0</v>
      </c>
      <c r="S35" s="39"/>
      <c r="T35" s="39">
        <f>if(G35=9,1,0)+VLOOKUP(B35,'100524'!B:T,19,false)</f>
        <v>8</v>
      </c>
      <c r="U35" s="39">
        <f>VLOOKUP(B35,'100524'!B$5:V$70,21,false)-A35</f>
        <v>-2</v>
      </c>
      <c r="V35" s="30">
        <f t="shared" si="5"/>
        <v>31</v>
      </c>
    </row>
    <row r="36">
      <c r="A36" s="30">
        <f t="shared" si="3"/>
        <v>32</v>
      </c>
      <c r="B36" s="31" t="s">
        <v>46</v>
      </c>
      <c r="C36" s="32">
        <v>158.0</v>
      </c>
      <c r="D36" s="32">
        <v>11.0</v>
      </c>
      <c r="E36" s="37">
        <v>1.0</v>
      </c>
      <c r="F36" s="39">
        <v>5.0</v>
      </c>
      <c r="G36" s="40">
        <v>0.0</v>
      </c>
      <c r="H36" s="39">
        <v>6.0</v>
      </c>
      <c r="I36" s="39">
        <v>0.0</v>
      </c>
      <c r="J36" s="39">
        <v>1.0</v>
      </c>
      <c r="K36" s="42">
        <v>7.0</v>
      </c>
      <c r="L36" s="39">
        <v>1.0</v>
      </c>
      <c r="M36" s="32">
        <f t="shared" ref="M36:N36" si="34">C36+K36</f>
        <v>165</v>
      </c>
      <c r="N36" s="32">
        <f t="shared" si="34"/>
        <v>12</v>
      </c>
      <c r="O36" s="43" t="s">
        <v>53</v>
      </c>
      <c r="P36" s="43" t="s">
        <v>53</v>
      </c>
      <c r="Q36" s="43"/>
      <c r="R36" s="39">
        <f>if(G36=13,1,0)+VLOOKUP(B36,'100524'!B:T,17,false)</f>
        <v>0</v>
      </c>
      <c r="S36" s="39"/>
      <c r="T36" s="39">
        <f>if(G36=9,1,0)+VLOOKUP(B36,'100524'!B:T,19,false)</f>
        <v>6</v>
      </c>
      <c r="U36" s="39">
        <f>VLOOKUP(B36,'100524'!B$5:V$70,21,false)-A36</f>
        <v>0</v>
      </c>
      <c r="V36" s="30">
        <f t="shared" si="5"/>
        <v>32</v>
      </c>
    </row>
    <row r="37">
      <c r="A37" s="30">
        <f t="shared" si="3"/>
        <v>33</v>
      </c>
      <c r="B37" s="31" t="s">
        <v>63</v>
      </c>
      <c r="C37" s="32">
        <v>158.0</v>
      </c>
      <c r="D37" s="32">
        <v>9.0</v>
      </c>
      <c r="E37" s="37">
        <v>2.0</v>
      </c>
      <c r="F37" s="39">
        <v>6.0</v>
      </c>
      <c r="G37" s="40">
        <v>0.0</v>
      </c>
      <c r="H37" s="39">
        <v>6.0</v>
      </c>
      <c r="I37" s="39">
        <v>6.0</v>
      </c>
      <c r="J37" s="39">
        <v>6.0</v>
      </c>
      <c r="K37" s="42">
        <v>18.0</v>
      </c>
      <c r="L37" s="39">
        <v>3.0</v>
      </c>
      <c r="M37" s="32">
        <f t="shared" ref="M37:N37" si="35">C37+K37</f>
        <v>176</v>
      </c>
      <c r="N37" s="32">
        <f t="shared" si="35"/>
        <v>12</v>
      </c>
      <c r="O37" s="43" t="s">
        <v>53</v>
      </c>
      <c r="P37" s="43" t="s">
        <v>53</v>
      </c>
      <c r="Q37" s="43"/>
      <c r="R37" s="39">
        <f>if(G37=13,1,0)+VLOOKUP(B37,'100524'!B:T,17,false)</f>
        <v>1</v>
      </c>
      <c r="S37" s="39"/>
      <c r="T37" s="39">
        <f>if(G37=9,1,0)+VLOOKUP(B37,'100524'!B:T,19,false)</f>
        <v>10</v>
      </c>
      <c r="U37" s="39">
        <f>VLOOKUP(B37,'100524'!B$5:V$70,21,false)-A37</f>
        <v>1</v>
      </c>
      <c r="V37" s="30">
        <f t="shared" si="5"/>
        <v>33</v>
      </c>
    </row>
    <row r="38">
      <c r="A38" s="30">
        <f t="shared" si="3"/>
        <v>34</v>
      </c>
      <c r="B38" s="51" t="s">
        <v>103</v>
      </c>
      <c r="C38" s="32">
        <v>157.0</v>
      </c>
      <c r="D38" s="32">
        <v>9.0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6">C38+K38</f>
        <v>166</v>
      </c>
      <c r="N38" s="32">
        <f t="shared" si="36"/>
        <v>9</v>
      </c>
      <c r="O38" s="43" t="s">
        <v>53</v>
      </c>
      <c r="P38" s="43" t="s">
        <v>53</v>
      </c>
      <c r="Q38" s="43"/>
      <c r="R38" s="39">
        <f>if(G38=13,1,0)+VLOOKUP(B38,'100524'!B:T,17,false)</f>
        <v>1</v>
      </c>
      <c r="S38" s="39"/>
      <c r="T38" s="39">
        <f>if(G38=9,1,0)+VLOOKUP(B38,'100524'!B:T,19,false)</f>
        <v>9</v>
      </c>
      <c r="U38" s="39">
        <f>VLOOKUP(B38,'100524'!B$5:V$70,21,false)-A38</f>
        <v>7</v>
      </c>
      <c r="V38" s="30">
        <f t="shared" si="5"/>
        <v>34</v>
      </c>
    </row>
    <row r="39">
      <c r="A39" s="30">
        <f t="shared" si="3"/>
        <v>35</v>
      </c>
      <c r="B39" s="51" t="s">
        <v>76</v>
      </c>
      <c r="C39" s="32">
        <v>156.0</v>
      </c>
      <c r="D39" s="32">
        <v>14.0</v>
      </c>
      <c r="E39" s="37">
        <v>3.0</v>
      </c>
      <c r="F39" s="39">
        <v>0.0</v>
      </c>
      <c r="G39" s="40">
        <v>9.0</v>
      </c>
      <c r="H39" s="39">
        <v>0.0</v>
      </c>
      <c r="I39" s="39">
        <v>0.0</v>
      </c>
      <c r="J39" s="39">
        <v>0.0</v>
      </c>
      <c r="K39" s="42">
        <v>9.0</v>
      </c>
      <c r="L39" s="39">
        <v>0.0</v>
      </c>
      <c r="M39" s="32">
        <f t="shared" ref="M39:N39" si="37">C39+K39</f>
        <v>165</v>
      </c>
      <c r="N39" s="32">
        <f t="shared" si="37"/>
        <v>14</v>
      </c>
      <c r="O39" s="43" t="s">
        <v>53</v>
      </c>
      <c r="P39" s="43" t="s">
        <v>53</v>
      </c>
      <c r="Q39" s="43"/>
      <c r="R39" s="39">
        <f>if(G39=13,1,0)+VLOOKUP(B39,'100524'!B:T,17,false)</f>
        <v>0</v>
      </c>
      <c r="S39" s="39"/>
      <c r="T39" s="39">
        <f>if(G39=9,1,0)+VLOOKUP(B39,'100524'!B:T,19,false)</f>
        <v>6</v>
      </c>
      <c r="U39" s="39">
        <f>VLOOKUP(B39,'100524'!B$5:V$70,21,false)-A39</f>
        <v>5</v>
      </c>
      <c r="V39" s="30">
        <f t="shared" si="5"/>
        <v>35</v>
      </c>
    </row>
    <row r="40">
      <c r="A40" s="30">
        <f t="shared" si="3"/>
        <v>36</v>
      </c>
      <c r="B40" s="56" t="s">
        <v>110</v>
      </c>
      <c r="C40" s="32">
        <v>156.0</v>
      </c>
      <c r="D40" s="32">
        <v>5.0</v>
      </c>
      <c r="E40" s="37">
        <v>2.0</v>
      </c>
      <c r="F40" s="39">
        <v>6.0</v>
      </c>
      <c r="G40" s="40">
        <v>0.0</v>
      </c>
      <c r="H40" s="39">
        <v>6.0</v>
      </c>
      <c r="I40" s="39">
        <v>0.0</v>
      </c>
      <c r="J40" s="39">
        <v>4.0</v>
      </c>
      <c r="K40" s="42">
        <v>10.0</v>
      </c>
      <c r="L40" s="39">
        <v>1.0</v>
      </c>
      <c r="M40" s="32">
        <f t="shared" ref="M40:N40" si="38">C40+K40</f>
        <v>166</v>
      </c>
      <c r="N40" s="32">
        <f t="shared" si="38"/>
        <v>6</v>
      </c>
      <c r="O40" s="43" t="s">
        <v>53</v>
      </c>
      <c r="P40" s="43" t="s">
        <v>53</v>
      </c>
      <c r="Q40" s="43"/>
      <c r="R40" s="39">
        <f>if(G40=13,1,0)+VLOOKUP(B40,'100524'!B:T,17,false)</f>
        <v>4</v>
      </c>
      <c r="S40" s="39"/>
      <c r="T40" s="39">
        <f>if(G40=9,1,0)+VLOOKUP(B40,'100524'!B:T,19,false)</f>
        <v>5</v>
      </c>
      <c r="U40" s="39">
        <f>VLOOKUP(B40,'100524'!B$5:V$70,21,false)-A40</f>
        <v>0</v>
      </c>
      <c r="V40" s="30">
        <f t="shared" si="5"/>
        <v>36</v>
      </c>
    </row>
    <row r="41">
      <c r="A41" s="30">
        <f t="shared" si="3"/>
        <v>37</v>
      </c>
      <c r="B41" s="56" t="s">
        <v>107</v>
      </c>
      <c r="C41" s="32">
        <v>155.0</v>
      </c>
      <c r="D41" s="32">
        <v>14.0</v>
      </c>
      <c r="E41" s="37">
        <v>1.0</v>
      </c>
      <c r="F41" s="39">
        <v>6.0</v>
      </c>
      <c r="G41" s="40">
        <v>0.0</v>
      </c>
      <c r="H41" s="39">
        <v>4.0</v>
      </c>
      <c r="I41" s="39">
        <v>0.0</v>
      </c>
      <c r="J41" s="39">
        <v>6.0</v>
      </c>
      <c r="K41" s="42">
        <v>10.0</v>
      </c>
      <c r="L41" s="39">
        <v>1.0</v>
      </c>
      <c r="M41" s="32">
        <f t="shared" ref="M41:N41" si="39">C41+K41</f>
        <v>165</v>
      </c>
      <c r="N41" s="32">
        <f t="shared" si="39"/>
        <v>15</v>
      </c>
      <c r="O41" s="43" t="s">
        <v>53</v>
      </c>
      <c r="P41" s="43" t="s">
        <v>53</v>
      </c>
      <c r="Q41" s="43"/>
      <c r="R41" s="39">
        <f>if(G41=13,1,0)+VLOOKUP(B41,'100524'!B:T,17,false)</f>
        <v>0</v>
      </c>
      <c r="S41" s="39"/>
      <c r="T41" s="39">
        <f>if(G41=9,1,0)+VLOOKUP(B41,'100524'!B:T,19,false)</f>
        <v>3</v>
      </c>
      <c r="U41" s="39">
        <f>VLOOKUP(B41,'100524'!B$5:V$70,21,false)-A41</f>
        <v>-2</v>
      </c>
      <c r="V41" s="30">
        <f t="shared" si="5"/>
        <v>37</v>
      </c>
    </row>
    <row r="42">
      <c r="A42" s="30">
        <f t="shared" si="3"/>
        <v>38</v>
      </c>
      <c r="B42" s="31" t="s">
        <v>97</v>
      </c>
      <c r="C42" s="32">
        <v>155.0</v>
      </c>
      <c r="D42" s="32">
        <v>8.0</v>
      </c>
      <c r="E42" s="37">
        <v>1.0</v>
      </c>
      <c r="F42" s="39">
        <v>6.0</v>
      </c>
      <c r="G42" s="40">
        <v>0.0</v>
      </c>
      <c r="H42" s="39">
        <v>4.0</v>
      </c>
      <c r="I42" s="39">
        <v>6.0</v>
      </c>
      <c r="J42" s="39">
        <v>4.0</v>
      </c>
      <c r="K42" s="42">
        <v>14.0</v>
      </c>
      <c r="L42" s="39">
        <v>1.0</v>
      </c>
      <c r="M42" s="32">
        <f t="shared" ref="M42:N42" si="40">C42+K42</f>
        <v>169</v>
      </c>
      <c r="N42" s="32">
        <f t="shared" si="40"/>
        <v>9</v>
      </c>
      <c r="O42" s="43" t="s">
        <v>53</v>
      </c>
      <c r="P42" s="43" t="s">
        <v>53</v>
      </c>
      <c r="Q42" s="43"/>
      <c r="R42" s="39">
        <f>if(G42=13,1,0)+VLOOKUP(B42,'100524'!B:T,17,false)</f>
        <v>1</v>
      </c>
      <c r="S42" s="39"/>
      <c r="T42" s="39">
        <f>if(G42=9,1,0)+VLOOKUP(B42,'100524'!B:T,19,false)</f>
        <v>8</v>
      </c>
      <c r="U42" s="39">
        <f>VLOOKUP(B42,'100524'!B$5:V$70,21,false)-A42</f>
        <v>-5</v>
      </c>
      <c r="V42" s="30">
        <f t="shared" si="5"/>
        <v>38</v>
      </c>
    </row>
    <row r="43">
      <c r="A43" s="30">
        <f t="shared" si="3"/>
        <v>39</v>
      </c>
      <c r="B43" s="31" t="s">
        <v>73</v>
      </c>
      <c r="C43" s="32">
        <v>153.0</v>
      </c>
      <c r="D43" s="32">
        <v>6.0</v>
      </c>
      <c r="E43" s="37">
        <v>2.0</v>
      </c>
      <c r="F43" s="39">
        <v>7.0</v>
      </c>
      <c r="G43" s="40">
        <v>0.0</v>
      </c>
      <c r="H43" s="39">
        <v>6.0</v>
      </c>
      <c r="I43" s="39">
        <v>3.0</v>
      </c>
      <c r="J43" s="39">
        <v>3.0</v>
      </c>
      <c r="K43" s="42">
        <v>12.0</v>
      </c>
      <c r="L43" s="39">
        <v>1.0</v>
      </c>
      <c r="M43" s="32">
        <f t="shared" ref="M43:N43" si="41">C43+K43</f>
        <v>165</v>
      </c>
      <c r="N43" s="32">
        <f t="shared" si="41"/>
        <v>7</v>
      </c>
      <c r="O43" s="43" t="s">
        <v>53</v>
      </c>
      <c r="P43" s="43" t="s">
        <v>53</v>
      </c>
      <c r="Q43" s="43"/>
      <c r="R43" s="39">
        <f>if(G43=13,1,0)+VLOOKUP(B43,'100524'!B:T,17,false)</f>
        <v>3</v>
      </c>
      <c r="S43" s="39"/>
      <c r="T43" s="39">
        <f>if(G43=9,1,0)+VLOOKUP(B43,'100524'!B:T,19,false)</f>
        <v>7</v>
      </c>
      <c r="U43" s="39">
        <f>VLOOKUP(B43,'100524'!B$5:V$70,21,false)-A43</f>
        <v>-1</v>
      </c>
      <c r="V43" s="30">
        <f t="shared" si="5"/>
        <v>39</v>
      </c>
    </row>
    <row r="44">
      <c r="A44" s="30">
        <f t="shared" si="3"/>
        <v>40</v>
      </c>
      <c r="B44" s="31" t="s">
        <v>106</v>
      </c>
      <c r="C44" s="32">
        <v>151.0</v>
      </c>
      <c r="D44" s="32">
        <v>7.0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2">C44+K44</f>
        <v>160</v>
      </c>
      <c r="N44" s="32">
        <f t="shared" si="42"/>
        <v>7</v>
      </c>
      <c r="O44" s="43" t="s">
        <v>53</v>
      </c>
      <c r="P44" s="43" t="s">
        <v>53</v>
      </c>
      <c r="Q44" s="43"/>
      <c r="R44" s="39">
        <f>if(G44=13,1,0)+VLOOKUP(B44,'100524'!B:T,17,false)</f>
        <v>0</v>
      </c>
      <c r="S44" s="39"/>
      <c r="T44" s="39">
        <f>if(G44=9,1,0)+VLOOKUP(B44,'100524'!B:T,19,false)</f>
        <v>11</v>
      </c>
      <c r="U44" s="39">
        <f>VLOOKUP(B44,'100524'!B$5:V$70,21,false)-A44</f>
        <v>9</v>
      </c>
      <c r="V44" s="30">
        <f t="shared" si="5"/>
        <v>40</v>
      </c>
    </row>
    <row r="45">
      <c r="A45" s="30">
        <f t="shared" si="3"/>
        <v>41</v>
      </c>
      <c r="B45" s="31" t="s">
        <v>109</v>
      </c>
      <c r="C45" s="32">
        <v>151.0</v>
      </c>
      <c r="D45" s="32">
        <v>2.0</v>
      </c>
      <c r="E45" s="37">
        <v>1.0</v>
      </c>
      <c r="F45" s="39">
        <v>7.0</v>
      </c>
      <c r="G45" s="40">
        <v>0.0</v>
      </c>
      <c r="H45" s="39">
        <v>6.0</v>
      </c>
      <c r="I45" s="39">
        <v>6.0</v>
      </c>
      <c r="J45" s="39">
        <v>6.0</v>
      </c>
      <c r="K45" s="42">
        <v>18.0</v>
      </c>
      <c r="L45" s="39">
        <v>3.0</v>
      </c>
      <c r="M45" s="32">
        <f t="shared" ref="M45:N45" si="43">C45+K45</f>
        <v>169</v>
      </c>
      <c r="N45" s="32">
        <f t="shared" si="43"/>
        <v>5</v>
      </c>
      <c r="O45" s="43" t="s">
        <v>53</v>
      </c>
      <c r="P45" s="43" t="s">
        <v>53</v>
      </c>
      <c r="Q45" s="43"/>
      <c r="R45" s="39">
        <f>if(G45=13,1,0)+VLOOKUP(B45,'100524'!B:T,17,false)</f>
        <v>4</v>
      </c>
      <c r="S45" s="39"/>
      <c r="T45" s="39">
        <f>if(G45=9,1,0)+VLOOKUP(B45,'100524'!B:T,19,false)</f>
        <v>9</v>
      </c>
      <c r="U45" s="39">
        <f>VLOOKUP(B45,'100524'!B$5:V$70,21,false)-A45</f>
        <v>1</v>
      </c>
      <c r="V45" s="30">
        <f t="shared" si="5"/>
        <v>41</v>
      </c>
    </row>
    <row r="46">
      <c r="A46" s="30">
        <f t="shared" si="3"/>
        <v>42</v>
      </c>
      <c r="B46" s="78" t="s">
        <v>114</v>
      </c>
      <c r="C46" s="32">
        <v>150.0</v>
      </c>
      <c r="D46" s="32">
        <v>8.0</v>
      </c>
      <c r="E46" s="37">
        <v>2.0</v>
      </c>
      <c r="F46" s="39">
        <v>7.0</v>
      </c>
      <c r="G46" s="40">
        <v>0.0</v>
      </c>
      <c r="H46" s="39">
        <v>4.0</v>
      </c>
      <c r="I46" s="39">
        <v>3.0</v>
      </c>
      <c r="J46" s="39">
        <v>6.0</v>
      </c>
      <c r="K46" s="42">
        <v>13.0</v>
      </c>
      <c r="L46" s="39">
        <v>1.0</v>
      </c>
      <c r="M46" s="32">
        <f t="shared" ref="M46:N46" si="44">C46+K46</f>
        <v>163</v>
      </c>
      <c r="N46" s="32">
        <f t="shared" si="44"/>
        <v>9</v>
      </c>
      <c r="O46" s="43" t="s">
        <v>53</v>
      </c>
      <c r="P46" s="43" t="s">
        <v>53</v>
      </c>
      <c r="Q46" s="43"/>
      <c r="R46" s="39">
        <f>if(G46=13,1,0)+VLOOKUP(B46,'100524'!B:T,17,false)</f>
        <v>2</v>
      </c>
      <c r="S46" s="39"/>
      <c r="T46" s="39">
        <f>if(G46=9,1,0)+VLOOKUP(B46,'100524'!B:T,19,false)</f>
        <v>5</v>
      </c>
      <c r="U46" s="39">
        <f>VLOOKUP(B46,'100524'!B$5:V$70,21,false)-A46</f>
        <v>1</v>
      </c>
      <c r="V46" s="30">
        <f t="shared" si="5"/>
        <v>42</v>
      </c>
    </row>
    <row r="47">
      <c r="A47" s="30">
        <f t="shared" si="3"/>
        <v>43</v>
      </c>
      <c r="B47" s="51" t="s">
        <v>75</v>
      </c>
      <c r="C47" s="32">
        <v>150.0</v>
      </c>
      <c r="D47" s="32">
        <v>6.0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5">C47+K47</f>
        <v>159</v>
      </c>
      <c r="N47" s="32">
        <f t="shared" si="45"/>
        <v>6</v>
      </c>
      <c r="O47" s="43" t="s">
        <v>53</v>
      </c>
      <c r="P47" s="43" t="s">
        <v>53</v>
      </c>
      <c r="Q47" s="43"/>
      <c r="R47" s="39">
        <f>if(G47=13,1,0)+VLOOKUP(B47,'100524'!B:T,17,false)</f>
        <v>1</v>
      </c>
      <c r="S47" s="39"/>
      <c r="T47" s="39">
        <f>if(G47=9,1,0)+VLOOKUP(B47,'100524'!B:T,19,false)</f>
        <v>12</v>
      </c>
      <c r="U47" s="39">
        <f>VLOOKUP(B47,'100524'!B$5:V$70,21,false)-A47</f>
        <v>-6</v>
      </c>
      <c r="V47" s="30">
        <f t="shared" si="5"/>
        <v>43</v>
      </c>
    </row>
    <row r="48">
      <c r="A48" s="30">
        <f t="shared" si="3"/>
        <v>44</v>
      </c>
      <c r="B48" s="51" t="s">
        <v>102</v>
      </c>
      <c r="C48" s="32">
        <v>149.0</v>
      </c>
      <c r="D48" s="32">
        <v>4.0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6">C48+K48</f>
        <v>158</v>
      </c>
      <c r="N48" s="32">
        <f t="shared" si="46"/>
        <v>4</v>
      </c>
      <c r="O48" s="43" t="s">
        <v>53</v>
      </c>
      <c r="P48" s="43" t="s">
        <v>53</v>
      </c>
      <c r="Q48" s="43"/>
      <c r="R48" s="39">
        <f>if(G48=13,1,0)+VLOOKUP(B48,'100524'!B:T,17,false)</f>
        <v>2</v>
      </c>
      <c r="S48" s="39"/>
      <c r="T48" s="39">
        <f>if(G48=9,1,0)+VLOOKUP(B48,'100524'!B:T,19,false)</f>
        <v>10</v>
      </c>
      <c r="U48" s="39">
        <f>VLOOKUP(B48,'100524'!B$5:V$70,21,false)-A48</f>
        <v>9</v>
      </c>
      <c r="V48" s="30">
        <f t="shared" si="5"/>
        <v>44</v>
      </c>
    </row>
    <row r="49">
      <c r="A49" s="30">
        <f t="shared" si="3"/>
        <v>45</v>
      </c>
      <c r="B49" s="51" t="s">
        <v>116</v>
      </c>
      <c r="C49" s="32">
        <v>148.0</v>
      </c>
      <c r="D49" s="32">
        <v>8.0</v>
      </c>
      <c r="E49" s="37">
        <v>3.0</v>
      </c>
      <c r="F49" s="39">
        <v>0.0</v>
      </c>
      <c r="G49" s="40">
        <v>9.0</v>
      </c>
      <c r="H49" s="39">
        <v>0.0</v>
      </c>
      <c r="I49" s="39">
        <v>0.0</v>
      </c>
      <c r="J49" s="39">
        <v>0.0</v>
      </c>
      <c r="K49" s="42">
        <v>9.0</v>
      </c>
      <c r="L49" s="39">
        <v>0.0</v>
      </c>
      <c r="M49" s="32">
        <f t="shared" ref="M49:N49" si="47">C49+K49</f>
        <v>157</v>
      </c>
      <c r="N49" s="32">
        <f t="shared" si="47"/>
        <v>8</v>
      </c>
      <c r="O49" s="43" t="s">
        <v>53</v>
      </c>
      <c r="P49" s="43" t="s">
        <v>53</v>
      </c>
      <c r="Q49" s="43"/>
      <c r="R49" s="39">
        <f>if(G49=13,1,0)+VLOOKUP(B49,'100524'!B:T,17,false)</f>
        <v>1</v>
      </c>
      <c r="S49" s="39"/>
      <c r="T49" s="39">
        <f>if(G49=9,1,0)+VLOOKUP(B49,'100524'!B:T,19,false)</f>
        <v>5</v>
      </c>
      <c r="U49" s="39">
        <f>VLOOKUP(B49,'100524'!B$5:V$70,21,false)-A49</f>
        <v>-6</v>
      </c>
      <c r="V49" s="30">
        <f t="shared" si="5"/>
        <v>45</v>
      </c>
    </row>
    <row r="50">
      <c r="A50" s="30">
        <f t="shared" si="3"/>
        <v>46</v>
      </c>
      <c r="B50" s="31" t="s">
        <v>117</v>
      </c>
      <c r="C50" s="32">
        <v>147.0</v>
      </c>
      <c r="D50" s="32">
        <v>5.0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8">C50+K50</f>
        <v>156</v>
      </c>
      <c r="N50" s="32">
        <f t="shared" si="48"/>
        <v>5</v>
      </c>
      <c r="O50" s="43" t="s">
        <v>53</v>
      </c>
      <c r="P50" s="43" t="s">
        <v>53</v>
      </c>
      <c r="Q50" s="43"/>
      <c r="R50" s="39">
        <f>if(G50=13,1,0)+VLOOKUP(B50,'100524'!B:T,17,false)</f>
        <v>1</v>
      </c>
      <c r="S50" s="39"/>
      <c r="T50" s="39">
        <f>if(G50=9,1,0)+VLOOKUP(B50,'100524'!B:T,19,false)</f>
        <v>11</v>
      </c>
      <c r="U50" s="39">
        <f>VLOOKUP(B50,'100524'!B$5:V$70,21,false)-A50</f>
        <v>6</v>
      </c>
      <c r="V50" s="30">
        <f t="shared" si="5"/>
        <v>46</v>
      </c>
    </row>
    <row r="51">
      <c r="A51" s="30">
        <f t="shared" si="3"/>
        <v>47</v>
      </c>
      <c r="B51" s="31" t="s">
        <v>81</v>
      </c>
      <c r="C51" s="32">
        <v>146.0</v>
      </c>
      <c r="D51" s="32">
        <v>6.0</v>
      </c>
      <c r="E51" s="37">
        <v>1.0</v>
      </c>
      <c r="F51" s="39">
        <v>7.0</v>
      </c>
      <c r="G51" s="40">
        <v>0.0</v>
      </c>
      <c r="H51" s="39">
        <v>4.0</v>
      </c>
      <c r="I51" s="39">
        <v>6.0</v>
      </c>
      <c r="J51" s="39">
        <v>3.0</v>
      </c>
      <c r="K51" s="42">
        <v>13.0</v>
      </c>
      <c r="L51" s="39">
        <v>1.0</v>
      </c>
      <c r="M51" s="32">
        <f t="shared" ref="M51:N51" si="49">C51+K51</f>
        <v>159</v>
      </c>
      <c r="N51" s="32">
        <f t="shared" si="49"/>
        <v>7</v>
      </c>
      <c r="O51" s="43" t="s">
        <v>53</v>
      </c>
      <c r="P51" s="43" t="s">
        <v>53</v>
      </c>
      <c r="Q51" s="43"/>
      <c r="R51" s="39">
        <f>if(G51=13,1,0)+VLOOKUP(B51,'100524'!B:T,17,false)</f>
        <v>1</v>
      </c>
      <c r="S51" s="39"/>
      <c r="T51" s="39">
        <f>if(G51=9,1,0)+VLOOKUP(B51,'100524'!B:T,19,false)</f>
        <v>9</v>
      </c>
      <c r="U51" s="39">
        <f>VLOOKUP(B51,'100524'!B$5:V$70,21,false)-A51</f>
        <v>-2</v>
      </c>
      <c r="V51" s="30">
        <f t="shared" si="5"/>
        <v>47</v>
      </c>
    </row>
    <row r="52">
      <c r="A52" s="30">
        <f t="shared" si="3"/>
        <v>48</v>
      </c>
      <c r="B52" s="31" t="s">
        <v>120</v>
      </c>
      <c r="C52" s="32">
        <v>145.0</v>
      </c>
      <c r="D52" s="32">
        <v>4.0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50">C52+K52</f>
        <v>154</v>
      </c>
      <c r="N52" s="32">
        <f t="shared" si="50"/>
        <v>4</v>
      </c>
      <c r="O52" s="43" t="s">
        <v>53</v>
      </c>
      <c r="P52" s="43" t="s">
        <v>53</v>
      </c>
      <c r="Q52" s="43"/>
      <c r="R52" s="39">
        <f>if(G52=13,1,0)+VLOOKUP(B52,'100524'!B:T,17,false)</f>
        <v>1</v>
      </c>
      <c r="S52" s="39"/>
      <c r="T52" s="39">
        <f>if(G52=9,1,0)+VLOOKUP(B52,'100524'!B:T,19,false)</f>
        <v>11</v>
      </c>
      <c r="U52" s="39">
        <f>VLOOKUP(B52,'100524'!B$5:V$70,21,false)-A52</f>
        <v>3</v>
      </c>
      <c r="V52" s="30">
        <f t="shared" si="5"/>
        <v>48</v>
      </c>
    </row>
    <row r="53">
      <c r="A53" s="30">
        <f t="shared" si="3"/>
        <v>49</v>
      </c>
      <c r="B53" s="56" t="s">
        <v>115</v>
      </c>
      <c r="C53" s="32">
        <v>144.0</v>
      </c>
      <c r="D53" s="32">
        <v>10.0</v>
      </c>
      <c r="E53" s="37">
        <v>1.0</v>
      </c>
      <c r="F53" s="39">
        <v>8.0</v>
      </c>
      <c r="G53" s="40">
        <v>0.0</v>
      </c>
      <c r="H53" s="39">
        <v>6.0</v>
      </c>
      <c r="I53" s="39">
        <v>0.0</v>
      </c>
      <c r="J53" s="39">
        <v>1.0</v>
      </c>
      <c r="K53" s="42">
        <v>7.0</v>
      </c>
      <c r="L53" s="39">
        <v>1.0</v>
      </c>
      <c r="M53" s="32">
        <f t="shared" ref="M53:N53" si="51">C53+K53</f>
        <v>151</v>
      </c>
      <c r="N53" s="32">
        <f t="shared" si="51"/>
        <v>11</v>
      </c>
      <c r="O53" s="43" t="s">
        <v>53</v>
      </c>
      <c r="P53" s="43" t="s">
        <v>53</v>
      </c>
      <c r="Q53" s="43"/>
      <c r="R53" s="39">
        <f>if(G53=13,1,0)+VLOOKUP(B53,'100524'!B:T,17,false)</f>
        <v>0</v>
      </c>
      <c r="S53" s="39"/>
      <c r="T53" s="39">
        <f>if(G53=9,1,0)+VLOOKUP(B53,'100524'!B:T,19,false)</f>
        <v>1</v>
      </c>
      <c r="U53" s="39">
        <f>VLOOKUP(B53,'100524'!B$5:V$70,21,false)-A53</f>
        <v>-5</v>
      </c>
      <c r="V53" s="30">
        <f t="shared" si="5"/>
        <v>49</v>
      </c>
    </row>
    <row r="54">
      <c r="A54" s="30">
        <f t="shared" si="3"/>
        <v>50</v>
      </c>
      <c r="B54" s="31" t="s">
        <v>79</v>
      </c>
      <c r="C54" s="32">
        <v>143.0</v>
      </c>
      <c r="D54" s="32">
        <v>4.0</v>
      </c>
      <c r="E54" s="37">
        <v>2.0</v>
      </c>
      <c r="F54" s="39">
        <v>8.0</v>
      </c>
      <c r="G54" s="40">
        <v>0.0</v>
      </c>
      <c r="H54" s="39">
        <v>4.0</v>
      </c>
      <c r="I54" s="39">
        <v>6.0</v>
      </c>
      <c r="J54" s="39">
        <v>1.0</v>
      </c>
      <c r="K54" s="42">
        <v>11.0</v>
      </c>
      <c r="L54" s="39">
        <v>1.0</v>
      </c>
      <c r="M54" s="32">
        <f t="shared" ref="M54:N54" si="52">C54+K54</f>
        <v>154</v>
      </c>
      <c r="N54" s="32">
        <f t="shared" si="52"/>
        <v>5</v>
      </c>
      <c r="O54" s="43" t="s">
        <v>53</v>
      </c>
      <c r="P54" s="43" t="s">
        <v>53</v>
      </c>
      <c r="Q54" s="43"/>
      <c r="R54" s="39">
        <f>if(G54=13,1,0)+VLOOKUP(B54,'100524'!B:T,17,false)</f>
        <v>2</v>
      </c>
      <c r="S54" s="39"/>
      <c r="T54" s="39">
        <f>if(G54=9,1,0)+VLOOKUP(B54,'100524'!B:T,19,false)</f>
        <v>9</v>
      </c>
      <c r="U54" s="39">
        <f>VLOOKUP(B54,'100524'!B$5:V$70,21,false)-A54</f>
        <v>-4</v>
      </c>
      <c r="V54" s="30">
        <f t="shared" si="5"/>
        <v>50</v>
      </c>
    </row>
    <row r="55">
      <c r="A55" s="30">
        <f t="shared" si="3"/>
        <v>51</v>
      </c>
      <c r="B55" s="56" t="s">
        <v>51</v>
      </c>
      <c r="C55" s="32">
        <v>142.0</v>
      </c>
      <c r="D55" s="32">
        <v>9.0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3">C55+K55</f>
        <v>151</v>
      </c>
      <c r="N55" s="32">
        <f t="shared" si="53"/>
        <v>9</v>
      </c>
      <c r="O55" s="43" t="s">
        <v>53</v>
      </c>
      <c r="P55" s="43" t="s">
        <v>53</v>
      </c>
      <c r="Q55" s="43"/>
      <c r="R55" s="39">
        <f>if(G55=13,1,0)+VLOOKUP(B55,'100524'!B:T,17,false)</f>
        <v>1</v>
      </c>
      <c r="S55" s="39"/>
      <c r="T55" s="39">
        <f>if(G55=9,1,0)+VLOOKUP(B55,'100524'!B:T,19,false)</f>
        <v>6</v>
      </c>
      <c r="U55" s="39">
        <f>VLOOKUP(B55,'100524'!B$5:V$70,21,false)-A55</f>
        <v>-4</v>
      </c>
      <c r="V55" s="30">
        <f t="shared" si="5"/>
        <v>51</v>
      </c>
    </row>
    <row r="56">
      <c r="A56" s="30">
        <f t="shared" si="3"/>
        <v>52</v>
      </c>
      <c r="B56" s="31" t="s">
        <v>56</v>
      </c>
      <c r="C56" s="32">
        <v>142.0</v>
      </c>
      <c r="D56" s="32">
        <v>3.0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4">C56+K56</f>
        <v>151</v>
      </c>
      <c r="N56" s="32">
        <f t="shared" si="54"/>
        <v>3</v>
      </c>
      <c r="O56" s="43" t="s">
        <v>53</v>
      </c>
      <c r="P56" s="43" t="s">
        <v>53</v>
      </c>
      <c r="Q56" s="43"/>
      <c r="R56" s="39">
        <f>if(G56=13,1,0)+VLOOKUP(B56,'100524'!B:T,17,false)</f>
        <v>1</v>
      </c>
      <c r="S56" s="39"/>
      <c r="T56" s="39">
        <f>if(G56=9,1,0)+VLOOKUP(B56,'100524'!B:T,19,false)</f>
        <v>12</v>
      </c>
      <c r="U56" s="39">
        <f>VLOOKUP(B56,'100524'!B$5:V$70,21,false)-A56</f>
        <v>-4</v>
      </c>
      <c r="V56" s="30">
        <f t="shared" si="5"/>
        <v>52</v>
      </c>
    </row>
    <row r="57">
      <c r="A57" s="30">
        <f t="shared" si="3"/>
        <v>53</v>
      </c>
      <c r="B57" s="51" t="s">
        <v>108</v>
      </c>
      <c r="C57" s="32">
        <v>140.0</v>
      </c>
      <c r="D57" s="32">
        <v>5.0</v>
      </c>
      <c r="E57" s="37">
        <v>1.0</v>
      </c>
      <c r="F57" s="39">
        <v>8.0</v>
      </c>
      <c r="G57" s="40">
        <v>0.0</v>
      </c>
      <c r="H57" s="39">
        <v>6.0</v>
      </c>
      <c r="I57" s="39">
        <v>6.0</v>
      </c>
      <c r="J57" s="39">
        <v>6.0</v>
      </c>
      <c r="K57" s="42">
        <v>18.0</v>
      </c>
      <c r="L57" s="39">
        <v>3.0</v>
      </c>
      <c r="M57" s="32">
        <f t="shared" ref="M57:N57" si="55">C57+K57</f>
        <v>158</v>
      </c>
      <c r="N57" s="32">
        <f t="shared" si="55"/>
        <v>8</v>
      </c>
      <c r="O57" s="43" t="s">
        <v>53</v>
      </c>
      <c r="P57" s="43" t="s">
        <v>53</v>
      </c>
      <c r="Q57" s="43"/>
      <c r="R57" s="39">
        <f>if(G57=13,1,0)+VLOOKUP(B57,'100524'!B:T,17,false)</f>
        <v>0</v>
      </c>
      <c r="S57" s="39"/>
      <c r="T57" s="39">
        <f>if(G57=9,1,0)+VLOOKUP(B57,'100524'!B:T,19,false)</f>
        <v>11</v>
      </c>
      <c r="U57" s="39">
        <f>VLOOKUP(B57,'100524'!B$5:V$70,21,false)-A57</f>
        <v>8</v>
      </c>
      <c r="V57" s="30">
        <f t="shared" si="5"/>
        <v>53</v>
      </c>
    </row>
    <row r="58">
      <c r="A58" s="30">
        <f t="shared" si="3"/>
        <v>54</v>
      </c>
      <c r="B58" s="31" t="s">
        <v>119</v>
      </c>
      <c r="C58" s="32">
        <v>139.0</v>
      </c>
      <c r="D58" s="32">
        <v>4.0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6">C58+K58</f>
        <v>148</v>
      </c>
      <c r="N58" s="32">
        <f t="shared" si="56"/>
        <v>4</v>
      </c>
      <c r="O58" s="43" t="s">
        <v>53</v>
      </c>
      <c r="P58" s="43" t="s">
        <v>53</v>
      </c>
      <c r="Q58" s="43"/>
      <c r="R58" s="39">
        <f>if(G58=13,1,0)+VLOOKUP(B58,'100524'!B:T,17,false)</f>
        <v>0</v>
      </c>
      <c r="S58" s="39"/>
      <c r="T58" s="39">
        <f>if(G58=9,1,0)+VLOOKUP(B58,'100524'!B:T,19,false)</f>
        <v>13</v>
      </c>
      <c r="U58" s="39">
        <f>VLOOKUP(B58,'100524'!B$5:V$70,21,false)-A58</f>
        <v>-4</v>
      </c>
      <c r="V58" s="30">
        <f t="shared" si="5"/>
        <v>54</v>
      </c>
    </row>
    <row r="59">
      <c r="A59" s="30">
        <f t="shared" si="3"/>
        <v>55</v>
      </c>
      <c r="B59" s="51" t="s">
        <v>118</v>
      </c>
      <c r="C59" s="32">
        <v>136.0</v>
      </c>
      <c r="D59" s="32">
        <v>6.0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7">C59+K59</f>
        <v>145</v>
      </c>
      <c r="N59" s="32">
        <f t="shared" si="57"/>
        <v>6</v>
      </c>
      <c r="O59" s="43" t="s">
        <v>53</v>
      </c>
      <c r="P59" s="43" t="s">
        <v>53</v>
      </c>
      <c r="Q59" s="43"/>
      <c r="R59" s="39">
        <f>if(G59=13,1,0)+VLOOKUP(B59,'100524'!B:T,17,false)</f>
        <v>0</v>
      </c>
      <c r="S59" s="39"/>
      <c r="T59" s="39">
        <f>if(G59=9,1,0)+VLOOKUP(B59,'100524'!B:T,19,false)</f>
        <v>9</v>
      </c>
      <c r="U59" s="39">
        <f>VLOOKUP(B59,'100524'!B$5:V$70,21,false)-A59</f>
        <v>-1</v>
      </c>
      <c r="V59" s="30">
        <f t="shared" si="5"/>
        <v>55</v>
      </c>
    </row>
    <row r="60">
      <c r="A60" s="30">
        <f t="shared" si="3"/>
        <v>56</v>
      </c>
      <c r="B60" s="31" t="s">
        <v>124</v>
      </c>
      <c r="C60" s="32">
        <v>136.0</v>
      </c>
      <c r="D60" s="32">
        <v>3.0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8">C60+K60</f>
        <v>145</v>
      </c>
      <c r="N60" s="32">
        <f t="shared" si="58"/>
        <v>3</v>
      </c>
      <c r="O60" s="43" t="s">
        <v>53</v>
      </c>
      <c r="P60" s="43" t="s">
        <v>53</v>
      </c>
      <c r="Q60" s="43"/>
      <c r="R60" s="39">
        <f>if(G60=13,1,0)+VLOOKUP(B60,'100524'!B:T,17,false)</f>
        <v>1</v>
      </c>
      <c r="S60" s="39"/>
      <c r="T60" s="39">
        <f>if(G60=9,1,0)+VLOOKUP(B60,'100524'!B:T,19,false)</f>
        <v>12</v>
      </c>
      <c r="U60" s="39">
        <f>VLOOKUP(B60,'100524'!B$5:V$70,21,false)-A60</f>
        <v>-1</v>
      </c>
      <c r="V60" s="30">
        <f t="shared" si="5"/>
        <v>56</v>
      </c>
    </row>
    <row r="61">
      <c r="A61" s="30">
        <f t="shared" si="3"/>
        <v>57</v>
      </c>
      <c r="B61" s="31" t="s">
        <v>125</v>
      </c>
      <c r="C61" s="32">
        <v>135.0</v>
      </c>
      <c r="D61" s="32">
        <v>3.0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9">C61+K61</f>
        <v>144</v>
      </c>
      <c r="N61" s="32">
        <f t="shared" si="59"/>
        <v>3</v>
      </c>
      <c r="O61" s="43" t="s">
        <v>53</v>
      </c>
      <c r="P61" s="43" t="s">
        <v>53</v>
      </c>
      <c r="Q61" s="43"/>
      <c r="R61" s="39">
        <f>if(G61=13,1,0)+VLOOKUP(B61,'100524'!B:T,17,false)</f>
        <v>0</v>
      </c>
      <c r="S61" s="39"/>
      <c r="T61" s="39">
        <f>if(G61=9,1,0)+VLOOKUP(B61,'100524'!B:T,19,false)</f>
        <v>14</v>
      </c>
      <c r="U61" s="39">
        <f>VLOOKUP(B61,'100524'!B$5:V$70,21,false)-A61</f>
        <v>-1</v>
      </c>
      <c r="V61" s="30">
        <f t="shared" si="5"/>
        <v>57</v>
      </c>
    </row>
    <row r="62">
      <c r="A62" s="30">
        <f t="shared" si="3"/>
        <v>58</v>
      </c>
      <c r="B62" s="56" t="s">
        <v>122</v>
      </c>
      <c r="C62" s="32">
        <v>135.0</v>
      </c>
      <c r="D62" s="32">
        <v>3.0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60">C62+K62</f>
        <v>144</v>
      </c>
      <c r="N62" s="32">
        <f t="shared" si="60"/>
        <v>3</v>
      </c>
      <c r="O62" s="43" t="s">
        <v>53</v>
      </c>
      <c r="P62" s="43" t="s">
        <v>53</v>
      </c>
      <c r="Q62" s="43"/>
      <c r="R62" s="39">
        <f>if(G62=13,1,0)+VLOOKUP(B62,'100524'!B:T,17,false)</f>
        <v>1</v>
      </c>
      <c r="S62" s="39"/>
      <c r="T62" s="39">
        <f>if(G62=9,1,0)+VLOOKUP(B62,'100524'!B:T,19,false)</f>
        <v>11</v>
      </c>
      <c r="U62" s="39">
        <f>VLOOKUP(B62,'100524'!B$5:V$70,21,false)-A62</f>
        <v>-1</v>
      </c>
      <c r="V62" s="30">
        <f t="shared" si="5"/>
        <v>58</v>
      </c>
    </row>
    <row r="63">
      <c r="A63" s="30">
        <f t="shared" si="3"/>
        <v>59</v>
      </c>
      <c r="B63" s="31" t="s">
        <v>123</v>
      </c>
      <c r="C63" s="32">
        <v>135.0</v>
      </c>
      <c r="D63" s="32">
        <v>3.0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1">C63+K63</f>
        <v>144</v>
      </c>
      <c r="N63" s="32">
        <f t="shared" si="61"/>
        <v>3</v>
      </c>
      <c r="O63" s="43" t="s">
        <v>53</v>
      </c>
      <c r="P63" s="43" t="s">
        <v>53</v>
      </c>
      <c r="Q63" s="43"/>
      <c r="R63" s="39">
        <f>if(G63=13,1,0)+VLOOKUP(B63,'100524'!B:T,17,false)</f>
        <v>0</v>
      </c>
      <c r="S63" s="39"/>
      <c r="T63" s="39">
        <f>if(G63=9,1,0)+VLOOKUP(B63,'100524'!B:T,19,false)</f>
        <v>14</v>
      </c>
      <c r="U63" s="39">
        <f>VLOOKUP(B63,'100524'!B$5:V$70,21,false)-A63</f>
        <v>-1</v>
      </c>
      <c r="V63" s="30">
        <f t="shared" si="5"/>
        <v>59</v>
      </c>
    </row>
    <row r="64">
      <c r="A64" s="30">
        <f t="shared" si="3"/>
        <v>60</v>
      </c>
      <c r="B64" s="51" t="s">
        <v>112</v>
      </c>
      <c r="C64" s="32">
        <v>134.0</v>
      </c>
      <c r="D64" s="32">
        <v>5.0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2">C64+K64</f>
        <v>143</v>
      </c>
      <c r="N64" s="32">
        <f t="shared" si="62"/>
        <v>5</v>
      </c>
      <c r="O64" s="43" t="s">
        <v>53</v>
      </c>
      <c r="P64" s="43" t="s">
        <v>53</v>
      </c>
      <c r="Q64" s="43"/>
      <c r="R64" s="39">
        <f>if(G64=13,1,0)+VLOOKUP(B64,'100524'!B:T,17,false)</f>
        <v>0</v>
      </c>
      <c r="S64" s="39"/>
      <c r="T64" s="39">
        <f>if(G64=9,1,0)+VLOOKUP(B64,'100524'!B:T,19,false)</f>
        <v>8</v>
      </c>
      <c r="U64" s="39">
        <f>VLOOKUP(B64,'100524'!B$5:V$70,21,false)-A64</f>
        <v>0</v>
      </c>
      <c r="V64" s="30">
        <f t="shared" si="5"/>
        <v>60</v>
      </c>
    </row>
    <row r="65">
      <c r="A65" s="30">
        <f t="shared" si="3"/>
        <v>61</v>
      </c>
      <c r="B65" s="51" t="s">
        <v>121</v>
      </c>
      <c r="C65" s="32">
        <v>131.0</v>
      </c>
      <c r="D65" s="32">
        <v>4.0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3">C65+K65</f>
        <v>140</v>
      </c>
      <c r="N65" s="32">
        <f t="shared" si="63"/>
        <v>4</v>
      </c>
      <c r="O65" s="43" t="s">
        <v>53</v>
      </c>
      <c r="P65" s="43" t="s">
        <v>53</v>
      </c>
      <c r="Q65" s="43"/>
      <c r="R65" s="39">
        <f>if(G65=13,1,0)+VLOOKUP(B65,'100524'!B:T,17,false)</f>
        <v>0</v>
      </c>
      <c r="S65" s="39"/>
      <c r="T65" s="39">
        <f>if(G65=9,1,0)+VLOOKUP(B65,'100524'!B:T,19,false)</f>
        <v>12</v>
      </c>
      <c r="U65" s="39">
        <f>VLOOKUP(B65,'100524'!B$5:V$70,21,false)-A65</f>
        <v>-2</v>
      </c>
      <c r="V65" s="30">
        <f t="shared" si="5"/>
        <v>61</v>
      </c>
    </row>
    <row r="66">
      <c r="A66" s="30">
        <f t="shared" si="3"/>
        <v>62</v>
      </c>
      <c r="B66" s="31" t="s">
        <v>72</v>
      </c>
      <c r="C66" s="32">
        <v>130.0</v>
      </c>
      <c r="D66" s="32">
        <v>0.0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4">C66+K66</f>
        <v>139</v>
      </c>
      <c r="N66" s="32">
        <f t="shared" si="64"/>
        <v>0</v>
      </c>
      <c r="O66" s="43" t="s">
        <v>53</v>
      </c>
      <c r="P66" s="43" t="s">
        <v>53</v>
      </c>
      <c r="Q66" s="43"/>
      <c r="R66" s="39">
        <f>if(G66=13,1,0)+VLOOKUP(B66,'100524'!B:T,17,false)</f>
        <v>1</v>
      </c>
      <c r="S66" s="39"/>
      <c r="T66" s="39">
        <f>if(G66=9,1,0)+VLOOKUP(B66,'100524'!B:T,19,false)</f>
        <v>14</v>
      </c>
      <c r="U66" s="39">
        <f>VLOOKUP(B66,'100524'!B$5:V$70,21,false)-A66</f>
        <v>0</v>
      </c>
      <c r="V66" s="30">
        <f t="shared" si="5"/>
        <v>62</v>
      </c>
    </row>
    <row r="67">
      <c r="A67" s="30">
        <f t="shared" si="3"/>
        <v>63</v>
      </c>
      <c r="B67" s="31" t="s">
        <v>126</v>
      </c>
      <c r="C67" s="32">
        <v>130.0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5">C67+K67</f>
        <v>139</v>
      </c>
      <c r="N67" s="32">
        <f t="shared" si="65"/>
        <v>0</v>
      </c>
      <c r="O67" s="43" t="s">
        <v>53</v>
      </c>
      <c r="P67" s="43" t="s">
        <v>53</v>
      </c>
      <c r="Q67" s="43"/>
      <c r="R67" s="39">
        <f>if(G67=13,1,0)+VLOOKUP(B67,'100524'!B:T,17,false)</f>
        <v>1</v>
      </c>
      <c r="S67" s="39"/>
      <c r="T67" s="39">
        <f>if(G67=9,1,0)+VLOOKUP(B67,'100524'!B:T,19,false)</f>
        <v>13</v>
      </c>
      <c r="U67" s="39">
        <f>VLOOKUP(B67,'100524'!B$5:V$70,21,false)-A67</f>
        <v>0</v>
      </c>
      <c r="V67" s="30">
        <f t="shared" si="5"/>
        <v>63</v>
      </c>
    </row>
    <row r="68">
      <c r="A68" s="30">
        <f t="shared" si="3"/>
        <v>64</v>
      </c>
      <c r="B68" s="51" t="s">
        <v>113</v>
      </c>
      <c r="C68" s="32">
        <v>129.0</v>
      </c>
      <c r="D68" s="32">
        <v>7.0</v>
      </c>
      <c r="E68" s="37">
        <v>1.0</v>
      </c>
      <c r="F68" s="39">
        <v>8.0</v>
      </c>
      <c r="G68" s="40">
        <v>0.0</v>
      </c>
      <c r="H68" s="39">
        <v>4.0</v>
      </c>
      <c r="I68" s="39">
        <v>0.0</v>
      </c>
      <c r="J68" s="39">
        <v>6.0</v>
      </c>
      <c r="K68" s="42">
        <v>10.0</v>
      </c>
      <c r="L68" s="39">
        <v>1.0</v>
      </c>
      <c r="M68" s="32">
        <f t="shared" ref="M68:N68" si="66">C68+K68</f>
        <v>139</v>
      </c>
      <c r="N68" s="32">
        <f t="shared" si="66"/>
        <v>8</v>
      </c>
      <c r="O68" s="43" t="s">
        <v>53</v>
      </c>
      <c r="P68" s="43" t="s">
        <v>53</v>
      </c>
      <c r="Q68" s="43"/>
      <c r="R68" s="39">
        <f>if(G68=13,1,0)+VLOOKUP(B68,'100524'!B:T,17,false)</f>
        <v>0</v>
      </c>
      <c r="S68" s="39"/>
      <c r="T68" s="39">
        <f>if(G68=9,1,0)+VLOOKUP(B68,'100524'!B:T,19,false)</f>
        <v>4</v>
      </c>
      <c r="U68" s="39">
        <f>VLOOKUP(B68,'100524'!B$5:V$70,21,false)-A68</f>
        <v>0</v>
      </c>
      <c r="V68" s="30">
        <f t="shared" si="5"/>
        <v>64</v>
      </c>
    </row>
    <row r="69">
      <c r="A69" s="30">
        <f t="shared" si="3"/>
        <v>65</v>
      </c>
      <c r="B69" s="51" t="s">
        <v>80</v>
      </c>
      <c r="C69" s="32">
        <v>123.0</v>
      </c>
      <c r="D69" s="32">
        <v>6.0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7">C69+K69</f>
        <v>132</v>
      </c>
      <c r="N69" s="32">
        <f t="shared" si="67"/>
        <v>6</v>
      </c>
      <c r="O69" s="43" t="s">
        <v>53</v>
      </c>
      <c r="P69" s="43" t="s">
        <v>53</v>
      </c>
      <c r="Q69" s="43"/>
      <c r="R69" s="39">
        <f>if(G69=13,1,0)+VLOOKUP(B69,'100524'!B:T,17,false)</f>
        <v>0</v>
      </c>
      <c r="S69" s="39"/>
      <c r="T69" s="39">
        <f>if(G69=9,1,0)+VLOOKUP(B69,'100524'!B:T,19,false)</f>
        <v>8</v>
      </c>
      <c r="U69" s="39">
        <f>VLOOKUP(B69,'100524'!B$5:V$70,21,false)-A69</f>
        <v>0</v>
      </c>
      <c r="V69" s="30">
        <f t="shared" si="5"/>
        <v>65</v>
      </c>
    </row>
    <row r="70">
      <c r="A70" s="30">
        <f t="shared" si="3"/>
        <v>66</v>
      </c>
      <c r="B70" s="51" t="s">
        <v>74</v>
      </c>
      <c r="C70" s="32">
        <v>117.0</v>
      </c>
      <c r="D70" s="32">
        <v>0.0</v>
      </c>
      <c r="E70" s="37">
        <v>3.0</v>
      </c>
      <c r="F70" s="39">
        <v>0.0</v>
      </c>
      <c r="G70" s="40">
        <v>9.0</v>
      </c>
      <c r="H70" s="39">
        <v>0.0</v>
      </c>
      <c r="I70" s="39">
        <v>0.0</v>
      </c>
      <c r="J70" s="39">
        <v>0.0</v>
      </c>
      <c r="K70" s="42">
        <v>9.0</v>
      </c>
      <c r="L70" s="39">
        <v>0.0</v>
      </c>
      <c r="M70" s="32">
        <f t="shared" ref="M70:N70" si="68">C70+K70</f>
        <v>126</v>
      </c>
      <c r="N70" s="32">
        <f t="shared" si="68"/>
        <v>0</v>
      </c>
      <c r="O70" s="43" t="s">
        <v>53</v>
      </c>
      <c r="P70" s="43" t="s">
        <v>53</v>
      </c>
      <c r="Q70" s="43"/>
      <c r="R70" s="39">
        <f>if(G70=13,1,0)+VLOOKUP(B70,'100524'!B:T,17,false)</f>
        <v>0</v>
      </c>
      <c r="S70" s="39"/>
      <c r="T70" s="39">
        <f>if(G70=9,1,0)+VLOOKUP(B70,'100524'!B:T,19,false)</f>
        <v>15</v>
      </c>
      <c r="U70" s="39">
        <f>VLOOKUP(B70,'100524'!B$5:V$70,21,false)-A70</f>
        <v>0</v>
      </c>
      <c r="V70" s="30">
        <f t="shared" si="5"/>
        <v>66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9">COUNTA(P5:P70)</f>
        <v>65</v>
      </c>
      <c r="Q73" s="8">
        <f t="shared" si="69"/>
        <v>1</v>
      </c>
    </row>
    <row r="74">
      <c r="A74" s="11"/>
      <c r="C74" s="11"/>
      <c r="D74" s="11"/>
      <c r="E74" s="11"/>
      <c r="O74" s="7" t="s">
        <v>164</v>
      </c>
      <c r="P74" s="8">
        <f t="shared" ref="P74:Q74" si="70">P75-P73</f>
        <v>1</v>
      </c>
      <c r="Q74" s="8">
        <f t="shared" si="70"/>
        <v>65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0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1</v>
      </c>
    </row>
    <row r="80">
      <c r="A80" s="11"/>
      <c r="B80" s="51" t="str">
        <f>IFERROR(__xludf.DUMMYFUNCTION("QUERY(B5:L70,""Select B, K, L where K &gt;= 18 order by K desc, L desc"",0)"),"Adrian Tay")</f>
        <v>Adrian Tay</v>
      </c>
      <c r="C80" s="71">
        <f>IFERROR(__xludf.DUMMYFUNCTION("""COMPUTED_VALUE"""),19.0)</f>
        <v>19</v>
      </c>
      <c r="D80" s="71">
        <f>IFERROR(__xludf.DUMMYFUNCTION("""COMPUTED_VALUE"""),2.0)</f>
        <v>2</v>
      </c>
      <c r="E80" s="11"/>
      <c r="K80" s="59"/>
      <c r="L80" s="60"/>
      <c r="O80" s="7" t="s">
        <v>164</v>
      </c>
      <c r="P80" s="8"/>
      <c r="Q80" s="8">
        <f>countif(Q5:Q70,"")</f>
        <v>65</v>
      </c>
    </row>
    <row r="81">
      <c r="A81" s="11"/>
      <c r="B81" s="51" t="str">
        <f>IFERROR(__xludf.DUMMYFUNCTION("""COMPUTED_VALUE"""),"Christopher Li")</f>
        <v>Christopher Li</v>
      </c>
      <c r="C81" s="71">
        <f>IFERROR(__xludf.DUMMYFUNCTION("""COMPUTED_VALUE"""),19.0)</f>
        <v>19</v>
      </c>
      <c r="D81" s="71">
        <f>IFERROR(__xludf.DUMMYFUNCTION("""COMPUTED_VALUE"""),2.0)</f>
        <v>2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IFERROR(__xludf.DUMMYFUNCTION("""COMPUTED_VALUE"""),"Arun Mallikarjuna")</f>
        <v>Arun Mallikarjuna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IFERROR(__xludf.DUMMYFUNCTION("""COMPUTED_VALUE"""),"Lam Bui")</f>
        <v>Lam Bui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</row>
    <row r="84">
      <c r="A84" s="11"/>
      <c r="B84" s="51" t="str">
        <f>IFERROR(__xludf.DUMMYFUNCTION("""COMPUTED_VALUE"""),"Erik Hoeckmann")</f>
        <v>Erik Hoeckmann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K84" s="10"/>
    </row>
    <row r="85">
      <c r="A85" s="11"/>
      <c r="B85" s="51" t="str">
        <f>IFERROR(__xludf.DUMMYFUNCTION("""COMPUTED_VALUE"""),"Pulkit Mathur")</f>
        <v>Pulkit Mathur</v>
      </c>
      <c r="C85" s="71">
        <f>IFERROR(__xludf.DUMMYFUNCTION("""COMPUTED_VALUE"""),18.0)</f>
        <v>18</v>
      </c>
      <c r="D85" s="71">
        <f>IFERROR(__xludf.DUMMYFUNCTION("""COMPUTED_VALUE"""),3.0)</f>
        <v>3</v>
      </c>
      <c r="E85" s="11"/>
      <c r="K85" s="10"/>
    </row>
    <row r="86">
      <c r="A86" s="11"/>
      <c r="B86" s="51" t="str">
        <f>IFERROR(__xludf.DUMMYFUNCTION("""COMPUTED_VALUE"""),"Peter Cheng")</f>
        <v>Peter Cheng</v>
      </c>
      <c r="C86" s="71">
        <f>IFERROR(__xludf.DUMMYFUNCTION("""COMPUTED_VALUE"""),18.0)</f>
        <v>18</v>
      </c>
      <c r="D86" s="71">
        <f>IFERROR(__xludf.DUMMYFUNCTION("""COMPUTED_VALUE"""),3.0)</f>
        <v>3</v>
      </c>
      <c r="E86" s="11"/>
      <c r="K86" s="10"/>
    </row>
    <row r="87">
      <c r="A87" s="11"/>
      <c r="B87" s="51" t="str">
        <f>IFERROR(__xludf.DUMMYFUNCTION("""COMPUTED_VALUE"""),"Vinz Solano")</f>
        <v>Vinz Solano</v>
      </c>
      <c r="C87" s="71">
        <f>IFERROR(__xludf.DUMMYFUNCTION("""COMPUTED_VALUE"""),18.0)</f>
        <v>18</v>
      </c>
      <c r="D87" s="71">
        <f>IFERROR(__xludf.DUMMYFUNCTION("""COMPUTED_VALUE"""),3.0)</f>
        <v>3</v>
      </c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/>
      <c r="C91" s="11"/>
      <c r="D91" s="11"/>
      <c r="E91" s="11"/>
    </row>
    <row r="92" ht="37.5" customHeight="1">
      <c r="A92" s="11"/>
      <c r="B92" s="66" t="s">
        <v>135</v>
      </c>
      <c r="C92" s="66" t="s">
        <v>143</v>
      </c>
      <c r="D92" s="94" t="s">
        <v>170</v>
      </c>
      <c r="E92" s="94" t="s">
        <v>171</v>
      </c>
      <c r="F92" s="66" t="s">
        <v>172</v>
      </c>
    </row>
    <row r="93">
      <c r="A93" s="11"/>
      <c r="B93" s="51" t="str">
        <f>IFERROR(__xludf.DUMMYFUNCTION("query(B5:U70,""select B, U order by U Desc Limit 10"")"),"Sai Dilip Ponnaganti")</f>
        <v>Sai Dilip Ponnaganti</v>
      </c>
      <c r="C93" s="64">
        <f>IFERROR(__xludf.DUMMYFUNCTION("""COMPUTED_VALUE"""),9.0)</f>
        <v>9</v>
      </c>
      <c r="D93" s="64">
        <f>VLOOKUP(B93,'100524'!B$5:V$70,21, false)</f>
        <v>49</v>
      </c>
      <c r="E93" s="64">
        <f t="shared" ref="E93:E102" si="71">VLOOKUP(B93,B$5:V$70,21, false)</f>
        <v>40</v>
      </c>
      <c r="F93" s="64">
        <f>VLOOKUP(B93,'100524'!B$5:V$70,10, false)</f>
        <v>19</v>
      </c>
    </row>
    <row r="94">
      <c r="A94" s="11"/>
      <c r="B94" s="51" t="str">
        <f>IFERROR(__xludf.DUMMYFUNCTION("""COMPUTED_VALUE"""),"Elayaraja Thangaraj ")</f>
        <v>Elayaraja Thangaraj </v>
      </c>
      <c r="C94" s="64">
        <f>IFERROR(__xludf.DUMMYFUNCTION("""COMPUTED_VALUE"""),9.0)</f>
        <v>9</v>
      </c>
      <c r="D94" s="64">
        <f>VLOOKUP(B94,'100524'!B$5:V$70,21, false)</f>
        <v>53</v>
      </c>
      <c r="E94" s="64">
        <f t="shared" si="71"/>
        <v>44</v>
      </c>
      <c r="F94" s="64">
        <f>VLOOKUP(B94,'100524'!B$5:V$70,10, false)</f>
        <v>19</v>
      </c>
    </row>
    <row r="95">
      <c r="A95" s="11"/>
      <c r="B95" s="51" t="str">
        <f>IFERROR(__xludf.DUMMYFUNCTION("""COMPUTED_VALUE"""),"Vinz Solano")</f>
        <v>Vinz Solano</v>
      </c>
      <c r="C95" s="64">
        <f>IFERROR(__xludf.DUMMYFUNCTION("""COMPUTED_VALUE"""),8.0)</f>
        <v>8</v>
      </c>
      <c r="D95" s="64">
        <f>VLOOKUP(B95,'100524'!B$5:V$70,21, false)</f>
        <v>61</v>
      </c>
      <c r="E95" s="64">
        <f t="shared" si="71"/>
        <v>53</v>
      </c>
      <c r="F95" s="64">
        <f>VLOOKUP(B95,'100524'!B$5:V$70,10, false)</f>
        <v>19</v>
      </c>
      <c r="P95" s="70"/>
    </row>
    <row r="96">
      <c r="A96" s="11"/>
      <c r="B96" s="51" t="str">
        <f>IFERROR(__xludf.DUMMYFUNCTION("""COMPUTED_VALUE"""),"Lloyd Sagar")</f>
        <v>Lloyd Sagar</v>
      </c>
      <c r="C96" s="64">
        <f>IFERROR(__xludf.DUMMYFUNCTION("""COMPUTED_VALUE"""),7.0)</f>
        <v>7</v>
      </c>
      <c r="D96" s="64">
        <f>VLOOKUP(B96,'100524'!B$5:V$70,21, false)</f>
        <v>41</v>
      </c>
      <c r="E96" s="64">
        <f t="shared" si="71"/>
        <v>34</v>
      </c>
      <c r="F96" s="64">
        <f>VLOOKUP(B96,'100524'!B$5:V$70,10, false)</f>
        <v>19</v>
      </c>
    </row>
    <row r="97">
      <c r="A97" s="11"/>
      <c r="B97" s="51" t="str">
        <f>IFERROR(__xludf.DUMMYFUNCTION("""COMPUTED_VALUE"""),"Ted Shen")</f>
        <v>Ted Shen</v>
      </c>
      <c r="C97" s="64">
        <f>IFERROR(__xludf.DUMMYFUNCTION("""COMPUTED_VALUE"""),6.0)</f>
        <v>6</v>
      </c>
      <c r="D97" s="64">
        <f>VLOOKUP(B97,'100524'!B$5:V$70,21, false)</f>
        <v>10</v>
      </c>
      <c r="E97" s="64">
        <f t="shared" si="71"/>
        <v>4</v>
      </c>
      <c r="F97" s="64">
        <f>VLOOKUP(B97,'100524'!B$5:V$70,10, false)</f>
        <v>19</v>
      </c>
    </row>
    <row r="98">
      <c r="A98" s="11"/>
      <c r="B98" s="51" t="str">
        <f>IFERROR(__xludf.DUMMYFUNCTION("""COMPUTED_VALUE"""),"Alejandro Mejia")</f>
        <v>Alejandro Mejia</v>
      </c>
      <c r="C98" s="64">
        <f>IFERROR(__xludf.DUMMYFUNCTION("""COMPUTED_VALUE"""),6.0)</f>
        <v>6</v>
      </c>
      <c r="D98" s="64">
        <f>VLOOKUP(B98,'100524'!B$5:V$70,21, false)</f>
        <v>11</v>
      </c>
      <c r="E98" s="64">
        <f t="shared" si="71"/>
        <v>5</v>
      </c>
      <c r="F98" s="64">
        <f>VLOOKUP(B98,'100524'!B$5:V$70,10, false)</f>
        <v>18</v>
      </c>
    </row>
    <row r="99">
      <c r="A99" s="11"/>
      <c r="B99" s="51" t="str">
        <f>IFERROR(__xludf.DUMMYFUNCTION("""COMPUTED_VALUE"""),"Santosh Sundaresan ")</f>
        <v>Santosh Sundaresan </v>
      </c>
      <c r="C99" s="64">
        <f>IFERROR(__xludf.DUMMYFUNCTION("""COMPUTED_VALUE"""),6.0)</f>
        <v>6</v>
      </c>
      <c r="D99" s="64">
        <f>VLOOKUP(B99,'100524'!B$5:V$70,21, false)</f>
        <v>52</v>
      </c>
      <c r="E99" s="64">
        <f t="shared" si="71"/>
        <v>46</v>
      </c>
      <c r="F99" s="64">
        <f>VLOOKUP(B99,'100524'!B$5:V$70,10, false)</f>
        <v>17</v>
      </c>
    </row>
    <row r="100">
      <c r="A100" s="11"/>
      <c r="B100" s="51" t="str">
        <f>IFERROR(__xludf.DUMMYFUNCTION("""COMPUTED_VALUE"""),"Chinna Ponnaganti")</f>
        <v>Chinna Ponnaganti</v>
      </c>
      <c r="C100" s="64">
        <f>IFERROR(__xludf.DUMMYFUNCTION("""COMPUTED_VALUE"""),5.0)</f>
        <v>5</v>
      </c>
      <c r="D100" s="64">
        <f>VLOOKUP(B100,'100524'!B$5:V$70,21, false)</f>
        <v>40</v>
      </c>
      <c r="E100" s="64">
        <f t="shared" si="71"/>
        <v>35</v>
      </c>
      <c r="F100" s="64">
        <f>VLOOKUP(B100,'100524'!B$5:V$70,10, false)</f>
        <v>18</v>
      </c>
    </row>
    <row r="101">
      <c r="A101" s="11"/>
      <c r="B101" s="51" t="str">
        <f>IFERROR(__xludf.DUMMYFUNCTION("""COMPUTED_VALUE"""),"Christopher Li")</f>
        <v>Christopher Li</v>
      </c>
      <c r="C101" s="64">
        <f>IFERROR(__xludf.DUMMYFUNCTION("""COMPUTED_VALUE"""),4.0)</f>
        <v>4</v>
      </c>
      <c r="D101" s="64">
        <f>VLOOKUP(B101,'100524'!B$5:V$70,21, false)</f>
        <v>7</v>
      </c>
      <c r="E101" s="64">
        <f t="shared" si="71"/>
        <v>3</v>
      </c>
      <c r="F101" s="64">
        <f>VLOOKUP(B101,'100524'!B$5:V$70,10, false)</f>
        <v>19</v>
      </c>
    </row>
    <row r="102">
      <c r="A102" s="11"/>
      <c r="B102" s="51" t="str">
        <f>IFERROR(__xludf.DUMMYFUNCTION("""COMPUTED_VALUE"""),"Arun Mallikarjuna")</f>
        <v>Arun Mallikarjuna</v>
      </c>
      <c r="C102" s="64">
        <f>IFERROR(__xludf.DUMMYFUNCTION("""COMPUTED_VALUE"""),4.0)</f>
        <v>4</v>
      </c>
      <c r="D102" s="64">
        <f>VLOOKUP(B102,'100524'!B$5:V$70,21, false)</f>
        <v>17</v>
      </c>
      <c r="E102" s="64">
        <f t="shared" si="71"/>
        <v>13</v>
      </c>
      <c r="F102" s="64">
        <f>VLOOKUP(B102,'100524'!B$5:V$70,10, false)</f>
        <v>13</v>
      </c>
    </row>
    <row r="103">
      <c r="A103" s="11"/>
      <c r="B103" s="10"/>
      <c r="C103" s="11"/>
      <c r="E103" s="11"/>
    </row>
    <row r="104">
      <c r="A104" s="11"/>
      <c r="B104" s="10"/>
      <c r="C104" s="11"/>
      <c r="E104" s="11"/>
    </row>
    <row r="105">
      <c r="A105" s="11"/>
      <c r="B105" s="62" t="s">
        <v>142</v>
      </c>
      <c r="C105" s="62" t="s">
        <v>143</v>
      </c>
      <c r="D105" s="94" t="s">
        <v>170</v>
      </c>
      <c r="E105" s="94" t="s">
        <v>171</v>
      </c>
      <c r="F105" s="66" t="s">
        <v>172</v>
      </c>
    </row>
    <row r="106">
      <c r="A106" s="11"/>
      <c r="B106" s="51" t="str">
        <f>IFERROR(__xludf.DUMMYFUNCTION("query(B5:U70,""select B, U order by U asc Limit 10"")"),"Jonathan Phan")</f>
        <v>Jonathan Phan</v>
      </c>
      <c r="C106" s="64">
        <f>IFERROR(__xludf.DUMMYFUNCTION("""COMPUTED_VALUE"""),-6.0)</f>
        <v>-6</v>
      </c>
      <c r="D106" s="64">
        <f>VLOOKUP(B106,'100524'!B$5:V$70,21, false)</f>
        <v>4</v>
      </c>
      <c r="E106" s="64">
        <f t="shared" ref="E106:E115" si="72">VLOOKUP(B106,B$5:V$70,21, false)</f>
        <v>10</v>
      </c>
      <c r="F106" s="64">
        <f>VLOOKUP(B106,'100524'!B$5:V$70,10, false)</f>
        <v>8</v>
      </c>
    </row>
    <row r="107">
      <c r="A107" s="11"/>
      <c r="B107" s="51" t="str">
        <f>IFERROR(__xludf.DUMMYFUNCTION("""COMPUTED_VALUE"""),"Matthew Huang")</f>
        <v>Matthew Huang</v>
      </c>
      <c r="C107" s="64">
        <f>IFERROR(__xludf.DUMMYFUNCTION("""COMPUTED_VALUE"""),-6.0)</f>
        <v>-6</v>
      </c>
      <c r="D107" s="64">
        <f>VLOOKUP(B107,'100524'!B$5:V$70,21, false)</f>
        <v>5</v>
      </c>
      <c r="E107" s="64">
        <f t="shared" si="72"/>
        <v>11</v>
      </c>
      <c r="F107" s="64">
        <f>VLOOKUP(B107,'100524'!B$5:V$70,10, false)</f>
        <v>9</v>
      </c>
    </row>
    <row r="108">
      <c r="A108" s="11"/>
      <c r="B108" s="51" t="str">
        <f>IFERROR(__xludf.DUMMYFUNCTION("""COMPUTED_VALUE"""),"Tony Lin")</f>
        <v>Tony Lin</v>
      </c>
      <c r="C108" s="64">
        <f>IFERROR(__xludf.DUMMYFUNCTION("""COMPUTED_VALUE"""),-6.0)</f>
        <v>-6</v>
      </c>
      <c r="D108" s="64">
        <f>VLOOKUP(B108,'100524'!B$5:V$70,21, false)</f>
        <v>37</v>
      </c>
      <c r="E108" s="64">
        <f t="shared" si="72"/>
        <v>43</v>
      </c>
      <c r="F108" s="64">
        <f>VLOOKUP(B108,'100524'!B$5:V$70,10, false)</f>
        <v>9</v>
      </c>
    </row>
    <row r="109">
      <c r="A109" s="11"/>
      <c r="B109" s="51" t="str">
        <f>IFERROR(__xludf.DUMMYFUNCTION("""COMPUTED_VALUE"""),"Saravanan Veerapandian")</f>
        <v>Saravanan Veerapandian</v>
      </c>
      <c r="C109" s="64">
        <f>IFERROR(__xludf.DUMMYFUNCTION("""COMPUTED_VALUE"""),-6.0)</f>
        <v>-6</v>
      </c>
      <c r="D109" s="64">
        <f>VLOOKUP(B109,'100524'!B$5:V$70,21, false)</f>
        <v>39</v>
      </c>
      <c r="E109" s="64">
        <f t="shared" si="72"/>
        <v>45</v>
      </c>
      <c r="F109" s="64">
        <f>VLOOKUP(B109,'100524'!B$5:V$70,10, false)</f>
        <v>9</v>
      </c>
    </row>
    <row r="110">
      <c r="A110" s="11"/>
      <c r="B110" s="51" t="str">
        <f>IFERROR(__xludf.DUMMYFUNCTION("""COMPUTED_VALUE"""),"Sanjaye Elayattu")</f>
        <v>Sanjaye Elayattu</v>
      </c>
      <c r="C110" s="64">
        <f>IFERROR(__xludf.DUMMYFUNCTION("""COMPUTED_VALUE"""),-5.0)</f>
        <v>-5</v>
      </c>
      <c r="D110" s="64">
        <f>VLOOKUP(B110,'100524'!B$5:V$70,21, false)</f>
        <v>33</v>
      </c>
      <c r="E110" s="64">
        <f t="shared" si="72"/>
        <v>38</v>
      </c>
      <c r="F110" s="64">
        <f>VLOOKUP(B110,'100524'!B$5:V$70,10, false)</f>
        <v>9</v>
      </c>
    </row>
    <row r="111">
      <c r="A111" s="11"/>
      <c r="B111" s="51" t="str">
        <f>IFERROR(__xludf.DUMMYFUNCTION("""COMPUTED_VALUE"""),"Eric Tan")</f>
        <v>Eric Tan</v>
      </c>
      <c r="C111" s="64">
        <f>IFERROR(__xludf.DUMMYFUNCTION("""COMPUTED_VALUE"""),-5.0)</f>
        <v>-5</v>
      </c>
      <c r="D111" s="64">
        <f>VLOOKUP(B111,'100524'!B$5:V$70,21, false)</f>
        <v>44</v>
      </c>
      <c r="E111" s="64">
        <f t="shared" si="72"/>
        <v>49</v>
      </c>
      <c r="F111" s="64">
        <f>VLOOKUP(B111,'100524'!B$5:V$70,10, false)</f>
        <v>8</v>
      </c>
    </row>
    <row r="112">
      <c r="A112" s="11"/>
      <c r="B112" s="51" t="str">
        <f>IFERROR(__xludf.DUMMYFUNCTION("""COMPUTED_VALUE"""),"Luis Hsu")</f>
        <v>Luis Hsu</v>
      </c>
      <c r="C112" s="64">
        <f>IFERROR(__xludf.DUMMYFUNCTION("""COMPUTED_VALUE"""),-4.0)</f>
        <v>-4</v>
      </c>
      <c r="D112" s="64">
        <f>VLOOKUP(B112,'100524'!B$5:V$70,21, false)</f>
        <v>3</v>
      </c>
      <c r="E112" s="64">
        <f t="shared" si="72"/>
        <v>7</v>
      </c>
      <c r="F112" s="64">
        <f>VLOOKUP(B112,'100524'!B$5:V$70,10, false)</f>
        <v>10</v>
      </c>
    </row>
    <row r="113">
      <c r="A113" s="11"/>
      <c r="B113" s="51" t="str">
        <f>IFERROR(__xludf.DUMMYFUNCTION("""COMPUTED_VALUE"""),"Mauricio Palacios")</f>
        <v>Mauricio Palacios</v>
      </c>
      <c r="C113" s="64">
        <f>IFERROR(__xludf.DUMMYFUNCTION("""COMPUTED_VALUE"""),-4.0)</f>
        <v>-4</v>
      </c>
      <c r="D113" s="64">
        <f>VLOOKUP(B113,'100524'!B$5:V$70,21, false)</f>
        <v>46</v>
      </c>
      <c r="E113" s="64">
        <f t="shared" si="72"/>
        <v>50</v>
      </c>
      <c r="F113" s="64">
        <f>VLOOKUP(B113,'100524'!B$5:V$70,10, false)</f>
        <v>9</v>
      </c>
    </row>
    <row r="114">
      <c r="A114" s="11"/>
      <c r="B114" s="51" t="str">
        <f>IFERROR(__xludf.DUMMYFUNCTION("""COMPUTED_VALUE"""),"Vinaya Kajla")</f>
        <v>Vinaya Kajla</v>
      </c>
      <c r="C114" s="64">
        <f>IFERROR(__xludf.DUMMYFUNCTION("""COMPUTED_VALUE"""),-4.0)</f>
        <v>-4</v>
      </c>
      <c r="D114" s="64">
        <f>VLOOKUP(B114,'100524'!B$5:V$70,21, false)</f>
        <v>47</v>
      </c>
      <c r="E114" s="64">
        <f t="shared" si="72"/>
        <v>51</v>
      </c>
      <c r="F114" s="64">
        <f>VLOOKUP(B114,'100524'!B$5:V$70,10, false)</f>
        <v>9</v>
      </c>
    </row>
    <row r="115">
      <c r="A115" s="11"/>
      <c r="B115" s="51" t="str">
        <f>IFERROR(__xludf.DUMMYFUNCTION("""COMPUTED_VALUE"""),"Susanta Mishra")</f>
        <v>Susanta Mishra</v>
      </c>
      <c r="C115" s="64">
        <f>IFERROR(__xludf.DUMMYFUNCTION("""COMPUTED_VALUE"""),-4.0)</f>
        <v>-4</v>
      </c>
      <c r="D115" s="64">
        <f>VLOOKUP(B115,'100524'!B$5:V$70,21, false)</f>
        <v>48</v>
      </c>
      <c r="E115" s="64">
        <f t="shared" si="72"/>
        <v>52</v>
      </c>
      <c r="F115" s="64">
        <f>VLOOKUP(B115,'100524'!B$5:V$70,10, false)</f>
        <v>9</v>
      </c>
    </row>
    <row r="116">
      <c r="A116" s="11"/>
      <c r="B116" s="10"/>
      <c r="C116" s="11"/>
      <c r="E116" s="11"/>
    </row>
    <row r="117">
      <c r="A117" s="11"/>
      <c r="B117" s="10"/>
      <c r="C117" s="11"/>
      <c r="E117" s="11"/>
    </row>
    <row r="118">
      <c r="A118" s="11"/>
      <c r="B118" s="10"/>
      <c r="C118" s="11"/>
      <c r="E118" s="11"/>
    </row>
    <row r="119">
      <c r="A119" s="11"/>
      <c r="B119" s="10"/>
      <c r="C119" s="11"/>
      <c r="E119" s="11"/>
    </row>
    <row r="120">
      <c r="A120" s="11"/>
      <c r="B120" s="10"/>
      <c r="C120" s="11"/>
      <c r="D120" s="11"/>
      <c r="E120" s="11"/>
    </row>
    <row r="121">
      <c r="A121" s="11"/>
      <c r="B121" s="10"/>
      <c r="C121" s="11"/>
      <c r="D121" s="11"/>
      <c r="E121" s="11"/>
    </row>
    <row r="122">
      <c r="A122" s="11"/>
      <c r="B122" s="10"/>
      <c r="C122" s="11"/>
      <c r="D122" s="11"/>
      <c r="E122" s="11"/>
    </row>
    <row r="123">
      <c r="A123" s="11"/>
      <c r="B123" s="10"/>
      <c r="C123" s="11"/>
      <c r="D123" s="11"/>
      <c r="E123" s="11"/>
    </row>
    <row r="124">
      <c r="A124" s="11"/>
      <c r="B124" s="10"/>
      <c r="C124" s="11"/>
      <c r="D124" s="11"/>
      <c r="E124" s="11"/>
    </row>
    <row r="125">
      <c r="A125" s="11"/>
      <c r="B125" s="10"/>
      <c r="C125" s="11"/>
      <c r="D125" s="11"/>
      <c r="E125" s="11"/>
    </row>
    <row r="126">
      <c r="A126" s="11"/>
      <c r="B126" s="10"/>
      <c r="C126" s="11"/>
      <c r="D126" s="11"/>
      <c r="E126" s="11"/>
    </row>
    <row r="127">
      <c r="A127" s="11"/>
      <c r="B127" s="10"/>
      <c r="C127" s="11"/>
      <c r="D127" s="11"/>
      <c r="E127" s="11"/>
    </row>
    <row r="128">
      <c r="A128" s="11"/>
      <c r="B128" s="10"/>
      <c r="C128" s="11"/>
      <c r="D128" s="11"/>
      <c r="E128" s="11"/>
    </row>
    <row r="129">
      <c r="A129" s="11"/>
      <c r="B129" s="10" t="s">
        <v>165</v>
      </c>
      <c r="C129" s="11"/>
      <c r="D129" s="11"/>
      <c r="E129" s="11"/>
    </row>
    <row r="130">
      <c r="A130" s="11"/>
      <c r="B130" s="27" t="s">
        <v>31</v>
      </c>
      <c r="C130" s="29" t="s">
        <v>2</v>
      </c>
      <c r="D130" s="29" t="s">
        <v>4</v>
      </c>
      <c r="E130" s="29" t="s">
        <v>33</v>
      </c>
      <c r="F130" s="29" t="s">
        <v>35</v>
      </c>
      <c r="G130" s="29" t="s">
        <v>36</v>
      </c>
      <c r="H130" s="29" t="s">
        <v>6</v>
      </c>
      <c r="I130" s="29" t="s">
        <v>7</v>
      </c>
      <c r="J130" s="29" t="s">
        <v>8</v>
      </c>
      <c r="K130" s="29" t="s">
        <v>2</v>
      </c>
      <c r="L130" s="29" t="s">
        <v>4</v>
      </c>
      <c r="M130" s="28" t="s">
        <v>2</v>
      </c>
      <c r="N130" s="28" t="s">
        <v>4</v>
      </c>
    </row>
    <row r="131">
      <c r="A131" s="11"/>
      <c r="B131" s="82" t="str">
        <f>IFERROR(__xludf.DUMMYFUNCTION("QUERY(B5:N70, ""Select B, C, D, E, F, G, H, I, J, K, L, M, N   where F &gt;= 1"")"),"Adrian Tay")</f>
        <v>Adrian Tay</v>
      </c>
      <c r="C131" s="87">
        <f>IFERROR(__xludf.DUMMYFUNCTION("""COMPUTED_VALUE"""),218.0)</f>
        <v>218</v>
      </c>
      <c r="D131" s="87">
        <f>IFERROR(__xludf.DUMMYFUNCTION("""COMPUTED_VALUE"""),25.0)</f>
        <v>25</v>
      </c>
      <c r="E131" s="86">
        <f>IFERROR(__xludf.DUMMYFUNCTION("""COMPUTED_VALUE"""),1.0)</f>
        <v>1</v>
      </c>
      <c r="F131" s="88">
        <f>IFERROR(__xludf.DUMMYFUNCTION("""COMPUTED_VALUE"""),1.0)</f>
        <v>1</v>
      </c>
      <c r="G131" s="88">
        <f>IFERROR(__xludf.DUMMYFUNCTION("""COMPUTED_VALUE"""),0.0)</f>
        <v>0</v>
      </c>
      <c r="H131" s="88">
        <f>IFERROR(__xludf.DUMMYFUNCTION("""COMPUTED_VALUE"""),7.0)</f>
        <v>7</v>
      </c>
      <c r="I131" s="88">
        <f>IFERROR(__xludf.DUMMYFUNCTION("""COMPUTED_VALUE"""),6.0)</f>
        <v>6</v>
      </c>
      <c r="J131" s="88">
        <f>IFERROR(__xludf.DUMMYFUNCTION("""COMPUTED_VALUE"""),6.0)</f>
        <v>6</v>
      </c>
      <c r="K131" s="88">
        <f>IFERROR(__xludf.DUMMYFUNCTION("""COMPUTED_VALUE"""),19.0)</f>
        <v>19</v>
      </c>
      <c r="L131" s="88">
        <f>IFERROR(__xludf.DUMMYFUNCTION("""COMPUTED_VALUE"""),2.0)</f>
        <v>2</v>
      </c>
      <c r="M131" s="89">
        <f>IFERROR(__xludf.DUMMYFUNCTION("""COMPUTED_VALUE"""),237.0)</f>
        <v>237</v>
      </c>
      <c r="N131" s="89">
        <f>IFERROR(__xludf.DUMMYFUNCTION("""COMPUTED_VALUE"""),27.0)</f>
        <v>27</v>
      </c>
    </row>
    <row r="132">
      <c r="A132" s="11"/>
      <c r="B132" s="82" t="str">
        <f>IFERROR(__xludf.DUMMYFUNCTION("""COMPUTED_VALUE"""),"Tom Le")</f>
        <v>Tom Le</v>
      </c>
      <c r="C132" s="87">
        <f>IFERROR(__xludf.DUMMYFUNCTION("""COMPUTED_VALUE"""),192.0)</f>
        <v>192</v>
      </c>
      <c r="D132" s="87">
        <f>IFERROR(__xludf.DUMMYFUNCTION("""COMPUTED_VALUE"""),22.0)</f>
        <v>22</v>
      </c>
      <c r="E132" s="86">
        <f>IFERROR(__xludf.DUMMYFUNCTION("""COMPUTED_VALUE"""),1.0)</f>
        <v>1</v>
      </c>
      <c r="F132" s="88">
        <f>IFERROR(__xludf.DUMMYFUNCTION("""COMPUTED_VALUE"""),1.0)</f>
        <v>1</v>
      </c>
      <c r="G132" s="88">
        <f>IFERROR(__xludf.DUMMYFUNCTION("""COMPUTED_VALUE"""),0.0)</f>
        <v>0</v>
      </c>
      <c r="H132" s="88">
        <f>IFERROR(__xludf.DUMMYFUNCTION("""COMPUTED_VALUE"""),7.0)</f>
        <v>7</v>
      </c>
      <c r="I132" s="88">
        <f>IFERROR(__xludf.DUMMYFUNCTION("""COMPUTED_VALUE"""),2.0)</f>
        <v>2</v>
      </c>
      <c r="J132" s="88">
        <f>IFERROR(__xludf.DUMMYFUNCTION("""COMPUTED_VALUE"""),7.0)</f>
        <v>7</v>
      </c>
      <c r="K132" s="88">
        <f>IFERROR(__xludf.DUMMYFUNCTION("""COMPUTED_VALUE"""),16.0)</f>
        <v>16</v>
      </c>
      <c r="L132" s="88">
        <f>IFERROR(__xludf.DUMMYFUNCTION("""COMPUTED_VALUE"""),2.0)</f>
        <v>2</v>
      </c>
      <c r="M132" s="89">
        <f>IFERROR(__xludf.DUMMYFUNCTION("""COMPUTED_VALUE"""),208.0)</f>
        <v>208</v>
      </c>
      <c r="N132" s="89">
        <f>IFERROR(__xludf.DUMMYFUNCTION("""COMPUTED_VALUE"""),24.0)</f>
        <v>24</v>
      </c>
    </row>
    <row r="133">
      <c r="A133" s="11"/>
      <c r="B133" s="82" t="str">
        <f>IFERROR(__xludf.DUMMYFUNCTION("""COMPUTED_VALUE"""),"Christopher Li")</f>
        <v>Christopher Li</v>
      </c>
      <c r="C133" s="87">
        <f>IFERROR(__xludf.DUMMYFUNCTION("""COMPUTED_VALUE"""),192.0)</f>
        <v>192</v>
      </c>
      <c r="D133" s="87">
        <f>IFERROR(__xludf.DUMMYFUNCTION("""COMPUTED_VALUE"""),19.0)</f>
        <v>19</v>
      </c>
      <c r="E133" s="86">
        <f>IFERROR(__xludf.DUMMYFUNCTION("""COMPUTED_VALUE"""),1.0)</f>
        <v>1</v>
      </c>
      <c r="F133" s="88">
        <f>IFERROR(__xludf.DUMMYFUNCTION("""COMPUTED_VALUE"""),1.0)</f>
        <v>1</v>
      </c>
      <c r="G133" s="88">
        <f>IFERROR(__xludf.DUMMYFUNCTION("""COMPUTED_VALUE"""),0.0)</f>
        <v>0</v>
      </c>
      <c r="H133" s="88">
        <f>IFERROR(__xludf.DUMMYFUNCTION("""COMPUTED_VALUE"""),6.0)</f>
        <v>6</v>
      </c>
      <c r="I133" s="88">
        <f>IFERROR(__xludf.DUMMYFUNCTION("""COMPUTED_VALUE"""),6.0)</f>
        <v>6</v>
      </c>
      <c r="J133" s="88">
        <f>IFERROR(__xludf.DUMMYFUNCTION("""COMPUTED_VALUE"""),7.0)</f>
        <v>7</v>
      </c>
      <c r="K133" s="88">
        <f>IFERROR(__xludf.DUMMYFUNCTION("""COMPUTED_VALUE"""),19.0)</f>
        <v>19</v>
      </c>
      <c r="L133" s="88">
        <f>IFERROR(__xludf.DUMMYFUNCTION("""COMPUTED_VALUE"""),2.0)</f>
        <v>2</v>
      </c>
      <c r="M133" s="89">
        <f>IFERROR(__xludf.DUMMYFUNCTION("""COMPUTED_VALUE"""),211.0)</f>
        <v>211</v>
      </c>
      <c r="N133" s="89">
        <f>IFERROR(__xludf.DUMMYFUNCTION("""COMPUTED_VALUE"""),21.0)</f>
        <v>21</v>
      </c>
    </row>
    <row r="134">
      <c r="A134" s="11"/>
      <c r="B134" s="82" t="str">
        <f>IFERROR(__xludf.DUMMYFUNCTION("""COMPUTED_VALUE"""),"Ted Shen")</f>
        <v>Ted Shen</v>
      </c>
      <c r="C134" s="87">
        <f>IFERROR(__xludf.DUMMYFUNCTION("""COMPUTED_VALUE"""),189.0)</f>
        <v>189</v>
      </c>
      <c r="D134" s="87">
        <f>IFERROR(__xludf.DUMMYFUNCTION("""COMPUTED_VALUE"""),19.0)</f>
        <v>19</v>
      </c>
      <c r="E134" s="86">
        <f>IFERROR(__xludf.DUMMYFUNCTION("""COMPUTED_VALUE"""),1.0)</f>
        <v>1</v>
      </c>
      <c r="F134" s="88">
        <f>IFERROR(__xludf.DUMMYFUNCTION("""COMPUTED_VALUE"""),1.0)</f>
        <v>1</v>
      </c>
      <c r="G134" s="88">
        <f>IFERROR(__xludf.DUMMYFUNCTION("""COMPUTED_VALUE"""),0.0)</f>
        <v>0</v>
      </c>
      <c r="H134" s="88">
        <f>IFERROR(__xludf.DUMMYFUNCTION("""COMPUTED_VALUE"""),6.0)</f>
        <v>6</v>
      </c>
      <c r="I134" s="88">
        <f>IFERROR(__xludf.DUMMYFUNCTION("""COMPUTED_VALUE"""),2.0)</f>
        <v>2</v>
      </c>
      <c r="J134" s="88">
        <f>IFERROR(__xludf.DUMMYFUNCTION("""COMPUTED_VALUE"""),6.0)</f>
        <v>6</v>
      </c>
      <c r="K134" s="88">
        <f>IFERROR(__xludf.DUMMYFUNCTION("""COMPUTED_VALUE"""),14.0)</f>
        <v>14</v>
      </c>
      <c r="L134" s="88">
        <f>IFERROR(__xludf.DUMMYFUNCTION("""COMPUTED_VALUE"""),0.0)</f>
        <v>0</v>
      </c>
      <c r="M134" s="89">
        <f>IFERROR(__xludf.DUMMYFUNCTION("""COMPUTED_VALUE"""),203.0)</f>
        <v>203</v>
      </c>
      <c r="N134" s="89">
        <f>IFERROR(__xludf.DUMMYFUNCTION("""COMPUTED_VALUE"""),19.0)</f>
        <v>19</v>
      </c>
    </row>
    <row r="135">
      <c r="A135" s="11"/>
      <c r="B135" s="84" t="str">
        <f>IFERROR(__xludf.DUMMYFUNCTION("""COMPUTED_VALUE"""),"Frank Moon")</f>
        <v>Frank Moon</v>
      </c>
      <c r="C135" s="95">
        <f>IFERROR(__xludf.DUMMYFUNCTION("""COMPUTED_VALUE"""),186.0)</f>
        <v>186</v>
      </c>
      <c r="D135" s="95">
        <f>IFERROR(__xludf.DUMMYFUNCTION("""COMPUTED_VALUE"""),18.0)</f>
        <v>18</v>
      </c>
      <c r="E135" s="96">
        <f>IFERROR(__xludf.DUMMYFUNCTION("""COMPUTED_VALUE"""),1.0)</f>
        <v>1</v>
      </c>
      <c r="F135" s="97">
        <f>IFERROR(__xludf.DUMMYFUNCTION("""COMPUTED_VALUE"""),2.0)</f>
        <v>2</v>
      </c>
      <c r="G135" s="97">
        <f>IFERROR(__xludf.DUMMYFUNCTION("""COMPUTED_VALUE"""),0.0)</f>
        <v>0</v>
      </c>
      <c r="H135" s="97">
        <f>IFERROR(__xludf.DUMMYFUNCTION("""COMPUTED_VALUE"""),2.0)</f>
        <v>2</v>
      </c>
      <c r="I135" s="97">
        <f>IFERROR(__xludf.DUMMYFUNCTION("""COMPUTED_VALUE"""),3.0)</f>
        <v>3</v>
      </c>
      <c r="J135" s="97">
        <f>IFERROR(__xludf.DUMMYFUNCTION("""COMPUTED_VALUE"""),4.0)</f>
        <v>4</v>
      </c>
      <c r="K135" s="97">
        <f>IFERROR(__xludf.DUMMYFUNCTION("""COMPUTED_VALUE"""),9.0)</f>
        <v>9</v>
      </c>
      <c r="L135" s="97">
        <f>IFERROR(__xludf.DUMMYFUNCTION("""COMPUTED_VALUE"""),0.0)</f>
        <v>0</v>
      </c>
      <c r="M135" s="98">
        <f>IFERROR(__xludf.DUMMYFUNCTION("""COMPUTED_VALUE"""),195.0)</f>
        <v>195</v>
      </c>
      <c r="N135" s="98">
        <f>IFERROR(__xludf.DUMMYFUNCTION("""COMPUTED_VALUE"""),18.0)</f>
        <v>18</v>
      </c>
    </row>
    <row r="136">
      <c r="A136" s="11"/>
      <c r="B136" s="84" t="str">
        <f>IFERROR(__xludf.DUMMYFUNCTION("""COMPUTED_VALUE"""),"Luis Hsu")</f>
        <v>Luis Hsu</v>
      </c>
      <c r="C136" s="95">
        <f>IFERROR(__xludf.DUMMYFUNCTION("""COMPUTED_VALUE"""),186.0)</f>
        <v>186</v>
      </c>
      <c r="D136" s="95">
        <f>IFERROR(__xludf.DUMMYFUNCTION("""COMPUTED_VALUE"""),17.0)</f>
        <v>17</v>
      </c>
      <c r="E136" s="96">
        <f>IFERROR(__xludf.DUMMYFUNCTION("""COMPUTED_VALUE"""),1.0)</f>
        <v>1</v>
      </c>
      <c r="F136" s="97">
        <f>IFERROR(__xludf.DUMMYFUNCTION("""COMPUTED_VALUE"""),2.0)</f>
        <v>2</v>
      </c>
      <c r="G136" s="97">
        <f>IFERROR(__xludf.DUMMYFUNCTION("""COMPUTED_VALUE"""),0.0)</f>
        <v>0</v>
      </c>
      <c r="H136" s="97">
        <f>IFERROR(__xludf.DUMMYFUNCTION("""COMPUTED_VALUE"""),6.0)</f>
        <v>6</v>
      </c>
      <c r="I136" s="97">
        <f>IFERROR(__xludf.DUMMYFUNCTION("""COMPUTED_VALUE"""),6.0)</f>
        <v>6</v>
      </c>
      <c r="J136" s="97">
        <f>IFERROR(__xludf.DUMMYFUNCTION("""COMPUTED_VALUE"""),4.0)</f>
        <v>4</v>
      </c>
      <c r="K136" s="97">
        <f>IFERROR(__xludf.DUMMYFUNCTION("""COMPUTED_VALUE"""),16.0)</f>
        <v>16</v>
      </c>
      <c r="L136" s="97">
        <f>IFERROR(__xludf.DUMMYFUNCTION("""COMPUTED_VALUE"""),2.0)</f>
        <v>2</v>
      </c>
      <c r="M136" s="98">
        <f>IFERROR(__xludf.DUMMYFUNCTION("""COMPUTED_VALUE"""),202.0)</f>
        <v>202</v>
      </c>
      <c r="N136" s="98">
        <f>IFERROR(__xludf.DUMMYFUNCTION("""COMPUTED_VALUE"""),19.0)</f>
        <v>19</v>
      </c>
    </row>
    <row r="137">
      <c r="A137" s="11"/>
      <c r="B137" s="84" t="str">
        <f>IFERROR(__xludf.DUMMYFUNCTION("""COMPUTED_VALUE"""),"Suleman Alidina")</f>
        <v>Suleman Alidina</v>
      </c>
      <c r="C137" s="95">
        <f>IFERROR(__xludf.DUMMYFUNCTION("""COMPUTED_VALUE"""),184.0)</f>
        <v>184</v>
      </c>
      <c r="D137" s="95">
        <f>IFERROR(__xludf.DUMMYFUNCTION("""COMPUTED_VALUE"""),19.0)</f>
        <v>19</v>
      </c>
      <c r="E137" s="96">
        <f>IFERROR(__xludf.DUMMYFUNCTION("""COMPUTED_VALUE"""),1.0)</f>
        <v>1</v>
      </c>
      <c r="F137" s="97">
        <f>IFERROR(__xludf.DUMMYFUNCTION("""COMPUTED_VALUE"""),2.0)</f>
        <v>2</v>
      </c>
      <c r="G137" s="97">
        <f>IFERROR(__xludf.DUMMYFUNCTION("""COMPUTED_VALUE"""),0.0)</f>
        <v>0</v>
      </c>
      <c r="H137" s="97">
        <f>IFERROR(__xludf.DUMMYFUNCTION("""COMPUTED_VALUE"""),2.0)</f>
        <v>2</v>
      </c>
      <c r="I137" s="97">
        <f>IFERROR(__xludf.DUMMYFUNCTION("""COMPUTED_VALUE"""),6.0)</f>
        <v>6</v>
      </c>
      <c r="J137" s="97">
        <f>IFERROR(__xludf.DUMMYFUNCTION("""COMPUTED_VALUE"""),6.0)</f>
        <v>6</v>
      </c>
      <c r="K137" s="97">
        <f>IFERROR(__xludf.DUMMYFUNCTION("""COMPUTED_VALUE"""),14.0)</f>
        <v>14</v>
      </c>
      <c r="L137" s="97">
        <f>IFERROR(__xludf.DUMMYFUNCTION("""COMPUTED_VALUE"""),2.0)</f>
        <v>2</v>
      </c>
      <c r="M137" s="98">
        <f>IFERROR(__xludf.DUMMYFUNCTION("""COMPUTED_VALUE"""),198.0)</f>
        <v>198</v>
      </c>
      <c r="N137" s="98">
        <f>IFERROR(__xludf.DUMMYFUNCTION("""COMPUTED_VALUE"""),21.0)</f>
        <v>21</v>
      </c>
    </row>
    <row r="138">
      <c r="A138" s="11"/>
      <c r="B138" s="84" t="str">
        <f>IFERROR(__xludf.DUMMYFUNCTION("""COMPUTED_VALUE"""),"Jonathan Phan")</f>
        <v>Jonathan Phan</v>
      </c>
      <c r="C138" s="95">
        <f>IFERROR(__xludf.DUMMYFUNCTION("""COMPUTED_VALUE"""),184.0)</f>
        <v>184</v>
      </c>
      <c r="D138" s="95">
        <f>IFERROR(__xludf.DUMMYFUNCTION("""COMPUTED_VALUE"""),16.0)</f>
        <v>16</v>
      </c>
      <c r="E138" s="96">
        <f>IFERROR(__xludf.DUMMYFUNCTION("""COMPUTED_VALUE"""),1.0)</f>
        <v>1</v>
      </c>
      <c r="F138" s="97">
        <f>IFERROR(__xludf.DUMMYFUNCTION("""COMPUTED_VALUE"""),2.0)</f>
        <v>2</v>
      </c>
      <c r="G138" s="97">
        <f>IFERROR(__xludf.DUMMYFUNCTION("""COMPUTED_VALUE"""),0.0)</f>
        <v>0</v>
      </c>
      <c r="H138" s="97">
        <f>IFERROR(__xludf.DUMMYFUNCTION("""COMPUTED_VALUE"""),6.0)</f>
        <v>6</v>
      </c>
      <c r="I138" s="97">
        <f>IFERROR(__xludf.DUMMYFUNCTION("""COMPUTED_VALUE"""),3.0)</f>
        <v>3</v>
      </c>
      <c r="J138" s="97">
        <f>IFERROR(__xludf.DUMMYFUNCTION("""COMPUTED_VALUE"""),6.0)</f>
        <v>6</v>
      </c>
      <c r="K138" s="97">
        <f>IFERROR(__xludf.DUMMYFUNCTION("""COMPUTED_VALUE"""),15.0)</f>
        <v>15</v>
      </c>
      <c r="L138" s="97">
        <f>IFERROR(__xludf.DUMMYFUNCTION("""COMPUTED_VALUE"""),2.0)</f>
        <v>2</v>
      </c>
      <c r="M138" s="98">
        <f>IFERROR(__xludf.DUMMYFUNCTION("""COMPUTED_VALUE"""),199.0)</f>
        <v>199</v>
      </c>
      <c r="N138" s="98">
        <f>IFERROR(__xludf.DUMMYFUNCTION("""COMPUTED_VALUE"""),18.0)</f>
        <v>18</v>
      </c>
    </row>
    <row r="139">
      <c r="A139" s="11"/>
      <c r="B139" s="84" t="str">
        <f>IFERROR(__xludf.DUMMYFUNCTION("""COMPUTED_VALUE"""),"Arun Mallikarjuna")</f>
        <v>Arun Mallikarjuna</v>
      </c>
      <c r="C139" s="87">
        <f>IFERROR(__xludf.DUMMYFUNCTION("""COMPUTED_VALUE"""),177.0)</f>
        <v>177</v>
      </c>
      <c r="D139" s="87">
        <f>IFERROR(__xludf.DUMMYFUNCTION("""COMPUTED_VALUE"""),14.0)</f>
        <v>14</v>
      </c>
      <c r="E139" s="86">
        <f>IFERROR(__xludf.DUMMYFUNCTION("""COMPUTED_VALUE"""),1.0)</f>
        <v>1</v>
      </c>
      <c r="F139" s="88">
        <f>IFERROR(__xludf.DUMMYFUNCTION("""COMPUTED_VALUE"""),3.0)</f>
        <v>3</v>
      </c>
      <c r="G139" s="88">
        <f>IFERROR(__xludf.DUMMYFUNCTION("""COMPUTED_VALUE"""),0.0)</f>
        <v>0</v>
      </c>
      <c r="H139" s="88">
        <f>IFERROR(__xludf.DUMMYFUNCTION("""COMPUTED_VALUE"""),6.0)</f>
        <v>6</v>
      </c>
      <c r="I139" s="88">
        <f>IFERROR(__xludf.DUMMYFUNCTION("""COMPUTED_VALUE"""),6.0)</f>
        <v>6</v>
      </c>
      <c r="J139" s="88">
        <f>IFERROR(__xludf.DUMMYFUNCTION("""COMPUTED_VALUE"""),6.0)</f>
        <v>6</v>
      </c>
      <c r="K139" s="88">
        <f>IFERROR(__xludf.DUMMYFUNCTION("""COMPUTED_VALUE"""),18.0)</f>
        <v>18</v>
      </c>
      <c r="L139" s="88">
        <f>IFERROR(__xludf.DUMMYFUNCTION("""COMPUTED_VALUE"""),3.0)</f>
        <v>3</v>
      </c>
      <c r="M139" s="89">
        <f>IFERROR(__xludf.DUMMYFUNCTION("""COMPUTED_VALUE"""),195.0)</f>
        <v>195</v>
      </c>
      <c r="N139" s="89">
        <f>IFERROR(__xludf.DUMMYFUNCTION("""COMPUTED_VALUE"""),17.0)</f>
        <v>17</v>
      </c>
    </row>
    <row r="140">
      <c r="A140" s="11"/>
      <c r="B140" s="84" t="str">
        <f>IFERROR(__xludf.DUMMYFUNCTION("""COMPUTED_VALUE"""),"Joe Luzzi")</f>
        <v>Joe Luzzi</v>
      </c>
      <c r="C140" s="87">
        <f>IFERROR(__xludf.DUMMYFUNCTION("""COMPUTED_VALUE"""),177.0)</f>
        <v>177</v>
      </c>
      <c r="D140" s="87">
        <f>IFERROR(__xludf.DUMMYFUNCTION("""COMPUTED_VALUE"""),12.0)</f>
        <v>12</v>
      </c>
      <c r="E140" s="86">
        <f>IFERROR(__xludf.DUMMYFUNCTION("""COMPUTED_VALUE"""),2.0)</f>
        <v>2</v>
      </c>
      <c r="F140" s="88">
        <f>IFERROR(__xludf.DUMMYFUNCTION("""COMPUTED_VALUE"""),3.0)</f>
        <v>3</v>
      </c>
      <c r="G140" s="88">
        <f>IFERROR(__xludf.DUMMYFUNCTION("""COMPUTED_VALUE"""),0.0)</f>
        <v>0</v>
      </c>
      <c r="H140" s="88">
        <f>IFERROR(__xludf.DUMMYFUNCTION("""COMPUTED_VALUE"""),4.0)</f>
        <v>4</v>
      </c>
      <c r="I140" s="88">
        <f>IFERROR(__xludf.DUMMYFUNCTION("""COMPUTED_VALUE"""),4.0)</f>
        <v>4</v>
      </c>
      <c r="J140" s="88">
        <f>IFERROR(__xludf.DUMMYFUNCTION("""COMPUTED_VALUE"""),6.0)</f>
        <v>6</v>
      </c>
      <c r="K140" s="88">
        <f>IFERROR(__xludf.DUMMYFUNCTION("""COMPUTED_VALUE"""),14.0)</f>
        <v>14</v>
      </c>
      <c r="L140" s="88">
        <f>IFERROR(__xludf.DUMMYFUNCTION("""COMPUTED_VALUE"""),1.0)</f>
        <v>1</v>
      </c>
      <c r="M140" s="89">
        <f>IFERROR(__xludf.DUMMYFUNCTION("""COMPUTED_VALUE"""),191.0)</f>
        <v>191</v>
      </c>
      <c r="N140" s="89">
        <f>IFERROR(__xludf.DUMMYFUNCTION("""COMPUTED_VALUE"""),13.0)</f>
        <v>13</v>
      </c>
    </row>
    <row r="141">
      <c r="A141" s="11"/>
      <c r="B141" s="82" t="str">
        <f>IFERROR(__xludf.DUMMYFUNCTION("""COMPUTED_VALUE"""),"Sean Chang")</f>
        <v>Sean Chang</v>
      </c>
      <c r="C141" s="87">
        <f>IFERROR(__xludf.DUMMYFUNCTION("""COMPUTED_VALUE"""),176.0)</f>
        <v>176</v>
      </c>
      <c r="D141" s="87">
        <f>IFERROR(__xludf.DUMMYFUNCTION("""COMPUTED_VALUE"""),14.0)</f>
        <v>14</v>
      </c>
      <c r="E141" s="86">
        <f>IFERROR(__xludf.DUMMYFUNCTION("""COMPUTED_VALUE"""),2.0)</f>
        <v>2</v>
      </c>
      <c r="F141" s="88">
        <f>IFERROR(__xludf.DUMMYFUNCTION("""COMPUTED_VALUE"""),3.0)</f>
        <v>3</v>
      </c>
      <c r="G141" s="88">
        <f>IFERROR(__xludf.DUMMYFUNCTION("""COMPUTED_VALUE"""),0.0)</f>
        <v>0</v>
      </c>
      <c r="H141" s="88">
        <f>IFERROR(__xludf.DUMMYFUNCTION("""COMPUTED_VALUE"""),4.0)</f>
        <v>4</v>
      </c>
      <c r="I141" s="88">
        <f>IFERROR(__xludf.DUMMYFUNCTION("""COMPUTED_VALUE"""),6.0)</f>
        <v>6</v>
      </c>
      <c r="J141" s="88">
        <f>IFERROR(__xludf.DUMMYFUNCTION("""COMPUTED_VALUE"""),4.0)</f>
        <v>4</v>
      </c>
      <c r="K141" s="88">
        <f>IFERROR(__xludf.DUMMYFUNCTION("""COMPUTED_VALUE"""),14.0)</f>
        <v>14</v>
      </c>
      <c r="L141" s="88">
        <f>IFERROR(__xludf.DUMMYFUNCTION("""COMPUTED_VALUE"""),1.0)</f>
        <v>1</v>
      </c>
      <c r="M141" s="89">
        <f>IFERROR(__xludf.DUMMYFUNCTION("""COMPUTED_VALUE"""),190.0)</f>
        <v>190</v>
      </c>
      <c r="N141" s="89">
        <f>IFERROR(__xludf.DUMMYFUNCTION("""COMPUTED_VALUE"""),15.0)</f>
        <v>15</v>
      </c>
    </row>
    <row r="142">
      <c r="A142" s="11"/>
      <c r="B142" s="82" t="str">
        <f>IFERROR(__xludf.DUMMYFUNCTION("""COMPUTED_VALUE"""),"Herman Au")</f>
        <v>Herman Au</v>
      </c>
      <c r="C142" s="87">
        <f>IFERROR(__xludf.DUMMYFUNCTION("""COMPUTED_VALUE"""),176.0)</f>
        <v>176</v>
      </c>
      <c r="D142" s="87">
        <f>IFERROR(__xludf.DUMMYFUNCTION("""COMPUTED_VALUE"""),13.0)</f>
        <v>13</v>
      </c>
      <c r="E142" s="86">
        <f>IFERROR(__xludf.DUMMYFUNCTION("""COMPUTED_VALUE"""),1.0)</f>
        <v>1</v>
      </c>
      <c r="F142" s="88">
        <f>IFERROR(__xludf.DUMMYFUNCTION("""COMPUTED_VALUE"""),3.0)</f>
        <v>3</v>
      </c>
      <c r="G142" s="88">
        <f>IFERROR(__xludf.DUMMYFUNCTION("""COMPUTED_VALUE"""),0.0)</f>
        <v>0</v>
      </c>
      <c r="H142" s="88">
        <f>IFERROR(__xludf.DUMMYFUNCTION("""COMPUTED_VALUE"""),6.0)</f>
        <v>6</v>
      </c>
      <c r="I142" s="88">
        <f>IFERROR(__xludf.DUMMYFUNCTION("""COMPUTED_VALUE"""),4.0)</f>
        <v>4</v>
      </c>
      <c r="J142" s="88">
        <f>IFERROR(__xludf.DUMMYFUNCTION("""COMPUTED_VALUE"""),4.0)</f>
        <v>4</v>
      </c>
      <c r="K142" s="88">
        <f>IFERROR(__xludf.DUMMYFUNCTION("""COMPUTED_VALUE"""),14.0)</f>
        <v>14</v>
      </c>
      <c r="L142" s="88">
        <f>IFERROR(__xludf.DUMMYFUNCTION("""COMPUTED_VALUE"""),1.0)</f>
        <v>1</v>
      </c>
      <c r="M142" s="89">
        <f>IFERROR(__xludf.DUMMYFUNCTION("""COMPUTED_VALUE"""),190.0)</f>
        <v>190</v>
      </c>
      <c r="N142" s="89">
        <f>IFERROR(__xludf.DUMMYFUNCTION("""COMPUTED_VALUE"""),14.0)</f>
        <v>14</v>
      </c>
    </row>
    <row r="143">
      <c r="A143" s="11"/>
      <c r="B143" s="84" t="str">
        <f>IFERROR(__xludf.DUMMYFUNCTION("""COMPUTED_VALUE"""),"Alex Hou")</f>
        <v>Alex Hou</v>
      </c>
      <c r="C143" s="95">
        <f>IFERROR(__xludf.DUMMYFUNCTION("""COMPUTED_VALUE"""),175.0)</f>
        <v>175</v>
      </c>
      <c r="D143" s="95">
        <f>IFERROR(__xludf.DUMMYFUNCTION("""COMPUTED_VALUE"""),15.0)</f>
        <v>15</v>
      </c>
      <c r="E143" s="96">
        <f>IFERROR(__xludf.DUMMYFUNCTION("""COMPUTED_VALUE"""),1.0)</f>
        <v>1</v>
      </c>
      <c r="F143" s="97">
        <f>IFERROR(__xludf.DUMMYFUNCTION("""COMPUTED_VALUE"""),4.0)</f>
        <v>4</v>
      </c>
      <c r="G143" s="97">
        <f>IFERROR(__xludf.DUMMYFUNCTION("""COMPUTED_VALUE"""),0.0)</f>
        <v>0</v>
      </c>
      <c r="H143" s="97">
        <f>IFERROR(__xludf.DUMMYFUNCTION("""COMPUTED_VALUE"""),3.0)</f>
        <v>3</v>
      </c>
      <c r="I143" s="97">
        <f>IFERROR(__xludf.DUMMYFUNCTION("""COMPUTED_VALUE"""),3.0)</f>
        <v>3</v>
      </c>
      <c r="J143" s="97">
        <f>IFERROR(__xludf.DUMMYFUNCTION("""COMPUTED_VALUE"""),6.0)</f>
        <v>6</v>
      </c>
      <c r="K143" s="97">
        <f>IFERROR(__xludf.DUMMYFUNCTION("""COMPUTED_VALUE"""),12.0)</f>
        <v>12</v>
      </c>
      <c r="L143" s="97">
        <f>IFERROR(__xludf.DUMMYFUNCTION("""COMPUTED_VALUE"""),1.0)</f>
        <v>1</v>
      </c>
      <c r="M143" s="98">
        <f>IFERROR(__xludf.DUMMYFUNCTION("""COMPUTED_VALUE"""),187.0)</f>
        <v>187</v>
      </c>
      <c r="N143" s="98">
        <f>IFERROR(__xludf.DUMMYFUNCTION("""COMPUTED_VALUE"""),16.0)</f>
        <v>16</v>
      </c>
    </row>
    <row r="144">
      <c r="A144" s="11"/>
      <c r="B144" s="84" t="str">
        <f>IFERROR(__xludf.DUMMYFUNCTION("""COMPUTED_VALUE"""),"Scott Li")</f>
        <v>Scott Li</v>
      </c>
      <c r="C144" s="95">
        <f>IFERROR(__xludf.DUMMYFUNCTION("""COMPUTED_VALUE"""),175.0)</f>
        <v>175</v>
      </c>
      <c r="D144" s="95">
        <f>IFERROR(__xludf.DUMMYFUNCTION("""COMPUTED_VALUE"""),14.0)</f>
        <v>14</v>
      </c>
      <c r="E144" s="96">
        <f>IFERROR(__xludf.DUMMYFUNCTION("""COMPUTED_VALUE"""),1.0)</f>
        <v>1</v>
      </c>
      <c r="F144" s="97">
        <f>IFERROR(__xludf.DUMMYFUNCTION("""COMPUTED_VALUE"""),4.0)</f>
        <v>4</v>
      </c>
      <c r="G144" s="97">
        <f>IFERROR(__xludf.DUMMYFUNCTION("""COMPUTED_VALUE"""),0.0)</f>
        <v>0</v>
      </c>
      <c r="H144" s="97">
        <f>IFERROR(__xludf.DUMMYFUNCTION("""COMPUTED_VALUE"""),3.0)</f>
        <v>3</v>
      </c>
      <c r="I144" s="97">
        <f>IFERROR(__xludf.DUMMYFUNCTION("""COMPUTED_VALUE"""),6.0)</f>
        <v>6</v>
      </c>
      <c r="J144" s="97">
        <f>IFERROR(__xludf.DUMMYFUNCTION("""COMPUTED_VALUE"""),1.0)</f>
        <v>1</v>
      </c>
      <c r="K144" s="97">
        <f>IFERROR(__xludf.DUMMYFUNCTION("""COMPUTED_VALUE"""),10.0)</f>
        <v>10</v>
      </c>
      <c r="L144" s="97">
        <f>IFERROR(__xludf.DUMMYFUNCTION("""COMPUTED_VALUE"""),1.0)</f>
        <v>1</v>
      </c>
      <c r="M144" s="98">
        <f>IFERROR(__xludf.DUMMYFUNCTION("""COMPUTED_VALUE"""),185.0)</f>
        <v>185</v>
      </c>
      <c r="N144" s="98">
        <f>IFERROR(__xludf.DUMMYFUNCTION("""COMPUTED_VALUE"""),15.0)</f>
        <v>15</v>
      </c>
    </row>
    <row r="145">
      <c r="A145" s="11"/>
      <c r="B145" s="84" t="str">
        <f>IFERROR(__xludf.DUMMYFUNCTION("""COMPUTED_VALUE"""),"Lam Bui")</f>
        <v>Lam Bui</v>
      </c>
      <c r="C145" s="95">
        <f>IFERROR(__xludf.DUMMYFUNCTION("""COMPUTED_VALUE"""),175.0)</f>
        <v>175</v>
      </c>
      <c r="D145" s="95">
        <f>IFERROR(__xludf.DUMMYFUNCTION("""COMPUTED_VALUE"""),13.0)</f>
        <v>13</v>
      </c>
      <c r="E145" s="96">
        <f>IFERROR(__xludf.DUMMYFUNCTION("""COMPUTED_VALUE"""),2.0)</f>
        <v>2</v>
      </c>
      <c r="F145" s="97">
        <f>IFERROR(__xludf.DUMMYFUNCTION("""COMPUTED_VALUE"""),4.0)</f>
        <v>4</v>
      </c>
      <c r="G145" s="97">
        <f>IFERROR(__xludf.DUMMYFUNCTION("""COMPUTED_VALUE"""),0.0)</f>
        <v>0</v>
      </c>
      <c r="H145" s="97">
        <f>IFERROR(__xludf.DUMMYFUNCTION("""COMPUTED_VALUE"""),6.0)</f>
        <v>6</v>
      </c>
      <c r="I145" s="97">
        <f>IFERROR(__xludf.DUMMYFUNCTION("""COMPUTED_VALUE"""),6.0)</f>
        <v>6</v>
      </c>
      <c r="J145" s="97">
        <f>IFERROR(__xludf.DUMMYFUNCTION("""COMPUTED_VALUE"""),6.0)</f>
        <v>6</v>
      </c>
      <c r="K145" s="97">
        <f>IFERROR(__xludf.DUMMYFUNCTION("""COMPUTED_VALUE"""),18.0)</f>
        <v>18</v>
      </c>
      <c r="L145" s="97">
        <f>IFERROR(__xludf.DUMMYFUNCTION("""COMPUTED_VALUE"""),3.0)</f>
        <v>3</v>
      </c>
      <c r="M145" s="98">
        <f>IFERROR(__xludf.DUMMYFUNCTION("""COMPUTED_VALUE"""),193.0)</f>
        <v>193</v>
      </c>
      <c r="N145" s="98">
        <f>IFERROR(__xludf.DUMMYFUNCTION("""COMPUTED_VALUE"""),16.0)</f>
        <v>16</v>
      </c>
    </row>
    <row r="146">
      <c r="A146" s="11"/>
      <c r="B146" s="84" t="str">
        <f>IFERROR(__xludf.DUMMYFUNCTION("""COMPUTED_VALUE"""),"Wayne Liu")</f>
        <v>Wayne Liu</v>
      </c>
      <c r="C146" s="95">
        <f>IFERROR(__xludf.DUMMYFUNCTION("""COMPUTED_VALUE"""),167.0)</f>
        <v>167</v>
      </c>
      <c r="D146" s="95">
        <f>IFERROR(__xludf.DUMMYFUNCTION("""COMPUTED_VALUE"""),17.0)</f>
        <v>17</v>
      </c>
      <c r="E146" s="96">
        <f>IFERROR(__xludf.DUMMYFUNCTION("""COMPUTED_VALUE"""),1.0)</f>
        <v>1</v>
      </c>
      <c r="F146" s="97">
        <f>IFERROR(__xludf.DUMMYFUNCTION("""COMPUTED_VALUE"""),4.0)</f>
        <v>4</v>
      </c>
      <c r="G146" s="97">
        <f>IFERROR(__xludf.DUMMYFUNCTION("""COMPUTED_VALUE"""),0.0)</f>
        <v>0</v>
      </c>
      <c r="H146" s="97">
        <f>IFERROR(__xludf.DUMMYFUNCTION("""COMPUTED_VALUE"""),6.0)</f>
        <v>6</v>
      </c>
      <c r="I146" s="97">
        <f>IFERROR(__xludf.DUMMYFUNCTION("""COMPUTED_VALUE"""),3.0)</f>
        <v>3</v>
      </c>
      <c r="J146" s="97">
        <f>IFERROR(__xludf.DUMMYFUNCTION("""COMPUTED_VALUE"""),1.0)</f>
        <v>1</v>
      </c>
      <c r="K146" s="97">
        <f>IFERROR(__xludf.DUMMYFUNCTION("""COMPUTED_VALUE"""),10.0)</f>
        <v>10</v>
      </c>
      <c r="L146" s="97">
        <f>IFERROR(__xludf.DUMMYFUNCTION("""COMPUTED_VALUE"""),1.0)</f>
        <v>1</v>
      </c>
      <c r="M146" s="98">
        <f>IFERROR(__xludf.DUMMYFUNCTION("""COMPUTED_VALUE"""),177.0)</f>
        <v>177</v>
      </c>
      <c r="N146" s="98">
        <f>IFERROR(__xludf.DUMMYFUNCTION("""COMPUTED_VALUE"""),18.0)</f>
        <v>18</v>
      </c>
    </row>
    <row r="147">
      <c r="A147" s="11"/>
      <c r="B147" s="82" t="str">
        <f>IFERROR(__xludf.DUMMYFUNCTION("""COMPUTED_VALUE"""),"Jim Miao")</f>
        <v>Jim Miao</v>
      </c>
      <c r="C147" s="87">
        <f>IFERROR(__xludf.DUMMYFUNCTION("""COMPUTED_VALUE"""),163.0)</f>
        <v>163</v>
      </c>
      <c r="D147" s="87">
        <f>IFERROR(__xludf.DUMMYFUNCTION("""COMPUTED_VALUE"""),11.0)</f>
        <v>11</v>
      </c>
      <c r="E147" s="86">
        <f>IFERROR(__xludf.DUMMYFUNCTION("""COMPUTED_VALUE"""),1.0)</f>
        <v>1</v>
      </c>
      <c r="F147" s="88">
        <f>IFERROR(__xludf.DUMMYFUNCTION("""COMPUTED_VALUE"""),5.0)</f>
        <v>5</v>
      </c>
      <c r="G147" s="88">
        <f>IFERROR(__xludf.DUMMYFUNCTION("""COMPUTED_VALUE"""),0.0)</f>
        <v>0</v>
      </c>
      <c r="H147" s="88">
        <f>IFERROR(__xludf.DUMMYFUNCTION("""COMPUTED_VALUE"""),4.0)</f>
        <v>4</v>
      </c>
      <c r="I147" s="88">
        <f>IFERROR(__xludf.DUMMYFUNCTION("""COMPUTED_VALUE"""),0.0)</f>
        <v>0</v>
      </c>
      <c r="J147" s="88">
        <f>IFERROR(__xludf.DUMMYFUNCTION("""COMPUTED_VALUE"""),6.0)</f>
        <v>6</v>
      </c>
      <c r="K147" s="88">
        <f>IFERROR(__xludf.DUMMYFUNCTION("""COMPUTED_VALUE"""),10.0)</f>
        <v>10</v>
      </c>
      <c r="L147" s="88">
        <f>IFERROR(__xludf.DUMMYFUNCTION("""COMPUTED_VALUE"""),1.0)</f>
        <v>1</v>
      </c>
      <c r="M147" s="89">
        <f>IFERROR(__xludf.DUMMYFUNCTION("""COMPUTED_VALUE"""),173.0)</f>
        <v>173</v>
      </c>
      <c r="N147" s="89">
        <f>IFERROR(__xludf.DUMMYFUNCTION("""COMPUTED_VALUE"""),12.0)</f>
        <v>12</v>
      </c>
    </row>
    <row r="148">
      <c r="A148" s="11"/>
      <c r="B148" s="82" t="str">
        <f>IFERROR(__xludf.DUMMYFUNCTION("""COMPUTED_VALUE"""),"Erik Hoeckmann")</f>
        <v>Erik Hoeckmann</v>
      </c>
      <c r="C148" s="87">
        <f>IFERROR(__xludf.DUMMYFUNCTION("""COMPUTED_VALUE"""),161.0)</f>
        <v>161</v>
      </c>
      <c r="D148" s="87">
        <f>IFERROR(__xludf.DUMMYFUNCTION("""COMPUTED_VALUE"""),12.0)</f>
        <v>12</v>
      </c>
      <c r="E148" s="86">
        <f>IFERROR(__xludf.DUMMYFUNCTION("""COMPUTED_VALUE"""),2.0)</f>
        <v>2</v>
      </c>
      <c r="F148" s="88">
        <f>IFERROR(__xludf.DUMMYFUNCTION("""COMPUTED_VALUE"""),5.0)</f>
        <v>5</v>
      </c>
      <c r="G148" s="88">
        <f>IFERROR(__xludf.DUMMYFUNCTION("""COMPUTED_VALUE"""),0.0)</f>
        <v>0</v>
      </c>
      <c r="H148" s="88">
        <f>IFERROR(__xludf.DUMMYFUNCTION("""COMPUTED_VALUE"""),6.0)</f>
        <v>6</v>
      </c>
      <c r="I148" s="88">
        <f>IFERROR(__xludf.DUMMYFUNCTION("""COMPUTED_VALUE"""),6.0)</f>
        <v>6</v>
      </c>
      <c r="J148" s="88">
        <f>IFERROR(__xludf.DUMMYFUNCTION("""COMPUTED_VALUE"""),6.0)</f>
        <v>6</v>
      </c>
      <c r="K148" s="88">
        <f>IFERROR(__xludf.DUMMYFUNCTION("""COMPUTED_VALUE"""),18.0)</f>
        <v>18</v>
      </c>
      <c r="L148" s="88">
        <f>IFERROR(__xludf.DUMMYFUNCTION("""COMPUTED_VALUE"""),3.0)</f>
        <v>3</v>
      </c>
      <c r="M148" s="89">
        <f>IFERROR(__xludf.DUMMYFUNCTION("""COMPUTED_VALUE"""),179.0)</f>
        <v>179</v>
      </c>
      <c r="N148" s="89">
        <f>IFERROR(__xludf.DUMMYFUNCTION("""COMPUTED_VALUE"""),15.0)</f>
        <v>15</v>
      </c>
    </row>
    <row r="149">
      <c r="A149" s="11"/>
      <c r="B149" s="82" t="str">
        <f>IFERROR(__xludf.DUMMYFUNCTION("""COMPUTED_VALUE"""),"Trish Newlin")</f>
        <v>Trish Newlin</v>
      </c>
      <c r="C149" s="87">
        <f>IFERROR(__xludf.DUMMYFUNCTION("""COMPUTED_VALUE"""),159.0)</f>
        <v>159</v>
      </c>
      <c r="D149" s="87">
        <f>IFERROR(__xludf.DUMMYFUNCTION("""COMPUTED_VALUE"""),7.0)</f>
        <v>7</v>
      </c>
      <c r="E149" s="86">
        <f>IFERROR(__xludf.DUMMYFUNCTION("""COMPUTED_VALUE"""),1.0)</f>
        <v>1</v>
      </c>
      <c r="F149" s="88">
        <f>IFERROR(__xludf.DUMMYFUNCTION("""COMPUTED_VALUE"""),5.0)</f>
        <v>5</v>
      </c>
      <c r="G149" s="88">
        <f>IFERROR(__xludf.DUMMYFUNCTION("""COMPUTED_VALUE"""),0.0)</f>
        <v>0</v>
      </c>
      <c r="H149" s="88">
        <f>IFERROR(__xludf.DUMMYFUNCTION("""COMPUTED_VALUE"""),4.0)</f>
        <v>4</v>
      </c>
      <c r="I149" s="88">
        <f>IFERROR(__xludf.DUMMYFUNCTION("""COMPUTED_VALUE"""),6.0)</f>
        <v>6</v>
      </c>
      <c r="J149" s="88">
        <f>IFERROR(__xludf.DUMMYFUNCTION("""COMPUTED_VALUE"""),1.0)</f>
        <v>1</v>
      </c>
      <c r="K149" s="88">
        <f>IFERROR(__xludf.DUMMYFUNCTION("""COMPUTED_VALUE"""),11.0)</f>
        <v>11</v>
      </c>
      <c r="L149" s="88">
        <f>IFERROR(__xludf.DUMMYFUNCTION("""COMPUTED_VALUE"""),1.0)</f>
        <v>1</v>
      </c>
      <c r="M149" s="89">
        <f>IFERROR(__xludf.DUMMYFUNCTION("""COMPUTED_VALUE"""),170.0)</f>
        <v>170</v>
      </c>
      <c r="N149" s="89">
        <f>IFERROR(__xludf.DUMMYFUNCTION("""COMPUTED_VALUE"""),8.0)</f>
        <v>8</v>
      </c>
    </row>
    <row r="150">
      <c r="A150" s="11"/>
      <c r="B150" s="82" t="str">
        <f>IFERROR(__xludf.DUMMYFUNCTION("""COMPUTED_VALUE"""),"Jimmy Awolesi")</f>
        <v>Jimmy Awolesi</v>
      </c>
      <c r="C150" s="87">
        <f>IFERROR(__xludf.DUMMYFUNCTION("""COMPUTED_VALUE"""),158.0)</f>
        <v>158</v>
      </c>
      <c r="D150" s="87">
        <f>IFERROR(__xludf.DUMMYFUNCTION("""COMPUTED_VALUE"""),11.0)</f>
        <v>11</v>
      </c>
      <c r="E150" s="86">
        <f>IFERROR(__xludf.DUMMYFUNCTION("""COMPUTED_VALUE"""),1.0)</f>
        <v>1</v>
      </c>
      <c r="F150" s="88">
        <f>IFERROR(__xludf.DUMMYFUNCTION("""COMPUTED_VALUE"""),5.0)</f>
        <v>5</v>
      </c>
      <c r="G150" s="88">
        <f>IFERROR(__xludf.DUMMYFUNCTION("""COMPUTED_VALUE"""),0.0)</f>
        <v>0</v>
      </c>
      <c r="H150" s="88">
        <f>IFERROR(__xludf.DUMMYFUNCTION("""COMPUTED_VALUE"""),6.0)</f>
        <v>6</v>
      </c>
      <c r="I150" s="88">
        <f>IFERROR(__xludf.DUMMYFUNCTION("""COMPUTED_VALUE"""),0.0)</f>
        <v>0</v>
      </c>
      <c r="J150" s="88">
        <f>IFERROR(__xludf.DUMMYFUNCTION("""COMPUTED_VALUE"""),1.0)</f>
        <v>1</v>
      </c>
      <c r="K150" s="88">
        <f>IFERROR(__xludf.DUMMYFUNCTION("""COMPUTED_VALUE"""),7.0)</f>
        <v>7</v>
      </c>
      <c r="L150" s="88">
        <f>IFERROR(__xludf.DUMMYFUNCTION("""COMPUTED_VALUE"""),1.0)</f>
        <v>1</v>
      </c>
      <c r="M150" s="89">
        <f>IFERROR(__xludf.DUMMYFUNCTION("""COMPUTED_VALUE"""),165.0)</f>
        <v>165</v>
      </c>
      <c r="N150" s="89">
        <f>IFERROR(__xludf.DUMMYFUNCTION("""COMPUTED_VALUE"""),12.0)</f>
        <v>12</v>
      </c>
    </row>
    <row r="151">
      <c r="A151" s="11"/>
      <c r="B151" s="84" t="str">
        <f>IFERROR(__xludf.DUMMYFUNCTION("""COMPUTED_VALUE"""),"Pulkit Mathur")</f>
        <v>Pulkit Mathur</v>
      </c>
      <c r="C151" s="95">
        <f>IFERROR(__xludf.DUMMYFUNCTION("""COMPUTED_VALUE"""),158.0)</f>
        <v>158</v>
      </c>
      <c r="D151" s="95">
        <f>IFERROR(__xludf.DUMMYFUNCTION("""COMPUTED_VALUE"""),9.0)</f>
        <v>9</v>
      </c>
      <c r="E151" s="96">
        <f>IFERROR(__xludf.DUMMYFUNCTION("""COMPUTED_VALUE"""),2.0)</f>
        <v>2</v>
      </c>
      <c r="F151" s="97">
        <f>IFERROR(__xludf.DUMMYFUNCTION("""COMPUTED_VALUE"""),6.0)</f>
        <v>6</v>
      </c>
      <c r="G151" s="97">
        <f>IFERROR(__xludf.DUMMYFUNCTION("""COMPUTED_VALUE"""),0.0)</f>
        <v>0</v>
      </c>
      <c r="H151" s="97">
        <f>IFERROR(__xludf.DUMMYFUNCTION("""COMPUTED_VALUE"""),6.0)</f>
        <v>6</v>
      </c>
      <c r="I151" s="97">
        <f>IFERROR(__xludf.DUMMYFUNCTION("""COMPUTED_VALUE"""),6.0)</f>
        <v>6</v>
      </c>
      <c r="J151" s="97">
        <f>IFERROR(__xludf.DUMMYFUNCTION("""COMPUTED_VALUE"""),6.0)</f>
        <v>6</v>
      </c>
      <c r="K151" s="97">
        <f>IFERROR(__xludf.DUMMYFUNCTION("""COMPUTED_VALUE"""),18.0)</f>
        <v>18</v>
      </c>
      <c r="L151" s="97">
        <f>IFERROR(__xludf.DUMMYFUNCTION("""COMPUTED_VALUE"""),3.0)</f>
        <v>3</v>
      </c>
      <c r="M151" s="98">
        <f>IFERROR(__xludf.DUMMYFUNCTION("""COMPUTED_VALUE"""),176.0)</f>
        <v>176</v>
      </c>
      <c r="N151" s="98">
        <f>IFERROR(__xludf.DUMMYFUNCTION("""COMPUTED_VALUE"""),12.0)</f>
        <v>12</v>
      </c>
    </row>
    <row r="152">
      <c r="A152" s="11"/>
      <c r="B152" s="84" t="str">
        <f>IFERROR(__xludf.DUMMYFUNCTION("""COMPUTED_VALUE"""),"Andrew Wen")</f>
        <v>Andrew Wen</v>
      </c>
      <c r="C152" s="95">
        <f>IFERROR(__xludf.DUMMYFUNCTION("""COMPUTED_VALUE"""),156.0)</f>
        <v>156</v>
      </c>
      <c r="D152" s="95">
        <f>IFERROR(__xludf.DUMMYFUNCTION("""COMPUTED_VALUE"""),5.0)</f>
        <v>5</v>
      </c>
      <c r="E152" s="96">
        <f>IFERROR(__xludf.DUMMYFUNCTION("""COMPUTED_VALUE"""),2.0)</f>
        <v>2</v>
      </c>
      <c r="F152" s="97">
        <f>IFERROR(__xludf.DUMMYFUNCTION("""COMPUTED_VALUE"""),6.0)</f>
        <v>6</v>
      </c>
      <c r="G152" s="97">
        <f>IFERROR(__xludf.DUMMYFUNCTION("""COMPUTED_VALUE"""),0.0)</f>
        <v>0</v>
      </c>
      <c r="H152" s="97">
        <f>IFERROR(__xludf.DUMMYFUNCTION("""COMPUTED_VALUE"""),6.0)</f>
        <v>6</v>
      </c>
      <c r="I152" s="97">
        <f>IFERROR(__xludf.DUMMYFUNCTION("""COMPUTED_VALUE"""),0.0)</f>
        <v>0</v>
      </c>
      <c r="J152" s="97">
        <f>IFERROR(__xludf.DUMMYFUNCTION("""COMPUTED_VALUE"""),4.0)</f>
        <v>4</v>
      </c>
      <c r="K152" s="97">
        <f>IFERROR(__xludf.DUMMYFUNCTION("""COMPUTED_VALUE"""),10.0)</f>
        <v>10</v>
      </c>
      <c r="L152" s="97">
        <f>IFERROR(__xludf.DUMMYFUNCTION("""COMPUTED_VALUE"""),1.0)</f>
        <v>1</v>
      </c>
      <c r="M152" s="98">
        <f>IFERROR(__xludf.DUMMYFUNCTION("""COMPUTED_VALUE"""),166.0)</f>
        <v>166</v>
      </c>
      <c r="N152" s="98">
        <f>IFERROR(__xludf.DUMMYFUNCTION("""COMPUTED_VALUE"""),6.0)</f>
        <v>6</v>
      </c>
    </row>
    <row r="153">
      <c r="A153" s="11"/>
      <c r="B153" s="84" t="str">
        <f>IFERROR(__xludf.DUMMYFUNCTION("""COMPUTED_VALUE"""),"Kumar Palakeel")</f>
        <v>Kumar Palakeel</v>
      </c>
      <c r="C153" s="95">
        <f>IFERROR(__xludf.DUMMYFUNCTION("""COMPUTED_VALUE"""),155.0)</f>
        <v>155</v>
      </c>
      <c r="D153" s="95">
        <f>IFERROR(__xludf.DUMMYFUNCTION("""COMPUTED_VALUE"""),14.0)</f>
        <v>14</v>
      </c>
      <c r="E153" s="96">
        <f>IFERROR(__xludf.DUMMYFUNCTION("""COMPUTED_VALUE"""),1.0)</f>
        <v>1</v>
      </c>
      <c r="F153" s="97">
        <f>IFERROR(__xludf.DUMMYFUNCTION("""COMPUTED_VALUE"""),6.0)</f>
        <v>6</v>
      </c>
      <c r="G153" s="97">
        <f>IFERROR(__xludf.DUMMYFUNCTION("""COMPUTED_VALUE"""),0.0)</f>
        <v>0</v>
      </c>
      <c r="H153" s="97">
        <f>IFERROR(__xludf.DUMMYFUNCTION("""COMPUTED_VALUE"""),4.0)</f>
        <v>4</v>
      </c>
      <c r="I153" s="97">
        <f>IFERROR(__xludf.DUMMYFUNCTION("""COMPUTED_VALUE"""),0.0)</f>
        <v>0</v>
      </c>
      <c r="J153" s="97">
        <f>IFERROR(__xludf.DUMMYFUNCTION("""COMPUTED_VALUE"""),6.0)</f>
        <v>6</v>
      </c>
      <c r="K153" s="97">
        <f>IFERROR(__xludf.DUMMYFUNCTION("""COMPUTED_VALUE"""),10.0)</f>
        <v>10</v>
      </c>
      <c r="L153" s="97">
        <f>IFERROR(__xludf.DUMMYFUNCTION("""COMPUTED_VALUE"""),1.0)</f>
        <v>1</v>
      </c>
      <c r="M153" s="98">
        <f>IFERROR(__xludf.DUMMYFUNCTION("""COMPUTED_VALUE"""),165.0)</f>
        <v>165</v>
      </c>
      <c r="N153" s="98">
        <f>IFERROR(__xludf.DUMMYFUNCTION("""COMPUTED_VALUE"""),15.0)</f>
        <v>15</v>
      </c>
    </row>
    <row r="154">
      <c r="A154" s="11"/>
      <c r="B154" s="84" t="str">
        <f>IFERROR(__xludf.DUMMYFUNCTION("""COMPUTED_VALUE"""),"Sanjaye Elayattu")</f>
        <v>Sanjaye Elayattu</v>
      </c>
      <c r="C154" s="95">
        <f>IFERROR(__xludf.DUMMYFUNCTION("""COMPUTED_VALUE"""),155.0)</f>
        <v>155</v>
      </c>
      <c r="D154" s="95">
        <f>IFERROR(__xludf.DUMMYFUNCTION("""COMPUTED_VALUE"""),8.0)</f>
        <v>8</v>
      </c>
      <c r="E154" s="96">
        <f>IFERROR(__xludf.DUMMYFUNCTION("""COMPUTED_VALUE"""),1.0)</f>
        <v>1</v>
      </c>
      <c r="F154" s="97">
        <f>IFERROR(__xludf.DUMMYFUNCTION("""COMPUTED_VALUE"""),6.0)</f>
        <v>6</v>
      </c>
      <c r="G154" s="97">
        <f>IFERROR(__xludf.DUMMYFUNCTION("""COMPUTED_VALUE"""),0.0)</f>
        <v>0</v>
      </c>
      <c r="H154" s="97">
        <f>IFERROR(__xludf.DUMMYFUNCTION("""COMPUTED_VALUE"""),4.0)</f>
        <v>4</v>
      </c>
      <c r="I154" s="97">
        <f>IFERROR(__xludf.DUMMYFUNCTION("""COMPUTED_VALUE"""),6.0)</f>
        <v>6</v>
      </c>
      <c r="J154" s="97">
        <f>IFERROR(__xludf.DUMMYFUNCTION("""COMPUTED_VALUE"""),4.0)</f>
        <v>4</v>
      </c>
      <c r="K154" s="97">
        <f>IFERROR(__xludf.DUMMYFUNCTION("""COMPUTED_VALUE"""),14.0)</f>
        <v>14</v>
      </c>
      <c r="L154" s="97">
        <f>IFERROR(__xludf.DUMMYFUNCTION("""COMPUTED_VALUE"""),1.0)</f>
        <v>1</v>
      </c>
      <c r="M154" s="98">
        <f>IFERROR(__xludf.DUMMYFUNCTION("""COMPUTED_VALUE"""),169.0)</f>
        <v>169</v>
      </c>
      <c r="N154" s="98">
        <f>IFERROR(__xludf.DUMMYFUNCTION("""COMPUTED_VALUE"""),9.0)</f>
        <v>9</v>
      </c>
    </row>
    <row r="155">
      <c r="A155" s="11"/>
      <c r="B155" s="82" t="str">
        <f>IFERROR(__xludf.DUMMYFUNCTION("""COMPUTED_VALUE"""),"Manuel Rivera")</f>
        <v>Manuel Rivera</v>
      </c>
      <c r="C155" s="87">
        <f>IFERROR(__xludf.DUMMYFUNCTION("""COMPUTED_VALUE"""),153.0)</f>
        <v>153</v>
      </c>
      <c r="D155" s="87">
        <f>IFERROR(__xludf.DUMMYFUNCTION("""COMPUTED_VALUE"""),6.0)</f>
        <v>6</v>
      </c>
      <c r="E155" s="86">
        <f>IFERROR(__xludf.DUMMYFUNCTION("""COMPUTED_VALUE"""),2.0)</f>
        <v>2</v>
      </c>
      <c r="F155" s="88">
        <f>IFERROR(__xludf.DUMMYFUNCTION("""COMPUTED_VALUE"""),7.0)</f>
        <v>7</v>
      </c>
      <c r="G155" s="88">
        <f>IFERROR(__xludf.DUMMYFUNCTION("""COMPUTED_VALUE"""),0.0)</f>
        <v>0</v>
      </c>
      <c r="H155" s="88">
        <f>IFERROR(__xludf.DUMMYFUNCTION("""COMPUTED_VALUE"""),6.0)</f>
        <v>6</v>
      </c>
      <c r="I155" s="88">
        <f>IFERROR(__xludf.DUMMYFUNCTION("""COMPUTED_VALUE"""),3.0)</f>
        <v>3</v>
      </c>
      <c r="J155" s="88">
        <f>IFERROR(__xludf.DUMMYFUNCTION("""COMPUTED_VALUE"""),3.0)</f>
        <v>3</v>
      </c>
      <c r="K155" s="88">
        <f>IFERROR(__xludf.DUMMYFUNCTION("""COMPUTED_VALUE"""),12.0)</f>
        <v>12</v>
      </c>
      <c r="L155" s="88">
        <f>IFERROR(__xludf.DUMMYFUNCTION("""COMPUTED_VALUE"""),1.0)</f>
        <v>1</v>
      </c>
      <c r="M155" s="89">
        <f>IFERROR(__xludf.DUMMYFUNCTION("""COMPUTED_VALUE"""),165.0)</f>
        <v>165</v>
      </c>
      <c r="N155" s="89">
        <f>IFERROR(__xludf.DUMMYFUNCTION("""COMPUTED_VALUE"""),7.0)</f>
        <v>7</v>
      </c>
    </row>
    <row r="156">
      <c r="A156" s="11"/>
      <c r="B156" s="82" t="str">
        <f>IFERROR(__xludf.DUMMYFUNCTION("""COMPUTED_VALUE"""),"Peter Cheng")</f>
        <v>Peter Cheng</v>
      </c>
      <c r="C156" s="87">
        <f>IFERROR(__xludf.DUMMYFUNCTION("""COMPUTED_VALUE"""),151.0)</f>
        <v>151</v>
      </c>
      <c r="D156" s="87">
        <f>IFERROR(__xludf.DUMMYFUNCTION("""COMPUTED_VALUE"""),2.0)</f>
        <v>2</v>
      </c>
      <c r="E156" s="86">
        <f>IFERROR(__xludf.DUMMYFUNCTION("""COMPUTED_VALUE"""),1.0)</f>
        <v>1</v>
      </c>
      <c r="F156" s="88">
        <f>IFERROR(__xludf.DUMMYFUNCTION("""COMPUTED_VALUE"""),7.0)</f>
        <v>7</v>
      </c>
      <c r="G156" s="88">
        <f>IFERROR(__xludf.DUMMYFUNCTION("""COMPUTED_VALUE"""),0.0)</f>
        <v>0</v>
      </c>
      <c r="H156" s="88">
        <f>IFERROR(__xludf.DUMMYFUNCTION("""COMPUTED_VALUE"""),6.0)</f>
        <v>6</v>
      </c>
      <c r="I156" s="88">
        <f>IFERROR(__xludf.DUMMYFUNCTION("""COMPUTED_VALUE"""),6.0)</f>
        <v>6</v>
      </c>
      <c r="J156" s="88">
        <f>IFERROR(__xludf.DUMMYFUNCTION("""COMPUTED_VALUE"""),6.0)</f>
        <v>6</v>
      </c>
      <c r="K156" s="88">
        <f>IFERROR(__xludf.DUMMYFUNCTION("""COMPUTED_VALUE"""),18.0)</f>
        <v>18</v>
      </c>
      <c r="L156" s="88">
        <f>IFERROR(__xludf.DUMMYFUNCTION("""COMPUTED_VALUE"""),3.0)</f>
        <v>3</v>
      </c>
      <c r="M156" s="89">
        <f>IFERROR(__xludf.DUMMYFUNCTION("""COMPUTED_VALUE"""),169.0)</f>
        <v>169</v>
      </c>
      <c r="N156" s="89">
        <f>IFERROR(__xludf.DUMMYFUNCTION("""COMPUTED_VALUE"""),5.0)</f>
        <v>5</v>
      </c>
    </row>
    <row r="157">
      <c r="A157" s="11"/>
      <c r="B157" s="82" t="str">
        <f>IFERROR(__xludf.DUMMYFUNCTION("""COMPUTED_VALUE"""),"Coco Yan")</f>
        <v>Coco Yan</v>
      </c>
      <c r="C157" s="87">
        <f>IFERROR(__xludf.DUMMYFUNCTION("""COMPUTED_VALUE"""),150.0)</f>
        <v>150</v>
      </c>
      <c r="D157" s="87">
        <f>IFERROR(__xludf.DUMMYFUNCTION("""COMPUTED_VALUE"""),8.0)</f>
        <v>8</v>
      </c>
      <c r="E157" s="86">
        <f>IFERROR(__xludf.DUMMYFUNCTION("""COMPUTED_VALUE"""),2.0)</f>
        <v>2</v>
      </c>
      <c r="F157" s="88">
        <f>IFERROR(__xludf.DUMMYFUNCTION("""COMPUTED_VALUE"""),7.0)</f>
        <v>7</v>
      </c>
      <c r="G157" s="88">
        <f>IFERROR(__xludf.DUMMYFUNCTION("""COMPUTED_VALUE"""),0.0)</f>
        <v>0</v>
      </c>
      <c r="H157" s="88">
        <f>IFERROR(__xludf.DUMMYFUNCTION("""COMPUTED_VALUE"""),4.0)</f>
        <v>4</v>
      </c>
      <c r="I157" s="88">
        <f>IFERROR(__xludf.DUMMYFUNCTION("""COMPUTED_VALUE"""),3.0)</f>
        <v>3</v>
      </c>
      <c r="J157" s="88">
        <f>IFERROR(__xludf.DUMMYFUNCTION("""COMPUTED_VALUE"""),6.0)</f>
        <v>6</v>
      </c>
      <c r="K157" s="88">
        <f>IFERROR(__xludf.DUMMYFUNCTION("""COMPUTED_VALUE"""),13.0)</f>
        <v>13</v>
      </c>
      <c r="L157" s="88">
        <f>IFERROR(__xludf.DUMMYFUNCTION("""COMPUTED_VALUE"""),1.0)</f>
        <v>1</v>
      </c>
      <c r="M157" s="89">
        <f>IFERROR(__xludf.DUMMYFUNCTION("""COMPUTED_VALUE"""),163.0)</f>
        <v>163</v>
      </c>
      <c r="N157" s="89">
        <f>IFERROR(__xludf.DUMMYFUNCTION("""COMPUTED_VALUE"""),9.0)</f>
        <v>9</v>
      </c>
    </row>
    <row r="158">
      <c r="A158" s="11"/>
      <c r="B158" s="82" t="str">
        <f>IFERROR(__xludf.DUMMYFUNCTION("""COMPUTED_VALUE"""),"Balaji Alahari")</f>
        <v>Balaji Alahari</v>
      </c>
      <c r="C158" s="87">
        <f>IFERROR(__xludf.DUMMYFUNCTION("""COMPUTED_VALUE"""),146.0)</f>
        <v>146</v>
      </c>
      <c r="D158" s="87">
        <f>IFERROR(__xludf.DUMMYFUNCTION("""COMPUTED_VALUE"""),6.0)</f>
        <v>6</v>
      </c>
      <c r="E158" s="86">
        <f>IFERROR(__xludf.DUMMYFUNCTION("""COMPUTED_VALUE"""),1.0)</f>
        <v>1</v>
      </c>
      <c r="F158" s="88">
        <f>IFERROR(__xludf.DUMMYFUNCTION("""COMPUTED_VALUE"""),7.0)</f>
        <v>7</v>
      </c>
      <c r="G158" s="88">
        <f>IFERROR(__xludf.DUMMYFUNCTION("""COMPUTED_VALUE"""),0.0)</f>
        <v>0</v>
      </c>
      <c r="H158" s="88">
        <f>IFERROR(__xludf.DUMMYFUNCTION("""COMPUTED_VALUE"""),4.0)</f>
        <v>4</v>
      </c>
      <c r="I158" s="88">
        <f>IFERROR(__xludf.DUMMYFUNCTION("""COMPUTED_VALUE"""),6.0)</f>
        <v>6</v>
      </c>
      <c r="J158" s="88">
        <f>IFERROR(__xludf.DUMMYFUNCTION("""COMPUTED_VALUE"""),3.0)</f>
        <v>3</v>
      </c>
      <c r="K158" s="88">
        <f>IFERROR(__xludf.DUMMYFUNCTION("""COMPUTED_VALUE"""),13.0)</f>
        <v>13</v>
      </c>
      <c r="L158" s="88">
        <f>IFERROR(__xludf.DUMMYFUNCTION("""COMPUTED_VALUE"""),1.0)</f>
        <v>1</v>
      </c>
      <c r="M158" s="89">
        <f>IFERROR(__xludf.DUMMYFUNCTION("""COMPUTED_VALUE"""),159.0)</f>
        <v>159</v>
      </c>
      <c r="N158" s="89">
        <f>IFERROR(__xludf.DUMMYFUNCTION("""COMPUTED_VALUE"""),7.0)</f>
        <v>7</v>
      </c>
    </row>
    <row r="159">
      <c r="A159" s="11"/>
      <c r="B159" s="84" t="str">
        <f>IFERROR(__xludf.DUMMYFUNCTION("""COMPUTED_VALUE"""),"Eric Tan")</f>
        <v>Eric Tan</v>
      </c>
      <c r="C159" s="95">
        <f>IFERROR(__xludf.DUMMYFUNCTION("""COMPUTED_VALUE"""),144.0)</f>
        <v>144</v>
      </c>
      <c r="D159" s="95">
        <f>IFERROR(__xludf.DUMMYFUNCTION("""COMPUTED_VALUE"""),10.0)</f>
        <v>10</v>
      </c>
      <c r="E159" s="96">
        <f>IFERROR(__xludf.DUMMYFUNCTION("""COMPUTED_VALUE"""),1.0)</f>
        <v>1</v>
      </c>
      <c r="F159" s="97">
        <f>IFERROR(__xludf.DUMMYFUNCTION("""COMPUTED_VALUE"""),8.0)</f>
        <v>8</v>
      </c>
      <c r="G159" s="97">
        <f>IFERROR(__xludf.DUMMYFUNCTION("""COMPUTED_VALUE"""),0.0)</f>
        <v>0</v>
      </c>
      <c r="H159" s="97">
        <f>IFERROR(__xludf.DUMMYFUNCTION("""COMPUTED_VALUE"""),6.0)</f>
        <v>6</v>
      </c>
      <c r="I159" s="97">
        <f>IFERROR(__xludf.DUMMYFUNCTION("""COMPUTED_VALUE"""),0.0)</f>
        <v>0</v>
      </c>
      <c r="J159" s="97">
        <f>IFERROR(__xludf.DUMMYFUNCTION("""COMPUTED_VALUE"""),1.0)</f>
        <v>1</v>
      </c>
      <c r="K159" s="97">
        <f>IFERROR(__xludf.DUMMYFUNCTION("""COMPUTED_VALUE"""),7.0)</f>
        <v>7</v>
      </c>
      <c r="L159" s="97">
        <f>IFERROR(__xludf.DUMMYFUNCTION("""COMPUTED_VALUE"""),1.0)</f>
        <v>1</v>
      </c>
      <c r="M159" s="98">
        <f>IFERROR(__xludf.DUMMYFUNCTION("""COMPUTED_VALUE"""),151.0)</f>
        <v>151</v>
      </c>
      <c r="N159" s="98">
        <f>IFERROR(__xludf.DUMMYFUNCTION("""COMPUTED_VALUE"""),11.0)</f>
        <v>11</v>
      </c>
    </row>
    <row r="160">
      <c r="A160" s="11"/>
      <c r="B160" s="84" t="str">
        <f>IFERROR(__xludf.DUMMYFUNCTION("""COMPUTED_VALUE"""),"Mauricio Palacios")</f>
        <v>Mauricio Palacios</v>
      </c>
      <c r="C160" s="95">
        <f>IFERROR(__xludf.DUMMYFUNCTION("""COMPUTED_VALUE"""),143.0)</f>
        <v>143</v>
      </c>
      <c r="D160" s="95">
        <f>IFERROR(__xludf.DUMMYFUNCTION("""COMPUTED_VALUE"""),4.0)</f>
        <v>4</v>
      </c>
      <c r="E160" s="96">
        <f>IFERROR(__xludf.DUMMYFUNCTION("""COMPUTED_VALUE"""),2.0)</f>
        <v>2</v>
      </c>
      <c r="F160" s="97">
        <f>IFERROR(__xludf.DUMMYFUNCTION("""COMPUTED_VALUE"""),8.0)</f>
        <v>8</v>
      </c>
      <c r="G160" s="97">
        <f>IFERROR(__xludf.DUMMYFUNCTION("""COMPUTED_VALUE"""),0.0)</f>
        <v>0</v>
      </c>
      <c r="H160" s="97">
        <f>IFERROR(__xludf.DUMMYFUNCTION("""COMPUTED_VALUE"""),4.0)</f>
        <v>4</v>
      </c>
      <c r="I160" s="97">
        <f>IFERROR(__xludf.DUMMYFUNCTION("""COMPUTED_VALUE"""),6.0)</f>
        <v>6</v>
      </c>
      <c r="J160" s="97">
        <f>IFERROR(__xludf.DUMMYFUNCTION("""COMPUTED_VALUE"""),1.0)</f>
        <v>1</v>
      </c>
      <c r="K160" s="97">
        <f>IFERROR(__xludf.DUMMYFUNCTION("""COMPUTED_VALUE"""),11.0)</f>
        <v>11</v>
      </c>
      <c r="L160" s="97">
        <f>IFERROR(__xludf.DUMMYFUNCTION("""COMPUTED_VALUE"""),1.0)</f>
        <v>1</v>
      </c>
      <c r="M160" s="98">
        <f>IFERROR(__xludf.DUMMYFUNCTION("""COMPUTED_VALUE"""),154.0)</f>
        <v>154</v>
      </c>
      <c r="N160" s="98">
        <f>IFERROR(__xludf.DUMMYFUNCTION("""COMPUTED_VALUE"""),5.0)</f>
        <v>5</v>
      </c>
    </row>
    <row r="161">
      <c r="A161" s="11"/>
      <c r="B161" s="84" t="str">
        <f>IFERROR(__xludf.DUMMYFUNCTION("""COMPUTED_VALUE"""),"Vinz Solano")</f>
        <v>Vinz Solano</v>
      </c>
      <c r="C161" s="95">
        <f>IFERROR(__xludf.DUMMYFUNCTION("""COMPUTED_VALUE"""),140.0)</f>
        <v>140</v>
      </c>
      <c r="D161" s="95">
        <f>IFERROR(__xludf.DUMMYFUNCTION("""COMPUTED_VALUE"""),5.0)</f>
        <v>5</v>
      </c>
      <c r="E161" s="96">
        <f>IFERROR(__xludf.DUMMYFUNCTION("""COMPUTED_VALUE"""),1.0)</f>
        <v>1</v>
      </c>
      <c r="F161" s="97">
        <f>IFERROR(__xludf.DUMMYFUNCTION("""COMPUTED_VALUE"""),8.0)</f>
        <v>8</v>
      </c>
      <c r="G161" s="97">
        <f>IFERROR(__xludf.DUMMYFUNCTION("""COMPUTED_VALUE"""),0.0)</f>
        <v>0</v>
      </c>
      <c r="H161" s="97">
        <f>IFERROR(__xludf.DUMMYFUNCTION("""COMPUTED_VALUE"""),6.0)</f>
        <v>6</v>
      </c>
      <c r="I161" s="97">
        <f>IFERROR(__xludf.DUMMYFUNCTION("""COMPUTED_VALUE"""),6.0)</f>
        <v>6</v>
      </c>
      <c r="J161" s="97">
        <f>IFERROR(__xludf.DUMMYFUNCTION("""COMPUTED_VALUE"""),6.0)</f>
        <v>6</v>
      </c>
      <c r="K161" s="97">
        <f>IFERROR(__xludf.DUMMYFUNCTION("""COMPUTED_VALUE"""),18.0)</f>
        <v>18</v>
      </c>
      <c r="L161" s="97">
        <f>IFERROR(__xludf.DUMMYFUNCTION("""COMPUTED_VALUE"""),3.0)</f>
        <v>3</v>
      </c>
      <c r="M161" s="98">
        <f>IFERROR(__xludf.DUMMYFUNCTION("""COMPUTED_VALUE"""),158.0)</f>
        <v>158</v>
      </c>
      <c r="N161" s="98">
        <f>IFERROR(__xludf.DUMMYFUNCTION("""COMPUTED_VALUE"""),8.0)</f>
        <v>8</v>
      </c>
    </row>
    <row r="162">
      <c r="A162" s="11"/>
      <c r="B162" s="84" t="str">
        <f>IFERROR(__xludf.DUMMYFUNCTION("""COMPUTED_VALUE"""),"Nicole Ni")</f>
        <v>Nicole Ni</v>
      </c>
      <c r="C162" s="95">
        <f>IFERROR(__xludf.DUMMYFUNCTION("""COMPUTED_VALUE"""),129.0)</f>
        <v>129</v>
      </c>
      <c r="D162" s="95">
        <f>IFERROR(__xludf.DUMMYFUNCTION("""COMPUTED_VALUE"""),7.0)</f>
        <v>7</v>
      </c>
      <c r="E162" s="96">
        <f>IFERROR(__xludf.DUMMYFUNCTION("""COMPUTED_VALUE"""),1.0)</f>
        <v>1</v>
      </c>
      <c r="F162" s="97">
        <f>IFERROR(__xludf.DUMMYFUNCTION("""COMPUTED_VALUE"""),8.0)</f>
        <v>8</v>
      </c>
      <c r="G162" s="97">
        <f>IFERROR(__xludf.DUMMYFUNCTION("""COMPUTED_VALUE"""),0.0)</f>
        <v>0</v>
      </c>
      <c r="H162" s="97">
        <f>IFERROR(__xludf.DUMMYFUNCTION("""COMPUTED_VALUE"""),4.0)</f>
        <v>4</v>
      </c>
      <c r="I162" s="97">
        <f>IFERROR(__xludf.DUMMYFUNCTION("""COMPUTED_VALUE"""),0.0)</f>
        <v>0</v>
      </c>
      <c r="J162" s="97">
        <f>IFERROR(__xludf.DUMMYFUNCTION("""COMPUTED_VALUE"""),6.0)</f>
        <v>6</v>
      </c>
      <c r="K162" s="97">
        <f>IFERROR(__xludf.DUMMYFUNCTION("""COMPUTED_VALUE"""),10.0)</f>
        <v>10</v>
      </c>
      <c r="L162" s="97">
        <f>IFERROR(__xludf.DUMMYFUNCTION("""COMPUTED_VALUE"""),1.0)</f>
        <v>1</v>
      </c>
      <c r="M162" s="98">
        <f>IFERROR(__xludf.DUMMYFUNCTION("""COMPUTED_VALUE"""),139.0)</f>
        <v>139</v>
      </c>
      <c r="N162" s="98">
        <f>IFERROR(__xludf.DUMMYFUNCTION("""COMPUTED_VALUE"""),8.0)</f>
        <v>8</v>
      </c>
    </row>
    <row r="163">
      <c r="A163" s="11"/>
      <c r="C163" s="11"/>
      <c r="D163" s="11"/>
      <c r="E163" s="11"/>
    </row>
    <row r="164">
      <c r="A164" s="11"/>
      <c r="C164" s="11"/>
      <c r="D164" s="11"/>
      <c r="E164" s="11"/>
    </row>
    <row r="165">
      <c r="A165" s="11"/>
      <c r="C165" s="11"/>
      <c r="D165" s="11"/>
      <c r="E165" s="11"/>
    </row>
    <row r="166">
      <c r="A166" s="11"/>
      <c r="C166" s="11"/>
      <c r="D166" s="11"/>
      <c r="E166" s="11"/>
    </row>
    <row r="167">
      <c r="A167" s="11"/>
      <c r="C167" s="11"/>
      <c r="D167" s="11"/>
      <c r="E167" s="11"/>
    </row>
    <row r="168">
      <c r="A168" s="11"/>
      <c r="C168" s="11"/>
      <c r="D168" s="11"/>
      <c r="E168" s="11"/>
    </row>
    <row r="169">
      <c r="A169" s="11"/>
      <c r="C169" s="11"/>
      <c r="D169" s="11"/>
      <c r="E169" s="11"/>
    </row>
    <row r="170">
      <c r="A170" s="11"/>
      <c r="C170" s="11"/>
      <c r="D170" s="11"/>
      <c r="E170" s="11"/>
    </row>
    <row r="171">
      <c r="A171" s="11"/>
      <c r="C171" s="11"/>
      <c r="D171" s="11"/>
      <c r="E171" s="11"/>
    </row>
    <row r="172">
      <c r="A172" s="11"/>
      <c r="C172" s="11"/>
      <c r="D172" s="11"/>
      <c r="E172" s="11"/>
    </row>
    <row r="173">
      <c r="A173" s="11"/>
      <c r="B173" s="10" t="s">
        <v>166</v>
      </c>
      <c r="C173" s="11"/>
      <c r="D173" s="11"/>
      <c r="E173" s="11"/>
    </row>
    <row r="174">
      <c r="A174" s="11"/>
      <c r="B174" s="27" t="s">
        <v>31</v>
      </c>
      <c r="C174" s="29" t="s">
        <v>2</v>
      </c>
      <c r="D174" s="29" t="s">
        <v>4</v>
      </c>
      <c r="E174" s="29" t="s">
        <v>33</v>
      </c>
      <c r="F174" s="29" t="s">
        <v>35</v>
      </c>
      <c r="G174" s="29" t="s">
        <v>36</v>
      </c>
      <c r="H174" s="29" t="s">
        <v>6</v>
      </c>
      <c r="I174" s="29" t="s">
        <v>7</v>
      </c>
      <c r="J174" s="29" t="s">
        <v>8</v>
      </c>
      <c r="K174" s="29" t="s">
        <v>2</v>
      </c>
      <c r="L174" s="29" t="s">
        <v>4</v>
      </c>
      <c r="M174" s="28" t="s">
        <v>2</v>
      </c>
      <c r="N174" s="28" t="s">
        <v>4</v>
      </c>
    </row>
    <row r="175">
      <c r="A175" s="11"/>
      <c r="B175" s="82" t="str">
        <f>IFERROR(__xludf.DUMMYFUNCTION("QUERY(B5:N70, ""Select B, C, D, E, F, G, H, I, J, K, L, M, N   where F = 0"")"),"Alejandro Mejia")</f>
        <v>Alejandro Mejia</v>
      </c>
      <c r="C175" s="87">
        <f>IFERROR(__xludf.DUMMYFUNCTION("""COMPUTED_VALUE"""),187.0)</f>
        <v>187</v>
      </c>
      <c r="D175" s="87">
        <f>IFERROR(__xludf.DUMMYFUNCTION("""COMPUTED_VALUE"""),22.0)</f>
        <v>22</v>
      </c>
      <c r="E175" s="86">
        <f>IFERROR(__xludf.DUMMYFUNCTION("""COMPUTED_VALUE"""),3.0)</f>
        <v>3</v>
      </c>
      <c r="F175" s="88">
        <f>IFERROR(__xludf.DUMMYFUNCTION("""COMPUTED_VALUE"""),0.0)</f>
        <v>0</v>
      </c>
      <c r="G175" s="88">
        <f>IFERROR(__xludf.DUMMYFUNCTION("""COMPUTED_VALUE"""),9.0)</f>
        <v>9</v>
      </c>
      <c r="H175" s="88">
        <f>IFERROR(__xludf.DUMMYFUNCTION("""COMPUTED_VALUE"""),0.0)</f>
        <v>0</v>
      </c>
      <c r="I175" s="88">
        <f>IFERROR(__xludf.DUMMYFUNCTION("""COMPUTED_VALUE"""),0.0)</f>
        <v>0</v>
      </c>
      <c r="J175" s="88">
        <f>IFERROR(__xludf.DUMMYFUNCTION("""COMPUTED_VALUE"""),0.0)</f>
        <v>0</v>
      </c>
      <c r="K175" s="88">
        <f>IFERROR(__xludf.DUMMYFUNCTION("""COMPUTED_VALUE"""),9.0)</f>
        <v>9</v>
      </c>
      <c r="L175" s="88">
        <f>IFERROR(__xludf.DUMMYFUNCTION("""COMPUTED_VALUE"""),0.0)</f>
        <v>0</v>
      </c>
      <c r="M175" s="89">
        <f>IFERROR(__xludf.DUMMYFUNCTION("""COMPUTED_VALUE"""),196.0)</f>
        <v>196</v>
      </c>
      <c r="N175" s="89">
        <f>IFERROR(__xludf.DUMMYFUNCTION("""COMPUTED_VALUE"""),22.0)</f>
        <v>22</v>
      </c>
    </row>
    <row r="176">
      <c r="A176" s="11"/>
      <c r="B176" s="82" t="str">
        <f>IFERROR(__xludf.DUMMYFUNCTION("""COMPUTED_VALUE"""),"Rajasekar Ramasamy")</f>
        <v>Rajasekar Ramasamy</v>
      </c>
      <c r="C176" s="87">
        <f>IFERROR(__xludf.DUMMYFUNCTION("""COMPUTED_VALUE"""),184.0)</f>
        <v>184</v>
      </c>
      <c r="D176" s="87">
        <f>IFERROR(__xludf.DUMMYFUNCTION("""COMPUTED_VALUE"""),17.0)</f>
        <v>17</v>
      </c>
      <c r="E176" s="86">
        <f>IFERROR(__xludf.DUMMYFUNCTION("""COMPUTED_VALUE"""),5.0)</f>
        <v>5</v>
      </c>
      <c r="F176" s="88">
        <f>IFERROR(__xludf.DUMMYFUNCTION("""COMPUTED_VALUE"""),0.0)</f>
        <v>0</v>
      </c>
      <c r="G176" s="88">
        <f>IFERROR(__xludf.DUMMYFUNCTION("""COMPUTED_VALUE"""),13.0)</f>
        <v>13</v>
      </c>
      <c r="H176" s="88">
        <f>IFERROR(__xludf.DUMMYFUNCTION("""COMPUTED_VALUE"""),0.0)</f>
        <v>0</v>
      </c>
      <c r="I176" s="88">
        <f>IFERROR(__xludf.DUMMYFUNCTION("""COMPUTED_VALUE"""),0.0)</f>
        <v>0</v>
      </c>
      <c r="J176" s="88">
        <f>IFERROR(__xludf.DUMMYFUNCTION("""COMPUTED_VALUE"""),0.0)</f>
        <v>0</v>
      </c>
      <c r="K176" s="88">
        <f>IFERROR(__xludf.DUMMYFUNCTION("""COMPUTED_VALUE"""),13.0)</f>
        <v>13</v>
      </c>
      <c r="L176" s="88">
        <f>IFERROR(__xludf.DUMMYFUNCTION("""COMPUTED_VALUE"""),0.0)</f>
        <v>0</v>
      </c>
      <c r="M176" s="89">
        <f>IFERROR(__xludf.DUMMYFUNCTION("""COMPUTED_VALUE"""),197.0)</f>
        <v>197</v>
      </c>
      <c r="N176" s="89">
        <f>IFERROR(__xludf.DUMMYFUNCTION("""COMPUTED_VALUE"""),17.0)</f>
        <v>17</v>
      </c>
    </row>
    <row r="177">
      <c r="A177" s="11"/>
      <c r="B177" s="82" t="str">
        <f>IFERROR(__xludf.DUMMYFUNCTION("""COMPUTED_VALUE"""),"Matthew Huang")</f>
        <v>Matthew Huang</v>
      </c>
      <c r="C177" s="87">
        <f>IFERROR(__xludf.DUMMYFUNCTION("""COMPUTED_VALUE"""),184.0)</f>
        <v>184</v>
      </c>
      <c r="D177" s="87">
        <f>IFERROR(__xludf.DUMMYFUNCTION("""COMPUTED_VALUE"""),16.0)</f>
        <v>16</v>
      </c>
      <c r="E177" s="86">
        <f>IFERROR(__xludf.DUMMYFUNCTION("""COMPUTED_VALUE"""),3.0)</f>
        <v>3</v>
      </c>
      <c r="F177" s="88">
        <f>IFERROR(__xludf.DUMMYFUNCTION("""COMPUTED_VALUE"""),0.0)</f>
        <v>0</v>
      </c>
      <c r="G177" s="88">
        <f>IFERROR(__xludf.DUMMYFUNCTION("""COMPUTED_VALUE"""),9.0)</f>
        <v>9</v>
      </c>
      <c r="H177" s="88">
        <f>IFERROR(__xludf.DUMMYFUNCTION("""COMPUTED_VALUE"""),0.0)</f>
        <v>0</v>
      </c>
      <c r="I177" s="88">
        <f>IFERROR(__xludf.DUMMYFUNCTION("""COMPUTED_VALUE"""),0.0)</f>
        <v>0</v>
      </c>
      <c r="J177" s="88">
        <f>IFERROR(__xludf.DUMMYFUNCTION("""COMPUTED_VALUE"""),0.0)</f>
        <v>0</v>
      </c>
      <c r="K177" s="88">
        <f>IFERROR(__xludf.DUMMYFUNCTION("""COMPUTED_VALUE"""),9.0)</f>
        <v>9</v>
      </c>
      <c r="L177" s="88">
        <f>IFERROR(__xludf.DUMMYFUNCTION("""COMPUTED_VALUE"""),0.0)</f>
        <v>0</v>
      </c>
      <c r="M177" s="89">
        <f>IFERROR(__xludf.DUMMYFUNCTION("""COMPUTED_VALUE"""),193.0)</f>
        <v>193</v>
      </c>
      <c r="N177" s="89">
        <f>IFERROR(__xludf.DUMMYFUNCTION("""COMPUTED_VALUE"""),16.0)</f>
        <v>16</v>
      </c>
    </row>
    <row r="178">
      <c r="A178" s="11"/>
      <c r="B178" s="82" t="str">
        <f>IFERROR(__xludf.DUMMYFUNCTION("""COMPUTED_VALUE"""),"James Phan")</f>
        <v>James Phan</v>
      </c>
      <c r="C178" s="87">
        <f>IFERROR(__xludf.DUMMYFUNCTION("""COMPUTED_VALUE"""),177.0)</f>
        <v>177</v>
      </c>
      <c r="D178" s="87">
        <f>IFERROR(__xludf.DUMMYFUNCTION("""COMPUTED_VALUE"""),14.0)</f>
        <v>14</v>
      </c>
      <c r="E178" s="86">
        <f>IFERROR(__xludf.DUMMYFUNCTION("""COMPUTED_VALUE"""),3.0)</f>
        <v>3</v>
      </c>
      <c r="F178" s="88">
        <f>IFERROR(__xludf.DUMMYFUNCTION("""COMPUTED_VALUE"""),0.0)</f>
        <v>0</v>
      </c>
      <c r="G178" s="88">
        <f>IFERROR(__xludf.DUMMYFUNCTION("""COMPUTED_VALUE"""),9.0)</f>
        <v>9</v>
      </c>
      <c r="H178" s="88">
        <f>IFERROR(__xludf.DUMMYFUNCTION("""COMPUTED_VALUE"""),0.0)</f>
        <v>0</v>
      </c>
      <c r="I178" s="88">
        <f>IFERROR(__xludf.DUMMYFUNCTION("""COMPUTED_VALUE"""),0.0)</f>
        <v>0</v>
      </c>
      <c r="J178" s="88">
        <f>IFERROR(__xludf.DUMMYFUNCTION("""COMPUTED_VALUE"""),0.0)</f>
        <v>0</v>
      </c>
      <c r="K178" s="88">
        <f>IFERROR(__xludf.DUMMYFUNCTION("""COMPUTED_VALUE"""),9.0)</f>
        <v>9</v>
      </c>
      <c r="L178" s="88">
        <f>IFERROR(__xludf.DUMMYFUNCTION("""COMPUTED_VALUE"""),0.0)</f>
        <v>0</v>
      </c>
      <c r="M178" s="89">
        <f>IFERROR(__xludf.DUMMYFUNCTION("""COMPUTED_VALUE"""),186.0)</f>
        <v>186</v>
      </c>
      <c r="N178" s="89">
        <f>IFERROR(__xludf.DUMMYFUNCTION("""COMPUTED_VALUE"""),14.0)</f>
        <v>14</v>
      </c>
    </row>
    <row r="179">
      <c r="A179" s="11"/>
      <c r="B179" s="82" t="str">
        <f>IFERROR(__xludf.DUMMYFUNCTION("""COMPUTED_VALUE"""),"Pavan Akkimsetty")</f>
        <v>Pavan Akkimsetty</v>
      </c>
      <c r="C179" s="87">
        <f>IFERROR(__xludf.DUMMYFUNCTION("""COMPUTED_VALUE"""),175.0)</f>
        <v>175</v>
      </c>
      <c r="D179" s="87">
        <f>IFERROR(__xludf.DUMMYFUNCTION("""COMPUTED_VALUE"""),15.0)</f>
        <v>15</v>
      </c>
      <c r="E179" s="86">
        <f>IFERROR(__xludf.DUMMYFUNCTION("""COMPUTED_VALUE"""),3.0)</f>
        <v>3</v>
      </c>
      <c r="F179" s="88">
        <f>IFERROR(__xludf.DUMMYFUNCTION("""COMPUTED_VALUE"""),0.0)</f>
        <v>0</v>
      </c>
      <c r="G179" s="88">
        <f>IFERROR(__xludf.DUMMYFUNCTION("""COMPUTED_VALUE"""),9.0)</f>
        <v>9</v>
      </c>
      <c r="H179" s="88">
        <f>IFERROR(__xludf.DUMMYFUNCTION("""COMPUTED_VALUE"""),0.0)</f>
        <v>0</v>
      </c>
      <c r="I179" s="88">
        <f>IFERROR(__xludf.DUMMYFUNCTION("""COMPUTED_VALUE"""),0.0)</f>
        <v>0</v>
      </c>
      <c r="J179" s="88">
        <f>IFERROR(__xludf.DUMMYFUNCTION("""COMPUTED_VALUE"""),0.0)</f>
        <v>0</v>
      </c>
      <c r="K179" s="88">
        <f>IFERROR(__xludf.DUMMYFUNCTION("""COMPUTED_VALUE"""),9.0)</f>
        <v>9</v>
      </c>
      <c r="L179" s="88">
        <f>IFERROR(__xludf.DUMMYFUNCTION("""COMPUTED_VALUE"""),0.0)</f>
        <v>0</v>
      </c>
      <c r="M179" s="89">
        <f>IFERROR(__xludf.DUMMYFUNCTION("""COMPUTED_VALUE"""),184.0)</f>
        <v>184</v>
      </c>
      <c r="N179" s="89">
        <f>IFERROR(__xludf.DUMMYFUNCTION("""COMPUTED_VALUE"""),15.0)</f>
        <v>15</v>
      </c>
    </row>
    <row r="180">
      <c r="A180" s="11"/>
      <c r="B180" s="82" t="str">
        <f>IFERROR(__xludf.DUMMYFUNCTION("""COMPUTED_VALUE"""),"David Shin")</f>
        <v>David Shin</v>
      </c>
      <c r="C180" s="87">
        <f>IFERROR(__xludf.DUMMYFUNCTION("""COMPUTED_VALUE"""),175.0)</f>
        <v>175</v>
      </c>
      <c r="D180" s="87">
        <f>IFERROR(__xludf.DUMMYFUNCTION("""COMPUTED_VALUE"""),15.0)</f>
        <v>15</v>
      </c>
      <c r="E180" s="86">
        <f>IFERROR(__xludf.DUMMYFUNCTION("""COMPUTED_VALUE"""),5.0)</f>
        <v>5</v>
      </c>
      <c r="F180" s="88">
        <f>IFERROR(__xludf.DUMMYFUNCTION("""COMPUTED_VALUE"""),0.0)</f>
        <v>0</v>
      </c>
      <c r="G180" s="88">
        <f>IFERROR(__xludf.DUMMYFUNCTION("""COMPUTED_VALUE"""),13.0)</f>
        <v>13</v>
      </c>
      <c r="H180" s="88">
        <f>IFERROR(__xludf.DUMMYFUNCTION("""COMPUTED_VALUE"""),0.0)</f>
        <v>0</v>
      </c>
      <c r="I180" s="88">
        <f>IFERROR(__xludf.DUMMYFUNCTION("""COMPUTED_VALUE"""),0.0)</f>
        <v>0</v>
      </c>
      <c r="J180" s="88">
        <f>IFERROR(__xludf.DUMMYFUNCTION("""COMPUTED_VALUE"""),0.0)</f>
        <v>0</v>
      </c>
      <c r="K180" s="88">
        <f>IFERROR(__xludf.DUMMYFUNCTION("""COMPUTED_VALUE"""),13.0)</f>
        <v>13</v>
      </c>
      <c r="L180" s="88">
        <f>IFERROR(__xludf.DUMMYFUNCTION("""COMPUTED_VALUE"""),0.0)</f>
        <v>0</v>
      </c>
      <c r="M180" s="89">
        <f>IFERROR(__xludf.DUMMYFUNCTION("""COMPUTED_VALUE"""),188.0)</f>
        <v>188</v>
      </c>
      <c r="N180" s="89">
        <f>IFERROR(__xludf.DUMMYFUNCTION("""COMPUTED_VALUE"""),15.0)</f>
        <v>15</v>
      </c>
    </row>
    <row r="181">
      <c r="A181" s="11"/>
      <c r="B181" s="82" t="str">
        <f>IFERROR(__xludf.DUMMYFUNCTION("""COMPUTED_VALUE"""),"Troy Wong")</f>
        <v>Troy Wong</v>
      </c>
      <c r="C181" s="87">
        <f>IFERROR(__xludf.DUMMYFUNCTION("""COMPUTED_VALUE"""),171.0)</f>
        <v>171</v>
      </c>
      <c r="D181" s="87">
        <f>IFERROR(__xludf.DUMMYFUNCTION("""COMPUTED_VALUE"""),10.0)</f>
        <v>10</v>
      </c>
      <c r="E181" s="86">
        <f>IFERROR(__xludf.DUMMYFUNCTION("""COMPUTED_VALUE"""),3.0)</f>
        <v>3</v>
      </c>
      <c r="F181" s="88">
        <f>IFERROR(__xludf.DUMMYFUNCTION("""COMPUTED_VALUE"""),0.0)</f>
        <v>0</v>
      </c>
      <c r="G181" s="88">
        <f>IFERROR(__xludf.DUMMYFUNCTION("""COMPUTED_VALUE"""),9.0)</f>
        <v>9</v>
      </c>
      <c r="H181" s="88">
        <f>IFERROR(__xludf.DUMMYFUNCTION("""COMPUTED_VALUE"""),0.0)</f>
        <v>0</v>
      </c>
      <c r="I181" s="88">
        <f>IFERROR(__xludf.DUMMYFUNCTION("""COMPUTED_VALUE"""),0.0)</f>
        <v>0</v>
      </c>
      <c r="J181" s="88">
        <f>IFERROR(__xludf.DUMMYFUNCTION("""COMPUTED_VALUE"""),0.0)</f>
        <v>0</v>
      </c>
      <c r="K181" s="88">
        <f>IFERROR(__xludf.DUMMYFUNCTION("""COMPUTED_VALUE"""),9.0)</f>
        <v>9</v>
      </c>
      <c r="L181" s="88">
        <f>IFERROR(__xludf.DUMMYFUNCTION("""COMPUTED_VALUE"""),0.0)</f>
        <v>0</v>
      </c>
      <c r="M181" s="89">
        <f>IFERROR(__xludf.DUMMYFUNCTION("""COMPUTED_VALUE"""),180.0)</f>
        <v>180</v>
      </c>
      <c r="N181" s="89">
        <f>IFERROR(__xludf.DUMMYFUNCTION("""COMPUTED_VALUE"""),10.0)</f>
        <v>10</v>
      </c>
    </row>
    <row r="182">
      <c r="A182" s="11"/>
      <c r="B182" s="82" t="str">
        <f>IFERROR(__xludf.DUMMYFUNCTION("""COMPUTED_VALUE"""),"Ramesh Bandaru")</f>
        <v>Ramesh Bandaru</v>
      </c>
      <c r="C182" s="87">
        <f>IFERROR(__xludf.DUMMYFUNCTION("""COMPUTED_VALUE"""),168.0)</f>
        <v>168</v>
      </c>
      <c r="D182" s="87">
        <f>IFERROR(__xludf.DUMMYFUNCTION("""COMPUTED_VALUE"""),12.0)</f>
        <v>12</v>
      </c>
      <c r="E182" s="86">
        <f>IFERROR(__xludf.DUMMYFUNCTION("""COMPUTED_VALUE"""),3.0)</f>
        <v>3</v>
      </c>
      <c r="F182" s="88">
        <f>IFERROR(__xludf.DUMMYFUNCTION("""COMPUTED_VALUE"""),0.0)</f>
        <v>0</v>
      </c>
      <c r="G182" s="88">
        <f>IFERROR(__xludf.DUMMYFUNCTION("""COMPUTED_VALUE"""),9.0)</f>
        <v>9</v>
      </c>
      <c r="H182" s="88">
        <f>IFERROR(__xludf.DUMMYFUNCTION("""COMPUTED_VALUE"""),0.0)</f>
        <v>0</v>
      </c>
      <c r="I182" s="88">
        <f>IFERROR(__xludf.DUMMYFUNCTION("""COMPUTED_VALUE"""),0.0)</f>
        <v>0</v>
      </c>
      <c r="J182" s="88">
        <f>IFERROR(__xludf.DUMMYFUNCTION("""COMPUTED_VALUE"""),0.0)</f>
        <v>0</v>
      </c>
      <c r="K182" s="88">
        <f>IFERROR(__xludf.DUMMYFUNCTION("""COMPUTED_VALUE"""),9.0)</f>
        <v>9</v>
      </c>
      <c r="L182" s="88">
        <f>IFERROR(__xludf.DUMMYFUNCTION("""COMPUTED_VALUE"""),0.0)</f>
        <v>0</v>
      </c>
      <c r="M182" s="89">
        <f>IFERROR(__xludf.DUMMYFUNCTION("""COMPUTED_VALUE"""),177.0)</f>
        <v>177</v>
      </c>
      <c r="N182" s="89">
        <f>IFERROR(__xludf.DUMMYFUNCTION("""COMPUTED_VALUE"""),12.0)</f>
        <v>12</v>
      </c>
    </row>
    <row r="183">
      <c r="A183" s="11"/>
      <c r="B183" s="82" t="str">
        <f>IFERROR(__xludf.DUMMYFUNCTION("""COMPUTED_VALUE"""),"Cid Macaraeg")</f>
        <v>Cid Macaraeg</v>
      </c>
      <c r="C183" s="87">
        <f>IFERROR(__xludf.DUMMYFUNCTION("""COMPUTED_VALUE"""),168.0)</f>
        <v>168</v>
      </c>
      <c r="D183" s="87">
        <f>IFERROR(__xludf.DUMMYFUNCTION("""COMPUTED_VALUE"""),11.0)</f>
        <v>11</v>
      </c>
      <c r="E183" s="86">
        <f>IFERROR(__xludf.DUMMYFUNCTION("""COMPUTED_VALUE"""),3.0)</f>
        <v>3</v>
      </c>
      <c r="F183" s="88">
        <f>IFERROR(__xludf.DUMMYFUNCTION("""COMPUTED_VALUE"""),0.0)</f>
        <v>0</v>
      </c>
      <c r="G183" s="88">
        <f>IFERROR(__xludf.DUMMYFUNCTION("""COMPUTED_VALUE"""),9.0)</f>
        <v>9</v>
      </c>
      <c r="H183" s="88">
        <f>IFERROR(__xludf.DUMMYFUNCTION("""COMPUTED_VALUE"""),0.0)</f>
        <v>0</v>
      </c>
      <c r="I183" s="88">
        <f>IFERROR(__xludf.DUMMYFUNCTION("""COMPUTED_VALUE"""),0.0)</f>
        <v>0</v>
      </c>
      <c r="J183" s="88">
        <f>IFERROR(__xludf.DUMMYFUNCTION("""COMPUTED_VALUE"""),0.0)</f>
        <v>0</v>
      </c>
      <c r="K183" s="88">
        <f>IFERROR(__xludf.DUMMYFUNCTION("""COMPUTED_VALUE"""),9.0)</f>
        <v>9</v>
      </c>
      <c r="L183" s="88">
        <f>IFERROR(__xludf.DUMMYFUNCTION("""COMPUTED_VALUE"""),0.0)</f>
        <v>0</v>
      </c>
      <c r="M183" s="89">
        <f>IFERROR(__xludf.DUMMYFUNCTION("""COMPUTED_VALUE"""),177.0)</f>
        <v>177</v>
      </c>
      <c r="N183" s="89">
        <f>IFERROR(__xludf.DUMMYFUNCTION("""COMPUTED_VALUE"""),11.0)</f>
        <v>11</v>
      </c>
    </row>
    <row r="184">
      <c r="A184" s="11"/>
      <c r="B184" s="82" t="str">
        <f>IFERROR(__xludf.DUMMYFUNCTION("""COMPUTED_VALUE"""),"Robert Chang")</f>
        <v>Robert Chang</v>
      </c>
      <c r="C184" s="87">
        <f>IFERROR(__xludf.DUMMYFUNCTION("""COMPUTED_VALUE"""),168.0)</f>
        <v>168</v>
      </c>
      <c r="D184" s="87">
        <f>IFERROR(__xludf.DUMMYFUNCTION("""COMPUTED_VALUE"""),7.0)</f>
        <v>7</v>
      </c>
      <c r="E184" s="86">
        <f>IFERROR(__xludf.DUMMYFUNCTION("""COMPUTED_VALUE"""),3.0)</f>
        <v>3</v>
      </c>
      <c r="F184" s="88">
        <f>IFERROR(__xludf.DUMMYFUNCTION("""COMPUTED_VALUE"""),0.0)</f>
        <v>0</v>
      </c>
      <c r="G184" s="88">
        <f>IFERROR(__xludf.DUMMYFUNCTION("""COMPUTED_VALUE"""),9.0)</f>
        <v>9</v>
      </c>
      <c r="H184" s="88">
        <f>IFERROR(__xludf.DUMMYFUNCTION("""COMPUTED_VALUE"""),0.0)</f>
        <v>0</v>
      </c>
      <c r="I184" s="88">
        <f>IFERROR(__xludf.DUMMYFUNCTION("""COMPUTED_VALUE"""),0.0)</f>
        <v>0</v>
      </c>
      <c r="J184" s="88">
        <f>IFERROR(__xludf.DUMMYFUNCTION("""COMPUTED_VALUE"""),0.0)</f>
        <v>0</v>
      </c>
      <c r="K184" s="88">
        <f>IFERROR(__xludf.DUMMYFUNCTION("""COMPUTED_VALUE"""),9.0)</f>
        <v>9</v>
      </c>
      <c r="L184" s="88">
        <f>IFERROR(__xludf.DUMMYFUNCTION("""COMPUTED_VALUE"""),0.0)</f>
        <v>0</v>
      </c>
      <c r="M184" s="89">
        <f>IFERROR(__xludf.DUMMYFUNCTION("""COMPUTED_VALUE"""),177.0)</f>
        <v>177</v>
      </c>
      <c r="N184" s="89">
        <f>IFERROR(__xludf.DUMMYFUNCTION("""COMPUTED_VALUE"""),7.0)</f>
        <v>7</v>
      </c>
    </row>
    <row r="185">
      <c r="A185" s="11"/>
      <c r="B185" s="82" t="str">
        <f>IFERROR(__xludf.DUMMYFUNCTION("""COMPUTED_VALUE"""),"Oscar Bonilla")</f>
        <v>Oscar Bonilla</v>
      </c>
      <c r="C185" s="87">
        <f>IFERROR(__xludf.DUMMYFUNCTION("""COMPUTED_VALUE"""),165.0)</f>
        <v>165</v>
      </c>
      <c r="D185" s="87">
        <f>IFERROR(__xludf.DUMMYFUNCTION("""COMPUTED_VALUE"""),9.0)</f>
        <v>9</v>
      </c>
      <c r="E185" s="86">
        <f>IFERROR(__xludf.DUMMYFUNCTION("""COMPUTED_VALUE"""),3.0)</f>
        <v>3</v>
      </c>
      <c r="F185" s="88">
        <f>IFERROR(__xludf.DUMMYFUNCTION("""COMPUTED_VALUE"""),0.0)</f>
        <v>0</v>
      </c>
      <c r="G185" s="88">
        <f>IFERROR(__xludf.DUMMYFUNCTION("""COMPUTED_VALUE"""),9.0)</f>
        <v>9</v>
      </c>
      <c r="H185" s="88">
        <f>IFERROR(__xludf.DUMMYFUNCTION("""COMPUTED_VALUE"""),0.0)</f>
        <v>0</v>
      </c>
      <c r="I185" s="88">
        <f>IFERROR(__xludf.DUMMYFUNCTION("""COMPUTED_VALUE"""),0.0)</f>
        <v>0</v>
      </c>
      <c r="J185" s="88">
        <f>IFERROR(__xludf.DUMMYFUNCTION("""COMPUTED_VALUE"""),0.0)</f>
        <v>0</v>
      </c>
      <c r="K185" s="88">
        <f>IFERROR(__xludf.DUMMYFUNCTION("""COMPUTED_VALUE"""),9.0)</f>
        <v>9</v>
      </c>
      <c r="L185" s="88">
        <f>IFERROR(__xludf.DUMMYFUNCTION("""COMPUTED_VALUE"""),0.0)</f>
        <v>0</v>
      </c>
      <c r="M185" s="89">
        <f>IFERROR(__xludf.DUMMYFUNCTION("""COMPUTED_VALUE"""),174.0)</f>
        <v>174</v>
      </c>
      <c r="N185" s="89">
        <f>IFERROR(__xludf.DUMMYFUNCTION("""COMPUTED_VALUE"""),9.0)</f>
        <v>9</v>
      </c>
    </row>
    <row r="186">
      <c r="A186" s="11"/>
      <c r="B186" s="82" t="str">
        <f>IFERROR(__xludf.DUMMYFUNCTION("""COMPUTED_VALUE"""),"Vamsi Lolla ")</f>
        <v>Vamsi Lolla </v>
      </c>
      <c r="C186" s="87">
        <f>IFERROR(__xludf.DUMMYFUNCTION("""COMPUTED_VALUE"""),161.0)</f>
        <v>161</v>
      </c>
      <c r="D186" s="87">
        <f>IFERROR(__xludf.DUMMYFUNCTION("""COMPUTED_VALUE"""),9.0)</f>
        <v>9</v>
      </c>
      <c r="E186" s="86">
        <f>IFERROR(__xludf.DUMMYFUNCTION("""COMPUTED_VALUE"""),3.0)</f>
        <v>3</v>
      </c>
      <c r="F186" s="88">
        <f>IFERROR(__xludf.DUMMYFUNCTION("""COMPUTED_VALUE"""),0.0)</f>
        <v>0</v>
      </c>
      <c r="G186" s="88">
        <f>IFERROR(__xludf.DUMMYFUNCTION("""COMPUTED_VALUE"""),9.0)</f>
        <v>9</v>
      </c>
      <c r="H186" s="88">
        <f>IFERROR(__xludf.DUMMYFUNCTION("""COMPUTED_VALUE"""),0.0)</f>
        <v>0</v>
      </c>
      <c r="I186" s="88">
        <f>IFERROR(__xludf.DUMMYFUNCTION("""COMPUTED_VALUE"""),0.0)</f>
        <v>0</v>
      </c>
      <c r="J186" s="88">
        <f>IFERROR(__xludf.DUMMYFUNCTION("""COMPUTED_VALUE"""),0.0)</f>
        <v>0</v>
      </c>
      <c r="K186" s="88">
        <f>IFERROR(__xludf.DUMMYFUNCTION("""COMPUTED_VALUE"""),9.0)</f>
        <v>9</v>
      </c>
      <c r="L186" s="88">
        <f>IFERROR(__xludf.DUMMYFUNCTION("""COMPUTED_VALUE"""),0.0)</f>
        <v>0</v>
      </c>
      <c r="M186" s="89">
        <f>IFERROR(__xludf.DUMMYFUNCTION("""COMPUTED_VALUE"""),170.0)</f>
        <v>170</v>
      </c>
      <c r="N186" s="89">
        <f>IFERROR(__xludf.DUMMYFUNCTION("""COMPUTED_VALUE"""),9.0)</f>
        <v>9</v>
      </c>
    </row>
    <row r="187">
      <c r="A187" s="11"/>
      <c r="B187" s="82" t="str">
        <f>IFERROR(__xludf.DUMMYFUNCTION("""COMPUTED_VALUE"""),"Lloyd Sagar")</f>
        <v>Lloyd Sagar</v>
      </c>
      <c r="C187" s="87">
        <f>IFERROR(__xludf.DUMMYFUNCTION("""COMPUTED_VALUE"""),157.0)</f>
        <v>157</v>
      </c>
      <c r="D187" s="87">
        <f>IFERROR(__xludf.DUMMYFUNCTION("""COMPUTED_VALUE"""),9.0)</f>
        <v>9</v>
      </c>
      <c r="E187" s="86">
        <f>IFERROR(__xludf.DUMMYFUNCTION("""COMPUTED_VALUE"""),3.0)</f>
        <v>3</v>
      </c>
      <c r="F187" s="88">
        <f>IFERROR(__xludf.DUMMYFUNCTION("""COMPUTED_VALUE"""),0.0)</f>
        <v>0</v>
      </c>
      <c r="G187" s="88">
        <f>IFERROR(__xludf.DUMMYFUNCTION("""COMPUTED_VALUE"""),9.0)</f>
        <v>9</v>
      </c>
      <c r="H187" s="88">
        <f>IFERROR(__xludf.DUMMYFUNCTION("""COMPUTED_VALUE"""),0.0)</f>
        <v>0</v>
      </c>
      <c r="I187" s="88">
        <f>IFERROR(__xludf.DUMMYFUNCTION("""COMPUTED_VALUE"""),0.0)</f>
        <v>0</v>
      </c>
      <c r="J187" s="88">
        <f>IFERROR(__xludf.DUMMYFUNCTION("""COMPUTED_VALUE"""),0.0)</f>
        <v>0</v>
      </c>
      <c r="K187" s="88">
        <f>IFERROR(__xludf.DUMMYFUNCTION("""COMPUTED_VALUE"""),9.0)</f>
        <v>9</v>
      </c>
      <c r="L187" s="88">
        <f>IFERROR(__xludf.DUMMYFUNCTION("""COMPUTED_VALUE"""),0.0)</f>
        <v>0</v>
      </c>
      <c r="M187" s="89">
        <f>IFERROR(__xludf.DUMMYFUNCTION("""COMPUTED_VALUE"""),166.0)</f>
        <v>166</v>
      </c>
      <c r="N187" s="89">
        <f>IFERROR(__xludf.DUMMYFUNCTION("""COMPUTED_VALUE"""),9.0)</f>
        <v>9</v>
      </c>
    </row>
    <row r="188">
      <c r="A188" s="11"/>
      <c r="B188" s="82" t="str">
        <f>IFERROR(__xludf.DUMMYFUNCTION("""COMPUTED_VALUE"""),"Chinna Ponnaganti")</f>
        <v>Chinna Ponnaganti</v>
      </c>
      <c r="C188" s="87">
        <f>IFERROR(__xludf.DUMMYFUNCTION("""COMPUTED_VALUE"""),156.0)</f>
        <v>156</v>
      </c>
      <c r="D188" s="87">
        <f>IFERROR(__xludf.DUMMYFUNCTION("""COMPUTED_VALUE"""),14.0)</f>
        <v>14</v>
      </c>
      <c r="E188" s="86">
        <f>IFERROR(__xludf.DUMMYFUNCTION("""COMPUTED_VALUE"""),3.0)</f>
        <v>3</v>
      </c>
      <c r="F188" s="88">
        <f>IFERROR(__xludf.DUMMYFUNCTION("""COMPUTED_VALUE"""),0.0)</f>
        <v>0</v>
      </c>
      <c r="G188" s="88">
        <f>IFERROR(__xludf.DUMMYFUNCTION("""COMPUTED_VALUE"""),9.0)</f>
        <v>9</v>
      </c>
      <c r="H188" s="88">
        <f>IFERROR(__xludf.DUMMYFUNCTION("""COMPUTED_VALUE"""),0.0)</f>
        <v>0</v>
      </c>
      <c r="I188" s="88">
        <f>IFERROR(__xludf.DUMMYFUNCTION("""COMPUTED_VALUE"""),0.0)</f>
        <v>0</v>
      </c>
      <c r="J188" s="88">
        <f>IFERROR(__xludf.DUMMYFUNCTION("""COMPUTED_VALUE"""),0.0)</f>
        <v>0</v>
      </c>
      <c r="K188" s="88">
        <f>IFERROR(__xludf.DUMMYFUNCTION("""COMPUTED_VALUE"""),9.0)</f>
        <v>9</v>
      </c>
      <c r="L188" s="88">
        <f>IFERROR(__xludf.DUMMYFUNCTION("""COMPUTED_VALUE"""),0.0)</f>
        <v>0</v>
      </c>
      <c r="M188" s="89">
        <f>IFERROR(__xludf.DUMMYFUNCTION("""COMPUTED_VALUE"""),165.0)</f>
        <v>165</v>
      </c>
      <c r="N188" s="89">
        <f>IFERROR(__xludf.DUMMYFUNCTION("""COMPUTED_VALUE"""),14.0)</f>
        <v>14</v>
      </c>
    </row>
    <row r="189">
      <c r="A189" s="11"/>
      <c r="B189" s="82" t="str">
        <f>IFERROR(__xludf.DUMMYFUNCTION("""COMPUTED_VALUE"""),"Sai Dilip Ponnaganti")</f>
        <v>Sai Dilip Ponnaganti</v>
      </c>
      <c r="C189" s="87">
        <f>IFERROR(__xludf.DUMMYFUNCTION("""COMPUTED_VALUE"""),151.0)</f>
        <v>151</v>
      </c>
      <c r="D189" s="87">
        <f>IFERROR(__xludf.DUMMYFUNCTION("""COMPUTED_VALUE"""),7.0)</f>
        <v>7</v>
      </c>
      <c r="E189" s="86">
        <f>IFERROR(__xludf.DUMMYFUNCTION("""COMPUTED_VALUE"""),3.0)</f>
        <v>3</v>
      </c>
      <c r="F189" s="88">
        <f>IFERROR(__xludf.DUMMYFUNCTION("""COMPUTED_VALUE"""),0.0)</f>
        <v>0</v>
      </c>
      <c r="G189" s="88">
        <f>IFERROR(__xludf.DUMMYFUNCTION("""COMPUTED_VALUE"""),9.0)</f>
        <v>9</v>
      </c>
      <c r="H189" s="88">
        <f>IFERROR(__xludf.DUMMYFUNCTION("""COMPUTED_VALUE"""),0.0)</f>
        <v>0</v>
      </c>
      <c r="I189" s="88">
        <f>IFERROR(__xludf.DUMMYFUNCTION("""COMPUTED_VALUE"""),0.0)</f>
        <v>0</v>
      </c>
      <c r="J189" s="88">
        <f>IFERROR(__xludf.DUMMYFUNCTION("""COMPUTED_VALUE"""),0.0)</f>
        <v>0</v>
      </c>
      <c r="K189" s="88">
        <f>IFERROR(__xludf.DUMMYFUNCTION("""COMPUTED_VALUE"""),9.0)</f>
        <v>9</v>
      </c>
      <c r="L189" s="88">
        <f>IFERROR(__xludf.DUMMYFUNCTION("""COMPUTED_VALUE"""),0.0)</f>
        <v>0</v>
      </c>
      <c r="M189" s="89">
        <f>IFERROR(__xludf.DUMMYFUNCTION("""COMPUTED_VALUE"""),160.0)</f>
        <v>160</v>
      </c>
      <c r="N189" s="89">
        <f>IFERROR(__xludf.DUMMYFUNCTION("""COMPUTED_VALUE"""),7.0)</f>
        <v>7</v>
      </c>
    </row>
    <row r="190">
      <c r="A190" s="11"/>
      <c r="B190" s="82" t="str">
        <f>IFERROR(__xludf.DUMMYFUNCTION("""COMPUTED_VALUE"""),"Tony Lin")</f>
        <v>Tony Lin</v>
      </c>
      <c r="C190" s="87">
        <f>IFERROR(__xludf.DUMMYFUNCTION("""COMPUTED_VALUE"""),150.0)</f>
        <v>150</v>
      </c>
      <c r="D190" s="87">
        <f>IFERROR(__xludf.DUMMYFUNCTION("""COMPUTED_VALUE"""),6.0)</f>
        <v>6</v>
      </c>
      <c r="E190" s="86">
        <f>IFERROR(__xludf.DUMMYFUNCTION("""COMPUTED_VALUE"""),3.0)</f>
        <v>3</v>
      </c>
      <c r="F190" s="88">
        <f>IFERROR(__xludf.DUMMYFUNCTION("""COMPUTED_VALUE"""),0.0)</f>
        <v>0</v>
      </c>
      <c r="G190" s="88">
        <f>IFERROR(__xludf.DUMMYFUNCTION("""COMPUTED_VALUE"""),9.0)</f>
        <v>9</v>
      </c>
      <c r="H190" s="88">
        <f>IFERROR(__xludf.DUMMYFUNCTION("""COMPUTED_VALUE"""),0.0)</f>
        <v>0</v>
      </c>
      <c r="I190" s="88">
        <f>IFERROR(__xludf.DUMMYFUNCTION("""COMPUTED_VALUE"""),0.0)</f>
        <v>0</v>
      </c>
      <c r="J190" s="88">
        <f>IFERROR(__xludf.DUMMYFUNCTION("""COMPUTED_VALUE"""),0.0)</f>
        <v>0</v>
      </c>
      <c r="K190" s="88">
        <f>IFERROR(__xludf.DUMMYFUNCTION("""COMPUTED_VALUE"""),9.0)</f>
        <v>9</v>
      </c>
      <c r="L190" s="88">
        <f>IFERROR(__xludf.DUMMYFUNCTION("""COMPUTED_VALUE"""),0.0)</f>
        <v>0</v>
      </c>
      <c r="M190" s="89">
        <f>IFERROR(__xludf.DUMMYFUNCTION("""COMPUTED_VALUE"""),159.0)</f>
        <v>159</v>
      </c>
      <c r="N190" s="89">
        <f>IFERROR(__xludf.DUMMYFUNCTION("""COMPUTED_VALUE"""),6.0)</f>
        <v>6</v>
      </c>
    </row>
    <row r="191">
      <c r="A191" s="11"/>
      <c r="B191" s="82" t="str">
        <f>IFERROR(__xludf.DUMMYFUNCTION("""COMPUTED_VALUE"""),"Elayaraja Thangaraj ")</f>
        <v>Elayaraja Thangaraj </v>
      </c>
      <c r="C191" s="87">
        <f>IFERROR(__xludf.DUMMYFUNCTION("""COMPUTED_VALUE"""),149.0)</f>
        <v>149</v>
      </c>
      <c r="D191" s="87">
        <f>IFERROR(__xludf.DUMMYFUNCTION("""COMPUTED_VALUE"""),4.0)</f>
        <v>4</v>
      </c>
      <c r="E191" s="86">
        <f>IFERROR(__xludf.DUMMYFUNCTION("""COMPUTED_VALUE"""),3.0)</f>
        <v>3</v>
      </c>
      <c r="F191" s="88">
        <f>IFERROR(__xludf.DUMMYFUNCTION("""COMPUTED_VALUE"""),0.0)</f>
        <v>0</v>
      </c>
      <c r="G191" s="88">
        <f>IFERROR(__xludf.DUMMYFUNCTION("""COMPUTED_VALUE"""),9.0)</f>
        <v>9</v>
      </c>
      <c r="H191" s="88">
        <f>IFERROR(__xludf.DUMMYFUNCTION("""COMPUTED_VALUE"""),0.0)</f>
        <v>0</v>
      </c>
      <c r="I191" s="88">
        <f>IFERROR(__xludf.DUMMYFUNCTION("""COMPUTED_VALUE"""),0.0)</f>
        <v>0</v>
      </c>
      <c r="J191" s="88">
        <f>IFERROR(__xludf.DUMMYFUNCTION("""COMPUTED_VALUE"""),0.0)</f>
        <v>0</v>
      </c>
      <c r="K191" s="88">
        <f>IFERROR(__xludf.DUMMYFUNCTION("""COMPUTED_VALUE"""),9.0)</f>
        <v>9</v>
      </c>
      <c r="L191" s="88">
        <f>IFERROR(__xludf.DUMMYFUNCTION("""COMPUTED_VALUE"""),0.0)</f>
        <v>0</v>
      </c>
      <c r="M191" s="89">
        <f>IFERROR(__xludf.DUMMYFUNCTION("""COMPUTED_VALUE"""),158.0)</f>
        <v>158</v>
      </c>
      <c r="N191" s="89">
        <f>IFERROR(__xludf.DUMMYFUNCTION("""COMPUTED_VALUE"""),4.0)</f>
        <v>4</v>
      </c>
    </row>
    <row r="192">
      <c r="A192" s="11"/>
      <c r="B192" s="82" t="str">
        <f>IFERROR(__xludf.DUMMYFUNCTION("""COMPUTED_VALUE"""),"Saravanan Veerapandian")</f>
        <v>Saravanan Veerapandian</v>
      </c>
      <c r="C192" s="87">
        <f>IFERROR(__xludf.DUMMYFUNCTION("""COMPUTED_VALUE"""),148.0)</f>
        <v>148</v>
      </c>
      <c r="D192" s="87">
        <f>IFERROR(__xludf.DUMMYFUNCTION("""COMPUTED_VALUE"""),8.0)</f>
        <v>8</v>
      </c>
      <c r="E192" s="86">
        <f>IFERROR(__xludf.DUMMYFUNCTION("""COMPUTED_VALUE"""),3.0)</f>
        <v>3</v>
      </c>
      <c r="F192" s="88">
        <f>IFERROR(__xludf.DUMMYFUNCTION("""COMPUTED_VALUE"""),0.0)</f>
        <v>0</v>
      </c>
      <c r="G192" s="88">
        <f>IFERROR(__xludf.DUMMYFUNCTION("""COMPUTED_VALUE"""),9.0)</f>
        <v>9</v>
      </c>
      <c r="H192" s="88">
        <f>IFERROR(__xludf.DUMMYFUNCTION("""COMPUTED_VALUE"""),0.0)</f>
        <v>0</v>
      </c>
      <c r="I192" s="88">
        <f>IFERROR(__xludf.DUMMYFUNCTION("""COMPUTED_VALUE"""),0.0)</f>
        <v>0</v>
      </c>
      <c r="J192" s="88">
        <f>IFERROR(__xludf.DUMMYFUNCTION("""COMPUTED_VALUE"""),0.0)</f>
        <v>0</v>
      </c>
      <c r="K192" s="88">
        <f>IFERROR(__xludf.DUMMYFUNCTION("""COMPUTED_VALUE"""),9.0)</f>
        <v>9</v>
      </c>
      <c r="L192" s="88">
        <f>IFERROR(__xludf.DUMMYFUNCTION("""COMPUTED_VALUE"""),0.0)</f>
        <v>0</v>
      </c>
      <c r="M192" s="89">
        <f>IFERROR(__xludf.DUMMYFUNCTION("""COMPUTED_VALUE"""),157.0)</f>
        <v>157</v>
      </c>
      <c r="N192" s="89">
        <f>IFERROR(__xludf.DUMMYFUNCTION("""COMPUTED_VALUE"""),8.0)</f>
        <v>8</v>
      </c>
    </row>
    <row r="193">
      <c r="A193" s="11"/>
      <c r="B193" s="82" t="str">
        <f>IFERROR(__xludf.DUMMYFUNCTION("""COMPUTED_VALUE"""),"Santosh Sundaresan ")</f>
        <v>Santosh Sundaresan </v>
      </c>
      <c r="C193" s="87">
        <f>IFERROR(__xludf.DUMMYFUNCTION("""COMPUTED_VALUE"""),147.0)</f>
        <v>147</v>
      </c>
      <c r="D193" s="87">
        <f>IFERROR(__xludf.DUMMYFUNCTION("""COMPUTED_VALUE"""),5.0)</f>
        <v>5</v>
      </c>
      <c r="E193" s="86">
        <f>IFERROR(__xludf.DUMMYFUNCTION("""COMPUTED_VALUE"""),3.0)</f>
        <v>3</v>
      </c>
      <c r="F193" s="88">
        <f>IFERROR(__xludf.DUMMYFUNCTION("""COMPUTED_VALUE"""),0.0)</f>
        <v>0</v>
      </c>
      <c r="G193" s="88">
        <f>IFERROR(__xludf.DUMMYFUNCTION("""COMPUTED_VALUE"""),9.0)</f>
        <v>9</v>
      </c>
      <c r="H193" s="88">
        <f>IFERROR(__xludf.DUMMYFUNCTION("""COMPUTED_VALUE"""),0.0)</f>
        <v>0</v>
      </c>
      <c r="I193" s="88">
        <f>IFERROR(__xludf.DUMMYFUNCTION("""COMPUTED_VALUE"""),0.0)</f>
        <v>0</v>
      </c>
      <c r="J193" s="88">
        <f>IFERROR(__xludf.DUMMYFUNCTION("""COMPUTED_VALUE"""),0.0)</f>
        <v>0</v>
      </c>
      <c r="K193" s="88">
        <f>IFERROR(__xludf.DUMMYFUNCTION("""COMPUTED_VALUE"""),9.0)</f>
        <v>9</v>
      </c>
      <c r="L193" s="88">
        <f>IFERROR(__xludf.DUMMYFUNCTION("""COMPUTED_VALUE"""),0.0)</f>
        <v>0</v>
      </c>
      <c r="M193" s="89">
        <f>IFERROR(__xludf.DUMMYFUNCTION("""COMPUTED_VALUE"""),156.0)</f>
        <v>156</v>
      </c>
      <c r="N193" s="89">
        <f>IFERROR(__xludf.DUMMYFUNCTION("""COMPUTED_VALUE"""),5.0)</f>
        <v>5</v>
      </c>
    </row>
    <row r="194">
      <c r="A194" s="11"/>
      <c r="B194" s="82" t="str">
        <f>IFERROR(__xludf.DUMMYFUNCTION("""COMPUTED_VALUE"""),"Naveen Raj")</f>
        <v>Naveen Raj</v>
      </c>
      <c r="C194" s="87">
        <f>IFERROR(__xludf.DUMMYFUNCTION("""COMPUTED_VALUE"""),145.0)</f>
        <v>145</v>
      </c>
      <c r="D194" s="87">
        <f>IFERROR(__xludf.DUMMYFUNCTION("""COMPUTED_VALUE"""),4.0)</f>
        <v>4</v>
      </c>
      <c r="E194" s="86">
        <f>IFERROR(__xludf.DUMMYFUNCTION("""COMPUTED_VALUE"""),3.0)</f>
        <v>3</v>
      </c>
      <c r="F194" s="88">
        <f>IFERROR(__xludf.DUMMYFUNCTION("""COMPUTED_VALUE"""),0.0)</f>
        <v>0</v>
      </c>
      <c r="G194" s="88">
        <f>IFERROR(__xludf.DUMMYFUNCTION("""COMPUTED_VALUE"""),9.0)</f>
        <v>9</v>
      </c>
      <c r="H194" s="88">
        <f>IFERROR(__xludf.DUMMYFUNCTION("""COMPUTED_VALUE"""),0.0)</f>
        <v>0</v>
      </c>
      <c r="I194" s="88">
        <f>IFERROR(__xludf.DUMMYFUNCTION("""COMPUTED_VALUE"""),0.0)</f>
        <v>0</v>
      </c>
      <c r="J194" s="88">
        <f>IFERROR(__xludf.DUMMYFUNCTION("""COMPUTED_VALUE"""),0.0)</f>
        <v>0</v>
      </c>
      <c r="K194" s="88">
        <f>IFERROR(__xludf.DUMMYFUNCTION("""COMPUTED_VALUE"""),9.0)</f>
        <v>9</v>
      </c>
      <c r="L194" s="88">
        <f>IFERROR(__xludf.DUMMYFUNCTION("""COMPUTED_VALUE"""),0.0)</f>
        <v>0</v>
      </c>
      <c r="M194" s="89">
        <f>IFERROR(__xludf.DUMMYFUNCTION("""COMPUTED_VALUE"""),154.0)</f>
        <v>154</v>
      </c>
      <c r="N194" s="89">
        <f>IFERROR(__xludf.DUMMYFUNCTION("""COMPUTED_VALUE"""),4.0)</f>
        <v>4</v>
      </c>
    </row>
    <row r="195">
      <c r="A195" s="11"/>
      <c r="B195" s="82" t="str">
        <f>IFERROR(__xludf.DUMMYFUNCTION("""COMPUTED_VALUE"""),"Vinaya Kajla")</f>
        <v>Vinaya Kajla</v>
      </c>
      <c r="C195" s="87">
        <f>IFERROR(__xludf.DUMMYFUNCTION("""COMPUTED_VALUE"""),142.0)</f>
        <v>142</v>
      </c>
      <c r="D195" s="87">
        <f>IFERROR(__xludf.DUMMYFUNCTION("""COMPUTED_VALUE"""),9.0)</f>
        <v>9</v>
      </c>
      <c r="E195" s="86">
        <f>IFERROR(__xludf.DUMMYFUNCTION("""COMPUTED_VALUE"""),3.0)</f>
        <v>3</v>
      </c>
      <c r="F195" s="88">
        <f>IFERROR(__xludf.DUMMYFUNCTION("""COMPUTED_VALUE"""),0.0)</f>
        <v>0</v>
      </c>
      <c r="G195" s="88">
        <f>IFERROR(__xludf.DUMMYFUNCTION("""COMPUTED_VALUE"""),9.0)</f>
        <v>9</v>
      </c>
      <c r="H195" s="88">
        <f>IFERROR(__xludf.DUMMYFUNCTION("""COMPUTED_VALUE"""),0.0)</f>
        <v>0</v>
      </c>
      <c r="I195" s="88">
        <f>IFERROR(__xludf.DUMMYFUNCTION("""COMPUTED_VALUE"""),0.0)</f>
        <v>0</v>
      </c>
      <c r="J195" s="88">
        <f>IFERROR(__xludf.DUMMYFUNCTION("""COMPUTED_VALUE"""),0.0)</f>
        <v>0</v>
      </c>
      <c r="K195" s="88">
        <f>IFERROR(__xludf.DUMMYFUNCTION("""COMPUTED_VALUE"""),9.0)</f>
        <v>9</v>
      </c>
      <c r="L195" s="88">
        <f>IFERROR(__xludf.DUMMYFUNCTION("""COMPUTED_VALUE"""),0.0)</f>
        <v>0</v>
      </c>
      <c r="M195" s="89">
        <f>IFERROR(__xludf.DUMMYFUNCTION("""COMPUTED_VALUE"""),151.0)</f>
        <v>151</v>
      </c>
      <c r="N195" s="89">
        <f>IFERROR(__xludf.DUMMYFUNCTION("""COMPUTED_VALUE"""),9.0)</f>
        <v>9</v>
      </c>
    </row>
    <row r="196">
      <c r="A196" s="11"/>
      <c r="B196" s="82" t="str">
        <f>IFERROR(__xludf.DUMMYFUNCTION("""COMPUTED_VALUE"""),"Susanta Mishra")</f>
        <v>Susanta Mishra</v>
      </c>
      <c r="C196" s="87">
        <f>IFERROR(__xludf.DUMMYFUNCTION("""COMPUTED_VALUE"""),142.0)</f>
        <v>142</v>
      </c>
      <c r="D196" s="87">
        <f>IFERROR(__xludf.DUMMYFUNCTION("""COMPUTED_VALUE"""),3.0)</f>
        <v>3</v>
      </c>
      <c r="E196" s="86">
        <f>IFERROR(__xludf.DUMMYFUNCTION("""COMPUTED_VALUE"""),3.0)</f>
        <v>3</v>
      </c>
      <c r="F196" s="88">
        <f>IFERROR(__xludf.DUMMYFUNCTION("""COMPUTED_VALUE"""),0.0)</f>
        <v>0</v>
      </c>
      <c r="G196" s="88">
        <f>IFERROR(__xludf.DUMMYFUNCTION("""COMPUTED_VALUE"""),9.0)</f>
        <v>9</v>
      </c>
      <c r="H196" s="88">
        <f>IFERROR(__xludf.DUMMYFUNCTION("""COMPUTED_VALUE"""),0.0)</f>
        <v>0</v>
      </c>
      <c r="I196" s="88">
        <f>IFERROR(__xludf.DUMMYFUNCTION("""COMPUTED_VALUE"""),0.0)</f>
        <v>0</v>
      </c>
      <c r="J196" s="88">
        <f>IFERROR(__xludf.DUMMYFUNCTION("""COMPUTED_VALUE"""),0.0)</f>
        <v>0</v>
      </c>
      <c r="K196" s="88">
        <f>IFERROR(__xludf.DUMMYFUNCTION("""COMPUTED_VALUE"""),9.0)</f>
        <v>9</v>
      </c>
      <c r="L196" s="88">
        <f>IFERROR(__xludf.DUMMYFUNCTION("""COMPUTED_VALUE"""),0.0)</f>
        <v>0</v>
      </c>
      <c r="M196" s="89">
        <f>IFERROR(__xludf.DUMMYFUNCTION("""COMPUTED_VALUE"""),151.0)</f>
        <v>151</v>
      </c>
      <c r="N196" s="89">
        <f>IFERROR(__xludf.DUMMYFUNCTION("""COMPUTED_VALUE"""),3.0)</f>
        <v>3</v>
      </c>
    </row>
    <row r="197">
      <c r="A197" s="11"/>
      <c r="B197" s="82" t="str">
        <f>IFERROR(__xludf.DUMMYFUNCTION("""COMPUTED_VALUE"""),"Trinath Goteti")</f>
        <v>Trinath Goteti</v>
      </c>
      <c r="C197" s="87">
        <f>IFERROR(__xludf.DUMMYFUNCTION("""COMPUTED_VALUE"""),139.0)</f>
        <v>139</v>
      </c>
      <c r="D197" s="87">
        <f>IFERROR(__xludf.DUMMYFUNCTION("""COMPUTED_VALUE"""),4.0)</f>
        <v>4</v>
      </c>
      <c r="E197" s="86">
        <f>IFERROR(__xludf.DUMMYFUNCTION("""COMPUTED_VALUE"""),3.0)</f>
        <v>3</v>
      </c>
      <c r="F197" s="88">
        <f>IFERROR(__xludf.DUMMYFUNCTION("""COMPUTED_VALUE"""),0.0)</f>
        <v>0</v>
      </c>
      <c r="G197" s="88">
        <f>IFERROR(__xludf.DUMMYFUNCTION("""COMPUTED_VALUE"""),9.0)</f>
        <v>9</v>
      </c>
      <c r="H197" s="88">
        <f>IFERROR(__xludf.DUMMYFUNCTION("""COMPUTED_VALUE"""),0.0)</f>
        <v>0</v>
      </c>
      <c r="I197" s="88">
        <f>IFERROR(__xludf.DUMMYFUNCTION("""COMPUTED_VALUE"""),0.0)</f>
        <v>0</v>
      </c>
      <c r="J197" s="88">
        <f>IFERROR(__xludf.DUMMYFUNCTION("""COMPUTED_VALUE"""),0.0)</f>
        <v>0</v>
      </c>
      <c r="K197" s="88">
        <f>IFERROR(__xludf.DUMMYFUNCTION("""COMPUTED_VALUE"""),9.0)</f>
        <v>9</v>
      </c>
      <c r="L197" s="88">
        <f>IFERROR(__xludf.DUMMYFUNCTION("""COMPUTED_VALUE"""),0.0)</f>
        <v>0</v>
      </c>
      <c r="M197" s="89">
        <f>IFERROR(__xludf.DUMMYFUNCTION("""COMPUTED_VALUE"""),148.0)</f>
        <v>148</v>
      </c>
      <c r="N197" s="89">
        <f>IFERROR(__xludf.DUMMYFUNCTION("""COMPUTED_VALUE"""),4.0)</f>
        <v>4</v>
      </c>
    </row>
    <row r="198">
      <c r="A198" s="11"/>
      <c r="B198" s="82" t="str">
        <f>IFERROR(__xludf.DUMMYFUNCTION("""COMPUTED_VALUE"""),"Rajesh Dorairaj")</f>
        <v>Rajesh Dorairaj</v>
      </c>
      <c r="C198" s="87">
        <f>IFERROR(__xludf.DUMMYFUNCTION("""COMPUTED_VALUE"""),136.0)</f>
        <v>136</v>
      </c>
      <c r="D198" s="87">
        <f>IFERROR(__xludf.DUMMYFUNCTION("""COMPUTED_VALUE"""),6.0)</f>
        <v>6</v>
      </c>
      <c r="E198" s="86">
        <f>IFERROR(__xludf.DUMMYFUNCTION("""COMPUTED_VALUE"""),3.0)</f>
        <v>3</v>
      </c>
      <c r="F198" s="88">
        <f>IFERROR(__xludf.DUMMYFUNCTION("""COMPUTED_VALUE"""),0.0)</f>
        <v>0</v>
      </c>
      <c r="G198" s="88">
        <f>IFERROR(__xludf.DUMMYFUNCTION("""COMPUTED_VALUE"""),9.0)</f>
        <v>9</v>
      </c>
      <c r="H198" s="88">
        <f>IFERROR(__xludf.DUMMYFUNCTION("""COMPUTED_VALUE"""),0.0)</f>
        <v>0</v>
      </c>
      <c r="I198" s="88">
        <f>IFERROR(__xludf.DUMMYFUNCTION("""COMPUTED_VALUE"""),0.0)</f>
        <v>0</v>
      </c>
      <c r="J198" s="88">
        <f>IFERROR(__xludf.DUMMYFUNCTION("""COMPUTED_VALUE"""),0.0)</f>
        <v>0</v>
      </c>
      <c r="K198" s="88">
        <f>IFERROR(__xludf.DUMMYFUNCTION("""COMPUTED_VALUE"""),9.0)</f>
        <v>9</v>
      </c>
      <c r="L198" s="88">
        <f>IFERROR(__xludf.DUMMYFUNCTION("""COMPUTED_VALUE"""),0.0)</f>
        <v>0</v>
      </c>
      <c r="M198" s="89">
        <f>IFERROR(__xludf.DUMMYFUNCTION("""COMPUTED_VALUE"""),145.0)</f>
        <v>145</v>
      </c>
      <c r="N198" s="89">
        <f>IFERROR(__xludf.DUMMYFUNCTION("""COMPUTED_VALUE"""),6.0)</f>
        <v>6</v>
      </c>
    </row>
    <row r="199">
      <c r="A199" s="11"/>
      <c r="B199" s="82" t="str">
        <f>IFERROR(__xludf.DUMMYFUNCTION("""COMPUTED_VALUE"""),"Nohely Mejia")</f>
        <v>Nohely Mejia</v>
      </c>
      <c r="C199" s="87">
        <f>IFERROR(__xludf.DUMMYFUNCTION("""COMPUTED_VALUE"""),136.0)</f>
        <v>136</v>
      </c>
      <c r="D199" s="87">
        <f>IFERROR(__xludf.DUMMYFUNCTION("""COMPUTED_VALUE"""),3.0)</f>
        <v>3</v>
      </c>
      <c r="E199" s="86">
        <f>IFERROR(__xludf.DUMMYFUNCTION("""COMPUTED_VALUE"""),3.0)</f>
        <v>3</v>
      </c>
      <c r="F199" s="88">
        <f>IFERROR(__xludf.DUMMYFUNCTION("""COMPUTED_VALUE"""),0.0)</f>
        <v>0</v>
      </c>
      <c r="G199" s="88">
        <f>IFERROR(__xludf.DUMMYFUNCTION("""COMPUTED_VALUE"""),9.0)</f>
        <v>9</v>
      </c>
      <c r="H199" s="88">
        <f>IFERROR(__xludf.DUMMYFUNCTION("""COMPUTED_VALUE"""),0.0)</f>
        <v>0</v>
      </c>
      <c r="I199" s="88">
        <f>IFERROR(__xludf.DUMMYFUNCTION("""COMPUTED_VALUE"""),0.0)</f>
        <v>0</v>
      </c>
      <c r="J199" s="88">
        <f>IFERROR(__xludf.DUMMYFUNCTION("""COMPUTED_VALUE"""),0.0)</f>
        <v>0</v>
      </c>
      <c r="K199" s="88">
        <f>IFERROR(__xludf.DUMMYFUNCTION("""COMPUTED_VALUE"""),9.0)</f>
        <v>9</v>
      </c>
      <c r="L199" s="88">
        <f>IFERROR(__xludf.DUMMYFUNCTION("""COMPUTED_VALUE"""),0.0)</f>
        <v>0</v>
      </c>
      <c r="M199" s="89">
        <f>IFERROR(__xludf.DUMMYFUNCTION("""COMPUTED_VALUE"""),145.0)</f>
        <v>145</v>
      </c>
      <c r="N199" s="89">
        <f>IFERROR(__xludf.DUMMYFUNCTION("""COMPUTED_VALUE"""),3.0)</f>
        <v>3</v>
      </c>
    </row>
    <row r="200">
      <c r="A200" s="11"/>
      <c r="B200" s="82" t="str">
        <f>IFERROR(__xludf.DUMMYFUNCTION("""COMPUTED_VALUE"""),"Eric Pan")</f>
        <v>Eric Pan</v>
      </c>
      <c r="C200" s="87">
        <f>IFERROR(__xludf.DUMMYFUNCTION("""COMPUTED_VALUE"""),135.0)</f>
        <v>135</v>
      </c>
      <c r="D200" s="87">
        <f>IFERROR(__xludf.DUMMYFUNCTION("""COMPUTED_VALUE"""),3.0)</f>
        <v>3</v>
      </c>
      <c r="E200" s="86">
        <f>IFERROR(__xludf.DUMMYFUNCTION("""COMPUTED_VALUE"""),3.0)</f>
        <v>3</v>
      </c>
      <c r="F200" s="88">
        <f>IFERROR(__xludf.DUMMYFUNCTION("""COMPUTED_VALUE"""),0.0)</f>
        <v>0</v>
      </c>
      <c r="G200" s="88">
        <f>IFERROR(__xludf.DUMMYFUNCTION("""COMPUTED_VALUE"""),9.0)</f>
        <v>9</v>
      </c>
      <c r="H200" s="88">
        <f>IFERROR(__xludf.DUMMYFUNCTION("""COMPUTED_VALUE"""),0.0)</f>
        <v>0</v>
      </c>
      <c r="I200" s="88">
        <f>IFERROR(__xludf.DUMMYFUNCTION("""COMPUTED_VALUE"""),0.0)</f>
        <v>0</v>
      </c>
      <c r="J200" s="88">
        <f>IFERROR(__xludf.DUMMYFUNCTION("""COMPUTED_VALUE"""),0.0)</f>
        <v>0</v>
      </c>
      <c r="K200" s="88">
        <f>IFERROR(__xludf.DUMMYFUNCTION("""COMPUTED_VALUE"""),9.0)</f>
        <v>9</v>
      </c>
      <c r="L200" s="88">
        <f>IFERROR(__xludf.DUMMYFUNCTION("""COMPUTED_VALUE"""),0.0)</f>
        <v>0</v>
      </c>
      <c r="M200" s="89">
        <f>IFERROR(__xludf.DUMMYFUNCTION("""COMPUTED_VALUE"""),144.0)</f>
        <v>144</v>
      </c>
      <c r="N200" s="89">
        <f>IFERROR(__xludf.DUMMYFUNCTION("""COMPUTED_VALUE"""),3.0)</f>
        <v>3</v>
      </c>
    </row>
    <row r="201">
      <c r="A201" s="11"/>
      <c r="B201" s="82" t="str">
        <f>IFERROR(__xludf.DUMMYFUNCTION("""COMPUTED_VALUE"""),"Vishnu Amarnath")</f>
        <v>Vishnu Amarnath</v>
      </c>
      <c r="C201" s="87">
        <f>IFERROR(__xludf.DUMMYFUNCTION("""COMPUTED_VALUE"""),135.0)</f>
        <v>135</v>
      </c>
      <c r="D201" s="87">
        <f>IFERROR(__xludf.DUMMYFUNCTION("""COMPUTED_VALUE"""),3.0)</f>
        <v>3</v>
      </c>
      <c r="E201" s="86">
        <f>IFERROR(__xludf.DUMMYFUNCTION("""COMPUTED_VALUE"""),3.0)</f>
        <v>3</v>
      </c>
      <c r="F201" s="88">
        <f>IFERROR(__xludf.DUMMYFUNCTION("""COMPUTED_VALUE"""),0.0)</f>
        <v>0</v>
      </c>
      <c r="G201" s="88">
        <f>IFERROR(__xludf.DUMMYFUNCTION("""COMPUTED_VALUE"""),9.0)</f>
        <v>9</v>
      </c>
      <c r="H201" s="88">
        <f>IFERROR(__xludf.DUMMYFUNCTION("""COMPUTED_VALUE"""),0.0)</f>
        <v>0</v>
      </c>
      <c r="I201" s="88">
        <f>IFERROR(__xludf.DUMMYFUNCTION("""COMPUTED_VALUE"""),0.0)</f>
        <v>0</v>
      </c>
      <c r="J201" s="88">
        <f>IFERROR(__xludf.DUMMYFUNCTION("""COMPUTED_VALUE"""),0.0)</f>
        <v>0</v>
      </c>
      <c r="K201" s="88">
        <f>IFERROR(__xludf.DUMMYFUNCTION("""COMPUTED_VALUE"""),9.0)</f>
        <v>9</v>
      </c>
      <c r="L201" s="88">
        <f>IFERROR(__xludf.DUMMYFUNCTION("""COMPUTED_VALUE"""),0.0)</f>
        <v>0</v>
      </c>
      <c r="M201" s="89">
        <f>IFERROR(__xludf.DUMMYFUNCTION("""COMPUTED_VALUE"""),144.0)</f>
        <v>144</v>
      </c>
      <c r="N201" s="89">
        <f>IFERROR(__xludf.DUMMYFUNCTION("""COMPUTED_VALUE"""),3.0)</f>
        <v>3</v>
      </c>
    </row>
    <row r="202">
      <c r="A202" s="11"/>
      <c r="B202" s="82" t="str">
        <f>IFERROR(__xludf.DUMMYFUNCTION("""COMPUTED_VALUE"""),"Manish Anand")</f>
        <v>Manish Anand</v>
      </c>
      <c r="C202" s="87">
        <f>IFERROR(__xludf.DUMMYFUNCTION("""COMPUTED_VALUE"""),135.0)</f>
        <v>135</v>
      </c>
      <c r="D202" s="87">
        <f>IFERROR(__xludf.DUMMYFUNCTION("""COMPUTED_VALUE"""),3.0)</f>
        <v>3</v>
      </c>
      <c r="E202" s="86">
        <f>IFERROR(__xludf.DUMMYFUNCTION("""COMPUTED_VALUE"""),3.0)</f>
        <v>3</v>
      </c>
      <c r="F202" s="88">
        <f>IFERROR(__xludf.DUMMYFUNCTION("""COMPUTED_VALUE"""),0.0)</f>
        <v>0</v>
      </c>
      <c r="G202" s="88">
        <f>IFERROR(__xludf.DUMMYFUNCTION("""COMPUTED_VALUE"""),9.0)</f>
        <v>9</v>
      </c>
      <c r="H202" s="88">
        <f>IFERROR(__xludf.DUMMYFUNCTION("""COMPUTED_VALUE"""),0.0)</f>
        <v>0</v>
      </c>
      <c r="I202" s="88">
        <f>IFERROR(__xludf.DUMMYFUNCTION("""COMPUTED_VALUE"""),0.0)</f>
        <v>0</v>
      </c>
      <c r="J202" s="88">
        <f>IFERROR(__xludf.DUMMYFUNCTION("""COMPUTED_VALUE"""),0.0)</f>
        <v>0</v>
      </c>
      <c r="K202" s="88">
        <f>IFERROR(__xludf.DUMMYFUNCTION("""COMPUTED_VALUE"""),9.0)</f>
        <v>9</v>
      </c>
      <c r="L202" s="88">
        <f>IFERROR(__xludf.DUMMYFUNCTION("""COMPUTED_VALUE"""),0.0)</f>
        <v>0</v>
      </c>
      <c r="M202" s="89">
        <f>IFERROR(__xludf.DUMMYFUNCTION("""COMPUTED_VALUE"""),144.0)</f>
        <v>144</v>
      </c>
      <c r="N202" s="89">
        <f>IFERROR(__xludf.DUMMYFUNCTION("""COMPUTED_VALUE"""),3.0)</f>
        <v>3</v>
      </c>
    </row>
    <row r="203">
      <c r="A203" s="11"/>
      <c r="B203" s="82" t="str">
        <f>IFERROR(__xludf.DUMMYFUNCTION("""COMPUTED_VALUE"""),"Sandy Weyant")</f>
        <v>Sandy Weyant</v>
      </c>
      <c r="C203" s="87">
        <f>IFERROR(__xludf.DUMMYFUNCTION("""COMPUTED_VALUE"""),134.0)</f>
        <v>134</v>
      </c>
      <c r="D203" s="87">
        <f>IFERROR(__xludf.DUMMYFUNCTION("""COMPUTED_VALUE"""),5.0)</f>
        <v>5</v>
      </c>
      <c r="E203" s="86">
        <f>IFERROR(__xludf.DUMMYFUNCTION("""COMPUTED_VALUE"""),3.0)</f>
        <v>3</v>
      </c>
      <c r="F203" s="88">
        <f>IFERROR(__xludf.DUMMYFUNCTION("""COMPUTED_VALUE"""),0.0)</f>
        <v>0</v>
      </c>
      <c r="G203" s="88">
        <f>IFERROR(__xludf.DUMMYFUNCTION("""COMPUTED_VALUE"""),9.0)</f>
        <v>9</v>
      </c>
      <c r="H203" s="88">
        <f>IFERROR(__xludf.DUMMYFUNCTION("""COMPUTED_VALUE"""),0.0)</f>
        <v>0</v>
      </c>
      <c r="I203" s="88">
        <f>IFERROR(__xludf.DUMMYFUNCTION("""COMPUTED_VALUE"""),0.0)</f>
        <v>0</v>
      </c>
      <c r="J203" s="88">
        <f>IFERROR(__xludf.DUMMYFUNCTION("""COMPUTED_VALUE"""),0.0)</f>
        <v>0</v>
      </c>
      <c r="K203" s="88">
        <f>IFERROR(__xludf.DUMMYFUNCTION("""COMPUTED_VALUE"""),9.0)</f>
        <v>9</v>
      </c>
      <c r="L203" s="88">
        <f>IFERROR(__xludf.DUMMYFUNCTION("""COMPUTED_VALUE"""),0.0)</f>
        <v>0</v>
      </c>
      <c r="M203" s="89">
        <f>IFERROR(__xludf.DUMMYFUNCTION("""COMPUTED_VALUE"""),143.0)</f>
        <v>143</v>
      </c>
      <c r="N203" s="89">
        <f>IFERROR(__xludf.DUMMYFUNCTION("""COMPUTED_VALUE"""),5.0)</f>
        <v>5</v>
      </c>
    </row>
    <row r="204">
      <c r="A204" s="11"/>
      <c r="B204" s="82" t="str">
        <f>IFERROR(__xludf.DUMMYFUNCTION("""COMPUTED_VALUE"""),"Leigh-Anh Nguyen")</f>
        <v>Leigh-Anh Nguyen</v>
      </c>
      <c r="C204" s="87">
        <f>IFERROR(__xludf.DUMMYFUNCTION("""COMPUTED_VALUE"""),131.0)</f>
        <v>131</v>
      </c>
      <c r="D204" s="87">
        <f>IFERROR(__xludf.DUMMYFUNCTION("""COMPUTED_VALUE"""),4.0)</f>
        <v>4</v>
      </c>
      <c r="E204" s="86">
        <f>IFERROR(__xludf.DUMMYFUNCTION("""COMPUTED_VALUE"""),3.0)</f>
        <v>3</v>
      </c>
      <c r="F204" s="88">
        <f>IFERROR(__xludf.DUMMYFUNCTION("""COMPUTED_VALUE"""),0.0)</f>
        <v>0</v>
      </c>
      <c r="G204" s="88">
        <f>IFERROR(__xludf.DUMMYFUNCTION("""COMPUTED_VALUE"""),9.0)</f>
        <v>9</v>
      </c>
      <c r="H204" s="88">
        <f>IFERROR(__xludf.DUMMYFUNCTION("""COMPUTED_VALUE"""),0.0)</f>
        <v>0</v>
      </c>
      <c r="I204" s="88">
        <f>IFERROR(__xludf.DUMMYFUNCTION("""COMPUTED_VALUE"""),0.0)</f>
        <v>0</v>
      </c>
      <c r="J204" s="88">
        <f>IFERROR(__xludf.DUMMYFUNCTION("""COMPUTED_VALUE"""),0.0)</f>
        <v>0</v>
      </c>
      <c r="K204" s="88">
        <f>IFERROR(__xludf.DUMMYFUNCTION("""COMPUTED_VALUE"""),9.0)</f>
        <v>9</v>
      </c>
      <c r="L204" s="88">
        <f>IFERROR(__xludf.DUMMYFUNCTION("""COMPUTED_VALUE"""),0.0)</f>
        <v>0</v>
      </c>
      <c r="M204" s="89">
        <f>IFERROR(__xludf.DUMMYFUNCTION("""COMPUTED_VALUE"""),140.0)</f>
        <v>140</v>
      </c>
      <c r="N204" s="89">
        <f>IFERROR(__xludf.DUMMYFUNCTION("""COMPUTED_VALUE"""),4.0)</f>
        <v>4</v>
      </c>
    </row>
    <row r="205">
      <c r="A205" s="11"/>
      <c r="B205" s="82" t="str">
        <f>IFERROR(__xludf.DUMMYFUNCTION("""COMPUTED_VALUE"""),"Peter Homsey")</f>
        <v>Peter Homsey</v>
      </c>
      <c r="C205" s="87">
        <f>IFERROR(__xludf.DUMMYFUNCTION("""COMPUTED_VALUE"""),130.0)</f>
        <v>130</v>
      </c>
      <c r="D205" s="87">
        <f>IFERROR(__xludf.DUMMYFUNCTION("""COMPUTED_VALUE"""),0.0)</f>
        <v>0</v>
      </c>
      <c r="E205" s="86">
        <f>IFERROR(__xludf.DUMMYFUNCTION("""COMPUTED_VALUE"""),3.0)</f>
        <v>3</v>
      </c>
      <c r="F205" s="88">
        <f>IFERROR(__xludf.DUMMYFUNCTION("""COMPUTED_VALUE"""),0.0)</f>
        <v>0</v>
      </c>
      <c r="G205" s="88">
        <f>IFERROR(__xludf.DUMMYFUNCTION("""COMPUTED_VALUE"""),9.0)</f>
        <v>9</v>
      </c>
      <c r="H205" s="88">
        <f>IFERROR(__xludf.DUMMYFUNCTION("""COMPUTED_VALUE"""),0.0)</f>
        <v>0</v>
      </c>
      <c r="I205" s="88">
        <f>IFERROR(__xludf.DUMMYFUNCTION("""COMPUTED_VALUE"""),0.0)</f>
        <v>0</v>
      </c>
      <c r="J205" s="88">
        <f>IFERROR(__xludf.DUMMYFUNCTION("""COMPUTED_VALUE"""),0.0)</f>
        <v>0</v>
      </c>
      <c r="K205" s="88">
        <f>IFERROR(__xludf.DUMMYFUNCTION("""COMPUTED_VALUE"""),9.0)</f>
        <v>9</v>
      </c>
      <c r="L205" s="88">
        <f>IFERROR(__xludf.DUMMYFUNCTION("""COMPUTED_VALUE"""),0.0)</f>
        <v>0</v>
      </c>
      <c r="M205" s="89">
        <f>IFERROR(__xludf.DUMMYFUNCTION("""COMPUTED_VALUE"""),139.0)</f>
        <v>139</v>
      </c>
      <c r="N205" s="89">
        <f>IFERROR(__xludf.DUMMYFUNCTION("""COMPUTED_VALUE"""),0.0)</f>
        <v>0</v>
      </c>
    </row>
    <row r="206">
      <c r="A206" s="11"/>
      <c r="B206" s="82" t="str">
        <f>IFERROR(__xludf.DUMMYFUNCTION("""COMPUTED_VALUE"""),"Amit Patel")</f>
        <v>Amit Patel</v>
      </c>
      <c r="C206" s="86">
        <f>IFERROR(__xludf.DUMMYFUNCTION("""COMPUTED_VALUE"""),130.0)</f>
        <v>130</v>
      </c>
      <c r="D206" s="87">
        <f>IFERROR(__xludf.DUMMYFUNCTION("""COMPUTED_VALUE"""),0.0)</f>
        <v>0</v>
      </c>
      <c r="E206" s="86">
        <f>IFERROR(__xludf.DUMMYFUNCTION("""COMPUTED_VALUE"""),3.0)</f>
        <v>3</v>
      </c>
      <c r="F206" s="88">
        <f>IFERROR(__xludf.DUMMYFUNCTION("""COMPUTED_VALUE"""),0.0)</f>
        <v>0</v>
      </c>
      <c r="G206" s="88">
        <f>IFERROR(__xludf.DUMMYFUNCTION("""COMPUTED_VALUE"""),9.0)</f>
        <v>9</v>
      </c>
      <c r="H206" s="88">
        <f>IFERROR(__xludf.DUMMYFUNCTION("""COMPUTED_VALUE"""),0.0)</f>
        <v>0</v>
      </c>
      <c r="I206" s="88">
        <f>IFERROR(__xludf.DUMMYFUNCTION("""COMPUTED_VALUE"""),0.0)</f>
        <v>0</v>
      </c>
      <c r="J206" s="88">
        <f>IFERROR(__xludf.DUMMYFUNCTION("""COMPUTED_VALUE"""),0.0)</f>
        <v>0</v>
      </c>
      <c r="K206" s="88">
        <f>IFERROR(__xludf.DUMMYFUNCTION("""COMPUTED_VALUE"""),9.0)</f>
        <v>9</v>
      </c>
      <c r="L206" s="88">
        <f>IFERROR(__xludf.DUMMYFUNCTION("""COMPUTED_VALUE"""),0.0)</f>
        <v>0</v>
      </c>
      <c r="M206" s="88">
        <f>IFERROR(__xludf.DUMMYFUNCTION("""COMPUTED_VALUE"""),139.0)</f>
        <v>139</v>
      </c>
      <c r="N206" s="89">
        <f>IFERROR(__xludf.DUMMYFUNCTION("""COMPUTED_VALUE"""),0.0)</f>
        <v>0</v>
      </c>
    </row>
    <row r="207">
      <c r="A207" s="11"/>
      <c r="B207" s="82" t="str">
        <f>IFERROR(__xludf.DUMMYFUNCTION("""COMPUTED_VALUE"""),"Joyce Zhu")</f>
        <v>Joyce Zhu</v>
      </c>
      <c r="C207" s="86">
        <f>IFERROR(__xludf.DUMMYFUNCTION("""COMPUTED_VALUE"""),123.0)</f>
        <v>123</v>
      </c>
      <c r="D207" s="87">
        <f>IFERROR(__xludf.DUMMYFUNCTION("""COMPUTED_VALUE"""),6.0)</f>
        <v>6</v>
      </c>
      <c r="E207" s="86">
        <f>IFERROR(__xludf.DUMMYFUNCTION("""COMPUTED_VALUE"""),3.0)</f>
        <v>3</v>
      </c>
      <c r="F207" s="88">
        <f>IFERROR(__xludf.DUMMYFUNCTION("""COMPUTED_VALUE"""),0.0)</f>
        <v>0</v>
      </c>
      <c r="G207" s="88">
        <f>IFERROR(__xludf.DUMMYFUNCTION("""COMPUTED_VALUE"""),9.0)</f>
        <v>9</v>
      </c>
      <c r="H207" s="88">
        <f>IFERROR(__xludf.DUMMYFUNCTION("""COMPUTED_VALUE"""),0.0)</f>
        <v>0</v>
      </c>
      <c r="I207" s="88">
        <f>IFERROR(__xludf.DUMMYFUNCTION("""COMPUTED_VALUE"""),0.0)</f>
        <v>0</v>
      </c>
      <c r="J207" s="88">
        <f>IFERROR(__xludf.DUMMYFUNCTION("""COMPUTED_VALUE"""),0.0)</f>
        <v>0</v>
      </c>
      <c r="K207" s="88">
        <f>IFERROR(__xludf.DUMMYFUNCTION("""COMPUTED_VALUE"""),9.0)</f>
        <v>9</v>
      </c>
      <c r="L207" s="88">
        <f>IFERROR(__xludf.DUMMYFUNCTION("""COMPUTED_VALUE"""),0.0)</f>
        <v>0</v>
      </c>
      <c r="M207" s="88">
        <f>IFERROR(__xludf.DUMMYFUNCTION("""COMPUTED_VALUE"""),132.0)</f>
        <v>132</v>
      </c>
      <c r="N207" s="89">
        <f>IFERROR(__xludf.DUMMYFUNCTION("""COMPUTED_VALUE"""),6.0)</f>
        <v>6</v>
      </c>
    </row>
    <row r="208">
      <c r="A208" s="11"/>
      <c r="B208" s="82" t="str">
        <f>IFERROR(__xludf.DUMMYFUNCTION("""COMPUTED_VALUE"""),"Jose Ortiz")</f>
        <v>Jose Ortiz</v>
      </c>
      <c r="C208" s="86">
        <f>IFERROR(__xludf.DUMMYFUNCTION("""COMPUTED_VALUE"""),117.0)</f>
        <v>117</v>
      </c>
      <c r="D208" s="87">
        <f>IFERROR(__xludf.DUMMYFUNCTION("""COMPUTED_VALUE"""),0.0)</f>
        <v>0</v>
      </c>
      <c r="E208" s="86">
        <f>IFERROR(__xludf.DUMMYFUNCTION("""COMPUTED_VALUE"""),3.0)</f>
        <v>3</v>
      </c>
      <c r="F208" s="88">
        <f>IFERROR(__xludf.DUMMYFUNCTION("""COMPUTED_VALUE"""),0.0)</f>
        <v>0</v>
      </c>
      <c r="G208" s="88">
        <f>IFERROR(__xludf.DUMMYFUNCTION("""COMPUTED_VALUE"""),9.0)</f>
        <v>9</v>
      </c>
      <c r="H208" s="88">
        <f>IFERROR(__xludf.DUMMYFUNCTION("""COMPUTED_VALUE"""),0.0)</f>
        <v>0</v>
      </c>
      <c r="I208" s="88">
        <f>IFERROR(__xludf.DUMMYFUNCTION("""COMPUTED_VALUE"""),0.0)</f>
        <v>0</v>
      </c>
      <c r="J208" s="88">
        <f>IFERROR(__xludf.DUMMYFUNCTION("""COMPUTED_VALUE"""),0.0)</f>
        <v>0</v>
      </c>
      <c r="K208" s="88">
        <f>IFERROR(__xludf.DUMMYFUNCTION("""COMPUTED_VALUE"""),9.0)</f>
        <v>9</v>
      </c>
      <c r="L208" s="88">
        <f>IFERROR(__xludf.DUMMYFUNCTION("""COMPUTED_VALUE"""),0.0)</f>
        <v>0</v>
      </c>
      <c r="M208" s="88">
        <f>IFERROR(__xludf.DUMMYFUNCTION("""COMPUTED_VALUE"""),126.0)</f>
        <v>126</v>
      </c>
      <c r="N208" s="89">
        <f>IFERROR(__xludf.DUMMYFUNCTION("""COMPUTED_VALUE"""),0.0)</f>
        <v>0</v>
      </c>
    </row>
    <row r="209">
      <c r="A209" s="11"/>
      <c r="B209" s="82"/>
      <c r="C209" s="86"/>
      <c r="D209" s="87"/>
      <c r="E209" s="86"/>
      <c r="F209" s="88"/>
      <c r="G209" s="88"/>
      <c r="H209" s="88"/>
      <c r="I209" s="88"/>
      <c r="J209" s="88"/>
      <c r="K209" s="88"/>
      <c r="L209" s="88"/>
      <c r="M209" s="88"/>
      <c r="N209" s="89"/>
    </row>
    <row r="210">
      <c r="A210" s="11"/>
      <c r="B210" s="82"/>
      <c r="C210" s="86"/>
      <c r="D210" s="87"/>
      <c r="E210" s="86"/>
      <c r="F210" s="88"/>
      <c r="G210" s="88"/>
      <c r="H210" s="88"/>
      <c r="I210" s="88"/>
      <c r="J210" s="88"/>
      <c r="K210" s="88"/>
      <c r="L210" s="88"/>
      <c r="M210" s="88"/>
      <c r="N210" s="89"/>
    </row>
    <row r="211">
      <c r="A211" s="11"/>
      <c r="B211" s="82"/>
      <c r="C211" s="86"/>
      <c r="D211" s="87"/>
      <c r="E211" s="86"/>
      <c r="F211" s="88"/>
      <c r="G211" s="88"/>
      <c r="H211" s="88"/>
      <c r="I211" s="88"/>
      <c r="J211" s="88"/>
      <c r="K211" s="88"/>
      <c r="L211" s="88"/>
      <c r="M211" s="88"/>
      <c r="N211" s="89"/>
    </row>
    <row r="212">
      <c r="A212" s="11"/>
      <c r="B212" s="82"/>
      <c r="C212" s="86"/>
      <c r="D212" s="87"/>
      <c r="E212" s="86"/>
      <c r="F212" s="88"/>
      <c r="G212" s="88"/>
      <c r="H212" s="88"/>
      <c r="I212" s="88"/>
      <c r="J212" s="88"/>
      <c r="K212" s="88"/>
      <c r="L212" s="88"/>
      <c r="M212" s="88"/>
      <c r="N212" s="89"/>
    </row>
    <row r="213">
      <c r="A213" s="11"/>
      <c r="B213" s="82"/>
      <c r="C213" s="86"/>
      <c r="D213" s="87"/>
      <c r="E213" s="86"/>
      <c r="F213" s="88"/>
      <c r="G213" s="88"/>
      <c r="H213" s="88"/>
      <c r="I213" s="88"/>
      <c r="J213" s="88"/>
      <c r="K213" s="88"/>
      <c r="L213" s="88"/>
      <c r="M213" s="88"/>
      <c r="N213" s="89"/>
    </row>
    <row r="214">
      <c r="A214" s="11"/>
      <c r="B214" s="82"/>
      <c r="C214" s="86"/>
      <c r="D214" s="87"/>
      <c r="E214" s="86"/>
      <c r="F214" s="88"/>
      <c r="G214" s="88"/>
      <c r="H214" s="88"/>
      <c r="I214" s="88"/>
      <c r="J214" s="88"/>
      <c r="K214" s="88"/>
      <c r="L214" s="88"/>
      <c r="M214" s="88"/>
      <c r="N214" s="89"/>
    </row>
    <row r="215">
      <c r="A215" s="11"/>
      <c r="B215" s="82"/>
      <c r="C215" s="86"/>
      <c r="D215" s="87"/>
      <c r="E215" s="86"/>
      <c r="F215" s="88"/>
      <c r="G215" s="88"/>
      <c r="H215" s="88"/>
      <c r="I215" s="88"/>
      <c r="J215" s="88"/>
      <c r="K215" s="88"/>
      <c r="L215" s="88"/>
      <c r="M215" s="88"/>
      <c r="N215" s="89"/>
    </row>
    <row r="216">
      <c r="A216" s="11"/>
      <c r="B216" s="82"/>
      <c r="C216" s="86"/>
      <c r="D216" s="87"/>
      <c r="E216" s="86"/>
      <c r="F216" s="88"/>
      <c r="G216" s="88"/>
      <c r="H216" s="88"/>
      <c r="I216" s="88"/>
      <c r="J216" s="88"/>
      <c r="K216" s="88"/>
      <c r="L216" s="88"/>
      <c r="M216" s="88"/>
      <c r="N216" s="89"/>
    </row>
    <row r="217">
      <c r="A217" s="11"/>
      <c r="B217" s="82"/>
      <c r="C217" s="86"/>
      <c r="D217" s="87"/>
      <c r="E217" s="86"/>
      <c r="F217" s="88"/>
      <c r="G217" s="88"/>
      <c r="H217" s="88"/>
      <c r="I217" s="88"/>
      <c r="J217" s="88"/>
      <c r="K217" s="88"/>
      <c r="L217" s="88"/>
      <c r="M217" s="88"/>
      <c r="N217" s="89"/>
    </row>
    <row r="218">
      <c r="A218" s="11"/>
      <c r="B218" s="82"/>
      <c r="C218" s="86"/>
      <c r="D218" s="87"/>
      <c r="E218" s="86"/>
      <c r="F218" s="88"/>
      <c r="G218" s="88"/>
      <c r="H218" s="88"/>
      <c r="I218" s="88"/>
      <c r="J218" s="88"/>
      <c r="K218" s="88"/>
      <c r="L218" s="88"/>
      <c r="M218" s="88"/>
      <c r="N218" s="89"/>
    </row>
    <row r="219">
      <c r="A219" s="11"/>
      <c r="B219" s="82"/>
      <c r="C219" s="86"/>
      <c r="D219" s="87"/>
      <c r="E219" s="86"/>
      <c r="F219" s="88"/>
      <c r="G219" s="88"/>
      <c r="H219" s="88"/>
      <c r="I219" s="88"/>
      <c r="J219" s="88"/>
      <c r="K219" s="88"/>
      <c r="L219" s="88"/>
      <c r="M219" s="88"/>
      <c r="N219" s="89"/>
    </row>
    <row r="220">
      <c r="A220" s="11"/>
      <c r="B220" s="82"/>
      <c r="C220" s="86"/>
      <c r="D220" s="87"/>
      <c r="E220" s="86"/>
      <c r="F220" s="88"/>
      <c r="G220" s="88"/>
      <c r="H220" s="88"/>
      <c r="I220" s="88"/>
      <c r="J220" s="88"/>
      <c r="K220" s="88"/>
      <c r="L220" s="88"/>
      <c r="M220" s="88"/>
      <c r="N220" s="89"/>
    </row>
    <row r="221">
      <c r="A221" s="11"/>
      <c r="B221" s="82"/>
      <c r="C221" s="86"/>
      <c r="D221" s="87"/>
      <c r="E221" s="86"/>
      <c r="F221" s="88"/>
      <c r="G221" s="88"/>
      <c r="H221" s="88"/>
      <c r="I221" s="88"/>
      <c r="J221" s="88"/>
      <c r="K221" s="88"/>
      <c r="L221" s="88"/>
      <c r="M221" s="88"/>
      <c r="N221" s="89"/>
    </row>
    <row r="222">
      <c r="A222" s="11"/>
      <c r="B222" s="82"/>
      <c r="C222" s="86"/>
      <c r="D222" s="87"/>
      <c r="E222" s="86"/>
      <c r="F222" s="88"/>
      <c r="G222" s="88"/>
      <c r="H222" s="88"/>
      <c r="I222" s="88"/>
      <c r="J222" s="88"/>
      <c r="K222" s="88"/>
      <c r="L222" s="88"/>
      <c r="M222" s="88"/>
      <c r="N222" s="89"/>
    </row>
    <row r="223">
      <c r="A223" s="11"/>
      <c r="B223" s="82"/>
      <c r="C223" s="86"/>
      <c r="D223" s="87"/>
      <c r="E223" s="86"/>
      <c r="F223" s="88"/>
      <c r="G223" s="88"/>
      <c r="H223" s="88"/>
      <c r="I223" s="88"/>
      <c r="J223" s="88"/>
      <c r="K223" s="88"/>
      <c r="L223" s="88"/>
      <c r="M223" s="88"/>
      <c r="N223" s="89"/>
    </row>
    <row r="224">
      <c r="A224" s="11"/>
      <c r="B224" s="82"/>
      <c r="C224" s="86"/>
      <c r="D224" s="87"/>
      <c r="E224" s="86"/>
      <c r="F224" s="88"/>
      <c r="G224" s="88"/>
      <c r="H224" s="88"/>
      <c r="I224" s="88"/>
      <c r="J224" s="88"/>
      <c r="K224" s="88"/>
      <c r="L224" s="88"/>
      <c r="M224" s="88"/>
      <c r="N224" s="89"/>
    </row>
    <row r="225">
      <c r="A225" s="11"/>
      <c r="B225" s="82"/>
      <c r="C225" s="86"/>
      <c r="D225" s="87"/>
      <c r="E225" s="86"/>
      <c r="F225" s="88"/>
      <c r="G225" s="88"/>
      <c r="H225" s="88"/>
      <c r="I225" s="88"/>
      <c r="J225" s="88"/>
      <c r="K225" s="88"/>
      <c r="L225" s="88"/>
      <c r="M225" s="88"/>
      <c r="N225" s="89"/>
    </row>
    <row r="226">
      <c r="A226" s="11"/>
      <c r="B226" s="82"/>
      <c r="C226" s="86"/>
      <c r="D226" s="87"/>
      <c r="E226" s="86"/>
      <c r="F226" s="88"/>
      <c r="G226" s="88"/>
      <c r="H226" s="88"/>
      <c r="I226" s="88"/>
      <c r="J226" s="88"/>
      <c r="K226" s="88"/>
      <c r="L226" s="88"/>
      <c r="M226" s="88"/>
      <c r="N226" s="89"/>
    </row>
    <row r="227">
      <c r="A227" s="11"/>
      <c r="B227" s="82"/>
      <c r="C227" s="86"/>
      <c r="D227" s="87"/>
      <c r="E227" s="86"/>
      <c r="F227" s="88"/>
      <c r="G227" s="88"/>
      <c r="H227" s="88"/>
      <c r="I227" s="88"/>
      <c r="J227" s="88"/>
      <c r="K227" s="88"/>
      <c r="L227" s="88"/>
      <c r="M227" s="88"/>
      <c r="N227" s="89"/>
    </row>
    <row r="228">
      <c r="A228" s="11"/>
      <c r="B228" s="82"/>
      <c r="C228" s="86"/>
      <c r="D228" s="87"/>
      <c r="E228" s="86"/>
      <c r="F228" s="88"/>
      <c r="G228" s="88"/>
      <c r="H228" s="88"/>
      <c r="I228" s="88"/>
      <c r="J228" s="88"/>
      <c r="K228" s="88"/>
      <c r="L228" s="88"/>
      <c r="M228" s="88"/>
      <c r="N228" s="89"/>
    </row>
    <row r="229">
      <c r="A229" s="11"/>
      <c r="B229" s="82"/>
      <c r="C229" s="86"/>
      <c r="D229" s="87"/>
      <c r="E229" s="86"/>
      <c r="F229" s="88"/>
      <c r="G229" s="88"/>
      <c r="H229" s="88"/>
      <c r="I229" s="88"/>
      <c r="J229" s="88"/>
      <c r="K229" s="88"/>
      <c r="L229" s="88"/>
      <c r="M229" s="88"/>
      <c r="N229" s="89"/>
    </row>
    <row r="230">
      <c r="A230" s="11"/>
      <c r="B230" s="82"/>
      <c r="C230" s="86"/>
      <c r="D230" s="87"/>
      <c r="E230" s="86"/>
      <c r="F230" s="88"/>
      <c r="G230" s="88"/>
      <c r="H230" s="88"/>
      <c r="I230" s="88"/>
      <c r="J230" s="88"/>
      <c r="K230" s="88"/>
      <c r="L230" s="88"/>
      <c r="M230" s="88"/>
      <c r="N230" s="89"/>
    </row>
    <row r="231">
      <c r="A231" s="11"/>
      <c r="B231" s="82"/>
      <c r="C231" s="86"/>
      <c r="D231" s="87"/>
      <c r="E231" s="86"/>
      <c r="F231" s="88"/>
      <c r="G231" s="88"/>
      <c r="H231" s="88"/>
      <c r="I231" s="88"/>
      <c r="J231" s="88"/>
      <c r="K231" s="88"/>
      <c r="L231" s="88"/>
      <c r="M231" s="88"/>
      <c r="N231" s="89"/>
    </row>
    <row r="232">
      <c r="A232" s="11"/>
      <c r="B232" s="82"/>
      <c r="C232" s="86"/>
      <c r="D232" s="87"/>
      <c r="E232" s="86"/>
      <c r="F232" s="88"/>
      <c r="G232" s="88"/>
      <c r="H232" s="88"/>
      <c r="I232" s="88"/>
      <c r="J232" s="88"/>
      <c r="K232" s="88"/>
      <c r="L232" s="88"/>
      <c r="M232" s="88"/>
      <c r="N232" s="89"/>
    </row>
    <row r="233">
      <c r="A233" s="11"/>
      <c r="B233" s="82"/>
      <c r="C233" s="86"/>
      <c r="D233" s="87"/>
      <c r="E233" s="86"/>
      <c r="F233" s="88"/>
      <c r="G233" s="88"/>
      <c r="H233" s="88"/>
      <c r="I233" s="88"/>
      <c r="J233" s="88"/>
      <c r="K233" s="88"/>
      <c r="L233" s="88"/>
      <c r="M233" s="88"/>
      <c r="N233" s="89"/>
    </row>
    <row r="234">
      <c r="A234" s="11"/>
      <c r="B234" s="82"/>
      <c r="C234" s="86"/>
      <c r="D234" s="87"/>
      <c r="E234" s="86"/>
      <c r="F234" s="88"/>
      <c r="G234" s="88"/>
      <c r="H234" s="88"/>
      <c r="I234" s="88"/>
      <c r="J234" s="88"/>
      <c r="K234" s="88"/>
      <c r="L234" s="88"/>
      <c r="M234" s="88"/>
      <c r="N234" s="89"/>
    </row>
    <row r="235">
      <c r="A235" s="11"/>
      <c r="B235" s="82"/>
      <c r="C235" s="86"/>
      <c r="D235" s="87"/>
      <c r="E235" s="86"/>
      <c r="F235" s="88"/>
      <c r="G235" s="88"/>
      <c r="H235" s="88"/>
      <c r="I235" s="88"/>
      <c r="J235" s="88"/>
      <c r="K235" s="88"/>
      <c r="L235" s="88"/>
      <c r="M235" s="88"/>
      <c r="N235" s="89"/>
    </row>
    <row r="236">
      <c r="A236" s="11"/>
      <c r="B236" s="82"/>
      <c r="C236" s="86"/>
      <c r="D236" s="87"/>
      <c r="E236" s="86"/>
      <c r="F236" s="88"/>
      <c r="G236" s="88"/>
      <c r="H236" s="88"/>
      <c r="I236" s="88"/>
      <c r="J236" s="88"/>
      <c r="K236" s="88"/>
      <c r="L236" s="88"/>
      <c r="M236" s="88"/>
      <c r="N236" s="89"/>
    </row>
    <row r="237">
      <c r="A237" s="11"/>
      <c r="B237" s="82"/>
      <c r="C237" s="86"/>
      <c r="D237" s="87"/>
      <c r="E237" s="86"/>
      <c r="F237" s="88"/>
      <c r="G237" s="88"/>
      <c r="H237" s="88"/>
      <c r="I237" s="88"/>
      <c r="J237" s="88"/>
      <c r="K237" s="88"/>
      <c r="L237" s="88"/>
      <c r="M237" s="88"/>
      <c r="N237" s="89"/>
    </row>
    <row r="238">
      <c r="A238" s="11"/>
      <c r="B238" s="82"/>
      <c r="C238" s="86"/>
      <c r="D238" s="87"/>
      <c r="E238" s="86"/>
      <c r="F238" s="88"/>
      <c r="G238" s="88"/>
      <c r="H238" s="88"/>
      <c r="I238" s="88"/>
      <c r="J238" s="88"/>
      <c r="K238" s="88"/>
      <c r="L238" s="88"/>
      <c r="M238" s="88"/>
      <c r="N238" s="89"/>
    </row>
    <row r="239">
      <c r="A239" s="11"/>
      <c r="B239" s="82"/>
      <c r="C239" s="86"/>
      <c r="D239" s="87"/>
      <c r="E239" s="86"/>
      <c r="F239" s="88"/>
      <c r="G239" s="88"/>
      <c r="H239" s="88"/>
      <c r="I239" s="88"/>
      <c r="J239" s="88"/>
      <c r="K239" s="88"/>
      <c r="L239" s="88"/>
      <c r="M239" s="88"/>
      <c r="N239" s="89"/>
    </row>
    <row r="240">
      <c r="A240" s="11"/>
      <c r="C240" s="11"/>
      <c r="D240" s="11"/>
      <c r="E240" s="11"/>
    </row>
    <row r="241">
      <c r="A241" s="11"/>
      <c r="C241" s="11"/>
      <c r="D241" s="11"/>
      <c r="E241" s="11"/>
    </row>
    <row r="242">
      <c r="A242" s="11"/>
      <c r="C242" s="11"/>
      <c r="D242" s="11"/>
      <c r="E242" s="11"/>
    </row>
    <row r="243">
      <c r="A243" s="11"/>
      <c r="C243" s="11"/>
      <c r="D243" s="11"/>
      <c r="E243" s="11"/>
    </row>
    <row r="244">
      <c r="A244" s="11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B261" s="90" t="s">
        <v>167</v>
      </c>
      <c r="C261" s="11"/>
      <c r="D261" s="11"/>
      <c r="E261" s="11"/>
      <c r="U261" s="90" t="s">
        <v>168</v>
      </c>
    </row>
    <row r="262">
      <c r="A262" s="49">
        <v>1.0</v>
      </c>
      <c r="B262" s="82" t="str">
        <f>IFERROR(__xludf.DUMMYFUNCTION("QUERY(B5:Q70, ""Select B   where Q is null"")"),"Adrian Tay")</f>
        <v>Adrian Tay</v>
      </c>
      <c r="C262" s="11"/>
      <c r="D262" s="11"/>
      <c r="E262" s="11"/>
      <c r="T262" s="49">
        <v>1.0</v>
      </c>
      <c r="U262" s="17" t="str">
        <f>IFERROR(__xludf.DUMMYFUNCTION("QUERY(B5:Q70, ""Select B   where Q = 'N' "")"),"Christopher Li")</f>
        <v>Christopher Li</v>
      </c>
    </row>
    <row r="263">
      <c r="A263" s="11">
        <f t="shared" ref="A263:A283" si="73">A262+1</f>
        <v>2</v>
      </c>
      <c r="B263" s="82" t="str">
        <f>IFERROR(__xludf.DUMMYFUNCTION("""COMPUTED_VALUE"""),"Tom Le")</f>
        <v>Tom Le</v>
      </c>
      <c r="C263" s="11"/>
      <c r="D263" s="11"/>
      <c r="E263" s="11"/>
      <c r="T263" s="11">
        <f t="shared" ref="T263:T274" si="74">T262+1</f>
        <v>2</v>
      </c>
    </row>
    <row r="264">
      <c r="A264" s="11">
        <f t="shared" si="73"/>
        <v>3</v>
      </c>
      <c r="B264" s="82" t="str">
        <f>IFERROR(__xludf.DUMMYFUNCTION("""COMPUTED_VALUE"""),"Ted Shen")</f>
        <v>Ted Shen</v>
      </c>
      <c r="C264" s="11"/>
      <c r="D264" s="11"/>
      <c r="E264" s="11"/>
      <c r="T264" s="11">
        <f t="shared" si="74"/>
        <v>3</v>
      </c>
    </row>
    <row r="265">
      <c r="A265" s="11">
        <f t="shared" si="73"/>
        <v>4</v>
      </c>
      <c r="B265" s="82" t="str">
        <f>IFERROR(__xludf.DUMMYFUNCTION("""COMPUTED_VALUE"""),"Alejandro Mejia")</f>
        <v>Alejandro Mejia</v>
      </c>
      <c r="C265" s="11"/>
      <c r="D265" s="11"/>
      <c r="E265" s="11"/>
      <c r="T265" s="11">
        <f t="shared" si="74"/>
        <v>4</v>
      </c>
    </row>
    <row r="266">
      <c r="A266" s="11">
        <f t="shared" si="73"/>
        <v>5</v>
      </c>
      <c r="B266" s="82" t="str">
        <f>IFERROR(__xludf.DUMMYFUNCTION("""COMPUTED_VALUE"""),"Frank Moon")</f>
        <v>Frank Moon</v>
      </c>
      <c r="C266" s="11"/>
      <c r="D266" s="11"/>
      <c r="E266" s="11"/>
      <c r="T266" s="11">
        <f t="shared" si="74"/>
        <v>5</v>
      </c>
    </row>
    <row r="267">
      <c r="A267" s="11">
        <f t="shared" si="73"/>
        <v>6</v>
      </c>
      <c r="B267" s="82" t="str">
        <f>IFERROR(__xludf.DUMMYFUNCTION("""COMPUTED_VALUE"""),"Luis Hsu")</f>
        <v>Luis Hsu</v>
      </c>
      <c r="C267" s="11"/>
      <c r="D267" s="11"/>
      <c r="E267" s="11"/>
      <c r="T267" s="11">
        <f t="shared" si="74"/>
        <v>6</v>
      </c>
    </row>
    <row r="268">
      <c r="A268" s="11">
        <f t="shared" si="73"/>
        <v>7</v>
      </c>
      <c r="B268" s="82" t="str">
        <f>IFERROR(__xludf.DUMMYFUNCTION("""COMPUTED_VALUE"""),"Suleman Alidina")</f>
        <v>Suleman Alidina</v>
      </c>
      <c r="C268" s="11"/>
      <c r="D268" s="11"/>
      <c r="E268" s="11"/>
      <c r="T268" s="11">
        <f t="shared" si="74"/>
        <v>7</v>
      </c>
    </row>
    <row r="269">
      <c r="A269" s="11">
        <f t="shared" si="73"/>
        <v>8</v>
      </c>
      <c r="B269" s="82" t="str">
        <f>IFERROR(__xludf.DUMMYFUNCTION("""COMPUTED_VALUE"""),"Rajasekar Ramasamy")</f>
        <v>Rajasekar Ramasamy</v>
      </c>
      <c r="C269" s="11"/>
      <c r="D269" s="11"/>
      <c r="E269" s="11"/>
      <c r="T269" s="11">
        <f t="shared" si="74"/>
        <v>8</v>
      </c>
    </row>
    <row r="270">
      <c r="A270" s="11">
        <f t="shared" si="73"/>
        <v>9</v>
      </c>
      <c r="B270" s="82" t="str">
        <f>IFERROR(__xludf.DUMMYFUNCTION("""COMPUTED_VALUE"""),"Jonathan Phan")</f>
        <v>Jonathan Phan</v>
      </c>
      <c r="C270" s="11"/>
      <c r="D270" s="11"/>
      <c r="E270" s="11"/>
      <c r="T270" s="11">
        <f t="shared" si="74"/>
        <v>9</v>
      </c>
    </row>
    <row r="271">
      <c r="A271" s="11">
        <f t="shared" si="73"/>
        <v>10</v>
      </c>
      <c r="B271" s="82" t="str">
        <f>IFERROR(__xludf.DUMMYFUNCTION("""COMPUTED_VALUE"""),"Matthew Huang")</f>
        <v>Matthew Huang</v>
      </c>
      <c r="C271" s="11"/>
      <c r="D271" s="11"/>
      <c r="E271" s="11"/>
      <c r="T271" s="11">
        <f t="shared" si="74"/>
        <v>10</v>
      </c>
    </row>
    <row r="272">
      <c r="A272" s="11">
        <f t="shared" si="73"/>
        <v>11</v>
      </c>
      <c r="B272" s="82" t="str">
        <f>IFERROR(__xludf.DUMMYFUNCTION("""COMPUTED_VALUE"""),"James Phan")</f>
        <v>James Phan</v>
      </c>
      <c r="C272" s="11"/>
      <c r="D272" s="11"/>
      <c r="E272" s="11"/>
      <c r="T272" s="11">
        <f t="shared" si="74"/>
        <v>11</v>
      </c>
    </row>
    <row r="273">
      <c r="A273" s="11">
        <f t="shared" si="73"/>
        <v>12</v>
      </c>
      <c r="B273" s="82" t="str">
        <f>IFERROR(__xludf.DUMMYFUNCTION("""COMPUTED_VALUE"""),"Arun Mallikarjuna")</f>
        <v>Arun Mallikarjuna</v>
      </c>
      <c r="C273" s="11"/>
      <c r="D273" s="11"/>
      <c r="E273" s="11"/>
      <c r="T273" s="11">
        <f t="shared" si="74"/>
        <v>12</v>
      </c>
    </row>
    <row r="274">
      <c r="A274" s="11">
        <f t="shared" si="73"/>
        <v>13</v>
      </c>
      <c r="B274" s="82" t="str">
        <f>IFERROR(__xludf.DUMMYFUNCTION("""COMPUTED_VALUE"""),"Joe Luzzi")</f>
        <v>Joe Luzzi</v>
      </c>
      <c r="C274" s="11"/>
      <c r="D274" s="11"/>
      <c r="E274" s="11"/>
      <c r="T274" s="11">
        <f t="shared" si="74"/>
        <v>13</v>
      </c>
    </row>
    <row r="275">
      <c r="A275" s="11">
        <f t="shared" si="73"/>
        <v>14</v>
      </c>
      <c r="B275" s="82" t="str">
        <f>IFERROR(__xludf.DUMMYFUNCTION("""COMPUTED_VALUE"""),"Sean Chang")</f>
        <v>Sean Chang</v>
      </c>
      <c r="C275" s="11"/>
      <c r="D275" s="11"/>
      <c r="E275" s="11"/>
    </row>
    <row r="276">
      <c r="A276" s="11">
        <f t="shared" si="73"/>
        <v>15</v>
      </c>
      <c r="B276" s="82" t="str">
        <f>IFERROR(__xludf.DUMMYFUNCTION("""COMPUTED_VALUE"""),"Herman Au")</f>
        <v>Herman Au</v>
      </c>
      <c r="C276" s="11"/>
      <c r="D276" s="11"/>
      <c r="E276" s="11"/>
    </row>
    <row r="277">
      <c r="A277" s="11">
        <f t="shared" si="73"/>
        <v>16</v>
      </c>
      <c r="B277" s="82" t="str">
        <f>IFERROR(__xludf.DUMMYFUNCTION("""COMPUTED_VALUE"""),"Pavan Akkimsetty")</f>
        <v>Pavan Akkimsetty</v>
      </c>
      <c r="C277" s="11"/>
      <c r="D277" s="11"/>
      <c r="E277" s="11"/>
    </row>
    <row r="278">
      <c r="A278" s="11">
        <f t="shared" si="73"/>
        <v>17</v>
      </c>
      <c r="B278" s="82" t="str">
        <f>IFERROR(__xludf.DUMMYFUNCTION("""COMPUTED_VALUE"""),"David Shin")</f>
        <v>David Shin</v>
      </c>
      <c r="C278" s="11"/>
      <c r="D278" s="11"/>
      <c r="E278" s="11"/>
    </row>
    <row r="279">
      <c r="A279" s="11">
        <f t="shared" si="73"/>
        <v>18</v>
      </c>
      <c r="B279" s="82" t="str">
        <f>IFERROR(__xludf.DUMMYFUNCTION("""COMPUTED_VALUE"""),"Alex Hou")</f>
        <v>Alex Hou</v>
      </c>
      <c r="C279" s="11"/>
      <c r="D279" s="11"/>
      <c r="E279" s="11"/>
    </row>
    <row r="280">
      <c r="A280" s="11">
        <f t="shared" si="73"/>
        <v>19</v>
      </c>
      <c r="B280" s="82" t="str">
        <f>IFERROR(__xludf.DUMMYFUNCTION("""COMPUTED_VALUE"""),"Scott Li")</f>
        <v>Scott Li</v>
      </c>
      <c r="C280" s="11"/>
      <c r="D280" s="11"/>
      <c r="E280" s="11"/>
    </row>
    <row r="281">
      <c r="A281" s="11">
        <f t="shared" si="73"/>
        <v>20</v>
      </c>
      <c r="B281" s="82" t="str">
        <f>IFERROR(__xludf.DUMMYFUNCTION("""COMPUTED_VALUE"""),"Lam Bui")</f>
        <v>Lam Bui</v>
      </c>
      <c r="C281" s="11"/>
      <c r="D281" s="11"/>
      <c r="E281" s="11"/>
    </row>
    <row r="282">
      <c r="A282" s="11">
        <f t="shared" si="73"/>
        <v>21</v>
      </c>
      <c r="B282" s="82" t="str">
        <f>IFERROR(__xludf.DUMMYFUNCTION("""COMPUTED_VALUE"""),"Troy Wong")</f>
        <v>Troy Wong</v>
      </c>
      <c r="C282" s="11"/>
      <c r="D282" s="11"/>
      <c r="E282" s="11"/>
    </row>
    <row r="283">
      <c r="A283" s="11">
        <f t="shared" si="73"/>
        <v>22</v>
      </c>
      <c r="B283" s="82" t="str">
        <f>IFERROR(__xludf.DUMMYFUNCTION("""COMPUTED_VALUE"""),"Ramesh Bandaru")</f>
        <v>Ramesh Bandaru</v>
      </c>
      <c r="C283" s="11"/>
      <c r="D283" s="11"/>
      <c r="E283" s="11"/>
    </row>
    <row r="284">
      <c r="A284" s="11"/>
      <c r="B284" s="17" t="str">
        <f>IFERROR(__xludf.DUMMYFUNCTION("""COMPUTED_VALUE"""),"Cid Macaraeg")</f>
        <v>Cid Macaraeg</v>
      </c>
      <c r="C284" s="11"/>
      <c r="D284" s="11"/>
      <c r="E284" s="11"/>
    </row>
    <row r="285">
      <c r="A285" s="11"/>
      <c r="B285" s="17" t="str">
        <f>IFERROR(__xludf.DUMMYFUNCTION("""COMPUTED_VALUE"""),"Robert Chang")</f>
        <v>Robert Chang</v>
      </c>
      <c r="C285" s="11"/>
      <c r="D285" s="11"/>
      <c r="E285" s="11"/>
    </row>
    <row r="286">
      <c r="A286" s="11"/>
      <c r="B286" s="17" t="str">
        <f>IFERROR(__xludf.DUMMYFUNCTION("""COMPUTED_VALUE"""),"Wayne Liu")</f>
        <v>Wayne Liu</v>
      </c>
      <c r="C286" s="11"/>
      <c r="D286" s="11"/>
      <c r="E286" s="11"/>
    </row>
    <row r="287">
      <c r="A287" s="11"/>
      <c r="B287" s="17" t="str">
        <f>IFERROR(__xludf.DUMMYFUNCTION("""COMPUTED_VALUE"""),"Oscar Bonilla")</f>
        <v>Oscar Bonilla</v>
      </c>
      <c r="C287" s="11"/>
      <c r="D287" s="11"/>
      <c r="E287" s="11"/>
    </row>
    <row r="288">
      <c r="A288" s="11"/>
      <c r="B288" s="17" t="str">
        <f>IFERROR(__xludf.DUMMYFUNCTION("""COMPUTED_VALUE"""),"Jim Miao")</f>
        <v>Jim Miao</v>
      </c>
      <c r="C288" s="11"/>
      <c r="D288" s="11"/>
      <c r="E288" s="11"/>
    </row>
    <row r="289">
      <c r="A289" s="11"/>
      <c r="B289" s="17" t="str">
        <f>IFERROR(__xludf.DUMMYFUNCTION("""COMPUTED_VALUE"""),"Erik Hoeckmann")</f>
        <v>Erik Hoeckmann</v>
      </c>
      <c r="C289" s="11"/>
      <c r="D289" s="11"/>
      <c r="E289" s="11"/>
    </row>
    <row r="290">
      <c r="A290" s="11"/>
      <c r="B290" s="17" t="str">
        <f>IFERROR(__xludf.DUMMYFUNCTION("""COMPUTED_VALUE"""),"Vamsi Lolla ")</f>
        <v>Vamsi Lolla </v>
      </c>
      <c r="C290" s="11"/>
      <c r="D290" s="11"/>
      <c r="E290" s="11"/>
    </row>
    <row r="291">
      <c r="A291" s="11"/>
      <c r="B291" s="17" t="str">
        <f>IFERROR(__xludf.DUMMYFUNCTION("""COMPUTED_VALUE"""),"Trish Newlin")</f>
        <v>Trish Newlin</v>
      </c>
      <c r="C291" s="11"/>
      <c r="D291" s="11"/>
      <c r="E291" s="11"/>
    </row>
    <row r="292">
      <c r="A292" s="11"/>
      <c r="B292" s="17" t="str">
        <f>IFERROR(__xludf.DUMMYFUNCTION("""COMPUTED_VALUE"""),"Jimmy Awolesi")</f>
        <v>Jimmy Awolesi</v>
      </c>
      <c r="C292" s="11"/>
      <c r="D292" s="11"/>
      <c r="E292" s="11"/>
    </row>
    <row r="293">
      <c r="A293" s="11"/>
      <c r="B293" s="17" t="str">
        <f>IFERROR(__xludf.DUMMYFUNCTION("""COMPUTED_VALUE"""),"Pulkit Mathur")</f>
        <v>Pulkit Mathur</v>
      </c>
      <c r="C293" s="11"/>
      <c r="D293" s="11"/>
      <c r="E293" s="11"/>
    </row>
    <row r="294">
      <c r="A294" s="11"/>
      <c r="B294" s="17" t="str">
        <f>IFERROR(__xludf.DUMMYFUNCTION("""COMPUTED_VALUE"""),"Lloyd Sagar")</f>
        <v>Lloyd Sagar</v>
      </c>
      <c r="C294" s="11"/>
      <c r="D294" s="11"/>
      <c r="E294" s="11"/>
    </row>
    <row r="295">
      <c r="A295" s="11"/>
      <c r="B295" s="17" t="str">
        <f>IFERROR(__xludf.DUMMYFUNCTION("""COMPUTED_VALUE"""),"Chinna Ponnaganti")</f>
        <v>Chinna Ponnaganti</v>
      </c>
      <c r="C295" s="11"/>
      <c r="D295" s="11"/>
      <c r="E295" s="11"/>
    </row>
    <row r="296">
      <c r="A296" s="11"/>
      <c r="B296" s="17" t="str">
        <f>IFERROR(__xludf.DUMMYFUNCTION("""COMPUTED_VALUE"""),"Andrew Wen")</f>
        <v>Andrew Wen</v>
      </c>
      <c r="C296" s="11"/>
      <c r="D296" s="11"/>
      <c r="E296" s="11"/>
    </row>
    <row r="297">
      <c r="A297" s="11"/>
      <c r="B297" s="17" t="str">
        <f>IFERROR(__xludf.DUMMYFUNCTION("""COMPUTED_VALUE"""),"Kumar Palakeel")</f>
        <v>Kumar Palakeel</v>
      </c>
      <c r="C297" s="11"/>
      <c r="D297" s="11"/>
      <c r="E297" s="11"/>
    </row>
    <row r="298">
      <c r="A298" s="11"/>
      <c r="B298" s="17" t="str">
        <f>IFERROR(__xludf.DUMMYFUNCTION("""COMPUTED_VALUE"""),"Sanjaye Elayattu")</f>
        <v>Sanjaye Elayattu</v>
      </c>
      <c r="C298" s="11"/>
      <c r="D298" s="11"/>
      <c r="E298" s="11"/>
    </row>
    <row r="299">
      <c r="A299" s="11"/>
      <c r="B299" s="17" t="str">
        <f>IFERROR(__xludf.DUMMYFUNCTION("""COMPUTED_VALUE"""),"Manuel Rivera")</f>
        <v>Manuel Rivera</v>
      </c>
      <c r="C299" s="11"/>
      <c r="D299" s="11"/>
      <c r="E299" s="11"/>
    </row>
    <row r="300">
      <c r="A300" s="11"/>
      <c r="B300" s="17" t="str">
        <f>IFERROR(__xludf.DUMMYFUNCTION("""COMPUTED_VALUE"""),"Sai Dilip Ponnaganti")</f>
        <v>Sai Dilip Ponnaganti</v>
      </c>
      <c r="C300" s="11"/>
      <c r="D300" s="11"/>
      <c r="E300" s="11"/>
    </row>
    <row r="301">
      <c r="A301" s="11"/>
      <c r="B301" s="17" t="str">
        <f>IFERROR(__xludf.DUMMYFUNCTION("""COMPUTED_VALUE"""),"Peter Cheng")</f>
        <v>Peter Cheng</v>
      </c>
      <c r="C301" s="11"/>
      <c r="D301" s="11"/>
      <c r="E301" s="11"/>
    </row>
    <row r="302">
      <c r="A302" s="11"/>
      <c r="B302" s="17" t="str">
        <f>IFERROR(__xludf.DUMMYFUNCTION("""COMPUTED_VALUE"""),"Coco Yan")</f>
        <v>Coco Yan</v>
      </c>
      <c r="C302" s="11"/>
      <c r="D302" s="11"/>
      <c r="E302" s="11"/>
    </row>
    <row r="303">
      <c r="A303" s="11"/>
      <c r="B303" s="17" t="str">
        <f>IFERROR(__xludf.DUMMYFUNCTION("""COMPUTED_VALUE"""),"Tony Lin")</f>
        <v>Tony Lin</v>
      </c>
      <c r="C303" s="11"/>
      <c r="D303" s="11"/>
      <c r="E303" s="11"/>
    </row>
    <row r="304">
      <c r="A304" s="11"/>
      <c r="B304" s="17" t="str">
        <f>IFERROR(__xludf.DUMMYFUNCTION("""COMPUTED_VALUE"""),"Elayaraja Thangaraj ")</f>
        <v>Elayaraja Thangaraj </v>
      </c>
      <c r="C304" s="11"/>
      <c r="D304" s="11"/>
      <c r="E304" s="11"/>
    </row>
    <row r="305">
      <c r="A305" s="11"/>
      <c r="B305" s="17" t="str">
        <f>IFERROR(__xludf.DUMMYFUNCTION("""COMPUTED_VALUE"""),"Saravanan Veerapandian")</f>
        <v>Saravanan Veerapandian</v>
      </c>
      <c r="C305" s="11"/>
      <c r="D305" s="11"/>
      <c r="E305" s="11"/>
    </row>
    <row r="306">
      <c r="A306" s="11"/>
      <c r="B306" s="17" t="str">
        <f>IFERROR(__xludf.DUMMYFUNCTION("""COMPUTED_VALUE"""),"Santosh Sundaresan ")</f>
        <v>Santosh Sundaresan </v>
      </c>
      <c r="C306" s="11"/>
      <c r="D306" s="11"/>
      <c r="E306" s="11"/>
    </row>
    <row r="307">
      <c r="A307" s="11"/>
      <c r="B307" s="17" t="str">
        <f>IFERROR(__xludf.DUMMYFUNCTION("""COMPUTED_VALUE"""),"Balaji Alahari")</f>
        <v>Balaji Alahari</v>
      </c>
      <c r="C307" s="11"/>
      <c r="D307" s="11"/>
      <c r="E307" s="11"/>
    </row>
    <row r="308">
      <c r="A308" s="11"/>
      <c r="B308" s="17" t="str">
        <f>IFERROR(__xludf.DUMMYFUNCTION("""COMPUTED_VALUE"""),"Naveen Raj")</f>
        <v>Naveen Raj</v>
      </c>
      <c r="C308" s="11"/>
      <c r="D308" s="11"/>
      <c r="E308" s="11"/>
    </row>
    <row r="309">
      <c r="A309" s="11"/>
      <c r="B309" s="17" t="str">
        <f>IFERROR(__xludf.DUMMYFUNCTION("""COMPUTED_VALUE"""),"Eric Tan")</f>
        <v>Eric Tan</v>
      </c>
      <c r="C309" s="11"/>
      <c r="D309" s="11"/>
      <c r="E309" s="11"/>
    </row>
    <row r="310">
      <c r="A310" s="11"/>
      <c r="B310" s="17" t="str">
        <f>IFERROR(__xludf.DUMMYFUNCTION("""COMPUTED_VALUE"""),"Mauricio Palacios")</f>
        <v>Mauricio Palacios</v>
      </c>
      <c r="C310" s="11"/>
      <c r="D310" s="11"/>
      <c r="E310" s="11"/>
    </row>
    <row r="311">
      <c r="A311" s="11"/>
      <c r="B311" s="17" t="str">
        <f>IFERROR(__xludf.DUMMYFUNCTION("""COMPUTED_VALUE"""),"Vinaya Kajla")</f>
        <v>Vinaya Kajla</v>
      </c>
      <c r="C311" s="11"/>
      <c r="D311" s="11"/>
      <c r="E311" s="11"/>
    </row>
    <row r="312">
      <c r="A312" s="11"/>
      <c r="B312" s="17" t="str">
        <f>IFERROR(__xludf.DUMMYFUNCTION("""COMPUTED_VALUE"""),"Susanta Mishra")</f>
        <v>Susanta Mishra</v>
      </c>
      <c r="C312" s="11"/>
      <c r="D312" s="11"/>
      <c r="E312" s="11"/>
    </row>
    <row r="313">
      <c r="A313" s="11"/>
      <c r="B313" s="17" t="str">
        <f>IFERROR(__xludf.DUMMYFUNCTION("""COMPUTED_VALUE"""),"Vinz Solano")</f>
        <v>Vinz Solano</v>
      </c>
      <c r="C313" s="11"/>
      <c r="D313" s="11"/>
      <c r="E313" s="11"/>
    </row>
    <row r="314">
      <c r="A314" s="11"/>
      <c r="B314" s="17" t="str">
        <f>IFERROR(__xludf.DUMMYFUNCTION("""COMPUTED_VALUE"""),"Trinath Goteti")</f>
        <v>Trinath Goteti</v>
      </c>
      <c r="C314" s="11"/>
      <c r="D314" s="11"/>
      <c r="E314" s="11"/>
    </row>
    <row r="315">
      <c r="A315" s="11"/>
      <c r="B315" s="17" t="str">
        <f>IFERROR(__xludf.DUMMYFUNCTION("""COMPUTED_VALUE"""),"Rajesh Dorairaj")</f>
        <v>Rajesh Dorairaj</v>
      </c>
      <c r="C315" s="11"/>
      <c r="D315" s="11"/>
      <c r="E315" s="11"/>
    </row>
    <row r="316">
      <c r="A316" s="11"/>
      <c r="B316" s="17" t="str">
        <f>IFERROR(__xludf.DUMMYFUNCTION("""COMPUTED_VALUE"""),"Nohely Mejia")</f>
        <v>Nohely Mejia</v>
      </c>
      <c r="C316" s="11"/>
      <c r="D316" s="11"/>
      <c r="E316" s="11"/>
    </row>
    <row r="317">
      <c r="A317" s="11"/>
      <c r="B317" s="17" t="str">
        <f>IFERROR(__xludf.DUMMYFUNCTION("""COMPUTED_VALUE"""),"Eric Pan")</f>
        <v>Eric Pan</v>
      </c>
      <c r="C317" s="11"/>
      <c r="D317" s="11"/>
      <c r="E317" s="11"/>
    </row>
    <row r="318">
      <c r="A318" s="11"/>
      <c r="B318" s="17" t="str">
        <f>IFERROR(__xludf.DUMMYFUNCTION("""COMPUTED_VALUE"""),"Vishnu Amarnath")</f>
        <v>Vishnu Amarnath</v>
      </c>
      <c r="C318" s="11"/>
      <c r="D318" s="11"/>
      <c r="E318" s="11"/>
    </row>
    <row r="319">
      <c r="A319" s="11"/>
      <c r="B319" s="17" t="str">
        <f>IFERROR(__xludf.DUMMYFUNCTION("""COMPUTED_VALUE"""),"Manish Anand")</f>
        <v>Manish Anand</v>
      </c>
      <c r="C319" s="11"/>
      <c r="D319" s="11"/>
      <c r="E319" s="11"/>
    </row>
    <row r="320">
      <c r="A320" s="11"/>
      <c r="B320" s="17" t="str">
        <f>IFERROR(__xludf.DUMMYFUNCTION("""COMPUTED_VALUE"""),"Sandy Weyant")</f>
        <v>Sandy Weyant</v>
      </c>
      <c r="C320" s="11"/>
      <c r="D320" s="11"/>
      <c r="E320" s="11"/>
    </row>
    <row r="321">
      <c r="A321" s="11"/>
      <c r="B321" s="17" t="str">
        <f>IFERROR(__xludf.DUMMYFUNCTION("""COMPUTED_VALUE"""),"Leigh-Anh Nguyen")</f>
        <v>Leigh-Anh Nguyen</v>
      </c>
      <c r="C321" s="11"/>
      <c r="D321" s="11"/>
      <c r="E321" s="11"/>
    </row>
    <row r="322">
      <c r="A322" s="11"/>
      <c r="B322" s="17" t="str">
        <f>IFERROR(__xludf.DUMMYFUNCTION("""COMPUTED_VALUE"""),"Peter Homsey")</f>
        <v>Peter Homsey</v>
      </c>
      <c r="C322" s="11"/>
      <c r="D322" s="11"/>
      <c r="E322" s="11"/>
    </row>
    <row r="323">
      <c r="A323" s="11"/>
      <c r="B323" s="17" t="str">
        <f>IFERROR(__xludf.DUMMYFUNCTION("""COMPUTED_VALUE"""),"Amit Patel")</f>
        <v>Amit Patel</v>
      </c>
      <c r="C323" s="11"/>
      <c r="D323" s="11"/>
      <c r="E323" s="11"/>
    </row>
    <row r="324">
      <c r="A324" s="11"/>
      <c r="B324" s="17" t="str">
        <f>IFERROR(__xludf.DUMMYFUNCTION("""COMPUTED_VALUE"""),"Nicole Ni")</f>
        <v>Nicole Ni</v>
      </c>
      <c r="C324" s="11"/>
      <c r="D324" s="11"/>
      <c r="E324" s="11"/>
    </row>
    <row r="325">
      <c r="A325" s="11"/>
      <c r="B325" s="17" t="str">
        <f>IFERROR(__xludf.DUMMYFUNCTION("""COMPUTED_VALUE"""),"Joyce Zhu")</f>
        <v>Joyce Zhu</v>
      </c>
      <c r="C325" s="11"/>
      <c r="D325" s="11"/>
      <c r="E325" s="11"/>
    </row>
    <row r="326">
      <c r="A326" s="11"/>
      <c r="B326" s="17" t="str">
        <f>IFERROR(__xludf.DUMMYFUNCTION("""COMPUTED_VALUE"""),"Jose Ortiz")</f>
        <v>Jose Ortiz</v>
      </c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  <row r="1030">
      <c r="A1030" s="11"/>
      <c r="C1030" s="11"/>
      <c r="D1030" s="11"/>
      <c r="E1030" s="11"/>
    </row>
    <row r="1031">
      <c r="A1031" s="11"/>
      <c r="C1031" s="11"/>
      <c r="D1031" s="11"/>
      <c r="E1031" s="11"/>
    </row>
    <row r="1032">
      <c r="A1032" s="11"/>
      <c r="C1032" s="11"/>
      <c r="D1032" s="11"/>
      <c r="E1032" s="11"/>
    </row>
    <row r="1033">
      <c r="A1033" s="11"/>
      <c r="C1033" s="11"/>
      <c r="D1033" s="11"/>
      <c r="E1033" s="11"/>
    </row>
    <row r="1034">
      <c r="A1034" s="11"/>
      <c r="C1034" s="11"/>
      <c r="D1034" s="11"/>
      <c r="E1034" s="11"/>
    </row>
    <row r="1035">
      <c r="A1035" s="11"/>
      <c r="C1035" s="11"/>
      <c r="D1035" s="11"/>
      <c r="E1035" s="11"/>
    </row>
    <row r="1036">
      <c r="A1036" s="11"/>
      <c r="C1036" s="11"/>
      <c r="D1036" s="11"/>
      <c r="E1036" s="11"/>
    </row>
    <row r="1037">
      <c r="A1037" s="11"/>
      <c r="C1037" s="11"/>
      <c r="D1037" s="11"/>
      <c r="E1037" s="11"/>
    </row>
    <row r="1038">
      <c r="A1038" s="11"/>
      <c r="C1038" s="11"/>
      <c r="D1038" s="11"/>
      <c r="E1038" s="11"/>
    </row>
    <row r="1039">
      <c r="A1039" s="11"/>
      <c r="C1039" s="11"/>
      <c r="D1039" s="11"/>
      <c r="E1039" s="11"/>
    </row>
    <row r="1040">
      <c r="A1040" s="11"/>
      <c r="C1040" s="11"/>
      <c r="D1040" s="11"/>
      <c r="E1040" s="11"/>
    </row>
    <row r="1041">
      <c r="A1041" s="11"/>
      <c r="C1041" s="11"/>
      <c r="D1041" s="11"/>
      <c r="E1041" s="11"/>
    </row>
    <row r="1042">
      <c r="A1042" s="11"/>
      <c r="C1042" s="11"/>
      <c r="D1042" s="11"/>
      <c r="E1042" s="11"/>
    </row>
    <row r="1043">
      <c r="A1043" s="11"/>
      <c r="C1043" s="11"/>
      <c r="D1043" s="11"/>
      <c r="E1043" s="11"/>
    </row>
    <row r="1044">
      <c r="A1044" s="11"/>
      <c r="C1044" s="11"/>
      <c r="D1044" s="11"/>
      <c r="E1044" s="11"/>
    </row>
    <row r="1045">
      <c r="A1045" s="11"/>
      <c r="C1045" s="11"/>
      <c r="D1045" s="11"/>
      <c r="E1045" s="11"/>
    </row>
    <row r="1046">
      <c r="A1046" s="11"/>
      <c r="C1046" s="11"/>
      <c r="D1046" s="11"/>
      <c r="E1046" s="11"/>
    </row>
    <row r="1047">
      <c r="A1047" s="11"/>
      <c r="C1047" s="11"/>
      <c r="D1047" s="11"/>
      <c r="E1047" s="11"/>
    </row>
    <row r="1048">
      <c r="A1048" s="11"/>
      <c r="C1048" s="11"/>
      <c r="D1048" s="11"/>
      <c r="E1048" s="11"/>
    </row>
    <row r="1049">
      <c r="A1049" s="11"/>
      <c r="C1049" s="11"/>
      <c r="D1049" s="11"/>
      <c r="E1049" s="11"/>
    </row>
    <row r="1050">
      <c r="A1050" s="11"/>
      <c r="C1050" s="11"/>
      <c r="D1050" s="11"/>
      <c r="E1050" s="11"/>
    </row>
    <row r="1051">
      <c r="A1051" s="11"/>
      <c r="C1051" s="11"/>
      <c r="D1051" s="11"/>
      <c r="E1051" s="11"/>
    </row>
    <row r="1052">
      <c r="A1052" s="11"/>
      <c r="C1052" s="11"/>
      <c r="D1052" s="11"/>
      <c r="E1052" s="11"/>
    </row>
    <row r="1053">
      <c r="A1053" s="11"/>
      <c r="C1053" s="11"/>
      <c r="D1053" s="11"/>
      <c r="E1053" s="11"/>
    </row>
    <row r="1054">
      <c r="A1054" s="11"/>
      <c r="C1054" s="11"/>
      <c r="D1054" s="11"/>
      <c r="E1054" s="11"/>
    </row>
    <row r="1055">
      <c r="A1055" s="11"/>
      <c r="C1055" s="11"/>
      <c r="D1055" s="11"/>
      <c r="E1055" s="11"/>
    </row>
    <row r="1056">
      <c r="A1056" s="11"/>
      <c r="C1056" s="11"/>
      <c r="D1056" s="11"/>
      <c r="E1056" s="11"/>
    </row>
    <row r="1057">
      <c r="A1057" s="11"/>
      <c r="C1057" s="11"/>
      <c r="D1057" s="11"/>
      <c r="E1057" s="11"/>
    </row>
    <row r="1058">
      <c r="A1058" s="11"/>
      <c r="C1058" s="11"/>
      <c r="D1058" s="11"/>
      <c r="E1058" s="11"/>
    </row>
    <row r="1059">
      <c r="A1059" s="11"/>
      <c r="C1059" s="11"/>
      <c r="D1059" s="11"/>
      <c r="E1059" s="11"/>
    </row>
    <row r="1060">
      <c r="A1060" s="11"/>
      <c r="C1060" s="11"/>
      <c r="D1060" s="11"/>
      <c r="E1060" s="11"/>
    </row>
    <row r="1061">
      <c r="A1061" s="11"/>
      <c r="C1061" s="11"/>
      <c r="D1061" s="11"/>
      <c r="E1061" s="11"/>
    </row>
    <row r="1062">
      <c r="A1062" s="11"/>
      <c r="C1062" s="11"/>
      <c r="D1062" s="11"/>
      <c r="E1062" s="11"/>
    </row>
    <row r="1063">
      <c r="A1063" s="11"/>
      <c r="C1063" s="11"/>
      <c r="D1063" s="11"/>
      <c r="E1063" s="11"/>
    </row>
    <row r="1064">
      <c r="A1064" s="11"/>
      <c r="C1064" s="11"/>
      <c r="D1064" s="11"/>
      <c r="E1064" s="11"/>
    </row>
    <row r="1065">
      <c r="A1065" s="11"/>
      <c r="C1065" s="11"/>
      <c r="D1065" s="11"/>
      <c r="E1065" s="11"/>
    </row>
    <row r="1066">
      <c r="A1066" s="11"/>
      <c r="C1066" s="11"/>
      <c r="D1066" s="11"/>
      <c r="E1066" s="11"/>
    </row>
    <row r="1067">
      <c r="A1067" s="11"/>
      <c r="C1067" s="11"/>
      <c r="D1067" s="11"/>
      <c r="E1067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">
    <cfRule type="expression" dxfId="1" priority="3">
      <formula>E5=1</formula>
    </cfRule>
  </conditionalFormatting>
  <conditionalFormatting sqref="B5:B70">
    <cfRule type="expression" dxfId="3" priority="4">
      <formula>E5=2</formula>
    </cfRule>
  </conditionalFormatting>
  <conditionalFormatting sqref="B5:B70">
    <cfRule type="expression" dxfId="4" priority="5">
      <formula>E5=3</formula>
    </cfRule>
  </conditionalFormatting>
  <conditionalFormatting sqref="B5:B70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14.88"/>
  </cols>
  <sheetData>
    <row r="1">
      <c r="A1" s="11"/>
      <c r="B1" s="12" t="s">
        <v>23</v>
      </c>
      <c r="C1" s="81">
        <v>45570.0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14.0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  <c r="U4" s="29" t="s">
        <v>42</v>
      </c>
      <c r="V4" s="26" t="s">
        <v>30</v>
      </c>
    </row>
    <row r="5">
      <c r="A5" s="30">
        <v>1.0</v>
      </c>
      <c r="B5" s="31" t="s">
        <v>43</v>
      </c>
      <c r="C5" s="32">
        <v>200.0</v>
      </c>
      <c r="D5" s="32">
        <v>22.0</v>
      </c>
      <c r="E5" s="37">
        <v>1.0</v>
      </c>
      <c r="F5" s="39">
        <v>1.0</v>
      </c>
      <c r="G5" s="40">
        <v>0.0</v>
      </c>
      <c r="H5" s="39">
        <v>6.0</v>
      </c>
      <c r="I5" s="39">
        <v>6.0</v>
      </c>
      <c r="J5" s="39">
        <v>6.0</v>
      </c>
      <c r="K5" s="42">
        <v>18.0</v>
      </c>
      <c r="L5" s="39">
        <v>3.0</v>
      </c>
      <c r="M5" s="32">
        <f t="shared" ref="M5:N5" si="1">C5+K5</f>
        <v>218</v>
      </c>
      <c r="N5" s="32">
        <f t="shared" si="1"/>
        <v>25</v>
      </c>
      <c r="O5" s="43" t="s">
        <v>53</v>
      </c>
      <c r="P5" s="43" t="s">
        <v>53</v>
      </c>
      <c r="Q5" s="43" t="s">
        <v>53</v>
      </c>
      <c r="R5" s="39">
        <f>if(G5=13,1,0)+VLOOKUP(B5,'092824'!B:T,17,false)</f>
        <v>2</v>
      </c>
      <c r="S5" s="39"/>
      <c r="T5" s="39">
        <f>if(G5=9,1,0)+VLOOKUP(B5,'092824'!B:T,19,false)</f>
        <v>2</v>
      </c>
      <c r="U5" s="39">
        <f>VLOOKUP(B5,'092824'!B$5:V$70,21,false)-A5</f>
        <v>0</v>
      </c>
      <c r="V5" s="30">
        <v>1.0</v>
      </c>
    </row>
    <row r="6">
      <c r="A6" s="30">
        <f t="shared" ref="A6:A70" si="3">A5+1</f>
        <v>2</v>
      </c>
      <c r="B6" s="31" t="s">
        <v>61</v>
      </c>
      <c r="C6" s="32">
        <v>183.0</v>
      </c>
      <c r="D6" s="32">
        <v>22.0</v>
      </c>
      <c r="E6" s="37">
        <v>3.0</v>
      </c>
      <c r="F6" s="39">
        <v>0.0</v>
      </c>
      <c r="G6" s="40">
        <v>9.0</v>
      </c>
      <c r="H6" s="39">
        <v>0.0</v>
      </c>
      <c r="I6" s="39">
        <v>0.0</v>
      </c>
      <c r="J6" s="39">
        <v>0.0</v>
      </c>
      <c r="K6" s="42">
        <v>9.0</v>
      </c>
      <c r="L6" s="39">
        <v>0.0</v>
      </c>
      <c r="M6" s="32">
        <f t="shared" ref="M6:N6" si="2">C6+K6</f>
        <v>192</v>
      </c>
      <c r="N6" s="32">
        <f t="shared" si="2"/>
        <v>22</v>
      </c>
      <c r="O6" s="43" t="s">
        <v>53</v>
      </c>
      <c r="P6" s="43" t="s">
        <v>53</v>
      </c>
      <c r="Q6" s="43" t="s">
        <v>53</v>
      </c>
      <c r="R6" s="39">
        <f>if(G6=13,1,0)+VLOOKUP(B6,'092824'!B:T,17,false)</f>
        <v>0</v>
      </c>
      <c r="S6" s="39"/>
      <c r="T6" s="39">
        <f>if(G6=9,1,0)+VLOOKUP(B6,'092824'!B:T,19,false)</f>
        <v>3</v>
      </c>
      <c r="U6" s="39">
        <f>VLOOKUP(B6,'092824'!B$5:V$70,21,false)-A6</f>
        <v>0</v>
      </c>
      <c r="V6" s="30">
        <f t="shared" ref="V6:V70" si="5">V5+1</f>
        <v>2</v>
      </c>
    </row>
    <row r="7">
      <c r="A7" s="30">
        <f t="shared" si="3"/>
        <v>3</v>
      </c>
      <c r="B7" s="51" t="s">
        <v>100</v>
      </c>
      <c r="C7" s="32">
        <v>176.0</v>
      </c>
      <c r="D7" s="32">
        <v>16.0</v>
      </c>
      <c r="E7" s="37">
        <v>1.0</v>
      </c>
      <c r="F7" s="39">
        <v>1.0</v>
      </c>
      <c r="G7" s="40">
        <v>0.0</v>
      </c>
      <c r="H7" s="39">
        <v>6.0</v>
      </c>
      <c r="I7" s="39">
        <v>3.0</v>
      </c>
      <c r="J7" s="39">
        <v>1.0</v>
      </c>
      <c r="K7" s="42">
        <v>10.0</v>
      </c>
      <c r="L7" s="39">
        <v>1.0</v>
      </c>
      <c r="M7" s="32">
        <f t="shared" ref="M7:N7" si="4">C7+K7</f>
        <v>186</v>
      </c>
      <c r="N7" s="32">
        <f t="shared" si="4"/>
        <v>17</v>
      </c>
      <c r="O7" s="43" t="s">
        <v>53</v>
      </c>
      <c r="P7" s="43" t="s">
        <v>53</v>
      </c>
      <c r="Q7" s="43" t="s">
        <v>53</v>
      </c>
      <c r="R7" s="39">
        <f>if(G7=13,1,0)+VLOOKUP(B7,'092824'!B:T,17,false)</f>
        <v>1</v>
      </c>
      <c r="S7" s="39"/>
      <c r="T7" s="39">
        <f>if(G7=9,1,0)+VLOOKUP(B7,'092824'!B:T,19,false)</f>
        <v>3</v>
      </c>
      <c r="U7" s="39">
        <f>VLOOKUP(B7,'092824'!B$5:V$70,21,false)-A7</f>
        <v>5</v>
      </c>
      <c r="V7" s="30">
        <f t="shared" si="5"/>
        <v>3</v>
      </c>
    </row>
    <row r="8">
      <c r="A8" s="30">
        <f t="shared" si="3"/>
        <v>4</v>
      </c>
      <c r="B8" s="31" t="s">
        <v>91</v>
      </c>
      <c r="C8" s="32">
        <v>176.0</v>
      </c>
      <c r="D8" s="32">
        <v>15.0</v>
      </c>
      <c r="E8" s="37">
        <v>1.0</v>
      </c>
      <c r="F8" s="39">
        <v>1.0</v>
      </c>
      <c r="G8" s="40">
        <v>0.0</v>
      </c>
      <c r="H8" s="39">
        <v>1.0</v>
      </c>
      <c r="I8" s="39">
        <v>6.0</v>
      </c>
      <c r="J8" s="39">
        <v>1.0</v>
      </c>
      <c r="K8" s="42">
        <v>8.0</v>
      </c>
      <c r="L8" s="39">
        <v>1.0</v>
      </c>
      <c r="M8" s="32">
        <f t="shared" ref="M8:N8" si="6">C8+K8</f>
        <v>184</v>
      </c>
      <c r="N8" s="32">
        <f t="shared" si="6"/>
        <v>16</v>
      </c>
      <c r="O8" s="43" t="s">
        <v>53</v>
      </c>
      <c r="P8" s="43" t="s">
        <v>53</v>
      </c>
      <c r="Q8" s="43" t="s">
        <v>53</v>
      </c>
      <c r="R8" s="39">
        <f>if(G8=13,1,0)+VLOOKUP(B8,'092824'!B:T,17,false)</f>
        <v>1</v>
      </c>
      <c r="S8" s="39"/>
      <c r="T8" s="39">
        <f>if(G8=9,1,0)+VLOOKUP(B8,'092824'!B:T,19,false)</f>
        <v>2</v>
      </c>
      <c r="U8" s="39">
        <f>VLOOKUP(B8,'092824'!B$5:V$70,21,false)-A8</f>
        <v>1</v>
      </c>
      <c r="V8" s="30">
        <f t="shared" si="5"/>
        <v>4</v>
      </c>
    </row>
    <row r="9">
      <c r="A9" s="30">
        <f t="shared" si="3"/>
        <v>5</v>
      </c>
      <c r="B9" s="31" t="s">
        <v>90</v>
      </c>
      <c r="C9" s="32">
        <v>175.0</v>
      </c>
      <c r="D9" s="32">
        <v>16.0</v>
      </c>
      <c r="E9" s="37">
        <v>3.0</v>
      </c>
      <c r="F9" s="39">
        <v>0.0</v>
      </c>
      <c r="G9" s="40">
        <v>9.0</v>
      </c>
      <c r="H9" s="39">
        <v>0.0</v>
      </c>
      <c r="I9" s="39">
        <v>0.0</v>
      </c>
      <c r="J9" s="39">
        <v>0.0</v>
      </c>
      <c r="K9" s="42">
        <v>9.0</v>
      </c>
      <c r="L9" s="39">
        <v>0.0</v>
      </c>
      <c r="M9" s="32">
        <f t="shared" ref="M9:N9" si="7">C9+K9</f>
        <v>184</v>
      </c>
      <c r="N9" s="32">
        <f t="shared" si="7"/>
        <v>16</v>
      </c>
      <c r="O9" s="43" t="s">
        <v>53</v>
      </c>
      <c r="P9" s="43" t="s">
        <v>53</v>
      </c>
      <c r="Q9" s="43" t="s">
        <v>53</v>
      </c>
      <c r="R9" s="39">
        <f>if(G9=13,1,0)+VLOOKUP(B9,'092824'!B:T,17,false)</f>
        <v>2</v>
      </c>
      <c r="S9" s="39"/>
      <c r="T9" s="39">
        <f>if(G9=9,1,0)+VLOOKUP(B9,'092824'!B:T,19,false)</f>
        <v>2</v>
      </c>
      <c r="U9" s="39">
        <f>VLOOKUP(B9,'092824'!B$5:V$70,21,false)-A9</f>
        <v>-1</v>
      </c>
      <c r="V9" s="30">
        <f t="shared" si="5"/>
        <v>5</v>
      </c>
    </row>
    <row r="10">
      <c r="A10" s="30">
        <f t="shared" si="3"/>
        <v>6</v>
      </c>
      <c r="B10" s="51" t="s">
        <v>54</v>
      </c>
      <c r="C10" s="32">
        <v>174.0</v>
      </c>
      <c r="D10" s="32">
        <v>18.0</v>
      </c>
      <c r="E10" s="37">
        <v>1.0</v>
      </c>
      <c r="F10" s="39">
        <v>1.0</v>
      </c>
      <c r="G10" s="40">
        <v>0.0</v>
      </c>
      <c r="H10" s="39">
        <v>1.0</v>
      </c>
      <c r="I10" s="39">
        <v>3.0</v>
      </c>
      <c r="J10" s="39">
        <v>6.0</v>
      </c>
      <c r="K10" s="42">
        <v>10.0</v>
      </c>
      <c r="L10" s="39">
        <v>1.0</v>
      </c>
      <c r="M10" s="32">
        <f t="shared" ref="M10:N10" si="8">C10+K10</f>
        <v>184</v>
      </c>
      <c r="N10" s="32">
        <f t="shared" si="8"/>
        <v>19</v>
      </c>
      <c r="O10" s="43" t="s">
        <v>53</v>
      </c>
      <c r="P10" s="43" t="s">
        <v>53</v>
      </c>
      <c r="Q10" s="43" t="s">
        <v>53</v>
      </c>
      <c r="R10" s="39">
        <f>if(G10=13,1,0)+VLOOKUP(B10,'092824'!B:T,17,false)</f>
        <v>0</v>
      </c>
      <c r="S10" s="39"/>
      <c r="T10" s="39">
        <f>if(G10=9,1,0)+VLOOKUP(B10,'092824'!B:T,19,false)</f>
        <v>2</v>
      </c>
      <c r="U10" s="39">
        <f>VLOOKUP(B10,'092824'!B$5:V$70,21,false)-A10</f>
        <v>0</v>
      </c>
      <c r="V10" s="30">
        <f t="shared" si="5"/>
        <v>6</v>
      </c>
    </row>
    <row r="11">
      <c r="A11" s="30">
        <f t="shared" si="3"/>
        <v>7</v>
      </c>
      <c r="B11" s="51" t="s">
        <v>92</v>
      </c>
      <c r="C11" s="32">
        <v>173.0</v>
      </c>
      <c r="D11" s="32">
        <v>17.0</v>
      </c>
      <c r="E11" s="37">
        <v>1.0</v>
      </c>
      <c r="F11" s="39">
        <v>2.0</v>
      </c>
      <c r="G11" s="40">
        <v>0.0</v>
      </c>
      <c r="H11" s="39">
        <v>6.0</v>
      </c>
      <c r="I11" s="39">
        <v>7.0</v>
      </c>
      <c r="J11" s="39">
        <v>6.0</v>
      </c>
      <c r="K11" s="42">
        <v>19.0</v>
      </c>
      <c r="L11" s="39">
        <v>2.0</v>
      </c>
      <c r="M11" s="32">
        <f t="shared" ref="M11:N11" si="9">C11+K11</f>
        <v>192</v>
      </c>
      <c r="N11" s="32">
        <f t="shared" si="9"/>
        <v>19</v>
      </c>
      <c r="O11" s="43" t="s">
        <v>53</v>
      </c>
      <c r="P11" s="43" t="s">
        <v>53</v>
      </c>
      <c r="Q11" s="43" t="s">
        <v>53</v>
      </c>
      <c r="R11" s="39">
        <f>if(G11=13,1,0)+VLOOKUP(B11,'092824'!B:T,17,false)</f>
        <v>1</v>
      </c>
      <c r="S11" s="39"/>
      <c r="T11" s="39">
        <f>if(G11=9,1,0)+VLOOKUP(B11,'092824'!B:T,19,false)</f>
        <v>5</v>
      </c>
      <c r="U11" s="39">
        <f>VLOOKUP(B11,'092824'!B$5:V$70,21,false)-A11</f>
        <v>-4</v>
      </c>
      <c r="V11" s="30">
        <f t="shared" si="5"/>
        <v>7</v>
      </c>
    </row>
    <row r="12">
      <c r="A12" s="30">
        <f t="shared" si="3"/>
        <v>8</v>
      </c>
      <c r="B12" s="31" t="s">
        <v>68</v>
      </c>
      <c r="C12" s="32">
        <v>171.0</v>
      </c>
      <c r="D12" s="32">
        <v>17.0</v>
      </c>
      <c r="E12" s="37">
        <v>1.0</v>
      </c>
      <c r="F12" s="39">
        <v>2.0</v>
      </c>
      <c r="G12" s="40">
        <v>0.0</v>
      </c>
      <c r="H12" s="39">
        <v>1.0</v>
      </c>
      <c r="I12" s="39">
        <v>6.0</v>
      </c>
      <c r="J12" s="39">
        <v>6.0</v>
      </c>
      <c r="K12" s="42">
        <v>13.0</v>
      </c>
      <c r="L12" s="39">
        <v>0.0</v>
      </c>
      <c r="M12" s="32">
        <f t="shared" ref="M12:N12" si="10">C12+K12</f>
        <v>184</v>
      </c>
      <c r="N12" s="32">
        <f t="shared" si="10"/>
        <v>17</v>
      </c>
      <c r="O12" s="43" t="s">
        <v>53</v>
      </c>
      <c r="P12" s="43" t="s">
        <v>53</v>
      </c>
      <c r="Q12" s="43" t="s">
        <v>53</v>
      </c>
      <c r="R12" s="39">
        <f>if(G12=13,1,0)+VLOOKUP(B12,'092824'!B:T,17,false)</f>
        <v>1</v>
      </c>
      <c r="S12" s="39"/>
      <c r="T12" s="39">
        <f>if(G12=9,1,0)+VLOOKUP(B12,'092824'!B:T,19,false)</f>
        <v>2</v>
      </c>
      <c r="U12" s="39">
        <f>VLOOKUP(B12,'092824'!B$5:V$70,21,false)-A12</f>
        <v>7</v>
      </c>
      <c r="V12" s="30">
        <f t="shared" si="5"/>
        <v>8</v>
      </c>
    </row>
    <row r="13">
      <c r="A13" s="30">
        <f t="shared" si="3"/>
        <v>9</v>
      </c>
      <c r="B13" s="51" t="s">
        <v>78</v>
      </c>
      <c r="C13" s="32">
        <v>171.0</v>
      </c>
      <c r="D13" s="32">
        <v>16.0</v>
      </c>
      <c r="E13" s="37">
        <v>1.0</v>
      </c>
      <c r="F13" s="39">
        <v>2.0</v>
      </c>
      <c r="G13" s="40">
        <v>0.0</v>
      </c>
      <c r="H13" s="39">
        <v>1.0</v>
      </c>
      <c r="I13" s="39">
        <v>7.0</v>
      </c>
      <c r="J13" s="39">
        <v>7.0</v>
      </c>
      <c r="K13" s="42">
        <v>15.0</v>
      </c>
      <c r="L13" s="39">
        <v>2.0</v>
      </c>
      <c r="M13" s="32">
        <f t="shared" ref="M13:N13" si="11">C13+K13</f>
        <v>186</v>
      </c>
      <c r="N13" s="32">
        <f t="shared" si="11"/>
        <v>18</v>
      </c>
      <c r="O13" s="43" t="s">
        <v>53</v>
      </c>
      <c r="P13" s="43" t="s">
        <v>53</v>
      </c>
      <c r="Q13" s="43" t="s">
        <v>53</v>
      </c>
      <c r="R13" s="39">
        <f>if(G13=13,1,0)+VLOOKUP(B13,'092824'!B:T,17,false)</f>
        <v>0</v>
      </c>
      <c r="S13" s="39"/>
      <c r="T13" s="39">
        <f>if(G13=9,1,0)+VLOOKUP(B13,'092824'!B:T,19,false)</f>
        <v>1</v>
      </c>
      <c r="U13" s="39">
        <f>VLOOKUP(B13,'092824'!B$5:V$70,21,false)-A13</f>
        <v>2</v>
      </c>
      <c r="V13" s="30">
        <f t="shared" si="5"/>
        <v>9</v>
      </c>
    </row>
    <row r="14">
      <c r="A14" s="30">
        <f t="shared" si="3"/>
        <v>10</v>
      </c>
      <c r="B14" s="31" t="s">
        <v>71</v>
      </c>
      <c r="C14" s="32">
        <v>170.0</v>
      </c>
      <c r="D14" s="32">
        <v>17.0</v>
      </c>
      <c r="E14" s="37">
        <v>1.0</v>
      </c>
      <c r="F14" s="39">
        <v>2.0</v>
      </c>
      <c r="G14" s="40">
        <v>0.0</v>
      </c>
      <c r="H14" s="39">
        <v>6.0</v>
      </c>
      <c r="I14" s="39">
        <v>6.0</v>
      </c>
      <c r="J14" s="39">
        <v>7.0</v>
      </c>
      <c r="K14" s="42">
        <v>19.0</v>
      </c>
      <c r="L14" s="39">
        <v>2.0</v>
      </c>
      <c r="M14" s="32">
        <f t="shared" ref="M14:N14" si="12">C14+K14</f>
        <v>189</v>
      </c>
      <c r="N14" s="32">
        <f t="shared" si="12"/>
        <v>19</v>
      </c>
      <c r="O14" s="43" t="s">
        <v>53</v>
      </c>
      <c r="P14" s="43" t="s">
        <v>53</v>
      </c>
      <c r="Q14" s="43" t="s">
        <v>53</v>
      </c>
      <c r="R14" s="39">
        <f>if(G14=13,1,0)+VLOOKUP(B14,'092824'!B:T,17,false)</f>
        <v>1</v>
      </c>
      <c r="S14" s="39"/>
      <c r="T14" s="39">
        <f>if(G14=9,1,0)+VLOOKUP(B14,'092824'!B:T,19,false)</f>
        <v>0</v>
      </c>
      <c r="U14" s="39">
        <f>VLOOKUP(B14,'092824'!B$5:V$70,21,false)-A14</f>
        <v>0</v>
      </c>
      <c r="V14" s="30">
        <f t="shared" si="5"/>
        <v>10</v>
      </c>
    </row>
    <row r="15">
      <c r="A15" s="30">
        <f t="shared" si="3"/>
        <v>11</v>
      </c>
      <c r="B15" s="31" t="s">
        <v>34</v>
      </c>
      <c r="C15" s="32">
        <v>169.0</v>
      </c>
      <c r="D15" s="32">
        <v>19.0</v>
      </c>
      <c r="E15" s="37">
        <v>1.0</v>
      </c>
      <c r="F15" s="39">
        <v>3.0</v>
      </c>
      <c r="G15" s="40">
        <v>0.0</v>
      </c>
      <c r="H15" s="39">
        <v>6.0</v>
      </c>
      <c r="I15" s="39">
        <v>6.0</v>
      </c>
      <c r="J15" s="39">
        <v>6.0</v>
      </c>
      <c r="K15" s="42">
        <v>18.0</v>
      </c>
      <c r="L15" s="39">
        <v>3.0</v>
      </c>
      <c r="M15" s="32">
        <f t="shared" ref="M15:N15" si="13">C15+K15</f>
        <v>187</v>
      </c>
      <c r="N15" s="32">
        <f t="shared" si="13"/>
        <v>22</v>
      </c>
      <c r="O15" s="43" t="s">
        <v>53</v>
      </c>
      <c r="P15" s="43" t="s">
        <v>53</v>
      </c>
      <c r="Q15" s="43" t="s">
        <v>53</v>
      </c>
      <c r="R15" s="39">
        <f>if(G15=13,1,0)+VLOOKUP(B15,'092824'!B:T,17,false)</f>
        <v>0</v>
      </c>
      <c r="S15" s="39"/>
      <c r="T15" s="39">
        <f>if(G15=9,1,0)+VLOOKUP(B15,'092824'!B:T,19,false)</f>
        <v>2</v>
      </c>
      <c r="U15" s="39">
        <f>VLOOKUP(B15,'092824'!B$5:V$70,21,false)-A15</f>
        <v>-4</v>
      </c>
      <c r="V15" s="30">
        <f t="shared" si="5"/>
        <v>11</v>
      </c>
    </row>
    <row r="16">
      <c r="A16" s="30">
        <f t="shared" si="3"/>
        <v>12</v>
      </c>
      <c r="B16" s="51" t="s">
        <v>85</v>
      </c>
      <c r="C16" s="32">
        <v>168.0</v>
      </c>
      <c r="D16" s="32">
        <v>14.0</v>
      </c>
      <c r="E16" s="37">
        <v>4.0</v>
      </c>
      <c r="F16" s="39">
        <v>0.0</v>
      </c>
      <c r="G16" s="40">
        <v>9.0</v>
      </c>
      <c r="H16" s="39">
        <v>0.0</v>
      </c>
      <c r="I16" s="39">
        <v>0.0</v>
      </c>
      <c r="J16" s="39">
        <v>0.0</v>
      </c>
      <c r="K16" s="42">
        <v>9.0</v>
      </c>
      <c r="L16" s="39">
        <v>0.0</v>
      </c>
      <c r="M16" s="32">
        <f t="shared" ref="M16:N16" si="14">C16+K16</f>
        <v>177</v>
      </c>
      <c r="N16" s="32">
        <f t="shared" si="14"/>
        <v>14</v>
      </c>
      <c r="O16" s="43" t="s">
        <v>53</v>
      </c>
      <c r="P16" s="43" t="s">
        <v>53</v>
      </c>
      <c r="Q16" s="43" t="s">
        <v>53</v>
      </c>
      <c r="R16" s="39">
        <f>if(G16=13,1,0)+VLOOKUP(B16,'092824'!B:T,17,false)</f>
        <v>0</v>
      </c>
      <c r="S16" s="39"/>
      <c r="T16" s="39">
        <f>if(G16=9,1,0)+VLOOKUP(B16,'092824'!B:T,19,false)</f>
        <v>8</v>
      </c>
      <c r="U16" s="39">
        <f>VLOOKUP(B16,'092824'!B$5:V$70,21,false)-A16</f>
        <v>4</v>
      </c>
      <c r="V16" s="30">
        <f t="shared" si="5"/>
        <v>12</v>
      </c>
    </row>
    <row r="17">
      <c r="A17" s="30">
        <f t="shared" si="3"/>
        <v>13</v>
      </c>
      <c r="B17" s="31" t="s">
        <v>86</v>
      </c>
      <c r="C17" s="32">
        <v>168.0</v>
      </c>
      <c r="D17" s="32">
        <v>12.0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5">C17+K17</f>
        <v>177</v>
      </c>
      <c r="N17" s="32">
        <f t="shared" si="15"/>
        <v>12</v>
      </c>
      <c r="O17" s="43" t="s">
        <v>53</v>
      </c>
      <c r="P17" s="43" t="s">
        <v>53</v>
      </c>
      <c r="Q17" s="43" t="s">
        <v>53</v>
      </c>
      <c r="R17" s="39">
        <f>if(G17=13,1,0)+VLOOKUP(B17,'092824'!B:T,17,false)</f>
        <v>4</v>
      </c>
      <c r="S17" s="39"/>
      <c r="T17" s="39">
        <f>if(G17=9,1,0)+VLOOKUP(B17,'092824'!B:T,19,false)</f>
        <v>1</v>
      </c>
      <c r="U17" s="39">
        <f>VLOOKUP(B17,'092824'!B$5:V$70,21,false)-A17</f>
        <v>-4</v>
      </c>
      <c r="V17" s="30">
        <f t="shared" si="5"/>
        <v>13</v>
      </c>
    </row>
    <row r="18">
      <c r="A18" s="30">
        <f t="shared" si="3"/>
        <v>14</v>
      </c>
      <c r="B18" s="31" t="s">
        <v>98</v>
      </c>
      <c r="C18" s="32">
        <v>167.0</v>
      </c>
      <c r="D18" s="32">
        <v>14.0</v>
      </c>
      <c r="E18" s="37">
        <v>3.0</v>
      </c>
      <c r="F18" s="39">
        <v>0.0</v>
      </c>
      <c r="G18" s="40">
        <v>9.0</v>
      </c>
      <c r="H18" s="39">
        <v>0.0</v>
      </c>
      <c r="I18" s="39">
        <v>0.0</v>
      </c>
      <c r="J18" s="39">
        <v>0.0</v>
      </c>
      <c r="K18" s="42">
        <v>9.0</v>
      </c>
      <c r="L18" s="39">
        <v>0.0</v>
      </c>
      <c r="M18" s="32">
        <f t="shared" ref="M18:N18" si="16">C18+K18</f>
        <v>176</v>
      </c>
      <c r="N18" s="32">
        <f t="shared" si="16"/>
        <v>14</v>
      </c>
      <c r="O18" s="43" t="s">
        <v>53</v>
      </c>
      <c r="P18" s="43" t="s">
        <v>53</v>
      </c>
      <c r="Q18" s="43" t="s">
        <v>53</v>
      </c>
      <c r="R18" s="39">
        <f>if(G18=13,1,0)+VLOOKUP(B18,'092824'!B:T,17,false)</f>
        <v>1</v>
      </c>
      <c r="S18" s="39"/>
      <c r="T18" s="39">
        <f>if(G18=9,1,0)+VLOOKUP(B18,'092824'!B:T,19,false)</f>
        <v>5</v>
      </c>
      <c r="U18" s="39">
        <f>VLOOKUP(B18,'092824'!B$5:V$70,21,false)-A18</f>
        <v>4</v>
      </c>
      <c r="V18" s="30">
        <f t="shared" si="5"/>
        <v>14</v>
      </c>
    </row>
    <row r="19">
      <c r="A19" s="30">
        <f t="shared" si="3"/>
        <v>15</v>
      </c>
      <c r="B19" s="31" t="s">
        <v>83</v>
      </c>
      <c r="C19" s="32">
        <v>166.0</v>
      </c>
      <c r="D19" s="32">
        <v>15.0</v>
      </c>
      <c r="E19" s="37">
        <v>3.0</v>
      </c>
      <c r="F19" s="39">
        <v>0.0</v>
      </c>
      <c r="G19" s="40">
        <v>9.0</v>
      </c>
      <c r="H19" s="39">
        <v>0.0</v>
      </c>
      <c r="I19" s="39">
        <v>0.0</v>
      </c>
      <c r="J19" s="39">
        <v>0.0</v>
      </c>
      <c r="K19" s="42">
        <v>9.0</v>
      </c>
      <c r="L19" s="39">
        <v>0.0</v>
      </c>
      <c r="M19" s="32">
        <f t="shared" ref="M19:N19" si="17">C19+K19</f>
        <v>175</v>
      </c>
      <c r="N19" s="32">
        <f t="shared" si="17"/>
        <v>15</v>
      </c>
      <c r="O19" s="43" t="s">
        <v>53</v>
      </c>
      <c r="P19" s="43" t="s">
        <v>53</v>
      </c>
      <c r="Q19" s="43" t="s">
        <v>53</v>
      </c>
      <c r="R19" s="39">
        <f>if(G19=13,1,0)+VLOOKUP(B19,'092824'!B:T,17,false)</f>
        <v>0</v>
      </c>
      <c r="S19" s="39"/>
      <c r="T19" s="39">
        <f>if(G19=9,1,0)+VLOOKUP(B19,'092824'!B:T,19,false)</f>
        <v>7</v>
      </c>
      <c r="U19" s="39">
        <f>VLOOKUP(B19,'092824'!B$5:V$70,21,false)-A19</f>
        <v>-2</v>
      </c>
      <c r="V19" s="30">
        <f t="shared" si="5"/>
        <v>15</v>
      </c>
    </row>
    <row r="20">
      <c r="A20" s="30">
        <f t="shared" si="3"/>
        <v>16</v>
      </c>
      <c r="B20" s="31" t="s">
        <v>57</v>
      </c>
      <c r="C20" s="32">
        <v>166.0</v>
      </c>
      <c r="D20" s="32">
        <v>15.0</v>
      </c>
      <c r="E20" s="37">
        <v>3.0</v>
      </c>
      <c r="F20" s="39">
        <v>0.0</v>
      </c>
      <c r="G20" s="40">
        <v>9.0</v>
      </c>
      <c r="H20" s="39">
        <v>0.0</v>
      </c>
      <c r="I20" s="39">
        <v>0.0</v>
      </c>
      <c r="J20" s="39">
        <v>0.0</v>
      </c>
      <c r="K20" s="42">
        <v>9.0</v>
      </c>
      <c r="L20" s="39">
        <v>0.0</v>
      </c>
      <c r="M20" s="32">
        <f t="shared" ref="M20:N20" si="18">C20+K20</f>
        <v>175</v>
      </c>
      <c r="N20" s="32">
        <f t="shared" si="18"/>
        <v>15</v>
      </c>
      <c r="O20" s="43" t="s">
        <v>53</v>
      </c>
      <c r="P20" s="43" t="s">
        <v>53</v>
      </c>
      <c r="Q20" s="43" t="s">
        <v>53</v>
      </c>
      <c r="R20" s="39">
        <f>if(G20=13,1,0)+VLOOKUP(B20,'092824'!B:T,17,false)</f>
        <v>1</v>
      </c>
      <c r="S20" s="39"/>
      <c r="T20" s="39">
        <f>if(G20=9,1,0)+VLOOKUP(B20,'092824'!B:T,19,false)</f>
        <v>3</v>
      </c>
      <c r="U20" s="39">
        <f>VLOOKUP(B20,'092824'!B$5:V$70,21,false)-A20</f>
        <v>1</v>
      </c>
      <c r="V20" s="30">
        <f t="shared" si="5"/>
        <v>16</v>
      </c>
    </row>
    <row r="21">
      <c r="A21" s="30">
        <f t="shared" si="3"/>
        <v>17</v>
      </c>
      <c r="B21" s="51" t="s">
        <v>87</v>
      </c>
      <c r="C21" s="32">
        <v>164.0</v>
      </c>
      <c r="D21" s="32">
        <v>14.0</v>
      </c>
      <c r="E21" s="37">
        <v>5.0</v>
      </c>
      <c r="F21" s="39">
        <v>0.0</v>
      </c>
      <c r="G21" s="40">
        <v>13.0</v>
      </c>
      <c r="H21" s="39">
        <v>0.0</v>
      </c>
      <c r="I21" s="39">
        <v>0.0</v>
      </c>
      <c r="J21" s="39">
        <v>0.0</v>
      </c>
      <c r="K21" s="42">
        <v>13.0</v>
      </c>
      <c r="L21" s="39">
        <v>0.0</v>
      </c>
      <c r="M21" s="32">
        <f t="shared" ref="M21:N21" si="19">C21+K21</f>
        <v>177</v>
      </c>
      <c r="N21" s="32">
        <f t="shared" si="19"/>
        <v>14</v>
      </c>
      <c r="O21" s="43" t="s">
        <v>53</v>
      </c>
      <c r="P21" s="43" t="s">
        <v>53</v>
      </c>
      <c r="Q21" s="43" t="s">
        <v>53</v>
      </c>
      <c r="R21" s="39">
        <f>if(G21=13,1,0)+VLOOKUP(B21,'092824'!B:T,17,false)</f>
        <v>3</v>
      </c>
      <c r="S21" s="39"/>
      <c r="T21" s="39">
        <f>if(G21=9,1,0)+VLOOKUP(B21,'092824'!B:T,19,false)</f>
        <v>1</v>
      </c>
      <c r="U21" s="39">
        <f>VLOOKUP(B21,'092824'!B$5:V$70,21,false)-A21</f>
        <v>4</v>
      </c>
      <c r="V21" s="30">
        <f t="shared" si="5"/>
        <v>17</v>
      </c>
    </row>
    <row r="22">
      <c r="A22" s="30">
        <f t="shared" si="3"/>
        <v>18</v>
      </c>
      <c r="B22" s="51" t="s">
        <v>84</v>
      </c>
      <c r="C22" s="32">
        <v>163.0</v>
      </c>
      <c r="D22" s="32">
        <v>12.0</v>
      </c>
      <c r="E22" s="37">
        <v>1.0</v>
      </c>
      <c r="F22" s="39">
        <v>3.0</v>
      </c>
      <c r="G22" s="40">
        <v>0.0</v>
      </c>
      <c r="H22" s="39">
        <v>4.0</v>
      </c>
      <c r="I22" s="39">
        <v>6.0</v>
      </c>
      <c r="J22" s="39">
        <v>3.0</v>
      </c>
      <c r="K22" s="42">
        <v>13.0</v>
      </c>
      <c r="L22" s="39">
        <v>1.0</v>
      </c>
      <c r="M22" s="32">
        <f t="shared" ref="M22:N22" si="20">C22+K22</f>
        <v>176</v>
      </c>
      <c r="N22" s="32">
        <f t="shared" si="20"/>
        <v>13</v>
      </c>
      <c r="O22" s="43" t="s">
        <v>53</v>
      </c>
      <c r="P22" s="43" t="s">
        <v>53</v>
      </c>
      <c r="Q22" s="43" t="s">
        <v>53</v>
      </c>
      <c r="R22" s="39">
        <f>if(G22=13,1,0)+VLOOKUP(B22,'092824'!B:T,17,false)</f>
        <v>1</v>
      </c>
      <c r="S22" s="39"/>
      <c r="T22" s="39">
        <f>if(G22=9,1,0)+VLOOKUP(B22,'092824'!B:T,19,false)</f>
        <v>2</v>
      </c>
      <c r="U22" s="39">
        <f>VLOOKUP(B22,'092824'!B$5:V$70,21,false)-A22</f>
        <v>2</v>
      </c>
      <c r="V22" s="30">
        <f t="shared" si="5"/>
        <v>18</v>
      </c>
    </row>
    <row r="23">
      <c r="A23" s="30">
        <f t="shared" si="3"/>
        <v>19</v>
      </c>
      <c r="B23" s="51" t="s">
        <v>93</v>
      </c>
      <c r="C23" s="32">
        <v>162.0</v>
      </c>
      <c r="D23" s="32">
        <v>14.0</v>
      </c>
      <c r="E23" s="37">
        <v>1.0</v>
      </c>
      <c r="F23" s="39">
        <v>3.0</v>
      </c>
      <c r="G23" s="40">
        <v>0.0</v>
      </c>
      <c r="H23" s="39">
        <v>6.0</v>
      </c>
      <c r="I23" s="39">
        <v>4.0</v>
      </c>
      <c r="J23" s="39">
        <v>3.0</v>
      </c>
      <c r="K23" s="42">
        <v>13.0</v>
      </c>
      <c r="L23" s="39">
        <v>1.0</v>
      </c>
      <c r="M23" s="32">
        <f t="shared" ref="M23:N23" si="21">C23+K23</f>
        <v>175</v>
      </c>
      <c r="N23" s="32">
        <f t="shared" si="21"/>
        <v>15</v>
      </c>
      <c r="O23" s="43" t="s">
        <v>53</v>
      </c>
      <c r="P23" s="43" t="s">
        <v>53</v>
      </c>
      <c r="Q23" s="43" t="s">
        <v>53</v>
      </c>
      <c r="R23" s="39">
        <f>if(G23=13,1,0)+VLOOKUP(B23,'092824'!B:T,17,false)</f>
        <v>0</v>
      </c>
      <c r="S23" s="39"/>
      <c r="T23" s="39">
        <f>if(G23=9,1,0)+VLOOKUP(B23,'092824'!B:T,19,false)</f>
        <v>1</v>
      </c>
      <c r="U23" s="39">
        <f>VLOOKUP(B23,'092824'!B$5:V$70,21,false)-A23</f>
        <v>-7</v>
      </c>
      <c r="V23" s="30">
        <f t="shared" si="5"/>
        <v>19</v>
      </c>
    </row>
    <row r="24">
      <c r="A24" s="30">
        <f t="shared" si="3"/>
        <v>20</v>
      </c>
      <c r="B24" s="31" t="s">
        <v>82</v>
      </c>
      <c r="C24" s="32">
        <v>162.0</v>
      </c>
      <c r="D24" s="32">
        <v>13.0</v>
      </c>
      <c r="E24" s="37">
        <v>5.0</v>
      </c>
      <c r="F24" s="39">
        <v>0.0</v>
      </c>
      <c r="G24" s="40">
        <v>13.0</v>
      </c>
      <c r="H24" s="39">
        <v>0.0</v>
      </c>
      <c r="I24" s="39">
        <v>0.0</v>
      </c>
      <c r="J24" s="39">
        <v>0.0</v>
      </c>
      <c r="K24" s="42">
        <v>13.0</v>
      </c>
      <c r="L24" s="39">
        <v>0.0</v>
      </c>
      <c r="M24" s="32">
        <f t="shared" ref="M24:N24" si="22">C24+K24</f>
        <v>175</v>
      </c>
      <c r="N24" s="32">
        <f t="shared" si="22"/>
        <v>13</v>
      </c>
      <c r="O24" s="43" t="s">
        <v>53</v>
      </c>
      <c r="P24" s="43" t="s">
        <v>53</v>
      </c>
      <c r="Q24" s="43" t="s">
        <v>53</v>
      </c>
      <c r="R24" s="39">
        <f>if(G24=13,1,0)+VLOOKUP(B24,'092824'!B:T,17,false)</f>
        <v>2</v>
      </c>
      <c r="S24" s="39"/>
      <c r="T24" s="39">
        <f>if(G24=9,1,0)+VLOOKUP(B24,'092824'!B:T,19,false)</f>
        <v>7</v>
      </c>
      <c r="U24" s="39">
        <f>VLOOKUP(B24,'092824'!B$5:V$70,21,false)-A24</f>
        <v>4</v>
      </c>
      <c r="V24" s="30">
        <f t="shared" si="5"/>
        <v>20</v>
      </c>
    </row>
    <row r="25">
      <c r="A25" s="30">
        <f t="shared" si="3"/>
        <v>21</v>
      </c>
      <c r="B25" s="51" t="s">
        <v>94</v>
      </c>
      <c r="C25" s="32">
        <v>162.0</v>
      </c>
      <c r="D25" s="32">
        <v>10.0</v>
      </c>
      <c r="E25" s="37">
        <v>3.0</v>
      </c>
      <c r="F25" s="39">
        <v>0.0</v>
      </c>
      <c r="G25" s="40">
        <v>9.0</v>
      </c>
      <c r="H25" s="39">
        <v>0.0</v>
      </c>
      <c r="I25" s="39">
        <v>0.0</v>
      </c>
      <c r="J25" s="39">
        <v>0.0</v>
      </c>
      <c r="K25" s="42">
        <v>9.0</v>
      </c>
      <c r="L25" s="39">
        <v>0.0</v>
      </c>
      <c r="M25" s="32">
        <f t="shared" ref="M25:N25" si="23">C25+K25</f>
        <v>171</v>
      </c>
      <c r="N25" s="32">
        <f t="shared" si="23"/>
        <v>10</v>
      </c>
      <c r="O25" s="43" t="s">
        <v>53</v>
      </c>
      <c r="P25" s="43" t="s">
        <v>53</v>
      </c>
      <c r="Q25" s="43" t="s">
        <v>53</v>
      </c>
      <c r="R25" s="39">
        <f>if(G25=13,1,0)+VLOOKUP(B25,'092824'!B:T,17,false)</f>
        <v>2</v>
      </c>
      <c r="S25" s="39"/>
      <c r="T25" s="39">
        <f>if(G25=9,1,0)+VLOOKUP(B25,'092824'!B:T,19,false)</f>
        <v>4</v>
      </c>
      <c r="U25" s="39">
        <f>VLOOKUP(B25,'092824'!B$5:V$70,21,false)-A25</f>
        <v>-7</v>
      </c>
      <c r="V25" s="30">
        <f t="shared" si="5"/>
        <v>21</v>
      </c>
    </row>
    <row r="26">
      <c r="A26" s="30">
        <f t="shared" si="3"/>
        <v>22</v>
      </c>
      <c r="B26" s="56" t="s">
        <v>65</v>
      </c>
      <c r="C26" s="32">
        <v>161.0</v>
      </c>
      <c r="D26" s="32">
        <v>13.0</v>
      </c>
      <c r="E26" s="37">
        <v>1.0</v>
      </c>
      <c r="F26" s="39">
        <v>3.0</v>
      </c>
      <c r="G26" s="40">
        <v>0.0</v>
      </c>
      <c r="H26" s="39">
        <v>4.0</v>
      </c>
      <c r="I26" s="39">
        <v>4.0</v>
      </c>
      <c r="J26" s="39">
        <v>6.0</v>
      </c>
      <c r="K26" s="42">
        <v>14.0</v>
      </c>
      <c r="L26" s="39">
        <v>1.0</v>
      </c>
      <c r="M26" s="32">
        <f t="shared" ref="M26:N26" si="24">C26+K26</f>
        <v>175</v>
      </c>
      <c r="N26" s="32">
        <f t="shared" si="24"/>
        <v>14</v>
      </c>
      <c r="O26" s="43" t="s">
        <v>53</v>
      </c>
      <c r="P26" s="43" t="s">
        <v>53</v>
      </c>
      <c r="Q26" s="43" t="s">
        <v>53</v>
      </c>
      <c r="R26" s="39">
        <f>if(G26=13,1,0)+VLOOKUP(B26,'092824'!B:T,17,false)</f>
        <v>0</v>
      </c>
      <c r="S26" s="39"/>
      <c r="T26" s="39">
        <f>if(G26=9,1,0)+VLOOKUP(B26,'092824'!B:T,19,false)</f>
        <v>5</v>
      </c>
      <c r="U26" s="39">
        <f>VLOOKUP(B26,'092824'!B$5:V$70,21,false)-A26</f>
        <v>0</v>
      </c>
      <c r="V26" s="30">
        <f t="shared" si="5"/>
        <v>22</v>
      </c>
    </row>
    <row r="27">
      <c r="A27" s="30">
        <f t="shared" si="3"/>
        <v>23</v>
      </c>
      <c r="B27" s="51" t="s">
        <v>95</v>
      </c>
      <c r="C27" s="32">
        <v>159.0</v>
      </c>
      <c r="D27" s="32">
        <v>11.0</v>
      </c>
      <c r="E27" s="37">
        <v>3.0</v>
      </c>
      <c r="F27" s="39">
        <v>0.0</v>
      </c>
      <c r="G27" s="40">
        <v>9.0</v>
      </c>
      <c r="H27" s="39">
        <v>0.0</v>
      </c>
      <c r="I27" s="39">
        <v>0.0</v>
      </c>
      <c r="J27" s="39">
        <v>0.0</v>
      </c>
      <c r="K27" s="42">
        <v>9.0</v>
      </c>
      <c r="L27" s="39">
        <v>0.0</v>
      </c>
      <c r="M27" s="32">
        <f t="shared" ref="M27:N27" si="25">C27+K27</f>
        <v>168</v>
      </c>
      <c r="N27" s="32">
        <f t="shared" si="25"/>
        <v>11</v>
      </c>
      <c r="O27" s="43" t="s">
        <v>53</v>
      </c>
      <c r="P27" s="43" t="s">
        <v>53</v>
      </c>
      <c r="Q27" s="43" t="s">
        <v>53</v>
      </c>
      <c r="R27" s="39">
        <f>if(G27=13,1,0)+VLOOKUP(B27,'092824'!B:T,17,false)</f>
        <v>1</v>
      </c>
      <c r="S27" s="39"/>
      <c r="T27" s="39">
        <f>if(G27=9,1,0)+VLOOKUP(B27,'092824'!B:T,19,false)</f>
        <v>7</v>
      </c>
      <c r="U27" s="39">
        <f>VLOOKUP(B27,'092824'!B$5:V$70,21,false)-A27</f>
        <v>-4</v>
      </c>
      <c r="V27" s="30">
        <f t="shared" si="5"/>
        <v>23</v>
      </c>
    </row>
    <row r="28">
      <c r="A28" s="30">
        <f t="shared" si="3"/>
        <v>24</v>
      </c>
      <c r="B28" s="31" t="s">
        <v>105</v>
      </c>
      <c r="C28" s="32">
        <v>156.0</v>
      </c>
      <c r="D28" s="32">
        <v>9.0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6">C28+K28</f>
        <v>165</v>
      </c>
      <c r="N28" s="32">
        <f t="shared" si="26"/>
        <v>9</v>
      </c>
      <c r="O28" s="43" t="s">
        <v>53</v>
      </c>
      <c r="P28" s="43" t="s">
        <v>53</v>
      </c>
      <c r="Q28" s="43" t="s">
        <v>53</v>
      </c>
      <c r="R28" s="39">
        <f>if(G28=13,1,0)+VLOOKUP(B28,'092824'!B:T,17,false)</f>
        <v>0</v>
      </c>
      <c r="S28" s="39"/>
      <c r="T28" s="39">
        <f>if(G28=9,1,0)+VLOOKUP(B28,'092824'!B:T,19,false)</f>
        <v>6</v>
      </c>
      <c r="U28" s="39">
        <f>VLOOKUP(B28,'092824'!B$5:V$70,21,false)-A28</f>
        <v>1</v>
      </c>
      <c r="V28" s="30">
        <f t="shared" si="5"/>
        <v>24</v>
      </c>
    </row>
    <row r="29">
      <c r="A29" s="30">
        <f t="shared" si="3"/>
        <v>25</v>
      </c>
      <c r="B29" s="31" t="s">
        <v>89</v>
      </c>
      <c r="C29" s="32">
        <v>155.0</v>
      </c>
      <c r="D29" s="32">
        <v>7.0</v>
      </c>
      <c r="E29" s="37">
        <v>5.0</v>
      </c>
      <c r="F29" s="39">
        <v>0.0</v>
      </c>
      <c r="G29" s="40">
        <v>13.0</v>
      </c>
      <c r="H29" s="39">
        <v>0.0</v>
      </c>
      <c r="I29" s="39">
        <v>0.0</v>
      </c>
      <c r="J29" s="39">
        <v>0.0</v>
      </c>
      <c r="K29" s="42">
        <v>13.0</v>
      </c>
      <c r="L29" s="39">
        <v>0.0</v>
      </c>
      <c r="M29" s="32">
        <f t="shared" ref="M29:N29" si="27">C29+K29</f>
        <v>168</v>
      </c>
      <c r="N29" s="32">
        <f t="shared" si="27"/>
        <v>7</v>
      </c>
      <c r="O29" s="43" t="s">
        <v>53</v>
      </c>
      <c r="P29" s="43" t="s">
        <v>53</v>
      </c>
      <c r="Q29" s="43" t="s">
        <v>53</v>
      </c>
      <c r="R29" s="39">
        <f>if(G29=13,1,0)+VLOOKUP(B29,'092824'!B:T,17,false)</f>
        <v>5</v>
      </c>
      <c r="S29" s="39"/>
      <c r="T29" s="39">
        <f>if(G29=9,1,0)+VLOOKUP(B29,'092824'!B:T,19,false)</f>
        <v>6</v>
      </c>
      <c r="U29" s="39">
        <f>VLOOKUP(B29,'092824'!B$5:V$70,21,false)-A29</f>
        <v>7</v>
      </c>
      <c r="V29" s="30">
        <f t="shared" si="5"/>
        <v>25</v>
      </c>
    </row>
    <row r="30">
      <c r="A30" s="30">
        <f t="shared" si="3"/>
        <v>26</v>
      </c>
      <c r="B30" s="56" t="s">
        <v>101</v>
      </c>
      <c r="C30" s="32">
        <v>152.0</v>
      </c>
      <c r="D30" s="32">
        <v>10.0</v>
      </c>
      <c r="E30" s="37">
        <v>1.0</v>
      </c>
      <c r="F30" s="39">
        <v>4.0</v>
      </c>
      <c r="G30" s="40">
        <v>0.0</v>
      </c>
      <c r="H30" s="39">
        <v>6.0</v>
      </c>
      <c r="I30" s="39">
        <v>6.0</v>
      </c>
      <c r="J30" s="39">
        <v>4.0</v>
      </c>
      <c r="K30" s="42">
        <v>16.0</v>
      </c>
      <c r="L30" s="39">
        <v>2.0</v>
      </c>
      <c r="M30" s="32">
        <f t="shared" ref="M30:N30" si="28">C30+K30</f>
        <v>168</v>
      </c>
      <c r="N30" s="32">
        <f t="shared" si="28"/>
        <v>12</v>
      </c>
      <c r="O30" s="43" t="s">
        <v>53</v>
      </c>
      <c r="P30" s="43" t="s">
        <v>53</v>
      </c>
      <c r="Q30" s="43" t="s">
        <v>53</v>
      </c>
      <c r="R30" s="39">
        <f>if(G30=13,1,0)+VLOOKUP(B30,'092824'!B:T,17,false)</f>
        <v>0</v>
      </c>
      <c r="S30" s="39"/>
      <c r="T30" s="39">
        <f>if(G30=9,1,0)+VLOOKUP(B30,'092824'!B:T,19,false)</f>
        <v>6</v>
      </c>
      <c r="U30" s="39">
        <f>VLOOKUP(B30,'092824'!B$5:V$70,21,false)-A30</f>
        <v>-3</v>
      </c>
      <c r="V30" s="30">
        <f t="shared" si="5"/>
        <v>26</v>
      </c>
    </row>
    <row r="31">
      <c r="A31" s="30">
        <f t="shared" si="3"/>
        <v>27</v>
      </c>
      <c r="B31" s="51" t="s">
        <v>104</v>
      </c>
      <c r="C31" s="32">
        <v>151.0</v>
      </c>
      <c r="D31" s="32">
        <v>15.0</v>
      </c>
      <c r="E31" s="37">
        <v>1.0</v>
      </c>
      <c r="F31" s="39">
        <v>4.0</v>
      </c>
      <c r="G31" s="40">
        <v>0.0</v>
      </c>
      <c r="H31" s="39">
        <v>4.0</v>
      </c>
      <c r="I31" s="39">
        <v>6.0</v>
      </c>
      <c r="J31" s="39">
        <v>6.0</v>
      </c>
      <c r="K31" s="42">
        <v>16.0</v>
      </c>
      <c r="L31" s="39">
        <v>2.0</v>
      </c>
      <c r="M31" s="32">
        <f t="shared" ref="M31:N31" si="29">C31+K31</f>
        <v>167</v>
      </c>
      <c r="N31" s="32">
        <f t="shared" si="29"/>
        <v>17</v>
      </c>
      <c r="O31" s="43" t="s">
        <v>53</v>
      </c>
      <c r="P31" s="43" t="s">
        <v>53</v>
      </c>
      <c r="Q31" s="43" t="s">
        <v>53</v>
      </c>
      <c r="R31" s="39">
        <f>if(G31=13,1,0)+VLOOKUP(B31,'092824'!B:T,17,false)</f>
        <v>0</v>
      </c>
      <c r="S31" s="39"/>
      <c r="T31" s="39">
        <f>if(G31=9,1,0)+VLOOKUP(B31,'092824'!B:T,19,false)</f>
        <v>0</v>
      </c>
      <c r="U31" s="39">
        <f>VLOOKUP(B31,'092824'!B$5:V$70,21,false)-A31</f>
        <v>0</v>
      </c>
      <c r="V31" s="30">
        <f t="shared" si="5"/>
        <v>27</v>
      </c>
    </row>
    <row r="32">
      <c r="A32" s="30">
        <f t="shared" si="3"/>
        <v>28</v>
      </c>
      <c r="B32" s="31" t="s">
        <v>66</v>
      </c>
      <c r="C32" s="32">
        <v>151.0</v>
      </c>
      <c r="D32" s="32">
        <v>9.0</v>
      </c>
      <c r="E32" s="37">
        <v>1.0</v>
      </c>
      <c r="F32" s="39">
        <v>4.0</v>
      </c>
      <c r="G32" s="40">
        <v>0.0</v>
      </c>
      <c r="H32" s="39">
        <v>4.0</v>
      </c>
      <c r="I32" s="39">
        <v>2.0</v>
      </c>
      <c r="J32" s="39">
        <v>4.0</v>
      </c>
      <c r="K32" s="42">
        <v>10.0</v>
      </c>
      <c r="L32" s="39">
        <v>0.0</v>
      </c>
      <c r="M32" s="32">
        <f t="shared" ref="M32:N32" si="30">C32+K32</f>
        <v>161</v>
      </c>
      <c r="N32" s="32">
        <f t="shared" si="30"/>
        <v>9</v>
      </c>
      <c r="O32" s="43" t="s">
        <v>53</v>
      </c>
      <c r="P32" s="43" t="s">
        <v>53</v>
      </c>
      <c r="Q32" s="43" t="s">
        <v>53</v>
      </c>
      <c r="R32" s="39">
        <f>if(G32=13,1,0)+VLOOKUP(B32,'092824'!B:T,17,false)</f>
        <v>2</v>
      </c>
      <c r="S32" s="39"/>
      <c r="T32" s="39">
        <f>if(G32=9,1,0)+VLOOKUP(B32,'092824'!B:T,19,false)</f>
        <v>4</v>
      </c>
      <c r="U32" s="39">
        <f>VLOOKUP(B32,'092824'!B$5:V$70,21,false)-A32</f>
        <v>0</v>
      </c>
      <c r="V32" s="30">
        <f t="shared" si="5"/>
        <v>28</v>
      </c>
    </row>
    <row r="33">
      <c r="A33" s="30">
        <f t="shared" si="3"/>
        <v>29</v>
      </c>
      <c r="B33" s="51" t="s">
        <v>111</v>
      </c>
      <c r="C33" s="32">
        <v>150.0</v>
      </c>
      <c r="D33" s="32">
        <v>7.0</v>
      </c>
      <c r="E33" s="37">
        <v>3.0</v>
      </c>
      <c r="F33" s="39">
        <v>0.0</v>
      </c>
      <c r="G33" s="40">
        <v>9.0</v>
      </c>
      <c r="H33" s="39">
        <v>0.0</v>
      </c>
      <c r="I33" s="39">
        <v>0.0</v>
      </c>
      <c r="J33" s="39">
        <v>0.0</v>
      </c>
      <c r="K33" s="42">
        <v>9.0</v>
      </c>
      <c r="L33" s="39">
        <v>0.0</v>
      </c>
      <c r="M33" s="32">
        <f t="shared" ref="M33:N33" si="31">C33+K33</f>
        <v>159</v>
      </c>
      <c r="N33" s="32">
        <f t="shared" si="31"/>
        <v>7</v>
      </c>
      <c r="O33" s="43" t="s">
        <v>53</v>
      </c>
      <c r="P33" s="43" t="s">
        <v>53</v>
      </c>
      <c r="Q33" s="43" t="s">
        <v>53</v>
      </c>
      <c r="R33" s="39">
        <f>if(G33=13,1,0)+VLOOKUP(B33,'092824'!B:T,17,false)</f>
        <v>0</v>
      </c>
      <c r="S33" s="39"/>
      <c r="T33" s="39">
        <f>if(G33=9,1,0)+VLOOKUP(B33,'092824'!B:T,19,false)</f>
        <v>8</v>
      </c>
      <c r="U33" s="39">
        <f>VLOOKUP(B33,'092824'!B$5:V$70,21,false)-A33</f>
        <v>-3</v>
      </c>
      <c r="V33" s="30">
        <f t="shared" si="5"/>
        <v>29</v>
      </c>
    </row>
    <row r="34">
      <c r="A34" s="30">
        <f t="shared" si="3"/>
        <v>30</v>
      </c>
      <c r="B34" s="51" t="s">
        <v>99</v>
      </c>
      <c r="C34" s="32">
        <v>149.0</v>
      </c>
      <c r="D34" s="32">
        <v>9.0</v>
      </c>
      <c r="E34" s="37">
        <v>1.0</v>
      </c>
      <c r="F34" s="39">
        <v>4.0</v>
      </c>
      <c r="G34" s="40">
        <v>0.0</v>
      </c>
      <c r="H34" s="39">
        <v>6.0</v>
      </c>
      <c r="I34" s="39">
        <v>2.0</v>
      </c>
      <c r="J34" s="39">
        <v>6.0</v>
      </c>
      <c r="K34" s="42">
        <v>14.0</v>
      </c>
      <c r="L34" s="39">
        <v>2.0</v>
      </c>
      <c r="M34" s="32">
        <f t="shared" ref="M34:N34" si="32">C34+K34</f>
        <v>163</v>
      </c>
      <c r="N34" s="32">
        <f t="shared" si="32"/>
        <v>11</v>
      </c>
      <c r="O34" s="43" t="s">
        <v>53</v>
      </c>
      <c r="P34" s="43"/>
      <c r="Q34" s="43" t="s">
        <v>53</v>
      </c>
      <c r="R34" s="39">
        <f>if(G34=13,1,0)+VLOOKUP(B34,'092824'!B:T,17,false)</f>
        <v>0</v>
      </c>
      <c r="S34" s="39"/>
      <c r="T34" s="39">
        <f>if(G34=9,1,0)+VLOOKUP(B34,'092824'!B:T,19,false)</f>
        <v>3</v>
      </c>
      <c r="U34" s="39">
        <f>VLOOKUP(B34,'092824'!B$5:V$70,21,false)-A34</f>
        <v>7</v>
      </c>
      <c r="V34" s="30">
        <f t="shared" si="5"/>
        <v>30</v>
      </c>
    </row>
    <row r="35">
      <c r="A35" s="30">
        <f t="shared" si="3"/>
        <v>31</v>
      </c>
      <c r="B35" s="31" t="s">
        <v>96</v>
      </c>
      <c r="C35" s="32">
        <v>147.0</v>
      </c>
      <c r="D35" s="32">
        <v>11.0</v>
      </c>
      <c r="E35" s="37">
        <v>1.0</v>
      </c>
      <c r="F35" s="39">
        <v>5.0</v>
      </c>
      <c r="G35" s="40">
        <v>0.0</v>
      </c>
      <c r="H35" s="39">
        <v>6.0</v>
      </c>
      <c r="I35" s="39">
        <v>4.0</v>
      </c>
      <c r="J35" s="39">
        <v>4.0</v>
      </c>
      <c r="K35" s="42">
        <v>14.0</v>
      </c>
      <c r="L35" s="39">
        <v>1.0</v>
      </c>
      <c r="M35" s="32">
        <f t="shared" ref="M35:N35" si="33">C35+K35</f>
        <v>161</v>
      </c>
      <c r="N35" s="32">
        <f t="shared" si="33"/>
        <v>12</v>
      </c>
      <c r="O35" s="43" t="s">
        <v>53</v>
      </c>
      <c r="P35" s="43" t="s">
        <v>53</v>
      </c>
      <c r="Q35" s="43" t="s">
        <v>53</v>
      </c>
      <c r="R35" s="39">
        <f>if(G35=13,1,0)+VLOOKUP(B35,'092824'!B:T,17,false)</f>
        <v>1</v>
      </c>
      <c r="S35" s="39"/>
      <c r="T35" s="39">
        <f>if(G35=9,1,0)+VLOOKUP(B35,'092824'!B:T,19,false)</f>
        <v>7</v>
      </c>
      <c r="U35" s="39">
        <f>VLOOKUP(B35,'092824'!B$5:V$70,21,false)-A35</f>
        <v>-2</v>
      </c>
      <c r="V35" s="30">
        <f t="shared" si="5"/>
        <v>31</v>
      </c>
    </row>
    <row r="36">
      <c r="A36" s="30">
        <f t="shared" si="3"/>
        <v>32</v>
      </c>
      <c r="B36" s="31" t="s">
        <v>46</v>
      </c>
      <c r="C36" s="32">
        <v>147.0</v>
      </c>
      <c r="D36" s="32">
        <v>10.0</v>
      </c>
      <c r="E36" s="37">
        <v>1.0</v>
      </c>
      <c r="F36" s="39">
        <v>5.0</v>
      </c>
      <c r="G36" s="40">
        <v>0.0</v>
      </c>
      <c r="H36" s="39">
        <v>1.0</v>
      </c>
      <c r="I36" s="39">
        <v>6.0</v>
      </c>
      <c r="J36" s="39">
        <v>4.0</v>
      </c>
      <c r="K36" s="42">
        <v>11.0</v>
      </c>
      <c r="L36" s="39">
        <v>1.0</v>
      </c>
      <c r="M36" s="32">
        <f t="shared" ref="M36:N36" si="34">C36+K36</f>
        <v>158</v>
      </c>
      <c r="N36" s="32">
        <f t="shared" si="34"/>
        <v>11</v>
      </c>
      <c r="O36" s="43" t="s">
        <v>53</v>
      </c>
      <c r="P36" s="43" t="s">
        <v>53</v>
      </c>
      <c r="Q36" s="43" t="s">
        <v>53</v>
      </c>
      <c r="R36" s="39">
        <f>if(G36=13,1,0)+VLOOKUP(B36,'092824'!B:T,17,false)</f>
        <v>0</v>
      </c>
      <c r="S36" s="39"/>
      <c r="T36" s="39">
        <f>if(G36=9,1,0)+VLOOKUP(B36,'092824'!B:T,19,false)</f>
        <v>6</v>
      </c>
      <c r="U36" s="39">
        <f>VLOOKUP(B36,'092824'!B$5:V$70,21,false)-A36</f>
        <v>-2</v>
      </c>
      <c r="V36" s="30">
        <f t="shared" si="5"/>
        <v>32</v>
      </c>
    </row>
    <row r="37">
      <c r="A37" s="30">
        <f t="shared" si="3"/>
        <v>33</v>
      </c>
      <c r="B37" s="31" t="s">
        <v>97</v>
      </c>
      <c r="C37" s="32">
        <v>146.0</v>
      </c>
      <c r="D37" s="32">
        <v>8.0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5">C37+K37</f>
        <v>155</v>
      </c>
      <c r="N37" s="32">
        <f t="shared" si="35"/>
        <v>8</v>
      </c>
      <c r="O37" s="43" t="s">
        <v>53</v>
      </c>
      <c r="P37" s="43" t="s">
        <v>53</v>
      </c>
      <c r="Q37" s="43" t="s">
        <v>53</v>
      </c>
      <c r="R37" s="39">
        <f>if(G37=13,1,0)+VLOOKUP(B37,'092824'!B:T,17,false)</f>
        <v>1</v>
      </c>
      <c r="S37" s="39"/>
      <c r="T37" s="39">
        <f>if(G37=9,1,0)+VLOOKUP(B37,'092824'!B:T,19,false)</f>
        <v>8</v>
      </c>
      <c r="U37" s="39">
        <f>VLOOKUP(B37,'092824'!B$5:V$70,21,false)-A37</f>
        <v>-2</v>
      </c>
      <c r="V37" s="30">
        <f t="shared" si="5"/>
        <v>33</v>
      </c>
    </row>
    <row r="38">
      <c r="A38" s="30">
        <f t="shared" si="3"/>
        <v>34</v>
      </c>
      <c r="B38" s="31" t="s">
        <v>63</v>
      </c>
      <c r="C38" s="32">
        <v>145.0</v>
      </c>
      <c r="D38" s="32">
        <v>9.0</v>
      </c>
      <c r="E38" s="37">
        <v>5.0</v>
      </c>
      <c r="F38" s="39">
        <v>0.0</v>
      </c>
      <c r="G38" s="40">
        <v>13.0</v>
      </c>
      <c r="H38" s="39">
        <v>0.0</v>
      </c>
      <c r="I38" s="39">
        <v>0.0</v>
      </c>
      <c r="J38" s="39">
        <v>0.0</v>
      </c>
      <c r="K38" s="42">
        <v>13.0</v>
      </c>
      <c r="L38" s="39">
        <v>0.0</v>
      </c>
      <c r="M38" s="32">
        <f t="shared" ref="M38:N38" si="36">C38+K38</f>
        <v>158</v>
      </c>
      <c r="N38" s="32">
        <f t="shared" si="36"/>
        <v>9</v>
      </c>
      <c r="O38" s="43" t="s">
        <v>53</v>
      </c>
      <c r="P38" s="43" t="s">
        <v>53</v>
      </c>
      <c r="Q38" s="43" t="s">
        <v>53</v>
      </c>
      <c r="R38" s="39">
        <f>if(G38=13,1,0)+VLOOKUP(B38,'092824'!B:T,17,false)</f>
        <v>1</v>
      </c>
      <c r="S38" s="39"/>
      <c r="T38" s="39">
        <f>if(G38=9,1,0)+VLOOKUP(B38,'092824'!B:T,19,false)</f>
        <v>10</v>
      </c>
      <c r="U38" s="39">
        <f>VLOOKUP(B38,'092824'!B$5:V$70,21,false)-A38</f>
        <v>9</v>
      </c>
      <c r="V38" s="30">
        <f t="shared" si="5"/>
        <v>34</v>
      </c>
    </row>
    <row r="39">
      <c r="A39" s="30">
        <f t="shared" si="3"/>
        <v>35</v>
      </c>
      <c r="B39" s="56" t="s">
        <v>107</v>
      </c>
      <c r="C39" s="32">
        <v>144.0</v>
      </c>
      <c r="D39" s="32">
        <v>13.0</v>
      </c>
      <c r="E39" s="37">
        <v>1.0</v>
      </c>
      <c r="F39" s="39">
        <v>5.0</v>
      </c>
      <c r="G39" s="40">
        <v>0.0</v>
      </c>
      <c r="H39" s="39">
        <v>1.0</v>
      </c>
      <c r="I39" s="39">
        <v>4.0</v>
      </c>
      <c r="J39" s="39">
        <v>6.0</v>
      </c>
      <c r="K39" s="42">
        <v>11.0</v>
      </c>
      <c r="L39" s="39">
        <v>1.0</v>
      </c>
      <c r="M39" s="32">
        <f t="shared" ref="M39:N39" si="37">C39+K39</f>
        <v>155</v>
      </c>
      <c r="N39" s="32">
        <f t="shared" si="37"/>
        <v>14</v>
      </c>
      <c r="O39" s="43" t="s">
        <v>53</v>
      </c>
      <c r="P39" s="43" t="s">
        <v>53</v>
      </c>
      <c r="Q39" s="43" t="s">
        <v>53</v>
      </c>
      <c r="R39" s="39">
        <f>if(G39=13,1,0)+VLOOKUP(B39,'092824'!B:T,17,false)</f>
        <v>0</v>
      </c>
      <c r="S39" s="39"/>
      <c r="T39" s="39">
        <f>if(G39=9,1,0)+VLOOKUP(B39,'092824'!B:T,19,false)</f>
        <v>3</v>
      </c>
      <c r="U39" s="39">
        <f>VLOOKUP(B39,'092824'!B$5:V$70,21,false)-A39</f>
        <v>-1</v>
      </c>
      <c r="V39" s="30">
        <f t="shared" si="5"/>
        <v>35</v>
      </c>
    </row>
    <row r="40">
      <c r="A40" s="30">
        <f t="shared" si="3"/>
        <v>36</v>
      </c>
      <c r="B40" s="56" t="s">
        <v>110</v>
      </c>
      <c r="C40" s="32">
        <v>143.0</v>
      </c>
      <c r="D40" s="32">
        <v>5.0</v>
      </c>
      <c r="E40" s="37">
        <v>5.0</v>
      </c>
      <c r="F40" s="39">
        <v>0.0</v>
      </c>
      <c r="G40" s="40">
        <v>13.0</v>
      </c>
      <c r="H40" s="39">
        <v>0.0</v>
      </c>
      <c r="I40" s="39">
        <v>0.0</v>
      </c>
      <c r="J40" s="39">
        <v>0.0</v>
      </c>
      <c r="K40" s="42">
        <v>13.0</v>
      </c>
      <c r="L40" s="39">
        <v>0.0</v>
      </c>
      <c r="M40" s="32">
        <f t="shared" ref="M40:N40" si="38">C40+K40</f>
        <v>156</v>
      </c>
      <c r="N40" s="32">
        <f t="shared" si="38"/>
        <v>5</v>
      </c>
      <c r="O40" s="43" t="s">
        <v>53</v>
      </c>
      <c r="P40" s="43" t="s">
        <v>53</v>
      </c>
      <c r="Q40" s="43" t="s">
        <v>53</v>
      </c>
      <c r="R40" s="39">
        <f>if(G40=13,1,0)+VLOOKUP(B40,'092824'!B:T,17,false)</f>
        <v>4</v>
      </c>
      <c r="S40" s="39"/>
      <c r="T40" s="39">
        <f>if(G40=9,1,0)+VLOOKUP(B40,'092824'!B:T,19,false)</f>
        <v>5</v>
      </c>
      <c r="U40" s="39">
        <f>VLOOKUP(B40,'092824'!B$5:V$70,21,false)-A40</f>
        <v>-3</v>
      </c>
      <c r="V40" s="30">
        <f t="shared" si="5"/>
        <v>36</v>
      </c>
    </row>
    <row r="41">
      <c r="A41" s="30">
        <f t="shared" si="3"/>
        <v>37</v>
      </c>
      <c r="B41" s="51" t="s">
        <v>75</v>
      </c>
      <c r="C41" s="32">
        <v>141.0</v>
      </c>
      <c r="D41" s="32">
        <v>6.0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9">C41+K41</f>
        <v>150</v>
      </c>
      <c r="N41" s="32">
        <f t="shared" si="39"/>
        <v>6</v>
      </c>
      <c r="O41" s="43" t="s">
        <v>53</v>
      </c>
      <c r="P41" s="43" t="s">
        <v>53</v>
      </c>
      <c r="Q41" s="43" t="s">
        <v>53</v>
      </c>
      <c r="R41" s="39">
        <f>if(G41=13,1,0)+VLOOKUP(B41,'092824'!B:T,17,false)</f>
        <v>1</v>
      </c>
      <c r="S41" s="39"/>
      <c r="T41" s="39">
        <f>if(G41=9,1,0)+VLOOKUP(B41,'092824'!B:T,19,false)</f>
        <v>11</v>
      </c>
      <c r="U41" s="39">
        <f>VLOOKUP(B41,'092824'!B$5:V$70,21,false)-A41</f>
        <v>-2</v>
      </c>
      <c r="V41" s="30">
        <f t="shared" si="5"/>
        <v>37</v>
      </c>
    </row>
    <row r="42">
      <c r="A42" s="30">
        <f t="shared" si="3"/>
        <v>38</v>
      </c>
      <c r="B42" s="31" t="s">
        <v>73</v>
      </c>
      <c r="C42" s="32">
        <v>140.0</v>
      </c>
      <c r="D42" s="32">
        <v>6.0</v>
      </c>
      <c r="E42" s="37">
        <v>5.0</v>
      </c>
      <c r="F42" s="39">
        <v>0.0</v>
      </c>
      <c r="G42" s="40">
        <v>13.0</v>
      </c>
      <c r="H42" s="39">
        <v>0.0</v>
      </c>
      <c r="I42" s="39">
        <v>0.0</v>
      </c>
      <c r="J42" s="39">
        <v>0.0</v>
      </c>
      <c r="K42" s="42">
        <v>13.0</v>
      </c>
      <c r="L42" s="39">
        <v>0.0</v>
      </c>
      <c r="M42" s="32">
        <f t="shared" ref="M42:N42" si="40">C42+K42</f>
        <v>153</v>
      </c>
      <c r="N42" s="32">
        <f t="shared" si="40"/>
        <v>6</v>
      </c>
      <c r="O42" s="43" t="s">
        <v>53</v>
      </c>
      <c r="P42" s="43" t="s">
        <v>53</v>
      </c>
      <c r="Q42" s="43" t="s">
        <v>53</v>
      </c>
      <c r="R42" s="39">
        <f>if(G42=13,1,0)+VLOOKUP(B42,'092824'!B:T,17,false)</f>
        <v>3</v>
      </c>
      <c r="S42" s="39"/>
      <c r="T42" s="39">
        <f>if(G42=9,1,0)+VLOOKUP(B42,'092824'!B:T,19,false)</f>
        <v>7</v>
      </c>
      <c r="U42" s="39">
        <f>VLOOKUP(B42,'092824'!B$5:V$70,21,false)-A42</f>
        <v>-2</v>
      </c>
      <c r="V42" s="30">
        <f t="shared" si="5"/>
        <v>38</v>
      </c>
    </row>
    <row r="43">
      <c r="A43" s="30">
        <f t="shared" si="3"/>
        <v>39</v>
      </c>
      <c r="B43" s="51" t="s">
        <v>116</v>
      </c>
      <c r="C43" s="32">
        <v>139.0</v>
      </c>
      <c r="D43" s="32">
        <v>8.0</v>
      </c>
      <c r="E43" s="37">
        <v>3.0</v>
      </c>
      <c r="F43" s="39">
        <v>0.0</v>
      </c>
      <c r="G43" s="40">
        <v>9.0</v>
      </c>
      <c r="H43" s="39">
        <v>0.0</v>
      </c>
      <c r="I43" s="39">
        <v>0.0</v>
      </c>
      <c r="J43" s="39">
        <v>0.0</v>
      </c>
      <c r="K43" s="42">
        <v>9.0</v>
      </c>
      <c r="L43" s="39">
        <v>0.0</v>
      </c>
      <c r="M43" s="32">
        <f t="shared" ref="M43:N43" si="41">C43+K43</f>
        <v>148</v>
      </c>
      <c r="N43" s="32">
        <f t="shared" si="41"/>
        <v>8</v>
      </c>
      <c r="O43" s="43" t="s">
        <v>53</v>
      </c>
      <c r="P43" s="43" t="s">
        <v>53</v>
      </c>
      <c r="Q43" s="43" t="s">
        <v>53</v>
      </c>
      <c r="R43" s="39">
        <f>if(G43=13,1,0)+VLOOKUP(B43,'092824'!B:T,17,false)</f>
        <v>1</v>
      </c>
      <c r="S43" s="39"/>
      <c r="T43" s="39">
        <f>if(G43=9,1,0)+VLOOKUP(B43,'092824'!B:T,19,false)</f>
        <v>4</v>
      </c>
      <c r="U43" s="39">
        <f>VLOOKUP(B43,'092824'!B$5:V$70,21,false)-A43</f>
        <v>-1</v>
      </c>
      <c r="V43" s="30">
        <f t="shared" si="5"/>
        <v>39</v>
      </c>
    </row>
    <row r="44">
      <c r="A44" s="30">
        <f t="shared" si="3"/>
        <v>40</v>
      </c>
      <c r="B44" s="51" t="s">
        <v>76</v>
      </c>
      <c r="C44" s="32">
        <v>138.0</v>
      </c>
      <c r="D44" s="32">
        <v>11.0</v>
      </c>
      <c r="E44" s="37">
        <v>1.0</v>
      </c>
      <c r="F44" s="39">
        <v>5.0</v>
      </c>
      <c r="G44" s="40">
        <v>0.0</v>
      </c>
      <c r="H44" s="39">
        <v>6.0</v>
      </c>
      <c r="I44" s="39">
        <v>6.0</v>
      </c>
      <c r="J44" s="39">
        <v>6.0</v>
      </c>
      <c r="K44" s="42">
        <v>18.0</v>
      </c>
      <c r="L44" s="39">
        <v>3.0</v>
      </c>
      <c r="M44" s="32">
        <f t="shared" ref="M44:N44" si="42">C44+K44</f>
        <v>156</v>
      </c>
      <c r="N44" s="32">
        <f t="shared" si="42"/>
        <v>14</v>
      </c>
      <c r="O44" s="43" t="s">
        <v>53</v>
      </c>
      <c r="P44" s="43" t="s">
        <v>53</v>
      </c>
      <c r="Q44" s="43" t="s">
        <v>53</v>
      </c>
      <c r="R44" s="39">
        <f>if(G44=13,1,0)+VLOOKUP(B44,'092824'!B:T,17,false)</f>
        <v>0</v>
      </c>
      <c r="S44" s="39"/>
      <c r="T44" s="39">
        <f>if(G44=9,1,0)+VLOOKUP(B44,'092824'!B:T,19,false)</f>
        <v>5</v>
      </c>
      <c r="U44" s="39">
        <f>VLOOKUP(B44,'092824'!B$5:V$70,21,false)-A44</f>
        <v>-1</v>
      </c>
      <c r="V44" s="30">
        <f t="shared" si="5"/>
        <v>40</v>
      </c>
    </row>
    <row r="45">
      <c r="A45" s="30">
        <f t="shared" si="3"/>
        <v>41</v>
      </c>
      <c r="B45" s="51" t="s">
        <v>103</v>
      </c>
      <c r="C45" s="32">
        <v>138.0</v>
      </c>
      <c r="D45" s="32">
        <v>6.0</v>
      </c>
      <c r="E45" s="37">
        <v>1.0</v>
      </c>
      <c r="F45" s="39">
        <v>6.0</v>
      </c>
      <c r="G45" s="40">
        <v>0.0</v>
      </c>
      <c r="H45" s="39">
        <v>6.0</v>
      </c>
      <c r="I45" s="39">
        <v>6.0</v>
      </c>
      <c r="J45" s="39">
        <v>7.0</v>
      </c>
      <c r="K45" s="42">
        <v>19.0</v>
      </c>
      <c r="L45" s="39">
        <v>3.0</v>
      </c>
      <c r="M45" s="32">
        <f t="shared" ref="M45:N45" si="43">C45+K45</f>
        <v>157</v>
      </c>
      <c r="N45" s="32">
        <f t="shared" si="43"/>
        <v>9</v>
      </c>
      <c r="O45" s="43" t="s">
        <v>53</v>
      </c>
      <c r="P45" s="43" t="s">
        <v>53</v>
      </c>
      <c r="Q45" s="43" t="s">
        <v>53</v>
      </c>
      <c r="R45" s="39">
        <f>if(G45=13,1,0)+VLOOKUP(B45,'092824'!B:T,17,false)</f>
        <v>1</v>
      </c>
      <c r="S45" s="39"/>
      <c r="T45" s="39">
        <f>if(G45=9,1,0)+VLOOKUP(B45,'092824'!B:T,19,false)</f>
        <v>8</v>
      </c>
      <c r="U45" s="39">
        <f>VLOOKUP(B45,'092824'!B$5:V$70,21,false)-A45</f>
        <v>-1</v>
      </c>
      <c r="V45" s="30">
        <f t="shared" si="5"/>
        <v>41</v>
      </c>
    </row>
    <row r="46">
      <c r="A46" s="30">
        <f t="shared" si="3"/>
        <v>42</v>
      </c>
      <c r="B46" s="57" t="s">
        <v>109</v>
      </c>
      <c r="C46" s="32">
        <v>138.0</v>
      </c>
      <c r="D46" s="32">
        <v>2.0</v>
      </c>
      <c r="E46" s="37">
        <v>5.0</v>
      </c>
      <c r="F46" s="39">
        <v>0.0</v>
      </c>
      <c r="G46" s="40">
        <v>13.0</v>
      </c>
      <c r="H46" s="39">
        <v>0.0</v>
      </c>
      <c r="I46" s="39">
        <v>0.0</v>
      </c>
      <c r="J46" s="39">
        <v>0.0</v>
      </c>
      <c r="K46" s="42">
        <v>13.0</v>
      </c>
      <c r="L46" s="39">
        <v>0.0</v>
      </c>
      <c r="M46" s="32">
        <f t="shared" ref="M46:N46" si="44">C46+K46</f>
        <v>151</v>
      </c>
      <c r="N46" s="32">
        <f t="shared" si="44"/>
        <v>2</v>
      </c>
      <c r="O46" s="43" t="s">
        <v>53</v>
      </c>
      <c r="P46" s="43" t="s">
        <v>53</v>
      </c>
      <c r="Q46" s="43" t="s">
        <v>53</v>
      </c>
      <c r="R46" s="39">
        <f>if(G46=13,1,0)+VLOOKUP(B46,'092824'!B:T,17,false)</f>
        <v>4</v>
      </c>
      <c r="S46" s="39"/>
      <c r="T46" s="39">
        <f>if(G46=9,1,0)+VLOOKUP(B46,'092824'!B:T,19,false)</f>
        <v>9</v>
      </c>
      <c r="U46" s="39">
        <f>VLOOKUP(B46,'092824'!B$5:V$70,21,false)-A46</f>
        <v>-1</v>
      </c>
      <c r="V46" s="30">
        <f t="shared" si="5"/>
        <v>42</v>
      </c>
    </row>
    <row r="47">
      <c r="A47" s="30">
        <f t="shared" si="3"/>
        <v>43</v>
      </c>
      <c r="B47" s="51" t="s">
        <v>114</v>
      </c>
      <c r="C47" s="32">
        <v>137.0</v>
      </c>
      <c r="D47" s="32">
        <v>7.0</v>
      </c>
      <c r="E47" s="37">
        <v>1.0</v>
      </c>
      <c r="F47" s="39">
        <v>6.0</v>
      </c>
      <c r="G47" s="40">
        <v>0.0</v>
      </c>
      <c r="H47" s="39">
        <v>6.0</v>
      </c>
      <c r="I47" s="39">
        <v>1.0</v>
      </c>
      <c r="J47" s="39">
        <v>6.0</v>
      </c>
      <c r="K47" s="42">
        <v>13.0</v>
      </c>
      <c r="L47" s="39">
        <v>1.0</v>
      </c>
      <c r="M47" s="32">
        <f t="shared" ref="M47:N47" si="45">C47+K47</f>
        <v>150</v>
      </c>
      <c r="N47" s="32">
        <f t="shared" si="45"/>
        <v>8</v>
      </c>
      <c r="O47" s="43" t="s">
        <v>53</v>
      </c>
      <c r="P47" s="43" t="s">
        <v>53</v>
      </c>
      <c r="Q47" s="43" t="s">
        <v>53</v>
      </c>
      <c r="R47" s="39">
        <f>if(G47=13,1,0)+VLOOKUP(B47,'092824'!B:T,17,false)</f>
        <v>2</v>
      </c>
      <c r="S47" s="39"/>
      <c r="T47" s="39">
        <f>if(G47=9,1,0)+VLOOKUP(B47,'092824'!B:T,19,false)</f>
        <v>5</v>
      </c>
      <c r="U47" s="39">
        <f>VLOOKUP(B47,'092824'!B$5:V$70,21,false)-A47</f>
        <v>-1</v>
      </c>
      <c r="V47" s="30">
        <f t="shared" si="5"/>
        <v>43</v>
      </c>
    </row>
    <row r="48">
      <c r="A48" s="30">
        <f t="shared" si="3"/>
        <v>44</v>
      </c>
      <c r="B48" s="56" t="s">
        <v>115</v>
      </c>
      <c r="C48" s="32">
        <v>136.0</v>
      </c>
      <c r="D48" s="32">
        <v>9.0</v>
      </c>
      <c r="E48" s="37">
        <v>1.0</v>
      </c>
      <c r="F48" s="39">
        <v>6.0</v>
      </c>
      <c r="G48" s="40">
        <v>0.0</v>
      </c>
      <c r="H48" s="39">
        <v>0.0</v>
      </c>
      <c r="I48" s="39">
        <v>1.0</v>
      </c>
      <c r="J48" s="39">
        <v>7.0</v>
      </c>
      <c r="K48" s="42">
        <v>8.0</v>
      </c>
      <c r="L48" s="39">
        <v>1.0</v>
      </c>
      <c r="M48" s="32">
        <f t="shared" ref="M48:N48" si="46">C48+K48</f>
        <v>144</v>
      </c>
      <c r="N48" s="32">
        <f t="shared" si="46"/>
        <v>10</v>
      </c>
      <c r="O48" s="43" t="s">
        <v>53</v>
      </c>
      <c r="P48" s="43" t="s">
        <v>53</v>
      </c>
      <c r="Q48" s="43" t="s">
        <v>53</v>
      </c>
      <c r="R48" s="39">
        <f>if(G48=13,1,0)+VLOOKUP(B48,'092824'!B:T,17,false)</f>
        <v>0</v>
      </c>
      <c r="S48" s="39"/>
      <c r="T48" s="39">
        <f>if(G48=9,1,0)+VLOOKUP(B48,'092824'!B:T,19,false)</f>
        <v>1</v>
      </c>
      <c r="U48" s="39">
        <f>VLOOKUP(B48,'092824'!B$5:V$70,21,false)-A48</f>
        <v>1</v>
      </c>
      <c r="V48" s="30">
        <f t="shared" si="5"/>
        <v>44</v>
      </c>
    </row>
    <row r="49">
      <c r="A49" s="30">
        <f t="shared" si="3"/>
        <v>45</v>
      </c>
      <c r="B49" s="31" t="s">
        <v>81</v>
      </c>
      <c r="C49" s="32">
        <v>134.0</v>
      </c>
      <c r="D49" s="32">
        <v>5.0</v>
      </c>
      <c r="E49" s="37">
        <v>1.0</v>
      </c>
      <c r="F49" s="39">
        <v>6.0</v>
      </c>
      <c r="G49" s="40">
        <v>0.0</v>
      </c>
      <c r="H49" s="39">
        <v>0.0</v>
      </c>
      <c r="I49" s="39">
        <v>6.0</v>
      </c>
      <c r="J49" s="39">
        <v>6.0</v>
      </c>
      <c r="K49" s="42">
        <v>12.0</v>
      </c>
      <c r="L49" s="39">
        <v>1.0</v>
      </c>
      <c r="M49" s="32">
        <f t="shared" ref="M49:N49" si="47">C49+K49</f>
        <v>146</v>
      </c>
      <c r="N49" s="32">
        <f t="shared" si="47"/>
        <v>6</v>
      </c>
      <c r="O49" s="43" t="s">
        <v>53</v>
      </c>
      <c r="P49" s="43" t="s">
        <v>53</v>
      </c>
      <c r="Q49" s="43" t="s">
        <v>53</v>
      </c>
      <c r="R49" s="39">
        <f>if(G49=13,1,0)+VLOOKUP(B49,'092824'!B:T,17,false)</f>
        <v>1</v>
      </c>
      <c r="S49" s="39"/>
      <c r="T49" s="39">
        <f>if(G49=9,1,0)+VLOOKUP(B49,'092824'!B:T,19,false)</f>
        <v>9</v>
      </c>
      <c r="U49" s="39">
        <f>VLOOKUP(B49,'092824'!B$5:V$70,21,false)-A49</f>
        <v>6</v>
      </c>
      <c r="V49" s="30">
        <f t="shared" si="5"/>
        <v>45</v>
      </c>
    </row>
    <row r="50">
      <c r="A50" s="30">
        <f t="shared" si="3"/>
        <v>46</v>
      </c>
      <c r="B50" s="31" t="s">
        <v>79</v>
      </c>
      <c r="C50" s="32">
        <v>134.0</v>
      </c>
      <c r="D50" s="32">
        <v>4.0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8">C50+K50</f>
        <v>143</v>
      </c>
      <c r="N50" s="32">
        <f t="shared" si="48"/>
        <v>4</v>
      </c>
      <c r="O50" s="43" t="s">
        <v>53</v>
      </c>
      <c r="P50" s="43" t="s">
        <v>53</v>
      </c>
      <c r="Q50" s="43" t="s">
        <v>53</v>
      </c>
      <c r="R50" s="39">
        <f>if(G50=13,1,0)+VLOOKUP(B50,'092824'!B:T,17,false)</f>
        <v>2</v>
      </c>
      <c r="S50" s="39"/>
      <c r="T50" s="39">
        <f>if(G50=9,1,0)+VLOOKUP(B50,'092824'!B:T,19,false)</f>
        <v>9</v>
      </c>
      <c r="U50" s="39">
        <f>VLOOKUP(B50,'092824'!B$5:V$70,21,false)-A50</f>
        <v>-2</v>
      </c>
      <c r="V50" s="30">
        <f t="shared" si="5"/>
        <v>46</v>
      </c>
    </row>
    <row r="51">
      <c r="A51" s="30">
        <f t="shared" si="3"/>
        <v>47</v>
      </c>
      <c r="B51" s="56" t="s">
        <v>51</v>
      </c>
      <c r="C51" s="32">
        <v>133.0</v>
      </c>
      <c r="D51" s="32">
        <v>9.0</v>
      </c>
      <c r="E51" s="37">
        <v>3.0</v>
      </c>
      <c r="F51" s="39">
        <v>0.0</v>
      </c>
      <c r="G51" s="40">
        <v>9.0</v>
      </c>
      <c r="H51" s="39">
        <v>0.0</v>
      </c>
      <c r="I51" s="39">
        <v>0.0</v>
      </c>
      <c r="J51" s="39">
        <v>0.0</v>
      </c>
      <c r="K51" s="42">
        <v>9.0</v>
      </c>
      <c r="L51" s="39">
        <v>0.0</v>
      </c>
      <c r="M51" s="32">
        <f t="shared" ref="M51:N51" si="49">C51+K51</f>
        <v>142</v>
      </c>
      <c r="N51" s="32">
        <f t="shared" si="49"/>
        <v>9</v>
      </c>
      <c r="O51" s="43" t="s">
        <v>53</v>
      </c>
      <c r="P51" s="43" t="s">
        <v>53</v>
      </c>
      <c r="Q51" s="43" t="s">
        <v>53</v>
      </c>
      <c r="R51" s="39">
        <f>if(G51=13,1,0)+VLOOKUP(B51,'092824'!B:T,17,false)</f>
        <v>1</v>
      </c>
      <c r="S51" s="39"/>
      <c r="T51" s="39">
        <f>if(G51=9,1,0)+VLOOKUP(B51,'092824'!B:T,19,false)</f>
        <v>5</v>
      </c>
      <c r="U51" s="39">
        <f>VLOOKUP(B51,'092824'!B$5:V$70,21,false)-A51</f>
        <v>0</v>
      </c>
      <c r="V51" s="30">
        <f t="shared" si="5"/>
        <v>47</v>
      </c>
    </row>
    <row r="52">
      <c r="A52" s="30">
        <f t="shared" si="3"/>
        <v>48</v>
      </c>
      <c r="B52" s="31" t="s">
        <v>56</v>
      </c>
      <c r="C52" s="32">
        <v>133.0</v>
      </c>
      <c r="D52" s="32">
        <v>3.0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50">C52+K52</f>
        <v>142</v>
      </c>
      <c r="N52" s="32">
        <f t="shared" si="50"/>
        <v>3</v>
      </c>
      <c r="O52" s="43" t="s">
        <v>53</v>
      </c>
      <c r="P52" s="43" t="s">
        <v>53</v>
      </c>
      <c r="Q52" s="43" t="s">
        <v>53</v>
      </c>
      <c r="R52" s="39">
        <f>if(G52=13,1,0)+VLOOKUP(B52,'092824'!B:T,17,false)</f>
        <v>1</v>
      </c>
      <c r="S52" s="39"/>
      <c r="T52" s="39">
        <f>if(G52=9,1,0)+VLOOKUP(B52,'092824'!B:T,19,false)</f>
        <v>11</v>
      </c>
      <c r="U52" s="39">
        <f>VLOOKUP(B52,'092824'!B$5:V$70,21,false)-A52</f>
        <v>-2</v>
      </c>
      <c r="V52" s="30">
        <f t="shared" si="5"/>
        <v>48</v>
      </c>
    </row>
    <row r="53">
      <c r="A53" s="30">
        <f t="shared" si="3"/>
        <v>49</v>
      </c>
      <c r="B53" s="31" t="s">
        <v>106</v>
      </c>
      <c r="C53" s="32">
        <v>132.0</v>
      </c>
      <c r="D53" s="32">
        <v>5.0</v>
      </c>
      <c r="E53" s="37">
        <v>1.0</v>
      </c>
      <c r="F53" s="39">
        <v>7.0</v>
      </c>
      <c r="G53" s="40">
        <v>0.0</v>
      </c>
      <c r="H53" s="39">
        <v>7.0</v>
      </c>
      <c r="I53" s="39">
        <v>6.0</v>
      </c>
      <c r="J53" s="39">
        <v>6.0</v>
      </c>
      <c r="K53" s="42">
        <v>19.0</v>
      </c>
      <c r="L53" s="39">
        <v>2.0</v>
      </c>
      <c r="M53" s="32">
        <f t="shared" ref="M53:N53" si="51">C53+K53</f>
        <v>151</v>
      </c>
      <c r="N53" s="32">
        <f t="shared" si="51"/>
        <v>7</v>
      </c>
      <c r="O53" s="43" t="s">
        <v>53</v>
      </c>
      <c r="P53" s="43" t="s">
        <v>53</v>
      </c>
      <c r="Q53" s="43" t="s">
        <v>53</v>
      </c>
      <c r="R53" s="39">
        <f>if(G53=13,1,0)+VLOOKUP(B53,'092824'!B:T,17,false)</f>
        <v>0</v>
      </c>
      <c r="S53" s="39"/>
      <c r="T53" s="39">
        <f>if(G53=9,1,0)+VLOOKUP(B53,'092824'!B:T,19,false)</f>
        <v>10</v>
      </c>
      <c r="U53" s="39">
        <f>VLOOKUP(B53,'092824'!B$5:V$70,21,false)-A53</f>
        <v>-1</v>
      </c>
      <c r="V53" s="30">
        <f t="shared" si="5"/>
        <v>49</v>
      </c>
    </row>
    <row r="54">
      <c r="A54" s="30">
        <f t="shared" si="3"/>
        <v>50</v>
      </c>
      <c r="B54" s="31" t="s">
        <v>119</v>
      </c>
      <c r="C54" s="32">
        <v>130.0</v>
      </c>
      <c r="D54" s="32">
        <v>4.0</v>
      </c>
      <c r="E54" s="37">
        <v>3.0</v>
      </c>
      <c r="F54" s="39">
        <v>0.0</v>
      </c>
      <c r="G54" s="40">
        <v>9.0</v>
      </c>
      <c r="H54" s="39">
        <v>0.0</v>
      </c>
      <c r="I54" s="39">
        <v>0.0</v>
      </c>
      <c r="J54" s="39">
        <v>0.0</v>
      </c>
      <c r="K54" s="42">
        <v>9.0</v>
      </c>
      <c r="L54" s="39">
        <v>0.0</v>
      </c>
      <c r="M54" s="32">
        <f t="shared" ref="M54:N54" si="52">C54+K54</f>
        <v>139</v>
      </c>
      <c r="N54" s="32">
        <f t="shared" si="52"/>
        <v>4</v>
      </c>
      <c r="O54" s="43" t="s">
        <v>53</v>
      </c>
      <c r="P54" s="43" t="s">
        <v>53</v>
      </c>
      <c r="Q54" s="43" t="s">
        <v>53</v>
      </c>
      <c r="R54" s="39">
        <f>if(G54=13,1,0)+VLOOKUP(B54,'092824'!B:T,17,false)</f>
        <v>0</v>
      </c>
      <c r="S54" s="39"/>
      <c r="T54" s="39">
        <f>if(G54=9,1,0)+VLOOKUP(B54,'092824'!B:T,19,false)</f>
        <v>12</v>
      </c>
      <c r="U54" s="39">
        <f>VLOOKUP(B54,'092824'!B$5:V$70,21,false)-A54</f>
        <v>-1</v>
      </c>
      <c r="V54" s="30">
        <f t="shared" si="5"/>
        <v>50</v>
      </c>
    </row>
    <row r="55">
      <c r="A55" s="30">
        <f t="shared" si="3"/>
        <v>51</v>
      </c>
      <c r="B55" s="31" t="s">
        <v>120</v>
      </c>
      <c r="C55" s="32">
        <v>130.0</v>
      </c>
      <c r="D55" s="32">
        <v>4.0</v>
      </c>
      <c r="E55" s="37">
        <v>1.0</v>
      </c>
      <c r="F55" s="39">
        <v>7.0</v>
      </c>
      <c r="G55" s="40">
        <v>0.0</v>
      </c>
      <c r="H55" s="39">
        <v>6.0</v>
      </c>
      <c r="I55" s="39">
        <v>6.0</v>
      </c>
      <c r="J55" s="39">
        <v>3.0</v>
      </c>
      <c r="K55" s="42">
        <v>15.0</v>
      </c>
      <c r="L55" s="39">
        <v>0.0</v>
      </c>
      <c r="M55" s="32">
        <f t="shared" ref="M55:N55" si="53">C55+K55</f>
        <v>145</v>
      </c>
      <c r="N55" s="32">
        <f t="shared" si="53"/>
        <v>4</v>
      </c>
      <c r="O55" s="43" t="s">
        <v>53</v>
      </c>
      <c r="P55" s="43" t="s">
        <v>53</v>
      </c>
      <c r="Q55" s="43" t="s">
        <v>53</v>
      </c>
      <c r="R55" s="39">
        <f>if(G55=13,1,0)+VLOOKUP(B55,'092824'!B:T,17,false)</f>
        <v>1</v>
      </c>
      <c r="S55" s="39"/>
      <c r="T55" s="39">
        <f>if(G55=9,1,0)+VLOOKUP(B55,'092824'!B:T,19,false)</f>
        <v>10</v>
      </c>
      <c r="U55" s="39">
        <f>VLOOKUP(B55,'092824'!B$5:V$70,21,false)-A55</f>
        <v>-1</v>
      </c>
      <c r="V55" s="30">
        <f t="shared" si="5"/>
        <v>51</v>
      </c>
    </row>
    <row r="56">
      <c r="A56" s="30">
        <f t="shared" si="3"/>
        <v>52</v>
      </c>
      <c r="B56" s="31" t="s">
        <v>117</v>
      </c>
      <c r="C56" s="32">
        <v>130.0</v>
      </c>
      <c r="D56" s="32">
        <v>3.0</v>
      </c>
      <c r="E56" s="37">
        <v>1.0</v>
      </c>
      <c r="F56" s="39">
        <v>7.0</v>
      </c>
      <c r="G56" s="40">
        <v>0.0</v>
      </c>
      <c r="H56" s="39">
        <v>7.0</v>
      </c>
      <c r="I56" s="39">
        <v>7.0</v>
      </c>
      <c r="J56" s="39">
        <v>3.0</v>
      </c>
      <c r="K56" s="42">
        <v>17.0</v>
      </c>
      <c r="L56" s="39">
        <v>2.0</v>
      </c>
      <c r="M56" s="32">
        <f t="shared" ref="M56:N56" si="54">C56+K56</f>
        <v>147</v>
      </c>
      <c r="N56" s="32">
        <f t="shared" si="54"/>
        <v>5</v>
      </c>
      <c r="O56" s="43" t="s">
        <v>53</v>
      </c>
      <c r="P56" s="43" t="s">
        <v>53</v>
      </c>
      <c r="Q56" s="43" t="s">
        <v>53</v>
      </c>
      <c r="R56" s="39">
        <f>if(G56=13,1,0)+VLOOKUP(B56,'092824'!B:T,17,false)</f>
        <v>1</v>
      </c>
      <c r="S56" s="39"/>
      <c r="T56" s="39">
        <f>if(G56=9,1,0)+VLOOKUP(B56,'092824'!B:T,19,false)</f>
        <v>10</v>
      </c>
      <c r="U56" s="39">
        <f>VLOOKUP(B56,'092824'!B$5:V$70,21,false)-A56</f>
        <v>0</v>
      </c>
      <c r="V56" s="30">
        <f t="shared" si="5"/>
        <v>52</v>
      </c>
    </row>
    <row r="57">
      <c r="A57" s="30">
        <f t="shared" si="3"/>
        <v>53</v>
      </c>
      <c r="B57" s="51" t="s">
        <v>102</v>
      </c>
      <c r="C57" s="32">
        <v>130.0</v>
      </c>
      <c r="D57" s="32">
        <v>2.0</v>
      </c>
      <c r="E57" s="37">
        <v>1.0</v>
      </c>
      <c r="F57" s="39">
        <v>7.0</v>
      </c>
      <c r="G57" s="40">
        <v>0.0</v>
      </c>
      <c r="H57" s="39">
        <v>6.0</v>
      </c>
      <c r="I57" s="39">
        <v>7.0</v>
      </c>
      <c r="J57" s="39">
        <v>6.0</v>
      </c>
      <c r="K57" s="42">
        <v>19.0</v>
      </c>
      <c r="L57" s="39">
        <v>2.0</v>
      </c>
      <c r="M57" s="32">
        <f t="shared" ref="M57:N57" si="55">C57+K57</f>
        <v>149</v>
      </c>
      <c r="N57" s="32">
        <f t="shared" si="55"/>
        <v>4</v>
      </c>
      <c r="O57" s="43" t="s">
        <v>53</v>
      </c>
      <c r="P57" s="43" t="s">
        <v>53</v>
      </c>
      <c r="Q57" s="43" t="s">
        <v>53</v>
      </c>
      <c r="R57" s="39">
        <f>if(G57=13,1,0)+VLOOKUP(B57,'092824'!B:T,17,false)</f>
        <v>2</v>
      </c>
      <c r="S57" s="39"/>
      <c r="T57" s="39">
        <f>if(G57=9,1,0)+VLOOKUP(B57,'092824'!B:T,19,false)</f>
        <v>9</v>
      </c>
      <c r="U57" s="39">
        <f>VLOOKUP(B57,'092824'!B$5:V$70,21,false)-A57</f>
        <v>0</v>
      </c>
      <c r="V57" s="30">
        <f t="shared" si="5"/>
        <v>53</v>
      </c>
    </row>
    <row r="58">
      <c r="A58" s="30">
        <f t="shared" si="3"/>
        <v>54</v>
      </c>
      <c r="B58" s="51" t="s">
        <v>118</v>
      </c>
      <c r="C58" s="32">
        <v>129.0</v>
      </c>
      <c r="D58" s="32">
        <v>5.0</v>
      </c>
      <c r="E58" s="37">
        <v>1.0</v>
      </c>
      <c r="F58" s="39">
        <v>8.0</v>
      </c>
      <c r="G58" s="40">
        <v>0.0</v>
      </c>
      <c r="H58" s="39">
        <v>0.0</v>
      </c>
      <c r="I58" s="39">
        <v>0.0</v>
      </c>
      <c r="J58" s="39">
        <v>7.0</v>
      </c>
      <c r="K58" s="42">
        <v>7.0</v>
      </c>
      <c r="L58" s="39">
        <v>1.0</v>
      </c>
      <c r="M58" s="32">
        <f t="shared" ref="M58:N58" si="56">C58+K58</f>
        <v>136</v>
      </c>
      <c r="N58" s="32">
        <f t="shared" si="56"/>
        <v>6</v>
      </c>
      <c r="O58" s="43" t="s">
        <v>53</v>
      </c>
      <c r="P58" s="43" t="s">
        <v>53</v>
      </c>
      <c r="Q58" s="43" t="s">
        <v>53</v>
      </c>
      <c r="R58" s="39">
        <f>if(G58=13,1,0)+VLOOKUP(B58,'092824'!B:T,17,false)</f>
        <v>0</v>
      </c>
      <c r="S58" s="39"/>
      <c r="T58" s="39">
        <f>if(G58=9,1,0)+VLOOKUP(B58,'092824'!B:T,19,false)</f>
        <v>8</v>
      </c>
      <c r="U58" s="39">
        <f>VLOOKUP(B58,'092824'!B$5:V$70,21,false)-A58</f>
        <v>0</v>
      </c>
      <c r="V58" s="30">
        <f t="shared" si="5"/>
        <v>54</v>
      </c>
    </row>
    <row r="59">
      <c r="A59" s="30">
        <f t="shared" si="3"/>
        <v>55</v>
      </c>
      <c r="B59" s="31" t="s">
        <v>124</v>
      </c>
      <c r="C59" s="32">
        <v>127.0</v>
      </c>
      <c r="D59" s="32">
        <v>3.0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7">C59+K59</f>
        <v>136</v>
      </c>
      <c r="N59" s="32">
        <f t="shared" si="57"/>
        <v>3</v>
      </c>
      <c r="O59" s="43" t="s">
        <v>53</v>
      </c>
      <c r="P59" s="43" t="s">
        <v>53</v>
      </c>
      <c r="Q59" s="43" t="s">
        <v>53</v>
      </c>
      <c r="R59" s="39">
        <f>if(G59=13,1,0)+VLOOKUP(B59,'092824'!B:T,17,false)</f>
        <v>1</v>
      </c>
      <c r="S59" s="39"/>
      <c r="T59" s="39">
        <f>if(G59=9,1,0)+VLOOKUP(B59,'092824'!B:T,19,false)</f>
        <v>11</v>
      </c>
      <c r="U59" s="39">
        <f>VLOOKUP(B59,'092824'!B$5:V$70,21,false)-A59</f>
        <v>0</v>
      </c>
      <c r="V59" s="30">
        <f t="shared" si="5"/>
        <v>55</v>
      </c>
    </row>
    <row r="60">
      <c r="A60" s="30">
        <f t="shared" si="3"/>
        <v>56</v>
      </c>
      <c r="B60" s="31" t="s">
        <v>125</v>
      </c>
      <c r="C60" s="32">
        <v>126.0</v>
      </c>
      <c r="D60" s="32">
        <v>3.0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8">C60+K60</f>
        <v>135</v>
      </c>
      <c r="N60" s="32">
        <f t="shared" si="58"/>
        <v>3</v>
      </c>
      <c r="O60" s="43" t="s">
        <v>53</v>
      </c>
      <c r="P60" s="43" t="s">
        <v>53</v>
      </c>
      <c r="Q60" s="43" t="s">
        <v>53</v>
      </c>
      <c r="R60" s="39">
        <f>if(G60=13,1,0)+VLOOKUP(B60,'092824'!B:T,17,false)</f>
        <v>0</v>
      </c>
      <c r="S60" s="39"/>
      <c r="T60" s="39">
        <f>if(G60=9,1,0)+VLOOKUP(B60,'092824'!B:T,19,false)</f>
        <v>13</v>
      </c>
      <c r="U60" s="39">
        <f>VLOOKUP(B60,'092824'!B$5:V$70,21,false)-A60</f>
        <v>0</v>
      </c>
      <c r="V60" s="30">
        <f t="shared" si="5"/>
        <v>56</v>
      </c>
    </row>
    <row r="61">
      <c r="A61" s="30">
        <f t="shared" si="3"/>
        <v>57</v>
      </c>
      <c r="B61" s="56" t="s">
        <v>122</v>
      </c>
      <c r="C61" s="32">
        <v>126.0</v>
      </c>
      <c r="D61" s="32">
        <v>3.0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9">C61+K61</f>
        <v>135</v>
      </c>
      <c r="N61" s="32">
        <f t="shared" si="59"/>
        <v>3</v>
      </c>
      <c r="O61" s="43" t="s">
        <v>53</v>
      </c>
      <c r="P61" s="43" t="s">
        <v>53</v>
      </c>
      <c r="Q61" s="43" t="s">
        <v>53</v>
      </c>
      <c r="R61" s="39">
        <f>if(G61=13,1,0)+VLOOKUP(B61,'092824'!B:T,17,false)</f>
        <v>1</v>
      </c>
      <c r="S61" s="39"/>
      <c r="T61" s="39">
        <f>if(G61=9,1,0)+VLOOKUP(B61,'092824'!B:T,19,false)</f>
        <v>10</v>
      </c>
      <c r="U61" s="39">
        <f>VLOOKUP(B61,'092824'!B$5:V$70,21,false)-A61</f>
        <v>0</v>
      </c>
      <c r="V61" s="30">
        <f t="shared" si="5"/>
        <v>57</v>
      </c>
    </row>
    <row r="62">
      <c r="A62" s="30">
        <f t="shared" si="3"/>
        <v>58</v>
      </c>
      <c r="B62" s="31" t="s">
        <v>123</v>
      </c>
      <c r="C62" s="32">
        <v>126.0</v>
      </c>
      <c r="D62" s="32">
        <v>3.0</v>
      </c>
      <c r="E62" s="37">
        <v>4.0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60">C62+K62</f>
        <v>135</v>
      </c>
      <c r="N62" s="32">
        <f t="shared" si="60"/>
        <v>3</v>
      </c>
      <c r="O62" s="43" t="s">
        <v>53</v>
      </c>
      <c r="P62" s="43" t="s">
        <v>53</v>
      </c>
      <c r="Q62" s="43" t="s">
        <v>53</v>
      </c>
      <c r="R62" s="39">
        <f>if(G62=13,1,0)+VLOOKUP(B62,'092824'!B:T,17,false)</f>
        <v>0</v>
      </c>
      <c r="S62" s="39"/>
      <c r="T62" s="39">
        <f>if(G62=9,1,0)+VLOOKUP(B62,'092824'!B:T,19,false)</f>
        <v>13</v>
      </c>
      <c r="U62" s="39">
        <f>VLOOKUP(B62,'092824'!B$5:V$70,21,false)-A62</f>
        <v>0</v>
      </c>
      <c r="V62" s="30">
        <f t="shared" si="5"/>
        <v>58</v>
      </c>
    </row>
    <row r="63">
      <c r="A63" s="30">
        <f t="shared" si="3"/>
        <v>59</v>
      </c>
      <c r="B63" s="51" t="s">
        <v>121</v>
      </c>
      <c r="C63" s="32">
        <v>122.0</v>
      </c>
      <c r="D63" s="32">
        <v>4.0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1">C63+K63</f>
        <v>131</v>
      </c>
      <c r="N63" s="32">
        <f t="shared" si="61"/>
        <v>4</v>
      </c>
      <c r="O63" s="43" t="s">
        <v>53</v>
      </c>
      <c r="P63" s="43" t="s">
        <v>53</v>
      </c>
      <c r="Q63" s="43" t="s">
        <v>53</v>
      </c>
      <c r="R63" s="39">
        <f>if(G63=13,1,0)+VLOOKUP(B63,'092824'!B:T,17,false)</f>
        <v>0</v>
      </c>
      <c r="S63" s="39"/>
      <c r="T63" s="39">
        <f>if(G63=9,1,0)+VLOOKUP(B63,'092824'!B:T,19,false)</f>
        <v>11</v>
      </c>
      <c r="U63" s="39">
        <f>VLOOKUP(B63,'092824'!B$5:V$70,21,false)-A63</f>
        <v>0</v>
      </c>
      <c r="V63" s="30">
        <f t="shared" si="5"/>
        <v>59</v>
      </c>
    </row>
    <row r="64">
      <c r="A64" s="30">
        <f t="shared" si="3"/>
        <v>60</v>
      </c>
      <c r="B64" s="51" t="s">
        <v>112</v>
      </c>
      <c r="C64" s="32">
        <v>122.0</v>
      </c>
      <c r="D64" s="32">
        <v>4.0</v>
      </c>
      <c r="E64" s="37">
        <v>1.0</v>
      </c>
      <c r="F64" s="39">
        <v>8.0</v>
      </c>
      <c r="G64" s="40">
        <v>0.0</v>
      </c>
      <c r="H64" s="39">
        <v>0.0</v>
      </c>
      <c r="I64" s="39">
        <v>6.0</v>
      </c>
      <c r="J64" s="39">
        <v>6.0</v>
      </c>
      <c r="K64" s="42">
        <v>12.0</v>
      </c>
      <c r="L64" s="39">
        <v>1.0</v>
      </c>
      <c r="M64" s="32">
        <f t="shared" ref="M64:N64" si="62">C64+K64</f>
        <v>134</v>
      </c>
      <c r="N64" s="32">
        <f t="shared" si="62"/>
        <v>5</v>
      </c>
      <c r="O64" s="43" t="s">
        <v>53</v>
      </c>
      <c r="P64" s="43" t="s">
        <v>53</v>
      </c>
      <c r="Q64" s="43" t="s">
        <v>53</v>
      </c>
      <c r="R64" s="39">
        <f>if(G64=13,1,0)+VLOOKUP(B64,'092824'!B:T,17,false)</f>
        <v>0</v>
      </c>
      <c r="S64" s="39"/>
      <c r="T64" s="39">
        <f>if(G64=9,1,0)+VLOOKUP(B64,'092824'!B:T,19,false)</f>
        <v>7</v>
      </c>
      <c r="U64" s="39">
        <f>VLOOKUP(B64,'092824'!B$5:V$70,21,false)-A64</f>
        <v>0</v>
      </c>
      <c r="V64" s="30">
        <f t="shared" si="5"/>
        <v>60</v>
      </c>
    </row>
    <row r="65">
      <c r="A65" s="30">
        <f t="shared" si="3"/>
        <v>61</v>
      </c>
      <c r="B65" s="51" t="s">
        <v>108</v>
      </c>
      <c r="C65" s="32">
        <v>121.0</v>
      </c>
      <c r="D65" s="32">
        <v>2.0</v>
      </c>
      <c r="E65" s="37">
        <v>1.0</v>
      </c>
      <c r="F65" s="39">
        <v>8.0</v>
      </c>
      <c r="G65" s="40">
        <v>0.0</v>
      </c>
      <c r="H65" s="39">
        <v>6.0</v>
      </c>
      <c r="I65" s="39">
        <v>6.0</v>
      </c>
      <c r="J65" s="39">
        <v>7.0</v>
      </c>
      <c r="K65" s="42">
        <v>19.0</v>
      </c>
      <c r="L65" s="39">
        <v>3.0</v>
      </c>
      <c r="M65" s="32">
        <f t="shared" ref="M65:N65" si="63">C65+K65</f>
        <v>140</v>
      </c>
      <c r="N65" s="32">
        <f t="shared" si="63"/>
        <v>5</v>
      </c>
      <c r="O65" s="43" t="s">
        <v>53</v>
      </c>
      <c r="P65" s="43" t="s">
        <v>53</v>
      </c>
      <c r="Q65" s="43" t="s">
        <v>53</v>
      </c>
      <c r="R65" s="39">
        <f>if(G65=13,1,0)+VLOOKUP(B65,'092824'!B:T,17,false)</f>
        <v>0</v>
      </c>
      <c r="S65" s="39"/>
      <c r="T65" s="39">
        <f>if(G65=9,1,0)+VLOOKUP(B65,'092824'!B:T,19,false)</f>
        <v>11</v>
      </c>
      <c r="U65" s="39">
        <f>VLOOKUP(B65,'092824'!B$5:V$70,21,false)-A65</f>
        <v>0</v>
      </c>
      <c r="V65" s="30">
        <f t="shared" si="5"/>
        <v>61</v>
      </c>
    </row>
    <row r="66">
      <c r="A66" s="30">
        <f t="shared" si="3"/>
        <v>62</v>
      </c>
      <c r="B66" s="31" t="s">
        <v>72</v>
      </c>
      <c r="C66" s="32">
        <v>121.0</v>
      </c>
      <c r="D66" s="32">
        <v>0.0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4">C66+K66</f>
        <v>130</v>
      </c>
      <c r="N66" s="32">
        <f t="shared" si="64"/>
        <v>0</v>
      </c>
      <c r="O66" s="43" t="s">
        <v>53</v>
      </c>
      <c r="P66" s="43" t="s">
        <v>53</v>
      </c>
      <c r="Q66" s="43" t="s">
        <v>53</v>
      </c>
      <c r="R66" s="39">
        <f>if(G66=13,1,0)+VLOOKUP(B66,'092824'!B:T,17,false)</f>
        <v>1</v>
      </c>
      <c r="S66" s="39"/>
      <c r="T66" s="39">
        <f>if(G66=9,1,0)+VLOOKUP(B66,'092824'!B:T,19,false)</f>
        <v>13</v>
      </c>
      <c r="U66" s="39">
        <f>VLOOKUP(B66,'092824'!B$5:V$70,21,false)-A66</f>
        <v>0</v>
      </c>
      <c r="V66" s="30">
        <f t="shared" si="5"/>
        <v>62</v>
      </c>
    </row>
    <row r="67">
      <c r="A67" s="30">
        <f t="shared" si="3"/>
        <v>63</v>
      </c>
      <c r="B67" s="31" t="s">
        <v>126</v>
      </c>
      <c r="C67" s="32">
        <v>121.0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5">C67+K67</f>
        <v>130</v>
      </c>
      <c r="N67" s="32">
        <f t="shared" si="65"/>
        <v>0</v>
      </c>
      <c r="O67" s="43" t="s">
        <v>53</v>
      </c>
      <c r="P67" s="43" t="s">
        <v>53</v>
      </c>
      <c r="Q67" s="43" t="s">
        <v>53</v>
      </c>
      <c r="R67" s="39">
        <f>if(G67=13,1,0)+VLOOKUP(B67,'092824'!B:T,17,false)</f>
        <v>1</v>
      </c>
      <c r="S67" s="39"/>
      <c r="T67" s="39">
        <f>if(G67=9,1,0)+VLOOKUP(B67,'092824'!B:T,19,false)</f>
        <v>12</v>
      </c>
      <c r="U67" s="39">
        <f>VLOOKUP(B67,'092824'!B$5:V$70,21,false)-A67</f>
        <v>0</v>
      </c>
      <c r="V67" s="30">
        <f t="shared" si="5"/>
        <v>63</v>
      </c>
    </row>
    <row r="68">
      <c r="A68" s="30">
        <f t="shared" si="3"/>
        <v>64</v>
      </c>
      <c r="B68" s="51" t="s">
        <v>113</v>
      </c>
      <c r="C68" s="32">
        <v>117.0</v>
      </c>
      <c r="D68" s="32">
        <v>6.0</v>
      </c>
      <c r="E68" s="37">
        <v>1.0</v>
      </c>
      <c r="F68" s="39">
        <v>8.0</v>
      </c>
      <c r="G68" s="40">
        <v>0.0</v>
      </c>
      <c r="H68" s="39">
        <v>6.0</v>
      </c>
      <c r="I68" s="39">
        <v>0.0</v>
      </c>
      <c r="J68" s="39">
        <v>6.0</v>
      </c>
      <c r="K68" s="42">
        <v>12.0</v>
      </c>
      <c r="L68" s="39">
        <v>1.0</v>
      </c>
      <c r="M68" s="32">
        <f t="shared" ref="M68:N68" si="66">C68+K68</f>
        <v>129</v>
      </c>
      <c r="N68" s="32">
        <f t="shared" si="66"/>
        <v>7</v>
      </c>
      <c r="O68" s="43" t="s">
        <v>53</v>
      </c>
      <c r="P68" s="43" t="s">
        <v>53</v>
      </c>
      <c r="Q68" s="43" t="s">
        <v>53</v>
      </c>
      <c r="R68" s="39">
        <f>if(G68=13,1,0)+VLOOKUP(B68,'092824'!B:T,17,false)</f>
        <v>0</v>
      </c>
      <c r="S68" s="39"/>
      <c r="T68" s="39">
        <f>if(G68=9,1,0)+VLOOKUP(B68,'092824'!B:T,19,false)</f>
        <v>4</v>
      </c>
      <c r="U68" s="39">
        <f>VLOOKUP(B68,'092824'!B$5:V$70,21,false)-A68</f>
        <v>0</v>
      </c>
      <c r="V68" s="30">
        <f t="shared" si="5"/>
        <v>64</v>
      </c>
    </row>
    <row r="69">
      <c r="A69" s="30">
        <f t="shared" si="3"/>
        <v>65</v>
      </c>
      <c r="B69" s="51" t="s">
        <v>80</v>
      </c>
      <c r="C69" s="32">
        <v>114.0</v>
      </c>
      <c r="D69" s="32">
        <v>6.0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7">C69+K69</f>
        <v>123</v>
      </c>
      <c r="N69" s="32">
        <f t="shared" si="67"/>
        <v>6</v>
      </c>
      <c r="O69" s="43" t="s">
        <v>53</v>
      </c>
      <c r="P69" s="43" t="s">
        <v>53</v>
      </c>
      <c r="Q69" s="43" t="s">
        <v>53</v>
      </c>
      <c r="R69" s="39">
        <f>if(G69=13,1,0)+VLOOKUP(B69,'092824'!B:T,17,false)</f>
        <v>0</v>
      </c>
      <c r="S69" s="39"/>
      <c r="T69" s="39">
        <f>if(G69=9,1,0)+VLOOKUP(B69,'092824'!B:T,19,false)</f>
        <v>7</v>
      </c>
      <c r="U69" s="39">
        <f>VLOOKUP(B69,'092824'!B$5:V$70,21,false)-A69</f>
        <v>1</v>
      </c>
      <c r="V69" s="30">
        <f t="shared" si="5"/>
        <v>65</v>
      </c>
    </row>
    <row r="70">
      <c r="A70" s="30">
        <f t="shared" si="3"/>
        <v>66</v>
      </c>
      <c r="B70" s="51" t="s">
        <v>74</v>
      </c>
      <c r="C70" s="32">
        <v>108.0</v>
      </c>
      <c r="D70" s="32">
        <v>0.0</v>
      </c>
      <c r="E70" s="37">
        <v>3.0</v>
      </c>
      <c r="F70" s="39">
        <v>0.0</v>
      </c>
      <c r="G70" s="40">
        <v>9.0</v>
      </c>
      <c r="H70" s="39">
        <v>0.0</v>
      </c>
      <c r="I70" s="39">
        <v>0.0</v>
      </c>
      <c r="J70" s="39">
        <v>0.0</v>
      </c>
      <c r="K70" s="42">
        <v>9.0</v>
      </c>
      <c r="L70" s="39">
        <v>0.0</v>
      </c>
      <c r="M70" s="32">
        <f t="shared" ref="M70:N70" si="68">C70+K70</f>
        <v>117</v>
      </c>
      <c r="N70" s="32">
        <f t="shared" si="68"/>
        <v>0</v>
      </c>
      <c r="O70" s="43" t="s">
        <v>53</v>
      </c>
      <c r="P70" s="43" t="s">
        <v>53</v>
      </c>
      <c r="Q70" s="43" t="s">
        <v>53</v>
      </c>
      <c r="R70" s="39">
        <f>if(G70=13,1,0)+VLOOKUP(B70,'092824'!B:T,17,false)</f>
        <v>0</v>
      </c>
      <c r="S70" s="39"/>
      <c r="T70" s="39">
        <f>if(G70=9,1,0)+VLOOKUP(B70,'092824'!B:T,19,false)</f>
        <v>14</v>
      </c>
      <c r="U70" s="39">
        <f>VLOOKUP(B70,'092824'!B$5:V$70,21,false)-A70</f>
        <v>-1</v>
      </c>
      <c r="V70" s="30">
        <f t="shared" si="5"/>
        <v>66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9">COUNTA(P5:P70)</f>
        <v>65</v>
      </c>
      <c r="Q73" s="8">
        <f t="shared" si="69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70">P75-P73</f>
        <v>1</v>
      </c>
      <c r="Q74" s="8">
        <f t="shared" si="70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desc"",0)"),"Lloyd Sagar")</f>
        <v>Lloyd Sagar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IFERROR(__xludf.DUMMYFUNCTION("""COMPUTED_VALUE"""),"Vinz Solano")</f>
        <v>Vinz Solano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IFERROR(__xludf.DUMMYFUNCTION("""COMPUTED_VALUE"""),"Christopher Li")</f>
        <v>Christopher Li</v>
      </c>
      <c r="C82" s="71">
        <f>IFERROR(__xludf.DUMMYFUNCTION("""COMPUTED_VALUE"""),19.0)</f>
        <v>19</v>
      </c>
      <c r="D82" s="71">
        <f>IFERROR(__xludf.DUMMYFUNCTION("""COMPUTED_VALUE"""),2.0)</f>
        <v>2</v>
      </c>
      <c r="E82" s="11"/>
    </row>
    <row r="83">
      <c r="A83" s="11"/>
      <c r="B83" s="51" t="str">
        <f>IFERROR(__xludf.DUMMYFUNCTION("""COMPUTED_VALUE"""),"Ted Shen")</f>
        <v>Ted Shen</v>
      </c>
      <c r="C83" s="71">
        <f>IFERROR(__xludf.DUMMYFUNCTION("""COMPUTED_VALUE"""),19.0)</f>
        <v>19</v>
      </c>
      <c r="D83" s="71">
        <f>IFERROR(__xludf.DUMMYFUNCTION("""COMPUTED_VALUE"""),2.0)</f>
        <v>2</v>
      </c>
      <c r="E83" s="11"/>
    </row>
    <row r="84">
      <c r="A84" s="11"/>
      <c r="B84" s="51" t="str">
        <f>IFERROR(__xludf.DUMMYFUNCTION("""COMPUTED_VALUE"""),"Sai Dilip Ponnaganti")</f>
        <v>Sai Dilip Ponnaganti</v>
      </c>
      <c r="C84" s="71">
        <f>IFERROR(__xludf.DUMMYFUNCTION("""COMPUTED_VALUE"""),19.0)</f>
        <v>19</v>
      </c>
      <c r="D84" s="71">
        <f>IFERROR(__xludf.DUMMYFUNCTION("""COMPUTED_VALUE"""),2.0)</f>
        <v>2</v>
      </c>
      <c r="E84" s="11"/>
      <c r="K84" s="10"/>
    </row>
    <row r="85">
      <c r="A85" s="11"/>
      <c r="B85" s="51" t="str">
        <f>IFERROR(__xludf.DUMMYFUNCTION("""COMPUTED_VALUE"""),"Elayaraja Thangaraj ")</f>
        <v>Elayaraja Thangaraj </v>
      </c>
      <c r="C85" s="71">
        <f>IFERROR(__xludf.DUMMYFUNCTION("""COMPUTED_VALUE"""),19.0)</f>
        <v>19</v>
      </c>
      <c r="D85" s="71">
        <f>IFERROR(__xludf.DUMMYFUNCTION("""COMPUTED_VALUE"""),2.0)</f>
        <v>2</v>
      </c>
      <c r="E85" s="11"/>
      <c r="K85" s="10"/>
    </row>
    <row r="86">
      <c r="A86" s="11"/>
      <c r="B86" s="51" t="str">
        <f>IFERROR(__xludf.DUMMYFUNCTION("""COMPUTED_VALUE"""),"Adrian Tay")</f>
        <v>Adrian Tay</v>
      </c>
      <c r="C86" s="71">
        <f>IFERROR(__xludf.DUMMYFUNCTION("""COMPUTED_VALUE"""),18.0)</f>
        <v>18</v>
      </c>
      <c r="D86" s="71">
        <f>IFERROR(__xludf.DUMMYFUNCTION("""COMPUTED_VALUE"""),3.0)</f>
        <v>3</v>
      </c>
      <c r="E86" s="11"/>
      <c r="K86" s="10"/>
    </row>
    <row r="87">
      <c r="A87" s="11"/>
      <c r="B87" s="51" t="str">
        <f>IFERROR(__xludf.DUMMYFUNCTION("""COMPUTED_VALUE"""),"Alejandro Mejia")</f>
        <v>Alejandro Mejia</v>
      </c>
      <c r="C87" s="71">
        <f>IFERROR(__xludf.DUMMYFUNCTION("""COMPUTED_VALUE"""),18.0)</f>
        <v>18</v>
      </c>
      <c r="D87" s="71">
        <f>IFERROR(__xludf.DUMMYFUNCTION("""COMPUTED_VALUE"""),3.0)</f>
        <v>3</v>
      </c>
      <c r="E87" s="11"/>
      <c r="K87" s="10"/>
    </row>
    <row r="88">
      <c r="A88" s="11"/>
      <c r="B88" s="51" t="str">
        <f>IFERROR(__xludf.DUMMYFUNCTION("""COMPUTED_VALUE"""),"Chinna Ponnaganti")</f>
        <v>Chinna Ponnaganti</v>
      </c>
      <c r="C88" s="71">
        <f>IFERROR(__xludf.DUMMYFUNCTION("""COMPUTED_VALUE"""),18.0)</f>
        <v>18</v>
      </c>
      <c r="D88" s="71">
        <f>IFERROR(__xludf.DUMMYFUNCTION("""COMPUTED_VALUE"""),3.0)</f>
        <v>3</v>
      </c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/>
      <c r="C91" s="11"/>
      <c r="D91" s="11"/>
      <c r="E91" s="11"/>
    </row>
    <row r="92">
      <c r="A92" s="11"/>
      <c r="B92" s="62" t="s">
        <v>135</v>
      </c>
      <c r="C92" s="62" t="s">
        <v>143</v>
      </c>
      <c r="E92" s="11"/>
    </row>
    <row r="93">
      <c r="A93" s="11"/>
      <c r="B93" s="51" t="str">
        <f>IFERROR(__xludf.DUMMYFUNCTION("query(B5:U70,""select B, U order by U Desc Limit 10"")"),"Pulkit Mathur")</f>
        <v>Pulkit Mathur</v>
      </c>
      <c r="C93" s="64">
        <f>IFERROR(__xludf.DUMMYFUNCTION("""COMPUTED_VALUE"""),9.0)</f>
        <v>9</v>
      </c>
      <c r="E93" s="11"/>
    </row>
    <row r="94">
      <c r="A94" s="11"/>
      <c r="B94" s="51" t="str">
        <f>IFERROR(__xludf.DUMMYFUNCTION("""COMPUTED_VALUE"""),"Rajasekar Ramasamy")</f>
        <v>Rajasekar Ramasamy</v>
      </c>
      <c r="C94" s="64">
        <f>IFERROR(__xludf.DUMMYFUNCTION("""COMPUTED_VALUE"""),7.0)</f>
        <v>7</v>
      </c>
      <c r="E94" s="11"/>
    </row>
    <row r="95">
      <c r="A95" s="11"/>
      <c r="B95" s="51" t="str">
        <f>IFERROR(__xludf.DUMMYFUNCTION("""COMPUTED_VALUE"""),"Robert Chang")</f>
        <v>Robert Chang</v>
      </c>
      <c r="C95" s="64">
        <f>IFERROR(__xludf.DUMMYFUNCTION("""COMPUTED_VALUE"""),7.0)</f>
        <v>7</v>
      </c>
      <c r="E95" s="11"/>
    </row>
    <row r="96">
      <c r="A96" s="11"/>
      <c r="B96" s="51" t="str">
        <f>IFERROR(__xludf.DUMMYFUNCTION("""COMPUTED_VALUE"""),"Jim Miao")</f>
        <v>Jim Miao</v>
      </c>
      <c r="C96" s="64">
        <f>IFERROR(__xludf.DUMMYFUNCTION("""COMPUTED_VALUE"""),7.0)</f>
        <v>7</v>
      </c>
      <c r="E96" s="11"/>
    </row>
    <row r="97">
      <c r="A97" s="11"/>
      <c r="B97" s="51" t="str">
        <f>IFERROR(__xludf.DUMMYFUNCTION("""COMPUTED_VALUE"""),"Balaji Alahari")</f>
        <v>Balaji Alahari</v>
      </c>
      <c r="C97" s="64">
        <f>IFERROR(__xludf.DUMMYFUNCTION("""COMPUTED_VALUE"""),6.0)</f>
        <v>6</v>
      </c>
      <c r="E97" s="11"/>
    </row>
    <row r="98">
      <c r="A98" s="11"/>
      <c r="B98" s="51" t="str">
        <f>IFERROR(__xludf.DUMMYFUNCTION("""COMPUTED_VALUE"""),"Luis Hsu")</f>
        <v>Luis Hsu</v>
      </c>
      <c r="C98" s="64">
        <f>IFERROR(__xludf.DUMMYFUNCTION("""COMPUTED_VALUE"""),5.0)</f>
        <v>5</v>
      </c>
      <c r="E98" s="11"/>
    </row>
    <row r="99">
      <c r="A99" s="11"/>
      <c r="B99" s="51" t="str">
        <f>IFERROR(__xludf.DUMMYFUNCTION("""COMPUTED_VALUE"""),"James Phan")</f>
        <v>James Phan</v>
      </c>
      <c r="C99" s="64">
        <f>IFERROR(__xludf.DUMMYFUNCTION("""COMPUTED_VALUE"""),4.0)</f>
        <v>4</v>
      </c>
      <c r="E99" s="11"/>
    </row>
    <row r="100">
      <c r="A100" s="11"/>
      <c r="B100" s="51" t="str">
        <f>IFERROR(__xludf.DUMMYFUNCTION("""COMPUTED_VALUE"""),"Sean Chang")</f>
        <v>Sean Chang</v>
      </c>
      <c r="C100" s="64">
        <f>IFERROR(__xludf.DUMMYFUNCTION("""COMPUTED_VALUE"""),4.0)</f>
        <v>4</v>
      </c>
      <c r="E100" s="11"/>
    </row>
    <row r="101">
      <c r="A101" s="11"/>
      <c r="B101" s="51" t="str">
        <f>IFERROR(__xludf.DUMMYFUNCTION("""COMPUTED_VALUE"""),"Arun Mallikarjuna")</f>
        <v>Arun Mallikarjuna</v>
      </c>
      <c r="C101" s="64">
        <f>IFERROR(__xludf.DUMMYFUNCTION("""COMPUTED_VALUE"""),4.0)</f>
        <v>4</v>
      </c>
      <c r="E101" s="11"/>
    </row>
    <row r="102">
      <c r="A102" s="11"/>
      <c r="B102" s="51" t="str">
        <f>IFERROR(__xludf.DUMMYFUNCTION("""COMPUTED_VALUE"""),"Lam Bui")</f>
        <v>Lam Bui</v>
      </c>
      <c r="C102" s="64">
        <f>IFERROR(__xludf.DUMMYFUNCTION("""COMPUTED_VALUE"""),4.0)</f>
        <v>4</v>
      </c>
      <c r="E102" s="11"/>
    </row>
    <row r="103">
      <c r="A103" s="11"/>
      <c r="B103" s="10"/>
      <c r="C103" s="11"/>
      <c r="E103" s="11"/>
    </row>
    <row r="104">
      <c r="A104" s="11"/>
      <c r="B104" s="10"/>
      <c r="C104" s="11"/>
      <c r="E104" s="11"/>
    </row>
    <row r="105">
      <c r="A105" s="11"/>
      <c r="B105" s="62" t="s">
        <v>142</v>
      </c>
      <c r="C105" s="62" t="s">
        <v>143</v>
      </c>
      <c r="E105" s="11"/>
    </row>
    <row r="106">
      <c r="A106" s="11"/>
      <c r="B106" s="51" t="str">
        <f>IFERROR(__xludf.DUMMYFUNCTION("query(B5:U70,""select B, U order by U asc Limit 10"")"),"Alex Hou")</f>
        <v>Alex Hou</v>
      </c>
      <c r="C106" s="64">
        <f>IFERROR(__xludf.DUMMYFUNCTION("""COMPUTED_VALUE"""),-7.0)</f>
        <v>-7</v>
      </c>
      <c r="E106" s="11"/>
    </row>
    <row r="107">
      <c r="A107" s="11"/>
      <c r="B107" s="51" t="str">
        <f>IFERROR(__xludf.DUMMYFUNCTION("""COMPUTED_VALUE"""),"Troy Wong")</f>
        <v>Troy Wong</v>
      </c>
      <c r="C107" s="64">
        <f>IFERROR(__xludf.DUMMYFUNCTION("""COMPUTED_VALUE"""),-7.0)</f>
        <v>-7</v>
      </c>
      <c r="E107" s="11"/>
    </row>
    <row r="108">
      <c r="A108" s="11"/>
      <c r="B108" s="51" t="str">
        <f>IFERROR(__xludf.DUMMYFUNCTION("""COMPUTED_VALUE"""),"Christopher Li")</f>
        <v>Christopher Li</v>
      </c>
      <c r="C108" s="64">
        <f>IFERROR(__xludf.DUMMYFUNCTION("""COMPUTED_VALUE"""),-4.0)</f>
        <v>-4</v>
      </c>
      <c r="E108" s="11"/>
    </row>
    <row r="109">
      <c r="A109" s="11"/>
      <c r="B109" s="51" t="str">
        <f>IFERROR(__xludf.DUMMYFUNCTION("""COMPUTED_VALUE"""),"Alejandro Mejia")</f>
        <v>Alejandro Mejia</v>
      </c>
      <c r="C109" s="64">
        <f>IFERROR(__xludf.DUMMYFUNCTION("""COMPUTED_VALUE"""),-4.0)</f>
        <v>-4</v>
      </c>
      <c r="E109" s="11"/>
    </row>
    <row r="110">
      <c r="A110" s="11"/>
      <c r="B110" s="51" t="str">
        <f>IFERROR(__xludf.DUMMYFUNCTION("""COMPUTED_VALUE"""),"Joe Luzzi")</f>
        <v>Joe Luzzi</v>
      </c>
      <c r="C110" s="64">
        <f>IFERROR(__xludf.DUMMYFUNCTION("""COMPUTED_VALUE"""),-4.0)</f>
        <v>-4</v>
      </c>
      <c r="E110" s="11"/>
    </row>
    <row r="111">
      <c r="A111" s="11"/>
      <c r="B111" s="51" t="str">
        <f>IFERROR(__xludf.DUMMYFUNCTION("""COMPUTED_VALUE"""),"Cid Macaraeg")</f>
        <v>Cid Macaraeg</v>
      </c>
      <c r="C111" s="64">
        <f>IFERROR(__xludf.DUMMYFUNCTION("""COMPUTED_VALUE"""),-4.0)</f>
        <v>-4</v>
      </c>
      <c r="E111" s="11"/>
    </row>
    <row r="112">
      <c r="A112" s="11"/>
      <c r="B112" s="51" t="str">
        <f>IFERROR(__xludf.DUMMYFUNCTION("""COMPUTED_VALUE"""),"Ramesh Bandaru")</f>
        <v>Ramesh Bandaru</v>
      </c>
      <c r="C112" s="64">
        <f>IFERROR(__xludf.DUMMYFUNCTION("""COMPUTED_VALUE"""),-3.0)</f>
        <v>-3</v>
      </c>
      <c r="E112" s="11"/>
    </row>
    <row r="113">
      <c r="A113" s="11"/>
      <c r="B113" s="51" t="str">
        <f>IFERROR(__xludf.DUMMYFUNCTION("""COMPUTED_VALUE"""),"Trish Newlin")</f>
        <v>Trish Newlin</v>
      </c>
      <c r="C113" s="64">
        <f>IFERROR(__xludf.DUMMYFUNCTION("""COMPUTED_VALUE"""),-3.0)</f>
        <v>-3</v>
      </c>
      <c r="E113" s="11"/>
    </row>
    <row r="114">
      <c r="A114" s="11"/>
      <c r="B114" s="51" t="str">
        <f>IFERROR(__xludf.DUMMYFUNCTION("""COMPUTED_VALUE"""),"Andrew Wen")</f>
        <v>Andrew Wen</v>
      </c>
      <c r="C114" s="64">
        <f>IFERROR(__xludf.DUMMYFUNCTION("""COMPUTED_VALUE"""),-3.0)</f>
        <v>-3</v>
      </c>
      <c r="E114" s="11"/>
    </row>
    <row r="115">
      <c r="A115" s="11"/>
      <c r="B115" s="51" t="str">
        <f>IFERROR(__xludf.DUMMYFUNCTION("""COMPUTED_VALUE"""),"Pavan Akkimsetty")</f>
        <v>Pavan Akkimsetty</v>
      </c>
      <c r="C115" s="64">
        <f>IFERROR(__xludf.DUMMYFUNCTION("""COMPUTED_VALUE"""),-2.0)</f>
        <v>-2</v>
      </c>
      <c r="E115" s="11"/>
    </row>
    <row r="116">
      <c r="A116" s="11"/>
      <c r="B116" s="10"/>
      <c r="C116" s="11"/>
      <c r="E116" s="11"/>
    </row>
    <row r="117">
      <c r="A117" s="11"/>
      <c r="B117" s="10"/>
      <c r="C117" s="11"/>
      <c r="E117" s="11"/>
    </row>
    <row r="118">
      <c r="A118" s="11"/>
      <c r="B118" s="10"/>
      <c r="C118" s="11"/>
      <c r="E118" s="11"/>
    </row>
    <row r="119">
      <c r="A119" s="11"/>
      <c r="B119" s="10"/>
      <c r="C119" s="11"/>
      <c r="E119" s="11"/>
    </row>
    <row r="120">
      <c r="A120" s="11"/>
      <c r="B120" s="10"/>
      <c r="C120" s="11"/>
      <c r="D120" s="11"/>
      <c r="E120" s="11"/>
    </row>
    <row r="121">
      <c r="A121" s="11"/>
      <c r="B121" s="10"/>
      <c r="C121" s="11"/>
      <c r="D121" s="11"/>
      <c r="E121" s="11"/>
    </row>
    <row r="122">
      <c r="A122" s="11"/>
      <c r="B122" s="10"/>
      <c r="C122" s="11"/>
      <c r="D122" s="11"/>
      <c r="E122" s="11"/>
    </row>
    <row r="123">
      <c r="A123" s="11"/>
      <c r="B123" s="10"/>
      <c r="C123" s="11"/>
      <c r="D123" s="11"/>
      <c r="E123" s="11"/>
    </row>
    <row r="124">
      <c r="A124" s="11"/>
      <c r="B124" s="10"/>
      <c r="C124" s="11"/>
      <c r="D124" s="11"/>
      <c r="E124" s="11"/>
    </row>
    <row r="125">
      <c r="A125" s="11"/>
      <c r="B125" s="10"/>
      <c r="C125" s="11"/>
      <c r="D125" s="11"/>
      <c r="E125" s="11"/>
    </row>
    <row r="126">
      <c r="A126" s="11"/>
      <c r="B126" s="10"/>
      <c r="C126" s="11"/>
      <c r="D126" s="11"/>
      <c r="E126" s="11"/>
    </row>
    <row r="127">
      <c r="A127" s="11"/>
      <c r="B127" s="10"/>
      <c r="C127" s="11"/>
      <c r="D127" s="11"/>
      <c r="E127" s="11"/>
    </row>
    <row r="128">
      <c r="A128" s="11"/>
      <c r="B128" s="10"/>
      <c r="C128" s="11"/>
      <c r="D128" s="11"/>
      <c r="E128" s="11"/>
    </row>
    <row r="129">
      <c r="A129" s="11"/>
      <c r="B129" s="10" t="s">
        <v>165</v>
      </c>
      <c r="C129" s="11"/>
      <c r="D129" s="11"/>
      <c r="E129" s="11"/>
    </row>
    <row r="130">
      <c r="A130" s="11"/>
      <c r="B130" s="27" t="s">
        <v>31</v>
      </c>
      <c r="C130" s="29" t="s">
        <v>2</v>
      </c>
      <c r="D130" s="29" t="s">
        <v>4</v>
      </c>
      <c r="E130" s="29" t="s">
        <v>33</v>
      </c>
      <c r="F130" s="29" t="s">
        <v>35</v>
      </c>
      <c r="G130" s="29" t="s">
        <v>36</v>
      </c>
      <c r="H130" s="29" t="s">
        <v>6</v>
      </c>
      <c r="I130" s="29" t="s">
        <v>7</v>
      </c>
      <c r="J130" s="29" t="s">
        <v>8</v>
      </c>
      <c r="K130" s="29" t="s">
        <v>2</v>
      </c>
      <c r="L130" s="29" t="s">
        <v>4</v>
      </c>
      <c r="M130" s="28" t="s">
        <v>2</v>
      </c>
      <c r="N130" s="28" t="s">
        <v>4</v>
      </c>
    </row>
    <row r="131">
      <c r="A131" s="11"/>
      <c r="B131" s="82" t="str">
        <f>IFERROR(__xludf.DUMMYFUNCTION("QUERY(B5:N70, ""Select B, C, D, E, F, G, H, I, J, K, L, M, N   where F &gt;= 1"")"),"Adrian Tay")</f>
        <v>Adrian Tay</v>
      </c>
      <c r="C131" s="87">
        <f>IFERROR(__xludf.DUMMYFUNCTION("""COMPUTED_VALUE"""),200.0)</f>
        <v>200</v>
      </c>
      <c r="D131" s="87">
        <f>IFERROR(__xludf.DUMMYFUNCTION("""COMPUTED_VALUE"""),22.0)</f>
        <v>22</v>
      </c>
      <c r="E131" s="86">
        <f>IFERROR(__xludf.DUMMYFUNCTION("""COMPUTED_VALUE"""),1.0)</f>
        <v>1</v>
      </c>
      <c r="F131" s="88">
        <f>IFERROR(__xludf.DUMMYFUNCTION("""COMPUTED_VALUE"""),1.0)</f>
        <v>1</v>
      </c>
      <c r="G131" s="88">
        <f>IFERROR(__xludf.DUMMYFUNCTION("""COMPUTED_VALUE"""),0.0)</f>
        <v>0</v>
      </c>
      <c r="H131" s="88">
        <f>IFERROR(__xludf.DUMMYFUNCTION("""COMPUTED_VALUE"""),6.0)</f>
        <v>6</v>
      </c>
      <c r="I131" s="88">
        <f>IFERROR(__xludf.DUMMYFUNCTION("""COMPUTED_VALUE"""),6.0)</f>
        <v>6</v>
      </c>
      <c r="J131" s="88">
        <f>IFERROR(__xludf.DUMMYFUNCTION("""COMPUTED_VALUE"""),6.0)</f>
        <v>6</v>
      </c>
      <c r="K131" s="88">
        <f>IFERROR(__xludf.DUMMYFUNCTION("""COMPUTED_VALUE"""),18.0)</f>
        <v>18</v>
      </c>
      <c r="L131" s="88">
        <f>IFERROR(__xludf.DUMMYFUNCTION("""COMPUTED_VALUE"""),3.0)</f>
        <v>3</v>
      </c>
      <c r="M131" s="89">
        <f>IFERROR(__xludf.DUMMYFUNCTION("""COMPUTED_VALUE"""),218.0)</f>
        <v>218</v>
      </c>
      <c r="N131" s="89">
        <f>IFERROR(__xludf.DUMMYFUNCTION("""COMPUTED_VALUE"""),25.0)</f>
        <v>25</v>
      </c>
    </row>
    <row r="132">
      <c r="A132" s="11"/>
      <c r="B132" s="82" t="str">
        <f>IFERROR(__xludf.DUMMYFUNCTION("""COMPUTED_VALUE"""),"Luis Hsu")</f>
        <v>Luis Hsu</v>
      </c>
      <c r="C132" s="87">
        <f>IFERROR(__xludf.DUMMYFUNCTION("""COMPUTED_VALUE"""),176.0)</f>
        <v>176</v>
      </c>
      <c r="D132" s="87">
        <f>IFERROR(__xludf.DUMMYFUNCTION("""COMPUTED_VALUE"""),16.0)</f>
        <v>16</v>
      </c>
      <c r="E132" s="86">
        <f>IFERROR(__xludf.DUMMYFUNCTION("""COMPUTED_VALUE"""),1.0)</f>
        <v>1</v>
      </c>
      <c r="F132" s="88">
        <f>IFERROR(__xludf.DUMMYFUNCTION("""COMPUTED_VALUE"""),1.0)</f>
        <v>1</v>
      </c>
      <c r="G132" s="88">
        <f>IFERROR(__xludf.DUMMYFUNCTION("""COMPUTED_VALUE"""),0.0)</f>
        <v>0</v>
      </c>
      <c r="H132" s="88">
        <f>IFERROR(__xludf.DUMMYFUNCTION("""COMPUTED_VALUE"""),6.0)</f>
        <v>6</v>
      </c>
      <c r="I132" s="88">
        <f>IFERROR(__xludf.DUMMYFUNCTION("""COMPUTED_VALUE"""),3.0)</f>
        <v>3</v>
      </c>
      <c r="J132" s="88">
        <f>IFERROR(__xludf.DUMMYFUNCTION("""COMPUTED_VALUE"""),1.0)</f>
        <v>1</v>
      </c>
      <c r="K132" s="88">
        <f>IFERROR(__xludf.DUMMYFUNCTION("""COMPUTED_VALUE"""),10.0)</f>
        <v>10</v>
      </c>
      <c r="L132" s="88">
        <f>IFERROR(__xludf.DUMMYFUNCTION("""COMPUTED_VALUE"""),1.0)</f>
        <v>1</v>
      </c>
      <c r="M132" s="89">
        <f>IFERROR(__xludf.DUMMYFUNCTION("""COMPUTED_VALUE"""),186.0)</f>
        <v>186</v>
      </c>
      <c r="N132" s="89">
        <f>IFERROR(__xludf.DUMMYFUNCTION("""COMPUTED_VALUE"""),17.0)</f>
        <v>17</v>
      </c>
    </row>
    <row r="133">
      <c r="A133" s="11"/>
      <c r="B133" s="82" t="str">
        <f>IFERROR(__xludf.DUMMYFUNCTION("""COMPUTED_VALUE"""),"Jonathan Phan")</f>
        <v>Jonathan Phan</v>
      </c>
      <c r="C133" s="87">
        <f>IFERROR(__xludf.DUMMYFUNCTION("""COMPUTED_VALUE"""),176.0)</f>
        <v>176</v>
      </c>
      <c r="D133" s="87">
        <f>IFERROR(__xludf.DUMMYFUNCTION("""COMPUTED_VALUE"""),15.0)</f>
        <v>15</v>
      </c>
      <c r="E133" s="86">
        <f>IFERROR(__xludf.DUMMYFUNCTION("""COMPUTED_VALUE"""),1.0)</f>
        <v>1</v>
      </c>
      <c r="F133" s="88">
        <f>IFERROR(__xludf.DUMMYFUNCTION("""COMPUTED_VALUE"""),1.0)</f>
        <v>1</v>
      </c>
      <c r="G133" s="88">
        <f>IFERROR(__xludf.DUMMYFUNCTION("""COMPUTED_VALUE"""),0.0)</f>
        <v>0</v>
      </c>
      <c r="H133" s="88">
        <f>IFERROR(__xludf.DUMMYFUNCTION("""COMPUTED_VALUE"""),1.0)</f>
        <v>1</v>
      </c>
      <c r="I133" s="88">
        <f>IFERROR(__xludf.DUMMYFUNCTION("""COMPUTED_VALUE"""),6.0)</f>
        <v>6</v>
      </c>
      <c r="J133" s="88">
        <f>IFERROR(__xludf.DUMMYFUNCTION("""COMPUTED_VALUE"""),1.0)</f>
        <v>1</v>
      </c>
      <c r="K133" s="88">
        <f>IFERROR(__xludf.DUMMYFUNCTION("""COMPUTED_VALUE"""),8.0)</f>
        <v>8</v>
      </c>
      <c r="L133" s="88">
        <f>IFERROR(__xludf.DUMMYFUNCTION("""COMPUTED_VALUE"""),1.0)</f>
        <v>1</v>
      </c>
      <c r="M133" s="89">
        <f>IFERROR(__xludf.DUMMYFUNCTION("""COMPUTED_VALUE"""),184.0)</f>
        <v>184</v>
      </c>
      <c r="N133" s="89">
        <f>IFERROR(__xludf.DUMMYFUNCTION("""COMPUTED_VALUE"""),16.0)</f>
        <v>16</v>
      </c>
    </row>
    <row r="134">
      <c r="A134" s="11"/>
      <c r="B134" s="82" t="str">
        <f>IFERROR(__xludf.DUMMYFUNCTION("""COMPUTED_VALUE"""),"Suleman Alidina")</f>
        <v>Suleman Alidina</v>
      </c>
      <c r="C134" s="87">
        <f>IFERROR(__xludf.DUMMYFUNCTION("""COMPUTED_VALUE"""),174.0)</f>
        <v>174</v>
      </c>
      <c r="D134" s="87">
        <f>IFERROR(__xludf.DUMMYFUNCTION("""COMPUTED_VALUE"""),18.0)</f>
        <v>18</v>
      </c>
      <c r="E134" s="86">
        <f>IFERROR(__xludf.DUMMYFUNCTION("""COMPUTED_VALUE"""),1.0)</f>
        <v>1</v>
      </c>
      <c r="F134" s="88">
        <f>IFERROR(__xludf.DUMMYFUNCTION("""COMPUTED_VALUE"""),1.0)</f>
        <v>1</v>
      </c>
      <c r="G134" s="88">
        <f>IFERROR(__xludf.DUMMYFUNCTION("""COMPUTED_VALUE"""),0.0)</f>
        <v>0</v>
      </c>
      <c r="H134" s="88">
        <f>IFERROR(__xludf.DUMMYFUNCTION("""COMPUTED_VALUE"""),1.0)</f>
        <v>1</v>
      </c>
      <c r="I134" s="88">
        <f>IFERROR(__xludf.DUMMYFUNCTION("""COMPUTED_VALUE"""),3.0)</f>
        <v>3</v>
      </c>
      <c r="J134" s="88">
        <f>IFERROR(__xludf.DUMMYFUNCTION("""COMPUTED_VALUE"""),6.0)</f>
        <v>6</v>
      </c>
      <c r="K134" s="88">
        <f>IFERROR(__xludf.DUMMYFUNCTION("""COMPUTED_VALUE"""),10.0)</f>
        <v>10</v>
      </c>
      <c r="L134" s="88">
        <f>IFERROR(__xludf.DUMMYFUNCTION("""COMPUTED_VALUE"""),1.0)</f>
        <v>1</v>
      </c>
      <c r="M134" s="89">
        <f>IFERROR(__xludf.DUMMYFUNCTION("""COMPUTED_VALUE"""),184.0)</f>
        <v>184</v>
      </c>
      <c r="N134" s="89">
        <f>IFERROR(__xludf.DUMMYFUNCTION("""COMPUTED_VALUE"""),19.0)</f>
        <v>19</v>
      </c>
    </row>
    <row r="135">
      <c r="A135" s="11"/>
      <c r="B135" s="84" t="str">
        <f>IFERROR(__xludf.DUMMYFUNCTION("""COMPUTED_VALUE"""),"Christopher Li")</f>
        <v>Christopher Li</v>
      </c>
      <c r="C135" s="95">
        <f>IFERROR(__xludf.DUMMYFUNCTION("""COMPUTED_VALUE"""),173.0)</f>
        <v>173</v>
      </c>
      <c r="D135" s="95">
        <f>IFERROR(__xludf.DUMMYFUNCTION("""COMPUTED_VALUE"""),17.0)</f>
        <v>17</v>
      </c>
      <c r="E135" s="96">
        <f>IFERROR(__xludf.DUMMYFUNCTION("""COMPUTED_VALUE"""),1.0)</f>
        <v>1</v>
      </c>
      <c r="F135" s="97">
        <f>IFERROR(__xludf.DUMMYFUNCTION("""COMPUTED_VALUE"""),2.0)</f>
        <v>2</v>
      </c>
      <c r="G135" s="97">
        <f>IFERROR(__xludf.DUMMYFUNCTION("""COMPUTED_VALUE"""),0.0)</f>
        <v>0</v>
      </c>
      <c r="H135" s="97">
        <f>IFERROR(__xludf.DUMMYFUNCTION("""COMPUTED_VALUE"""),6.0)</f>
        <v>6</v>
      </c>
      <c r="I135" s="97">
        <f>IFERROR(__xludf.DUMMYFUNCTION("""COMPUTED_VALUE"""),7.0)</f>
        <v>7</v>
      </c>
      <c r="J135" s="97">
        <f>IFERROR(__xludf.DUMMYFUNCTION("""COMPUTED_VALUE"""),6.0)</f>
        <v>6</v>
      </c>
      <c r="K135" s="97">
        <f>IFERROR(__xludf.DUMMYFUNCTION("""COMPUTED_VALUE"""),19.0)</f>
        <v>19</v>
      </c>
      <c r="L135" s="97">
        <f>IFERROR(__xludf.DUMMYFUNCTION("""COMPUTED_VALUE"""),2.0)</f>
        <v>2</v>
      </c>
      <c r="M135" s="98">
        <f>IFERROR(__xludf.DUMMYFUNCTION("""COMPUTED_VALUE"""),192.0)</f>
        <v>192</v>
      </c>
      <c r="N135" s="98">
        <f>IFERROR(__xludf.DUMMYFUNCTION("""COMPUTED_VALUE"""),19.0)</f>
        <v>19</v>
      </c>
    </row>
    <row r="136">
      <c r="A136" s="11"/>
      <c r="B136" s="84" t="str">
        <f>IFERROR(__xludf.DUMMYFUNCTION("""COMPUTED_VALUE"""),"Rajasekar Ramasamy")</f>
        <v>Rajasekar Ramasamy</v>
      </c>
      <c r="C136" s="95">
        <f>IFERROR(__xludf.DUMMYFUNCTION("""COMPUTED_VALUE"""),171.0)</f>
        <v>171</v>
      </c>
      <c r="D136" s="95">
        <f>IFERROR(__xludf.DUMMYFUNCTION("""COMPUTED_VALUE"""),17.0)</f>
        <v>17</v>
      </c>
      <c r="E136" s="96">
        <f>IFERROR(__xludf.DUMMYFUNCTION("""COMPUTED_VALUE"""),1.0)</f>
        <v>1</v>
      </c>
      <c r="F136" s="97">
        <f>IFERROR(__xludf.DUMMYFUNCTION("""COMPUTED_VALUE"""),2.0)</f>
        <v>2</v>
      </c>
      <c r="G136" s="97">
        <f>IFERROR(__xludf.DUMMYFUNCTION("""COMPUTED_VALUE"""),0.0)</f>
        <v>0</v>
      </c>
      <c r="H136" s="97">
        <f>IFERROR(__xludf.DUMMYFUNCTION("""COMPUTED_VALUE"""),1.0)</f>
        <v>1</v>
      </c>
      <c r="I136" s="97">
        <f>IFERROR(__xludf.DUMMYFUNCTION("""COMPUTED_VALUE"""),6.0)</f>
        <v>6</v>
      </c>
      <c r="J136" s="97">
        <f>IFERROR(__xludf.DUMMYFUNCTION("""COMPUTED_VALUE"""),6.0)</f>
        <v>6</v>
      </c>
      <c r="K136" s="97">
        <f>IFERROR(__xludf.DUMMYFUNCTION("""COMPUTED_VALUE"""),13.0)</f>
        <v>13</v>
      </c>
      <c r="L136" s="97">
        <f>IFERROR(__xludf.DUMMYFUNCTION("""COMPUTED_VALUE"""),0.0)</f>
        <v>0</v>
      </c>
      <c r="M136" s="98">
        <f>IFERROR(__xludf.DUMMYFUNCTION("""COMPUTED_VALUE"""),184.0)</f>
        <v>184</v>
      </c>
      <c r="N136" s="98">
        <f>IFERROR(__xludf.DUMMYFUNCTION("""COMPUTED_VALUE"""),17.0)</f>
        <v>17</v>
      </c>
    </row>
    <row r="137">
      <c r="A137" s="11"/>
      <c r="B137" s="84" t="str">
        <f>IFERROR(__xludf.DUMMYFUNCTION("""COMPUTED_VALUE"""),"Frank Moon")</f>
        <v>Frank Moon</v>
      </c>
      <c r="C137" s="95">
        <f>IFERROR(__xludf.DUMMYFUNCTION("""COMPUTED_VALUE"""),171.0)</f>
        <v>171</v>
      </c>
      <c r="D137" s="95">
        <f>IFERROR(__xludf.DUMMYFUNCTION("""COMPUTED_VALUE"""),16.0)</f>
        <v>16</v>
      </c>
      <c r="E137" s="96">
        <f>IFERROR(__xludf.DUMMYFUNCTION("""COMPUTED_VALUE"""),1.0)</f>
        <v>1</v>
      </c>
      <c r="F137" s="97">
        <f>IFERROR(__xludf.DUMMYFUNCTION("""COMPUTED_VALUE"""),2.0)</f>
        <v>2</v>
      </c>
      <c r="G137" s="97">
        <f>IFERROR(__xludf.DUMMYFUNCTION("""COMPUTED_VALUE"""),0.0)</f>
        <v>0</v>
      </c>
      <c r="H137" s="97">
        <f>IFERROR(__xludf.DUMMYFUNCTION("""COMPUTED_VALUE"""),1.0)</f>
        <v>1</v>
      </c>
      <c r="I137" s="97">
        <f>IFERROR(__xludf.DUMMYFUNCTION("""COMPUTED_VALUE"""),7.0)</f>
        <v>7</v>
      </c>
      <c r="J137" s="97">
        <f>IFERROR(__xludf.DUMMYFUNCTION("""COMPUTED_VALUE"""),7.0)</f>
        <v>7</v>
      </c>
      <c r="K137" s="97">
        <f>IFERROR(__xludf.DUMMYFUNCTION("""COMPUTED_VALUE"""),15.0)</f>
        <v>15</v>
      </c>
      <c r="L137" s="97">
        <f>IFERROR(__xludf.DUMMYFUNCTION("""COMPUTED_VALUE"""),2.0)</f>
        <v>2</v>
      </c>
      <c r="M137" s="98">
        <f>IFERROR(__xludf.DUMMYFUNCTION("""COMPUTED_VALUE"""),186.0)</f>
        <v>186</v>
      </c>
      <c r="N137" s="98">
        <f>IFERROR(__xludf.DUMMYFUNCTION("""COMPUTED_VALUE"""),18.0)</f>
        <v>18</v>
      </c>
    </row>
    <row r="138">
      <c r="A138" s="11"/>
      <c r="B138" s="84" t="str">
        <f>IFERROR(__xludf.DUMMYFUNCTION("""COMPUTED_VALUE"""),"Ted Shen")</f>
        <v>Ted Shen</v>
      </c>
      <c r="C138" s="95">
        <f>IFERROR(__xludf.DUMMYFUNCTION("""COMPUTED_VALUE"""),170.0)</f>
        <v>170</v>
      </c>
      <c r="D138" s="95">
        <f>IFERROR(__xludf.DUMMYFUNCTION("""COMPUTED_VALUE"""),17.0)</f>
        <v>17</v>
      </c>
      <c r="E138" s="96">
        <f>IFERROR(__xludf.DUMMYFUNCTION("""COMPUTED_VALUE"""),1.0)</f>
        <v>1</v>
      </c>
      <c r="F138" s="97">
        <f>IFERROR(__xludf.DUMMYFUNCTION("""COMPUTED_VALUE"""),2.0)</f>
        <v>2</v>
      </c>
      <c r="G138" s="97">
        <f>IFERROR(__xludf.DUMMYFUNCTION("""COMPUTED_VALUE"""),0.0)</f>
        <v>0</v>
      </c>
      <c r="H138" s="97">
        <f>IFERROR(__xludf.DUMMYFUNCTION("""COMPUTED_VALUE"""),6.0)</f>
        <v>6</v>
      </c>
      <c r="I138" s="97">
        <f>IFERROR(__xludf.DUMMYFUNCTION("""COMPUTED_VALUE"""),6.0)</f>
        <v>6</v>
      </c>
      <c r="J138" s="97">
        <f>IFERROR(__xludf.DUMMYFUNCTION("""COMPUTED_VALUE"""),7.0)</f>
        <v>7</v>
      </c>
      <c r="K138" s="97">
        <f>IFERROR(__xludf.DUMMYFUNCTION("""COMPUTED_VALUE"""),19.0)</f>
        <v>19</v>
      </c>
      <c r="L138" s="97">
        <f>IFERROR(__xludf.DUMMYFUNCTION("""COMPUTED_VALUE"""),2.0)</f>
        <v>2</v>
      </c>
      <c r="M138" s="98">
        <f>IFERROR(__xludf.DUMMYFUNCTION("""COMPUTED_VALUE"""),189.0)</f>
        <v>189</v>
      </c>
      <c r="N138" s="98">
        <f>IFERROR(__xludf.DUMMYFUNCTION("""COMPUTED_VALUE"""),19.0)</f>
        <v>19</v>
      </c>
    </row>
    <row r="139">
      <c r="A139" s="11"/>
      <c r="B139" s="84" t="str">
        <f>IFERROR(__xludf.DUMMYFUNCTION("""COMPUTED_VALUE"""),"Alejandro Mejia")</f>
        <v>Alejandro Mejia</v>
      </c>
      <c r="C139" s="87">
        <f>IFERROR(__xludf.DUMMYFUNCTION("""COMPUTED_VALUE"""),169.0)</f>
        <v>169</v>
      </c>
      <c r="D139" s="87">
        <f>IFERROR(__xludf.DUMMYFUNCTION("""COMPUTED_VALUE"""),19.0)</f>
        <v>19</v>
      </c>
      <c r="E139" s="86">
        <f>IFERROR(__xludf.DUMMYFUNCTION("""COMPUTED_VALUE"""),1.0)</f>
        <v>1</v>
      </c>
      <c r="F139" s="88">
        <f>IFERROR(__xludf.DUMMYFUNCTION("""COMPUTED_VALUE"""),3.0)</f>
        <v>3</v>
      </c>
      <c r="G139" s="88">
        <f>IFERROR(__xludf.DUMMYFUNCTION("""COMPUTED_VALUE"""),0.0)</f>
        <v>0</v>
      </c>
      <c r="H139" s="88">
        <f>IFERROR(__xludf.DUMMYFUNCTION("""COMPUTED_VALUE"""),6.0)</f>
        <v>6</v>
      </c>
      <c r="I139" s="88">
        <f>IFERROR(__xludf.DUMMYFUNCTION("""COMPUTED_VALUE"""),6.0)</f>
        <v>6</v>
      </c>
      <c r="J139" s="88">
        <f>IFERROR(__xludf.DUMMYFUNCTION("""COMPUTED_VALUE"""),6.0)</f>
        <v>6</v>
      </c>
      <c r="K139" s="88">
        <f>IFERROR(__xludf.DUMMYFUNCTION("""COMPUTED_VALUE"""),18.0)</f>
        <v>18</v>
      </c>
      <c r="L139" s="88">
        <f>IFERROR(__xludf.DUMMYFUNCTION("""COMPUTED_VALUE"""),3.0)</f>
        <v>3</v>
      </c>
      <c r="M139" s="89">
        <f>IFERROR(__xludf.DUMMYFUNCTION("""COMPUTED_VALUE"""),187.0)</f>
        <v>187</v>
      </c>
      <c r="N139" s="89">
        <f>IFERROR(__xludf.DUMMYFUNCTION("""COMPUTED_VALUE"""),22.0)</f>
        <v>22</v>
      </c>
    </row>
    <row r="140">
      <c r="A140" s="11"/>
      <c r="B140" s="84" t="str">
        <f>IFERROR(__xludf.DUMMYFUNCTION("""COMPUTED_VALUE"""),"Herman Au")</f>
        <v>Herman Au</v>
      </c>
      <c r="C140" s="87">
        <f>IFERROR(__xludf.DUMMYFUNCTION("""COMPUTED_VALUE"""),163.0)</f>
        <v>163</v>
      </c>
      <c r="D140" s="87">
        <f>IFERROR(__xludf.DUMMYFUNCTION("""COMPUTED_VALUE"""),12.0)</f>
        <v>12</v>
      </c>
      <c r="E140" s="86">
        <f>IFERROR(__xludf.DUMMYFUNCTION("""COMPUTED_VALUE"""),1.0)</f>
        <v>1</v>
      </c>
      <c r="F140" s="88">
        <f>IFERROR(__xludf.DUMMYFUNCTION("""COMPUTED_VALUE"""),3.0)</f>
        <v>3</v>
      </c>
      <c r="G140" s="88">
        <f>IFERROR(__xludf.DUMMYFUNCTION("""COMPUTED_VALUE"""),0.0)</f>
        <v>0</v>
      </c>
      <c r="H140" s="88">
        <f>IFERROR(__xludf.DUMMYFUNCTION("""COMPUTED_VALUE"""),4.0)</f>
        <v>4</v>
      </c>
      <c r="I140" s="88">
        <f>IFERROR(__xludf.DUMMYFUNCTION("""COMPUTED_VALUE"""),6.0)</f>
        <v>6</v>
      </c>
      <c r="J140" s="88">
        <f>IFERROR(__xludf.DUMMYFUNCTION("""COMPUTED_VALUE"""),3.0)</f>
        <v>3</v>
      </c>
      <c r="K140" s="88">
        <f>IFERROR(__xludf.DUMMYFUNCTION("""COMPUTED_VALUE"""),13.0)</f>
        <v>13</v>
      </c>
      <c r="L140" s="88">
        <f>IFERROR(__xludf.DUMMYFUNCTION("""COMPUTED_VALUE"""),1.0)</f>
        <v>1</v>
      </c>
      <c r="M140" s="89">
        <f>IFERROR(__xludf.DUMMYFUNCTION("""COMPUTED_VALUE"""),176.0)</f>
        <v>176</v>
      </c>
      <c r="N140" s="89">
        <f>IFERROR(__xludf.DUMMYFUNCTION("""COMPUTED_VALUE"""),13.0)</f>
        <v>13</v>
      </c>
    </row>
    <row r="141">
      <c r="A141" s="11"/>
      <c r="B141" s="82" t="str">
        <f>IFERROR(__xludf.DUMMYFUNCTION("""COMPUTED_VALUE"""),"Alex Hou")</f>
        <v>Alex Hou</v>
      </c>
      <c r="C141" s="87">
        <f>IFERROR(__xludf.DUMMYFUNCTION("""COMPUTED_VALUE"""),162.0)</f>
        <v>162</v>
      </c>
      <c r="D141" s="87">
        <f>IFERROR(__xludf.DUMMYFUNCTION("""COMPUTED_VALUE"""),14.0)</f>
        <v>14</v>
      </c>
      <c r="E141" s="86">
        <f>IFERROR(__xludf.DUMMYFUNCTION("""COMPUTED_VALUE"""),1.0)</f>
        <v>1</v>
      </c>
      <c r="F141" s="88">
        <f>IFERROR(__xludf.DUMMYFUNCTION("""COMPUTED_VALUE"""),3.0)</f>
        <v>3</v>
      </c>
      <c r="G141" s="88">
        <f>IFERROR(__xludf.DUMMYFUNCTION("""COMPUTED_VALUE"""),0.0)</f>
        <v>0</v>
      </c>
      <c r="H141" s="88">
        <f>IFERROR(__xludf.DUMMYFUNCTION("""COMPUTED_VALUE"""),6.0)</f>
        <v>6</v>
      </c>
      <c r="I141" s="88">
        <f>IFERROR(__xludf.DUMMYFUNCTION("""COMPUTED_VALUE"""),4.0)</f>
        <v>4</v>
      </c>
      <c r="J141" s="88">
        <f>IFERROR(__xludf.DUMMYFUNCTION("""COMPUTED_VALUE"""),3.0)</f>
        <v>3</v>
      </c>
      <c r="K141" s="88">
        <f>IFERROR(__xludf.DUMMYFUNCTION("""COMPUTED_VALUE"""),13.0)</f>
        <v>13</v>
      </c>
      <c r="L141" s="88">
        <f>IFERROR(__xludf.DUMMYFUNCTION("""COMPUTED_VALUE"""),1.0)</f>
        <v>1</v>
      </c>
      <c r="M141" s="89">
        <f>IFERROR(__xludf.DUMMYFUNCTION("""COMPUTED_VALUE"""),175.0)</f>
        <v>175</v>
      </c>
      <c r="N141" s="89">
        <f>IFERROR(__xludf.DUMMYFUNCTION("""COMPUTED_VALUE"""),15.0)</f>
        <v>15</v>
      </c>
    </row>
    <row r="142">
      <c r="A142" s="11"/>
      <c r="B142" s="82" t="str">
        <f>IFERROR(__xludf.DUMMYFUNCTION("""COMPUTED_VALUE"""),"Scott Li")</f>
        <v>Scott Li</v>
      </c>
      <c r="C142" s="87">
        <f>IFERROR(__xludf.DUMMYFUNCTION("""COMPUTED_VALUE"""),161.0)</f>
        <v>161</v>
      </c>
      <c r="D142" s="87">
        <f>IFERROR(__xludf.DUMMYFUNCTION("""COMPUTED_VALUE"""),13.0)</f>
        <v>13</v>
      </c>
      <c r="E142" s="86">
        <f>IFERROR(__xludf.DUMMYFUNCTION("""COMPUTED_VALUE"""),1.0)</f>
        <v>1</v>
      </c>
      <c r="F142" s="88">
        <f>IFERROR(__xludf.DUMMYFUNCTION("""COMPUTED_VALUE"""),3.0)</f>
        <v>3</v>
      </c>
      <c r="G142" s="88">
        <f>IFERROR(__xludf.DUMMYFUNCTION("""COMPUTED_VALUE"""),0.0)</f>
        <v>0</v>
      </c>
      <c r="H142" s="88">
        <f>IFERROR(__xludf.DUMMYFUNCTION("""COMPUTED_VALUE"""),4.0)</f>
        <v>4</v>
      </c>
      <c r="I142" s="88">
        <f>IFERROR(__xludf.DUMMYFUNCTION("""COMPUTED_VALUE"""),4.0)</f>
        <v>4</v>
      </c>
      <c r="J142" s="88">
        <f>IFERROR(__xludf.DUMMYFUNCTION("""COMPUTED_VALUE"""),6.0)</f>
        <v>6</v>
      </c>
      <c r="K142" s="88">
        <f>IFERROR(__xludf.DUMMYFUNCTION("""COMPUTED_VALUE"""),14.0)</f>
        <v>14</v>
      </c>
      <c r="L142" s="88">
        <f>IFERROR(__xludf.DUMMYFUNCTION("""COMPUTED_VALUE"""),1.0)</f>
        <v>1</v>
      </c>
      <c r="M142" s="89">
        <f>IFERROR(__xludf.DUMMYFUNCTION("""COMPUTED_VALUE"""),175.0)</f>
        <v>175</v>
      </c>
      <c r="N142" s="89">
        <f>IFERROR(__xludf.DUMMYFUNCTION("""COMPUTED_VALUE"""),14.0)</f>
        <v>14</v>
      </c>
    </row>
    <row r="143">
      <c r="A143" s="11"/>
      <c r="B143" s="84" t="str">
        <f>IFERROR(__xludf.DUMMYFUNCTION("""COMPUTED_VALUE"""),"Ramesh Bandaru")</f>
        <v>Ramesh Bandaru</v>
      </c>
      <c r="C143" s="95">
        <f>IFERROR(__xludf.DUMMYFUNCTION("""COMPUTED_VALUE"""),152.0)</f>
        <v>152</v>
      </c>
      <c r="D143" s="95">
        <f>IFERROR(__xludf.DUMMYFUNCTION("""COMPUTED_VALUE"""),10.0)</f>
        <v>10</v>
      </c>
      <c r="E143" s="96">
        <f>IFERROR(__xludf.DUMMYFUNCTION("""COMPUTED_VALUE"""),1.0)</f>
        <v>1</v>
      </c>
      <c r="F143" s="97">
        <f>IFERROR(__xludf.DUMMYFUNCTION("""COMPUTED_VALUE"""),4.0)</f>
        <v>4</v>
      </c>
      <c r="G143" s="97">
        <f>IFERROR(__xludf.DUMMYFUNCTION("""COMPUTED_VALUE"""),0.0)</f>
        <v>0</v>
      </c>
      <c r="H143" s="97">
        <f>IFERROR(__xludf.DUMMYFUNCTION("""COMPUTED_VALUE"""),6.0)</f>
        <v>6</v>
      </c>
      <c r="I143" s="97">
        <f>IFERROR(__xludf.DUMMYFUNCTION("""COMPUTED_VALUE"""),6.0)</f>
        <v>6</v>
      </c>
      <c r="J143" s="97">
        <f>IFERROR(__xludf.DUMMYFUNCTION("""COMPUTED_VALUE"""),4.0)</f>
        <v>4</v>
      </c>
      <c r="K143" s="97">
        <f>IFERROR(__xludf.DUMMYFUNCTION("""COMPUTED_VALUE"""),16.0)</f>
        <v>16</v>
      </c>
      <c r="L143" s="97">
        <f>IFERROR(__xludf.DUMMYFUNCTION("""COMPUTED_VALUE"""),2.0)</f>
        <v>2</v>
      </c>
      <c r="M143" s="98">
        <f>IFERROR(__xludf.DUMMYFUNCTION("""COMPUTED_VALUE"""),168.0)</f>
        <v>168</v>
      </c>
      <c r="N143" s="98">
        <f>IFERROR(__xludf.DUMMYFUNCTION("""COMPUTED_VALUE"""),12.0)</f>
        <v>12</v>
      </c>
    </row>
    <row r="144">
      <c r="A144" s="11"/>
      <c r="B144" s="84" t="str">
        <f>IFERROR(__xludf.DUMMYFUNCTION("""COMPUTED_VALUE"""),"Wayne Liu")</f>
        <v>Wayne Liu</v>
      </c>
      <c r="C144" s="95">
        <f>IFERROR(__xludf.DUMMYFUNCTION("""COMPUTED_VALUE"""),151.0)</f>
        <v>151</v>
      </c>
      <c r="D144" s="95">
        <f>IFERROR(__xludf.DUMMYFUNCTION("""COMPUTED_VALUE"""),15.0)</f>
        <v>15</v>
      </c>
      <c r="E144" s="96">
        <f>IFERROR(__xludf.DUMMYFUNCTION("""COMPUTED_VALUE"""),1.0)</f>
        <v>1</v>
      </c>
      <c r="F144" s="97">
        <f>IFERROR(__xludf.DUMMYFUNCTION("""COMPUTED_VALUE"""),4.0)</f>
        <v>4</v>
      </c>
      <c r="G144" s="97">
        <f>IFERROR(__xludf.DUMMYFUNCTION("""COMPUTED_VALUE"""),0.0)</f>
        <v>0</v>
      </c>
      <c r="H144" s="97">
        <f>IFERROR(__xludf.DUMMYFUNCTION("""COMPUTED_VALUE"""),4.0)</f>
        <v>4</v>
      </c>
      <c r="I144" s="97">
        <f>IFERROR(__xludf.DUMMYFUNCTION("""COMPUTED_VALUE"""),6.0)</f>
        <v>6</v>
      </c>
      <c r="J144" s="97">
        <f>IFERROR(__xludf.DUMMYFUNCTION("""COMPUTED_VALUE"""),6.0)</f>
        <v>6</v>
      </c>
      <c r="K144" s="97">
        <f>IFERROR(__xludf.DUMMYFUNCTION("""COMPUTED_VALUE"""),16.0)</f>
        <v>16</v>
      </c>
      <c r="L144" s="97">
        <f>IFERROR(__xludf.DUMMYFUNCTION("""COMPUTED_VALUE"""),2.0)</f>
        <v>2</v>
      </c>
      <c r="M144" s="98">
        <f>IFERROR(__xludf.DUMMYFUNCTION("""COMPUTED_VALUE"""),167.0)</f>
        <v>167</v>
      </c>
      <c r="N144" s="98">
        <f>IFERROR(__xludf.DUMMYFUNCTION("""COMPUTED_VALUE"""),17.0)</f>
        <v>17</v>
      </c>
    </row>
    <row r="145">
      <c r="A145" s="11"/>
      <c r="B145" s="84" t="str">
        <f>IFERROR(__xludf.DUMMYFUNCTION("""COMPUTED_VALUE"""),"Vamsi Lolla ")</f>
        <v>Vamsi Lolla </v>
      </c>
      <c r="C145" s="95">
        <f>IFERROR(__xludf.DUMMYFUNCTION("""COMPUTED_VALUE"""),151.0)</f>
        <v>151</v>
      </c>
      <c r="D145" s="95">
        <f>IFERROR(__xludf.DUMMYFUNCTION("""COMPUTED_VALUE"""),9.0)</f>
        <v>9</v>
      </c>
      <c r="E145" s="96">
        <f>IFERROR(__xludf.DUMMYFUNCTION("""COMPUTED_VALUE"""),1.0)</f>
        <v>1</v>
      </c>
      <c r="F145" s="97">
        <f>IFERROR(__xludf.DUMMYFUNCTION("""COMPUTED_VALUE"""),4.0)</f>
        <v>4</v>
      </c>
      <c r="G145" s="97">
        <f>IFERROR(__xludf.DUMMYFUNCTION("""COMPUTED_VALUE"""),0.0)</f>
        <v>0</v>
      </c>
      <c r="H145" s="97">
        <f>IFERROR(__xludf.DUMMYFUNCTION("""COMPUTED_VALUE"""),4.0)</f>
        <v>4</v>
      </c>
      <c r="I145" s="97">
        <f>IFERROR(__xludf.DUMMYFUNCTION("""COMPUTED_VALUE"""),2.0)</f>
        <v>2</v>
      </c>
      <c r="J145" s="97">
        <f>IFERROR(__xludf.DUMMYFUNCTION("""COMPUTED_VALUE"""),4.0)</f>
        <v>4</v>
      </c>
      <c r="K145" s="97">
        <f>IFERROR(__xludf.DUMMYFUNCTION("""COMPUTED_VALUE"""),10.0)</f>
        <v>10</v>
      </c>
      <c r="L145" s="97">
        <f>IFERROR(__xludf.DUMMYFUNCTION("""COMPUTED_VALUE"""),0.0)</f>
        <v>0</v>
      </c>
      <c r="M145" s="98">
        <f>IFERROR(__xludf.DUMMYFUNCTION("""COMPUTED_VALUE"""),161.0)</f>
        <v>161</v>
      </c>
      <c r="N145" s="98">
        <f>IFERROR(__xludf.DUMMYFUNCTION("""COMPUTED_VALUE"""),9.0)</f>
        <v>9</v>
      </c>
    </row>
    <row r="146">
      <c r="A146" s="11"/>
      <c r="B146" s="84" t="str">
        <f>IFERROR(__xludf.DUMMYFUNCTION("""COMPUTED_VALUE"""),"Jim Miao")</f>
        <v>Jim Miao</v>
      </c>
      <c r="C146" s="95">
        <f>IFERROR(__xludf.DUMMYFUNCTION("""COMPUTED_VALUE"""),149.0)</f>
        <v>149</v>
      </c>
      <c r="D146" s="95">
        <f>IFERROR(__xludf.DUMMYFUNCTION("""COMPUTED_VALUE"""),9.0)</f>
        <v>9</v>
      </c>
      <c r="E146" s="96">
        <f>IFERROR(__xludf.DUMMYFUNCTION("""COMPUTED_VALUE"""),1.0)</f>
        <v>1</v>
      </c>
      <c r="F146" s="97">
        <f>IFERROR(__xludf.DUMMYFUNCTION("""COMPUTED_VALUE"""),4.0)</f>
        <v>4</v>
      </c>
      <c r="G146" s="97">
        <f>IFERROR(__xludf.DUMMYFUNCTION("""COMPUTED_VALUE"""),0.0)</f>
        <v>0</v>
      </c>
      <c r="H146" s="97">
        <f>IFERROR(__xludf.DUMMYFUNCTION("""COMPUTED_VALUE"""),6.0)</f>
        <v>6</v>
      </c>
      <c r="I146" s="97">
        <f>IFERROR(__xludf.DUMMYFUNCTION("""COMPUTED_VALUE"""),2.0)</f>
        <v>2</v>
      </c>
      <c r="J146" s="97">
        <f>IFERROR(__xludf.DUMMYFUNCTION("""COMPUTED_VALUE"""),6.0)</f>
        <v>6</v>
      </c>
      <c r="K146" s="97">
        <f>IFERROR(__xludf.DUMMYFUNCTION("""COMPUTED_VALUE"""),14.0)</f>
        <v>14</v>
      </c>
      <c r="L146" s="97">
        <f>IFERROR(__xludf.DUMMYFUNCTION("""COMPUTED_VALUE"""),2.0)</f>
        <v>2</v>
      </c>
      <c r="M146" s="98">
        <f>IFERROR(__xludf.DUMMYFUNCTION("""COMPUTED_VALUE"""),163.0)</f>
        <v>163</v>
      </c>
      <c r="N146" s="98">
        <f>IFERROR(__xludf.DUMMYFUNCTION("""COMPUTED_VALUE"""),11.0)</f>
        <v>11</v>
      </c>
    </row>
    <row r="147">
      <c r="A147" s="11"/>
      <c r="B147" s="82" t="str">
        <f>IFERROR(__xludf.DUMMYFUNCTION("""COMPUTED_VALUE"""),"Erik Hoeckmann")</f>
        <v>Erik Hoeckmann</v>
      </c>
      <c r="C147" s="87">
        <f>IFERROR(__xludf.DUMMYFUNCTION("""COMPUTED_VALUE"""),147.0)</f>
        <v>147</v>
      </c>
      <c r="D147" s="87">
        <f>IFERROR(__xludf.DUMMYFUNCTION("""COMPUTED_VALUE"""),11.0)</f>
        <v>11</v>
      </c>
      <c r="E147" s="86">
        <f>IFERROR(__xludf.DUMMYFUNCTION("""COMPUTED_VALUE"""),1.0)</f>
        <v>1</v>
      </c>
      <c r="F147" s="88">
        <f>IFERROR(__xludf.DUMMYFUNCTION("""COMPUTED_VALUE"""),5.0)</f>
        <v>5</v>
      </c>
      <c r="G147" s="88">
        <f>IFERROR(__xludf.DUMMYFUNCTION("""COMPUTED_VALUE"""),0.0)</f>
        <v>0</v>
      </c>
      <c r="H147" s="88">
        <f>IFERROR(__xludf.DUMMYFUNCTION("""COMPUTED_VALUE"""),6.0)</f>
        <v>6</v>
      </c>
      <c r="I147" s="88">
        <f>IFERROR(__xludf.DUMMYFUNCTION("""COMPUTED_VALUE"""),4.0)</f>
        <v>4</v>
      </c>
      <c r="J147" s="88">
        <f>IFERROR(__xludf.DUMMYFUNCTION("""COMPUTED_VALUE"""),4.0)</f>
        <v>4</v>
      </c>
      <c r="K147" s="88">
        <f>IFERROR(__xludf.DUMMYFUNCTION("""COMPUTED_VALUE"""),14.0)</f>
        <v>14</v>
      </c>
      <c r="L147" s="88">
        <f>IFERROR(__xludf.DUMMYFUNCTION("""COMPUTED_VALUE"""),1.0)</f>
        <v>1</v>
      </c>
      <c r="M147" s="89">
        <f>IFERROR(__xludf.DUMMYFUNCTION("""COMPUTED_VALUE"""),161.0)</f>
        <v>161</v>
      </c>
      <c r="N147" s="89">
        <f>IFERROR(__xludf.DUMMYFUNCTION("""COMPUTED_VALUE"""),12.0)</f>
        <v>12</v>
      </c>
    </row>
    <row r="148">
      <c r="A148" s="11"/>
      <c r="B148" s="82" t="str">
        <f>IFERROR(__xludf.DUMMYFUNCTION("""COMPUTED_VALUE"""),"Jimmy Awolesi")</f>
        <v>Jimmy Awolesi</v>
      </c>
      <c r="C148" s="87">
        <f>IFERROR(__xludf.DUMMYFUNCTION("""COMPUTED_VALUE"""),147.0)</f>
        <v>147</v>
      </c>
      <c r="D148" s="87">
        <f>IFERROR(__xludf.DUMMYFUNCTION("""COMPUTED_VALUE"""),10.0)</f>
        <v>10</v>
      </c>
      <c r="E148" s="86">
        <f>IFERROR(__xludf.DUMMYFUNCTION("""COMPUTED_VALUE"""),1.0)</f>
        <v>1</v>
      </c>
      <c r="F148" s="88">
        <f>IFERROR(__xludf.DUMMYFUNCTION("""COMPUTED_VALUE"""),5.0)</f>
        <v>5</v>
      </c>
      <c r="G148" s="88">
        <f>IFERROR(__xludf.DUMMYFUNCTION("""COMPUTED_VALUE"""),0.0)</f>
        <v>0</v>
      </c>
      <c r="H148" s="88">
        <f>IFERROR(__xludf.DUMMYFUNCTION("""COMPUTED_VALUE"""),1.0)</f>
        <v>1</v>
      </c>
      <c r="I148" s="88">
        <f>IFERROR(__xludf.DUMMYFUNCTION("""COMPUTED_VALUE"""),6.0)</f>
        <v>6</v>
      </c>
      <c r="J148" s="88">
        <f>IFERROR(__xludf.DUMMYFUNCTION("""COMPUTED_VALUE"""),4.0)</f>
        <v>4</v>
      </c>
      <c r="K148" s="88">
        <f>IFERROR(__xludf.DUMMYFUNCTION("""COMPUTED_VALUE"""),11.0)</f>
        <v>11</v>
      </c>
      <c r="L148" s="88">
        <f>IFERROR(__xludf.DUMMYFUNCTION("""COMPUTED_VALUE"""),1.0)</f>
        <v>1</v>
      </c>
      <c r="M148" s="89">
        <f>IFERROR(__xludf.DUMMYFUNCTION("""COMPUTED_VALUE"""),158.0)</f>
        <v>158</v>
      </c>
      <c r="N148" s="89">
        <f>IFERROR(__xludf.DUMMYFUNCTION("""COMPUTED_VALUE"""),11.0)</f>
        <v>11</v>
      </c>
    </row>
    <row r="149">
      <c r="A149" s="11"/>
      <c r="B149" s="82" t="str">
        <f>IFERROR(__xludf.DUMMYFUNCTION("""COMPUTED_VALUE"""),"Kumar Palakeel")</f>
        <v>Kumar Palakeel</v>
      </c>
      <c r="C149" s="87">
        <f>IFERROR(__xludf.DUMMYFUNCTION("""COMPUTED_VALUE"""),144.0)</f>
        <v>144</v>
      </c>
      <c r="D149" s="87">
        <f>IFERROR(__xludf.DUMMYFUNCTION("""COMPUTED_VALUE"""),13.0)</f>
        <v>13</v>
      </c>
      <c r="E149" s="86">
        <f>IFERROR(__xludf.DUMMYFUNCTION("""COMPUTED_VALUE"""),1.0)</f>
        <v>1</v>
      </c>
      <c r="F149" s="88">
        <f>IFERROR(__xludf.DUMMYFUNCTION("""COMPUTED_VALUE"""),5.0)</f>
        <v>5</v>
      </c>
      <c r="G149" s="88">
        <f>IFERROR(__xludf.DUMMYFUNCTION("""COMPUTED_VALUE"""),0.0)</f>
        <v>0</v>
      </c>
      <c r="H149" s="88">
        <f>IFERROR(__xludf.DUMMYFUNCTION("""COMPUTED_VALUE"""),1.0)</f>
        <v>1</v>
      </c>
      <c r="I149" s="88">
        <f>IFERROR(__xludf.DUMMYFUNCTION("""COMPUTED_VALUE"""),4.0)</f>
        <v>4</v>
      </c>
      <c r="J149" s="88">
        <f>IFERROR(__xludf.DUMMYFUNCTION("""COMPUTED_VALUE"""),6.0)</f>
        <v>6</v>
      </c>
      <c r="K149" s="88">
        <f>IFERROR(__xludf.DUMMYFUNCTION("""COMPUTED_VALUE"""),11.0)</f>
        <v>11</v>
      </c>
      <c r="L149" s="88">
        <f>IFERROR(__xludf.DUMMYFUNCTION("""COMPUTED_VALUE"""),1.0)</f>
        <v>1</v>
      </c>
      <c r="M149" s="89">
        <f>IFERROR(__xludf.DUMMYFUNCTION("""COMPUTED_VALUE"""),155.0)</f>
        <v>155</v>
      </c>
      <c r="N149" s="89">
        <f>IFERROR(__xludf.DUMMYFUNCTION("""COMPUTED_VALUE"""),14.0)</f>
        <v>14</v>
      </c>
    </row>
    <row r="150">
      <c r="A150" s="11"/>
      <c r="B150" s="82" t="str">
        <f>IFERROR(__xludf.DUMMYFUNCTION("""COMPUTED_VALUE"""),"Chinna Ponnaganti")</f>
        <v>Chinna Ponnaganti</v>
      </c>
      <c r="C150" s="87">
        <f>IFERROR(__xludf.DUMMYFUNCTION("""COMPUTED_VALUE"""),138.0)</f>
        <v>138</v>
      </c>
      <c r="D150" s="87">
        <f>IFERROR(__xludf.DUMMYFUNCTION("""COMPUTED_VALUE"""),11.0)</f>
        <v>11</v>
      </c>
      <c r="E150" s="86">
        <f>IFERROR(__xludf.DUMMYFUNCTION("""COMPUTED_VALUE"""),1.0)</f>
        <v>1</v>
      </c>
      <c r="F150" s="88">
        <f>IFERROR(__xludf.DUMMYFUNCTION("""COMPUTED_VALUE"""),5.0)</f>
        <v>5</v>
      </c>
      <c r="G150" s="88">
        <f>IFERROR(__xludf.DUMMYFUNCTION("""COMPUTED_VALUE"""),0.0)</f>
        <v>0</v>
      </c>
      <c r="H150" s="88">
        <f>IFERROR(__xludf.DUMMYFUNCTION("""COMPUTED_VALUE"""),6.0)</f>
        <v>6</v>
      </c>
      <c r="I150" s="88">
        <f>IFERROR(__xludf.DUMMYFUNCTION("""COMPUTED_VALUE"""),6.0)</f>
        <v>6</v>
      </c>
      <c r="J150" s="88">
        <f>IFERROR(__xludf.DUMMYFUNCTION("""COMPUTED_VALUE"""),6.0)</f>
        <v>6</v>
      </c>
      <c r="K150" s="88">
        <f>IFERROR(__xludf.DUMMYFUNCTION("""COMPUTED_VALUE"""),18.0)</f>
        <v>18</v>
      </c>
      <c r="L150" s="88">
        <f>IFERROR(__xludf.DUMMYFUNCTION("""COMPUTED_VALUE"""),3.0)</f>
        <v>3</v>
      </c>
      <c r="M150" s="89">
        <f>IFERROR(__xludf.DUMMYFUNCTION("""COMPUTED_VALUE"""),156.0)</f>
        <v>156</v>
      </c>
      <c r="N150" s="89">
        <f>IFERROR(__xludf.DUMMYFUNCTION("""COMPUTED_VALUE"""),14.0)</f>
        <v>14</v>
      </c>
    </row>
    <row r="151">
      <c r="A151" s="11"/>
      <c r="B151" s="84" t="str">
        <f>IFERROR(__xludf.DUMMYFUNCTION("""COMPUTED_VALUE"""),"Lloyd Sagar")</f>
        <v>Lloyd Sagar</v>
      </c>
      <c r="C151" s="95">
        <f>IFERROR(__xludf.DUMMYFUNCTION("""COMPUTED_VALUE"""),138.0)</f>
        <v>138</v>
      </c>
      <c r="D151" s="95">
        <f>IFERROR(__xludf.DUMMYFUNCTION("""COMPUTED_VALUE"""),6.0)</f>
        <v>6</v>
      </c>
      <c r="E151" s="96">
        <f>IFERROR(__xludf.DUMMYFUNCTION("""COMPUTED_VALUE"""),1.0)</f>
        <v>1</v>
      </c>
      <c r="F151" s="97">
        <f>IFERROR(__xludf.DUMMYFUNCTION("""COMPUTED_VALUE"""),6.0)</f>
        <v>6</v>
      </c>
      <c r="G151" s="97">
        <f>IFERROR(__xludf.DUMMYFUNCTION("""COMPUTED_VALUE"""),0.0)</f>
        <v>0</v>
      </c>
      <c r="H151" s="97">
        <f>IFERROR(__xludf.DUMMYFUNCTION("""COMPUTED_VALUE"""),6.0)</f>
        <v>6</v>
      </c>
      <c r="I151" s="97">
        <f>IFERROR(__xludf.DUMMYFUNCTION("""COMPUTED_VALUE"""),6.0)</f>
        <v>6</v>
      </c>
      <c r="J151" s="97">
        <f>IFERROR(__xludf.DUMMYFUNCTION("""COMPUTED_VALUE"""),7.0)</f>
        <v>7</v>
      </c>
      <c r="K151" s="97">
        <f>IFERROR(__xludf.DUMMYFUNCTION("""COMPUTED_VALUE"""),19.0)</f>
        <v>19</v>
      </c>
      <c r="L151" s="97">
        <f>IFERROR(__xludf.DUMMYFUNCTION("""COMPUTED_VALUE"""),3.0)</f>
        <v>3</v>
      </c>
      <c r="M151" s="98">
        <f>IFERROR(__xludf.DUMMYFUNCTION("""COMPUTED_VALUE"""),157.0)</f>
        <v>157</v>
      </c>
      <c r="N151" s="98">
        <f>IFERROR(__xludf.DUMMYFUNCTION("""COMPUTED_VALUE"""),9.0)</f>
        <v>9</v>
      </c>
    </row>
    <row r="152">
      <c r="A152" s="11"/>
      <c r="B152" s="84" t="str">
        <f>IFERROR(__xludf.DUMMYFUNCTION("""COMPUTED_VALUE"""),"Coco Yan")</f>
        <v>Coco Yan</v>
      </c>
      <c r="C152" s="95">
        <f>IFERROR(__xludf.DUMMYFUNCTION("""COMPUTED_VALUE"""),137.0)</f>
        <v>137</v>
      </c>
      <c r="D152" s="95">
        <f>IFERROR(__xludf.DUMMYFUNCTION("""COMPUTED_VALUE"""),7.0)</f>
        <v>7</v>
      </c>
      <c r="E152" s="96">
        <f>IFERROR(__xludf.DUMMYFUNCTION("""COMPUTED_VALUE"""),1.0)</f>
        <v>1</v>
      </c>
      <c r="F152" s="97">
        <f>IFERROR(__xludf.DUMMYFUNCTION("""COMPUTED_VALUE"""),6.0)</f>
        <v>6</v>
      </c>
      <c r="G152" s="97">
        <f>IFERROR(__xludf.DUMMYFUNCTION("""COMPUTED_VALUE"""),0.0)</f>
        <v>0</v>
      </c>
      <c r="H152" s="97">
        <f>IFERROR(__xludf.DUMMYFUNCTION("""COMPUTED_VALUE"""),6.0)</f>
        <v>6</v>
      </c>
      <c r="I152" s="97">
        <f>IFERROR(__xludf.DUMMYFUNCTION("""COMPUTED_VALUE"""),1.0)</f>
        <v>1</v>
      </c>
      <c r="J152" s="97">
        <f>IFERROR(__xludf.DUMMYFUNCTION("""COMPUTED_VALUE"""),6.0)</f>
        <v>6</v>
      </c>
      <c r="K152" s="97">
        <f>IFERROR(__xludf.DUMMYFUNCTION("""COMPUTED_VALUE"""),13.0)</f>
        <v>13</v>
      </c>
      <c r="L152" s="97">
        <f>IFERROR(__xludf.DUMMYFUNCTION("""COMPUTED_VALUE"""),1.0)</f>
        <v>1</v>
      </c>
      <c r="M152" s="98">
        <f>IFERROR(__xludf.DUMMYFUNCTION("""COMPUTED_VALUE"""),150.0)</f>
        <v>150</v>
      </c>
      <c r="N152" s="98">
        <f>IFERROR(__xludf.DUMMYFUNCTION("""COMPUTED_VALUE"""),8.0)</f>
        <v>8</v>
      </c>
    </row>
    <row r="153">
      <c r="A153" s="11"/>
      <c r="B153" s="84" t="str">
        <f>IFERROR(__xludf.DUMMYFUNCTION("""COMPUTED_VALUE"""),"Eric Tan")</f>
        <v>Eric Tan</v>
      </c>
      <c r="C153" s="95">
        <f>IFERROR(__xludf.DUMMYFUNCTION("""COMPUTED_VALUE"""),136.0)</f>
        <v>136</v>
      </c>
      <c r="D153" s="95">
        <f>IFERROR(__xludf.DUMMYFUNCTION("""COMPUTED_VALUE"""),9.0)</f>
        <v>9</v>
      </c>
      <c r="E153" s="96">
        <f>IFERROR(__xludf.DUMMYFUNCTION("""COMPUTED_VALUE"""),1.0)</f>
        <v>1</v>
      </c>
      <c r="F153" s="97">
        <f>IFERROR(__xludf.DUMMYFUNCTION("""COMPUTED_VALUE"""),6.0)</f>
        <v>6</v>
      </c>
      <c r="G153" s="97">
        <f>IFERROR(__xludf.DUMMYFUNCTION("""COMPUTED_VALUE"""),0.0)</f>
        <v>0</v>
      </c>
      <c r="H153" s="97">
        <f>IFERROR(__xludf.DUMMYFUNCTION("""COMPUTED_VALUE"""),0.0)</f>
        <v>0</v>
      </c>
      <c r="I153" s="97">
        <f>IFERROR(__xludf.DUMMYFUNCTION("""COMPUTED_VALUE"""),1.0)</f>
        <v>1</v>
      </c>
      <c r="J153" s="97">
        <f>IFERROR(__xludf.DUMMYFUNCTION("""COMPUTED_VALUE"""),7.0)</f>
        <v>7</v>
      </c>
      <c r="K153" s="97">
        <f>IFERROR(__xludf.DUMMYFUNCTION("""COMPUTED_VALUE"""),8.0)</f>
        <v>8</v>
      </c>
      <c r="L153" s="97">
        <f>IFERROR(__xludf.DUMMYFUNCTION("""COMPUTED_VALUE"""),1.0)</f>
        <v>1</v>
      </c>
      <c r="M153" s="98">
        <f>IFERROR(__xludf.DUMMYFUNCTION("""COMPUTED_VALUE"""),144.0)</f>
        <v>144</v>
      </c>
      <c r="N153" s="98">
        <f>IFERROR(__xludf.DUMMYFUNCTION("""COMPUTED_VALUE"""),10.0)</f>
        <v>10</v>
      </c>
    </row>
    <row r="154">
      <c r="A154" s="11"/>
      <c r="B154" s="84" t="str">
        <f>IFERROR(__xludf.DUMMYFUNCTION("""COMPUTED_VALUE"""),"Balaji Alahari")</f>
        <v>Balaji Alahari</v>
      </c>
      <c r="C154" s="95">
        <f>IFERROR(__xludf.DUMMYFUNCTION("""COMPUTED_VALUE"""),134.0)</f>
        <v>134</v>
      </c>
      <c r="D154" s="95">
        <f>IFERROR(__xludf.DUMMYFUNCTION("""COMPUTED_VALUE"""),5.0)</f>
        <v>5</v>
      </c>
      <c r="E154" s="96">
        <f>IFERROR(__xludf.DUMMYFUNCTION("""COMPUTED_VALUE"""),1.0)</f>
        <v>1</v>
      </c>
      <c r="F154" s="97">
        <f>IFERROR(__xludf.DUMMYFUNCTION("""COMPUTED_VALUE"""),6.0)</f>
        <v>6</v>
      </c>
      <c r="G154" s="97">
        <f>IFERROR(__xludf.DUMMYFUNCTION("""COMPUTED_VALUE"""),0.0)</f>
        <v>0</v>
      </c>
      <c r="H154" s="97">
        <f>IFERROR(__xludf.DUMMYFUNCTION("""COMPUTED_VALUE"""),0.0)</f>
        <v>0</v>
      </c>
      <c r="I154" s="97">
        <f>IFERROR(__xludf.DUMMYFUNCTION("""COMPUTED_VALUE"""),6.0)</f>
        <v>6</v>
      </c>
      <c r="J154" s="97">
        <f>IFERROR(__xludf.DUMMYFUNCTION("""COMPUTED_VALUE"""),6.0)</f>
        <v>6</v>
      </c>
      <c r="K154" s="97">
        <f>IFERROR(__xludf.DUMMYFUNCTION("""COMPUTED_VALUE"""),12.0)</f>
        <v>12</v>
      </c>
      <c r="L154" s="97">
        <f>IFERROR(__xludf.DUMMYFUNCTION("""COMPUTED_VALUE"""),1.0)</f>
        <v>1</v>
      </c>
      <c r="M154" s="98">
        <f>IFERROR(__xludf.DUMMYFUNCTION("""COMPUTED_VALUE"""),146.0)</f>
        <v>146</v>
      </c>
      <c r="N154" s="98">
        <f>IFERROR(__xludf.DUMMYFUNCTION("""COMPUTED_VALUE"""),6.0)</f>
        <v>6</v>
      </c>
    </row>
    <row r="155">
      <c r="A155" s="11"/>
      <c r="B155" s="82" t="str">
        <f>IFERROR(__xludf.DUMMYFUNCTION("""COMPUTED_VALUE"""),"Sai Dilip Ponnaganti")</f>
        <v>Sai Dilip Ponnaganti</v>
      </c>
      <c r="C155" s="87">
        <f>IFERROR(__xludf.DUMMYFUNCTION("""COMPUTED_VALUE"""),132.0)</f>
        <v>132</v>
      </c>
      <c r="D155" s="87">
        <f>IFERROR(__xludf.DUMMYFUNCTION("""COMPUTED_VALUE"""),5.0)</f>
        <v>5</v>
      </c>
      <c r="E155" s="86">
        <f>IFERROR(__xludf.DUMMYFUNCTION("""COMPUTED_VALUE"""),1.0)</f>
        <v>1</v>
      </c>
      <c r="F155" s="88">
        <f>IFERROR(__xludf.DUMMYFUNCTION("""COMPUTED_VALUE"""),7.0)</f>
        <v>7</v>
      </c>
      <c r="G155" s="88">
        <f>IFERROR(__xludf.DUMMYFUNCTION("""COMPUTED_VALUE"""),0.0)</f>
        <v>0</v>
      </c>
      <c r="H155" s="88">
        <f>IFERROR(__xludf.DUMMYFUNCTION("""COMPUTED_VALUE"""),7.0)</f>
        <v>7</v>
      </c>
      <c r="I155" s="88">
        <f>IFERROR(__xludf.DUMMYFUNCTION("""COMPUTED_VALUE"""),6.0)</f>
        <v>6</v>
      </c>
      <c r="J155" s="88">
        <f>IFERROR(__xludf.DUMMYFUNCTION("""COMPUTED_VALUE"""),6.0)</f>
        <v>6</v>
      </c>
      <c r="K155" s="88">
        <f>IFERROR(__xludf.DUMMYFUNCTION("""COMPUTED_VALUE"""),19.0)</f>
        <v>19</v>
      </c>
      <c r="L155" s="88">
        <f>IFERROR(__xludf.DUMMYFUNCTION("""COMPUTED_VALUE"""),2.0)</f>
        <v>2</v>
      </c>
      <c r="M155" s="89">
        <f>IFERROR(__xludf.DUMMYFUNCTION("""COMPUTED_VALUE"""),151.0)</f>
        <v>151</v>
      </c>
      <c r="N155" s="89">
        <f>IFERROR(__xludf.DUMMYFUNCTION("""COMPUTED_VALUE"""),7.0)</f>
        <v>7</v>
      </c>
    </row>
    <row r="156">
      <c r="A156" s="11"/>
      <c r="B156" s="82" t="str">
        <f>IFERROR(__xludf.DUMMYFUNCTION("""COMPUTED_VALUE"""),"Naveen Raj")</f>
        <v>Naveen Raj</v>
      </c>
      <c r="C156" s="87">
        <f>IFERROR(__xludf.DUMMYFUNCTION("""COMPUTED_VALUE"""),130.0)</f>
        <v>130</v>
      </c>
      <c r="D156" s="87">
        <f>IFERROR(__xludf.DUMMYFUNCTION("""COMPUTED_VALUE"""),4.0)</f>
        <v>4</v>
      </c>
      <c r="E156" s="86">
        <f>IFERROR(__xludf.DUMMYFUNCTION("""COMPUTED_VALUE"""),1.0)</f>
        <v>1</v>
      </c>
      <c r="F156" s="88">
        <f>IFERROR(__xludf.DUMMYFUNCTION("""COMPUTED_VALUE"""),7.0)</f>
        <v>7</v>
      </c>
      <c r="G156" s="88">
        <f>IFERROR(__xludf.DUMMYFUNCTION("""COMPUTED_VALUE"""),0.0)</f>
        <v>0</v>
      </c>
      <c r="H156" s="88">
        <f>IFERROR(__xludf.DUMMYFUNCTION("""COMPUTED_VALUE"""),6.0)</f>
        <v>6</v>
      </c>
      <c r="I156" s="88">
        <f>IFERROR(__xludf.DUMMYFUNCTION("""COMPUTED_VALUE"""),6.0)</f>
        <v>6</v>
      </c>
      <c r="J156" s="88">
        <f>IFERROR(__xludf.DUMMYFUNCTION("""COMPUTED_VALUE"""),3.0)</f>
        <v>3</v>
      </c>
      <c r="K156" s="88">
        <f>IFERROR(__xludf.DUMMYFUNCTION("""COMPUTED_VALUE"""),15.0)</f>
        <v>15</v>
      </c>
      <c r="L156" s="88">
        <f>IFERROR(__xludf.DUMMYFUNCTION("""COMPUTED_VALUE"""),0.0)</f>
        <v>0</v>
      </c>
      <c r="M156" s="89">
        <f>IFERROR(__xludf.DUMMYFUNCTION("""COMPUTED_VALUE"""),145.0)</f>
        <v>145</v>
      </c>
      <c r="N156" s="89">
        <f>IFERROR(__xludf.DUMMYFUNCTION("""COMPUTED_VALUE"""),4.0)</f>
        <v>4</v>
      </c>
    </row>
    <row r="157">
      <c r="A157" s="11"/>
      <c r="B157" s="82" t="str">
        <f>IFERROR(__xludf.DUMMYFUNCTION("""COMPUTED_VALUE"""),"Santosh Sundaresan ")</f>
        <v>Santosh Sundaresan </v>
      </c>
      <c r="C157" s="87">
        <f>IFERROR(__xludf.DUMMYFUNCTION("""COMPUTED_VALUE"""),130.0)</f>
        <v>130</v>
      </c>
      <c r="D157" s="87">
        <f>IFERROR(__xludf.DUMMYFUNCTION("""COMPUTED_VALUE"""),3.0)</f>
        <v>3</v>
      </c>
      <c r="E157" s="86">
        <f>IFERROR(__xludf.DUMMYFUNCTION("""COMPUTED_VALUE"""),1.0)</f>
        <v>1</v>
      </c>
      <c r="F157" s="88">
        <f>IFERROR(__xludf.DUMMYFUNCTION("""COMPUTED_VALUE"""),7.0)</f>
        <v>7</v>
      </c>
      <c r="G157" s="88">
        <f>IFERROR(__xludf.DUMMYFUNCTION("""COMPUTED_VALUE"""),0.0)</f>
        <v>0</v>
      </c>
      <c r="H157" s="88">
        <f>IFERROR(__xludf.DUMMYFUNCTION("""COMPUTED_VALUE"""),7.0)</f>
        <v>7</v>
      </c>
      <c r="I157" s="88">
        <f>IFERROR(__xludf.DUMMYFUNCTION("""COMPUTED_VALUE"""),7.0)</f>
        <v>7</v>
      </c>
      <c r="J157" s="88">
        <f>IFERROR(__xludf.DUMMYFUNCTION("""COMPUTED_VALUE"""),3.0)</f>
        <v>3</v>
      </c>
      <c r="K157" s="88">
        <f>IFERROR(__xludf.DUMMYFUNCTION("""COMPUTED_VALUE"""),17.0)</f>
        <v>17</v>
      </c>
      <c r="L157" s="88">
        <f>IFERROR(__xludf.DUMMYFUNCTION("""COMPUTED_VALUE"""),2.0)</f>
        <v>2</v>
      </c>
      <c r="M157" s="89">
        <f>IFERROR(__xludf.DUMMYFUNCTION("""COMPUTED_VALUE"""),147.0)</f>
        <v>147</v>
      </c>
      <c r="N157" s="89">
        <f>IFERROR(__xludf.DUMMYFUNCTION("""COMPUTED_VALUE"""),5.0)</f>
        <v>5</v>
      </c>
    </row>
    <row r="158">
      <c r="A158" s="11"/>
      <c r="B158" s="82" t="str">
        <f>IFERROR(__xludf.DUMMYFUNCTION("""COMPUTED_VALUE"""),"Elayaraja Thangaraj ")</f>
        <v>Elayaraja Thangaraj </v>
      </c>
      <c r="C158" s="87">
        <f>IFERROR(__xludf.DUMMYFUNCTION("""COMPUTED_VALUE"""),130.0)</f>
        <v>130</v>
      </c>
      <c r="D158" s="87">
        <f>IFERROR(__xludf.DUMMYFUNCTION("""COMPUTED_VALUE"""),2.0)</f>
        <v>2</v>
      </c>
      <c r="E158" s="86">
        <f>IFERROR(__xludf.DUMMYFUNCTION("""COMPUTED_VALUE"""),1.0)</f>
        <v>1</v>
      </c>
      <c r="F158" s="88">
        <f>IFERROR(__xludf.DUMMYFUNCTION("""COMPUTED_VALUE"""),7.0)</f>
        <v>7</v>
      </c>
      <c r="G158" s="88">
        <f>IFERROR(__xludf.DUMMYFUNCTION("""COMPUTED_VALUE"""),0.0)</f>
        <v>0</v>
      </c>
      <c r="H158" s="88">
        <f>IFERROR(__xludf.DUMMYFUNCTION("""COMPUTED_VALUE"""),6.0)</f>
        <v>6</v>
      </c>
      <c r="I158" s="88">
        <f>IFERROR(__xludf.DUMMYFUNCTION("""COMPUTED_VALUE"""),7.0)</f>
        <v>7</v>
      </c>
      <c r="J158" s="88">
        <f>IFERROR(__xludf.DUMMYFUNCTION("""COMPUTED_VALUE"""),6.0)</f>
        <v>6</v>
      </c>
      <c r="K158" s="88">
        <f>IFERROR(__xludf.DUMMYFUNCTION("""COMPUTED_VALUE"""),19.0)</f>
        <v>19</v>
      </c>
      <c r="L158" s="88">
        <f>IFERROR(__xludf.DUMMYFUNCTION("""COMPUTED_VALUE"""),2.0)</f>
        <v>2</v>
      </c>
      <c r="M158" s="89">
        <f>IFERROR(__xludf.DUMMYFUNCTION("""COMPUTED_VALUE"""),149.0)</f>
        <v>149</v>
      </c>
      <c r="N158" s="89">
        <f>IFERROR(__xludf.DUMMYFUNCTION("""COMPUTED_VALUE"""),4.0)</f>
        <v>4</v>
      </c>
    </row>
    <row r="159">
      <c r="A159" s="11"/>
      <c r="B159" s="84" t="str">
        <f>IFERROR(__xludf.DUMMYFUNCTION("""COMPUTED_VALUE"""),"Rajesh Dorairaj")</f>
        <v>Rajesh Dorairaj</v>
      </c>
      <c r="C159" s="95">
        <f>IFERROR(__xludf.DUMMYFUNCTION("""COMPUTED_VALUE"""),129.0)</f>
        <v>129</v>
      </c>
      <c r="D159" s="95">
        <f>IFERROR(__xludf.DUMMYFUNCTION("""COMPUTED_VALUE"""),5.0)</f>
        <v>5</v>
      </c>
      <c r="E159" s="96">
        <f>IFERROR(__xludf.DUMMYFUNCTION("""COMPUTED_VALUE"""),1.0)</f>
        <v>1</v>
      </c>
      <c r="F159" s="97">
        <f>IFERROR(__xludf.DUMMYFUNCTION("""COMPUTED_VALUE"""),8.0)</f>
        <v>8</v>
      </c>
      <c r="G159" s="97">
        <f>IFERROR(__xludf.DUMMYFUNCTION("""COMPUTED_VALUE"""),0.0)</f>
        <v>0</v>
      </c>
      <c r="H159" s="97">
        <f>IFERROR(__xludf.DUMMYFUNCTION("""COMPUTED_VALUE"""),0.0)</f>
        <v>0</v>
      </c>
      <c r="I159" s="97">
        <f>IFERROR(__xludf.DUMMYFUNCTION("""COMPUTED_VALUE"""),0.0)</f>
        <v>0</v>
      </c>
      <c r="J159" s="97">
        <f>IFERROR(__xludf.DUMMYFUNCTION("""COMPUTED_VALUE"""),7.0)</f>
        <v>7</v>
      </c>
      <c r="K159" s="97">
        <f>IFERROR(__xludf.DUMMYFUNCTION("""COMPUTED_VALUE"""),7.0)</f>
        <v>7</v>
      </c>
      <c r="L159" s="97">
        <f>IFERROR(__xludf.DUMMYFUNCTION("""COMPUTED_VALUE"""),1.0)</f>
        <v>1</v>
      </c>
      <c r="M159" s="98">
        <f>IFERROR(__xludf.DUMMYFUNCTION("""COMPUTED_VALUE"""),136.0)</f>
        <v>136</v>
      </c>
      <c r="N159" s="98">
        <f>IFERROR(__xludf.DUMMYFUNCTION("""COMPUTED_VALUE"""),6.0)</f>
        <v>6</v>
      </c>
    </row>
    <row r="160">
      <c r="A160" s="11"/>
      <c r="B160" s="84" t="str">
        <f>IFERROR(__xludf.DUMMYFUNCTION("""COMPUTED_VALUE"""),"Sandy Weyant")</f>
        <v>Sandy Weyant</v>
      </c>
      <c r="C160" s="95">
        <f>IFERROR(__xludf.DUMMYFUNCTION("""COMPUTED_VALUE"""),122.0)</f>
        <v>122</v>
      </c>
      <c r="D160" s="95">
        <f>IFERROR(__xludf.DUMMYFUNCTION("""COMPUTED_VALUE"""),4.0)</f>
        <v>4</v>
      </c>
      <c r="E160" s="96">
        <f>IFERROR(__xludf.DUMMYFUNCTION("""COMPUTED_VALUE"""),1.0)</f>
        <v>1</v>
      </c>
      <c r="F160" s="97">
        <f>IFERROR(__xludf.DUMMYFUNCTION("""COMPUTED_VALUE"""),8.0)</f>
        <v>8</v>
      </c>
      <c r="G160" s="97">
        <f>IFERROR(__xludf.DUMMYFUNCTION("""COMPUTED_VALUE"""),0.0)</f>
        <v>0</v>
      </c>
      <c r="H160" s="97">
        <f>IFERROR(__xludf.DUMMYFUNCTION("""COMPUTED_VALUE"""),0.0)</f>
        <v>0</v>
      </c>
      <c r="I160" s="97">
        <f>IFERROR(__xludf.DUMMYFUNCTION("""COMPUTED_VALUE"""),6.0)</f>
        <v>6</v>
      </c>
      <c r="J160" s="97">
        <f>IFERROR(__xludf.DUMMYFUNCTION("""COMPUTED_VALUE"""),6.0)</f>
        <v>6</v>
      </c>
      <c r="K160" s="97">
        <f>IFERROR(__xludf.DUMMYFUNCTION("""COMPUTED_VALUE"""),12.0)</f>
        <v>12</v>
      </c>
      <c r="L160" s="97">
        <f>IFERROR(__xludf.DUMMYFUNCTION("""COMPUTED_VALUE"""),1.0)</f>
        <v>1</v>
      </c>
      <c r="M160" s="98">
        <f>IFERROR(__xludf.DUMMYFUNCTION("""COMPUTED_VALUE"""),134.0)</f>
        <v>134</v>
      </c>
      <c r="N160" s="98">
        <f>IFERROR(__xludf.DUMMYFUNCTION("""COMPUTED_VALUE"""),5.0)</f>
        <v>5</v>
      </c>
    </row>
    <row r="161">
      <c r="A161" s="11"/>
      <c r="B161" s="84" t="str">
        <f>IFERROR(__xludf.DUMMYFUNCTION("""COMPUTED_VALUE"""),"Vinz Solano")</f>
        <v>Vinz Solano</v>
      </c>
      <c r="C161" s="95">
        <f>IFERROR(__xludf.DUMMYFUNCTION("""COMPUTED_VALUE"""),121.0)</f>
        <v>121</v>
      </c>
      <c r="D161" s="95">
        <f>IFERROR(__xludf.DUMMYFUNCTION("""COMPUTED_VALUE"""),2.0)</f>
        <v>2</v>
      </c>
      <c r="E161" s="96">
        <f>IFERROR(__xludf.DUMMYFUNCTION("""COMPUTED_VALUE"""),1.0)</f>
        <v>1</v>
      </c>
      <c r="F161" s="97">
        <f>IFERROR(__xludf.DUMMYFUNCTION("""COMPUTED_VALUE"""),8.0)</f>
        <v>8</v>
      </c>
      <c r="G161" s="97">
        <f>IFERROR(__xludf.DUMMYFUNCTION("""COMPUTED_VALUE"""),0.0)</f>
        <v>0</v>
      </c>
      <c r="H161" s="97">
        <f>IFERROR(__xludf.DUMMYFUNCTION("""COMPUTED_VALUE"""),6.0)</f>
        <v>6</v>
      </c>
      <c r="I161" s="97">
        <f>IFERROR(__xludf.DUMMYFUNCTION("""COMPUTED_VALUE"""),6.0)</f>
        <v>6</v>
      </c>
      <c r="J161" s="97">
        <f>IFERROR(__xludf.DUMMYFUNCTION("""COMPUTED_VALUE"""),7.0)</f>
        <v>7</v>
      </c>
      <c r="K161" s="97">
        <f>IFERROR(__xludf.DUMMYFUNCTION("""COMPUTED_VALUE"""),19.0)</f>
        <v>19</v>
      </c>
      <c r="L161" s="97">
        <f>IFERROR(__xludf.DUMMYFUNCTION("""COMPUTED_VALUE"""),3.0)</f>
        <v>3</v>
      </c>
      <c r="M161" s="98">
        <f>IFERROR(__xludf.DUMMYFUNCTION("""COMPUTED_VALUE"""),140.0)</f>
        <v>140</v>
      </c>
      <c r="N161" s="98">
        <f>IFERROR(__xludf.DUMMYFUNCTION("""COMPUTED_VALUE"""),5.0)</f>
        <v>5</v>
      </c>
    </row>
    <row r="162">
      <c r="A162" s="11"/>
      <c r="B162" s="84" t="str">
        <f>IFERROR(__xludf.DUMMYFUNCTION("""COMPUTED_VALUE"""),"Nicole Ni")</f>
        <v>Nicole Ni</v>
      </c>
      <c r="C162" s="95">
        <f>IFERROR(__xludf.DUMMYFUNCTION("""COMPUTED_VALUE"""),117.0)</f>
        <v>117</v>
      </c>
      <c r="D162" s="95">
        <f>IFERROR(__xludf.DUMMYFUNCTION("""COMPUTED_VALUE"""),6.0)</f>
        <v>6</v>
      </c>
      <c r="E162" s="96">
        <f>IFERROR(__xludf.DUMMYFUNCTION("""COMPUTED_VALUE"""),1.0)</f>
        <v>1</v>
      </c>
      <c r="F162" s="97">
        <f>IFERROR(__xludf.DUMMYFUNCTION("""COMPUTED_VALUE"""),8.0)</f>
        <v>8</v>
      </c>
      <c r="G162" s="97">
        <f>IFERROR(__xludf.DUMMYFUNCTION("""COMPUTED_VALUE"""),0.0)</f>
        <v>0</v>
      </c>
      <c r="H162" s="97">
        <f>IFERROR(__xludf.DUMMYFUNCTION("""COMPUTED_VALUE"""),6.0)</f>
        <v>6</v>
      </c>
      <c r="I162" s="97">
        <f>IFERROR(__xludf.DUMMYFUNCTION("""COMPUTED_VALUE"""),0.0)</f>
        <v>0</v>
      </c>
      <c r="J162" s="97">
        <f>IFERROR(__xludf.DUMMYFUNCTION("""COMPUTED_VALUE"""),6.0)</f>
        <v>6</v>
      </c>
      <c r="K162" s="97">
        <f>IFERROR(__xludf.DUMMYFUNCTION("""COMPUTED_VALUE"""),12.0)</f>
        <v>12</v>
      </c>
      <c r="L162" s="97">
        <f>IFERROR(__xludf.DUMMYFUNCTION("""COMPUTED_VALUE"""),1.0)</f>
        <v>1</v>
      </c>
      <c r="M162" s="98">
        <f>IFERROR(__xludf.DUMMYFUNCTION("""COMPUTED_VALUE"""),129.0)</f>
        <v>129</v>
      </c>
      <c r="N162" s="98">
        <f>IFERROR(__xludf.DUMMYFUNCTION("""COMPUTED_VALUE"""),7.0)</f>
        <v>7</v>
      </c>
    </row>
    <row r="163">
      <c r="A163" s="11"/>
      <c r="C163" s="11"/>
      <c r="D163" s="11"/>
      <c r="E163" s="11"/>
    </row>
    <row r="164">
      <c r="A164" s="11"/>
      <c r="C164" s="11"/>
      <c r="D164" s="11"/>
      <c r="E164" s="11"/>
    </row>
    <row r="165">
      <c r="A165" s="11"/>
      <c r="C165" s="11"/>
      <c r="D165" s="11"/>
      <c r="E165" s="11"/>
    </row>
    <row r="166">
      <c r="A166" s="11"/>
      <c r="C166" s="11"/>
      <c r="D166" s="11"/>
      <c r="E166" s="11"/>
    </row>
    <row r="167">
      <c r="A167" s="11"/>
      <c r="C167" s="11"/>
      <c r="D167" s="11"/>
      <c r="E167" s="11"/>
    </row>
    <row r="168">
      <c r="A168" s="11"/>
      <c r="C168" s="11"/>
      <c r="D168" s="11"/>
      <c r="E168" s="11"/>
    </row>
    <row r="169">
      <c r="A169" s="11"/>
      <c r="C169" s="11"/>
      <c r="D169" s="11"/>
      <c r="E169" s="11"/>
    </row>
    <row r="170">
      <c r="A170" s="11"/>
      <c r="C170" s="11"/>
      <c r="D170" s="11"/>
      <c r="E170" s="11"/>
    </row>
    <row r="171">
      <c r="A171" s="11"/>
      <c r="C171" s="11"/>
      <c r="D171" s="11"/>
      <c r="E171" s="11"/>
    </row>
    <row r="172">
      <c r="A172" s="11"/>
      <c r="C172" s="11"/>
      <c r="D172" s="11"/>
      <c r="E172" s="11"/>
    </row>
    <row r="173">
      <c r="A173" s="11"/>
      <c r="B173" s="10" t="s">
        <v>166</v>
      </c>
      <c r="C173" s="11"/>
      <c r="D173" s="11"/>
      <c r="E173" s="11"/>
    </row>
    <row r="174">
      <c r="A174" s="11"/>
      <c r="B174" s="27" t="s">
        <v>31</v>
      </c>
      <c r="C174" s="29" t="s">
        <v>2</v>
      </c>
      <c r="D174" s="29" t="s">
        <v>4</v>
      </c>
      <c r="E174" s="29" t="s">
        <v>33</v>
      </c>
      <c r="F174" s="29" t="s">
        <v>35</v>
      </c>
      <c r="G174" s="29" t="s">
        <v>36</v>
      </c>
      <c r="H174" s="29" t="s">
        <v>6</v>
      </c>
      <c r="I174" s="29" t="s">
        <v>7</v>
      </c>
      <c r="J174" s="29" t="s">
        <v>8</v>
      </c>
      <c r="K174" s="29" t="s">
        <v>2</v>
      </c>
      <c r="L174" s="29" t="s">
        <v>4</v>
      </c>
      <c r="M174" s="28" t="s">
        <v>2</v>
      </c>
      <c r="N174" s="28" t="s">
        <v>4</v>
      </c>
    </row>
    <row r="175">
      <c r="A175" s="11"/>
      <c r="B175" s="82" t="str">
        <f>IFERROR(__xludf.DUMMYFUNCTION("QUERY(B5:N70, ""Select B, C, D, E, F, G, H, I, J, K, L, M, N   where F = 0"")"),"Tom Le")</f>
        <v>Tom Le</v>
      </c>
      <c r="C175" s="87">
        <f>IFERROR(__xludf.DUMMYFUNCTION("""COMPUTED_VALUE"""),183.0)</f>
        <v>183</v>
      </c>
      <c r="D175" s="87">
        <f>IFERROR(__xludf.DUMMYFUNCTION("""COMPUTED_VALUE"""),22.0)</f>
        <v>22</v>
      </c>
      <c r="E175" s="86">
        <f>IFERROR(__xludf.DUMMYFUNCTION("""COMPUTED_VALUE"""),3.0)</f>
        <v>3</v>
      </c>
      <c r="F175" s="88">
        <f>IFERROR(__xludf.DUMMYFUNCTION("""COMPUTED_VALUE"""),0.0)</f>
        <v>0</v>
      </c>
      <c r="G175" s="88">
        <f>IFERROR(__xludf.DUMMYFUNCTION("""COMPUTED_VALUE"""),9.0)</f>
        <v>9</v>
      </c>
      <c r="H175" s="88">
        <f>IFERROR(__xludf.DUMMYFUNCTION("""COMPUTED_VALUE"""),0.0)</f>
        <v>0</v>
      </c>
      <c r="I175" s="88">
        <f>IFERROR(__xludf.DUMMYFUNCTION("""COMPUTED_VALUE"""),0.0)</f>
        <v>0</v>
      </c>
      <c r="J175" s="88">
        <f>IFERROR(__xludf.DUMMYFUNCTION("""COMPUTED_VALUE"""),0.0)</f>
        <v>0</v>
      </c>
      <c r="K175" s="88">
        <f>IFERROR(__xludf.DUMMYFUNCTION("""COMPUTED_VALUE"""),9.0)</f>
        <v>9</v>
      </c>
      <c r="L175" s="88">
        <f>IFERROR(__xludf.DUMMYFUNCTION("""COMPUTED_VALUE"""),0.0)</f>
        <v>0</v>
      </c>
      <c r="M175" s="89">
        <f>IFERROR(__xludf.DUMMYFUNCTION("""COMPUTED_VALUE"""),192.0)</f>
        <v>192</v>
      </c>
      <c r="N175" s="89">
        <f>IFERROR(__xludf.DUMMYFUNCTION("""COMPUTED_VALUE"""),22.0)</f>
        <v>22</v>
      </c>
    </row>
    <row r="176">
      <c r="A176" s="11"/>
      <c r="B176" s="82" t="str">
        <f>IFERROR(__xludf.DUMMYFUNCTION("""COMPUTED_VALUE"""),"Matthew Huang")</f>
        <v>Matthew Huang</v>
      </c>
      <c r="C176" s="87">
        <f>IFERROR(__xludf.DUMMYFUNCTION("""COMPUTED_VALUE"""),175.0)</f>
        <v>175</v>
      </c>
      <c r="D176" s="87">
        <f>IFERROR(__xludf.DUMMYFUNCTION("""COMPUTED_VALUE"""),16.0)</f>
        <v>16</v>
      </c>
      <c r="E176" s="86">
        <f>IFERROR(__xludf.DUMMYFUNCTION("""COMPUTED_VALUE"""),3.0)</f>
        <v>3</v>
      </c>
      <c r="F176" s="88">
        <f>IFERROR(__xludf.DUMMYFUNCTION("""COMPUTED_VALUE"""),0.0)</f>
        <v>0</v>
      </c>
      <c r="G176" s="88">
        <f>IFERROR(__xludf.DUMMYFUNCTION("""COMPUTED_VALUE"""),9.0)</f>
        <v>9</v>
      </c>
      <c r="H176" s="88">
        <f>IFERROR(__xludf.DUMMYFUNCTION("""COMPUTED_VALUE"""),0.0)</f>
        <v>0</v>
      </c>
      <c r="I176" s="88">
        <f>IFERROR(__xludf.DUMMYFUNCTION("""COMPUTED_VALUE"""),0.0)</f>
        <v>0</v>
      </c>
      <c r="J176" s="88">
        <f>IFERROR(__xludf.DUMMYFUNCTION("""COMPUTED_VALUE"""),0.0)</f>
        <v>0</v>
      </c>
      <c r="K176" s="88">
        <f>IFERROR(__xludf.DUMMYFUNCTION("""COMPUTED_VALUE"""),9.0)</f>
        <v>9</v>
      </c>
      <c r="L176" s="88">
        <f>IFERROR(__xludf.DUMMYFUNCTION("""COMPUTED_VALUE"""),0.0)</f>
        <v>0</v>
      </c>
      <c r="M176" s="89">
        <f>IFERROR(__xludf.DUMMYFUNCTION("""COMPUTED_VALUE"""),184.0)</f>
        <v>184</v>
      </c>
      <c r="N176" s="89">
        <f>IFERROR(__xludf.DUMMYFUNCTION("""COMPUTED_VALUE"""),16.0)</f>
        <v>16</v>
      </c>
    </row>
    <row r="177">
      <c r="A177" s="11"/>
      <c r="B177" s="82" t="str">
        <f>IFERROR(__xludf.DUMMYFUNCTION("""COMPUTED_VALUE"""),"James Phan")</f>
        <v>James Phan</v>
      </c>
      <c r="C177" s="87">
        <f>IFERROR(__xludf.DUMMYFUNCTION("""COMPUTED_VALUE"""),168.0)</f>
        <v>168</v>
      </c>
      <c r="D177" s="87">
        <f>IFERROR(__xludf.DUMMYFUNCTION("""COMPUTED_VALUE"""),14.0)</f>
        <v>14</v>
      </c>
      <c r="E177" s="86">
        <f>IFERROR(__xludf.DUMMYFUNCTION("""COMPUTED_VALUE"""),4.0)</f>
        <v>4</v>
      </c>
      <c r="F177" s="88">
        <f>IFERROR(__xludf.DUMMYFUNCTION("""COMPUTED_VALUE"""),0.0)</f>
        <v>0</v>
      </c>
      <c r="G177" s="88">
        <f>IFERROR(__xludf.DUMMYFUNCTION("""COMPUTED_VALUE"""),9.0)</f>
        <v>9</v>
      </c>
      <c r="H177" s="88">
        <f>IFERROR(__xludf.DUMMYFUNCTION("""COMPUTED_VALUE"""),0.0)</f>
        <v>0</v>
      </c>
      <c r="I177" s="88">
        <f>IFERROR(__xludf.DUMMYFUNCTION("""COMPUTED_VALUE"""),0.0)</f>
        <v>0</v>
      </c>
      <c r="J177" s="88">
        <f>IFERROR(__xludf.DUMMYFUNCTION("""COMPUTED_VALUE"""),0.0)</f>
        <v>0</v>
      </c>
      <c r="K177" s="88">
        <f>IFERROR(__xludf.DUMMYFUNCTION("""COMPUTED_VALUE"""),9.0)</f>
        <v>9</v>
      </c>
      <c r="L177" s="88">
        <f>IFERROR(__xludf.DUMMYFUNCTION("""COMPUTED_VALUE"""),0.0)</f>
        <v>0</v>
      </c>
      <c r="M177" s="89">
        <f>IFERROR(__xludf.DUMMYFUNCTION("""COMPUTED_VALUE"""),177.0)</f>
        <v>177</v>
      </c>
      <c r="N177" s="89">
        <f>IFERROR(__xludf.DUMMYFUNCTION("""COMPUTED_VALUE"""),14.0)</f>
        <v>14</v>
      </c>
    </row>
    <row r="178">
      <c r="A178" s="11"/>
      <c r="B178" s="82" t="str">
        <f>IFERROR(__xludf.DUMMYFUNCTION("""COMPUTED_VALUE"""),"Joe Luzzi")</f>
        <v>Joe Luzzi</v>
      </c>
      <c r="C178" s="87">
        <f>IFERROR(__xludf.DUMMYFUNCTION("""COMPUTED_VALUE"""),168.0)</f>
        <v>168</v>
      </c>
      <c r="D178" s="87">
        <f>IFERROR(__xludf.DUMMYFUNCTION("""COMPUTED_VALUE"""),12.0)</f>
        <v>12</v>
      </c>
      <c r="E178" s="86">
        <f>IFERROR(__xludf.DUMMYFUNCTION("""COMPUTED_VALUE"""),3.0)</f>
        <v>3</v>
      </c>
      <c r="F178" s="88">
        <f>IFERROR(__xludf.DUMMYFUNCTION("""COMPUTED_VALUE"""),0.0)</f>
        <v>0</v>
      </c>
      <c r="G178" s="88">
        <f>IFERROR(__xludf.DUMMYFUNCTION("""COMPUTED_VALUE"""),9.0)</f>
        <v>9</v>
      </c>
      <c r="H178" s="88">
        <f>IFERROR(__xludf.DUMMYFUNCTION("""COMPUTED_VALUE"""),0.0)</f>
        <v>0</v>
      </c>
      <c r="I178" s="88">
        <f>IFERROR(__xludf.DUMMYFUNCTION("""COMPUTED_VALUE"""),0.0)</f>
        <v>0</v>
      </c>
      <c r="J178" s="88">
        <f>IFERROR(__xludf.DUMMYFUNCTION("""COMPUTED_VALUE"""),0.0)</f>
        <v>0</v>
      </c>
      <c r="K178" s="88">
        <f>IFERROR(__xludf.DUMMYFUNCTION("""COMPUTED_VALUE"""),9.0)</f>
        <v>9</v>
      </c>
      <c r="L178" s="88">
        <f>IFERROR(__xludf.DUMMYFUNCTION("""COMPUTED_VALUE"""),0.0)</f>
        <v>0</v>
      </c>
      <c r="M178" s="89">
        <f>IFERROR(__xludf.DUMMYFUNCTION("""COMPUTED_VALUE"""),177.0)</f>
        <v>177</v>
      </c>
      <c r="N178" s="89">
        <f>IFERROR(__xludf.DUMMYFUNCTION("""COMPUTED_VALUE"""),12.0)</f>
        <v>12</v>
      </c>
    </row>
    <row r="179">
      <c r="A179" s="11"/>
      <c r="B179" s="82" t="str">
        <f>IFERROR(__xludf.DUMMYFUNCTION("""COMPUTED_VALUE"""),"Sean Chang")</f>
        <v>Sean Chang</v>
      </c>
      <c r="C179" s="87">
        <f>IFERROR(__xludf.DUMMYFUNCTION("""COMPUTED_VALUE"""),167.0)</f>
        <v>167</v>
      </c>
      <c r="D179" s="87">
        <f>IFERROR(__xludf.DUMMYFUNCTION("""COMPUTED_VALUE"""),14.0)</f>
        <v>14</v>
      </c>
      <c r="E179" s="86">
        <f>IFERROR(__xludf.DUMMYFUNCTION("""COMPUTED_VALUE"""),3.0)</f>
        <v>3</v>
      </c>
      <c r="F179" s="88">
        <f>IFERROR(__xludf.DUMMYFUNCTION("""COMPUTED_VALUE"""),0.0)</f>
        <v>0</v>
      </c>
      <c r="G179" s="88">
        <f>IFERROR(__xludf.DUMMYFUNCTION("""COMPUTED_VALUE"""),9.0)</f>
        <v>9</v>
      </c>
      <c r="H179" s="88">
        <f>IFERROR(__xludf.DUMMYFUNCTION("""COMPUTED_VALUE"""),0.0)</f>
        <v>0</v>
      </c>
      <c r="I179" s="88">
        <f>IFERROR(__xludf.DUMMYFUNCTION("""COMPUTED_VALUE"""),0.0)</f>
        <v>0</v>
      </c>
      <c r="J179" s="88">
        <f>IFERROR(__xludf.DUMMYFUNCTION("""COMPUTED_VALUE"""),0.0)</f>
        <v>0</v>
      </c>
      <c r="K179" s="88">
        <f>IFERROR(__xludf.DUMMYFUNCTION("""COMPUTED_VALUE"""),9.0)</f>
        <v>9</v>
      </c>
      <c r="L179" s="88">
        <f>IFERROR(__xludf.DUMMYFUNCTION("""COMPUTED_VALUE"""),0.0)</f>
        <v>0</v>
      </c>
      <c r="M179" s="89">
        <f>IFERROR(__xludf.DUMMYFUNCTION("""COMPUTED_VALUE"""),176.0)</f>
        <v>176</v>
      </c>
      <c r="N179" s="89">
        <f>IFERROR(__xludf.DUMMYFUNCTION("""COMPUTED_VALUE"""),14.0)</f>
        <v>14</v>
      </c>
    </row>
    <row r="180">
      <c r="A180" s="11"/>
      <c r="B180" s="82" t="str">
        <f>IFERROR(__xludf.DUMMYFUNCTION("""COMPUTED_VALUE"""),"Pavan Akkimsetty")</f>
        <v>Pavan Akkimsetty</v>
      </c>
      <c r="C180" s="87">
        <f>IFERROR(__xludf.DUMMYFUNCTION("""COMPUTED_VALUE"""),166.0)</f>
        <v>166</v>
      </c>
      <c r="D180" s="87">
        <f>IFERROR(__xludf.DUMMYFUNCTION("""COMPUTED_VALUE"""),15.0)</f>
        <v>15</v>
      </c>
      <c r="E180" s="86">
        <f>IFERROR(__xludf.DUMMYFUNCTION("""COMPUTED_VALUE"""),3.0)</f>
        <v>3</v>
      </c>
      <c r="F180" s="88">
        <f>IFERROR(__xludf.DUMMYFUNCTION("""COMPUTED_VALUE"""),0.0)</f>
        <v>0</v>
      </c>
      <c r="G180" s="88">
        <f>IFERROR(__xludf.DUMMYFUNCTION("""COMPUTED_VALUE"""),9.0)</f>
        <v>9</v>
      </c>
      <c r="H180" s="88">
        <f>IFERROR(__xludf.DUMMYFUNCTION("""COMPUTED_VALUE"""),0.0)</f>
        <v>0</v>
      </c>
      <c r="I180" s="88">
        <f>IFERROR(__xludf.DUMMYFUNCTION("""COMPUTED_VALUE"""),0.0)</f>
        <v>0</v>
      </c>
      <c r="J180" s="88">
        <f>IFERROR(__xludf.DUMMYFUNCTION("""COMPUTED_VALUE"""),0.0)</f>
        <v>0</v>
      </c>
      <c r="K180" s="88">
        <f>IFERROR(__xludf.DUMMYFUNCTION("""COMPUTED_VALUE"""),9.0)</f>
        <v>9</v>
      </c>
      <c r="L180" s="88">
        <f>IFERROR(__xludf.DUMMYFUNCTION("""COMPUTED_VALUE"""),0.0)</f>
        <v>0</v>
      </c>
      <c r="M180" s="89">
        <f>IFERROR(__xludf.DUMMYFUNCTION("""COMPUTED_VALUE"""),175.0)</f>
        <v>175</v>
      </c>
      <c r="N180" s="89">
        <f>IFERROR(__xludf.DUMMYFUNCTION("""COMPUTED_VALUE"""),15.0)</f>
        <v>15</v>
      </c>
    </row>
    <row r="181">
      <c r="A181" s="11"/>
      <c r="B181" s="82" t="str">
        <f>IFERROR(__xludf.DUMMYFUNCTION("""COMPUTED_VALUE"""),"David Shin")</f>
        <v>David Shin</v>
      </c>
      <c r="C181" s="87">
        <f>IFERROR(__xludf.DUMMYFUNCTION("""COMPUTED_VALUE"""),166.0)</f>
        <v>166</v>
      </c>
      <c r="D181" s="87">
        <f>IFERROR(__xludf.DUMMYFUNCTION("""COMPUTED_VALUE"""),15.0)</f>
        <v>15</v>
      </c>
      <c r="E181" s="86">
        <f>IFERROR(__xludf.DUMMYFUNCTION("""COMPUTED_VALUE"""),3.0)</f>
        <v>3</v>
      </c>
      <c r="F181" s="88">
        <f>IFERROR(__xludf.DUMMYFUNCTION("""COMPUTED_VALUE"""),0.0)</f>
        <v>0</v>
      </c>
      <c r="G181" s="88">
        <f>IFERROR(__xludf.DUMMYFUNCTION("""COMPUTED_VALUE"""),9.0)</f>
        <v>9</v>
      </c>
      <c r="H181" s="88">
        <f>IFERROR(__xludf.DUMMYFUNCTION("""COMPUTED_VALUE"""),0.0)</f>
        <v>0</v>
      </c>
      <c r="I181" s="88">
        <f>IFERROR(__xludf.DUMMYFUNCTION("""COMPUTED_VALUE"""),0.0)</f>
        <v>0</v>
      </c>
      <c r="J181" s="88">
        <f>IFERROR(__xludf.DUMMYFUNCTION("""COMPUTED_VALUE"""),0.0)</f>
        <v>0</v>
      </c>
      <c r="K181" s="88">
        <f>IFERROR(__xludf.DUMMYFUNCTION("""COMPUTED_VALUE"""),9.0)</f>
        <v>9</v>
      </c>
      <c r="L181" s="88">
        <f>IFERROR(__xludf.DUMMYFUNCTION("""COMPUTED_VALUE"""),0.0)</f>
        <v>0</v>
      </c>
      <c r="M181" s="89">
        <f>IFERROR(__xludf.DUMMYFUNCTION("""COMPUTED_VALUE"""),175.0)</f>
        <v>175</v>
      </c>
      <c r="N181" s="89">
        <f>IFERROR(__xludf.DUMMYFUNCTION("""COMPUTED_VALUE"""),15.0)</f>
        <v>15</v>
      </c>
    </row>
    <row r="182">
      <c r="A182" s="11"/>
      <c r="B182" s="82" t="str">
        <f>IFERROR(__xludf.DUMMYFUNCTION("""COMPUTED_VALUE"""),"Arun Mallikarjuna")</f>
        <v>Arun Mallikarjuna</v>
      </c>
      <c r="C182" s="87">
        <f>IFERROR(__xludf.DUMMYFUNCTION("""COMPUTED_VALUE"""),164.0)</f>
        <v>164</v>
      </c>
      <c r="D182" s="87">
        <f>IFERROR(__xludf.DUMMYFUNCTION("""COMPUTED_VALUE"""),14.0)</f>
        <v>14</v>
      </c>
      <c r="E182" s="86">
        <f>IFERROR(__xludf.DUMMYFUNCTION("""COMPUTED_VALUE"""),5.0)</f>
        <v>5</v>
      </c>
      <c r="F182" s="88">
        <f>IFERROR(__xludf.DUMMYFUNCTION("""COMPUTED_VALUE"""),0.0)</f>
        <v>0</v>
      </c>
      <c r="G182" s="88">
        <f>IFERROR(__xludf.DUMMYFUNCTION("""COMPUTED_VALUE"""),13.0)</f>
        <v>13</v>
      </c>
      <c r="H182" s="88">
        <f>IFERROR(__xludf.DUMMYFUNCTION("""COMPUTED_VALUE"""),0.0)</f>
        <v>0</v>
      </c>
      <c r="I182" s="88">
        <f>IFERROR(__xludf.DUMMYFUNCTION("""COMPUTED_VALUE"""),0.0)</f>
        <v>0</v>
      </c>
      <c r="J182" s="88">
        <f>IFERROR(__xludf.DUMMYFUNCTION("""COMPUTED_VALUE"""),0.0)</f>
        <v>0</v>
      </c>
      <c r="K182" s="88">
        <f>IFERROR(__xludf.DUMMYFUNCTION("""COMPUTED_VALUE"""),13.0)</f>
        <v>13</v>
      </c>
      <c r="L182" s="88">
        <f>IFERROR(__xludf.DUMMYFUNCTION("""COMPUTED_VALUE"""),0.0)</f>
        <v>0</v>
      </c>
      <c r="M182" s="89">
        <f>IFERROR(__xludf.DUMMYFUNCTION("""COMPUTED_VALUE"""),177.0)</f>
        <v>177</v>
      </c>
      <c r="N182" s="89">
        <f>IFERROR(__xludf.DUMMYFUNCTION("""COMPUTED_VALUE"""),14.0)</f>
        <v>14</v>
      </c>
    </row>
    <row r="183">
      <c r="A183" s="11"/>
      <c r="B183" s="82" t="str">
        <f>IFERROR(__xludf.DUMMYFUNCTION("""COMPUTED_VALUE"""),"Lam Bui")</f>
        <v>Lam Bui</v>
      </c>
      <c r="C183" s="87">
        <f>IFERROR(__xludf.DUMMYFUNCTION("""COMPUTED_VALUE"""),162.0)</f>
        <v>162</v>
      </c>
      <c r="D183" s="87">
        <f>IFERROR(__xludf.DUMMYFUNCTION("""COMPUTED_VALUE"""),13.0)</f>
        <v>13</v>
      </c>
      <c r="E183" s="86">
        <f>IFERROR(__xludf.DUMMYFUNCTION("""COMPUTED_VALUE"""),5.0)</f>
        <v>5</v>
      </c>
      <c r="F183" s="88">
        <f>IFERROR(__xludf.DUMMYFUNCTION("""COMPUTED_VALUE"""),0.0)</f>
        <v>0</v>
      </c>
      <c r="G183" s="88">
        <f>IFERROR(__xludf.DUMMYFUNCTION("""COMPUTED_VALUE"""),13.0)</f>
        <v>13</v>
      </c>
      <c r="H183" s="88">
        <f>IFERROR(__xludf.DUMMYFUNCTION("""COMPUTED_VALUE"""),0.0)</f>
        <v>0</v>
      </c>
      <c r="I183" s="88">
        <f>IFERROR(__xludf.DUMMYFUNCTION("""COMPUTED_VALUE"""),0.0)</f>
        <v>0</v>
      </c>
      <c r="J183" s="88">
        <f>IFERROR(__xludf.DUMMYFUNCTION("""COMPUTED_VALUE"""),0.0)</f>
        <v>0</v>
      </c>
      <c r="K183" s="88">
        <f>IFERROR(__xludf.DUMMYFUNCTION("""COMPUTED_VALUE"""),13.0)</f>
        <v>13</v>
      </c>
      <c r="L183" s="88">
        <f>IFERROR(__xludf.DUMMYFUNCTION("""COMPUTED_VALUE"""),0.0)</f>
        <v>0</v>
      </c>
      <c r="M183" s="89">
        <f>IFERROR(__xludf.DUMMYFUNCTION("""COMPUTED_VALUE"""),175.0)</f>
        <v>175</v>
      </c>
      <c r="N183" s="89">
        <f>IFERROR(__xludf.DUMMYFUNCTION("""COMPUTED_VALUE"""),13.0)</f>
        <v>13</v>
      </c>
    </row>
    <row r="184">
      <c r="A184" s="11"/>
      <c r="B184" s="82" t="str">
        <f>IFERROR(__xludf.DUMMYFUNCTION("""COMPUTED_VALUE"""),"Troy Wong")</f>
        <v>Troy Wong</v>
      </c>
      <c r="C184" s="87">
        <f>IFERROR(__xludf.DUMMYFUNCTION("""COMPUTED_VALUE"""),162.0)</f>
        <v>162</v>
      </c>
      <c r="D184" s="87">
        <f>IFERROR(__xludf.DUMMYFUNCTION("""COMPUTED_VALUE"""),10.0)</f>
        <v>10</v>
      </c>
      <c r="E184" s="86">
        <f>IFERROR(__xludf.DUMMYFUNCTION("""COMPUTED_VALUE"""),3.0)</f>
        <v>3</v>
      </c>
      <c r="F184" s="88">
        <f>IFERROR(__xludf.DUMMYFUNCTION("""COMPUTED_VALUE"""),0.0)</f>
        <v>0</v>
      </c>
      <c r="G184" s="88">
        <f>IFERROR(__xludf.DUMMYFUNCTION("""COMPUTED_VALUE"""),9.0)</f>
        <v>9</v>
      </c>
      <c r="H184" s="88">
        <f>IFERROR(__xludf.DUMMYFUNCTION("""COMPUTED_VALUE"""),0.0)</f>
        <v>0</v>
      </c>
      <c r="I184" s="88">
        <f>IFERROR(__xludf.DUMMYFUNCTION("""COMPUTED_VALUE"""),0.0)</f>
        <v>0</v>
      </c>
      <c r="J184" s="88">
        <f>IFERROR(__xludf.DUMMYFUNCTION("""COMPUTED_VALUE"""),0.0)</f>
        <v>0</v>
      </c>
      <c r="K184" s="88">
        <f>IFERROR(__xludf.DUMMYFUNCTION("""COMPUTED_VALUE"""),9.0)</f>
        <v>9</v>
      </c>
      <c r="L184" s="88">
        <f>IFERROR(__xludf.DUMMYFUNCTION("""COMPUTED_VALUE"""),0.0)</f>
        <v>0</v>
      </c>
      <c r="M184" s="89">
        <f>IFERROR(__xludf.DUMMYFUNCTION("""COMPUTED_VALUE"""),171.0)</f>
        <v>171</v>
      </c>
      <c r="N184" s="89">
        <f>IFERROR(__xludf.DUMMYFUNCTION("""COMPUTED_VALUE"""),10.0)</f>
        <v>10</v>
      </c>
    </row>
    <row r="185">
      <c r="A185" s="11"/>
      <c r="B185" s="82" t="str">
        <f>IFERROR(__xludf.DUMMYFUNCTION("""COMPUTED_VALUE"""),"Cid Macaraeg")</f>
        <v>Cid Macaraeg</v>
      </c>
      <c r="C185" s="87">
        <f>IFERROR(__xludf.DUMMYFUNCTION("""COMPUTED_VALUE"""),159.0)</f>
        <v>159</v>
      </c>
      <c r="D185" s="87">
        <f>IFERROR(__xludf.DUMMYFUNCTION("""COMPUTED_VALUE"""),11.0)</f>
        <v>11</v>
      </c>
      <c r="E185" s="86">
        <f>IFERROR(__xludf.DUMMYFUNCTION("""COMPUTED_VALUE"""),3.0)</f>
        <v>3</v>
      </c>
      <c r="F185" s="88">
        <f>IFERROR(__xludf.DUMMYFUNCTION("""COMPUTED_VALUE"""),0.0)</f>
        <v>0</v>
      </c>
      <c r="G185" s="88">
        <f>IFERROR(__xludf.DUMMYFUNCTION("""COMPUTED_VALUE"""),9.0)</f>
        <v>9</v>
      </c>
      <c r="H185" s="88">
        <f>IFERROR(__xludf.DUMMYFUNCTION("""COMPUTED_VALUE"""),0.0)</f>
        <v>0</v>
      </c>
      <c r="I185" s="88">
        <f>IFERROR(__xludf.DUMMYFUNCTION("""COMPUTED_VALUE"""),0.0)</f>
        <v>0</v>
      </c>
      <c r="J185" s="88">
        <f>IFERROR(__xludf.DUMMYFUNCTION("""COMPUTED_VALUE"""),0.0)</f>
        <v>0</v>
      </c>
      <c r="K185" s="88">
        <f>IFERROR(__xludf.DUMMYFUNCTION("""COMPUTED_VALUE"""),9.0)</f>
        <v>9</v>
      </c>
      <c r="L185" s="88">
        <f>IFERROR(__xludf.DUMMYFUNCTION("""COMPUTED_VALUE"""),0.0)</f>
        <v>0</v>
      </c>
      <c r="M185" s="89">
        <f>IFERROR(__xludf.DUMMYFUNCTION("""COMPUTED_VALUE"""),168.0)</f>
        <v>168</v>
      </c>
      <c r="N185" s="89">
        <f>IFERROR(__xludf.DUMMYFUNCTION("""COMPUTED_VALUE"""),11.0)</f>
        <v>11</v>
      </c>
    </row>
    <row r="186">
      <c r="A186" s="11"/>
      <c r="B186" s="82" t="str">
        <f>IFERROR(__xludf.DUMMYFUNCTION("""COMPUTED_VALUE"""),"Oscar Bonilla")</f>
        <v>Oscar Bonilla</v>
      </c>
      <c r="C186" s="87">
        <f>IFERROR(__xludf.DUMMYFUNCTION("""COMPUTED_VALUE"""),156.0)</f>
        <v>156</v>
      </c>
      <c r="D186" s="87">
        <f>IFERROR(__xludf.DUMMYFUNCTION("""COMPUTED_VALUE"""),9.0)</f>
        <v>9</v>
      </c>
      <c r="E186" s="86">
        <f>IFERROR(__xludf.DUMMYFUNCTION("""COMPUTED_VALUE"""),3.0)</f>
        <v>3</v>
      </c>
      <c r="F186" s="88">
        <f>IFERROR(__xludf.DUMMYFUNCTION("""COMPUTED_VALUE"""),0.0)</f>
        <v>0</v>
      </c>
      <c r="G186" s="88">
        <f>IFERROR(__xludf.DUMMYFUNCTION("""COMPUTED_VALUE"""),9.0)</f>
        <v>9</v>
      </c>
      <c r="H186" s="88">
        <f>IFERROR(__xludf.DUMMYFUNCTION("""COMPUTED_VALUE"""),0.0)</f>
        <v>0</v>
      </c>
      <c r="I186" s="88">
        <f>IFERROR(__xludf.DUMMYFUNCTION("""COMPUTED_VALUE"""),0.0)</f>
        <v>0</v>
      </c>
      <c r="J186" s="88">
        <f>IFERROR(__xludf.DUMMYFUNCTION("""COMPUTED_VALUE"""),0.0)</f>
        <v>0</v>
      </c>
      <c r="K186" s="88">
        <f>IFERROR(__xludf.DUMMYFUNCTION("""COMPUTED_VALUE"""),9.0)</f>
        <v>9</v>
      </c>
      <c r="L186" s="88">
        <f>IFERROR(__xludf.DUMMYFUNCTION("""COMPUTED_VALUE"""),0.0)</f>
        <v>0</v>
      </c>
      <c r="M186" s="89">
        <f>IFERROR(__xludf.DUMMYFUNCTION("""COMPUTED_VALUE"""),165.0)</f>
        <v>165</v>
      </c>
      <c r="N186" s="89">
        <f>IFERROR(__xludf.DUMMYFUNCTION("""COMPUTED_VALUE"""),9.0)</f>
        <v>9</v>
      </c>
    </row>
    <row r="187">
      <c r="A187" s="11"/>
      <c r="B187" s="82" t="str">
        <f>IFERROR(__xludf.DUMMYFUNCTION("""COMPUTED_VALUE"""),"Robert Chang")</f>
        <v>Robert Chang</v>
      </c>
      <c r="C187" s="87">
        <f>IFERROR(__xludf.DUMMYFUNCTION("""COMPUTED_VALUE"""),155.0)</f>
        <v>155</v>
      </c>
      <c r="D187" s="87">
        <f>IFERROR(__xludf.DUMMYFUNCTION("""COMPUTED_VALUE"""),7.0)</f>
        <v>7</v>
      </c>
      <c r="E187" s="86">
        <f>IFERROR(__xludf.DUMMYFUNCTION("""COMPUTED_VALUE"""),5.0)</f>
        <v>5</v>
      </c>
      <c r="F187" s="88">
        <f>IFERROR(__xludf.DUMMYFUNCTION("""COMPUTED_VALUE"""),0.0)</f>
        <v>0</v>
      </c>
      <c r="G187" s="88">
        <f>IFERROR(__xludf.DUMMYFUNCTION("""COMPUTED_VALUE"""),13.0)</f>
        <v>13</v>
      </c>
      <c r="H187" s="88">
        <f>IFERROR(__xludf.DUMMYFUNCTION("""COMPUTED_VALUE"""),0.0)</f>
        <v>0</v>
      </c>
      <c r="I187" s="88">
        <f>IFERROR(__xludf.DUMMYFUNCTION("""COMPUTED_VALUE"""),0.0)</f>
        <v>0</v>
      </c>
      <c r="J187" s="88">
        <f>IFERROR(__xludf.DUMMYFUNCTION("""COMPUTED_VALUE"""),0.0)</f>
        <v>0</v>
      </c>
      <c r="K187" s="88">
        <f>IFERROR(__xludf.DUMMYFUNCTION("""COMPUTED_VALUE"""),13.0)</f>
        <v>13</v>
      </c>
      <c r="L187" s="88">
        <f>IFERROR(__xludf.DUMMYFUNCTION("""COMPUTED_VALUE"""),0.0)</f>
        <v>0</v>
      </c>
      <c r="M187" s="89">
        <f>IFERROR(__xludf.DUMMYFUNCTION("""COMPUTED_VALUE"""),168.0)</f>
        <v>168</v>
      </c>
      <c r="N187" s="89">
        <f>IFERROR(__xludf.DUMMYFUNCTION("""COMPUTED_VALUE"""),7.0)</f>
        <v>7</v>
      </c>
    </row>
    <row r="188">
      <c r="A188" s="11"/>
      <c r="B188" s="82" t="str">
        <f>IFERROR(__xludf.DUMMYFUNCTION("""COMPUTED_VALUE"""),"Trish Newlin")</f>
        <v>Trish Newlin</v>
      </c>
      <c r="C188" s="87">
        <f>IFERROR(__xludf.DUMMYFUNCTION("""COMPUTED_VALUE"""),150.0)</f>
        <v>150</v>
      </c>
      <c r="D188" s="87">
        <f>IFERROR(__xludf.DUMMYFUNCTION("""COMPUTED_VALUE"""),7.0)</f>
        <v>7</v>
      </c>
      <c r="E188" s="86">
        <f>IFERROR(__xludf.DUMMYFUNCTION("""COMPUTED_VALUE"""),3.0)</f>
        <v>3</v>
      </c>
      <c r="F188" s="88">
        <f>IFERROR(__xludf.DUMMYFUNCTION("""COMPUTED_VALUE"""),0.0)</f>
        <v>0</v>
      </c>
      <c r="G188" s="88">
        <f>IFERROR(__xludf.DUMMYFUNCTION("""COMPUTED_VALUE"""),9.0)</f>
        <v>9</v>
      </c>
      <c r="H188" s="88">
        <f>IFERROR(__xludf.DUMMYFUNCTION("""COMPUTED_VALUE"""),0.0)</f>
        <v>0</v>
      </c>
      <c r="I188" s="88">
        <f>IFERROR(__xludf.DUMMYFUNCTION("""COMPUTED_VALUE"""),0.0)</f>
        <v>0</v>
      </c>
      <c r="J188" s="88">
        <f>IFERROR(__xludf.DUMMYFUNCTION("""COMPUTED_VALUE"""),0.0)</f>
        <v>0</v>
      </c>
      <c r="K188" s="88">
        <f>IFERROR(__xludf.DUMMYFUNCTION("""COMPUTED_VALUE"""),9.0)</f>
        <v>9</v>
      </c>
      <c r="L188" s="88">
        <f>IFERROR(__xludf.DUMMYFUNCTION("""COMPUTED_VALUE"""),0.0)</f>
        <v>0</v>
      </c>
      <c r="M188" s="89">
        <f>IFERROR(__xludf.DUMMYFUNCTION("""COMPUTED_VALUE"""),159.0)</f>
        <v>159</v>
      </c>
      <c r="N188" s="89">
        <f>IFERROR(__xludf.DUMMYFUNCTION("""COMPUTED_VALUE"""),7.0)</f>
        <v>7</v>
      </c>
    </row>
    <row r="189">
      <c r="A189" s="11"/>
      <c r="B189" s="82" t="str">
        <f>IFERROR(__xludf.DUMMYFUNCTION("""COMPUTED_VALUE"""),"Sanjaye Elayattu")</f>
        <v>Sanjaye Elayattu</v>
      </c>
      <c r="C189" s="87">
        <f>IFERROR(__xludf.DUMMYFUNCTION("""COMPUTED_VALUE"""),146.0)</f>
        <v>146</v>
      </c>
      <c r="D189" s="87">
        <f>IFERROR(__xludf.DUMMYFUNCTION("""COMPUTED_VALUE"""),8.0)</f>
        <v>8</v>
      </c>
      <c r="E189" s="86">
        <f>IFERROR(__xludf.DUMMYFUNCTION("""COMPUTED_VALUE"""),3.0)</f>
        <v>3</v>
      </c>
      <c r="F189" s="88">
        <f>IFERROR(__xludf.DUMMYFUNCTION("""COMPUTED_VALUE"""),0.0)</f>
        <v>0</v>
      </c>
      <c r="G189" s="88">
        <f>IFERROR(__xludf.DUMMYFUNCTION("""COMPUTED_VALUE"""),9.0)</f>
        <v>9</v>
      </c>
      <c r="H189" s="88">
        <f>IFERROR(__xludf.DUMMYFUNCTION("""COMPUTED_VALUE"""),0.0)</f>
        <v>0</v>
      </c>
      <c r="I189" s="88">
        <f>IFERROR(__xludf.DUMMYFUNCTION("""COMPUTED_VALUE"""),0.0)</f>
        <v>0</v>
      </c>
      <c r="J189" s="88">
        <f>IFERROR(__xludf.DUMMYFUNCTION("""COMPUTED_VALUE"""),0.0)</f>
        <v>0</v>
      </c>
      <c r="K189" s="88">
        <f>IFERROR(__xludf.DUMMYFUNCTION("""COMPUTED_VALUE"""),9.0)</f>
        <v>9</v>
      </c>
      <c r="L189" s="88">
        <f>IFERROR(__xludf.DUMMYFUNCTION("""COMPUTED_VALUE"""),0.0)</f>
        <v>0</v>
      </c>
      <c r="M189" s="89">
        <f>IFERROR(__xludf.DUMMYFUNCTION("""COMPUTED_VALUE"""),155.0)</f>
        <v>155</v>
      </c>
      <c r="N189" s="89">
        <f>IFERROR(__xludf.DUMMYFUNCTION("""COMPUTED_VALUE"""),8.0)</f>
        <v>8</v>
      </c>
    </row>
    <row r="190">
      <c r="A190" s="11"/>
      <c r="B190" s="82" t="str">
        <f>IFERROR(__xludf.DUMMYFUNCTION("""COMPUTED_VALUE"""),"Pulkit Mathur")</f>
        <v>Pulkit Mathur</v>
      </c>
      <c r="C190" s="87">
        <f>IFERROR(__xludf.DUMMYFUNCTION("""COMPUTED_VALUE"""),145.0)</f>
        <v>145</v>
      </c>
      <c r="D190" s="87">
        <f>IFERROR(__xludf.DUMMYFUNCTION("""COMPUTED_VALUE"""),9.0)</f>
        <v>9</v>
      </c>
      <c r="E190" s="86">
        <f>IFERROR(__xludf.DUMMYFUNCTION("""COMPUTED_VALUE"""),5.0)</f>
        <v>5</v>
      </c>
      <c r="F190" s="88">
        <f>IFERROR(__xludf.DUMMYFUNCTION("""COMPUTED_VALUE"""),0.0)</f>
        <v>0</v>
      </c>
      <c r="G190" s="88">
        <f>IFERROR(__xludf.DUMMYFUNCTION("""COMPUTED_VALUE"""),13.0)</f>
        <v>13</v>
      </c>
      <c r="H190" s="88">
        <f>IFERROR(__xludf.DUMMYFUNCTION("""COMPUTED_VALUE"""),0.0)</f>
        <v>0</v>
      </c>
      <c r="I190" s="88">
        <f>IFERROR(__xludf.DUMMYFUNCTION("""COMPUTED_VALUE"""),0.0)</f>
        <v>0</v>
      </c>
      <c r="J190" s="88">
        <f>IFERROR(__xludf.DUMMYFUNCTION("""COMPUTED_VALUE"""),0.0)</f>
        <v>0</v>
      </c>
      <c r="K190" s="88">
        <f>IFERROR(__xludf.DUMMYFUNCTION("""COMPUTED_VALUE"""),13.0)</f>
        <v>13</v>
      </c>
      <c r="L190" s="88">
        <f>IFERROR(__xludf.DUMMYFUNCTION("""COMPUTED_VALUE"""),0.0)</f>
        <v>0</v>
      </c>
      <c r="M190" s="89">
        <f>IFERROR(__xludf.DUMMYFUNCTION("""COMPUTED_VALUE"""),158.0)</f>
        <v>158</v>
      </c>
      <c r="N190" s="89">
        <f>IFERROR(__xludf.DUMMYFUNCTION("""COMPUTED_VALUE"""),9.0)</f>
        <v>9</v>
      </c>
    </row>
    <row r="191">
      <c r="A191" s="11"/>
      <c r="B191" s="82" t="str">
        <f>IFERROR(__xludf.DUMMYFUNCTION("""COMPUTED_VALUE"""),"Andrew Wen")</f>
        <v>Andrew Wen</v>
      </c>
      <c r="C191" s="87">
        <f>IFERROR(__xludf.DUMMYFUNCTION("""COMPUTED_VALUE"""),143.0)</f>
        <v>143</v>
      </c>
      <c r="D191" s="87">
        <f>IFERROR(__xludf.DUMMYFUNCTION("""COMPUTED_VALUE"""),5.0)</f>
        <v>5</v>
      </c>
      <c r="E191" s="86">
        <f>IFERROR(__xludf.DUMMYFUNCTION("""COMPUTED_VALUE"""),5.0)</f>
        <v>5</v>
      </c>
      <c r="F191" s="88">
        <f>IFERROR(__xludf.DUMMYFUNCTION("""COMPUTED_VALUE"""),0.0)</f>
        <v>0</v>
      </c>
      <c r="G191" s="88">
        <f>IFERROR(__xludf.DUMMYFUNCTION("""COMPUTED_VALUE"""),13.0)</f>
        <v>13</v>
      </c>
      <c r="H191" s="88">
        <f>IFERROR(__xludf.DUMMYFUNCTION("""COMPUTED_VALUE"""),0.0)</f>
        <v>0</v>
      </c>
      <c r="I191" s="88">
        <f>IFERROR(__xludf.DUMMYFUNCTION("""COMPUTED_VALUE"""),0.0)</f>
        <v>0</v>
      </c>
      <c r="J191" s="88">
        <f>IFERROR(__xludf.DUMMYFUNCTION("""COMPUTED_VALUE"""),0.0)</f>
        <v>0</v>
      </c>
      <c r="K191" s="88">
        <f>IFERROR(__xludf.DUMMYFUNCTION("""COMPUTED_VALUE"""),13.0)</f>
        <v>13</v>
      </c>
      <c r="L191" s="88">
        <f>IFERROR(__xludf.DUMMYFUNCTION("""COMPUTED_VALUE"""),0.0)</f>
        <v>0</v>
      </c>
      <c r="M191" s="89">
        <f>IFERROR(__xludf.DUMMYFUNCTION("""COMPUTED_VALUE"""),156.0)</f>
        <v>156</v>
      </c>
      <c r="N191" s="89">
        <f>IFERROR(__xludf.DUMMYFUNCTION("""COMPUTED_VALUE"""),5.0)</f>
        <v>5</v>
      </c>
    </row>
    <row r="192">
      <c r="A192" s="11"/>
      <c r="B192" s="82" t="str">
        <f>IFERROR(__xludf.DUMMYFUNCTION("""COMPUTED_VALUE"""),"Tony Lin")</f>
        <v>Tony Lin</v>
      </c>
      <c r="C192" s="87">
        <f>IFERROR(__xludf.DUMMYFUNCTION("""COMPUTED_VALUE"""),141.0)</f>
        <v>141</v>
      </c>
      <c r="D192" s="87">
        <f>IFERROR(__xludf.DUMMYFUNCTION("""COMPUTED_VALUE"""),6.0)</f>
        <v>6</v>
      </c>
      <c r="E192" s="86">
        <f>IFERROR(__xludf.DUMMYFUNCTION("""COMPUTED_VALUE"""),3.0)</f>
        <v>3</v>
      </c>
      <c r="F192" s="88">
        <f>IFERROR(__xludf.DUMMYFUNCTION("""COMPUTED_VALUE"""),0.0)</f>
        <v>0</v>
      </c>
      <c r="G192" s="88">
        <f>IFERROR(__xludf.DUMMYFUNCTION("""COMPUTED_VALUE"""),9.0)</f>
        <v>9</v>
      </c>
      <c r="H192" s="88">
        <f>IFERROR(__xludf.DUMMYFUNCTION("""COMPUTED_VALUE"""),0.0)</f>
        <v>0</v>
      </c>
      <c r="I192" s="88">
        <f>IFERROR(__xludf.DUMMYFUNCTION("""COMPUTED_VALUE"""),0.0)</f>
        <v>0</v>
      </c>
      <c r="J192" s="88">
        <f>IFERROR(__xludf.DUMMYFUNCTION("""COMPUTED_VALUE"""),0.0)</f>
        <v>0</v>
      </c>
      <c r="K192" s="88">
        <f>IFERROR(__xludf.DUMMYFUNCTION("""COMPUTED_VALUE"""),9.0)</f>
        <v>9</v>
      </c>
      <c r="L192" s="88">
        <f>IFERROR(__xludf.DUMMYFUNCTION("""COMPUTED_VALUE"""),0.0)</f>
        <v>0</v>
      </c>
      <c r="M192" s="89">
        <f>IFERROR(__xludf.DUMMYFUNCTION("""COMPUTED_VALUE"""),150.0)</f>
        <v>150</v>
      </c>
      <c r="N192" s="89">
        <f>IFERROR(__xludf.DUMMYFUNCTION("""COMPUTED_VALUE"""),6.0)</f>
        <v>6</v>
      </c>
    </row>
    <row r="193">
      <c r="A193" s="11"/>
      <c r="B193" s="82" t="str">
        <f>IFERROR(__xludf.DUMMYFUNCTION("""COMPUTED_VALUE"""),"Manuel Rivera")</f>
        <v>Manuel Rivera</v>
      </c>
      <c r="C193" s="87">
        <f>IFERROR(__xludf.DUMMYFUNCTION("""COMPUTED_VALUE"""),140.0)</f>
        <v>140</v>
      </c>
      <c r="D193" s="87">
        <f>IFERROR(__xludf.DUMMYFUNCTION("""COMPUTED_VALUE"""),6.0)</f>
        <v>6</v>
      </c>
      <c r="E193" s="86">
        <f>IFERROR(__xludf.DUMMYFUNCTION("""COMPUTED_VALUE"""),5.0)</f>
        <v>5</v>
      </c>
      <c r="F193" s="88">
        <f>IFERROR(__xludf.DUMMYFUNCTION("""COMPUTED_VALUE"""),0.0)</f>
        <v>0</v>
      </c>
      <c r="G193" s="88">
        <f>IFERROR(__xludf.DUMMYFUNCTION("""COMPUTED_VALUE"""),13.0)</f>
        <v>13</v>
      </c>
      <c r="H193" s="88">
        <f>IFERROR(__xludf.DUMMYFUNCTION("""COMPUTED_VALUE"""),0.0)</f>
        <v>0</v>
      </c>
      <c r="I193" s="88">
        <f>IFERROR(__xludf.DUMMYFUNCTION("""COMPUTED_VALUE"""),0.0)</f>
        <v>0</v>
      </c>
      <c r="J193" s="88">
        <f>IFERROR(__xludf.DUMMYFUNCTION("""COMPUTED_VALUE"""),0.0)</f>
        <v>0</v>
      </c>
      <c r="K193" s="88">
        <f>IFERROR(__xludf.DUMMYFUNCTION("""COMPUTED_VALUE"""),13.0)</f>
        <v>13</v>
      </c>
      <c r="L193" s="88">
        <f>IFERROR(__xludf.DUMMYFUNCTION("""COMPUTED_VALUE"""),0.0)</f>
        <v>0</v>
      </c>
      <c r="M193" s="89">
        <f>IFERROR(__xludf.DUMMYFUNCTION("""COMPUTED_VALUE"""),153.0)</f>
        <v>153</v>
      </c>
      <c r="N193" s="89">
        <f>IFERROR(__xludf.DUMMYFUNCTION("""COMPUTED_VALUE"""),6.0)</f>
        <v>6</v>
      </c>
    </row>
    <row r="194">
      <c r="A194" s="11"/>
      <c r="B194" s="82" t="str">
        <f>IFERROR(__xludf.DUMMYFUNCTION("""COMPUTED_VALUE"""),"Saravanan Veerapandian")</f>
        <v>Saravanan Veerapandian</v>
      </c>
      <c r="C194" s="87">
        <f>IFERROR(__xludf.DUMMYFUNCTION("""COMPUTED_VALUE"""),139.0)</f>
        <v>139</v>
      </c>
      <c r="D194" s="87">
        <f>IFERROR(__xludf.DUMMYFUNCTION("""COMPUTED_VALUE"""),8.0)</f>
        <v>8</v>
      </c>
      <c r="E194" s="86">
        <f>IFERROR(__xludf.DUMMYFUNCTION("""COMPUTED_VALUE"""),3.0)</f>
        <v>3</v>
      </c>
      <c r="F194" s="88">
        <f>IFERROR(__xludf.DUMMYFUNCTION("""COMPUTED_VALUE"""),0.0)</f>
        <v>0</v>
      </c>
      <c r="G194" s="88">
        <f>IFERROR(__xludf.DUMMYFUNCTION("""COMPUTED_VALUE"""),9.0)</f>
        <v>9</v>
      </c>
      <c r="H194" s="88">
        <f>IFERROR(__xludf.DUMMYFUNCTION("""COMPUTED_VALUE"""),0.0)</f>
        <v>0</v>
      </c>
      <c r="I194" s="88">
        <f>IFERROR(__xludf.DUMMYFUNCTION("""COMPUTED_VALUE"""),0.0)</f>
        <v>0</v>
      </c>
      <c r="J194" s="88">
        <f>IFERROR(__xludf.DUMMYFUNCTION("""COMPUTED_VALUE"""),0.0)</f>
        <v>0</v>
      </c>
      <c r="K194" s="88">
        <f>IFERROR(__xludf.DUMMYFUNCTION("""COMPUTED_VALUE"""),9.0)</f>
        <v>9</v>
      </c>
      <c r="L194" s="88">
        <f>IFERROR(__xludf.DUMMYFUNCTION("""COMPUTED_VALUE"""),0.0)</f>
        <v>0</v>
      </c>
      <c r="M194" s="89">
        <f>IFERROR(__xludf.DUMMYFUNCTION("""COMPUTED_VALUE"""),148.0)</f>
        <v>148</v>
      </c>
      <c r="N194" s="89">
        <f>IFERROR(__xludf.DUMMYFUNCTION("""COMPUTED_VALUE"""),8.0)</f>
        <v>8</v>
      </c>
    </row>
    <row r="195">
      <c r="A195" s="11"/>
      <c r="B195" s="82" t="str">
        <f>IFERROR(__xludf.DUMMYFUNCTION("""COMPUTED_VALUE"""),"Peter Cheng")</f>
        <v>Peter Cheng</v>
      </c>
      <c r="C195" s="87">
        <f>IFERROR(__xludf.DUMMYFUNCTION("""COMPUTED_VALUE"""),138.0)</f>
        <v>138</v>
      </c>
      <c r="D195" s="87">
        <f>IFERROR(__xludf.DUMMYFUNCTION("""COMPUTED_VALUE"""),2.0)</f>
        <v>2</v>
      </c>
      <c r="E195" s="86">
        <f>IFERROR(__xludf.DUMMYFUNCTION("""COMPUTED_VALUE"""),5.0)</f>
        <v>5</v>
      </c>
      <c r="F195" s="88">
        <f>IFERROR(__xludf.DUMMYFUNCTION("""COMPUTED_VALUE"""),0.0)</f>
        <v>0</v>
      </c>
      <c r="G195" s="88">
        <f>IFERROR(__xludf.DUMMYFUNCTION("""COMPUTED_VALUE"""),13.0)</f>
        <v>13</v>
      </c>
      <c r="H195" s="88">
        <f>IFERROR(__xludf.DUMMYFUNCTION("""COMPUTED_VALUE"""),0.0)</f>
        <v>0</v>
      </c>
      <c r="I195" s="88">
        <f>IFERROR(__xludf.DUMMYFUNCTION("""COMPUTED_VALUE"""),0.0)</f>
        <v>0</v>
      </c>
      <c r="J195" s="88">
        <f>IFERROR(__xludf.DUMMYFUNCTION("""COMPUTED_VALUE"""),0.0)</f>
        <v>0</v>
      </c>
      <c r="K195" s="88">
        <f>IFERROR(__xludf.DUMMYFUNCTION("""COMPUTED_VALUE"""),13.0)</f>
        <v>13</v>
      </c>
      <c r="L195" s="88">
        <f>IFERROR(__xludf.DUMMYFUNCTION("""COMPUTED_VALUE"""),0.0)</f>
        <v>0</v>
      </c>
      <c r="M195" s="89">
        <f>IFERROR(__xludf.DUMMYFUNCTION("""COMPUTED_VALUE"""),151.0)</f>
        <v>151</v>
      </c>
      <c r="N195" s="89">
        <f>IFERROR(__xludf.DUMMYFUNCTION("""COMPUTED_VALUE"""),2.0)</f>
        <v>2</v>
      </c>
    </row>
    <row r="196">
      <c r="A196" s="11"/>
      <c r="B196" s="82" t="str">
        <f>IFERROR(__xludf.DUMMYFUNCTION("""COMPUTED_VALUE"""),"Mauricio Palacios")</f>
        <v>Mauricio Palacios</v>
      </c>
      <c r="C196" s="87">
        <f>IFERROR(__xludf.DUMMYFUNCTION("""COMPUTED_VALUE"""),134.0)</f>
        <v>134</v>
      </c>
      <c r="D196" s="87">
        <f>IFERROR(__xludf.DUMMYFUNCTION("""COMPUTED_VALUE"""),4.0)</f>
        <v>4</v>
      </c>
      <c r="E196" s="86">
        <f>IFERROR(__xludf.DUMMYFUNCTION("""COMPUTED_VALUE"""),3.0)</f>
        <v>3</v>
      </c>
      <c r="F196" s="88">
        <f>IFERROR(__xludf.DUMMYFUNCTION("""COMPUTED_VALUE"""),0.0)</f>
        <v>0</v>
      </c>
      <c r="G196" s="88">
        <f>IFERROR(__xludf.DUMMYFUNCTION("""COMPUTED_VALUE"""),9.0)</f>
        <v>9</v>
      </c>
      <c r="H196" s="88">
        <f>IFERROR(__xludf.DUMMYFUNCTION("""COMPUTED_VALUE"""),0.0)</f>
        <v>0</v>
      </c>
      <c r="I196" s="88">
        <f>IFERROR(__xludf.DUMMYFUNCTION("""COMPUTED_VALUE"""),0.0)</f>
        <v>0</v>
      </c>
      <c r="J196" s="88">
        <f>IFERROR(__xludf.DUMMYFUNCTION("""COMPUTED_VALUE"""),0.0)</f>
        <v>0</v>
      </c>
      <c r="K196" s="88">
        <f>IFERROR(__xludf.DUMMYFUNCTION("""COMPUTED_VALUE"""),9.0)</f>
        <v>9</v>
      </c>
      <c r="L196" s="88">
        <f>IFERROR(__xludf.DUMMYFUNCTION("""COMPUTED_VALUE"""),0.0)</f>
        <v>0</v>
      </c>
      <c r="M196" s="89">
        <f>IFERROR(__xludf.DUMMYFUNCTION("""COMPUTED_VALUE"""),143.0)</f>
        <v>143</v>
      </c>
      <c r="N196" s="89">
        <f>IFERROR(__xludf.DUMMYFUNCTION("""COMPUTED_VALUE"""),4.0)</f>
        <v>4</v>
      </c>
    </row>
    <row r="197">
      <c r="A197" s="11"/>
      <c r="B197" s="82" t="str">
        <f>IFERROR(__xludf.DUMMYFUNCTION("""COMPUTED_VALUE"""),"Vinaya Kajla")</f>
        <v>Vinaya Kajla</v>
      </c>
      <c r="C197" s="87">
        <f>IFERROR(__xludf.DUMMYFUNCTION("""COMPUTED_VALUE"""),133.0)</f>
        <v>133</v>
      </c>
      <c r="D197" s="87">
        <f>IFERROR(__xludf.DUMMYFUNCTION("""COMPUTED_VALUE"""),9.0)</f>
        <v>9</v>
      </c>
      <c r="E197" s="86">
        <f>IFERROR(__xludf.DUMMYFUNCTION("""COMPUTED_VALUE"""),3.0)</f>
        <v>3</v>
      </c>
      <c r="F197" s="88">
        <f>IFERROR(__xludf.DUMMYFUNCTION("""COMPUTED_VALUE"""),0.0)</f>
        <v>0</v>
      </c>
      <c r="G197" s="88">
        <f>IFERROR(__xludf.DUMMYFUNCTION("""COMPUTED_VALUE"""),9.0)</f>
        <v>9</v>
      </c>
      <c r="H197" s="88">
        <f>IFERROR(__xludf.DUMMYFUNCTION("""COMPUTED_VALUE"""),0.0)</f>
        <v>0</v>
      </c>
      <c r="I197" s="88">
        <f>IFERROR(__xludf.DUMMYFUNCTION("""COMPUTED_VALUE"""),0.0)</f>
        <v>0</v>
      </c>
      <c r="J197" s="88">
        <f>IFERROR(__xludf.DUMMYFUNCTION("""COMPUTED_VALUE"""),0.0)</f>
        <v>0</v>
      </c>
      <c r="K197" s="88">
        <f>IFERROR(__xludf.DUMMYFUNCTION("""COMPUTED_VALUE"""),9.0)</f>
        <v>9</v>
      </c>
      <c r="L197" s="88">
        <f>IFERROR(__xludf.DUMMYFUNCTION("""COMPUTED_VALUE"""),0.0)</f>
        <v>0</v>
      </c>
      <c r="M197" s="89">
        <f>IFERROR(__xludf.DUMMYFUNCTION("""COMPUTED_VALUE"""),142.0)</f>
        <v>142</v>
      </c>
      <c r="N197" s="89">
        <f>IFERROR(__xludf.DUMMYFUNCTION("""COMPUTED_VALUE"""),9.0)</f>
        <v>9</v>
      </c>
    </row>
    <row r="198">
      <c r="A198" s="11"/>
      <c r="B198" s="82" t="str">
        <f>IFERROR(__xludf.DUMMYFUNCTION("""COMPUTED_VALUE"""),"Susanta Mishra")</f>
        <v>Susanta Mishra</v>
      </c>
      <c r="C198" s="87">
        <f>IFERROR(__xludf.DUMMYFUNCTION("""COMPUTED_VALUE"""),133.0)</f>
        <v>133</v>
      </c>
      <c r="D198" s="87">
        <f>IFERROR(__xludf.DUMMYFUNCTION("""COMPUTED_VALUE"""),3.0)</f>
        <v>3</v>
      </c>
      <c r="E198" s="86">
        <f>IFERROR(__xludf.DUMMYFUNCTION("""COMPUTED_VALUE"""),3.0)</f>
        <v>3</v>
      </c>
      <c r="F198" s="88">
        <f>IFERROR(__xludf.DUMMYFUNCTION("""COMPUTED_VALUE"""),0.0)</f>
        <v>0</v>
      </c>
      <c r="G198" s="88">
        <f>IFERROR(__xludf.DUMMYFUNCTION("""COMPUTED_VALUE"""),9.0)</f>
        <v>9</v>
      </c>
      <c r="H198" s="88">
        <f>IFERROR(__xludf.DUMMYFUNCTION("""COMPUTED_VALUE"""),0.0)</f>
        <v>0</v>
      </c>
      <c r="I198" s="88">
        <f>IFERROR(__xludf.DUMMYFUNCTION("""COMPUTED_VALUE"""),0.0)</f>
        <v>0</v>
      </c>
      <c r="J198" s="88">
        <f>IFERROR(__xludf.DUMMYFUNCTION("""COMPUTED_VALUE"""),0.0)</f>
        <v>0</v>
      </c>
      <c r="K198" s="88">
        <f>IFERROR(__xludf.DUMMYFUNCTION("""COMPUTED_VALUE"""),9.0)</f>
        <v>9</v>
      </c>
      <c r="L198" s="88">
        <f>IFERROR(__xludf.DUMMYFUNCTION("""COMPUTED_VALUE"""),0.0)</f>
        <v>0</v>
      </c>
      <c r="M198" s="89">
        <f>IFERROR(__xludf.DUMMYFUNCTION("""COMPUTED_VALUE"""),142.0)</f>
        <v>142</v>
      </c>
      <c r="N198" s="89">
        <f>IFERROR(__xludf.DUMMYFUNCTION("""COMPUTED_VALUE"""),3.0)</f>
        <v>3</v>
      </c>
    </row>
    <row r="199">
      <c r="A199" s="11"/>
      <c r="B199" s="82" t="str">
        <f>IFERROR(__xludf.DUMMYFUNCTION("""COMPUTED_VALUE"""),"Trinath Goteti")</f>
        <v>Trinath Goteti</v>
      </c>
      <c r="C199" s="87">
        <f>IFERROR(__xludf.DUMMYFUNCTION("""COMPUTED_VALUE"""),130.0)</f>
        <v>130</v>
      </c>
      <c r="D199" s="87">
        <f>IFERROR(__xludf.DUMMYFUNCTION("""COMPUTED_VALUE"""),4.0)</f>
        <v>4</v>
      </c>
      <c r="E199" s="86">
        <f>IFERROR(__xludf.DUMMYFUNCTION("""COMPUTED_VALUE"""),3.0)</f>
        <v>3</v>
      </c>
      <c r="F199" s="88">
        <f>IFERROR(__xludf.DUMMYFUNCTION("""COMPUTED_VALUE"""),0.0)</f>
        <v>0</v>
      </c>
      <c r="G199" s="88">
        <f>IFERROR(__xludf.DUMMYFUNCTION("""COMPUTED_VALUE"""),9.0)</f>
        <v>9</v>
      </c>
      <c r="H199" s="88">
        <f>IFERROR(__xludf.DUMMYFUNCTION("""COMPUTED_VALUE"""),0.0)</f>
        <v>0</v>
      </c>
      <c r="I199" s="88">
        <f>IFERROR(__xludf.DUMMYFUNCTION("""COMPUTED_VALUE"""),0.0)</f>
        <v>0</v>
      </c>
      <c r="J199" s="88">
        <f>IFERROR(__xludf.DUMMYFUNCTION("""COMPUTED_VALUE"""),0.0)</f>
        <v>0</v>
      </c>
      <c r="K199" s="88">
        <f>IFERROR(__xludf.DUMMYFUNCTION("""COMPUTED_VALUE"""),9.0)</f>
        <v>9</v>
      </c>
      <c r="L199" s="88">
        <f>IFERROR(__xludf.DUMMYFUNCTION("""COMPUTED_VALUE"""),0.0)</f>
        <v>0</v>
      </c>
      <c r="M199" s="89">
        <f>IFERROR(__xludf.DUMMYFUNCTION("""COMPUTED_VALUE"""),139.0)</f>
        <v>139</v>
      </c>
      <c r="N199" s="89">
        <f>IFERROR(__xludf.DUMMYFUNCTION("""COMPUTED_VALUE"""),4.0)</f>
        <v>4</v>
      </c>
    </row>
    <row r="200">
      <c r="A200" s="11"/>
      <c r="B200" s="82" t="str">
        <f>IFERROR(__xludf.DUMMYFUNCTION("""COMPUTED_VALUE"""),"Nohely Mejia")</f>
        <v>Nohely Mejia</v>
      </c>
      <c r="C200" s="87">
        <f>IFERROR(__xludf.DUMMYFUNCTION("""COMPUTED_VALUE"""),127.0)</f>
        <v>127</v>
      </c>
      <c r="D200" s="87">
        <f>IFERROR(__xludf.DUMMYFUNCTION("""COMPUTED_VALUE"""),3.0)</f>
        <v>3</v>
      </c>
      <c r="E200" s="86">
        <f>IFERROR(__xludf.DUMMYFUNCTION("""COMPUTED_VALUE"""),3.0)</f>
        <v>3</v>
      </c>
      <c r="F200" s="88">
        <f>IFERROR(__xludf.DUMMYFUNCTION("""COMPUTED_VALUE"""),0.0)</f>
        <v>0</v>
      </c>
      <c r="G200" s="88">
        <f>IFERROR(__xludf.DUMMYFUNCTION("""COMPUTED_VALUE"""),9.0)</f>
        <v>9</v>
      </c>
      <c r="H200" s="88">
        <f>IFERROR(__xludf.DUMMYFUNCTION("""COMPUTED_VALUE"""),0.0)</f>
        <v>0</v>
      </c>
      <c r="I200" s="88">
        <f>IFERROR(__xludf.DUMMYFUNCTION("""COMPUTED_VALUE"""),0.0)</f>
        <v>0</v>
      </c>
      <c r="J200" s="88">
        <f>IFERROR(__xludf.DUMMYFUNCTION("""COMPUTED_VALUE"""),0.0)</f>
        <v>0</v>
      </c>
      <c r="K200" s="88">
        <f>IFERROR(__xludf.DUMMYFUNCTION("""COMPUTED_VALUE"""),9.0)</f>
        <v>9</v>
      </c>
      <c r="L200" s="88">
        <f>IFERROR(__xludf.DUMMYFUNCTION("""COMPUTED_VALUE"""),0.0)</f>
        <v>0</v>
      </c>
      <c r="M200" s="89">
        <f>IFERROR(__xludf.DUMMYFUNCTION("""COMPUTED_VALUE"""),136.0)</f>
        <v>136</v>
      </c>
      <c r="N200" s="89">
        <f>IFERROR(__xludf.DUMMYFUNCTION("""COMPUTED_VALUE"""),3.0)</f>
        <v>3</v>
      </c>
    </row>
    <row r="201">
      <c r="A201" s="11"/>
      <c r="B201" s="82" t="str">
        <f>IFERROR(__xludf.DUMMYFUNCTION("""COMPUTED_VALUE"""),"Eric Pan")</f>
        <v>Eric Pan</v>
      </c>
      <c r="C201" s="87">
        <f>IFERROR(__xludf.DUMMYFUNCTION("""COMPUTED_VALUE"""),126.0)</f>
        <v>126</v>
      </c>
      <c r="D201" s="87">
        <f>IFERROR(__xludf.DUMMYFUNCTION("""COMPUTED_VALUE"""),3.0)</f>
        <v>3</v>
      </c>
      <c r="E201" s="86">
        <f>IFERROR(__xludf.DUMMYFUNCTION("""COMPUTED_VALUE"""),3.0)</f>
        <v>3</v>
      </c>
      <c r="F201" s="88">
        <f>IFERROR(__xludf.DUMMYFUNCTION("""COMPUTED_VALUE"""),0.0)</f>
        <v>0</v>
      </c>
      <c r="G201" s="88">
        <f>IFERROR(__xludf.DUMMYFUNCTION("""COMPUTED_VALUE"""),9.0)</f>
        <v>9</v>
      </c>
      <c r="H201" s="88">
        <f>IFERROR(__xludf.DUMMYFUNCTION("""COMPUTED_VALUE"""),0.0)</f>
        <v>0</v>
      </c>
      <c r="I201" s="88">
        <f>IFERROR(__xludf.DUMMYFUNCTION("""COMPUTED_VALUE"""),0.0)</f>
        <v>0</v>
      </c>
      <c r="J201" s="88">
        <f>IFERROR(__xludf.DUMMYFUNCTION("""COMPUTED_VALUE"""),0.0)</f>
        <v>0</v>
      </c>
      <c r="K201" s="88">
        <f>IFERROR(__xludf.DUMMYFUNCTION("""COMPUTED_VALUE"""),9.0)</f>
        <v>9</v>
      </c>
      <c r="L201" s="88">
        <f>IFERROR(__xludf.DUMMYFUNCTION("""COMPUTED_VALUE"""),0.0)</f>
        <v>0</v>
      </c>
      <c r="M201" s="89">
        <f>IFERROR(__xludf.DUMMYFUNCTION("""COMPUTED_VALUE"""),135.0)</f>
        <v>135</v>
      </c>
      <c r="N201" s="89">
        <f>IFERROR(__xludf.DUMMYFUNCTION("""COMPUTED_VALUE"""),3.0)</f>
        <v>3</v>
      </c>
    </row>
    <row r="202">
      <c r="A202" s="11"/>
      <c r="B202" s="82" t="str">
        <f>IFERROR(__xludf.DUMMYFUNCTION("""COMPUTED_VALUE"""),"Vishnu Amarnath")</f>
        <v>Vishnu Amarnath</v>
      </c>
      <c r="C202" s="87">
        <f>IFERROR(__xludf.DUMMYFUNCTION("""COMPUTED_VALUE"""),126.0)</f>
        <v>126</v>
      </c>
      <c r="D202" s="87">
        <f>IFERROR(__xludf.DUMMYFUNCTION("""COMPUTED_VALUE"""),3.0)</f>
        <v>3</v>
      </c>
      <c r="E202" s="86">
        <f>IFERROR(__xludf.DUMMYFUNCTION("""COMPUTED_VALUE"""),3.0)</f>
        <v>3</v>
      </c>
      <c r="F202" s="88">
        <f>IFERROR(__xludf.DUMMYFUNCTION("""COMPUTED_VALUE"""),0.0)</f>
        <v>0</v>
      </c>
      <c r="G202" s="88">
        <f>IFERROR(__xludf.DUMMYFUNCTION("""COMPUTED_VALUE"""),9.0)</f>
        <v>9</v>
      </c>
      <c r="H202" s="88">
        <f>IFERROR(__xludf.DUMMYFUNCTION("""COMPUTED_VALUE"""),0.0)</f>
        <v>0</v>
      </c>
      <c r="I202" s="88">
        <f>IFERROR(__xludf.DUMMYFUNCTION("""COMPUTED_VALUE"""),0.0)</f>
        <v>0</v>
      </c>
      <c r="J202" s="88">
        <f>IFERROR(__xludf.DUMMYFUNCTION("""COMPUTED_VALUE"""),0.0)</f>
        <v>0</v>
      </c>
      <c r="K202" s="88">
        <f>IFERROR(__xludf.DUMMYFUNCTION("""COMPUTED_VALUE"""),9.0)</f>
        <v>9</v>
      </c>
      <c r="L202" s="88">
        <f>IFERROR(__xludf.DUMMYFUNCTION("""COMPUTED_VALUE"""),0.0)</f>
        <v>0</v>
      </c>
      <c r="M202" s="89">
        <f>IFERROR(__xludf.DUMMYFUNCTION("""COMPUTED_VALUE"""),135.0)</f>
        <v>135</v>
      </c>
      <c r="N202" s="89">
        <f>IFERROR(__xludf.DUMMYFUNCTION("""COMPUTED_VALUE"""),3.0)</f>
        <v>3</v>
      </c>
    </row>
    <row r="203">
      <c r="A203" s="11"/>
      <c r="B203" s="82" t="str">
        <f>IFERROR(__xludf.DUMMYFUNCTION("""COMPUTED_VALUE"""),"Manish Anand")</f>
        <v>Manish Anand</v>
      </c>
      <c r="C203" s="87">
        <f>IFERROR(__xludf.DUMMYFUNCTION("""COMPUTED_VALUE"""),126.0)</f>
        <v>126</v>
      </c>
      <c r="D203" s="87">
        <f>IFERROR(__xludf.DUMMYFUNCTION("""COMPUTED_VALUE"""),3.0)</f>
        <v>3</v>
      </c>
      <c r="E203" s="86">
        <f>IFERROR(__xludf.DUMMYFUNCTION("""COMPUTED_VALUE"""),4.0)</f>
        <v>4</v>
      </c>
      <c r="F203" s="88">
        <f>IFERROR(__xludf.DUMMYFUNCTION("""COMPUTED_VALUE"""),0.0)</f>
        <v>0</v>
      </c>
      <c r="G203" s="88">
        <f>IFERROR(__xludf.DUMMYFUNCTION("""COMPUTED_VALUE"""),9.0)</f>
        <v>9</v>
      </c>
      <c r="H203" s="88">
        <f>IFERROR(__xludf.DUMMYFUNCTION("""COMPUTED_VALUE"""),0.0)</f>
        <v>0</v>
      </c>
      <c r="I203" s="88">
        <f>IFERROR(__xludf.DUMMYFUNCTION("""COMPUTED_VALUE"""),0.0)</f>
        <v>0</v>
      </c>
      <c r="J203" s="88">
        <f>IFERROR(__xludf.DUMMYFUNCTION("""COMPUTED_VALUE"""),0.0)</f>
        <v>0</v>
      </c>
      <c r="K203" s="88">
        <f>IFERROR(__xludf.DUMMYFUNCTION("""COMPUTED_VALUE"""),9.0)</f>
        <v>9</v>
      </c>
      <c r="L203" s="88">
        <f>IFERROR(__xludf.DUMMYFUNCTION("""COMPUTED_VALUE"""),0.0)</f>
        <v>0</v>
      </c>
      <c r="M203" s="89">
        <f>IFERROR(__xludf.DUMMYFUNCTION("""COMPUTED_VALUE"""),135.0)</f>
        <v>135</v>
      </c>
      <c r="N203" s="89">
        <f>IFERROR(__xludf.DUMMYFUNCTION("""COMPUTED_VALUE"""),3.0)</f>
        <v>3</v>
      </c>
    </row>
    <row r="204">
      <c r="A204" s="11"/>
      <c r="B204" s="82" t="str">
        <f>IFERROR(__xludf.DUMMYFUNCTION("""COMPUTED_VALUE"""),"Leigh-Anh Nguyen")</f>
        <v>Leigh-Anh Nguyen</v>
      </c>
      <c r="C204" s="87">
        <f>IFERROR(__xludf.DUMMYFUNCTION("""COMPUTED_VALUE"""),122.0)</f>
        <v>122</v>
      </c>
      <c r="D204" s="87">
        <f>IFERROR(__xludf.DUMMYFUNCTION("""COMPUTED_VALUE"""),4.0)</f>
        <v>4</v>
      </c>
      <c r="E204" s="86">
        <f>IFERROR(__xludf.DUMMYFUNCTION("""COMPUTED_VALUE"""),3.0)</f>
        <v>3</v>
      </c>
      <c r="F204" s="88">
        <f>IFERROR(__xludf.DUMMYFUNCTION("""COMPUTED_VALUE"""),0.0)</f>
        <v>0</v>
      </c>
      <c r="G204" s="88">
        <f>IFERROR(__xludf.DUMMYFUNCTION("""COMPUTED_VALUE"""),9.0)</f>
        <v>9</v>
      </c>
      <c r="H204" s="88">
        <f>IFERROR(__xludf.DUMMYFUNCTION("""COMPUTED_VALUE"""),0.0)</f>
        <v>0</v>
      </c>
      <c r="I204" s="88">
        <f>IFERROR(__xludf.DUMMYFUNCTION("""COMPUTED_VALUE"""),0.0)</f>
        <v>0</v>
      </c>
      <c r="J204" s="88">
        <f>IFERROR(__xludf.DUMMYFUNCTION("""COMPUTED_VALUE"""),0.0)</f>
        <v>0</v>
      </c>
      <c r="K204" s="88">
        <f>IFERROR(__xludf.DUMMYFUNCTION("""COMPUTED_VALUE"""),9.0)</f>
        <v>9</v>
      </c>
      <c r="L204" s="88">
        <f>IFERROR(__xludf.DUMMYFUNCTION("""COMPUTED_VALUE"""),0.0)</f>
        <v>0</v>
      </c>
      <c r="M204" s="89">
        <f>IFERROR(__xludf.DUMMYFUNCTION("""COMPUTED_VALUE"""),131.0)</f>
        <v>131</v>
      </c>
      <c r="N204" s="89">
        <f>IFERROR(__xludf.DUMMYFUNCTION("""COMPUTED_VALUE"""),4.0)</f>
        <v>4</v>
      </c>
    </row>
    <row r="205">
      <c r="A205" s="11"/>
      <c r="B205" s="82" t="str">
        <f>IFERROR(__xludf.DUMMYFUNCTION("""COMPUTED_VALUE"""),"Peter Homsey")</f>
        <v>Peter Homsey</v>
      </c>
      <c r="C205" s="87">
        <f>IFERROR(__xludf.DUMMYFUNCTION("""COMPUTED_VALUE"""),121.0)</f>
        <v>121</v>
      </c>
      <c r="D205" s="87">
        <f>IFERROR(__xludf.DUMMYFUNCTION("""COMPUTED_VALUE"""),0.0)</f>
        <v>0</v>
      </c>
      <c r="E205" s="86">
        <f>IFERROR(__xludf.DUMMYFUNCTION("""COMPUTED_VALUE"""),3.0)</f>
        <v>3</v>
      </c>
      <c r="F205" s="88">
        <f>IFERROR(__xludf.DUMMYFUNCTION("""COMPUTED_VALUE"""),0.0)</f>
        <v>0</v>
      </c>
      <c r="G205" s="88">
        <f>IFERROR(__xludf.DUMMYFUNCTION("""COMPUTED_VALUE"""),9.0)</f>
        <v>9</v>
      </c>
      <c r="H205" s="88">
        <f>IFERROR(__xludf.DUMMYFUNCTION("""COMPUTED_VALUE"""),0.0)</f>
        <v>0</v>
      </c>
      <c r="I205" s="88">
        <f>IFERROR(__xludf.DUMMYFUNCTION("""COMPUTED_VALUE"""),0.0)</f>
        <v>0</v>
      </c>
      <c r="J205" s="88">
        <f>IFERROR(__xludf.DUMMYFUNCTION("""COMPUTED_VALUE"""),0.0)</f>
        <v>0</v>
      </c>
      <c r="K205" s="88">
        <f>IFERROR(__xludf.DUMMYFUNCTION("""COMPUTED_VALUE"""),9.0)</f>
        <v>9</v>
      </c>
      <c r="L205" s="88">
        <f>IFERROR(__xludf.DUMMYFUNCTION("""COMPUTED_VALUE"""),0.0)</f>
        <v>0</v>
      </c>
      <c r="M205" s="89">
        <f>IFERROR(__xludf.DUMMYFUNCTION("""COMPUTED_VALUE"""),130.0)</f>
        <v>130</v>
      </c>
      <c r="N205" s="89">
        <f>IFERROR(__xludf.DUMMYFUNCTION("""COMPUTED_VALUE"""),0.0)</f>
        <v>0</v>
      </c>
    </row>
    <row r="206">
      <c r="A206" s="11"/>
      <c r="B206" s="82" t="str">
        <f>IFERROR(__xludf.DUMMYFUNCTION("""COMPUTED_VALUE"""),"Amit Patel")</f>
        <v>Amit Patel</v>
      </c>
      <c r="C206" s="86">
        <f>IFERROR(__xludf.DUMMYFUNCTION("""COMPUTED_VALUE"""),121.0)</f>
        <v>121</v>
      </c>
      <c r="D206" s="87">
        <f>IFERROR(__xludf.DUMMYFUNCTION("""COMPUTED_VALUE"""),0.0)</f>
        <v>0</v>
      </c>
      <c r="E206" s="86">
        <f>IFERROR(__xludf.DUMMYFUNCTION("""COMPUTED_VALUE"""),3.0)</f>
        <v>3</v>
      </c>
      <c r="F206" s="88">
        <f>IFERROR(__xludf.DUMMYFUNCTION("""COMPUTED_VALUE"""),0.0)</f>
        <v>0</v>
      </c>
      <c r="G206" s="88">
        <f>IFERROR(__xludf.DUMMYFUNCTION("""COMPUTED_VALUE"""),9.0)</f>
        <v>9</v>
      </c>
      <c r="H206" s="88">
        <f>IFERROR(__xludf.DUMMYFUNCTION("""COMPUTED_VALUE"""),0.0)</f>
        <v>0</v>
      </c>
      <c r="I206" s="88">
        <f>IFERROR(__xludf.DUMMYFUNCTION("""COMPUTED_VALUE"""),0.0)</f>
        <v>0</v>
      </c>
      <c r="J206" s="88">
        <f>IFERROR(__xludf.DUMMYFUNCTION("""COMPUTED_VALUE"""),0.0)</f>
        <v>0</v>
      </c>
      <c r="K206" s="88">
        <f>IFERROR(__xludf.DUMMYFUNCTION("""COMPUTED_VALUE"""),9.0)</f>
        <v>9</v>
      </c>
      <c r="L206" s="88">
        <f>IFERROR(__xludf.DUMMYFUNCTION("""COMPUTED_VALUE"""),0.0)</f>
        <v>0</v>
      </c>
      <c r="M206" s="88">
        <f>IFERROR(__xludf.DUMMYFUNCTION("""COMPUTED_VALUE"""),130.0)</f>
        <v>130</v>
      </c>
      <c r="N206" s="89">
        <f>IFERROR(__xludf.DUMMYFUNCTION("""COMPUTED_VALUE"""),0.0)</f>
        <v>0</v>
      </c>
    </row>
    <row r="207">
      <c r="A207" s="11"/>
      <c r="B207" s="82" t="str">
        <f>IFERROR(__xludf.DUMMYFUNCTION("""COMPUTED_VALUE"""),"Joyce Zhu")</f>
        <v>Joyce Zhu</v>
      </c>
      <c r="C207" s="86">
        <f>IFERROR(__xludf.DUMMYFUNCTION("""COMPUTED_VALUE"""),114.0)</f>
        <v>114</v>
      </c>
      <c r="D207" s="87">
        <f>IFERROR(__xludf.DUMMYFUNCTION("""COMPUTED_VALUE"""),6.0)</f>
        <v>6</v>
      </c>
      <c r="E207" s="86">
        <f>IFERROR(__xludf.DUMMYFUNCTION("""COMPUTED_VALUE"""),3.0)</f>
        <v>3</v>
      </c>
      <c r="F207" s="88">
        <f>IFERROR(__xludf.DUMMYFUNCTION("""COMPUTED_VALUE"""),0.0)</f>
        <v>0</v>
      </c>
      <c r="G207" s="88">
        <f>IFERROR(__xludf.DUMMYFUNCTION("""COMPUTED_VALUE"""),9.0)</f>
        <v>9</v>
      </c>
      <c r="H207" s="88">
        <f>IFERROR(__xludf.DUMMYFUNCTION("""COMPUTED_VALUE"""),0.0)</f>
        <v>0</v>
      </c>
      <c r="I207" s="88">
        <f>IFERROR(__xludf.DUMMYFUNCTION("""COMPUTED_VALUE"""),0.0)</f>
        <v>0</v>
      </c>
      <c r="J207" s="88">
        <f>IFERROR(__xludf.DUMMYFUNCTION("""COMPUTED_VALUE"""),0.0)</f>
        <v>0</v>
      </c>
      <c r="K207" s="88">
        <f>IFERROR(__xludf.DUMMYFUNCTION("""COMPUTED_VALUE"""),9.0)</f>
        <v>9</v>
      </c>
      <c r="L207" s="88">
        <f>IFERROR(__xludf.DUMMYFUNCTION("""COMPUTED_VALUE"""),0.0)</f>
        <v>0</v>
      </c>
      <c r="M207" s="88">
        <f>IFERROR(__xludf.DUMMYFUNCTION("""COMPUTED_VALUE"""),123.0)</f>
        <v>123</v>
      </c>
      <c r="N207" s="89">
        <f>IFERROR(__xludf.DUMMYFUNCTION("""COMPUTED_VALUE"""),6.0)</f>
        <v>6</v>
      </c>
    </row>
    <row r="208">
      <c r="A208" s="11"/>
      <c r="B208" s="82" t="str">
        <f>IFERROR(__xludf.DUMMYFUNCTION("""COMPUTED_VALUE"""),"Jose Ortiz")</f>
        <v>Jose Ortiz</v>
      </c>
      <c r="C208" s="86">
        <f>IFERROR(__xludf.DUMMYFUNCTION("""COMPUTED_VALUE"""),108.0)</f>
        <v>108</v>
      </c>
      <c r="D208" s="87">
        <f>IFERROR(__xludf.DUMMYFUNCTION("""COMPUTED_VALUE"""),0.0)</f>
        <v>0</v>
      </c>
      <c r="E208" s="86">
        <f>IFERROR(__xludf.DUMMYFUNCTION("""COMPUTED_VALUE"""),3.0)</f>
        <v>3</v>
      </c>
      <c r="F208" s="88">
        <f>IFERROR(__xludf.DUMMYFUNCTION("""COMPUTED_VALUE"""),0.0)</f>
        <v>0</v>
      </c>
      <c r="G208" s="88">
        <f>IFERROR(__xludf.DUMMYFUNCTION("""COMPUTED_VALUE"""),9.0)</f>
        <v>9</v>
      </c>
      <c r="H208" s="88">
        <f>IFERROR(__xludf.DUMMYFUNCTION("""COMPUTED_VALUE"""),0.0)</f>
        <v>0</v>
      </c>
      <c r="I208" s="88">
        <f>IFERROR(__xludf.DUMMYFUNCTION("""COMPUTED_VALUE"""),0.0)</f>
        <v>0</v>
      </c>
      <c r="J208" s="88">
        <f>IFERROR(__xludf.DUMMYFUNCTION("""COMPUTED_VALUE"""),0.0)</f>
        <v>0</v>
      </c>
      <c r="K208" s="88">
        <f>IFERROR(__xludf.DUMMYFUNCTION("""COMPUTED_VALUE"""),9.0)</f>
        <v>9</v>
      </c>
      <c r="L208" s="88">
        <f>IFERROR(__xludf.DUMMYFUNCTION("""COMPUTED_VALUE"""),0.0)</f>
        <v>0</v>
      </c>
      <c r="M208" s="88">
        <f>IFERROR(__xludf.DUMMYFUNCTION("""COMPUTED_VALUE"""),117.0)</f>
        <v>117</v>
      </c>
      <c r="N208" s="89">
        <f>IFERROR(__xludf.DUMMYFUNCTION("""COMPUTED_VALUE"""),0.0)</f>
        <v>0</v>
      </c>
    </row>
    <row r="209">
      <c r="A209" s="11"/>
      <c r="B209" s="82"/>
      <c r="C209" s="86"/>
      <c r="D209" s="87"/>
      <c r="E209" s="86"/>
      <c r="F209" s="88"/>
      <c r="G209" s="88"/>
      <c r="H209" s="88"/>
      <c r="I209" s="88"/>
      <c r="J209" s="88"/>
      <c r="K209" s="88"/>
      <c r="L209" s="88"/>
      <c r="M209" s="88"/>
      <c r="N209" s="89"/>
    </row>
    <row r="210">
      <c r="A210" s="11"/>
      <c r="B210" s="82"/>
      <c r="C210" s="86"/>
      <c r="D210" s="87"/>
      <c r="E210" s="86"/>
      <c r="F210" s="88"/>
      <c r="G210" s="88"/>
      <c r="H210" s="88"/>
      <c r="I210" s="88"/>
      <c r="J210" s="88"/>
      <c r="K210" s="88"/>
      <c r="L210" s="88"/>
      <c r="M210" s="88"/>
      <c r="N210" s="89"/>
    </row>
    <row r="211">
      <c r="A211" s="11"/>
      <c r="B211" s="82"/>
      <c r="C211" s="86"/>
      <c r="D211" s="87"/>
      <c r="E211" s="86"/>
      <c r="F211" s="88"/>
      <c r="G211" s="88"/>
      <c r="H211" s="88"/>
      <c r="I211" s="88"/>
      <c r="J211" s="88"/>
      <c r="K211" s="88"/>
      <c r="L211" s="88"/>
      <c r="M211" s="88"/>
      <c r="N211" s="89"/>
    </row>
    <row r="212">
      <c r="A212" s="11"/>
      <c r="B212" s="82"/>
      <c r="C212" s="86"/>
      <c r="D212" s="87"/>
      <c r="E212" s="86"/>
      <c r="F212" s="88"/>
      <c r="G212" s="88"/>
      <c r="H212" s="88"/>
      <c r="I212" s="88"/>
      <c r="J212" s="88"/>
      <c r="K212" s="88"/>
      <c r="L212" s="88"/>
      <c r="M212" s="88"/>
      <c r="N212" s="89"/>
    </row>
    <row r="213">
      <c r="A213" s="11"/>
      <c r="B213" s="82"/>
      <c r="C213" s="86"/>
      <c r="D213" s="87"/>
      <c r="E213" s="86"/>
      <c r="F213" s="88"/>
      <c r="G213" s="88"/>
      <c r="H213" s="88"/>
      <c r="I213" s="88"/>
      <c r="J213" s="88"/>
      <c r="K213" s="88"/>
      <c r="L213" s="88"/>
      <c r="M213" s="88"/>
      <c r="N213" s="89"/>
    </row>
    <row r="214">
      <c r="A214" s="11"/>
      <c r="B214" s="82"/>
      <c r="C214" s="86"/>
      <c r="D214" s="87"/>
      <c r="E214" s="86"/>
      <c r="F214" s="88"/>
      <c r="G214" s="88"/>
      <c r="H214" s="88"/>
      <c r="I214" s="88"/>
      <c r="J214" s="88"/>
      <c r="K214" s="88"/>
      <c r="L214" s="88"/>
      <c r="M214" s="88"/>
      <c r="N214" s="89"/>
    </row>
    <row r="215">
      <c r="A215" s="11"/>
      <c r="B215" s="82"/>
      <c r="C215" s="86"/>
      <c r="D215" s="87"/>
      <c r="E215" s="86"/>
      <c r="F215" s="88"/>
      <c r="G215" s="88"/>
      <c r="H215" s="88"/>
      <c r="I215" s="88"/>
      <c r="J215" s="88"/>
      <c r="K215" s="88"/>
      <c r="L215" s="88"/>
      <c r="M215" s="88"/>
      <c r="N215" s="89"/>
    </row>
    <row r="216">
      <c r="A216" s="11"/>
      <c r="B216" s="82"/>
      <c r="C216" s="86"/>
      <c r="D216" s="87"/>
      <c r="E216" s="86"/>
      <c r="F216" s="88"/>
      <c r="G216" s="88"/>
      <c r="H216" s="88"/>
      <c r="I216" s="88"/>
      <c r="J216" s="88"/>
      <c r="K216" s="88"/>
      <c r="L216" s="88"/>
      <c r="M216" s="88"/>
      <c r="N216" s="89"/>
    </row>
    <row r="217">
      <c r="A217" s="11"/>
      <c r="B217" s="82"/>
      <c r="C217" s="86"/>
      <c r="D217" s="87"/>
      <c r="E217" s="86"/>
      <c r="F217" s="88"/>
      <c r="G217" s="88"/>
      <c r="H217" s="88"/>
      <c r="I217" s="88"/>
      <c r="J217" s="88"/>
      <c r="K217" s="88"/>
      <c r="L217" s="88"/>
      <c r="M217" s="88"/>
      <c r="N217" s="89"/>
    </row>
    <row r="218">
      <c r="A218" s="11"/>
      <c r="B218" s="82"/>
      <c r="C218" s="86"/>
      <c r="D218" s="87"/>
      <c r="E218" s="86"/>
      <c r="F218" s="88"/>
      <c r="G218" s="88"/>
      <c r="H218" s="88"/>
      <c r="I218" s="88"/>
      <c r="J218" s="88"/>
      <c r="K218" s="88"/>
      <c r="L218" s="88"/>
      <c r="M218" s="88"/>
      <c r="N218" s="89"/>
    </row>
    <row r="219">
      <c r="A219" s="11"/>
      <c r="B219" s="82"/>
      <c r="C219" s="86"/>
      <c r="D219" s="87"/>
      <c r="E219" s="86"/>
      <c r="F219" s="88"/>
      <c r="G219" s="88"/>
      <c r="H219" s="88"/>
      <c r="I219" s="88"/>
      <c r="J219" s="88"/>
      <c r="K219" s="88"/>
      <c r="L219" s="88"/>
      <c r="M219" s="88"/>
      <c r="N219" s="89"/>
    </row>
    <row r="220">
      <c r="A220" s="11"/>
      <c r="B220" s="82"/>
      <c r="C220" s="86"/>
      <c r="D220" s="87"/>
      <c r="E220" s="86"/>
      <c r="F220" s="88"/>
      <c r="G220" s="88"/>
      <c r="H220" s="88"/>
      <c r="I220" s="88"/>
      <c r="J220" s="88"/>
      <c r="K220" s="88"/>
      <c r="L220" s="88"/>
      <c r="M220" s="88"/>
      <c r="N220" s="89"/>
    </row>
    <row r="221">
      <c r="A221" s="11"/>
      <c r="B221" s="82"/>
      <c r="C221" s="86"/>
      <c r="D221" s="87"/>
      <c r="E221" s="86"/>
      <c r="F221" s="88"/>
      <c r="G221" s="88"/>
      <c r="H221" s="88"/>
      <c r="I221" s="88"/>
      <c r="J221" s="88"/>
      <c r="K221" s="88"/>
      <c r="L221" s="88"/>
      <c r="M221" s="88"/>
      <c r="N221" s="89"/>
    </row>
    <row r="222">
      <c r="A222" s="11"/>
      <c r="B222" s="82"/>
      <c r="C222" s="86"/>
      <c r="D222" s="87"/>
      <c r="E222" s="86"/>
      <c r="F222" s="88"/>
      <c r="G222" s="88"/>
      <c r="H222" s="88"/>
      <c r="I222" s="88"/>
      <c r="J222" s="88"/>
      <c r="K222" s="88"/>
      <c r="L222" s="88"/>
      <c r="M222" s="88"/>
      <c r="N222" s="89"/>
    </row>
    <row r="223">
      <c r="A223" s="11"/>
      <c r="B223" s="82"/>
      <c r="C223" s="86"/>
      <c r="D223" s="87"/>
      <c r="E223" s="86"/>
      <c r="F223" s="88"/>
      <c r="G223" s="88"/>
      <c r="H223" s="88"/>
      <c r="I223" s="88"/>
      <c r="J223" s="88"/>
      <c r="K223" s="88"/>
      <c r="L223" s="88"/>
      <c r="M223" s="88"/>
      <c r="N223" s="89"/>
    </row>
    <row r="224">
      <c r="A224" s="11"/>
      <c r="B224" s="82"/>
      <c r="C224" s="86"/>
      <c r="D224" s="87"/>
      <c r="E224" s="86"/>
      <c r="F224" s="88"/>
      <c r="G224" s="88"/>
      <c r="H224" s="88"/>
      <c r="I224" s="88"/>
      <c r="J224" s="88"/>
      <c r="K224" s="88"/>
      <c r="L224" s="88"/>
      <c r="M224" s="88"/>
      <c r="N224" s="89"/>
    </row>
    <row r="225">
      <c r="A225" s="11"/>
      <c r="B225" s="82"/>
      <c r="C225" s="86"/>
      <c r="D225" s="87"/>
      <c r="E225" s="86"/>
      <c r="F225" s="88"/>
      <c r="G225" s="88"/>
      <c r="H225" s="88"/>
      <c r="I225" s="88"/>
      <c r="J225" s="88"/>
      <c r="K225" s="88"/>
      <c r="L225" s="88"/>
      <c r="M225" s="88"/>
      <c r="N225" s="89"/>
    </row>
    <row r="226">
      <c r="A226" s="11"/>
      <c r="B226" s="82"/>
      <c r="C226" s="86"/>
      <c r="D226" s="87"/>
      <c r="E226" s="86"/>
      <c r="F226" s="88"/>
      <c r="G226" s="88"/>
      <c r="H226" s="88"/>
      <c r="I226" s="88"/>
      <c r="J226" s="88"/>
      <c r="K226" s="88"/>
      <c r="L226" s="88"/>
      <c r="M226" s="88"/>
      <c r="N226" s="89"/>
    </row>
    <row r="227">
      <c r="A227" s="11"/>
      <c r="B227" s="82"/>
      <c r="C227" s="86"/>
      <c r="D227" s="87"/>
      <c r="E227" s="86"/>
      <c r="F227" s="88"/>
      <c r="G227" s="88"/>
      <c r="H227" s="88"/>
      <c r="I227" s="88"/>
      <c r="J227" s="88"/>
      <c r="K227" s="88"/>
      <c r="L227" s="88"/>
      <c r="M227" s="88"/>
      <c r="N227" s="89"/>
    </row>
    <row r="228">
      <c r="A228" s="11"/>
      <c r="B228" s="82"/>
      <c r="C228" s="86"/>
      <c r="D228" s="87"/>
      <c r="E228" s="86"/>
      <c r="F228" s="88"/>
      <c r="G228" s="88"/>
      <c r="H228" s="88"/>
      <c r="I228" s="88"/>
      <c r="J228" s="88"/>
      <c r="K228" s="88"/>
      <c r="L228" s="88"/>
      <c r="M228" s="88"/>
      <c r="N228" s="89"/>
    </row>
    <row r="229">
      <c r="A229" s="11"/>
      <c r="B229" s="82"/>
      <c r="C229" s="86"/>
      <c r="D229" s="87"/>
      <c r="E229" s="86"/>
      <c r="F229" s="88"/>
      <c r="G229" s="88"/>
      <c r="H229" s="88"/>
      <c r="I229" s="88"/>
      <c r="J229" s="88"/>
      <c r="K229" s="88"/>
      <c r="L229" s="88"/>
      <c r="M229" s="88"/>
      <c r="N229" s="89"/>
    </row>
    <row r="230">
      <c r="A230" s="11"/>
      <c r="B230" s="82"/>
      <c r="C230" s="86"/>
      <c r="D230" s="87"/>
      <c r="E230" s="86"/>
      <c r="F230" s="88"/>
      <c r="G230" s="88"/>
      <c r="H230" s="88"/>
      <c r="I230" s="88"/>
      <c r="J230" s="88"/>
      <c r="K230" s="88"/>
      <c r="L230" s="88"/>
      <c r="M230" s="88"/>
      <c r="N230" s="89"/>
    </row>
    <row r="231">
      <c r="A231" s="11"/>
      <c r="B231" s="82"/>
      <c r="C231" s="86"/>
      <c r="D231" s="87"/>
      <c r="E231" s="86"/>
      <c r="F231" s="88"/>
      <c r="G231" s="88"/>
      <c r="H231" s="88"/>
      <c r="I231" s="88"/>
      <c r="J231" s="88"/>
      <c r="K231" s="88"/>
      <c r="L231" s="88"/>
      <c r="M231" s="88"/>
      <c r="N231" s="89"/>
    </row>
    <row r="232">
      <c r="A232" s="11"/>
      <c r="B232" s="82"/>
      <c r="C232" s="86"/>
      <c r="D232" s="87"/>
      <c r="E232" s="86"/>
      <c r="F232" s="88"/>
      <c r="G232" s="88"/>
      <c r="H232" s="88"/>
      <c r="I232" s="88"/>
      <c r="J232" s="88"/>
      <c r="K232" s="88"/>
      <c r="L232" s="88"/>
      <c r="M232" s="88"/>
      <c r="N232" s="89"/>
    </row>
    <row r="233">
      <c r="A233" s="11"/>
      <c r="B233" s="82"/>
      <c r="C233" s="86"/>
      <c r="D233" s="87"/>
      <c r="E233" s="86"/>
      <c r="F233" s="88"/>
      <c r="G233" s="88"/>
      <c r="H233" s="88"/>
      <c r="I233" s="88"/>
      <c r="J233" s="88"/>
      <c r="K233" s="88"/>
      <c r="L233" s="88"/>
      <c r="M233" s="88"/>
      <c r="N233" s="89"/>
    </row>
    <row r="234">
      <c r="A234" s="11"/>
      <c r="B234" s="82"/>
      <c r="C234" s="86"/>
      <c r="D234" s="87"/>
      <c r="E234" s="86"/>
      <c r="F234" s="88"/>
      <c r="G234" s="88"/>
      <c r="H234" s="88"/>
      <c r="I234" s="88"/>
      <c r="J234" s="88"/>
      <c r="K234" s="88"/>
      <c r="L234" s="88"/>
      <c r="M234" s="88"/>
      <c r="N234" s="89"/>
    </row>
    <row r="235">
      <c r="A235" s="11"/>
      <c r="B235" s="82"/>
      <c r="C235" s="86"/>
      <c r="D235" s="87"/>
      <c r="E235" s="86"/>
      <c r="F235" s="88"/>
      <c r="G235" s="88"/>
      <c r="H235" s="88"/>
      <c r="I235" s="88"/>
      <c r="J235" s="88"/>
      <c r="K235" s="88"/>
      <c r="L235" s="88"/>
      <c r="M235" s="88"/>
      <c r="N235" s="89"/>
    </row>
    <row r="236">
      <c r="A236" s="11"/>
      <c r="B236" s="82"/>
      <c r="C236" s="86"/>
      <c r="D236" s="87"/>
      <c r="E236" s="86"/>
      <c r="F236" s="88"/>
      <c r="G236" s="88"/>
      <c r="H236" s="88"/>
      <c r="I236" s="88"/>
      <c r="J236" s="88"/>
      <c r="K236" s="88"/>
      <c r="L236" s="88"/>
      <c r="M236" s="88"/>
      <c r="N236" s="89"/>
    </row>
    <row r="237">
      <c r="A237" s="11"/>
      <c r="B237" s="82"/>
      <c r="C237" s="86"/>
      <c r="D237" s="87"/>
      <c r="E237" s="86"/>
      <c r="F237" s="88"/>
      <c r="G237" s="88"/>
      <c r="H237" s="88"/>
      <c r="I237" s="88"/>
      <c r="J237" s="88"/>
      <c r="K237" s="88"/>
      <c r="L237" s="88"/>
      <c r="M237" s="88"/>
      <c r="N237" s="89"/>
    </row>
    <row r="238">
      <c r="A238" s="11"/>
      <c r="B238" s="82"/>
      <c r="C238" s="86"/>
      <c r="D238" s="87"/>
      <c r="E238" s="86"/>
      <c r="F238" s="88"/>
      <c r="G238" s="88"/>
      <c r="H238" s="88"/>
      <c r="I238" s="88"/>
      <c r="J238" s="88"/>
      <c r="K238" s="88"/>
      <c r="L238" s="88"/>
      <c r="M238" s="88"/>
      <c r="N238" s="89"/>
    </row>
    <row r="239">
      <c r="A239" s="11"/>
      <c r="B239" s="82"/>
      <c r="C239" s="86"/>
      <c r="D239" s="87"/>
      <c r="E239" s="86"/>
      <c r="F239" s="88"/>
      <c r="G239" s="88"/>
      <c r="H239" s="88"/>
      <c r="I239" s="88"/>
      <c r="J239" s="88"/>
      <c r="K239" s="88"/>
      <c r="L239" s="88"/>
      <c r="M239" s="88"/>
      <c r="N239" s="89"/>
    </row>
    <row r="240">
      <c r="A240" s="11"/>
      <c r="C240" s="11"/>
      <c r="D240" s="11"/>
      <c r="E240" s="11"/>
    </row>
    <row r="241">
      <c r="A241" s="11"/>
      <c r="C241" s="11"/>
      <c r="D241" s="11"/>
      <c r="E241" s="11"/>
    </row>
    <row r="242">
      <c r="A242" s="11"/>
      <c r="C242" s="11"/>
      <c r="D242" s="11"/>
      <c r="E242" s="11"/>
    </row>
    <row r="243">
      <c r="A243" s="11"/>
      <c r="C243" s="11"/>
      <c r="D243" s="11"/>
      <c r="E243" s="11"/>
    </row>
    <row r="244">
      <c r="A244" s="11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B261" s="90" t="s">
        <v>167</v>
      </c>
      <c r="C261" s="11"/>
      <c r="D261" s="11"/>
      <c r="E261" s="11"/>
      <c r="U261" s="90" t="s">
        <v>168</v>
      </c>
    </row>
    <row r="262">
      <c r="A262" s="49">
        <v>1.0</v>
      </c>
      <c r="B262" s="82" t="str">
        <f>IFERROR(__xludf.DUMMYFUNCTION("QUERY(B5:Q70, ""Select B   where Q is null"")"),"#N/A")</f>
        <v>#N/A</v>
      </c>
      <c r="C262" s="11"/>
      <c r="D262" s="11"/>
      <c r="E262" s="11"/>
      <c r="T262" s="49">
        <v>1.0</v>
      </c>
      <c r="U262" s="17" t="str">
        <f>IFERROR(__xludf.DUMMYFUNCTION("QUERY(B5:Q70, ""Select B   where Q = 'N' "")"),"#N/A")</f>
        <v>#N/A</v>
      </c>
    </row>
    <row r="263">
      <c r="A263" s="11">
        <f t="shared" ref="A263:A283" si="71">A262+1</f>
        <v>2</v>
      </c>
      <c r="B263" s="82"/>
      <c r="C263" s="11"/>
      <c r="D263" s="11"/>
      <c r="E263" s="11"/>
      <c r="T263" s="11">
        <f t="shared" ref="T263:T274" si="72">T262+1</f>
        <v>2</v>
      </c>
    </row>
    <row r="264">
      <c r="A264" s="11">
        <f t="shared" si="71"/>
        <v>3</v>
      </c>
      <c r="B264" s="82"/>
      <c r="C264" s="11"/>
      <c r="D264" s="11"/>
      <c r="E264" s="11"/>
      <c r="T264" s="11">
        <f t="shared" si="72"/>
        <v>3</v>
      </c>
    </row>
    <row r="265">
      <c r="A265" s="11">
        <f t="shared" si="71"/>
        <v>4</v>
      </c>
      <c r="B265" s="82"/>
      <c r="C265" s="11"/>
      <c r="D265" s="11"/>
      <c r="E265" s="11"/>
      <c r="T265" s="11">
        <f t="shared" si="72"/>
        <v>4</v>
      </c>
    </row>
    <row r="266">
      <c r="A266" s="11">
        <f t="shared" si="71"/>
        <v>5</v>
      </c>
      <c r="B266" s="82"/>
      <c r="C266" s="11"/>
      <c r="D266" s="11"/>
      <c r="E266" s="11"/>
      <c r="T266" s="11">
        <f t="shared" si="72"/>
        <v>5</v>
      </c>
    </row>
    <row r="267">
      <c r="A267" s="11">
        <f t="shared" si="71"/>
        <v>6</v>
      </c>
      <c r="B267" s="82"/>
      <c r="C267" s="11"/>
      <c r="D267" s="11"/>
      <c r="E267" s="11"/>
      <c r="T267" s="11">
        <f t="shared" si="72"/>
        <v>6</v>
      </c>
    </row>
    <row r="268">
      <c r="A268" s="11">
        <f t="shared" si="71"/>
        <v>7</v>
      </c>
      <c r="B268" s="82"/>
      <c r="C268" s="11"/>
      <c r="D268" s="11"/>
      <c r="E268" s="11"/>
      <c r="T268" s="11">
        <f t="shared" si="72"/>
        <v>7</v>
      </c>
    </row>
    <row r="269">
      <c r="A269" s="11">
        <f t="shared" si="71"/>
        <v>8</v>
      </c>
      <c r="B269" s="82"/>
      <c r="C269" s="11"/>
      <c r="D269" s="11"/>
      <c r="E269" s="11"/>
      <c r="T269" s="11">
        <f t="shared" si="72"/>
        <v>8</v>
      </c>
    </row>
    <row r="270">
      <c r="A270" s="11">
        <f t="shared" si="71"/>
        <v>9</v>
      </c>
      <c r="B270" s="82"/>
      <c r="C270" s="11"/>
      <c r="D270" s="11"/>
      <c r="E270" s="11"/>
      <c r="T270" s="11">
        <f t="shared" si="72"/>
        <v>9</v>
      </c>
    </row>
    <row r="271">
      <c r="A271" s="11">
        <f t="shared" si="71"/>
        <v>10</v>
      </c>
      <c r="B271" s="82"/>
      <c r="C271" s="11"/>
      <c r="D271" s="11"/>
      <c r="E271" s="11"/>
      <c r="T271" s="11">
        <f t="shared" si="72"/>
        <v>10</v>
      </c>
    </row>
    <row r="272">
      <c r="A272" s="11">
        <f t="shared" si="71"/>
        <v>11</v>
      </c>
      <c r="B272" s="82"/>
      <c r="C272" s="11"/>
      <c r="D272" s="11"/>
      <c r="E272" s="11"/>
      <c r="T272" s="11">
        <f t="shared" si="72"/>
        <v>11</v>
      </c>
    </row>
    <row r="273">
      <c r="A273" s="11">
        <f t="shared" si="71"/>
        <v>12</v>
      </c>
      <c r="B273" s="82"/>
      <c r="C273" s="11"/>
      <c r="D273" s="11"/>
      <c r="E273" s="11"/>
      <c r="T273" s="11">
        <f t="shared" si="72"/>
        <v>12</v>
      </c>
    </row>
    <row r="274">
      <c r="A274" s="11">
        <f t="shared" si="71"/>
        <v>13</v>
      </c>
      <c r="B274" s="82"/>
      <c r="C274" s="11"/>
      <c r="D274" s="11"/>
      <c r="E274" s="11"/>
      <c r="T274" s="11">
        <f t="shared" si="72"/>
        <v>13</v>
      </c>
    </row>
    <row r="275">
      <c r="A275" s="11">
        <f t="shared" si="71"/>
        <v>14</v>
      </c>
      <c r="B275" s="82"/>
      <c r="C275" s="11"/>
      <c r="D275" s="11"/>
      <c r="E275" s="11"/>
    </row>
    <row r="276">
      <c r="A276" s="11">
        <f t="shared" si="71"/>
        <v>15</v>
      </c>
      <c r="B276" s="82"/>
      <c r="C276" s="11"/>
      <c r="D276" s="11"/>
      <c r="E276" s="11"/>
    </row>
    <row r="277">
      <c r="A277" s="11">
        <f t="shared" si="71"/>
        <v>16</v>
      </c>
      <c r="B277" s="82"/>
      <c r="C277" s="11"/>
      <c r="D277" s="11"/>
      <c r="E277" s="11"/>
    </row>
    <row r="278">
      <c r="A278" s="11">
        <f t="shared" si="71"/>
        <v>17</v>
      </c>
      <c r="B278" s="82"/>
      <c r="C278" s="11"/>
      <c r="D278" s="11"/>
      <c r="E278" s="11"/>
    </row>
    <row r="279">
      <c r="A279" s="11">
        <f t="shared" si="71"/>
        <v>18</v>
      </c>
      <c r="B279" s="82"/>
      <c r="C279" s="11"/>
      <c r="D279" s="11"/>
      <c r="E279" s="11"/>
    </row>
    <row r="280">
      <c r="A280" s="11">
        <f t="shared" si="71"/>
        <v>19</v>
      </c>
      <c r="B280" s="82"/>
      <c r="C280" s="11"/>
      <c r="D280" s="11"/>
      <c r="E280" s="11"/>
    </row>
    <row r="281">
      <c r="A281" s="11">
        <f t="shared" si="71"/>
        <v>20</v>
      </c>
      <c r="B281" s="82"/>
      <c r="C281" s="11"/>
      <c r="D281" s="11"/>
      <c r="E281" s="11"/>
    </row>
    <row r="282">
      <c r="A282" s="11">
        <f t="shared" si="71"/>
        <v>21</v>
      </c>
      <c r="B282" s="82"/>
      <c r="C282" s="11"/>
      <c r="D282" s="11"/>
      <c r="E282" s="11"/>
    </row>
    <row r="283">
      <c r="A283" s="11">
        <f t="shared" si="71"/>
        <v>22</v>
      </c>
      <c r="B283" s="82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  <row r="1030">
      <c r="A1030" s="11"/>
      <c r="C1030" s="11"/>
      <c r="D1030" s="11"/>
      <c r="E1030" s="11"/>
    </row>
    <row r="1031">
      <c r="A1031" s="11"/>
      <c r="C1031" s="11"/>
      <c r="D1031" s="11"/>
      <c r="E1031" s="11"/>
    </row>
    <row r="1032">
      <c r="A1032" s="11"/>
      <c r="C1032" s="11"/>
      <c r="D1032" s="11"/>
      <c r="E1032" s="11"/>
    </row>
    <row r="1033">
      <c r="A1033" s="11"/>
      <c r="C1033" s="11"/>
      <c r="D1033" s="11"/>
      <c r="E1033" s="11"/>
    </row>
    <row r="1034">
      <c r="A1034" s="11"/>
      <c r="C1034" s="11"/>
      <c r="D1034" s="11"/>
      <c r="E1034" s="11"/>
    </row>
    <row r="1035">
      <c r="A1035" s="11"/>
      <c r="C1035" s="11"/>
      <c r="D1035" s="11"/>
      <c r="E1035" s="11"/>
    </row>
    <row r="1036">
      <c r="A1036" s="11"/>
      <c r="C1036" s="11"/>
      <c r="D1036" s="11"/>
      <c r="E1036" s="11"/>
    </row>
    <row r="1037">
      <c r="A1037" s="11"/>
      <c r="C1037" s="11"/>
      <c r="D1037" s="11"/>
      <c r="E1037" s="11"/>
    </row>
    <row r="1038">
      <c r="A1038" s="11"/>
      <c r="C1038" s="11"/>
      <c r="D1038" s="11"/>
      <c r="E1038" s="11"/>
    </row>
    <row r="1039">
      <c r="A1039" s="11"/>
      <c r="C1039" s="11"/>
      <c r="D1039" s="11"/>
      <c r="E1039" s="11"/>
    </row>
    <row r="1040">
      <c r="A1040" s="11"/>
      <c r="C1040" s="11"/>
      <c r="D1040" s="11"/>
      <c r="E1040" s="11"/>
    </row>
    <row r="1041">
      <c r="A1041" s="11"/>
      <c r="C1041" s="11"/>
      <c r="D1041" s="11"/>
      <c r="E1041" s="11"/>
    </row>
    <row r="1042">
      <c r="A1042" s="11"/>
      <c r="C1042" s="11"/>
      <c r="D1042" s="11"/>
      <c r="E1042" s="11"/>
    </row>
    <row r="1043">
      <c r="A1043" s="11"/>
      <c r="C1043" s="11"/>
      <c r="D1043" s="11"/>
      <c r="E1043" s="11"/>
    </row>
    <row r="1044">
      <c r="A1044" s="11"/>
      <c r="C1044" s="11"/>
      <c r="D1044" s="11"/>
      <c r="E1044" s="11"/>
    </row>
    <row r="1045">
      <c r="A1045" s="11"/>
      <c r="C1045" s="11"/>
      <c r="D1045" s="11"/>
      <c r="E1045" s="11"/>
    </row>
    <row r="1046">
      <c r="A1046" s="11"/>
      <c r="C1046" s="11"/>
      <c r="D1046" s="11"/>
      <c r="E1046" s="11"/>
    </row>
    <row r="1047">
      <c r="A1047" s="11"/>
      <c r="C1047" s="11"/>
      <c r="D1047" s="11"/>
      <c r="E1047" s="11"/>
    </row>
    <row r="1048">
      <c r="A1048" s="11"/>
      <c r="C1048" s="11"/>
      <c r="D1048" s="11"/>
      <c r="E1048" s="11"/>
    </row>
    <row r="1049">
      <c r="A1049" s="11"/>
      <c r="C1049" s="11"/>
      <c r="D1049" s="11"/>
      <c r="E1049" s="11"/>
    </row>
    <row r="1050">
      <c r="A1050" s="11"/>
      <c r="C1050" s="11"/>
      <c r="D1050" s="11"/>
      <c r="E1050" s="11"/>
    </row>
    <row r="1051">
      <c r="A1051" s="11"/>
      <c r="C1051" s="11"/>
      <c r="D1051" s="11"/>
      <c r="E1051" s="11"/>
    </row>
    <row r="1052">
      <c r="A1052" s="11"/>
      <c r="C1052" s="11"/>
      <c r="D1052" s="11"/>
      <c r="E1052" s="11"/>
    </row>
    <row r="1053">
      <c r="A1053" s="11"/>
      <c r="C1053" s="11"/>
      <c r="D1053" s="11"/>
      <c r="E1053" s="11"/>
    </row>
    <row r="1054">
      <c r="A1054" s="11"/>
      <c r="C1054" s="11"/>
      <c r="D1054" s="11"/>
      <c r="E1054" s="11"/>
    </row>
    <row r="1055">
      <c r="A1055" s="11"/>
      <c r="C1055" s="11"/>
      <c r="D1055" s="11"/>
      <c r="E1055" s="11"/>
    </row>
    <row r="1056">
      <c r="A1056" s="11"/>
      <c r="C1056" s="11"/>
      <c r="D1056" s="11"/>
      <c r="E1056" s="11"/>
    </row>
    <row r="1057">
      <c r="A1057" s="11"/>
      <c r="C1057" s="11"/>
      <c r="D1057" s="11"/>
      <c r="E1057" s="11"/>
    </row>
    <row r="1058">
      <c r="A1058" s="11"/>
      <c r="C1058" s="11"/>
      <c r="D1058" s="11"/>
      <c r="E1058" s="11"/>
    </row>
    <row r="1059">
      <c r="A1059" s="11"/>
      <c r="C1059" s="11"/>
      <c r="D1059" s="11"/>
      <c r="E1059" s="11"/>
    </row>
    <row r="1060">
      <c r="A1060" s="11"/>
      <c r="C1060" s="11"/>
      <c r="D1060" s="11"/>
      <c r="E1060" s="11"/>
    </row>
    <row r="1061">
      <c r="A1061" s="11"/>
      <c r="C1061" s="11"/>
      <c r="D1061" s="11"/>
      <c r="E1061" s="11"/>
    </row>
    <row r="1062">
      <c r="A1062" s="11"/>
      <c r="C1062" s="11"/>
      <c r="D1062" s="11"/>
      <c r="E1062" s="11"/>
    </row>
    <row r="1063">
      <c r="A1063" s="11"/>
      <c r="C1063" s="11"/>
      <c r="D1063" s="11"/>
      <c r="E1063" s="11"/>
    </row>
    <row r="1064">
      <c r="A1064" s="11"/>
      <c r="C1064" s="11"/>
      <c r="D1064" s="11"/>
      <c r="E1064" s="11"/>
    </row>
    <row r="1065">
      <c r="A1065" s="11"/>
      <c r="C1065" s="11"/>
      <c r="D1065" s="11"/>
      <c r="E1065" s="11"/>
    </row>
    <row r="1066">
      <c r="A1066" s="11"/>
      <c r="C1066" s="11"/>
      <c r="D1066" s="11"/>
      <c r="E1066" s="11"/>
    </row>
    <row r="1067">
      <c r="A1067" s="11"/>
      <c r="C1067" s="11"/>
      <c r="D1067" s="11"/>
      <c r="E1067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 B92:C102 B105:C115">
    <cfRule type="expression" dxfId="1" priority="3">
      <formula>E5=1</formula>
    </cfRule>
  </conditionalFormatting>
  <conditionalFormatting sqref="B5:B70 B79:D89 B92:C102 B105:C115">
    <cfRule type="expression" dxfId="3" priority="4">
      <formula>E5=2</formula>
    </cfRule>
  </conditionalFormatting>
  <conditionalFormatting sqref="B5:B70 B79:D89 B92:C102 B105:C115">
    <cfRule type="expression" dxfId="4" priority="5">
      <formula>E5=3</formula>
    </cfRule>
  </conditionalFormatting>
  <conditionalFormatting sqref="B5:B70 B79:D89 B92:C102 B105:C115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14.88"/>
  </cols>
  <sheetData>
    <row r="1">
      <c r="A1" s="11"/>
      <c r="B1" s="12" t="s">
        <v>23</v>
      </c>
      <c r="C1" s="81">
        <v>45563.0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13.0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  <c r="U4" s="29" t="s">
        <v>42</v>
      </c>
      <c r="V4" s="26" t="s">
        <v>30</v>
      </c>
    </row>
    <row r="5">
      <c r="A5" s="30">
        <v>1.0</v>
      </c>
      <c r="B5" s="31" t="s">
        <v>43</v>
      </c>
      <c r="C5" s="32">
        <v>184.0</v>
      </c>
      <c r="D5" s="32">
        <v>20.0</v>
      </c>
      <c r="E5" s="37">
        <v>1.0</v>
      </c>
      <c r="F5" s="39">
        <v>1.0</v>
      </c>
      <c r="G5" s="40">
        <v>0.0</v>
      </c>
      <c r="H5" s="39">
        <v>3.0</v>
      </c>
      <c r="I5" s="39">
        <v>7.0</v>
      </c>
      <c r="J5" s="39">
        <v>6.0</v>
      </c>
      <c r="K5" s="42">
        <v>16.0</v>
      </c>
      <c r="L5" s="39">
        <v>2.0</v>
      </c>
      <c r="M5" s="32">
        <f t="shared" ref="M5:N5" si="1">C5+K5</f>
        <v>200</v>
      </c>
      <c r="N5" s="32">
        <f t="shared" si="1"/>
        <v>22</v>
      </c>
      <c r="O5" s="43" t="s">
        <v>53</v>
      </c>
      <c r="P5" s="43" t="s">
        <v>53</v>
      </c>
      <c r="Q5" s="43" t="s">
        <v>53</v>
      </c>
      <c r="R5" s="39">
        <f>if(G5=13,1,0)+VLOOKUP(B5,'092124'!B:T,17,false)</f>
        <v>2</v>
      </c>
      <c r="S5" s="39"/>
      <c r="T5" s="39">
        <f>if(G5=9,1,0)+VLOOKUP(B5,'092124'!B:T,19,false)</f>
        <v>2</v>
      </c>
      <c r="U5" s="39">
        <f>VLOOKUP(B5,'092124'!B$5:V$70,21,false)-A5</f>
        <v>0</v>
      </c>
      <c r="V5" s="30">
        <v>1.0</v>
      </c>
    </row>
    <row r="6">
      <c r="A6" s="30">
        <f t="shared" ref="A6:A70" si="3">A5+1</f>
        <v>2</v>
      </c>
      <c r="B6" s="31" t="s">
        <v>61</v>
      </c>
      <c r="C6" s="32">
        <v>165.0</v>
      </c>
      <c r="D6" s="32">
        <v>20.0</v>
      </c>
      <c r="E6" s="37">
        <v>1.0</v>
      </c>
      <c r="F6" s="39">
        <v>1.0</v>
      </c>
      <c r="G6" s="40">
        <v>0.0</v>
      </c>
      <c r="H6" s="39">
        <v>6.0</v>
      </c>
      <c r="I6" s="39">
        <v>6.0</v>
      </c>
      <c r="J6" s="39">
        <v>6.0</v>
      </c>
      <c r="K6" s="42">
        <v>18.0</v>
      </c>
      <c r="L6" s="39">
        <v>2.0</v>
      </c>
      <c r="M6" s="32">
        <f t="shared" ref="M6:N6" si="2">C6+K6</f>
        <v>183</v>
      </c>
      <c r="N6" s="32">
        <f t="shared" si="2"/>
        <v>22</v>
      </c>
      <c r="O6" s="43" t="s">
        <v>53</v>
      </c>
      <c r="P6" s="43" t="s">
        <v>53</v>
      </c>
      <c r="Q6" s="43" t="s">
        <v>53</v>
      </c>
      <c r="R6" s="39">
        <f>if(G6=13,1,0)+VLOOKUP(B6,'092124'!B:T,17,false)</f>
        <v>0</v>
      </c>
      <c r="S6" s="39"/>
      <c r="T6" s="39">
        <f>if(G6=9,1,0)+VLOOKUP(B6,'092124'!B:T,19,false)</f>
        <v>2</v>
      </c>
      <c r="U6" s="39">
        <f>VLOOKUP(B6,'092124'!B$5:V$70,21,false)-A6</f>
        <v>0</v>
      </c>
      <c r="V6" s="30">
        <f t="shared" ref="V6:V70" si="5">V5+1</f>
        <v>2</v>
      </c>
    </row>
    <row r="7">
      <c r="A7" s="30">
        <f t="shared" si="3"/>
        <v>3</v>
      </c>
      <c r="B7" s="51" t="s">
        <v>92</v>
      </c>
      <c r="C7" s="32">
        <v>164.0</v>
      </c>
      <c r="D7" s="32">
        <v>17.0</v>
      </c>
      <c r="E7" s="37">
        <v>3.0</v>
      </c>
      <c r="F7" s="39">
        <v>0.0</v>
      </c>
      <c r="G7" s="40">
        <v>9.0</v>
      </c>
      <c r="H7" s="39">
        <v>0.0</v>
      </c>
      <c r="I7" s="39">
        <v>0.0</v>
      </c>
      <c r="J7" s="39">
        <v>0.0</v>
      </c>
      <c r="K7" s="42">
        <v>9.0</v>
      </c>
      <c r="L7" s="39">
        <v>0.0</v>
      </c>
      <c r="M7" s="32">
        <f t="shared" ref="M7:N7" si="4">C7+K7</f>
        <v>173</v>
      </c>
      <c r="N7" s="32">
        <f t="shared" si="4"/>
        <v>17</v>
      </c>
      <c r="O7" s="43" t="s">
        <v>53</v>
      </c>
      <c r="P7" s="43" t="s">
        <v>53</v>
      </c>
      <c r="Q7" s="43" t="s">
        <v>53</v>
      </c>
      <c r="R7" s="39">
        <f>if(G7=13,1,0)+VLOOKUP(B7,'092124'!B:T,17,false)</f>
        <v>1</v>
      </c>
      <c r="S7" s="39"/>
      <c r="T7" s="39">
        <f>if(G7=9,1,0)+VLOOKUP(B7,'092124'!B:T,19,false)</f>
        <v>5</v>
      </c>
      <c r="U7" s="39">
        <f>VLOOKUP(B7,'092124'!B$5:V$70,21,false)-A7</f>
        <v>1</v>
      </c>
      <c r="V7" s="30">
        <f t="shared" si="5"/>
        <v>3</v>
      </c>
    </row>
    <row r="8">
      <c r="A8" s="30">
        <f t="shared" si="3"/>
        <v>4</v>
      </c>
      <c r="B8" s="31" t="s">
        <v>90</v>
      </c>
      <c r="C8" s="32">
        <v>162.0</v>
      </c>
      <c r="D8" s="32">
        <v>16.0</v>
      </c>
      <c r="E8" s="37">
        <v>1.0</v>
      </c>
      <c r="F8" s="39">
        <v>1.0</v>
      </c>
      <c r="G8" s="40">
        <v>0.0</v>
      </c>
      <c r="H8" s="39">
        <v>3.0</v>
      </c>
      <c r="I8" s="39">
        <v>6.0</v>
      </c>
      <c r="J8" s="39">
        <v>4.0</v>
      </c>
      <c r="K8" s="42">
        <v>13.0</v>
      </c>
      <c r="L8" s="39">
        <v>0.0</v>
      </c>
      <c r="M8" s="32">
        <f t="shared" ref="M8:N8" si="6">C8+K8</f>
        <v>175</v>
      </c>
      <c r="N8" s="32">
        <f t="shared" si="6"/>
        <v>16</v>
      </c>
      <c r="O8" s="43" t="s">
        <v>53</v>
      </c>
      <c r="P8" s="43" t="s">
        <v>53</v>
      </c>
      <c r="Q8" s="43" t="s">
        <v>53</v>
      </c>
      <c r="R8" s="39">
        <f>if(G8=13,1,0)+VLOOKUP(B8,'092124'!B:T,17,false)</f>
        <v>2</v>
      </c>
      <c r="S8" s="39"/>
      <c r="T8" s="39">
        <f>if(G8=9,1,0)+VLOOKUP(B8,'092124'!B:T,19,false)</f>
        <v>1</v>
      </c>
      <c r="U8" s="39">
        <f>VLOOKUP(B8,'092124'!B$5:V$70,21,false)-A8</f>
        <v>5</v>
      </c>
      <c r="V8" s="30">
        <f t="shared" si="5"/>
        <v>4</v>
      </c>
    </row>
    <row r="9">
      <c r="A9" s="30">
        <f t="shared" si="3"/>
        <v>5</v>
      </c>
      <c r="B9" s="31" t="s">
        <v>91</v>
      </c>
      <c r="C9" s="32">
        <v>159.0</v>
      </c>
      <c r="D9" s="32">
        <v>13.0</v>
      </c>
      <c r="E9" s="37">
        <v>1.0</v>
      </c>
      <c r="F9" s="39">
        <v>1.0</v>
      </c>
      <c r="G9" s="40">
        <v>0.0</v>
      </c>
      <c r="H9" s="39">
        <v>6.0</v>
      </c>
      <c r="I9" s="39">
        <v>7.0</v>
      </c>
      <c r="J9" s="39">
        <v>4.0</v>
      </c>
      <c r="K9" s="42">
        <v>17.0</v>
      </c>
      <c r="L9" s="39">
        <v>2.0</v>
      </c>
      <c r="M9" s="32">
        <f t="shared" ref="M9:N9" si="7">C9+K9</f>
        <v>176</v>
      </c>
      <c r="N9" s="32">
        <f t="shared" si="7"/>
        <v>15</v>
      </c>
      <c r="O9" s="43" t="s">
        <v>53</v>
      </c>
      <c r="P9" s="43" t="s">
        <v>53</v>
      </c>
      <c r="Q9" s="43" t="s">
        <v>53</v>
      </c>
      <c r="R9" s="39">
        <f>if(G9=13,1,0)+VLOOKUP(B9,'092124'!B:T,17,false)</f>
        <v>1</v>
      </c>
      <c r="S9" s="39"/>
      <c r="T9" s="39">
        <f>if(G9=9,1,0)+VLOOKUP(B9,'092124'!B:T,19,false)</f>
        <v>2</v>
      </c>
      <c r="U9" s="39">
        <f>VLOOKUP(B9,'092124'!B$5:V$70,21,false)-A9</f>
        <v>10</v>
      </c>
      <c r="V9" s="30">
        <f t="shared" si="5"/>
        <v>5</v>
      </c>
    </row>
    <row r="10">
      <c r="A10" s="30">
        <f t="shared" si="3"/>
        <v>6</v>
      </c>
      <c r="B10" s="51" t="s">
        <v>54</v>
      </c>
      <c r="C10" s="32">
        <v>158.0</v>
      </c>
      <c r="D10" s="32">
        <v>17.0</v>
      </c>
      <c r="E10" s="37">
        <v>1.0</v>
      </c>
      <c r="F10" s="39">
        <v>2.0</v>
      </c>
      <c r="G10" s="40">
        <v>0.0</v>
      </c>
      <c r="H10" s="39">
        <v>6.0</v>
      </c>
      <c r="I10" s="39">
        <v>6.0</v>
      </c>
      <c r="J10" s="39">
        <v>4.0</v>
      </c>
      <c r="K10" s="42">
        <v>16.0</v>
      </c>
      <c r="L10" s="39">
        <v>1.0</v>
      </c>
      <c r="M10" s="32">
        <f t="shared" ref="M10:N10" si="8">C10+K10</f>
        <v>174</v>
      </c>
      <c r="N10" s="32">
        <f t="shared" si="8"/>
        <v>18</v>
      </c>
      <c r="O10" s="43" t="s">
        <v>53</v>
      </c>
      <c r="P10" s="43" t="s">
        <v>53</v>
      </c>
      <c r="Q10" s="43" t="s">
        <v>53</v>
      </c>
      <c r="R10" s="39">
        <f>if(G10=13,1,0)+VLOOKUP(B10,'092124'!B:T,17,false)</f>
        <v>0</v>
      </c>
      <c r="S10" s="39"/>
      <c r="T10" s="39">
        <f>if(G10=9,1,0)+VLOOKUP(B10,'092124'!B:T,19,false)</f>
        <v>2</v>
      </c>
      <c r="U10" s="39">
        <f>VLOOKUP(B10,'092124'!B$5:V$70,21,false)-A10</f>
        <v>-3</v>
      </c>
      <c r="V10" s="30">
        <f t="shared" si="5"/>
        <v>6</v>
      </c>
    </row>
    <row r="11">
      <c r="A11" s="30">
        <f t="shared" si="3"/>
        <v>7</v>
      </c>
      <c r="B11" s="31" t="s">
        <v>34</v>
      </c>
      <c r="C11" s="32">
        <v>157.0</v>
      </c>
      <c r="D11" s="32">
        <v>18.0</v>
      </c>
      <c r="E11" s="37">
        <v>1.0</v>
      </c>
      <c r="F11" s="39">
        <v>2.0</v>
      </c>
      <c r="G11" s="40">
        <v>0.0</v>
      </c>
      <c r="H11" s="39">
        <v>6.0</v>
      </c>
      <c r="I11" s="39">
        <v>0.0</v>
      </c>
      <c r="J11" s="39">
        <v>6.0</v>
      </c>
      <c r="K11" s="42">
        <v>12.0</v>
      </c>
      <c r="L11" s="39">
        <v>1.0</v>
      </c>
      <c r="M11" s="32">
        <f t="shared" ref="M11:N11" si="9">C11+K11</f>
        <v>169</v>
      </c>
      <c r="N11" s="32">
        <f t="shared" si="9"/>
        <v>19</v>
      </c>
      <c r="O11" s="43" t="s">
        <v>53</v>
      </c>
      <c r="P11" s="43" t="s">
        <v>53</v>
      </c>
      <c r="Q11" s="43" t="s">
        <v>53</v>
      </c>
      <c r="R11" s="39">
        <f>if(G11=13,1,0)+VLOOKUP(B11,'092124'!B:T,17,false)</f>
        <v>0</v>
      </c>
      <c r="S11" s="39"/>
      <c r="T11" s="39">
        <f>if(G11=9,1,0)+VLOOKUP(B11,'092124'!B:T,19,false)</f>
        <v>2</v>
      </c>
      <c r="U11" s="39">
        <f>VLOOKUP(B11,'092124'!B$5:V$70,21,false)-A11</f>
        <v>0</v>
      </c>
      <c r="V11" s="30">
        <f t="shared" si="5"/>
        <v>7</v>
      </c>
    </row>
    <row r="12">
      <c r="A12" s="30">
        <f t="shared" si="3"/>
        <v>8</v>
      </c>
      <c r="B12" s="51" t="s">
        <v>100</v>
      </c>
      <c r="C12" s="32">
        <v>157.0</v>
      </c>
      <c r="D12" s="32">
        <v>13.0</v>
      </c>
      <c r="E12" s="37">
        <v>1.0</v>
      </c>
      <c r="F12" s="39">
        <v>2.0</v>
      </c>
      <c r="G12" s="40">
        <v>0.0</v>
      </c>
      <c r="H12" s="39">
        <v>7.0</v>
      </c>
      <c r="I12" s="39">
        <v>6.0</v>
      </c>
      <c r="J12" s="39">
        <v>6.0</v>
      </c>
      <c r="K12" s="42">
        <v>19.0</v>
      </c>
      <c r="L12" s="39">
        <v>3.0</v>
      </c>
      <c r="M12" s="32">
        <f t="shared" ref="M12:N12" si="10">C12+K12</f>
        <v>176</v>
      </c>
      <c r="N12" s="32">
        <f t="shared" si="10"/>
        <v>16</v>
      </c>
      <c r="O12" s="43" t="s">
        <v>53</v>
      </c>
      <c r="P12" s="43" t="s">
        <v>53</v>
      </c>
      <c r="Q12" s="43" t="s">
        <v>53</v>
      </c>
      <c r="R12" s="39">
        <f>if(G12=13,1,0)+VLOOKUP(B12,'092124'!B:T,17,false)</f>
        <v>1</v>
      </c>
      <c r="S12" s="39"/>
      <c r="T12" s="39">
        <f>if(G12=9,1,0)+VLOOKUP(B12,'092124'!B:T,19,false)</f>
        <v>3</v>
      </c>
      <c r="U12" s="39">
        <f>VLOOKUP(B12,'092124'!B$5:V$70,21,false)-A12</f>
        <v>-3</v>
      </c>
      <c r="V12" s="30">
        <f t="shared" si="5"/>
        <v>8</v>
      </c>
    </row>
    <row r="13">
      <c r="A13" s="30">
        <f t="shared" si="3"/>
        <v>9</v>
      </c>
      <c r="B13" s="31" t="s">
        <v>86</v>
      </c>
      <c r="C13" s="32">
        <v>157.0</v>
      </c>
      <c r="D13" s="32">
        <v>11.0</v>
      </c>
      <c r="E13" s="37">
        <v>1.0</v>
      </c>
      <c r="F13" s="39">
        <v>2.0</v>
      </c>
      <c r="G13" s="40">
        <v>0.0</v>
      </c>
      <c r="H13" s="39">
        <v>7.0</v>
      </c>
      <c r="I13" s="39">
        <v>0.0</v>
      </c>
      <c r="J13" s="39">
        <v>4.0</v>
      </c>
      <c r="K13" s="42">
        <v>11.0</v>
      </c>
      <c r="L13" s="39">
        <v>1.0</v>
      </c>
      <c r="M13" s="32">
        <f t="shared" ref="M13:N13" si="11">C13+K13</f>
        <v>168</v>
      </c>
      <c r="N13" s="32">
        <f t="shared" si="11"/>
        <v>12</v>
      </c>
      <c r="O13" s="43" t="s">
        <v>53</v>
      </c>
      <c r="P13" s="43" t="s">
        <v>53</v>
      </c>
      <c r="Q13" s="43" t="s">
        <v>53</v>
      </c>
      <c r="R13" s="39">
        <f>if(G13=13,1,0)+VLOOKUP(B13,'092124'!B:T,17,false)</f>
        <v>4</v>
      </c>
      <c r="S13" s="39"/>
      <c r="T13" s="39">
        <f>if(G13=9,1,0)+VLOOKUP(B13,'092124'!B:T,19,false)</f>
        <v>0</v>
      </c>
      <c r="U13" s="39">
        <f>VLOOKUP(B13,'092124'!B$5:V$70,21,false)-A13</f>
        <v>1</v>
      </c>
      <c r="V13" s="30">
        <f t="shared" si="5"/>
        <v>9</v>
      </c>
    </row>
    <row r="14">
      <c r="A14" s="30">
        <f t="shared" si="3"/>
        <v>10</v>
      </c>
      <c r="B14" s="31" t="s">
        <v>71</v>
      </c>
      <c r="C14" s="32">
        <v>156.0</v>
      </c>
      <c r="D14" s="32">
        <v>15.0</v>
      </c>
      <c r="E14" s="37">
        <v>1.0</v>
      </c>
      <c r="F14" s="39">
        <v>3.0</v>
      </c>
      <c r="G14" s="40">
        <v>0.0</v>
      </c>
      <c r="H14" s="39">
        <v>2.0</v>
      </c>
      <c r="I14" s="39">
        <v>6.0</v>
      </c>
      <c r="J14" s="39">
        <v>6.0</v>
      </c>
      <c r="K14" s="42">
        <v>14.0</v>
      </c>
      <c r="L14" s="39">
        <v>2.0</v>
      </c>
      <c r="M14" s="32">
        <f t="shared" ref="M14:N14" si="12">C14+K14</f>
        <v>170</v>
      </c>
      <c r="N14" s="32">
        <f t="shared" si="12"/>
        <v>17</v>
      </c>
      <c r="O14" s="43" t="s">
        <v>53</v>
      </c>
      <c r="P14" s="43" t="s">
        <v>53</v>
      </c>
      <c r="Q14" s="43" t="s">
        <v>53</v>
      </c>
      <c r="R14" s="39">
        <f>if(G14=13,1,0)+VLOOKUP(B14,'092124'!B:T,17,false)</f>
        <v>1</v>
      </c>
      <c r="S14" s="39"/>
      <c r="T14" s="39">
        <f>if(G14=9,1,0)+VLOOKUP(B14,'092124'!B:T,19,false)</f>
        <v>0</v>
      </c>
      <c r="U14" s="39">
        <f>VLOOKUP(B14,'092124'!B$5:V$70,21,false)-A14</f>
        <v>-2</v>
      </c>
      <c r="V14" s="30">
        <f t="shared" si="5"/>
        <v>10</v>
      </c>
    </row>
    <row r="15">
      <c r="A15" s="30">
        <f t="shared" si="3"/>
        <v>11</v>
      </c>
      <c r="B15" s="51" t="s">
        <v>78</v>
      </c>
      <c r="C15" s="32">
        <v>155.0</v>
      </c>
      <c r="D15" s="32">
        <v>14.0</v>
      </c>
      <c r="E15" s="37">
        <v>1.0</v>
      </c>
      <c r="F15" s="39">
        <v>3.0</v>
      </c>
      <c r="G15" s="40">
        <v>0.0</v>
      </c>
      <c r="H15" s="39">
        <v>6.0</v>
      </c>
      <c r="I15" s="39">
        <v>6.0</v>
      </c>
      <c r="J15" s="39">
        <v>4.0</v>
      </c>
      <c r="K15" s="42">
        <v>16.0</v>
      </c>
      <c r="L15" s="39">
        <v>2.0</v>
      </c>
      <c r="M15" s="32">
        <f t="shared" ref="M15:N15" si="13">C15+K15</f>
        <v>171</v>
      </c>
      <c r="N15" s="32">
        <f t="shared" si="13"/>
        <v>16</v>
      </c>
      <c r="O15" s="43" t="s">
        <v>53</v>
      </c>
      <c r="P15" s="43" t="s">
        <v>53</v>
      </c>
      <c r="Q15" s="43" t="s">
        <v>53</v>
      </c>
      <c r="R15" s="39">
        <f>if(G15=13,1,0)+VLOOKUP(B15,'092124'!B:T,17,false)</f>
        <v>0</v>
      </c>
      <c r="S15" s="39"/>
      <c r="T15" s="39">
        <f>if(G15=9,1,0)+VLOOKUP(B15,'092124'!B:T,19,false)</f>
        <v>1</v>
      </c>
      <c r="U15" s="39">
        <f>VLOOKUP(B15,'092124'!B$5:V$70,21,false)-A15</f>
        <v>1</v>
      </c>
      <c r="V15" s="30">
        <f t="shared" si="5"/>
        <v>11</v>
      </c>
    </row>
    <row r="16">
      <c r="A16" s="30">
        <f t="shared" si="3"/>
        <v>12</v>
      </c>
      <c r="B16" s="51" t="s">
        <v>93</v>
      </c>
      <c r="C16" s="32">
        <v>155.0</v>
      </c>
      <c r="D16" s="32">
        <v>14.0</v>
      </c>
      <c r="E16" s="37">
        <v>1.0</v>
      </c>
      <c r="F16" s="39">
        <v>3.0</v>
      </c>
      <c r="G16" s="40">
        <v>0.0</v>
      </c>
      <c r="H16" s="39">
        <v>2.0</v>
      </c>
      <c r="I16" s="39">
        <v>1.0</v>
      </c>
      <c r="J16" s="39">
        <v>4.0</v>
      </c>
      <c r="K16" s="42">
        <v>7.0</v>
      </c>
      <c r="L16" s="39">
        <v>0.0</v>
      </c>
      <c r="M16" s="32">
        <f t="shared" ref="M16:N16" si="14">C16+K16</f>
        <v>162</v>
      </c>
      <c r="N16" s="32">
        <f t="shared" si="14"/>
        <v>14</v>
      </c>
      <c r="O16" s="43" t="s">
        <v>53</v>
      </c>
      <c r="P16" s="43" t="s">
        <v>53</v>
      </c>
      <c r="Q16" s="43" t="s">
        <v>53</v>
      </c>
      <c r="R16" s="39">
        <f>if(G16=13,1,0)+VLOOKUP(B16,'092124'!B:T,17,false)</f>
        <v>0</v>
      </c>
      <c r="S16" s="39"/>
      <c r="T16" s="39">
        <f>if(G16=9,1,0)+VLOOKUP(B16,'092124'!B:T,19,false)</f>
        <v>1</v>
      </c>
      <c r="U16" s="39">
        <f>VLOOKUP(B16,'092124'!B$5:V$70,21,false)-A16</f>
        <v>8</v>
      </c>
      <c r="V16" s="30">
        <f t="shared" si="5"/>
        <v>12</v>
      </c>
    </row>
    <row r="17">
      <c r="A17" s="30">
        <f t="shared" si="3"/>
        <v>13</v>
      </c>
      <c r="B17" s="31" t="s">
        <v>83</v>
      </c>
      <c r="C17" s="32">
        <v>153.0</v>
      </c>
      <c r="D17" s="32">
        <v>13.0</v>
      </c>
      <c r="E17" s="37">
        <v>1.0</v>
      </c>
      <c r="F17" s="39">
        <v>3.0</v>
      </c>
      <c r="G17" s="40">
        <v>0.0</v>
      </c>
      <c r="H17" s="39">
        <v>6.0</v>
      </c>
      <c r="I17" s="39">
        <v>1.0</v>
      </c>
      <c r="J17" s="39">
        <v>6.0</v>
      </c>
      <c r="K17" s="42">
        <v>13.0</v>
      </c>
      <c r="L17" s="39">
        <v>2.0</v>
      </c>
      <c r="M17" s="32">
        <f t="shared" ref="M17:N17" si="15">C17+K17</f>
        <v>166</v>
      </c>
      <c r="N17" s="32">
        <f t="shared" si="15"/>
        <v>15</v>
      </c>
      <c r="O17" s="43" t="s">
        <v>53</v>
      </c>
      <c r="P17" s="43" t="s">
        <v>53</v>
      </c>
      <c r="Q17" s="43" t="s">
        <v>53</v>
      </c>
      <c r="R17" s="39">
        <f>if(G17=13,1,0)+VLOOKUP(B17,'092124'!B:T,17,false)</f>
        <v>0</v>
      </c>
      <c r="S17" s="39"/>
      <c r="T17" s="39">
        <f>if(G17=9,1,0)+VLOOKUP(B17,'092124'!B:T,19,false)</f>
        <v>6</v>
      </c>
      <c r="U17" s="39">
        <f>VLOOKUP(B17,'092124'!B$5:V$70,21,false)-A17</f>
        <v>4</v>
      </c>
      <c r="V17" s="30">
        <f t="shared" si="5"/>
        <v>13</v>
      </c>
    </row>
    <row r="18">
      <c r="A18" s="30">
        <f t="shared" si="3"/>
        <v>14</v>
      </c>
      <c r="B18" s="51" t="s">
        <v>94</v>
      </c>
      <c r="C18" s="32">
        <v>153.0</v>
      </c>
      <c r="D18" s="32">
        <v>10.0</v>
      </c>
      <c r="E18" s="37">
        <v>3.0</v>
      </c>
      <c r="F18" s="39">
        <v>0.0</v>
      </c>
      <c r="G18" s="40">
        <v>9.0</v>
      </c>
      <c r="H18" s="39">
        <v>0.0</v>
      </c>
      <c r="I18" s="39">
        <v>0.0</v>
      </c>
      <c r="J18" s="39">
        <v>0.0</v>
      </c>
      <c r="K18" s="42">
        <v>9.0</v>
      </c>
      <c r="L18" s="39">
        <v>0.0</v>
      </c>
      <c r="M18" s="32">
        <f t="shared" ref="M18:N18" si="16">C18+K18</f>
        <v>162</v>
      </c>
      <c r="N18" s="32">
        <f t="shared" si="16"/>
        <v>10</v>
      </c>
      <c r="O18" s="43" t="s">
        <v>53</v>
      </c>
      <c r="P18" s="43" t="s">
        <v>53</v>
      </c>
      <c r="Q18" s="43" t="s">
        <v>53</v>
      </c>
      <c r="R18" s="39">
        <f>if(G18=13,1,0)+VLOOKUP(B18,'092124'!B:T,17,false)</f>
        <v>2</v>
      </c>
      <c r="S18" s="39"/>
      <c r="T18" s="39">
        <f>if(G18=9,1,0)+VLOOKUP(B18,'092124'!B:T,19,false)</f>
        <v>3</v>
      </c>
      <c r="U18" s="39">
        <f>VLOOKUP(B18,'092124'!B$5:V$70,21,false)-A18</f>
        <v>0</v>
      </c>
      <c r="V18" s="30">
        <f t="shared" si="5"/>
        <v>14</v>
      </c>
    </row>
    <row r="19">
      <c r="A19" s="30">
        <f t="shared" si="3"/>
        <v>15</v>
      </c>
      <c r="B19" s="31" t="s">
        <v>68</v>
      </c>
      <c r="C19" s="32">
        <v>151.0</v>
      </c>
      <c r="D19" s="32">
        <v>14.0</v>
      </c>
      <c r="E19" s="37">
        <v>1.0</v>
      </c>
      <c r="F19" s="39">
        <v>4.0</v>
      </c>
      <c r="G19" s="40">
        <v>0.0</v>
      </c>
      <c r="H19" s="39">
        <v>7.0</v>
      </c>
      <c r="I19" s="39">
        <v>7.0</v>
      </c>
      <c r="J19" s="39">
        <v>6.0</v>
      </c>
      <c r="K19" s="42">
        <v>20.0</v>
      </c>
      <c r="L19" s="39">
        <v>3.0</v>
      </c>
      <c r="M19" s="32">
        <f t="shared" ref="M19:N19" si="17">C19+K19</f>
        <v>171</v>
      </c>
      <c r="N19" s="32">
        <f t="shared" si="17"/>
        <v>17</v>
      </c>
      <c r="O19" s="43" t="s">
        <v>53</v>
      </c>
      <c r="P19" s="43" t="s">
        <v>53</v>
      </c>
      <c r="Q19" s="43" t="s">
        <v>53</v>
      </c>
      <c r="R19" s="39">
        <f>if(G19=13,1,0)+VLOOKUP(B19,'092124'!B:T,17,false)</f>
        <v>1</v>
      </c>
      <c r="S19" s="39"/>
      <c r="T19" s="39">
        <f>if(G19=9,1,0)+VLOOKUP(B19,'092124'!B:T,19,false)</f>
        <v>2</v>
      </c>
      <c r="U19" s="39">
        <f>VLOOKUP(B19,'092124'!B$5:V$70,21,false)-A19</f>
        <v>-4</v>
      </c>
      <c r="V19" s="30">
        <f t="shared" si="5"/>
        <v>15</v>
      </c>
    </row>
    <row r="20">
      <c r="A20" s="30">
        <f t="shared" si="3"/>
        <v>16</v>
      </c>
      <c r="B20" s="51" t="s">
        <v>85</v>
      </c>
      <c r="C20" s="32">
        <v>151.0</v>
      </c>
      <c r="D20" s="32">
        <v>13.0</v>
      </c>
      <c r="E20" s="37">
        <v>1.0</v>
      </c>
      <c r="F20" s="39">
        <v>4.0</v>
      </c>
      <c r="G20" s="40">
        <v>0.0</v>
      </c>
      <c r="H20" s="39">
        <v>6.0</v>
      </c>
      <c r="I20" s="39">
        <v>5.0</v>
      </c>
      <c r="J20" s="39">
        <v>6.0</v>
      </c>
      <c r="K20" s="42">
        <v>17.0</v>
      </c>
      <c r="L20" s="39">
        <v>1.0</v>
      </c>
      <c r="M20" s="32">
        <f t="shared" ref="M20:N20" si="18">C20+K20</f>
        <v>168</v>
      </c>
      <c r="N20" s="32">
        <f t="shared" si="18"/>
        <v>14</v>
      </c>
      <c r="O20" s="43" t="s">
        <v>53</v>
      </c>
      <c r="P20" s="43" t="s">
        <v>53</v>
      </c>
      <c r="Q20" s="43" t="s">
        <v>53</v>
      </c>
      <c r="R20" s="39">
        <f>if(G20=13,1,0)+VLOOKUP(B20,'092124'!B:T,17,false)</f>
        <v>0</v>
      </c>
      <c r="S20" s="39"/>
      <c r="T20" s="39">
        <f>if(G20=9,1,0)+VLOOKUP(B20,'092124'!B:T,19,false)</f>
        <v>7</v>
      </c>
      <c r="U20" s="39">
        <f>VLOOKUP(B20,'092124'!B$5:V$70,21,false)-A20</f>
        <v>-3</v>
      </c>
      <c r="V20" s="30">
        <f t="shared" si="5"/>
        <v>16</v>
      </c>
    </row>
    <row r="21">
      <c r="A21" s="30">
        <f t="shared" si="3"/>
        <v>17</v>
      </c>
      <c r="B21" s="31" t="s">
        <v>57</v>
      </c>
      <c r="C21" s="32">
        <v>150.0</v>
      </c>
      <c r="D21" s="32">
        <v>14.0</v>
      </c>
      <c r="E21" s="37">
        <v>1.0</v>
      </c>
      <c r="F21" s="39">
        <v>4.0</v>
      </c>
      <c r="G21" s="40">
        <v>0.0</v>
      </c>
      <c r="H21" s="39">
        <v>7.0</v>
      </c>
      <c r="I21" s="39">
        <v>5.0</v>
      </c>
      <c r="J21" s="39">
        <v>4.0</v>
      </c>
      <c r="K21" s="42">
        <v>16.0</v>
      </c>
      <c r="L21" s="39">
        <v>1.0</v>
      </c>
      <c r="M21" s="32">
        <f t="shared" ref="M21:N21" si="19">C21+K21</f>
        <v>166</v>
      </c>
      <c r="N21" s="32">
        <f t="shared" si="19"/>
        <v>15</v>
      </c>
      <c r="O21" s="43" t="s">
        <v>53</v>
      </c>
      <c r="P21" s="43" t="s">
        <v>53</v>
      </c>
      <c r="Q21" s="43" t="s">
        <v>53</v>
      </c>
      <c r="R21" s="39">
        <f>if(G21=13,1,0)+VLOOKUP(B21,'092124'!B:T,17,false)</f>
        <v>1</v>
      </c>
      <c r="S21" s="39"/>
      <c r="T21" s="39">
        <f>if(G21=9,1,0)+VLOOKUP(B21,'092124'!B:T,19,false)</f>
        <v>2</v>
      </c>
      <c r="U21" s="39">
        <f>VLOOKUP(B21,'092124'!B$5:V$70,21,false)-A21</f>
        <v>-11</v>
      </c>
      <c r="V21" s="30">
        <f t="shared" si="5"/>
        <v>17</v>
      </c>
    </row>
    <row r="22">
      <c r="A22" s="30">
        <f t="shared" si="3"/>
        <v>18</v>
      </c>
      <c r="B22" s="31" t="s">
        <v>98</v>
      </c>
      <c r="C22" s="32">
        <v>150.0</v>
      </c>
      <c r="D22" s="32">
        <v>13.0</v>
      </c>
      <c r="E22" s="37">
        <v>1.0</v>
      </c>
      <c r="F22" s="39">
        <v>4.0</v>
      </c>
      <c r="G22" s="40">
        <v>0.0</v>
      </c>
      <c r="H22" s="39">
        <v>6.0</v>
      </c>
      <c r="I22" s="39">
        <v>7.0</v>
      </c>
      <c r="J22" s="39">
        <v>4.0</v>
      </c>
      <c r="K22" s="42">
        <v>17.0</v>
      </c>
      <c r="L22" s="39">
        <v>1.0</v>
      </c>
      <c r="M22" s="32">
        <f t="shared" ref="M22:N22" si="20">C22+K22</f>
        <v>167</v>
      </c>
      <c r="N22" s="32">
        <f t="shared" si="20"/>
        <v>14</v>
      </c>
      <c r="O22" s="43" t="s">
        <v>53</v>
      </c>
      <c r="P22" s="43" t="s">
        <v>53</v>
      </c>
      <c r="Q22" s="43" t="s">
        <v>53</v>
      </c>
      <c r="R22" s="39">
        <f>if(G22=13,1,0)+VLOOKUP(B22,'092124'!B:T,17,false)</f>
        <v>1</v>
      </c>
      <c r="S22" s="39"/>
      <c r="T22" s="39">
        <f>if(G22=9,1,0)+VLOOKUP(B22,'092124'!B:T,19,false)</f>
        <v>4</v>
      </c>
      <c r="U22" s="39">
        <f>VLOOKUP(B22,'092124'!B$5:V$70,21,false)-A22</f>
        <v>5</v>
      </c>
      <c r="V22" s="30">
        <f t="shared" si="5"/>
        <v>18</v>
      </c>
    </row>
    <row r="23">
      <c r="A23" s="30">
        <f t="shared" si="3"/>
        <v>19</v>
      </c>
      <c r="B23" s="51" t="s">
        <v>95</v>
      </c>
      <c r="C23" s="32">
        <v>150.0</v>
      </c>
      <c r="D23" s="32">
        <v>11.0</v>
      </c>
      <c r="E23" s="37">
        <v>3.0</v>
      </c>
      <c r="F23" s="39">
        <v>0.0</v>
      </c>
      <c r="G23" s="40">
        <v>9.0</v>
      </c>
      <c r="H23" s="39">
        <v>0.0</v>
      </c>
      <c r="I23" s="39">
        <v>0.0</v>
      </c>
      <c r="J23" s="39">
        <v>0.0</v>
      </c>
      <c r="K23" s="42">
        <v>9.0</v>
      </c>
      <c r="L23" s="39">
        <v>0.0</v>
      </c>
      <c r="M23" s="32">
        <f t="shared" ref="M23:N23" si="21">C23+K23</f>
        <v>159</v>
      </c>
      <c r="N23" s="32">
        <f t="shared" si="21"/>
        <v>11</v>
      </c>
      <c r="O23" s="43" t="s">
        <v>53</v>
      </c>
      <c r="P23" s="43" t="s">
        <v>53</v>
      </c>
      <c r="Q23" s="43" t="s">
        <v>53</v>
      </c>
      <c r="R23" s="39">
        <f>if(G23=13,1,0)+VLOOKUP(B23,'092124'!B:T,17,false)</f>
        <v>1</v>
      </c>
      <c r="S23" s="39"/>
      <c r="T23" s="39">
        <f>if(G23=9,1,0)+VLOOKUP(B23,'092124'!B:T,19,false)</f>
        <v>6</v>
      </c>
      <c r="U23" s="39">
        <f>VLOOKUP(B23,'092124'!B$5:V$70,21,false)-A23</f>
        <v>-1</v>
      </c>
      <c r="V23" s="30">
        <f t="shared" si="5"/>
        <v>19</v>
      </c>
    </row>
    <row r="24">
      <c r="A24" s="30">
        <f t="shared" si="3"/>
        <v>20</v>
      </c>
      <c r="B24" s="51" t="s">
        <v>84</v>
      </c>
      <c r="C24" s="32">
        <v>150.0</v>
      </c>
      <c r="D24" s="32">
        <v>11.0</v>
      </c>
      <c r="E24" s="37">
        <v>1.0</v>
      </c>
      <c r="F24" s="39">
        <v>5.0</v>
      </c>
      <c r="G24" s="40">
        <v>0.0</v>
      </c>
      <c r="H24" s="39">
        <v>3.0</v>
      </c>
      <c r="I24" s="39">
        <v>7.0</v>
      </c>
      <c r="J24" s="39">
        <v>3.0</v>
      </c>
      <c r="K24" s="42">
        <v>13.0</v>
      </c>
      <c r="L24" s="39">
        <v>1.0</v>
      </c>
      <c r="M24" s="32">
        <f t="shared" ref="M24:N24" si="22">C24+K24</f>
        <v>163</v>
      </c>
      <c r="N24" s="32">
        <f t="shared" si="22"/>
        <v>12</v>
      </c>
      <c r="O24" s="43" t="s">
        <v>53</v>
      </c>
      <c r="P24" s="43" t="s">
        <v>53</v>
      </c>
      <c r="Q24" s="43" t="s">
        <v>53</v>
      </c>
      <c r="R24" s="39">
        <f>if(G24=13,1,0)+VLOOKUP(B24,'092124'!B:T,17,false)</f>
        <v>1</v>
      </c>
      <c r="S24" s="39"/>
      <c r="T24" s="39">
        <f>if(G24=9,1,0)+VLOOKUP(B24,'092124'!B:T,19,false)</f>
        <v>2</v>
      </c>
      <c r="U24" s="39">
        <f>VLOOKUP(B24,'092124'!B$5:V$70,21,false)-A24</f>
        <v>4</v>
      </c>
      <c r="V24" s="30">
        <f t="shared" si="5"/>
        <v>20</v>
      </c>
    </row>
    <row r="25">
      <c r="A25" s="30">
        <f t="shared" si="3"/>
        <v>21</v>
      </c>
      <c r="B25" s="51" t="s">
        <v>87</v>
      </c>
      <c r="C25" s="32">
        <v>149.0</v>
      </c>
      <c r="D25" s="32">
        <v>13.0</v>
      </c>
      <c r="E25" s="37">
        <v>1.0</v>
      </c>
      <c r="F25" s="39">
        <v>5.0</v>
      </c>
      <c r="G25" s="40">
        <v>0.0</v>
      </c>
      <c r="H25" s="39">
        <v>6.0</v>
      </c>
      <c r="I25" s="39">
        <v>6.0</v>
      </c>
      <c r="J25" s="39">
        <v>3.0</v>
      </c>
      <c r="K25" s="42">
        <v>15.0</v>
      </c>
      <c r="L25" s="39">
        <v>1.0</v>
      </c>
      <c r="M25" s="32">
        <f t="shared" ref="M25:N25" si="23">C25+K25</f>
        <v>164</v>
      </c>
      <c r="N25" s="32">
        <f t="shared" si="23"/>
        <v>14</v>
      </c>
      <c r="O25" s="43" t="s">
        <v>53</v>
      </c>
      <c r="P25" s="43" t="s">
        <v>53</v>
      </c>
      <c r="Q25" s="43" t="s">
        <v>53</v>
      </c>
      <c r="R25" s="39">
        <f>if(G25=13,1,0)+VLOOKUP(B25,'092124'!B:T,17,false)</f>
        <v>2</v>
      </c>
      <c r="S25" s="39"/>
      <c r="T25" s="39">
        <f>if(G25=9,1,0)+VLOOKUP(B25,'092124'!B:T,19,false)</f>
        <v>1</v>
      </c>
      <c r="U25" s="39">
        <f>VLOOKUP(B25,'092124'!B$5:V$70,21,false)-A25</f>
        <v>-5</v>
      </c>
      <c r="V25" s="30">
        <f t="shared" si="5"/>
        <v>21</v>
      </c>
    </row>
    <row r="26">
      <c r="A26" s="30">
        <f t="shared" si="3"/>
        <v>22</v>
      </c>
      <c r="B26" s="56" t="s">
        <v>65</v>
      </c>
      <c r="C26" s="32">
        <v>146.0</v>
      </c>
      <c r="D26" s="32">
        <v>12.0</v>
      </c>
      <c r="E26" s="37">
        <v>1.0</v>
      </c>
      <c r="F26" s="39">
        <v>5.0</v>
      </c>
      <c r="G26" s="40">
        <v>0.0</v>
      </c>
      <c r="H26" s="39">
        <v>3.0</v>
      </c>
      <c r="I26" s="39">
        <v>6.0</v>
      </c>
      <c r="J26" s="39">
        <v>6.0</v>
      </c>
      <c r="K26" s="42">
        <v>15.0</v>
      </c>
      <c r="L26" s="39">
        <v>1.0</v>
      </c>
      <c r="M26" s="32">
        <f t="shared" ref="M26:N26" si="24">C26+K26</f>
        <v>161</v>
      </c>
      <c r="N26" s="32">
        <f t="shared" si="24"/>
        <v>13</v>
      </c>
      <c r="O26" s="43" t="s">
        <v>53</v>
      </c>
      <c r="P26" s="43" t="s">
        <v>53</v>
      </c>
      <c r="Q26" s="43" t="s">
        <v>53</v>
      </c>
      <c r="R26" s="39">
        <f>if(G26=13,1,0)+VLOOKUP(B26,'092124'!B:T,17,false)</f>
        <v>0</v>
      </c>
      <c r="S26" s="39"/>
      <c r="T26" s="39">
        <f>if(G26=9,1,0)+VLOOKUP(B26,'092124'!B:T,19,false)</f>
        <v>5</v>
      </c>
      <c r="U26" s="39">
        <f>VLOOKUP(B26,'092124'!B$5:V$70,21,false)-A26</f>
        <v>-3</v>
      </c>
      <c r="V26" s="30">
        <f t="shared" si="5"/>
        <v>22</v>
      </c>
    </row>
    <row r="27">
      <c r="A27" s="30">
        <f t="shared" si="3"/>
        <v>23</v>
      </c>
      <c r="B27" s="56" t="s">
        <v>101</v>
      </c>
      <c r="C27" s="32">
        <v>143.0</v>
      </c>
      <c r="D27" s="32">
        <v>10.0</v>
      </c>
      <c r="E27" s="37">
        <v>3.0</v>
      </c>
      <c r="F27" s="39">
        <v>0.0</v>
      </c>
      <c r="G27" s="40">
        <v>9.0</v>
      </c>
      <c r="H27" s="39">
        <v>0.0</v>
      </c>
      <c r="I27" s="39">
        <v>0.0</v>
      </c>
      <c r="J27" s="39">
        <v>0.0</v>
      </c>
      <c r="K27" s="42">
        <v>9.0</v>
      </c>
      <c r="L27" s="39">
        <v>0.0</v>
      </c>
      <c r="M27" s="32">
        <f t="shared" ref="M27:N27" si="25">C27+K27</f>
        <v>152</v>
      </c>
      <c r="N27" s="32">
        <f t="shared" si="25"/>
        <v>10</v>
      </c>
      <c r="O27" s="43" t="s">
        <v>53</v>
      </c>
      <c r="P27" s="43" t="s">
        <v>53</v>
      </c>
      <c r="Q27" s="43" t="s">
        <v>53</v>
      </c>
      <c r="R27" s="39">
        <f>if(G27=13,1,0)+VLOOKUP(B27,'092124'!B:T,17,false)</f>
        <v>0</v>
      </c>
      <c r="S27" s="39"/>
      <c r="T27" s="39">
        <f>if(G27=9,1,0)+VLOOKUP(B27,'092124'!B:T,19,false)</f>
        <v>6</v>
      </c>
      <c r="U27" s="39">
        <f>VLOOKUP(B27,'092124'!B$5:V$70,21,false)-A27</f>
        <v>-2</v>
      </c>
      <c r="V27" s="30">
        <f t="shared" si="5"/>
        <v>23</v>
      </c>
    </row>
    <row r="28">
      <c r="A28" s="30">
        <f t="shared" si="3"/>
        <v>24</v>
      </c>
      <c r="B28" s="31" t="s">
        <v>82</v>
      </c>
      <c r="C28" s="32">
        <v>143.0</v>
      </c>
      <c r="D28" s="32">
        <v>10.0</v>
      </c>
      <c r="E28" s="37">
        <v>2.0</v>
      </c>
      <c r="F28" s="39">
        <v>5.0</v>
      </c>
      <c r="G28" s="40">
        <v>0.0</v>
      </c>
      <c r="H28" s="39">
        <v>6.0</v>
      </c>
      <c r="I28" s="39">
        <v>7.0</v>
      </c>
      <c r="J28" s="39">
        <v>6.0</v>
      </c>
      <c r="K28" s="42">
        <v>19.0</v>
      </c>
      <c r="L28" s="39">
        <v>3.0</v>
      </c>
      <c r="M28" s="32">
        <f t="shared" ref="M28:N28" si="26">C28+K28</f>
        <v>162</v>
      </c>
      <c r="N28" s="32">
        <f t="shared" si="26"/>
        <v>13</v>
      </c>
      <c r="O28" s="43" t="s">
        <v>53</v>
      </c>
      <c r="P28" s="43" t="s">
        <v>53</v>
      </c>
      <c r="Q28" s="43" t="s">
        <v>53</v>
      </c>
      <c r="R28" s="39">
        <f>if(G28=13,1,0)+VLOOKUP(B28,'092124'!B:T,17,false)</f>
        <v>1</v>
      </c>
      <c r="S28" s="39"/>
      <c r="T28" s="39">
        <f>if(G28=9,1,0)+VLOOKUP(B28,'092124'!B:T,19,false)</f>
        <v>7</v>
      </c>
      <c r="U28" s="39">
        <f>VLOOKUP(B28,'092124'!B$5:V$70,21,false)-A28</f>
        <v>-2</v>
      </c>
      <c r="V28" s="30">
        <f t="shared" si="5"/>
        <v>24</v>
      </c>
    </row>
    <row r="29">
      <c r="A29" s="30">
        <f t="shared" si="3"/>
        <v>25</v>
      </c>
      <c r="B29" s="31" t="s">
        <v>105</v>
      </c>
      <c r="C29" s="32">
        <v>141.0</v>
      </c>
      <c r="D29" s="32">
        <v>8.0</v>
      </c>
      <c r="E29" s="37">
        <v>1.0</v>
      </c>
      <c r="F29" s="39">
        <v>6.0</v>
      </c>
      <c r="G29" s="40">
        <v>0.0</v>
      </c>
      <c r="H29" s="39">
        <v>5.0</v>
      </c>
      <c r="I29" s="39">
        <v>4.0</v>
      </c>
      <c r="J29" s="39">
        <v>6.0</v>
      </c>
      <c r="K29" s="42">
        <v>15.0</v>
      </c>
      <c r="L29" s="39">
        <v>1.0</v>
      </c>
      <c r="M29" s="32">
        <f t="shared" ref="M29:N29" si="27">C29+K29</f>
        <v>156</v>
      </c>
      <c r="N29" s="32">
        <f t="shared" si="27"/>
        <v>9</v>
      </c>
      <c r="O29" s="43" t="s">
        <v>53</v>
      </c>
      <c r="P29" s="43" t="s">
        <v>53</v>
      </c>
      <c r="Q29" s="43" t="s">
        <v>53</v>
      </c>
      <c r="R29" s="39">
        <f>if(G29=13,1,0)+VLOOKUP(B29,'092124'!B:T,17,false)</f>
        <v>0</v>
      </c>
      <c r="S29" s="39"/>
      <c r="T29" s="39">
        <f>if(G29=9,1,0)+VLOOKUP(B29,'092124'!B:T,19,false)</f>
        <v>5</v>
      </c>
      <c r="U29" s="39">
        <f>VLOOKUP(B29,'092124'!B$5:V$70,21,false)-A29</f>
        <v>0</v>
      </c>
      <c r="V29" s="30">
        <f t="shared" si="5"/>
        <v>25</v>
      </c>
    </row>
    <row r="30">
      <c r="A30" s="30">
        <f t="shared" si="3"/>
        <v>26</v>
      </c>
      <c r="B30" s="51" t="s">
        <v>111</v>
      </c>
      <c r="C30" s="32">
        <v>141.0</v>
      </c>
      <c r="D30" s="32">
        <v>7.0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8">C30+K30</f>
        <v>150</v>
      </c>
      <c r="N30" s="32">
        <f t="shared" si="28"/>
        <v>7</v>
      </c>
      <c r="O30" s="43" t="s">
        <v>53</v>
      </c>
      <c r="P30" s="43" t="s">
        <v>53</v>
      </c>
      <c r="Q30" s="43" t="s">
        <v>53</v>
      </c>
      <c r="R30" s="39">
        <f>if(G30=13,1,0)+VLOOKUP(B30,'092124'!B:T,17,false)</f>
        <v>0</v>
      </c>
      <c r="S30" s="39"/>
      <c r="T30" s="39">
        <f>if(G30=9,1,0)+VLOOKUP(B30,'092124'!B:T,19,false)</f>
        <v>7</v>
      </c>
      <c r="U30" s="39">
        <f>VLOOKUP(B30,'092124'!B$5:V$70,21,false)-A30</f>
        <v>3</v>
      </c>
      <c r="V30" s="30">
        <f t="shared" si="5"/>
        <v>26</v>
      </c>
    </row>
    <row r="31">
      <c r="A31" s="30">
        <f t="shared" si="3"/>
        <v>27</v>
      </c>
      <c r="B31" s="51" t="s">
        <v>104</v>
      </c>
      <c r="C31" s="32">
        <v>140.0</v>
      </c>
      <c r="D31" s="32">
        <v>14.0</v>
      </c>
      <c r="E31" s="37">
        <v>1.0</v>
      </c>
      <c r="F31" s="39">
        <v>6.0</v>
      </c>
      <c r="G31" s="40">
        <v>0.0</v>
      </c>
      <c r="H31" s="39">
        <v>7.0</v>
      </c>
      <c r="I31" s="39">
        <v>4.0</v>
      </c>
      <c r="J31" s="39">
        <v>0.0</v>
      </c>
      <c r="K31" s="42">
        <v>11.0</v>
      </c>
      <c r="L31" s="39">
        <v>1.0</v>
      </c>
      <c r="M31" s="32">
        <f t="shared" ref="M31:N31" si="29">C31+K31</f>
        <v>151</v>
      </c>
      <c r="N31" s="32">
        <f t="shared" si="29"/>
        <v>15</v>
      </c>
      <c r="O31" s="43" t="s">
        <v>53</v>
      </c>
      <c r="P31" s="43" t="s">
        <v>53</v>
      </c>
      <c r="Q31" s="43" t="s">
        <v>53</v>
      </c>
      <c r="R31" s="39">
        <f>if(G31=13,1,0)+VLOOKUP(B31,'092124'!B:T,17,false)</f>
        <v>0</v>
      </c>
      <c r="S31" s="39"/>
      <c r="T31" s="39">
        <f>if(G31=9,1,0)+VLOOKUP(B31,'092124'!B:T,19,false)</f>
        <v>0</v>
      </c>
      <c r="U31" s="39">
        <f>VLOOKUP(B31,'092124'!B$5:V$70,21,false)-A31</f>
        <v>5</v>
      </c>
      <c r="V31" s="30">
        <f t="shared" si="5"/>
        <v>27</v>
      </c>
    </row>
    <row r="32">
      <c r="A32" s="30">
        <f t="shared" si="3"/>
        <v>28</v>
      </c>
      <c r="B32" s="31" t="s">
        <v>66</v>
      </c>
      <c r="C32" s="32">
        <v>140.0</v>
      </c>
      <c r="D32" s="32">
        <v>8.0</v>
      </c>
      <c r="E32" s="37">
        <v>2.0</v>
      </c>
      <c r="F32" s="39">
        <v>6.0</v>
      </c>
      <c r="G32" s="40">
        <v>0.0</v>
      </c>
      <c r="H32" s="39">
        <v>5.0</v>
      </c>
      <c r="I32" s="39">
        <v>6.0</v>
      </c>
      <c r="J32" s="39">
        <v>0.0</v>
      </c>
      <c r="K32" s="42">
        <v>11.0</v>
      </c>
      <c r="L32" s="39">
        <v>1.0</v>
      </c>
      <c r="M32" s="32">
        <f t="shared" ref="M32:N32" si="30">C32+K32</f>
        <v>151</v>
      </c>
      <c r="N32" s="32">
        <f t="shared" si="30"/>
        <v>9</v>
      </c>
      <c r="O32" s="43" t="s">
        <v>53</v>
      </c>
      <c r="P32" s="43" t="s">
        <v>53</v>
      </c>
      <c r="Q32" s="43" t="s">
        <v>53</v>
      </c>
      <c r="R32" s="39">
        <f>if(G32=13,1,0)+VLOOKUP(B32,'092124'!B:T,17,false)</f>
        <v>2</v>
      </c>
      <c r="S32" s="39"/>
      <c r="T32" s="39">
        <f>if(G32=9,1,0)+VLOOKUP(B32,'092124'!B:T,19,false)</f>
        <v>4</v>
      </c>
      <c r="U32" s="39">
        <f>VLOOKUP(B32,'092124'!B$5:V$70,21,false)-A32</f>
        <v>-2</v>
      </c>
      <c r="V32" s="30">
        <f t="shared" si="5"/>
        <v>28</v>
      </c>
    </row>
    <row r="33">
      <c r="A33" s="30">
        <f t="shared" si="3"/>
        <v>29</v>
      </c>
      <c r="B33" s="31" t="s">
        <v>96</v>
      </c>
      <c r="C33" s="32">
        <v>138.0</v>
      </c>
      <c r="D33" s="32">
        <v>11.0</v>
      </c>
      <c r="E33" s="37">
        <v>3.0</v>
      </c>
      <c r="F33" s="39">
        <v>0.0</v>
      </c>
      <c r="G33" s="40">
        <v>9.0</v>
      </c>
      <c r="H33" s="39">
        <v>0.0</v>
      </c>
      <c r="I33" s="39">
        <v>0.0</v>
      </c>
      <c r="J33" s="39">
        <v>0.0</v>
      </c>
      <c r="K33" s="42">
        <v>9.0</v>
      </c>
      <c r="L33" s="39">
        <v>0.0</v>
      </c>
      <c r="M33" s="32">
        <f t="shared" ref="M33:N33" si="31">C33+K33</f>
        <v>147</v>
      </c>
      <c r="N33" s="32">
        <f t="shared" si="31"/>
        <v>11</v>
      </c>
      <c r="O33" s="43" t="s">
        <v>53</v>
      </c>
      <c r="P33" s="43" t="s">
        <v>53</v>
      </c>
      <c r="Q33" s="43" t="s">
        <v>53</v>
      </c>
      <c r="R33" s="39">
        <f>if(G33=13,1,0)+VLOOKUP(B33,'092124'!B:T,17,false)</f>
        <v>1</v>
      </c>
      <c r="S33" s="39"/>
      <c r="T33" s="39">
        <f>if(G33=9,1,0)+VLOOKUP(B33,'092124'!B:T,19,false)</f>
        <v>7</v>
      </c>
      <c r="U33" s="39">
        <f>VLOOKUP(B33,'092124'!B$5:V$70,21,false)-A33</f>
        <v>-2</v>
      </c>
      <c r="V33" s="30">
        <f t="shared" si="5"/>
        <v>29</v>
      </c>
    </row>
    <row r="34">
      <c r="A34" s="30">
        <f t="shared" si="3"/>
        <v>30</v>
      </c>
      <c r="B34" s="31" t="s">
        <v>46</v>
      </c>
      <c r="C34" s="32">
        <v>138.0</v>
      </c>
      <c r="D34" s="32">
        <v>10.0</v>
      </c>
      <c r="E34" s="37">
        <v>3.0</v>
      </c>
      <c r="F34" s="39">
        <v>0.0</v>
      </c>
      <c r="G34" s="40">
        <v>9.0</v>
      </c>
      <c r="H34" s="39">
        <v>0.0</v>
      </c>
      <c r="I34" s="39">
        <v>0.0</v>
      </c>
      <c r="J34" s="39">
        <v>0.0</v>
      </c>
      <c r="K34" s="42">
        <v>9.0</v>
      </c>
      <c r="L34" s="39">
        <v>0.0</v>
      </c>
      <c r="M34" s="32">
        <f t="shared" ref="M34:N34" si="32">C34+K34</f>
        <v>147</v>
      </c>
      <c r="N34" s="32">
        <f t="shared" si="32"/>
        <v>10</v>
      </c>
      <c r="O34" s="43" t="s">
        <v>53</v>
      </c>
      <c r="P34" s="43" t="s">
        <v>53</v>
      </c>
      <c r="Q34" s="43" t="s">
        <v>53</v>
      </c>
      <c r="R34" s="39">
        <f>if(G34=13,1,0)+VLOOKUP(B34,'092124'!B:T,17,false)</f>
        <v>0</v>
      </c>
      <c r="S34" s="39"/>
      <c r="T34" s="39">
        <f>if(G34=9,1,0)+VLOOKUP(B34,'092124'!B:T,19,false)</f>
        <v>6</v>
      </c>
      <c r="U34" s="39">
        <f>VLOOKUP(B34,'092124'!B$5:V$70,21,false)-A34</f>
        <v>0</v>
      </c>
      <c r="V34" s="30">
        <f t="shared" si="5"/>
        <v>30</v>
      </c>
    </row>
    <row r="35">
      <c r="A35" s="30">
        <f t="shared" si="3"/>
        <v>31</v>
      </c>
      <c r="B35" s="31" t="s">
        <v>97</v>
      </c>
      <c r="C35" s="32">
        <v>137.0</v>
      </c>
      <c r="D35" s="32">
        <v>8.0</v>
      </c>
      <c r="E35" s="37">
        <v>3.0</v>
      </c>
      <c r="F35" s="39">
        <v>0.0</v>
      </c>
      <c r="G35" s="40">
        <v>9.0</v>
      </c>
      <c r="H35" s="39">
        <v>0.0</v>
      </c>
      <c r="I35" s="39">
        <v>0.0</v>
      </c>
      <c r="J35" s="39">
        <v>0.0</v>
      </c>
      <c r="K35" s="42">
        <v>9.0</v>
      </c>
      <c r="L35" s="39">
        <v>0.0</v>
      </c>
      <c r="M35" s="32">
        <f t="shared" ref="M35:N35" si="33">C35+K35</f>
        <v>146</v>
      </c>
      <c r="N35" s="32">
        <f t="shared" si="33"/>
        <v>8</v>
      </c>
      <c r="O35" s="43" t="s">
        <v>53</v>
      </c>
      <c r="P35" s="43" t="s">
        <v>53</v>
      </c>
      <c r="Q35" s="43" t="s">
        <v>53</v>
      </c>
      <c r="R35" s="39">
        <f>if(G35=13,1,0)+VLOOKUP(B35,'092124'!B:T,17,false)</f>
        <v>1</v>
      </c>
      <c r="S35" s="39"/>
      <c r="T35" s="39">
        <f>if(G35=9,1,0)+VLOOKUP(B35,'092124'!B:T,19,false)</f>
        <v>7</v>
      </c>
      <c r="U35" s="39">
        <f>VLOOKUP(B35,'092124'!B$5:V$70,21,false)-A35</f>
        <v>4</v>
      </c>
      <c r="V35" s="30">
        <f t="shared" si="5"/>
        <v>31</v>
      </c>
    </row>
    <row r="36">
      <c r="A36" s="30">
        <f t="shared" si="3"/>
        <v>32</v>
      </c>
      <c r="B36" s="31" t="s">
        <v>89</v>
      </c>
      <c r="C36" s="32">
        <v>136.0</v>
      </c>
      <c r="D36" s="32">
        <v>4.0</v>
      </c>
      <c r="E36" s="37">
        <v>2.0</v>
      </c>
      <c r="F36" s="39">
        <v>6.0</v>
      </c>
      <c r="G36" s="40">
        <v>0.0</v>
      </c>
      <c r="H36" s="39">
        <v>7.0</v>
      </c>
      <c r="I36" s="39">
        <v>6.0</v>
      </c>
      <c r="J36" s="39">
        <v>6.0</v>
      </c>
      <c r="K36" s="42">
        <v>19.0</v>
      </c>
      <c r="L36" s="39">
        <v>3.0</v>
      </c>
      <c r="M36" s="32">
        <f t="shared" ref="M36:N36" si="34">C36+K36</f>
        <v>155</v>
      </c>
      <c r="N36" s="32">
        <f t="shared" si="34"/>
        <v>7</v>
      </c>
      <c r="O36" s="43" t="s">
        <v>53</v>
      </c>
      <c r="P36" s="43" t="s">
        <v>53</v>
      </c>
      <c r="Q36" s="43" t="s">
        <v>53</v>
      </c>
      <c r="R36" s="39">
        <f>if(G36=13,1,0)+VLOOKUP(B36,'092124'!B:T,17,false)</f>
        <v>4</v>
      </c>
      <c r="S36" s="39"/>
      <c r="T36" s="39">
        <f>if(G36=9,1,0)+VLOOKUP(B36,'092124'!B:T,19,false)</f>
        <v>6</v>
      </c>
      <c r="U36" s="39">
        <f>VLOOKUP(B36,'092124'!B$5:V$70,21,false)-A36</f>
        <v>-4</v>
      </c>
      <c r="V36" s="30">
        <f t="shared" si="5"/>
        <v>32</v>
      </c>
    </row>
    <row r="37">
      <c r="A37" s="30">
        <f t="shared" si="3"/>
        <v>33</v>
      </c>
      <c r="B37" s="56" t="s">
        <v>110</v>
      </c>
      <c r="C37" s="32">
        <v>134.0</v>
      </c>
      <c r="D37" s="32">
        <v>5.0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5">C37+K37</f>
        <v>143</v>
      </c>
      <c r="N37" s="32">
        <f t="shared" si="35"/>
        <v>5</v>
      </c>
      <c r="O37" s="43" t="s">
        <v>53</v>
      </c>
      <c r="P37" s="43" t="s">
        <v>53</v>
      </c>
      <c r="Q37" s="43" t="s">
        <v>53</v>
      </c>
      <c r="R37" s="39">
        <f>if(G37=13,1,0)+VLOOKUP(B37,'092124'!B:T,17,false)</f>
        <v>3</v>
      </c>
      <c r="S37" s="39"/>
      <c r="T37" s="39">
        <f>if(G37=9,1,0)+VLOOKUP(B37,'092124'!B:T,19,false)</f>
        <v>5</v>
      </c>
      <c r="U37" s="39">
        <f>VLOOKUP(B37,'092124'!B$5:V$70,21,false)-A37</f>
        <v>-2</v>
      </c>
      <c r="V37" s="30">
        <f t="shared" si="5"/>
        <v>33</v>
      </c>
    </row>
    <row r="38">
      <c r="A38" s="30">
        <f t="shared" si="3"/>
        <v>34</v>
      </c>
      <c r="B38" s="56" t="s">
        <v>107</v>
      </c>
      <c r="C38" s="32">
        <v>132.0</v>
      </c>
      <c r="D38" s="32">
        <v>12.0</v>
      </c>
      <c r="E38" s="37">
        <v>1.0</v>
      </c>
      <c r="F38" s="39">
        <v>7.0</v>
      </c>
      <c r="G38" s="40">
        <v>0.0</v>
      </c>
      <c r="H38" s="39">
        <v>3.0</v>
      </c>
      <c r="I38" s="39">
        <v>3.0</v>
      </c>
      <c r="J38" s="39">
        <v>6.0</v>
      </c>
      <c r="K38" s="42">
        <v>12.0</v>
      </c>
      <c r="L38" s="39">
        <v>1.0</v>
      </c>
      <c r="M38" s="32">
        <f t="shared" ref="M38:N38" si="36">C38+K38</f>
        <v>144</v>
      </c>
      <c r="N38" s="32">
        <f t="shared" si="36"/>
        <v>13</v>
      </c>
      <c r="O38" s="43" t="s">
        <v>53</v>
      </c>
      <c r="P38" s="43" t="s">
        <v>53</v>
      </c>
      <c r="Q38" s="43" t="s">
        <v>53</v>
      </c>
      <c r="R38" s="39">
        <f>if(G38=13,1,0)+VLOOKUP(B38,'092124'!B:T,17,false)</f>
        <v>0</v>
      </c>
      <c r="S38" s="39"/>
      <c r="T38" s="39">
        <f>if(G38=9,1,0)+VLOOKUP(B38,'092124'!B:T,19,false)</f>
        <v>3</v>
      </c>
      <c r="U38" s="39">
        <f>VLOOKUP(B38,'092124'!B$5:V$70,21,false)-A38</f>
        <v>2</v>
      </c>
      <c r="V38" s="30">
        <f t="shared" si="5"/>
        <v>34</v>
      </c>
    </row>
    <row r="39">
      <c r="A39" s="30">
        <f t="shared" si="3"/>
        <v>35</v>
      </c>
      <c r="B39" s="51" t="s">
        <v>75</v>
      </c>
      <c r="C39" s="32">
        <v>132.0</v>
      </c>
      <c r="D39" s="32">
        <v>6.0</v>
      </c>
      <c r="E39" s="37">
        <v>3.0</v>
      </c>
      <c r="F39" s="39">
        <v>0.0</v>
      </c>
      <c r="G39" s="40">
        <v>9.0</v>
      </c>
      <c r="H39" s="39">
        <v>0.0</v>
      </c>
      <c r="I39" s="39">
        <v>0.0</v>
      </c>
      <c r="J39" s="39">
        <v>0.0</v>
      </c>
      <c r="K39" s="42">
        <v>9.0</v>
      </c>
      <c r="L39" s="39">
        <v>0.0</v>
      </c>
      <c r="M39" s="32">
        <f t="shared" ref="M39:N39" si="37">C39+K39</f>
        <v>141</v>
      </c>
      <c r="N39" s="32">
        <f t="shared" si="37"/>
        <v>6</v>
      </c>
      <c r="O39" s="43" t="s">
        <v>53</v>
      </c>
      <c r="P39" s="43" t="s">
        <v>53</v>
      </c>
      <c r="Q39" s="43" t="s">
        <v>53</v>
      </c>
      <c r="R39" s="39">
        <f>if(G39=13,1,0)+VLOOKUP(B39,'092124'!B:T,17,false)</f>
        <v>1</v>
      </c>
      <c r="S39" s="39"/>
      <c r="T39" s="39">
        <f>if(G39=9,1,0)+VLOOKUP(B39,'092124'!B:T,19,false)</f>
        <v>10</v>
      </c>
      <c r="U39" s="39">
        <f>VLOOKUP(B39,'092124'!B$5:V$70,21,false)-A39</f>
        <v>13</v>
      </c>
      <c r="V39" s="30">
        <f t="shared" si="5"/>
        <v>35</v>
      </c>
    </row>
    <row r="40">
      <c r="A40" s="30">
        <f t="shared" si="3"/>
        <v>36</v>
      </c>
      <c r="B40" s="31" t="s">
        <v>73</v>
      </c>
      <c r="C40" s="32">
        <v>131.0</v>
      </c>
      <c r="D40" s="32">
        <v>6.0</v>
      </c>
      <c r="E40" s="37">
        <v>3.0</v>
      </c>
      <c r="F40" s="39">
        <v>0.0</v>
      </c>
      <c r="G40" s="40">
        <v>9.0</v>
      </c>
      <c r="H40" s="39">
        <v>0.0</v>
      </c>
      <c r="I40" s="39">
        <v>0.0</v>
      </c>
      <c r="J40" s="39">
        <v>0.0</v>
      </c>
      <c r="K40" s="42">
        <v>9.0</v>
      </c>
      <c r="L40" s="39">
        <v>0.0</v>
      </c>
      <c r="M40" s="32">
        <f t="shared" ref="M40:N40" si="38">C40+K40</f>
        <v>140</v>
      </c>
      <c r="N40" s="32">
        <f t="shared" si="38"/>
        <v>6</v>
      </c>
      <c r="O40" s="43" t="s">
        <v>53</v>
      </c>
      <c r="P40" s="43" t="s">
        <v>53</v>
      </c>
      <c r="Q40" s="43" t="s">
        <v>53</v>
      </c>
      <c r="R40" s="39">
        <f>if(G40=13,1,0)+VLOOKUP(B40,'092124'!B:T,17,false)</f>
        <v>2</v>
      </c>
      <c r="S40" s="39"/>
      <c r="T40" s="39">
        <f>if(G40=9,1,0)+VLOOKUP(B40,'092124'!B:T,19,false)</f>
        <v>7</v>
      </c>
      <c r="U40" s="39">
        <f>VLOOKUP(B40,'092124'!B$5:V$70,21,false)-A40</f>
        <v>-3</v>
      </c>
      <c r="V40" s="30">
        <f t="shared" si="5"/>
        <v>36</v>
      </c>
    </row>
    <row r="41">
      <c r="A41" s="30">
        <f t="shared" si="3"/>
        <v>37</v>
      </c>
      <c r="B41" s="51" t="s">
        <v>99</v>
      </c>
      <c r="C41" s="32">
        <v>131.0</v>
      </c>
      <c r="D41" s="32">
        <v>6.0</v>
      </c>
      <c r="E41" s="37">
        <v>1.0</v>
      </c>
      <c r="F41" s="39">
        <v>7.0</v>
      </c>
      <c r="G41" s="40">
        <v>0.0</v>
      </c>
      <c r="H41" s="39">
        <v>6.0</v>
      </c>
      <c r="I41" s="39">
        <v>6.0</v>
      </c>
      <c r="J41" s="39">
        <v>6.0</v>
      </c>
      <c r="K41" s="42">
        <v>18.0</v>
      </c>
      <c r="L41" s="39">
        <v>3.0</v>
      </c>
      <c r="M41" s="32">
        <f t="shared" ref="M41:N41" si="39">C41+K41</f>
        <v>149</v>
      </c>
      <c r="N41" s="32">
        <f t="shared" si="39"/>
        <v>9</v>
      </c>
      <c r="O41" s="43" t="s">
        <v>53</v>
      </c>
      <c r="P41" s="43"/>
      <c r="Q41" s="43" t="s">
        <v>53</v>
      </c>
      <c r="R41" s="39">
        <f>if(G41=13,1,0)+VLOOKUP(B41,'092124'!B:T,17,false)</f>
        <v>0</v>
      </c>
      <c r="S41" s="39"/>
      <c r="T41" s="39">
        <f>if(G41=9,1,0)+VLOOKUP(B41,'092124'!B:T,19,false)</f>
        <v>3</v>
      </c>
      <c r="U41" s="39">
        <f>VLOOKUP(B41,'092124'!B$5:V$70,21,false)-A41</f>
        <v>6</v>
      </c>
      <c r="V41" s="30">
        <f t="shared" si="5"/>
        <v>37</v>
      </c>
    </row>
    <row r="42">
      <c r="A42" s="30">
        <f t="shared" si="3"/>
        <v>38</v>
      </c>
      <c r="B42" s="51" t="s">
        <v>116</v>
      </c>
      <c r="C42" s="32">
        <v>130.0</v>
      </c>
      <c r="D42" s="32">
        <v>7.0</v>
      </c>
      <c r="E42" s="37">
        <v>1.0</v>
      </c>
      <c r="F42" s="39">
        <v>7.0</v>
      </c>
      <c r="G42" s="40">
        <v>0.0</v>
      </c>
      <c r="H42" s="39">
        <v>3.0</v>
      </c>
      <c r="I42" s="39">
        <v>6.0</v>
      </c>
      <c r="J42" s="39">
        <v>0.0</v>
      </c>
      <c r="K42" s="42">
        <v>9.0</v>
      </c>
      <c r="L42" s="39">
        <v>1.0</v>
      </c>
      <c r="M42" s="32">
        <f t="shared" ref="M42:N42" si="40">C42+K42</f>
        <v>139</v>
      </c>
      <c r="N42" s="32">
        <f t="shared" si="40"/>
        <v>8</v>
      </c>
      <c r="O42" s="43" t="s">
        <v>53</v>
      </c>
      <c r="P42" s="43" t="s">
        <v>53</v>
      </c>
      <c r="Q42" s="43" t="s">
        <v>53</v>
      </c>
      <c r="R42" s="39">
        <f>if(G42=13,1,0)+VLOOKUP(B42,'092124'!B:T,17,false)</f>
        <v>1</v>
      </c>
      <c r="S42" s="39"/>
      <c r="T42" s="39">
        <f>if(G42=9,1,0)+VLOOKUP(B42,'092124'!B:T,19,false)</f>
        <v>3</v>
      </c>
      <c r="U42" s="39">
        <f>VLOOKUP(B42,'092124'!B$5:V$70,21,false)-A42</f>
        <v>-4</v>
      </c>
      <c r="V42" s="30">
        <f t="shared" si="5"/>
        <v>38</v>
      </c>
    </row>
    <row r="43">
      <c r="A43" s="30">
        <f t="shared" si="3"/>
        <v>39</v>
      </c>
      <c r="B43" s="51" t="s">
        <v>76</v>
      </c>
      <c r="C43" s="32">
        <v>129.0</v>
      </c>
      <c r="D43" s="32">
        <v>10.0</v>
      </c>
      <c r="E43" s="37">
        <v>1.0</v>
      </c>
      <c r="F43" s="39">
        <v>7.0</v>
      </c>
      <c r="G43" s="40">
        <v>0.0</v>
      </c>
      <c r="H43" s="39">
        <v>6.0</v>
      </c>
      <c r="I43" s="39">
        <v>3.0</v>
      </c>
      <c r="J43" s="39">
        <v>0.0</v>
      </c>
      <c r="K43" s="42">
        <v>9.0</v>
      </c>
      <c r="L43" s="39">
        <v>1.0</v>
      </c>
      <c r="M43" s="32">
        <f t="shared" ref="M43:N43" si="41">C43+K43</f>
        <v>138</v>
      </c>
      <c r="N43" s="32">
        <f t="shared" si="41"/>
        <v>11</v>
      </c>
      <c r="O43" s="43" t="s">
        <v>53</v>
      </c>
      <c r="P43" s="43" t="s">
        <v>53</v>
      </c>
      <c r="Q43" s="43" t="s">
        <v>53</v>
      </c>
      <c r="R43" s="39">
        <f>if(G43=13,1,0)+VLOOKUP(B43,'092124'!B:T,17,false)</f>
        <v>0</v>
      </c>
      <c r="S43" s="39"/>
      <c r="T43" s="39">
        <f>if(G43=9,1,0)+VLOOKUP(B43,'092124'!B:T,19,false)</f>
        <v>5</v>
      </c>
      <c r="U43" s="39">
        <f>VLOOKUP(B43,'092124'!B$5:V$70,21,false)-A43</f>
        <v>-2</v>
      </c>
      <c r="V43" s="30">
        <f t="shared" si="5"/>
        <v>39</v>
      </c>
    </row>
    <row r="44">
      <c r="A44" s="30">
        <f t="shared" si="3"/>
        <v>40</v>
      </c>
      <c r="B44" s="51" t="s">
        <v>103</v>
      </c>
      <c r="C44" s="32">
        <v>129.0</v>
      </c>
      <c r="D44" s="32">
        <v>6.0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2">C44+K44</f>
        <v>138</v>
      </c>
      <c r="N44" s="32">
        <f t="shared" si="42"/>
        <v>6</v>
      </c>
      <c r="O44" s="43" t="s">
        <v>53</v>
      </c>
      <c r="P44" s="43" t="s">
        <v>53</v>
      </c>
      <c r="Q44" s="43" t="s">
        <v>53</v>
      </c>
      <c r="R44" s="39">
        <f>if(G44=13,1,0)+VLOOKUP(B44,'092124'!B:T,17,false)</f>
        <v>1</v>
      </c>
      <c r="S44" s="39"/>
      <c r="T44" s="39">
        <f>if(G44=9,1,0)+VLOOKUP(B44,'092124'!B:T,19,false)</f>
        <v>8</v>
      </c>
      <c r="U44" s="39">
        <f>VLOOKUP(B44,'092124'!B$5:V$70,21,false)-A44</f>
        <v>-2</v>
      </c>
      <c r="V44" s="30">
        <f t="shared" si="5"/>
        <v>40</v>
      </c>
    </row>
    <row r="45">
      <c r="A45" s="30">
        <f t="shared" si="3"/>
        <v>41</v>
      </c>
      <c r="B45" s="31" t="s">
        <v>109</v>
      </c>
      <c r="C45" s="32">
        <v>129.0</v>
      </c>
      <c r="D45" s="32">
        <v>2.0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3">C45+K45</f>
        <v>138</v>
      </c>
      <c r="N45" s="32">
        <f t="shared" si="43"/>
        <v>2</v>
      </c>
      <c r="O45" s="43" t="s">
        <v>53</v>
      </c>
      <c r="P45" s="43" t="s">
        <v>53</v>
      </c>
      <c r="Q45" s="43" t="s">
        <v>53</v>
      </c>
      <c r="R45" s="39">
        <f>if(G45=13,1,0)+VLOOKUP(B45,'092124'!B:T,17,false)</f>
        <v>3</v>
      </c>
      <c r="S45" s="39"/>
      <c r="T45" s="39">
        <f>if(G45=9,1,0)+VLOOKUP(B45,'092124'!B:T,19,false)</f>
        <v>9</v>
      </c>
      <c r="U45" s="39">
        <f>VLOOKUP(B45,'092124'!B$5:V$70,21,false)-A45</f>
        <v>-2</v>
      </c>
      <c r="V45" s="30">
        <f t="shared" si="5"/>
        <v>41</v>
      </c>
    </row>
    <row r="46">
      <c r="A46" s="30">
        <f t="shared" si="3"/>
        <v>42</v>
      </c>
      <c r="B46" s="78" t="s">
        <v>114</v>
      </c>
      <c r="C46" s="32">
        <v>128.0</v>
      </c>
      <c r="D46" s="32">
        <v>7.0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4">C46+K46</f>
        <v>137</v>
      </c>
      <c r="N46" s="32">
        <f t="shared" si="44"/>
        <v>7</v>
      </c>
      <c r="O46" s="43" t="s">
        <v>53</v>
      </c>
      <c r="P46" s="43" t="s">
        <v>53</v>
      </c>
      <c r="Q46" s="43" t="s">
        <v>53</v>
      </c>
      <c r="R46" s="39">
        <f>if(G46=13,1,0)+VLOOKUP(B46,'092124'!B:T,17,false)</f>
        <v>2</v>
      </c>
      <c r="S46" s="39"/>
      <c r="T46" s="39">
        <f>if(G46=9,1,0)+VLOOKUP(B46,'092124'!B:T,19,false)</f>
        <v>5</v>
      </c>
      <c r="U46" s="39">
        <f>VLOOKUP(B46,'092124'!B$5:V$70,21,false)-A46</f>
        <v>-2</v>
      </c>
      <c r="V46" s="30">
        <f t="shared" si="5"/>
        <v>42</v>
      </c>
    </row>
    <row r="47">
      <c r="A47" s="30">
        <f t="shared" si="3"/>
        <v>43</v>
      </c>
      <c r="B47" s="31" t="s">
        <v>63</v>
      </c>
      <c r="C47" s="32">
        <v>126.0</v>
      </c>
      <c r="D47" s="32">
        <v>6.0</v>
      </c>
      <c r="E47" s="37">
        <v>2.0</v>
      </c>
      <c r="F47" s="39">
        <v>8.0</v>
      </c>
      <c r="G47" s="40">
        <v>0.0</v>
      </c>
      <c r="H47" s="39">
        <v>7.0</v>
      </c>
      <c r="I47" s="39">
        <v>6.0</v>
      </c>
      <c r="J47" s="39">
        <v>6.0</v>
      </c>
      <c r="K47" s="42">
        <v>19.0</v>
      </c>
      <c r="L47" s="39">
        <v>3.0</v>
      </c>
      <c r="M47" s="32">
        <f t="shared" ref="M47:N47" si="45">C47+K47</f>
        <v>145</v>
      </c>
      <c r="N47" s="32">
        <f t="shared" si="45"/>
        <v>9</v>
      </c>
      <c r="O47" s="43" t="s">
        <v>53</v>
      </c>
      <c r="P47" s="43" t="s">
        <v>53</v>
      </c>
      <c r="Q47" s="43" t="s">
        <v>53</v>
      </c>
      <c r="R47" s="39">
        <f>if(G47=13,1,0)+VLOOKUP(B47,'092124'!B:T,17,false)</f>
        <v>0</v>
      </c>
      <c r="S47" s="39"/>
      <c r="T47" s="39">
        <f>if(G47=9,1,0)+VLOOKUP(B47,'092124'!B:T,19,false)</f>
        <v>10</v>
      </c>
      <c r="U47" s="39">
        <f>VLOOKUP(B47,'092124'!B$5:V$70,21,false)-A47</f>
        <v>-2</v>
      </c>
      <c r="V47" s="30">
        <f t="shared" si="5"/>
        <v>43</v>
      </c>
    </row>
    <row r="48">
      <c r="A48" s="30">
        <f t="shared" si="3"/>
        <v>44</v>
      </c>
      <c r="B48" s="31" t="s">
        <v>79</v>
      </c>
      <c r="C48" s="32">
        <v>125.0</v>
      </c>
      <c r="D48" s="32">
        <v>4.0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6">C48+K48</f>
        <v>134</v>
      </c>
      <c r="N48" s="32">
        <f t="shared" si="46"/>
        <v>4</v>
      </c>
      <c r="O48" s="43" t="s">
        <v>53</v>
      </c>
      <c r="P48" s="43" t="s">
        <v>53</v>
      </c>
      <c r="Q48" s="43" t="s">
        <v>53</v>
      </c>
      <c r="R48" s="39">
        <f>if(G48=13,1,0)+VLOOKUP(B48,'092124'!B:T,17,false)</f>
        <v>2</v>
      </c>
      <c r="S48" s="39"/>
      <c r="T48" s="39">
        <f>if(G48=9,1,0)+VLOOKUP(B48,'092124'!B:T,19,false)</f>
        <v>8</v>
      </c>
      <c r="U48" s="39">
        <f>VLOOKUP(B48,'092124'!B$5:V$70,21,false)-A48</f>
        <v>-2</v>
      </c>
      <c r="V48" s="30">
        <f t="shared" si="5"/>
        <v>44</v>
      </c>
    </row>
    <row r="49">
      <c r="A49" s="30">
        <f t="shared" si="3"/>
        <v>45</v>
      </c>
      <c r="B49" s="56" t="s">
        <v>115</v>
      </c>
      <c r="C49" s="32">
        <v>124.0</v>
      </c>
      <c r="D49" s="32">
        <v>8.0</v>
      </c>
      <c r="E49" s="37">
        <v>1.0</v>
      </c>
      <c r="F49" s="39">
        <v>8.0</v>
      </c>
      <c r="G49" s="40">
        <v>0.0</v>
      </c>
      <c r="H49" s="39">
        <v>5.0</v>
      </c>
      <c r="I49" s="39">
        <v>1.0</v>
      </c>
      <c r="J49" s="39">
        <v>6.0</v>
      </c>
      <c r="K49" s="42">
        <v>12.0</v>
      </c>
      <c r="L49" s="39">
        <v>1.0</v>
      </c>
      <c r="M49" s="32">
        <f t="shared" ref="M49:N49" si="47">C49+K49</f>
        <v>136</v>
      </c>
      <c r="N49" s="32">
        <f t="shared" si="47"/>
        <v>9</v>
      </c>
      <c r="O49" s="43" t="s">
        <v>53</v>
      </c>
      <c r="P49" s="43" t="s">
        <v>53</v>
      </c>
      <c r="Q49" s="43" t="s">
        <v>53</v>
      </c>
      <c r="R49" s="39">
        <f>if(G49=13,1,0)+VLOOKUP(B49,'092124'!B:T,17,false)</f>
        <v>0</v>
      </c>
      <c r="S49" s="39"/>
      <c r="T49" s="39">
        <f>if(G49=9,1,0)+VLOOKUP(B49,'092124'!B:T,19,false)</f>
        <v>1</v>
      </c>
      <c r="U49" s="39">
        <f>VLOOKUP(B49,'092124'!B$5:V$70,21,false)-A49</f>
        <v>6</v>
      </c>
      <c r="V49" s="30">
        <f t="shared" si="5"/>
        <v>45</v>
      </c>
    </row>
    <row r="50">
      <c r="A50" s="30">
        <f t="shared" si="3"/>
        <v>46</v>
      </c>
      <c r="B50" s="31" t="s">
        <v>56</v>
      </c>
      <c r="C50" s="32">
        <v>124.0</v>
      </c>
      <c r="D50" s="32">
        <v>3.0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8">C50+K50</f>
        <v>133</v>
      </c>
      <c r="N50" s="32">
        <f t="shared" si="48"/>
        <v>3</v>
      </c>
      <c r="O50" s="43" t="s">
        <v>53</v>
      </c>
      <c r="P50" s="43" t="s">
        <v>53</v>
      </c>
      <c r="Q50" s="43" t="s">
        <v>53</v>
      </c>
      <c r="R50" s="39">
        <f>if(G50=13,1,0)+VLOOKUP(B50,'092124'!B:T,17,false)</f>
        <v>1</v>
      </c>
      <c r="S50" s="39"/>
      <c r="T50" s="39">
        <f>if(G50=9,1,0)+VLOOKUP(B50,'092124'!B:T,19,false)</f>
        <v>10</v>
      </c>
      <c r="U50" s="39">
        <f>VLOOKUP(B50,'092124'!B$5:V$70,21,false)-A50</f>
        <v>-2</v>
      </c>
      <c r="V50" s="30">
        <f t="shared" si="5"/>
        <v>46</v>
      </c>
    </row>
    <row r="51">
      <c r="A51" s="30">
        <f t="shared" si="3"/>
        <v>47</v>
      </c>
      <c r="B51" s="56" t="s">
        <v>51</v>
      </c>
      <c r="C51" s="32">
        <v>123.0</v>
      </c>
      <c r="D51" s="32">
        <v>8.0</v>
      </c>
      <c r="E51" s="37">
        <v>1.0</v>
      </c>
      <c r="F51" s="39">
        <v>8.0</v>
      </c>
      <c r="G51" s="40">
        <v>0.0</v>
      </c>
      <c r="H51" s="39">
        <v>7.0</v>
      </c>
      <c r="I51" s="39">
        <v>1.0</v>
      </c>
      <c r="J51" s="39">
        <v>2.0</v>
      </c>
      <c r="K51" s="42">
        <v>10.0</v>
      </c>
      <c r="L51" s="39">
        <v>1.0</v>
      </c>
      <c r="M51" s="32">
        <f t="shared" ref="M51:N51" si="49">C51+K51</f>
        <v>133</v>
      </c>
      <c r="N51" s="32">
        <f t="shared" si="49"/>
        <v>9</v>
      </c>
      <c r="O51" s="43" t="s">
        <v>53</v>
      </c>
      <c r="P51" s="43" t="s">
        <v>53</v>
      </c>
      <c r="Q51" s="43" t="s">
        <v>53</v>
      </c>
      <c r="R51" s="39">
        <f>if(G51=13,1,0)+VLOOKUP(B51,'092124'!B:T,17,false)</f>
        <v>1</v>
      </c>
      <c r="S51" s="39"/>
      <c r="T51" s="39">
        <f>if(G51=9,1,0)+VLOOKUP(B51,'092124'!B:T,19,false)</f>
        <v>4</v>
      </c>
      <c r="U51" s="39">
        <f>VLOOKUP(B51,'092124'!B$5:V$70,21,false)-A51</f>
        <v>3</v>
      </c>
      <c r="V51" s="30">
        <f t="shared" si="5"/>
        <v>47</v>
      </c>
    </row>
    <row r="52">
      <c r="A52" s="30">
        <f t="shared" si="3"/>
        <v>48</v>
      </c>
      <c r="B52" s="31" t="s">
        <v>106</v>
      </c>
      <c r="C52" s="32">
        <v>123.0</v>
      </c>
      <c r="D52" s="32">
        <v>5.0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50">C52+K52</f>
        <v>132</v>
      </c>
      <c r="N52" s="32">
        <f t="shared" si="50"/>
        <v>5</v>
      </c>
      <c r="O52" s="43" t="s">
        <v>53</v>
      </c>
      <c r="P52" s="43" t="s">
        <v>53</v>
      </c>
      <c r="Q52" s="43" t="s">
        <v>53</v>
      </c>
      <c r="R52" s="39">
        <f>if(G52=13,1,0)+VLOOKUP(B52,'092124'!B:T,17,false)</f>
        <v>0</v>
      </c>
      <c r="S52" s="39"/>
      <c r="T52" s="39">
        <f>if(G52=9,1,0)+VLOOKUP(B52,'092124'!B:T,19,false)</f>
        <v>10</v>
      </c>
      <c r="U52" s="39">
        <f>VLOOKUP(B52,'092124'!B$5:V$70,21,false)-A52</f>
        <v>-3</v>
      </c>
      <c r="V52" s="30">
        <f t="shared" si="5"/>
        <v>48</v>
      </c>
    </row>
    <row r="53">
      <c r="A53" s="30">
        <f t="shared" si="3"/>
        <v>49</v>
      </c>
      <c r="B53" s="31" t="s">
        <v>119</v>
      </c>
      <c r="C53" s="32">
        <v>121.0</v>
      </c>
      <c r="D53" s="32">
        <v>4.0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1">C53+K53</f>
        <v>130</v>
      </c>
      <c r="N53" s="32">
        <f t="shared" si="51"/>
        <v>4</v>
      </c>
      <c r="O53" s="43" t="s">
        <v>53</v>
      </c>
      <c r="P53" s="43" t="s">
        <v>53</v>
      </c>
      <c r="Q53" s="43" t="s">
        <v>53</v>
      </c>
      <c r="R53" s="39">
        <f>if(G53=13,1,0)+VLOOKUP(B53,'092124'!B:T,17,false)</f>
        <v>0</v>
      </c>
      <c r="S53" s="39"/>
      <c r="T53" s="39">
        <f>if(G53=9,1,0)+VLOOKUP(B53,'092124'!B:T,19,false)</f>
        <v>11</v>
      </c>
      <c r="U53" s="39">
        <f>VLOOKUP(B53,'092124'!B$5:V$70,21,false)-A53</f>
        <v>-3</v>
      </c>
      <c r="V53" s="30">
        <f t="shared" si="5"/>
        <v>49</v>
      </c>
    </row>
    <row r="54">
      <c r="A54" s="30">
        <f t="shared" si="3"/>
        <v>50</v>
      </c>
      <c r="B54" s="31" t="s">
        <v>120</v>
      </c>
      <c r="C54" s="32">
        <v>121.0</v>
      </c>
      <c r="D54" s="32">
        <v>4.0</v>
      </c>
      <c r="E54" s="37">
        <v>3.0</v>
      </c>
      <c r="F54" s="39">
        <v>0.0</v>
      </c>
      <c r="G54" s="40">
        <v>9.0</v>
      </c>
      <c r="H54" s="39">
        <v>0.0</v>
      </c>
      <c r="I54" s="39">
        <v>0.0</v>
      </c>
      <c r="J54" s="39">
        <v>0.0</v>
      </c>
      <c r="K54" s="42">
        <v>9.0</v>
      </c>
      <c r="L54" s="39">
        <v>0.0</v>
      </c>
      <c r="M54" s="32">
        <f t="shared" ref="M54:N54" si="52">C54+K54</f>
        <v>130</v>
      </c>
      <c r="N54" s="32">
        <f t="shared" si="52"/>
        <v>4</v>
      </c>
      <c r="O54" s="43" t="s">
        <v>53</v>
      </c>
      <c r="P54" s="43" t="s">
        <v>53</v>
      </c>
      <c r="Q54" s="43" t="s">
        <v>53</v>
      </c>
      <c r="R54" s="39">
        <f>if(G54=13,1,0)+VLOOKUP(B54,'092124'!B:T,17,false)</f>
        <v>1</v>
      </c>
      <c r="S54" s="39"/>
      <c r="T54" s="39">
        <f>if(G54=9,1,0)+VLOOKUP(B54,'092124'!B:T,19,false)</f>
        <v>10</v>
      </c>
      <c r="U54" s="39">
        <f>VLOOKUP(B54,'092124'!B$5:V$70,21,false)-A54</f>
        <v>-3</v>
      </c>
      <c r="V54" s="30">
        <f t="shared" si="5"/>
        <v>50</v>
      </c>
    </row>
    <row r="55">
      <c r="A55" s="30">
        <f t="shared" si="3"/>
        <v>51</v>
      </c>
      <c r="B55" s="31" t="s">
        <v>81</v>
      </c>
      <c r="C55" s="32">
        <v>121.0</v>
      </c>
      <c r="D55" s="32">
        <v>4.0</v>
      </c>
      <c r="E55" s="37">
        <v>1.0</v>
      </c>
      <c r="F55" s="39">
        <v>8.0</v>
      </c>
      <c r="G55" s="40">
        <v>0.0</v>
      </c>
      <c r="H55" s="39">
        <v>5.0</v>
      </c>
      <c r="I55" s="39">
        <v>6.0</v>
      </c>
      <c r="J55" s="39">
        <v>2.0</v>
      </c>
      <c r="K55" s="42">
        <v>13.0</v>
      </c>
      <c r="L55" s="39">
        <v>1.0</v>
      </c>
      <c r="M55" s="32">
        <f t="shared" ref="M55:N55" si="53">C55+K55</f>
        <v>134</v>
      </c>
      <c r="N55" s="32">
        <f t="shared" si="53"/>
        <v>5</v>
      </c>
      <c r="O55" s="43" t="s">
        <v>53</v>
      </c>
      <c r="P55" s="43" t="s">
        <v>53</v>
      </c>
      <c r="Q55" s="43" t="s">
        <v>53</v>
      </c>
      <c r="R55" s="39">
        <f>if(G55=13,1,0)+VLOOKUP(B55,'092124'!B:T,17,false)</f>
        <v>1</v>
      </c>
      <c r="S55" s="39"/>
      <c r="T55" s="39">
        <f>if(G55=9,1,0)+VLOOKUP(B55,'092124'!B:T,19,false)</f>
        <v>9</v>
      </c>
      <c r="U55" s="39">
        <f>VLOOKUP(B55,'092124'!B$5:V$70,21,false)-A55</f>
        <v>10</v>
      </c>
      <c r="V55" s="30">
        <f t="shared" si="5"/>
        <v>51</v>
      </c>
    </row>
    <row r="56">
      <c r="A56" s="30">
        <f t="shared" si="3"/>
        <v>52</v>
      </c>
      <c r="B56" s="31" t="s">
        <v>117</v>
      </c>
      <c r="C56" s="32">
        <v>121.0</v>
      </c>
      <c r="D56" s="32">
        <v>3.0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4">C56+K56</f>
        <v>130</v>
      </c>
      <c r="N56" s="32">
        <f t="shared" si="54"/>
        <v>3</v>
      </c>
      <c r="O56" s="43" t="s">
        <v>53</v>
      </c>
      <c r="P56" s="43" t="s">
        <v>53</v>
      </c>
      <c r="Q56" s="43" t="s">
        <v>53</v>
      </c>
      <c r="R56" s="39">
        <f>if(G56=13,1,0)+VLOOKUP(B56,'092124'!B:T,17,false)</f>
        <v>1</v>
      </c>
      <c r="S56" s="39"/>
      <c r="T56" s="39">
        <f>if(G56=9,1,0)+VLOOKUP(B56,'092124'!B:T,19,false)</f>
        <v>10</v>
      </c>
      <c r="U56" s="39">
        <f>VLOOKUP(B56,'092124'!B$5:V$70,21,false)-A56</f>
        <v>0</v>
      </c>
      <c r="V56" s="30">
        <f t="shared" si="5"/>
        <v>52</v>
      </c>
    </row>
    <row r="57">
      <c r="A57" s="30">
        <f t="shared" si="3"/>
        <v>53</v>
      </c>
      <c r="B57" s="51" t="s">
        <v>102</v>
      </c>
      <c r="C57" s="32">
        <v>121.0</v>
      </c>
      <c r="D57" s="32">
        <v>2.0</v>
      </c>
      <c r="E57" s="37">
        <v>3.0</v>
      </c>
      <c r="F57" s="39">
        <v>0.0</v>
      </c>
      <c r="G57" s="40">
        <v>9.0</v>
      </c>
      <c r="H57" s="39">
        <v>0.0</v>
      </c>
      <c r="I57" s="39">
        <v>0.0</v>
      </c>
      <c r="J57" s="39">
        <v>0.0</v>
      </c>
      <c r="K57" s="42">
        <v>9.0</v>
      </c>
      <c r="L57" s="39">
        <v>0.0</v>
      </c>
      <c r="M57" s="32">
        <f t="shared" ref="M57:N57" si="55">C57+K57</f>
        <v>130</v>
      </c>
      <c r="N57" s="32">
        <f t="shared" si="55"/>
        <v>2</v>
      </c>
      <c r="O57" s="43" t="s">
        <v>53</v>
      </c>
      <c r="P57" s="43" t="s">
        <v>53</v>
      </c>
      <c r="Q57" s="43" t="s">
        <v>53</v>
      </c>
      <c r="R57" s="39">
        <f>if(G57=13,1,0)+VLOOKUP(B57,'092124'!B:T,17,false)</f>
        <v>2</v>
      </c>
      <c r="S57" s="39"/>
      <c r="T57" s="39">
        <f>if(G57=9,1,0)+VLOOKUP(B57,'092124'!B:T,19,false)</f>
        <v>9</v>
      </c>
      <c r="U57" s="39">
        <f>VLOOKUP(B57,'092124'!B$5:V$70,21,false)-A57</f>
        <v>-4</v>
      </c>
      <c r="V57" s="30">
        <f t="shared" si="5"/>
        <v>53</v>
      </c>
    </row>
    <row r="58">
      <c r="A58" s="30">
        <f t="shared" si="3"/>
        <v>54</v>
      </c>
      <c r="B58" s="51" t="s">
        <v>118</v>
      </c>
      <c r="C58" s="32">
        <v>120.0</v>
      </c>
      <c r="D58" s="32">
        <v>5.0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6">C58+K58</f>
        <v>129</v>
      </c>
      <c r="N58" s="32">
        <f t="shared" si="56"/>
        <v>5</v>
      </c>
      <c r="O58" s="43" t="s">
        <v>53</v>
      </c>
      <c r="P58" s="43" t="s">
        <v>53</v>
      </c>
      <c r="Q58" s="43" t="s">
        <v>53</v>
      </c>
      <c r="R58" s="39">
        <f>if(G58=13,1,0)+VLOOKUP(B58,'092124'!B:T,17,false)</f>
        <v>0</v>
      </c>
      <c r="S58" s="39"/>
      <c r="T58" s="39">
        <f>if(G58=9,1,0)+VLOOKUP(B58,'092124'!B:T,19,false)</f>
        <v>8</v>
      </c>
      <c r="U58" s="39">
        <f>VLOOKUP(B58,'092124'!B$5:V$70,21,false)-A58</f>
        <v>-1</v>
      </c>
      <c r="V58" s="30">
        <f t="shared" si="5"/>
        <v>54</v>
      </c>
    </row>
    <row r="59">
      <c r="A59" s="30">
        <f t="shared" si="3"/>
        <v>55</v>
      </c>
      <c r="B59" s="31" t="s">
        <v>124</v>
      </c>
      <c r="C59" s="32">
        <v>118.0</v>
      </c>
      <c r="D59" s="32">
        <v>3.0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7">C59+K59</f>
        <v>127</v>
      </c>
      <c r="N59" s="32">
        <f t="shared" si="57"/>
        <v>3</v>
      </c>
      <c r="O59" s="43" t="s">
        <v>53</v>
      </c>
      <c r="P59" s="43" t="s">
        <v>53</v>
      </c>
      <c r="Q59" s="43" t="s">
        <v>53</v>
      </c>
      <c r="R59" s="39">
        <f>if(G59=13,1,0)+VLOOKUP(B59,'092124'!B:T,17,false)</f>
        <v>1</v>
      </c>
      <c r="S59" s="39"/>
      <c r="T59" s="39">
        <f>if(G59=9,1,0)+VLOOKUP(B59,'092124'!B:T,19,false)</f>
        <v>10</v>
      </c>
      <c r="U59" s="39">
        <f>VLOOKUP(B59,'092124'!B$5:V$70,21,false)-A59</f>
        <v>-1</v>
      </c>
      <c r="V59" s="30">
        <f t="shared" si="5"/>
        <v>55</v>
      </c>
    </row>
    <row r="60">
      <c r="A60" s="30">
        <f t="shared" si="3"/>
        <v>56</v>
      </c>
      <c r="B60" s="31" t="s">
        <v>125</v>
      </c>
      <c r="C60" s="32">
        <v>117.0</v>
      </c>
      <c r="D60" s="32">
        <v>3.0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8">C60+K60</f>
        <v>126</v>
      </c>
      <c r="N60" s="32">
        <f t="shared" si="58"/>
        <v>3</v>
      </c>
      <c r="O60" s="43" t="s">
        <v>53</v>
      </c>
      <c r="P60" s="43" t="s">
        <v>53</v>
      </c>
      <c r="Q60" s="43" t="s">
        <v>53</v>
      </c>
      <c r="R60" s="39">
        <f>if(G60=13,1,0)+VLOOKUP(B60,'092124'!B:T,17,false)</f>
        <v>0</v>
      </c>
      <c r="S60" s="39"/>
      <c r="T60" s="39">
        <f>if(G60=9,1,0)+VLOOKUP(B60,'092124'!B:T,19,false)</f>
        <v>12</v>
      </c>
      <c r="U60" s="39">
        <f>VLOOKUP(B60,'092124'!B$5:V$70,21,false)-A60</f>
        <v>-1</v>
      </c>
      <c r="V60" s="30">
        <f t="shared" si="5"/>
        <v>56</v>
      </c>
    </row>
    <row r="61">
      <c r="A61" s="30">
        <f t="shared" si="3"/>
        <v>57</v>
      </c>
      <c r="B61" s="56" t="s">
        <v>122</v>
      </c>
      <c r="C61" s="32">
        <v>117.0</v>
      </c>
      <c r="D61" s="32">
        <v>3.0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9">C61+K61</f>
        <v>126</v>
      </c>
      <c r="N61" s="32">
        <f t="shared" si="59"/>
        <v>3</v>
      </c>
      <c r="O61" s="43" t="s">
        <v>53</v>
      </c>
      <c r="P61" s="43" t="s">
        <v>53</v>
      </c>
      <c r="Q61" s="43" t="s">
        <v>53</v>
      </c>
      <c r="R61" s="39">
        <f>if(G61=13,1,0)+VLOOKUP(B61,'092124'!B:T,17,false)</f>
        <v>1</v>
      </c>
      <c r="S61" s="39"/>
      <c r="T61" s="39">
        <f>if(G61=9,1,0)+VLOOKUP(B61,'092124'!B:T,19,false)</f>
        <v>9</v>
      </c>
      <c r="U61" s="39">
        <f>VLOOKUP(B61,'092124'!B$5:V$70,21,false)-A61</f>
        <v>-1</v>
      </c>
      <c r="V61" s="30">
        <f t="shared" si="5"/>
        <v>57</v>
      </c>
    </row>
    <row r="62">
      <c r="A62" s="30">
        <f t="shared" si="3"/>
        <v>58</v>
      </c>
      <c r="B62" s="31" t="s">
        <v>123</v>
      </c>
      <c r="C62" s="32">
        <v>117.0</v>
      </c>
      <c r="D62" s="32">
        <v>3.0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60">C62+K62</f>
        <v>126</v>
      </c>
      <c r="N62" s="32">
        <f t="shared" si="60"/>
        <v>3</v>
      </c>
      <c r="O62" s="43" t="s">
        <v>53</v>
      </c>
      <c r="P62" s="43" t="s">
        <v>53</v>
      </c>
      <c r="Q62" s="43" t="s">
        <v>53</v>
      </c>
      <c r="R62" s="39">
        <f>if(G62=13,1,0)+VLOOKUP(B62,'092124'!B:T,17,false)</f>
        <v>0</v>
      </c>
      <c r="S62" s="39"/>
      <c r="T62" s="39">
        <f>if(G62=9,1,0)+VLOOKUP(B62,'092124'!B:T,19,false)</f>
        <v>12</v>
      </c>
      <c r="U62" s="39">
        <f>VLOOKUP(B62,'092124'!B$5:V$70,21,false)-A62</f>
        <v>-1</v>
      </c>
      <c r="V62" s="30">
        <f t="shared" si="5"/>
        <v>58</v>
      </c>
    </row>
    <row r="63">
      <c r="A63" s="30">
        <f t="shared" si="3"/>
        <v>59</v>
      </c>
      <c r="B63" s="51" t="s">
        <v>121</v>
      </c>
      <c r="C63" s="32">
        <v>113.0</v>
      </c>
      <c r="D63" s="32">
        <v>4.0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1">C63+K63</f>
        <v>122</v>
      </c>
      <c r="N63" s="32">
        <f t="shared" si="61"/>
        <v>4</v>
      </c>
      <c r="O63" s="43" t="s">
        <v>53</v>
      </c>
      <c r="P63" s="43" t="s">
        <v>53</v>
      </c>
      <c r="Q63" s="43" t="s">
        <v>53</v>
      </c>
      <c r="R63" s="39">
        <f>if(G63=13,1,0)+VLOOKUP(B63,'092124'!B:T,17,false)</f>
        <v>0</v>
      </c>
      <c r="S63" s="39"/>
      <c r="T63" s="39">
        <f>if(G63=9,1,0)+VLOOKUP(B63,'092124'!B:T,19,false)</f>
        <v>10</v>
      </c>
      <c r="U63" s="39">
        <f>VLOOKUP(B63,'092124'!B$5:V$70,21,false)-A63</f>
        <v>-1</v>
      </c>
      <c r="V63" s="30">
        <f t="shared" si="5"/>
        <v>59</v>
      </c>
    </row>
    <row r="64">
      <c r="A64" s="30">
        <f t="shared" si="3"/>
        <v>60</v>
      </c>
      <c r="B64" s="51" t="s">
        <v>112</v>
      </c>
      <c r="C64" s="32">
        <v>113.0</v>
      </c>
      <c r="D64" s="32">
        <v>4.0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2">C64+K64</f>
        <v>122</v>
      </c>
      <c r="N64" s="32">
        <f t="shared" si="62"/>
        <v>4</v>
      </c>
      <c r="O64" s="43" t="s">
        <v>53</v>
      </c>
      <c r="P64" s="43" t="s">
        <v>53</v>
      </c>
      <c r="Q64" s="43" t="s">
        <v>53</v>
      </c>
      <c r="R64" s="39">
        <f>if(G64=13,1,0)+VLOOKUP(B64,'092124'!B:T,17,false)</f>
        <v>0</v>
      </c>
      <c r="S64" s="39"/>
      <c r="T64" s="39">
        <f>if(G64=9,1,0)+VLOOKUP(B64,'092124'!B:T,19,false)</f>
        <v>7</v>
      </c>
      <c r="U64" s="39">
        <f>VLOOKUP(B64,'092124'!B$5:V$70,21,false)-A64</f>
        <v>-1</v>
      </c>
      <c r="V64" s="30">
        <f t="shared" si="5"/>
        <v>60</v>
      </c>
    </row>
    <row r="65">
      <c r="A65" s="30">
        <f t="shared" si="3"/>
        <v>61</v>
      </c>
      <c r="B65" s="51" t="s">
        <v>108</v>
      </c>
      <c r="C65" s="32">
        <v>112.0</v>
      </c>
      <c r="D65" s="32">
        <v>2.0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3">C65+K65</f>
        <v>121</v>
      </c>
      <c r="N65" s="32">
        <f t="shared" si="63"/>
        <v>2</v>
      </c>
      <c r="O65" s="43" t="s">
        <v>53</v>
      </c>
      <c r="P65" s="43" t="s">
        <v>53</v>
      </c>
      <c r="Q65" s="43" t="s">
        <v>53</v>
      </c>
      <c r="R65" s="39">
        <f>if(G65=13,1,0)+VLOOKUP(B65,'092124'!B:T,17,false)</f>
        <v>0</v>
      </c>
      <c r="S65" s="39"/>
      <c r="T65" s="39">
        <f>if(G65=9,1,0)+VLOOKUP(B65,'092124'!B:T,19,false)</f>
        <v>11</v>
      </c>
      <c r="U65" s="39">
        <f>VLOOKUP(B65,'092124'!B$5:V$70,21,false)-A65</f>
        <v>-1</v>
      </c>
      <c r="V65" s="30">
        <f t="shared" si="5"/>
        <v>61</v>
      </c>
    </row>
    <row r="66">
      <c r="A66" s="30">
        <f t="shared" si="3"/>
        <v>62</v>
      </c>
      <c r="B66" s="31" t="s">
        <v>72</v>
      </c>
      <c r="C66" s="32">
        <v>112.0</v>
      </c>
      <c r="D66" s="32">
        <v>0.0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4">C66+K66</f>
        <v>121</v>
      </c>
      <c r="N66" s="32">
        <f t="shared" si="64"/>
        <v>0</v>
      </c>
      <c r="O66" s="43" t="s">
        <v>53</v>
      </c>
      <c r="P66" s="43" t="s">
        <v>53</v>
      </c>
      <c r="Q66" s="43" t="s">
        <v>53</v>
      </c>
      <c r="R66" s="39">
        <f>if(G66=13,1,0)+VLOOKUP(B66,'092124'!B:T,17,false)</f>
        <v>1</v>
      </c>
      <c r="S66" s="39"/>
      <c r="T66" s="39">
        <f>if(G66=9,1,0)+VLOOKUP(B66,'092124'!B:T,19,false)</f>
        <v>12</v>
      </c>
      <c r="U66" s="39">
        <f>VLOOKUP(B66,'092124'!B$5:V$70,21,false)-A66</f>
        <v>0</v>
      </c>
      <c r="V66" s="30">
        <f t="shared" si="5"/>
        <v>62</v>
      </c>
    </row>
    <row r="67">
      <c r="A67" s="30">
        <f t="shared" si="3"/>
        <v>63</v>
      </c>
      <c r="B67" s="31" t="s">
        <v>126</v>
      </c>
      <c r="C67" s="32">
        <v>112.0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5">C67+K67</f>
        <v>121</v>
      </c>
      <c r="N67" s="32">
        <f t="shared" si="65"/>
        <v>0</v>
      </c>
      <c r="O67" s="43" t="s">
        <v>53</v>
      </c>
      <c r="P67" s="43" t="s">
        <v>53</v>
      </c>
      <c r="Q67" s="43" t="s">
        <v>53</v>
      </c>
      <c r="R67" s="39">
        <f>if(G67=13,1,0)+VLOOKUP(B67,'092124'!B:T,17,false)</f>
        <v>1</v>
      </c>
      <c r="S67" s="39"/>
      <c r="T67" s="39">
        <f>if(G67=9,1,0)+VLOOKUP(B67,'092124'!B:T,19,false)</f>
        <v>11</v>
      </c>
      <c r="U67" s="39">
        <f>VLOOKUP(B67,'092124'!B$5:V$70,21,false)-A67</f>
        <v>0</v>
      </c>
      <c r="V67" s="30">
        <f t="shared" si="5"/>
        <v>63</v>
      </c>
    </row>
    <row r="68">
      <c r="A68" s="30">
        <f t="shared" si="3"/>
        <v>64</v>
      </c>
      <c r="B68" s="51" t="s">
        <v>113</v>
      </c>
      <c r="C68" s="32">
        <v>108.0</v>
      </c>
      <c r="D68" s="32">
        <v>6.0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6">C68+K68</f>
        <v>117</v>
      </c>
      <c r="N68" s="32">
        <f t="shared" si="66"/>
        <v>6</v>
      </c>
      <c r="O68" s="43" t="s">
        <v>53</v>
      </c>
      <c r="P68" s="43" t="s">
        <v>53</v>
      </c>
      <c r="Q68" s="43" t="s">
        <v>53</v>
      </c>
      <c r="R68" s="39">
        <f>if(G68=13,1,0)+VLOOKUP(B68,'092124'!B:T,17,false)</f>
        <v>0</v>
      </c>
      <c r="S68" s="39"/>
      <c r="T68" s="39">
        <f>if(G68=9,1,0)+VLOOKUP(B68,'092124'!B:T,19,false)</f>
        <v>4</v>
      </c>
      <c r="U68" s="39">
        <f>VLOOKUP(B68,'092124'!B$5:V$70,21,false)-A68</f>
        <v>0</v>
      </c>
      <c r="V68" s="30">
        <f t="shared" si="5"/>
        <v>64</v>
      </c>
    </row>
    <row r="69">
      <c r="A69" s="30">
        <f t="shared" si="3"/>
        <v>65</v>
      </c>
      <c r="B69" s="51" t="s">
        <v>74</v>
      </c>
      <c r="C69" s="32">
        <v>108.0</v>
      </c>
      <c r="D69" s="32">
        <v>0.0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7">C69+K69</f>
        <v>117</v>
      </c>
      <c r="N69" s="32">
        <f t="shared" si="67"/>
        <v>0</v>
      </c>
      <c r="O69" s="43" t="s">
        <v>53</v>
      </c>
      <c r="P69" s="43" t="s">
        <v>53</v>
      </c>
      <c r="Q69" s="43" t="s">
        <v>53</v>
      </c>
      <c r="R69" s="39">
        <f>if(G69=13,1,0)+VLOOKUP(B69,'092124'!B:T,17,false)</f>
        <v>0</v>
      </c>
      <c r="S69" s="39"/>
      <c r="T69" s="39">
        <f>if(G69=9,1,0)+VLOOKUP(B69,'092124'!B:T,19,false)</f>
        <v>13</v>
      </c>
      <c r="U69" s="39">
        <f>VLOOKUP(B69,'092124'!B$5:V$70,21,false)-A69</f>
        <v>0</v>
      </c>
      <c r="V69" s="30">
        <f t="shared" si="5"/>
        <v>65</v>
      </c>
    </row>
    <row r="70">
      <c r="A70" s="30">
        <f t="shared" si="3"/>
        <v>66</v>
      </c>
      <c r="B70" s="51" t="s">
        <v>80</v>
      </c>
      <c r="C70" s="32">
        <v>105.0</v>
      </c>
      <c r="D70" s="32">
        <v>6.0</v>
      </c>
      <c r="E70" s="37">
        <v>3.0</v>
      </c>
      <c r="F70" s="39">
        <v>0.0</v>
      </c>
      <c r="G70" s="40">
        <v>9.0</v>
      </c>
      <c r="H70" s="39">
        <v>0.0</v>
      </c>
      <c r="I70" s="39">
        <v>0.0</v>
      </c>
      <c r="J70" s="39">
        <v>0.0</v>
      </c>
      <c r="K70" s="42">
        <v>9.0</v>
      </c>
      <c r="L70" s="39">
        <v>0.0</v>
      </c>
      <c r="M70" s="32">
        <f t="shared" ref="M70:N70" si="68">C70+K70</f>
        <v>114</v>
      </c>
      <c r="N70" s="32">
        <f t="shared" si="68"/>
        <v>6</v>
      </c>
      <c r="O70" s="43" t="s">
        <v>53</v>
      </c>
      <c r="P70" s="43" t="s">
        <v>53</v>
      </c>
      <c r="Q70" s="43" t="s">
        <v>53</v>
      </c>
      <c r="R70" s="39">
        <f>if(G70=13,1,0)+VLOOKUP(B70,'092124'!B:T,17,false)</f>
        <v>0</v>
      </c>
      <c r="S70" s="39"/>
      <c r="T70" s="39">
        <f>if(G70=9,1,0)+VLOOKUP(B70,'092124'!B:T,19,false)</f>
        <v>6</v>
      </c>
      <c r="U70" s="39">
        <f>VLOOKUP(B70,'092124'!B$5:V$70,21,false)-A70</f>
        <v>0</v>
      </c>
      <c r="V70" s="30">
        <f t="shared" si="5"/>
        <v>66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9">COUNTA(P5:P70)</f>
        <v>65</v>
      </c>
      <c r="Q73" s="8">
        <f t="shared" si="69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70">P75-P73</f>
        <v>1</v>
      </c>
      <c r="Q74" s="8">
        <f t="shared" si="70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desc"",0)"),"Rajasekar Ramasamy")</f>
        <v>Rajasekar Ramasamy</v>
      </c>
      <c r="C80" s="71">
        <f>IFERROR(__xludf.DUMMYFUNCTION("""COMPUTED_VALUE"""),20.0)</f>
        <v>20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IFERROR(__xludf.DUMMYFUNCTION("""COMPUTED_VALUE"""),"Luis Hsu")</f>
        <v>Luis Hsu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IFERROR(__xludf.DUMMYFUNCTION("""COMPUTED_VALUE"""),"Lam Bui")</f>
        <v>Lam Bui</v>
      </c>
      <c r="C82" s="71">
        <f>IFERROR(__xludf.DUMMYFUNCTION("""COMPUTED_VALUE"""),19.0)</f>
        <v>19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IFERROR(__xludf.DUMMYFUNCTION("""COMPUTED_VALUE"""),"Robert Chang")</f>
        <v>Robert Chang</v>
      </c>
      <c r="C83" s="71">
        <f>IFERROR(__xludf.DUMMYFUNCTION("""COMPUTED_VALUE"""),19.0)</f>
        <v>19</v>
      </c>
      <c r="D83" s="71">
        <f>IFERROR(__xludf.DUMMYFUNCTION("""COMPUTED_VALUE"""),3.0)</f>
        <v>3</v>
      </c>
      <c r="E83" s="11"/>
    </row>
    <row r="84">
      <c r="A84" s="11"/>
      <c r="B84" s="51" t="str">
        <f>IFERROR(__xludf.DUMMYFUNCTION("""COMPUTED_VALUE"""),"Pulkit Mathur")</f>
        <v>Pulkit Mathur</v>
      </c>
      <c r="C84" s="71">
        <f>IFERROR(__xludf.DUMMYFUNCTION("""COMPUTED_VALUE"""),19.0)</f>
        <v>19</v>
      </c>
      <c r="D84" s="71">
        <f>IFERROR(__xludf.DUMMYFUNCTION("""COMPUTED_VALUE"""),3.0)</f>
        <v>3</v>
      </c>
      <c r="E84" s="11"/>
      <c r="K84" s="10"/>
    </row>
    <row r="85">
      <c r="A85" s="11"/>
      <c r="B85" s="51" t="str">
        <f>IFERROR(__xludf.DUMMYFUNCTION("""COMPUTED_VALUE"""),"Jim Miao")</f>
        <v>Jim Miao</v>
      </c>
      <c r="C85" s="71">
        <f>IFERROR(__xludf.DUMMYFUNCTION("""COMPUTED_VALUE"""),18.0)</f>
        <v>18</v>
      </c>
      <c r="D85" s="71">
        <f>IFERROR(__xludf.DUMMYFUNCTION("""COMPUTED_VALUE"""),3.0)</f>
        <v>3</v>
      </c>
      <c r="E85" s="11"/>
      <c r="K85" s="10"/>
    </row>
    <row r="86">
      <c r="A86" s="11"/>
      <c r="B86" s="51" t="str">
        <f>IFERROR(__xludf.DUMMYFUNCTION("""COMPUTED_VALUE"""),"Tom Le")</f>
        <v>Tom Le</v>
      </c>
      <c r="C86" s="71">
        <f>IFERROR(__xludf.DUMMYFUNCTION("""COMPUTED_VALUE"""),18.0)</f>
        <v>18</v>
      </c>
      <c r="D86" s="71">
        <f>IFERROR(__xludf.DUMMYFUNCTION("""COMPUTED_VALUE"""),2.0)</f>
        <v>2</v>
      </c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/>
      <c r="C91" s="11"/>
      <c r="D91" s="11"/>
      <c r="E91" s="11"/>
    </row>
    <row r="92">
      <c r="A92" s="11"/>
      <c r="B92" s="62" t="s">
        <v>135</v>
      </c>
      <c r="C92" s="62" t="s">
        <v>143</v>
      </c>
      <c r="E92" s="11"/>
    </row>
    <row r="93">
      <c r="A93" s="11"/>
      <c r="B93" s="51" t="str">
        <f>IFERROR(__xludf.DUMMYFUNCTION("query(B5:U70,""select B, U order by U Desc Limit 10"")"),"Tony Lin")</f>
        <v>Tony Lin</v>
      </c>
      <c r="C93" s="64">
        <f>IFERROR(__xludf.DUMMYFUNCTION("""COMPUTED_VALUE"""),13.0)</f>
        <v>13</v>
      </c>
      <c r="E93" s="11"/>
    </row>
    <row r="94">
      <c r="A94" s="11"/>
      <c r="B94" s="51" t="str">
        <f>IFERROR(__xludf.DUMMYFUNCTION("""COMPUTED_VALUE"""),"Jonathan Phan")</f>
        <v>Jonathan Phan</v>
      </c>
      <c r="C94" s="64">
        <f>IFERROR(__xludf.DUMMYFUNCTION("""COMPUTED_VALUE"""),10.0)</f>
        <v>10</v>
      </c>
      <c r="E94" s="11"/>
    </row>
    <row r="95">
      <c r="A95" s="11"/>
      <c r="B95" s="51" t="str">
        <f>IFERROR(__xludf.DUMMYFUNCTION("""COMPUTED_VALUE"""),"Balaji Alahari")</f>
        <v>Balaji Alahari</v>
      </c>
      <c r="C95" s="64">
        <f>IFERROR(__xludf.DUMMYFUNCTION("""COMPUTED_VALUE"""),10.0)</f>
        <v>10</v>
      </c>
      <c r="E95" s="11"/>
    </row>
    <row r="96">
      <c r="A96" s="11"/>
      <c r="B96" s="51" t="str">
        <f>IFERROR(__xludf.DUMMYFUNCTION("""COMPUTED_VALUE"""),"Alex Hou")</f>
        <v>Alex Hou</v>
      </c>
      <c r="C96" s="64">
        <f>IFERROR(__xludf.DUMMYFUNCTION("""COMPUTED_VALUE"""),8.0)</f>
        <v>8</v>
      </c>
      <c r="E96" s="11"/>
    </row>
    <row r="97">
      <c r="A97" s="11"/>
      <c r="B97" s="51" t="str">
        <f>IFERROR(__xludf.DUMMYFUNCTION("""COMPUTED_VALUE"""),"Jim Miao")</f>
        <v>Jim Miao</v>
      </c>
      <c r="C97" s="64">
        <f>IFERROR(__xludf.DUMMYFUNCTION("""COMPUTED_VALUE"""),6.0)</f>
        <v>6</v>
      </c>
      <c r="E97" s="11"/>
    </row>
    <row r="98">
      <c r="A98" s="11"/>
      <c r="B98" s="51" t="str">
        <f>IFERROR(__xludf.DUMMYFUNCTION("""COMPUTED_VALUE"""),"Eric Tan")</f>
        <v>Eric Tan</v>
      </c>
      <c r="C98" s="64">
        <f>IFERROR(__xludf.DUMMYFUNCTION("""COMPUTED_VALUE"""),6.0)</f>
        <v>6</v>
      </c>
      <c r="E98" s="11"/>
    </row>
    <row r="99">
      <c r="A99" s="11"/>
      <c r="B99" s="51" t="str">
        <f>IFERROR(__xludf.DUMMYFUNCTION("""COMPUTED_VALUE"""),"Matthew Huang")</f>
        <v>Matthew Huang</v>
      </c>
      <c r="C99" s="64">
        <f>IFERROR(__xludf.DUMMYFUNCTION("""COMPUTED_VALUE"""),5.0)</f>
        <v>5</v>
      </c>
      <c r="E99" s="11"/>
    </row>
    <row r="100">
      <c r="A100" s="11"/>
      <c r="B100" s="51" t="str">
        <f>IFERROR(__xludf.DUMMYFUNCTION("""COMPUTED_VALUE"""),"Sean Chang")</f>
        <v>Sean Chang</v>
      </c>
      <c r="C100" s="64">
        <f>IFERROR(__xludf.DUMMYFUNCTION("""COMPUTED_VALUE"""),5.0)</f>
        <v>5</v>
      </c>
      <c r="E100" s="11"/>
    </row>
    <row r="101">
      <c r="A101" s="11"/>
      <c r="B101" s="51" t="str">
        <f>IFERROR(__xludf.DUMMYFUNCTION("""COMPUTED_VALUE"""),"Wayne Liu")</f>
        <v>Wayne Liu</v>
      </c>
      <c r="C101" s="64">
        <f>IFERROR(__xludf.DUMMYFUNCTION("""COMPUTED_VALUE"""),5.0)</f>
        <v>5</v>
      </c>
      <c r="E101" s="11"/>
    </row>
    <row r="102">
      <c r="A102" s="11"/>
      <c r="B102" s="51" t="str">
        <f>IFERROR(__xludf.DUMMYFUNCTION("""COMPUTED_VALUE"""),"Pavan Akkimsetty")</f>
        <v>Pavan Akkimsetty</v>
      </c>
      <c r="C102" s="64">
        <f>IFERROR(__xludf.DUMMYFUNCTION("""COMPUTED_VALUE"""),4.0)</f>
        <v>4</v>
      </c>
      <c r="E102" s="11"/>
    </row>
    <row r="103">
      <c r="A103" s="11"/>
      <c r="B103" s="10"/>
      <c r="C103" s="11"/>
      <c r="E103" s="11"/>
    </row>
    <row r="104">
      <c r="A104" s="11"/>
      <c r="B104" s="10"/>
      <c r="C104" s="11"/>
      <c r="E104" s="11"/>
    </row>
    <row r="105">
      <c r="A105" s="11"/>
      <c r="B105" s="62" t="s">
        <v>142</v>
      </c>
      <c r="C105" s="62" t="s">
        <v>143</v>
      </c>
      <c r="E105" s="11"/>
    </row>
    <row r="106">
      <c r="A106" s="11"/>
      <c r="B106" s="51" t="str">
        <f>IFERROR(__xludf.DUMMYFUNCTION("query(B5:U70,""select B, U order by U asc Limit 10"")"),"David Shin")</f>
        <v>David Shin</v>
      </c>
      <c r="C106" s="64">
        <f>IFERROR(__xludf.DUMMYFUNCTION("""COMPUTED_VALUE"""),-11.0)</f>
        <v>-11</v>
      </c>
      <c r="E106" s="11"/>
    </row>
    <row r="107">
      <c r="A107" s="11"/>
      <c r="B107" s="51" t="str">
        <f>IFERROR(__xludf.DUMMYFUNCTION("""COMPUTED_VALUE"""),"Arun Mallikarjuna")</f>
        <v>Arun Mallikarjuna</v>
      </c>
      <c r="C107" s="64">
        <f>IFERROR(__xludf.DUMMYFUNCTION("""COMPUTED_VALUE"""),-5.0)</f>
        <v>-5</v>
      </c>
      <c r="E107" s="11"/>
    </row>
    <row r="108">
      <c r="A108" s="11"/>
      <c r="B108" s="51" t="str">
        <f>IFERROR(__xludf.DUMMYFUNCTION("""COMPUTED_VALUE"""),"Rajasekar Ramasamy")</f>
        <v>Rajasekar Ramasamy</v>
      </c>
      <c r="C108" s="64">
        <f>IFERROR(__xludf.DUMMYFUNCTION("""COMPUTED_VALUE"""),-4.0)</f>
        <v>-4</v>
      </c>
      <c r="E108" s="11"/>
    </row>
    <row r="109">
      <c r="A109" s="11"/>
      <c r="B109" s="51" t="str">
        <f>IFERROR(__xludf.DUMMYFUNCTION("""COMPUTED_VALUE"""),"Robert Chang")</f>
        <v>Robert Chang</v>
      </c>
      <c r="C109" s="64">
        <f>IFERROR(__xludf.DUMMYFUNCTION("""COMPUTED_VALUE"""),-4.0)</f>
        <v>-4</v>
      </c>
      <c r="E109" s="11"/>
    </row>
    <row r="110">
      <c r="A110" s="11"/>
      <c r="B110" s="51" t="str">
        <f>IFERROR(__xludf.DUMMYFUNCTION("""COMPUTED_VALUE"""),"Saravanan Veerapandian")</f>
        <v>Saravanan Veerapandian</v>
      </c>
      <c r="C110" s="64">
        <f>IFERROR(__xludf.DUMMYFUNCTION("""COMPUTED_VALUE"""),-4.0)</f>
        <v>-4</v>
      </c>
      <c r="E110" s="11"/>
    </row>
    <row r="111">
      <c r="A111" s="11"/>
      <c r="B111" s="51" t="str">
        <f>IFERROR(__xludf.DUMMYFUNCTION("""COMPUTED_VALUE"""),"Elayaraja Thangaraj ")</f>
        <v>Elayaraja Thangaraj </v>
      </c>
      <c r="C111" s="64">
        <f>IFERROR(__xludf.DUMMYFUNCTION("""COMPUTED_VALUE"""),-4.0)</f>
        <v>-4</v>
      </c>
      <c r="E111" s="11"/>
    </row>
    <row r="112">
      <c r="A112" s="11"/>
      <c r="B112" s="51" t="str">
        <f>IFERROR(__xludf.DUMMYFUNCTION("""COMPUTED_VALUE"""),"Suleman Alidina")</f>
        <v>Suleman Alidina</v>
      </c>
      <c r="C112" s="64">
        <f>IFERROR(__xludf.DUMMYFUNCTION("""COMPUTED_VALUE"""),-3.0)</f>
        <v>-3</v>
      </c>
      <c r="E112" s="11"/>
    </row>
    <row r="113">
      <c r="A113" s="11"/>
      <c r="B113" s="51" t="str">
        <f>IFERROR(__xludf.DUMMYFUNCTION("""COMPUTED_VALUE"""),"Luis Hsu")</f>
        <v>Luis Hsu</v>
      </c>
      <c r="C113" s="64">
        <f>IFERROR(__xludf.DUMMYFUNCTION("""COMPUTED_VALUE"""),-3.0)</f>
        <v>-3</v>
      </c>
      <c r="E113" s="11"/>
    </row>
    <row r="114">
      <c r="A114" s="11"/>
      <c r="B114" s="51" t="str">
        <f>IFERROR(__xludf.DUMMYFUNCTION("""COMPUTED_VALUE"""),"James Phan")</f>
        <v>James Phan</v>
      </c>
      <c r="C114" s="64">
        <f>IFERROR(__xludf.DUMMYFUNCTION("""COMPUTED_VALUE"""),-3.0)</f>
        <v>-3</v>
      </c>
      <c r="E114" s="11"/>
    </row>
    <row r="115">
      <c r="A115" s="11"/>
      <c r="B115" s="51" t="str">
        <f>IFERROR(__xludf.DUMMYFUNCTION("""COMPUTED_VALUE"""),"Scott Li")</f>
        <v>Scott Li</v>
      </c>
      <c r="C115" s="64">
        <f>IFERROR(__xludf.DUMMYFUNCTION("""COMPUTED_VALUE"""),-3.0)</f>
        <v>-3</v>
      </c>
      <c r="E115" s="11"/>
    </row>
    <row r="116">
      <c r="A116" s="11"/>
      <c r="B116" s="10"/>
      <c r="C116" s="11"/>
      <c r="E116" s="11"/>
    </row>
    <row r="117">
      <c r="A117" s="11"/>
      <c r="B117" s="10"/>
      <c r="C117" s="11"/>
      <c r="E117" s="11"/>
    </row>
    <row r="118">
      <c r="A118" s="11"/>
      <c r="B118" s="10"/>
      <c r="C118" s="11"/>
      <c r="E118" s="11"/>
    </row>
    <row r="119">
      <c r="A119" s="11"/>
      <c r="B119" s="10"/>
      <c r="C119" s="11"/>
      <c r="E119" s="11"/>
    </row>
    <row r="120">
      <c r="A120" s="11"/>
      <c r="B120" s="10"/>
      <c r="C120" s="11"/>
      <c r="D120" s="11"/>
      <c r="E120" s="11"/>
    </row>
    <row r="121">
      <c r="A121" s="11"/>
      <c r="B121" s="10"/>
      <c r="C121" s="11"/>
      <c r="D121" s="11"/>
      <c r="E121" s="11"/>
    </row>
    <row r="122">
      <c r="A122" s="11"/>
      <c r="B122" s="10"/>
      <c r="C122" s="11"/>
      <c r="D122" s="11"/>
      <c r="E122" s="11"/>
    </row>
    <row r="123">
      <c r="A123" s="11"/>
      <c r="B123" s="10"/>
      <c r="C123" s="11"/>
      <c r="D123" s="11"/>
      <c r="E123" s="11"/>
    </row>
    <row r="124">
      <c r="A124" s="11"/>
      <c r="B124" s="10"/>
      <c r="C124" s="11"/>
      <c r="D124" s="11"/>
      <c r="E124" s="11"/>
    </row>
    <row r="125">
      <c r="A125" s="11"/>
      <c r="B125" s="10"/>
      <c r="C125" s="11"/>
      <c r="D125" s="11"/>
      <c r="E125" s="11"/>
    </row>
    <row r="126">
      <c r="A126" s="11"/>
      <c r="B126" s="10"/>
      <c r="C126" s="11"/>
      <c r="D126" s="11"/>
      <c r="E126" s="11"/>
    </row>
    <row r="127">
      <c r="A127" s="11"/>
      <c r="B127" s="10"/>
      <c r="C127" s="11"/>
      <c r="D127" s="11"/>
      <c r="E127" s="11"/>
    </row>
    <row r="128">
      <c r="A128" s="11"/>
      <c r="B128" s="10"/>
      <c r="C128" s="11"/>
      <c r="D128" s="11"/>
      <c r="E128" s="11"/>
    </row>
    <row r="129">
      <c r="A129" s="11"/>
      <c r="B129" s="10" t="s">
        <v>165</v>
      </c>
      <c r="C129" s="11"/>
      <c r="D129" s="11"/>
      <c r="E129" s="11"/>
    </row>
    <row r="130">
      <c r="A130" s="11"/>
      <c r="B130" s="27" t="s">
        <v>31</v>
      </c>
      <c r="C130" s="29" t="s">
        <v>2</v>
      </c>
      <c r="D130" s="29" t="s">
        <v>4</v>
      </c>
      <c r="E130" s="29" t="s">
        <v>33</v>
      </c>
      <c r="F130" s="29" t="s">
        <v>35</v>
      </c>
      <c r="G130" s="29" t="s">
        <v>36</v>
      </c>
      <c r="H130" s="29" t="s">
        <v>6</v>
      </c>
      <c r="I130" s="29" t="s">
        <v>7</v>
      </c>
      <c r="J130" s="29" t="s">
        <v>8</v>
      </c>
      <c r="K130" s="29" t="s">
        <v>2</v>
      </c>
      <c r="L130" s="29" t="s">
        <v>4</v>
      </c>
      <c r="M130" s="28" t="s">
        <v>2</v>
      </c>
      <c r="N130" s="28" t="s">
        <v>4</v>
      </c>
    </row>
    <row r="131">
      <c r="A131" s="11"/>
      <c r="B131" s="82" t="str">
        <f>IFERROR(__xludf.DUMMYFUNCTION("QUERY(B5:N70, ""Select B, C, D, E, F, G, H, I, J, K, L, M, N   where F &gt;= 1"")"),"Adrian Tay")</f>
        <v>Adrian Tay</v>
      </c>
      <c r="C131" s="87">
        <f>IFERROR(__xludf.DUMMYFUNCTION("""COMPUTED_VALUE"""),184.0)</f>
        <v>184</v>
      </c>
      <c r="D131" s="87">
        <f>IFERROR(__xludf.DUMMYFUNCTION("""COMPUTED_VALUE"""),20.0)</f>
        <v>20</v>
      </c>
      <c r="E131" s="86">
        <f>IFERROR(__xludf.DUMMYFUNCTION("""COMPUTED_VALUE"""),1.0)</f>
        <v>1</v>
      </c>
      <c r="F131" s="88">
        <f>IFERROR(__xludf.DUMMYFUNCTION("""COMPUTED_VALUE"""),1.0)</f>
        <v>1</v>
      </c>
      <c r="G131" s="88">
        <f>IFERROR(__xludf.DUMMYFUNCTION("""COMPUTED_VALUE"""),0.0)</f>
        <v>0</v>
      </c>
      <c r="H131" s="88">
        <f>IFERROR(__xludf.DUMMYFUNCTION("""COMPUTED_VALUE"""),3.0)</f>
        <v>3</v>
      </c>
      <c r="I131" s="88">
        <f>IFERROR(__xludf.DUMMYFUNCTION("""COMPUTED_VALUE"""),7.0)</f>
        <v>7</v>
      </c>
      <c r="J131" s="88">
        <f>IFERROR(__xludf.DUMMYFUNCTION("""COMPUTED_VALUE"""),6.0)</f>
        <v>6</v>
      </c>
      <c r="K131" s="88">
        <f>IFERROR(__xludf.DUMMYFUNCTION("""COMPUTED_VALUE"""),16.0)</f>
        <v>16</v>
      </c>
      <c r="L131" s="88">
        <f>IFERROR(__xludf.DUMMYFUNCTION("""COMPUTED_VALUE"""),2.0)</f>
        <v>2</v>
      </c>
      <c r="M131" s="89">
        <f>IFERROR(__xludf.DUMMYFUNCTION("""COMPUTED_VALUE"""),200.0)</f>
        <v>200</v>
      </c>
      <c r="N131" s="89">
        <f>IFERROR(__xludf.DUMMYFUNCTION("""COMPUTED_VALUE"""),22.0)</f>
        <v>22</v>
      </c>
    </row>
    <row r="132">
      <c r="A132" s="11"/>
      <c r="B132" s="82" t="str">
        <f>IFERROR(__xludf.DUMMYFUNCTION("""COMPUTED_VALUE"""),"Tom Le")</f>
        <v>Tom Le</v>
      </c>
      <c r="C132" s="87">
        <f>IFERROR(__xludf.DUMMYFUNCTION("""COMPUTED_VALUE"""),165.0)</f>
        <v>165</v>
      </c>
      <c r="D132" s="87">
        <f>IFERROR(__xludf.DUMMYFUNCTION("""COMPUTED_VALUE"""),20.0)</f>
        <v>20</v>
      </c>
      <c r="E132" s="86">
        <f>IFERROR(__xludf.DUMMYFUNCTION("""COMPUTED_VALUE"""),1.0)</f>
        <v>1</v>
      </c>
      <c r="F132" s="88">
        <f>IFERROR(__xludf.DUMMYFUNCTION("""COMPUTED_VALUE"""),1.0)</f>
        <v>1</v>
      </c>
      <c r="G132" s="88">
        <f>IFERROR(__xludf.DUMMYFUNCTION("""COMPUTED_VALUE"""),0.0)</f>
        <v>0</v>
      </c>
      <c r="H132" s="88">
        <f>IFERROR(__xludf.DUMMYFUNCTION("""COMPUTED_VALUE"""),6.0)</f>
        <v>6</v>
      </c>
      <c r="I132" s="88">
        <f>IFERROR(__xludf.DUMMYFUNCTION("""COMPUTED_VALUE"""),6.0)</f>
        <v>6</v>
      </c>
      <c r="J132" s="88">
        <f>IFERROR(__xludf.DUMMYFUNCTION("""COMPUTED_VALUE"""),6.0)</f>
        <v>6</v>
      </c>
      <c r="K132" s="88">
        <f>IFERROR(__xludf.DUMMYFUNCTION("""COMPUTED_VALUE"""),18.0)</f>
        <v>18</v>
      </c>
      <c r="L132" s="88">
        <f>IFERROR(__xludf.DUMMYFUNCTION("""COMPUTED_VALUE"""),2.0)</f>
        <v>2</v>
      </c>
      <c r="M132" s="89">
        <f>IFERROR(__xludf.DUMMYFUNCTION("""COMPUTED_VALUE"""),183.0)</f>
        <v>183</v>
      </c>
      <c r="N132" s="89">
        <f>IFERROR(__xludf.DUMMYFUNCTION("""COMPUTED_VALUE"""),22.0)</f>
        <v>22</v>
      </c>
    </row>
    <row r="133">
      <c r="A133" s="11"/>
      <c r="B133" s="82" t="str">
        <f>IFERROR(__xludf.DUMMYFUNCTION("""COMPUTED_VALUE"""),"Matthew Huang")</f>
        <v>Matthew Huang</v>
      </c>
      <c r="C133" s="87">
        <f>IFERROR(__xludf.DUMMYFUNCTION("""COMPUTED_VALUE"""),162.0)</f>
        <v>162</v>
      </c>
      <c r="D133" s="87">
        <f>IFERROR(__xludf.DUMMYFUNCTION("""COMPUTED_VALUE"""),16.0)</f>
        <v>16</v>
      </c>
      <c r="E133" s="86">
        <f>IFERROR(__xludf.DUMMYFUNCTION("""COMPUTED_VALUE"""),1.0)</f>
        <v>1</v>
      </c>
      <c r="F133" s="88">
        <f>IFERROR(__xludf.DUMMYFUNCTION("""COMPUTED_VALUE"""),1.0)</f>
        <v>1</v>
      </c>
      <c r="G133" s="88">
        <f>IFERROR(__xludf.DUMMYFUNCTION("""COMPUTED_VALUE"""),0.0)</f>
        <v>0</v>
      </c>
      <c r="H133" s="88">
        <f>IFERROR(__xludf.DUMMYFUNCTION("""COMPUTED_VALUE"""),3.0)</f>
        <v>3</v>
      </c>
      <c r="I133" s="88">
        <f>IFERROR(__xludf.DUMMYFUNCTION("""COMPUTED_VALUE"""),6.0)</f>
        <v>6</v>
      </c>
      <c r="J133" s="88">
        <f>IFERROR(__xludf.DUMMYFUNCTION("""COMPUTED_VALUE"""),4.0)</f>
        <v>4</v>
      </c>
      <c r="K133" s="88">
        <f>IFERROR(__xludf.DUMMYFUNCTION("""COMPUTED_VALUE"""),13.0)</f>
        <v>13</v>
      </c>
      <c r="L133" s="88">
        <f>IFERROR(__xludf.DUMMYFUNCTION("""COMPUTED_VALUE"""),0.0)</f>
        <v>0</v>
      </c>
      <c r="M133" s="89">
        <f>IFERROR(__xludf.DUMMYFUNCTION("""COMPUTED_VALUE"""),175.0)</f>
        <v>175</v>
      </c>
      <c r="N133" s="89">
        <f>IFERROR(__xludf.DUMMYFUNCTION("""COMPUTED_VALUE"""),16.0)</f>
        <v>16</v>
      </c>
    </row>
    <row r="134">
      <c r="A134" s="11"/>
      <c r="B134" s="82" t="str">
        <f>IFERROR(__xludf.DUMMYFUNCTION("""COMPUTED_VALUE"""),"Jonathan Phan")</f>
        <v>Jonathan Phan</v>
      </c>
      <c r="C134" s="87">
        <f>IFERROR(__xludf.DUMMYFUNCTION("""COMPUTED_VALUE"""),159.0)</f>
        <v>159</v>
      </c>
      <c r="D134" s="87">
        <f>IFERROR(__xludf.DUMMYFUNCTION("""COMPUTED_VALUE"""),13.0)</f>
        <v>13</v>
      </c>
      <c r="E134" s="86">
        <f>IFERROR(__xludf.DUMMYFUNCTION("""COMPUTED_VALUE"""),1.0)</f>
        <v>1</v>
      </c>
      <c r="F134" s="88">
        <f>IFERROR(__xludf.DUMMYFUNCTION("""COMPUTED_VALUE"""),1.0)</f>
        <v>1</v>
      </c>
      <c r="G134" s="88">
        <f>IFERROR(__xludf.DUMMYFUNCTION("""COMPUTED_VALUE"""),0.0)</f>
        <v>0</v>
      </c>
      <c r="H134" s="88">
        <f>IFERROR(__xludf.DUMMYFUNCTION("""COMPUTED_VALUE"""),6.0)</f>
        <v>6</v>
      </c>
      <c r="I134" s="88">
        <f>IFERROR(__xludf.DUMMYFUNCTION("""COMPUTED_VALUE"""),7.0)</f>
        <v>7</v>
      </c>
      <c r="J134" s="88">
        <f>IFERROR(__xludf.DUMMYFUNCTION("""COMPUTED_VALUE"""),4.0)</f>
        <v>4</v>
      </c>
      <c r="K134" s="88">
        <f>IFERROR(__xludf.DUMMYFUNCTION("""COMPUTED_VALUE"""),17.0)</f>
        <v>17</v>
      </c>
      <c r="L134" s="88">
        <f>IFERROR(__xludf.DUMMYFUNCTION("""COMPUTED_VALUE"""),2.0)</f>
        <v>2</v>
      </c>
      <c r="M134" s="89">
        <f>IFERROR(__xludf.DUMMYFUNCTION("""COMPUTED_VALUE"""),176.0)</f>
        <v>176</v>
      </c>
      <c r="N134" s="89">
        <f>IFERROR(__xludf.DUMMYFUNCTION("""COMPUTED_VALUE"""),15.0)</f>
        <v>15</v>
      </c>
    </row>
    <row r="135">
      <c r="A135" s="11"/>
      <c r="B135" s="84" t="str">
        <f>IFERROR(__xludf.DUMMYFUNCTION("""COMPUTED_VALUE"""),"Suleman Alidina")</f>
        <v>Suleman Alidina</v>
      </c>
      <c r="C135" s="95">
        <f>IFERROR(__xludf.DUMMYFUNCTION("""COMPUTED_VALUE"""),158.0)</f>
        <v>158</v>
      </c>
      <c r="D135" s="95">
        <f>IFERROR(__xludf.DUMMYFUNCTION("""COMPUTED_VALUE"""),17.0)</f>
        <v>17</v>
      </c>
      <c r="E135" s="96">
        <f>IFERROR(__xludf.DUMMYFUNCTION("""COMPUTED_VALUE"""),1.0)</f>
        <v>1</v>
      </c>
      <c r="F135" s="97">
        <f>IFERROR(__xludf.DUMMYFUNCTION("""COMPUTED_VALUE"""),2.0)</f>
        <v>2</v>
      </c>
      <c r="G135" s="97">
        <f>IFERROR(__xludf.DUMMYFUNCTION("""COMPUTED_VALUE"""),0.0)</f>
        <v>0</v>
      </c>
      <c r="H135" s="97">
        <f>IFERROR(__xludf.DUMMYFUNCTION("""COMPUTED_VALUE"""),6.0)</f>
        <v>6</v>
      </c>
      <c r="I135" s="97">
        <f>IFERROR(__xludf.DUMMYFUNCTION("""COMPUTED_VALUE"""),6.0)</f>
        <v>6</v>
      </c>
      <c r="J135" s="97">
        <f>IFERROR(__xludf.DUMMYFUNCTION("""COMPUTED_VALUE"""),4.0)</f>
        <v>4</v>
      </c>
      <c r="K135" s="97">
        <f>IFERROR(__xludf.DUMMYFUNCTION("""COMPUTED_VALUE"""),16.0)</f>
        <v>16</v>
      </c>
      <c r="L135" s="97">
        <f>IFERROR(__xludf.DUMMYFUNCTION("""COMPUTED_VALUE"""),1.0)</f>
        <v>1</v>
      </c>
      <c r="M135" s="98">
        <f>IFERROR(__xludf.DUMMYFUNCTION("""COMPUTED_VALUE"""),174.0)</f>
        <v>174</v>
      </c>
      <c r="N135" s="98">
        <f>IFERROR(__xludf.DUMMYFUNCTION("""COMPUTED_VALUE"""),18.0)</f>
        <v>18</v>
      </c>
    </row>
    <row r="136">
      <c r="A136" s="11"/>
      <c r="B136" s="84" t="str">
        <f>IFERROR(__xludf.DUMMYFUNCTION("""COMPUTED_VALUE"""),"Alejandro Mejia")</f>
        <v>Alejandro Mejia</v>
      </c>
      <c r="C136" s="95">
        <f>IFERROR(__xludf.DUMMYFUNCTION("""COMPUTED_VALUE"""),157.0)</f>
        <v>157</v>
      </c>
      <c r="D136" s="95">
        <f>IFERROR(__xludf.DUMMYFUNCTION("""COMPUTED_VALUE"""),18.0)</f>
        <v>18</v>
      </c>
      <c r="E136" s="96">
        <f>IFERROR(__xludf.DUMMYFUNCTION("""COMPUTED_VALUE"""),1.0)</f>
        <v>1</v>
      </c>
      <c r="F136" s="97">
        <f>IFERROR(__xludf.DUMMYFUNCTION("""COMPUTED_VALUE"""),2.0)</f>
        <v>2</v>
      </c>
      <c r="G136" s="97">
        <f>IFERROR(__xludf.DUMMYFUNCTION("""COMPUTED_VALUE"""),0.0)</f>
        <v>0</v>
      </c>
      <c r="H136" s="97">
        <f>IFERROR(__xludf.DUMMYFUNCTION("""COMPUTED_VALUE"""),6.0)</f>
        <v>6</v>
      </c>
      <c r="I136" s="97">
        <f>IFERROR(__xludf.DUMMYFUNCTION("""COMPUTED_VALUE"""),0.0)</f>
        <v>0</v>
      </c>
      <c r="J136" s="97">
        <f>IFERROR(__xludf.DUMMYFUNCTION("""COMPUTED_VALUE"""),6.0)</f>
        <v>6</v>
      </c>
      <c r="K136" s="97">
        <f>IFERROR(__xludf.DUMMYFUNCTION("""COMPUTED_VALUE"""),12.0)</f>
        <v>12</v>
      </c>
      <c r="L136" s="97">
        <f>IFERROR(__xludf.DUMMYFUNCTION("""COMPUTED_VALUE"""),1.0)</f>
        <v>1</v>
      </c>
      <c r="M136" s="98">
        <f>IFERROR(__xludf.DUMMYFUNCTION("""COMPUTED_VALUE"""),169.0)</f>
        <v>169</v>
      </c>
      <c r="N136" s="98">
        <f>IFERROR(__xludf.DUMMYFUNCTION("""COMPUTED_VALUE"""),19.0)</f>
        <v>19</v>
      </c>
    </row>
    <row r="137">
      <c r="A137" s="11"/>
      <c r="B137" s="84" t="str">
        <f>IFERROR(__xludf.DUMMYFUNCTION("""COMPUTED_VALUE"""),"Luis Hsu")</f>
        <v>Luis Hsu</v>
      </c>
      <c r="C137" s="95">
        <f>IFERROR(__xludf.DUMMYFUNCTION("""COMPUTED_VALUE"""),157.0)</f>
        <v>157</v>
      </c>
      <c r="D137" s="95">
        <f>IFERROR(__xludf.DUMMYFUNCTION("""COMPUTED_VALUE"""),13.0)</f>
        <v>13</v>
      </c>
      <c r="E137" s="96">
        <f>IFERROR(__xludf.DUMMYFUNCTION("""COMPUTED_VALUE"""),1.0)</f>
        <v>1</v>
      </c>
      <c r="F137" s="97">
        <f>IFERROR(__xludf.DUMMYFUNCTION("""COMPUTED_VALUE"""),2.0)</f>
        <v>2</v>
      </c>
      <c r="G137" s="97">
        <f>IFERROR(__xludf.DUMMYFUNCTION("""COMPUTED_VALUE"""),0.0)</f>
        <v>0</v>
      </c>
      <c r="H137" s="97">
        <f>IFERROR(__xludf.DUMMYFUNCTION("""COMPUTED_VALUE"""),7.0)</f>
        <v>7</v>
      </c>
      <c r="I137" s="97">
        <f>IFERROR(__xludf.DUMMYFUNCTION("""COMPUTED_VALUE"""),6.0)</f>
        <v>6</v>
      </c>
      <c r="J137" s="97">
        <f>IFERROR(__xludf.DUMMYFUNCTION("""COMPUTED_VALUE"""),6.0)</f>
        <v>6</v>
      </c>
      <c r="K137" s="97">
        <f>IFERROR(__xludf.DUMMYFUNCTION("""COMPUTED_VALUE"""),19.0)</f>
        <v>19</v>
      </c>
      <c r="L137" s="97">
        <f>IFERROR(__xludf.DUMMYFUNCTION("""COMPUTED_VALUE"""),3.0)</f>
        <v>3</v>
      </c>
      <c r="M137" s="98">
        <f>IFERROR(__xludf.DUMMYFUNCTION("""COMPUTED_VALUE"""),176.0)</f>
        <v>176</v>
      </c>
      <c r="N137" s="98">
        <f>IFERROR(__xludf.DUMMYFUNCTION("""COMPUTED_VALUE"""),16.0)</f>
        <v>16</v>
      </c>
    </row>
    <row r="138">
      <c r="A138" s="11"/>
      <c r="B138" s="84" t="str">
        <f>IFERROR(__xludf.DUMMYFUNCTION("""COMPUTED_VALUE"""),"Joe Luzzi")</f>
        <v>Joe Luzzi</v>
      </c>
      <c r="C138" s="95">
        <f>IFERROR(__xludf.DUMMYFUNCTION("""COMPUTED_VALUE"""),157.0)</f>
        <v>157</v>
      </c>
      <c r="D138" s="95">
        <f>IFERROR(__xludf.DUMMYFUNCTION("""COMPUTED_VALUE"""),11.0)</f>
        <v>11</v>
      </c>
      <c r="E138" s="96">
        <f>IFERROR(__xludf.DUMMYFUNCTION("""COMPUTED_VALUE"""),1.0)</f>
        <v>1</v>
      </c>
      <c r="F138" s="97">
        <f>IFERROR(__xludf.DUMMYFUNCTION("""COMPUTED_VALUE"""),2.0)</f>
        <v>2</v>
      </c>
      <c r="G138" s="97">
        <f>IFERROR(__xludf.DUMMYFUNCTION("""COMPUTED_VALUE"""),0.0)</f>
        <v>0</v>
      </c>
      <c r="H138" s="97">
        <f>IFERROR(__xludf.DUMMYFUNCTION("""COMPUTED_VALUE"""),7.0)</f>
        <v>7</v>
      </c>
      <c r="I138" s="97">
        <f>IFERROR(__xludf.DUMMYFUNCTION("""COMPUTED_VALUE"""),0.0)</f>
        <v>0</v>
      </c>
      <c r="J138" s="97">
        <f>IFERROR(__xludf.DUMMYFUNCTION("""COMPUTED_VALUE"""),4.0)</f>
        <v>4</v>
      </c>
      <c r="K138" s="97">
        <f>IFERROR(__xludf.DUMMYFUNCTION("""COMPUTED_VALUE"""),11.0)</f>
        <v>11</v>
      </c>
      <c r="L138" s="97">
        <f>IFERROR(__xludf.DUMMYFUNCTION("""COMPUTED_VALUE"""),1.0)</f>
        <v>1</v>
      </c>
      <c r="M138" s="98">
        <f>IFERROR(__xludf.DUMMYFUNCTION("""COMPUTED_VALUE"""),168.0)</f>
        <v>168</v>
      </c>
      <c r="N138" s="98">
        <f>IFERROR(__xludf.DUMMYFUNCTION("""COMPUTED_VALUE"""),12.0)</f>
        <v>12</v>
      </c>
    </row>
    <row r="139">
      <c r="A139" s="11"/>
      <c r="B139" s="82" t="str">
        <f>IFERROR(__xludf.DUMMYFUNCTION("""COMPUTED_VALUE"""),"Ted Shen")</f>
        <v>Ted Shen</v>
      </c>
      <c r="C139" s="87">
        <f>IFERROR(__xludf.DUMMYFUNCTION("""COMPUTED_VALUE"""),156.0)</f>
        <v>156</v>
      </c>
      <c r="D139" s="87">
        <f>IFERROR(__xludf.DUMMYFUNCTION("""COMPUTED_VALUE"""),15.0)</f>
        <v>15</v>
      </c>
      <c r="E139" s="86">
        <f>IFERROR(__xludf.DUMMYFUNCTION("""COMPUTED_VALUE"""),1.0)</f>
        <v>1</v>
      </c>
      <c r="F139" s="88">
        <f>IFERROR(__xludf.DUMMYFUNCTION("""COMPUTED_VALUE"""),3.0)</f>
        <v>3</v>
      </c>
      <c r="G139" s="88">
        <f>IFERROR(__xludf.DUMMYFUNCTION("""COMPUTED_VALUE"""),0.0)</f>
        <v>0</v>
      </c>
      <c r="H139" s="88">
        <f>IFERROR(__xludf.DUMMYFUNCTION("""COMPUTED_VALUE"""),2.0)</f>
        <v>2</v>
      </c>
      <c r="I139" s="88">
        <f>IFERROR(__xludf.DUMMYFUNCTION("""COMPUTED_VALUE"""),6.0)</f>
        <v>6</v>
      </c>
      <c r="J139" s="88">
        <f>IFERROR(__xludf.DUMMYFUNCTION("""COMPUTED_VALUE"""),6.0)</f>
        <v>6</v>
      </c>
      <c r="K139" s="88">
        <f>IFERROR(__xludf.DUMMYFUNCTION("""COMPUTED_VALUE"""),14.0)</f>
        <v>14</v>
      </c>
      <c r="L139" s="88">
        <f>IFERROR(__xludf.DUMMYFUNCTION("""COMPUTED_VALUE"""),2.0)</f>
        <v>2</v>
      </c>
      <c r="M139" s="89">
        <f>IFERROR(__xludf.DUMMYFUNCTION("""COMPUTED_VALUE"""),170.0)</f>
        <v>170</v>
      </c>
      <c r="N139" s="89">
        <f>IFERROR(__xludf.DUMMYFUNCTION("""COMPUTED_VALUE"""),17.0)</f>
        <v>17</v>
      </c>
    </row>
    <row r="140">
      <c r="A140" s="11"/>
      <c r="B140" s="82" t="str">
        <f>IFERROR(__xludf.DUMMYFUNCTION("""COMPUTED_VALUE"""),"Frank Moon")</f>
        <v>Frank Moon</v>
      </c>
      <c r="C140" s="87">
        <f>IFERROR(__xludf.DUMMYFUNCTION("""COMPUTED_VALUE"""),155.0)</f>
        <v>155</v>
      </c>
      <c r="D140" s="87">
        <f>IFERROR(__xludf.DUMMYFUNCTION("""COMPUTED_VALUE"""),14.0)</f>
        <v>14</v>
      </c>
      <c r="E140" s="86">
        <f>IFERROR(__xludf.DUMMYFUNCTION("""COMPUTED_VALUE"""),1.0)</f>
        <v>1</v>
      </c>
      <c r="F140" s="88">
        <f>IFERROR(__xludf.DUMMYFUNCTION("""COMPUTED_VALUE"""),3.0)</f>
        <v>3</v>
      </c>
      <c r="G140" s="88">
        <f>IFERROR(__xludf.DUMMYFUNCTION("""COMPUTED_VALUE"""),0.0)</f>
        <v>0</v>
      </c>
      <c r="H140" s="88">
        <f>IFERROR(__xludf.DUMMYFUNCTION("""COMPUTED_VALUE"""),6.0)</f>
        <v>6</v>
      </c>
      <c r="I140" s="88">
        <f>IFERROR(__xludf.DUMMYFUNCTION("""COMPUTED_VALUE"""),6.0)</f>
        <v>6</v>
      </c>
      <c r="J140" s="88">
        <f>IFERROR(__xludf.DUMMYFUNCTION("""COMPUTED_VALUE"""),4.0)</f>
        <v>4</v>
      </c>
      <c r="K140" s="88">
        <f>IFERROR(__xludf.DUMMYFUNCTION("""COMPUTED_VALUE"""),16.0)</f>
        <v>16</v>
      </c>
      <c r="L140" s="88">
        <f>IFERROR(__xludf.DUMMYFUNCTION("""COMPUTED_VALUE"""),2.0)</f>
        <v>2</v>
      </c>
      <c r="M140" s="89">
        <f>IFERROR(__xludf.DUMMYFUNCTION("""COMPUTED_VALUE"""),171.0)</f>
        <v>171</v>
      </c>
      <c r="N140" s="89">
        <f>IFERROR(__xludf.DUMMYFUNCTION("""COMPUTED_VALUE"""),16.0)</f>
        <v>16</v>
      </c>
    </row>
    <row r="141">
      <c r="A141" s="11"/>
      <c r="B141" s="82" t="str">
        <f>IFERROR(__xludf.DUMMYFUNCTION("""COMPUTED_VALUE"""),"Alex Hou")</f>
        <v>Alex Hou</v>
      </c>
      <c r="C141" s="87">
        <f>IFERROR(__xludf.DUMMYFUNCTION("""COMPUTED_VALUE"""),155.0)</f>
        <v>155</v>
      </c>
      <c r="D141" s="87">
        <f>IFERROR(__xludf.DUMMYFUNCTION("""COMPUTED_VALUE"""),14.0)</f>
        <v>14</v>
      </c>
      <c r="E141" s="86">
        <f>IFERROR(__xludf.DUMMYFUNCTION("""COMPUTED_VALUE"""),1.0)</f>
        <v>1</v>
      </c>
      <c r="F141" s="88">
        <f>IFERROR(__xludf.DUMMYFUNCTION("""COMPUTED_VALUE"""),3.0)</f>
        <v>3</v>
      </c>
      <c r="G141" s="88">
        <f>IFERROR(__xludf.DUMMYFUNCTION("""COMPUTED_VALUE"""),0.0)</f>
        <v>0</v>
      </c>
      <c r="H141" s="88">
        <f>IFERROR(__xludf.DUMMYFUNCTION("""COMPUTED_VALUE"""),2.0)</f>
        <v>2</v>
      </c>
      <c r="I141" s="88">
        <f>IFERROR(__xludf.DUMMYFUNCTION("""COMPUTED_VALUE"""),1.0)</f>
        <v>1</v>
      </c>
      <c r="J141" s="88">
        <f>IFERROR(__xludf.DUMMYFUNCTION("""COMPUTED_VALUE"""),4.0)</f>
        <v>4</v>
      </c>
      <c r="K141" s="88">
        <f>IFERROR(__xludf.DUMMYFUNCTION("""COMPUTED_VALUE"""),7.0)</f>
        <v>7</v>
      </c>
      <c r="L141" s="88">
        <f>IFERROR(__xludf.DUMMYFUNCTION("""COMPUTED_VALUE"""),0.0)</f>
        <v>0</v>
      </c>
      <c r="M141" s="89">
        <f>IFERROR(__xludf.DUMMYFUNCTION("""COMPUTED_VALUE"""),162.0)</f>
        <v>162</v>
      </c>
      <c r="N141" s="89">
        <f>IFERROR(__xludf.DUMMYFUNCTION("""COMPUTED_VALUE"""),14.0)</f>
        <v>14</v>
      </c>
    </row>
    <row r="142">
      <c r="A142" s="11"/>
      <c r="B142" s="82" t="str">
        <f>IFERROR(__xludf.DUMMYFUNCTION("""COMPUTED_VALUE"""),"Pavan Akkimsetty")</f>
        <v>Pavan Akkimsetty</v>
      </c>
      <c r="C142" s="87">
        <f>IFERROR(__xludf.DUMMYFUNCTION("""COMPUTED_VALUE"""),153.0)</f>
        <v>153</v>
      </c>
      <c r="D142" s="87">
        <f>IFERROR(__xludf.DUMMYFUNCTION("""COMPUTED_VALUE"""),13.0)</f>
        <v>13</v>
      </c>
      <c r="E142" s="86">
        <f>IFERROR(__xludf.DUMMYFUNCTION("""COMPUTED_VALUE"""),1.0)</f>
        <v>1</v>
      </c>
      <c r="F142" s="88">
        <f>IFERROR(__xludf.DUMMYFUNCTION("""COMPUTED_VALUE"""),3.0)</f>
        <v>3</v>
      </c>
      <c r="G142" s="88">
        <f>IFERROR(__xludf.DUMMYFUNCTION("""COMPUTED_VALUE"""),0.0)</f>
        <v>0</v>
      </c>
      <c r="H142" s="88">
        <f>IFERROR(__xludf.DUMMYFUNCTION("""COMPUTED_VALUE"""),6.0)</f>
        <v>6</v>
      </c>
      <c r="I142" s="88">
        <f>IFERROR(__xludf.DUMMYFUNCTION("""COMPUTED_VALUE"""),1.0)</f>
        <v>1</v>
      </c>
      <c r="J142" s="88">
        <f>IFERROR(__xludf.DUMMYFUNCTION("""COMPUTED_VALUE"""),6.0)</f>
        <v>6</v>
      </c>
      <c r="K142" s="88">
        <f>IFERROR(__xludf.DUMMYFUNCTION("""COMPUTED_VALUE"""),13.0)</f>
        <v>13</v>
      </c>
      <c r="L142" s="88">
        <f>IFERROR(__xludf.DUMMYFUNCTION("""COMPUTED_VALUE"""),2.0)</f>
        <v>2</v>
      </c>
      <c r="M142" s="89">
        <f>IFERROR(__xludf.DUMMYFUNCTION("""COMPUTED_VALUE"""),166.0)</f>
        <v>166</v>
      </c>
      <c r="N142" s="89">
        <f>IFERROR(__xludf.DUMMYFUNCTION("""COMPUTED_VALUE"""),15.0)</f>
        <v>15</v>
      </c>
    </row>
    <row r="143">
      <c r="A143" s="11"/>
      <c r="B143" s="84" t="str">
        <f>IFERROR(__xludf.DUMMYFUNCTION("""COMPUTED_VALUE"""),"Rajasekar Ramasamy")</f>
        <v>Rajasekar Ramasamy</v>
      </c>
      <c r="C143" s="95">
        <f>IFERROR(__xludf.DUMMYFUNCTION("""COMPUTED_VALUE"""),151.0)</f>
        <v>151</v>
      </c>
      <c r="D143" s="95">
        <f>IFERROR(__xludf.DUMMYFUNCTION("""COMPUTED_VALUE"""),14.0)</f>
        <v>14</v>
      </c>
      <c r="E143" s="96">
        <f>IFERROR(__xludf.DUMMYFUNCTION("""COMPUTED_VALUE"""),1.0)</f>
        <v>1</v>
      </c>
      <c r="F143" s="97">
        <f>IFERROR(__xludf.DUMMYFUNCTION("""COMPUTED_VALUE"""),4.0)</f>
        <v>4</v>
      </c>
      <c r="G143" s="97">
        <f>IFERROR(__xludf.DUMMYFUNCTION("""COMPUTED_VALUE"""),0.0)</f>
        <v>0</v>
      </c>
      <c r="H143" s="97">
        <f>IFERROR(__xludf.DUMMYFUNCTION("""COMPUTED_VALUE"""),7.0)</f>
        <v>7</v>
      </c>
      <c r="I143" s="97">
        <f>IFERROR(__xludf.DUMMYFUNCTION("""COMPUTED_VALUE"""),7.0)</f>
        <v>7</v>
      </c>
      <c r="J143" s="97">
        <f>IFERROR(__xludf.DUMMYFUNCTION("""COMPUTED_VALUE"""),6.0)</f>
        <v>6</v>
      </c>
      <c r="K143" s="97">
        <f>IFERROR(__xludf.DUMMYFUNCTION("""COMPUTED_VALUE"""),20.0)</f>
        <v>20</v>
      </c>
      <c r="L143" s="97">
        <f>IFERROR(__xludf.DUMMYFUNCTION("""COMPUTED_VALUE"""),3.0)</f>
        <v>3</v>
      </c>
      <c r="M143" s="98">
        <f>IFERROR(__xludf.DUMMYFUNCTION("""COMPUTED_VALUE"""),171.0)</f>
        <v>171</v>
      </c>
      <c r="N143" s="98">
        <f>IFERROR(__xludf.DUMMYFUNCTION("""COMPUTED_VALUE"""),17.0)</f>
        <v>17</v>
      </c>
    </row>
    <row r="144">
      <c r="A144" s="11"/>
      <c r="B144" s="84" t="str">
        <f>IFERROR(__xludf.DUMMYFUNCTION("""COMPUTED_VALUE"""),"James Phan")</f>
        <v>James Phan</v>
      </c>
      <c r="C144" s="95">
        <f>IFERROR(__xludf.DUMMYFUNCTION("""COMPUTED_VALUE"""),151.0)</f>
        <v>151</v>
      </c>
      <c r="D144" s="95">
        <f>IFERROR(__xludf.DUMMYFUNCTION("""COMPUTED_VALUE"""),13.0)</f>
        <v>13</v>
      </c>
      <c r="E144" s="96">
        <f>IFERROR(__xludf.DUMMYFUNCTION("""COMPUTED_VALUE"""),1.0)</f>
        <v>1</v>
      </c>
      <c r="F144" s="97">
        <f>IFERROR(__xludf.DUMMYFUNCTION("""COMPUTED_VALUE"""),4.0)</f>
        <v>4</v>
      </c>
      <c r="G144" s="97">
        <f>IFERROR(__xludf.DUMMYFUNCTION("""COMPUTED_VALUE"""),0.0)</f>
        <v>0</v>
      </c>
      <c r="H144" s="97">
        <f>IFERROR(__xludf.DUMMYFUNCTION("""COMPUTED_VALUE"""),6.0)</f>
        <v>6</v>
      </c>
      <c r="I144" s="97">
        <f>IFERROR(__xludf.DUMMYFUNCTION("""COMPUTED_VALUE"""),5.0)</f>
        <v>5</v>
      </c>
      <c r="J144" s="97">
        <f>IFERROR(__xludf.DUMMYFUNCTION("""COMPUTED_VALUE"""),6.0)</f>
        <v>6</v>
      </c>
      <c r="K144" s="97">
        <f>IFERROR(__xludf.DUMMYFUNCTION("""COMPUTED_VALUE"""),17.0)</f>
        <v>17</v>
      </c>
      <c r="L144" s="97">
        <f>IFERROR(__xludf.DUMMYFUNCTION("""COMPUTED_VALUE"""),1.0)</f>
        <v>1</v>
      </c>
      <c r="M144" s="98">
        <f>IFERROR(__xludf.DUMMYFUNCTION("""COMPUTED_VALUE"""),168.0)</f>
        <v>168</v>
      </c>
      <c r="N144" s="98">
        <f>IFERROR(__xludf.DUMMYFUNCTION("""COMPUTED_VALUE"""),14.0)</f>
        <v>14</v>
      </c>
    </row>
    <row r="145">
      <c r="A145" s="11"/>
      <c r="B145" s="84" t="str">
        <f>IFERROR(__xludf.DUMMYFUNCTION("""COMPUTED_VALUE"""),"David Shin")</f>
        <v>David Shin</v>
      </c>
      <c r="C145" s="95">
        <f>IFERROR(__xludf.DUMMYFUNCTION("""COMPUTED_VALUE"""),150.0)</f>
        <v>150</v>
      </c>
      <c r="D145" s="95">
        <f>IFERROR(__xludf.DUMMYFUNCTION("""COMPUTED_VALUE"""),14.0)</f>
        <v>14</v>
      </c>
      <c r="E145" s="96">
        <f>IFERROR(__xludf.DUMMYFUNCTION("""COMPUTED_VALUE"""),1.0)</f>
        <v>1</v>
      </c>
      <c r="F145" s="97">
        <f>IFERROR(__xludf.DUMMYFUNCTION("""COMPUTED_VALUE"""),4.0)</f>
        <v>4</v>
      </c>
      <c r="G145" s="97">
        <f>IFERROR(__xludf.DUMMYFUNCTION("""COMPUTED_VALUE"""),0.0)</f>
        <v>0</v>
      </c>
      <c r="H145" s="97">
        <f>IFERROR(__xludf.DUMMYFUNCTION("""COMPUTED_VALUE"""),7.0)</f>
        <v>7</v>
      </c>
      <c r="I145" s="97">
        <f>IFERROR(__xludf.DUMMYFUNCTION("""COMPUTED_VALUE"""),5.0)</f>
        <v>5</v>
      </c>
      <c r="J145" s="97">
        <f>IFERROR(__xludf.DUMMYFUNCTION("""COMPUTED_VALUE"""),4.0)</f>
        <v>4</v>
      </c>
      <c r="K145" s="97">
        <f>IFERROR(__xludf.DUMMYFUNCTION("""COMPUTED_VALUE"""),16.0)</f>
        <v>16</v>
      </c>
      <c r="L145" s="97">
        <f>IFERROR(__xludf.DUMMYFUNCTION("""COMPUTED_VALUE"""),1.0)</f>
        <v>1</v>
      </c>
      <c r="M145" s="98">
        <f>IFERROR(__xludf.DUMMYFUNCTION("""COMPUTED_VALUE"""),166.0)</f>
        <v>166</v>
      </c>
      <c r="N145" s="98">
        <f>IFERROR(__xludf.DUMMYFUNCTION("""COMPUTED_VALUE"""),15.0)</f>
        <v>15</v>
      </c>
    </row>
    <row r="146">
      <c r="A146" s="11"/>
      <c r="B146" s="84" t="str">
        <f>IFERROR(__xludf.DUMMYFUNCTION("""COMPUTED_VALUE"""),"Sean Chang")</f>
        <v>Sean Chang</v>
      </c>
      <c r="C146" s="95">
        <f>IFERROR(__xludf.DUMMYFUNCTION("""COMPUTED_VALUE"""),150.0)</f>
        <v>150</v>
      </c>
      <c r="D146" s="95">
        <f>IFERROR(__xludf.DUMMYFUNCTION("""COMPUTED_VALUE"""),13.0)</f>
        <v>13</v>
      </c>
      <c r="E146" s="96">
        <f>IFERROR(__xludf.DUMMYFUNCTION("""COMPUTED_VALUE"""),1.0)</f>
        <v>1</v>
      </c>
      <c r="F146" s="97">
        <f>IFERROR(__xludf.DUMMYFUNCTION("""COMPUTED_VALUE"""),4.0)</f>
        <v>4</v>
      </c>
      <c r="G146" s="97">
        <f>IFERROR(__xludf.DUMMYFUNCTION("""COMPUTED_VALUE"""),0.0)</f>
        <v>0</v>
      </c>
      <c r="H146" s="97">
        <f>IFERROR(__xludf.DUMMYFUNCTION("""COMPUTED_VALUE"""),6.0)</f>
        <v>6</v>
      </c>
      <c r="I146" s="97">
        <f>IFERROR(__xludf.DUMMYFUNCTION("""COMPUTED_VALUE"""),7.0)</f>
        <v>7</v>
      </c>
      <c r="J146" s="97">
        <f>IFERROR(__xludf.DUMMYFUNCTION("""COMPUTED_VALUE"""),4.0)</f>
        <v>4</v>
      </c>
      <c r="K146" s="97">
        <f>IFERROR(__xludf.DUMMYFUNCTION("""COMPUTED_VALUE"""),17.0)</f>
        <v>17</v>
      </c>
      <c r="L146" s="97">
        <f>IFERROR(__xludf.DUMMYFUNCTION("""COMPUTED_VALUE"""),1.0)</f>
        <v>1</v>
      </c>
      <c r="M146" s="98">
        <f>IFERROR(__xludf.DUMMYFUNCTION("""COMPUTED_VALUE"""),167.0)</f>
        <v>167</v>
      </c>
      <c r="N146" s="98">
        <f>IFERROR(__xludf.DUMMYFUNCTION("""COMPUTED_VALUE"""),14.0)</f>
        <v>14</v>
      </c>
    </row>
    <row r="147">
      <c r="A147" s="11"/>
      <c r="B147" s="82" t="str">
        <f>IFERROR(__xludf.DUMMYFUNCTION("""COMPUTED_VALUE"""),"Herman Au")</f>
        <v>Herman Au</v>
      </c>
      <c r="C147" s="87">
        <f>IFERROR(__xludf.DUMMYFUNCTION("""COMPUTED_VALUE"""),150.0)</f>
        <v>150</v>
      </c>
      <c r="D147" s="87">
        <f>IFERROR(__xludf.DUMMYFUNCTION("""COMPUTED_VALUE"""),11.0)</f>
        <v>11</v>
      </c>
      <c r="E147" s="86">
        <f>IFERROR(__xludf.DUMMYFUNCTION("""COMPUTED_VALUE"""),1.0)</f>
        <v>1</v>
      </c>
      <c r="F147" s="88">
        <f>IFERROR(__xludf.DUMMYFUNCTION("""COMPUTED_VALUE"""),5.0)</f>
        <v>5</v>
      </c>
      <c r="G147" s="88">
        <f>IFERROR(__xludf.DUMMYFUNCTION("""COMPUTED_VALUE"""),0.0)</f>
        <v>0</v>
      </c>
      <c r="H147" s="88">
        <f>IFERROR(__xludf.DUMMYFUNCTION("""COMPUTED_VALUE"""),3.0)</f>
        <v>3</v>
      </c>
      <c r="I147" s="88">
        <f>IFERROR(__xludf.DUMMYFUNCTION("""COMPUTED_VALUE"""),7.0)</f>
        <v>7</v>
      </c>
      <c r="J147" s="88">
        <f>IFERROR(__xludf.DUMMYFUNCTION("""COMPUTED_VALUE"""),3.0)</f>
        <v>3</v>
      </c>
      <c r="K147" s="88">
        <f>IFERROR(__xludf.DUMMYFUNCTION("""COMPUTED_VALUE"""),13.0)</f>
        <v>13</v>
      </c>
      <c r="L147" s="88">
        <f>IFERROR(__xludf.DUMMYFUNCTION("""COMPUTED_VALUE"""),1.0)</f>
        <v>1</v>
      </c>
      <c r="M147" s="89">
        <f>IFERROR(__xludf.DUMMYFUNCTION("""COMPUTED_VALUE"""),163.0)</f>
        <v>163</v>
      </c>
      <c r="N147" s="89">
        <f>IFERROR(__xludf.DUMMYFUNCTION("""COMPUTED_VALUE"""),12.0)</f>
        <v>12</v>
      </c>
    </row>
    <row r="148">
      <c r="A148" s="11"/>
      <c r="B148" s="82" t="str">
        <f>IFERROR(__xludf.DUMMYFUNCTION("""COMPUTED_VALUE"""),"Arun Mallikarjuna")</f>
        <v>Arun Mallikarjuna</v>
      </c>
      <c r="C148" s="87">
        <f>IFERROR(__xludf.DUMMYFUNCTION("""COMPUTED_VALUE"""),149.0)</f>
        <v>149</v>
      </c>
      <c r="D148" s="87">
        <f>IFERROR(__xludf.DUMMYFUNCTION("""COMPUTED_VALUE"""),13.0)</f>
        <v>13</v>
      </c>
      <c r="E148" s="86">
        <f>IFERROR(__xludf.DUMMYFUNCTION("""COMPUTED_VALUE"""),1.0)</f>
        <v>1</v>
      </c>
      <c r="F148" s="88">
        <f>IFERROR(__xludf.DUMMYFUNCTION("""COMPUTED_VALUE"""),5.0)</f>
        <v>5</v>
      </c>
      <c r="G148" s="88">
        <f>IFERROR(__xludf.DUMMYFUNCTION("""COMPUTED_VALUE"""),0.0)</f>
        <v>0</v>
      </c>
      <c r="H148" s="88">
        <f>IFERROR(__xludf.DUMMYFUNCTION("""COMPUTED_VALUE"""),6.0)</f>
        <v>6</v>
      </c>
      <c r="I148" s="88">
        <f>IFERROR(__xludf.DUMMYFUNCTION("""COMPUTED_VALUE"""),6.0)</f>
        <v>6</v>
      </c>
      <c r="J148" s="88">
        <f>IFERROR(__xludf.DUMMYFUNCTION("""COMPUTED_VALUE"""),3.0)</f>
        <v>3</v>
      </c>
      <c r="K148" s="88">
        <f>IFERROR(__xludf.DUMMYFUNCTION("""COMPUTED_VALUE"""),15.0)</f>
        <v>15</v>
      </c>
      <c r="L148" s="88">
        <f>IFERROR(__xludf.DUMMYFUNCTION("""COMPUTED_VALUE"""),1.0)</f>
        <v>1</v>
      </c>
      <c r="M148" s="89">
        <f>IFERROR(__xludf.DUMMYFUNCTION("""COMPUTED_VALUE"""),164.0)</f>
        <v>164</v>
      </c>
      <c r="N148" s="89">
        <f>IFERROR(__xludf.DUMMYFUNCTION("""COMPUTED_VALUE"""),14.0)</f>
        <v>14</v>
      </c>
    </row>
    <row r="149">
      <c r="A149" s="11"/>
      <c r="B149" s="82" t="str">
        <f>IFERROR(__xludf.DUMMYFUNCTION("""COMPUTED_VALUE"""),"Scott Li")</f>
        <v>Scott Li</v>
      </c>
      <c r="C149" s="87">
        <f>IFERROR(__xludf.DUMMYFUNCTION("""COMPUTED_VALUE"""),146.0)</f>
        <v>146</v>
      </c>
      <c r="D149" s="87">
        <f>IFERROR(__xludf.DUMMYFUNCTION("""COMPUTED_VALUE"""),12.0)</f>
        <v>12</v>
      </c>
      <c r="E149" s="86">
        <f>IFERROR(__xludf.DUMMYFUNCTION("""COMPUTED_VALUE"""),1.0)</f>
        <v>1</v>
      </c>
      <c r="F149" s="88">
        <f>IFERROR(__xludf.DUMMYFUNCTION("""COMPUTED_VALUE"""),5.0)</f>
        <v>5</v>
      </c>
      <c r="G149" s="88">
        <f>IFERROR(__xludf.DUMMYFUNCTION("""COMPUTED_VALUE"""),0.0)</f>
        <v>0</v>
      </c>
      <c r="H149" s="88">
        <f>IFERROR(__xludf.DUMMYFUNCTION("""COMPUTED_VALUE"""),3.0)</f>
        <v>3</v>
      </c>
      <c r="I149" s="88">
        <f>IFERROR(__xludf.DUMMYFUNCTION("""COMPUTED_VALUE"""),6.0)</f>
        <v>6</v>
      </c>
      <c r="J149" s="88">
        <f>IFERROR(__xludf.DUMMYFUNCTION("""COMPUTED_VALUE"""),6.0)</f>
        <v>6</v>
      </c>
      <c r="K149" s="88">
        <f>IFERROR(__xludf.DUMMYFUNCTION("""COMPUTED_VALUE"""),15.0)</f>
        <v>15</v>
      </c>
      <c r="L149" s="88">
        <f>IFERROR(__xludf.DUMMYFUNCTION("""COMPUTED_VALUE"""),1.0)</f>
        <v>1</v>
      </c>
      <c r="M149" s="89">
        <f>IFERROR(__xludf.DUMMYFUNCTION("""COMPUTED_VALUE"""),161.0)</f>
        <v>161</v>
      </c>
      <c r="N149" s="89">
        <f>IFERROR(__xludf.DUMMYFUNCTION("""COMPUTED_VALUE"""),13.0)</f>
        <v>13</v>
      </c>
    </row>
    <row r="150">
      <c r="A150" s="11"/>
      <c r="B150" s="82" t="str">
        <f>IFERROR(__xludf.DUMMYFUNCTION("""COMPUTED_VALUE"""),"Lam Bui")</f>
        <v>Lam Bui</v>
      </c>
      <c r="C150" s="87">
        <f>IFERROR(__xludf.DUMMYFUNCTION("""COMPUTED_VALUE"""),143.0)</f>
        <v>143</v>
      </c>
      <c r="D150" s="87">
        <f>IFERROR(__xludf.DUMMYFUNCTION("""COMPUTED_VALUE"""),10.0)</f>
        <v>10</v>
      </c>
      <c r="E150" s="86">
        <f>IFERROR(__xludf.DUMMYFUNCTION("""COMPUTED_VALUE"""),2.0)</f>
        <v>2</v>
      </c>
      <c r="F150" s="88">
        <f>IFERROR(__xludf.DUMMYFUNCTION("""COMPUTED_VALUE"""),5.0)</f>
        <v>5</v>
      </c>
      <c r="G150" s="88">
        <f>IFERROR(__xludf.DUMMYFUNCTION("""COMPUTED_VALUE"""),0.0)</f>
        <v>0</v>
      </c>
      <c r="H150" s="88">
        <f>IFERROR(__xludf.DUMMYFUNCTION("""COMPUTED_VALUE"""),6.0)</f>
        <v>6</v>
      </c>
      <c r="I150" s="88">
        <f>IFERROR(__xludf.DUMMYFUNCTION("""COMPUTED_VALUE"""),7.0)</f>
        <v>7</v>
      </c>
      <c r="J150" s="88">
        <f>IFERROR(__xludf.DUMMYFUNCTION("""COMPUTED_VALUE"""),6.0)</f>
        <v>6</v>
      </c>
      <c r="K150" s="88">
        <f>IFERROR(__xludf.DUMMYFUNCTION("""COMPUTED_VALUE"""),19.0)</f>
        <v>19</v>
      </c>
      <c r="L150" s="88">
        <f>IFERROR(__xludf.DUMMYFUNCTION("""COMPUTED_VALUE"""),3.0)</f>
        <v>3</v>
      </c>
      <c r="M150" s="89">
        <f>IFERROR(__xludf.DUMMYFUNCTION("""COMPUTED_VALUE"""),162.0)</f>
        <v>162</v>
      </c>
      <c r="N150" s="89">
        <f>IFERROR(__xludf.DUMMYFUNCTION("""COMPUTED_VALUE"""),13.0)</f>
        <v>13</v>
      </c>
    </row>
    <row r="151">
      <c r="A151" s="11"/>
      <c r="B151" s="84" t="str">
        <f>IFERROR(__xludf.DUMMYFUNCTION("""COMPUTED_VALUE"""),"Oscar Bonilla")</f>
        <v>Oscar Bonilla</v>
      </c>
      <c r="C151" s="95">
        <f>IFERROR(__xludf.DUMMYFUNCTION("""COMPUTED_VALUE"""),141.0)</f>
        <v>141</v>
      </c>
      <c r="D151" s="95">
        <f>IFERROR(__xludf.DUMMYFUNCTION("""COMPUTED_VALUE"""),8.0)</f>
        <v>8</v>
      </c>
      <c r="E151" s="96">
        <f>IFERROR(__xludf.DUMMYFUNCTION("""COMPUTED_VALUE"""),1.0)</f>
        <v>1</v>
      </c>
      <c r="F151" s="97">
        <f>IFERROR(__xludf.DUMMYFUNCTION("""COMPUTED_VALUE"""),6.0)</f>
        <v>6</v>
      </c>
      <c r="G151" s="97">
        <f>IFERROR(__xludf.DUMMYFUNCTION("""COMPUTED_VALUE"""),0.0)</f>
        <v>0</v>
      </c>
      <c r="H151" s="97">
        <f>IFERROR(__xludf.DUMMYFUNCTION("""COMPUTED_VALUE"""),5.0)</f>
        <v>5</v>
      </c>
      <c r="I151" s="97">
        <f>IFERROR(__xludf.DUMMYFUNCTION("""COMPUTED_VALUE"""),4.0)</f>
        <v>4</v>
      </c>
      <c r="J151" s="97">
        <f>IFERROR(__xludf.DUMMYFUNCTION("""COMPUTED_VALUE"""),6.0)</f>
        <v>6</v>
      </c>
      <c r="K151" s="97">
        <f>IFERROR(__xludf.DUMMYFUNCTION("""COMPUTED_VALUE"""),15.0)</f>
        <v>15</v>
      </c>
      <c r="L151" s="97">
        <f>IFERROR(__xludf.DUMMYFUNCTION("""COMPUTED_VALUE"""),1.0)</f>
        <v>1</v>
      </c>
      <c r="M151" s="98">
        <f>IFERROR(__xludf.DUMMYFUNCTION("""COMPUTED_VALUE"""),156.0)</f>
        <v>156</v>
      </c>
      <c r="N151" s="98">
        <f>IFERROR(__xludf.DUMMYFUNCTION("""COMPUTED_VALUE"""),9.0)</f>
        <v>9</v>
      </c>
    </row>
    <row r="152">
      <c r="A152" s="11"/>
      <c r="B152" s="84" t="str">
        <f>IFERROR(__xludf.DUMMYFUNCTION("""COMPUTED_VALUE"""),"Wayne Liu")</f>
        <v>Wayne Liu</v>
      </c>
      <c r="C152" s="95">
        <f>IFERROR(__xludf.DUMMYFUNCTION("""COMPUTED_VALUE"""),140.0)</f>
        <v>140</v>
      </c>
      <c r="D152" s="95">
        <f>IFERROR(__xludf.DUMMYFUNCTION("""COMPUTED_VALUE"""),14.0)</f>
        <v>14</v>
      </c>
      <c r="E152" s="96">
        <f>IFERROR(__xludf.DUMMYFUNCTION("""COMPUTED_VALUE"""),1.0)</f>
        <v>1</v>
      </c>
      <c r="F152" s="97">
        <f>IFERROR(__xludf.DUMMYFUNCTION("""COMPUTED_VALUE"""),6.0)</f>
        <v>6</v>
      </c>
      <c r="G152" s="97">
        <f>IFERROR(__xludf.DUMMYFUNCTION("""COMPUTED_VALUE"""),0.0)</f>
        <v>0</v>
      </c>
      <c r="H152" s="97">
        <f>IFERROR(__xludf.DUMMYFUNCTION("""COMPUTED_VALUE"""),7.0)</f>
        <v>7</v>
      </c>
      <c r="I152" s="97">
        <f>IFERROR(__xludf.DUMMYFUNCTION("""COMPUTED_VALUE"""),4.0)</f>
        <v>4</v>
      </c>
      <c r="J152" s="97">
        <f>IFERROR(__xludf.DUMMYFUNCTION("""COMPUTED_VALUE"""),0.0)</f>
        <v>0</v>
      </c>
      <c r="K152" s="97">
        <f>IFERROR(__xludf.DUMMYFUNCTION("""COMPUTED_VALUE"""),11.0)</f>
        <v>11</v>
      </c>
      <c r="L152" s="97">
        <f>IFERROR(__xludf.DUMMYFUNCTION("""COMPUTED_VALUE"""),1.0)</f>
        <v>1</v>
      </c>
      <c r="M152" s="98">
        <f>IFERROR(__xludf.DUMMYFUNCTION("""COMPUTED_VALUE"""),151.0)</f>
        <v>151</v>
      </c>
      <c r="N152" s="98">
        <f>IFERROR(__xludf.DUMMYFUNCTION("""COMPUTED_VALUE"""),15.0)</f>
        <v>15</v>
      </c>
    </row>
    <row r="153">
      <c r="A153" s="11"/>
      <c r="B153" s="84" t="str">
        <f>IFERROR(__xludf.DUMMYFUNCTION("""COMPUTED_VALUE"""),"Vamsi Lolla ")</f>
        <v>Vamsi Lolla </v>
      </c>
      <c r="C153" s="95">
        <f>IFERROR(__xludf.DUMMYFUNCTION("""COMPUTED_VALUE"""),140.0)</f>
        <v>140</v>
      </c>
      <c r="D153" s="95">
        <f>IFERROR(__xludf.DUMMYFUNCTION("""COMPUTED_VALUE"""),8.0)</f>
        <v>8</v>
      </c>
      <c r="E153" s="96">
        <f>IFERROR(__xludf.DUMMYFUNCTION("""COMPUTED_VALUE"""),2.0)</f>
        <v>2</v>
      </c>
      <c r="F153" s="97">
        <f>IFERROR(__xludf.DUMMYFUNCTION("""COMPUTED_VALUE"""),6.0)</f>
        <v>6</v>
      </c>
      <c r="G153" s="97">
        <f>IFERROR(__xludf.DUMMYFUNCTION("""COMPUTED_VALUE"""),0.0)</f>
        <v>0</v>
      </c>
      <c r="H153" s="97">
        <f>IFERROR(__xludf.DUMMYFUNCTION("""COMPUTED_VALUE"""),5.0)</f>
        <v>5</v>
      </c>
      <c r="I153" s="97">
        <f>IFERROR(__xludf.DUMMYFUNCTION("""COMPUTED_VALUE"""),6.0)</f>
        <v>6</v>
      </c>
      <c r="J153" s="97">
        <f>IFERROR(__xludf.DUMMYFUNCTION("""COMPUTED_VALUE"""),0.0)</f>
        <v>0</v>
      </c>
      <c r="K153" s="97">
        <f>IFERROR(__xludf.DUMMYFUNCTION("""COMPUTED_VALUE"""),11.0)</f>
        <v>11</v>
      </c>
      <c r="L153" s="97">
        <f>IFERROR(__xludf.DUMMYFUNCTION("""COMPUTED_VALUE"""),1.0)</f>
        <v>1</v>
      </c>
      <c r="M153" s="98">
        <f>IFERROR(__xludf.DUMMYFUNCTION("""COMPUTED_VALUE"""),151.0)</f>
        <v>151</v>
      </c>
      <c r="N153" s="98">
        <f>IFERROR(__xludf.DUMMYFUNCTION("""COMPUTED_VALUE"""),9.0)</f>
        <v>9</v>
      </c>
    </row>
    <row r="154">
      <c r="A154" s="11"/>
      <c r="B154" s="84" t="str">
        <f>IFERROR(__xludf.DUMMYFUNCTION("""COMPUTED_VALUE"""),"Robert Chang")</f>
        <v>Robert Chang</v>
      </c>
      <c r="C154" s="95">
        <f>IFERROR(__xludf.DUMMYFUNCTION("""COMPUTED_VALUE"""),136.0)</f>
        <v>136</v>
      </c>
      <c r="D154" s="95">
        <f>IFERROR(__xludf.DUMMYFUNCTION("""COMPUTED_VALUE"""),4.0)</f>
        <v>4</v>
      </c>
      <c r="E154" s="96">
        <f>IFERROR(__xludf.DUMMYFUNCTION("""COMPUTED_VALUE"""),2.0)</f>
        <v>2</v>
      </c>
      <c r="F154" s="97">
        <f>IFERROR(__xludf.DUMMYFUNCTION("""COMPUTED_VALUE"""),6.0)</f>
        <v>6</v>
      </c>
      <c r="G154" s="97">
        <f>IFERROR(__xludf.DUMMYFUNCTION("""COMPUTED_VALUE"""),0.0)</f>
        <v>0</v>
      </c>
      <c r="H154" s="97">
        <f>IFERROR(__xludf.DUMMYFUNCTION("""COMPUTED_VALUE"""),7.0)</f>
        <v>7</v>
      </c>
      <c r="I154" s="97">
        <f>IFERROR(__xludf.DUMMYFUNCTION("""COMPUTED_VALUE"""),6.0)</f>
        <v>6</v>
      </c>
      <c r="J154" s="97">
        <f>IFERROR(__xludf.DUMMYFUNCTION("""COMPUTED_VALUE"""),6.0)</f>
        <v>6</v>
      </c>
      <c r="K154" s="97">
        <f>IFERROR(__xludf.DUMMYFUNCTION("""COMPUTED_VALUE"""),19.0)</f>
        <v>19</v>
      </c>
      <c r="L154" s="97">
        <f>IFERROR(__xludf.DUMMYFUNCTION("""COMPUTED_VALUE"""),3.0)</f>
        <v>3</v>
      </c>
      <c r="M154" s="98">
        <f>IFERROR(__xludf.DUMMYFUNCTION("""COMPUTED_VALUE"""),155.0)</f>
        <v>155</v>
      </c>
      <c r="N154" s="98">
        <f>IFERROR(__xludf.DUMMYFUNCTION("""COMPUTED_VALUE"""),7.0)</f>
        <v>7</v>
      </c>
    </row>
    <row r="155">
      <c r="A155" s="11"/>
      <c r="B155" s="82" t="str">
        <f>IFERROR(__xludf.DUMMYFUNCTION("""COMPUTED_VALUE"""),"Kumar Palakeel")</f>
        <v>Kumar Palakeel</v>
      </c>
      <c r="C155" s="87">
        <f>IFERROR(__xludf.DUMMYFUNCTION("""COMPUTED_VALUE"""),132.0)</f>
        <v>132</v>
      </c>
      <c r="D155" s="87">
        <f>IFERROR(__xludf.DUMMYFUNCTION("""COMPUTED_VALUE"""),12.0)</f>
        <v>12</v>
      </c>
      <c r="E155" s="86">
        <f>IFERROR(__xludf.DUMMYFUNCTION("""COMPUTED_VALUE"""),1.0)</f>
        <v>1</v>
      </c>
      <c r="F155" s="88">
        <f>IFERROR(__xludf.DUMMYFUNCTION("""COMPUTED_VALUE"""),7.0)</f>
        <v>7</v>
      </c>
      <c r="G155" s="88">
        <f>IFERROR(__xludf.DUMMYFUNCTION("""COMPUTED_VALUE"""),0.0)</f>
        <v>0</v>
      </c>
      <c r="H155" s="88">
        <f>IFERROR(__xludf.DUMMYFUNCTION("""COMPUTED_VALUE"""),3.0)</f>
        <v>3</v>
      </c>
      <c r="I155" s="88">
        <f>IFERROR(__xludf.DUMMYFUNCTION("""COMPUTED_VALUE"""),3.0)</f>
        <v>3</v>
      </c>
      <c r="J155" s="88">
        <f>IFERROR(__xludf.DUMMYFUNCTION("""COMPUTED_VALUE"""),6.0)</f>
        <v>6</v>
      </c>
      <c r="K155" s="88">
        <f>IFERROR(__xludf.DUMMYFUNCTION("""COMPUTED_VALUE"""),12.0)</f>
        <v>12</v>
      </c>
      <c r="L155" s="88">
        <f>IFERROR(__xludf.DUMMYFUNCTION("""COMPUTED_VALUE"""),1.0)</f>
        <v>1</v>
      </c>
      <c r="M155" s="89">
        <f>IFERROR(__xludf.DUMMYFUNCTION("""COMPUTED_VALUE"""),144.0)</f>
        <v>144</v>
      </c>
      <c r="N155" s="89">
        <f>IFERROR(__xludf.DUMMYFUNCTION("""COMPUTED_VALUE"""),13.0)</f>
        <v>13</v>
      </c>
    </row>
    <row r="156">
      <c r="A156" s="11"/>
      <c r="B156" s="82" t="str">
        <f>IFERROR(__xludf.DUMMYFUNCTION("""COMPUTED_VALUE"""),"Jim Miao")</f>
        <v>Jim Miao</v>
      </c>
      <c r="C156" s="87">
        <f>IFERROR(__xludf.DUMMYFUNCTION("""COMPUTED_VALUE"""),131.0)</f>
        <v>131</v>
      </c>
      <c r="D156" s="87">
        <f>IFERROR(__xludf.DUMMYFUNCTION("""COMPUTED_VALUE"""),6.0)</f>
        <v>6</v>
      </c>
      <c r="E156" s="86">
        <f>IFERROR(__xludf.DUMMYFUNCTION("""COMPUTED_VALUE"""),1.0)</f>
        <v>1</v>
      </c>
      <c r="F156" s="88">
        <f>IFERROR(__xludf.DUMMYFUNCTION("""COMPUTED_VALUE"""),7.0)</f>
        <v>7</v>
      </c>
      <c r="G156" s="88">
        <f>IFERROR(__xludf.DUMMYFUNCTION("""COMPUTED_VALUE"""),0.0)</f>
        <v>0</v>
      </c>
      <c r="H156" s="88">
        <f>IFERROR(__xludf.DUMMYFUNCTION("""COMPUTED_VALUE"""),6.0)</f>
        <v>6</v>
      </c>
      <c r="I156" s="88">
        <f>IFERROR(__xludf.DUMMYFUNCTION("""COMPUTED_VALUE"""),6.0)</f>
        <v>6</v>
      </c>
      <c r="J156" s="88">
        <f>IFERROR(__xludf.DUMMYFUNCTION("""COMPUTED_VALUE"""),6.0)</f>
        <v>6</v>
      </c>
      <c r="K156" s="88">
        <f>IFERROR(__xludf.DUMMYFUNCTION("""COMPUTED_VALUE"""),18.0)</f>
        <v>18</v>
      </c>
      <c r="L156" s="88">
        <f>IFERROR(__xludf.DUMMYFUNCTION("""COMPUTED_VALUE"""),3.0)</f>
        <v>3</v>
      </c>
      <c r="M156" s="89">
        <f>IFERROR(__xludf.DUMMYFUNCTION("""COMPUTED_VALUE"""),149.0)</f>
        <v>149</v>
      </c>
      <c r="N156" s="89">
        <f>IFERROR(__xludf.DUMMYFUNCTION("""COMPUTED_VALUE"""),9.0)</f>
        <v>9</v>
      </c>
    </row>
    <row r="157">
      <c r="A157" s="11"/>
      <c r="B157" s="82" t="str">
        <f>IFERROR(__xludf.DUMMYFUNCTION("""COMPUTED_VALUE"""),"Saravanan Veerapandian")</f>
        <v>Saravanan Veerapandian</v>
      </c>
      <c r="C157" s="87">
        <f>IFERROR(__xludf.DUMMYFUNCTION("""COMPUTED_VALUE"""),130.0)</f>
        <v>130</v>
      </c>
      <c r="D157" s="87">
        <f>IFERROR(__xludf.DUMMYFUNCTION("""COMPUTED_VALUE"""),7.0)</f>
        <v>7</v>
      </c>
      <c r="E157" s="86">
        <f>IFERROR(__xludf.DUMMYFUNCTION("""COMPUTED_VALUE"""),1.0)</f>
        <v>1</v>
      </c>
      <c r="F157" s="88">
        <f>IFERROR(__xludf.DUMMYFUNCTION("""COMPUTED_VALUE"""),7.0)</f>
        <v>7</v>
      </c>
      <c r="G157" s="88">
        <f>IFERROR(__xludf.DUMMYFUNCTION("""COMPUTED_VALUE"""),0.0)</f>
        <v>0</v>
      </c>
      <c r="H157" s="88">
        <f>IFERROR(__xludf.DUMMYFUNCTION("""COMPUTED_VALUE"""),3.0)</f>
        <v>3</v>
      </c>
      <c r="I157" s="88">
        <f>IFERROR(__xludf.DUMMYFUNCTION("""COMPUTED_VALUE"""),6.0)</f>
        <v>6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IFERROR(__xludf.DUMMYFUNCTION("""COMPUTED_VALUE"""),1.0)</f>
        <v>1</v>
      </c>
      <c r="M157" s="89">
        <f>IFERROR(__xludf.DUMMYFUNCTION("""COMPUTED_VALUE"""),139.0)</f>
        <v>139</v>
      </c>
      <c r="N157" s="89">
        <f>IFERROR(__xludf.DUMMYFUNCTION("""COMPUTED_VALUE"""),8.0)</f>
        <v>8</v>
      </c>
    </row>
    <row r="158">
      <c r="A158" s="11"/>
      <c r="B158" s="82" t="str">
        <f>IFERROR(__xludf.DUMMYFUNCTION("""COMPUTED_VALUE"""),"Chinna Ponnaganti")</f>
        <v>Chinna Ponnaganti</v>
      </c>
      <c r="C158" s="87">
        <f>IFERROR(__xludf.DUMMYFUNCTION("""COMPUTED_VALUE"""),129.0)</f>
        <v>129</v>
      </c>
      <c r="D158" s="87">
        <f>IFERROR(__xludf.DUMMYFUNCTION("""COMPUTED_VALUE"""),10.0)</f>
        <v>10</v>
      </c>
      <c r="E158" s="86">
        <f>IFERROR(__xludf.DUMMYFUNCTION("""COMPUTED_VALUE"""),1.0)</f>
        <v>1</v>
      </c>
      <c r="F158" s="88">
        <f>IFERROR(__xludf.DUMMYFUNCTION("""COMPUTED_VALUE"""),7.0)</f>
        <v>7</v>
      </c>
      <c r="G158" s="88">
        <f>IFERROR(__xludf.DUMMYFUNCTION("""COMPUTED_VALUE"""),0.0)</f>
        <v>0</v>
      </c>
      <c r="H158" s="88">
        <f>IFERROR(__xludf.DUMMYFUNCTION("""COMPUTED_VALUE"""),6.0)</f>
        <v>6</v>
      </c>
      <c r="I158" s="88">
        <f>IFERROR(__xludf.DUMMYFUNCTION("""COMPUTED_VALUE"""),3.0)</f>
        <v>3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IFERROR(__xludf.DUMMYFUNCTION("""COMPUTED_VALUE"""),1.0)</f>
        <v>1</v>
      </c>
      <c r="M158" s="89">
        <f>IFERROR(__xludf.DUMMYFUNCTION("""COMPUTED_VALUE"""),138.0)</f>
        <v>138</v>
      </c>
      <c r="N158" s="89">
        <f>IFERROR(__xludf.DUMMYFUNCTION("""COMPUTED_VALUE"""),11.0)</f>
        <v>11</v>
      </c>
    </row>
    <row r="159">
      <c r="A159" s="11"/>
      <c r="B159" s="84" t="str">
        <f>IFERROR(__xludf.DUMMYFUNCTION("""COMPUTED_VALUE"""),"Pulkit Mathur")</f>
        <v>Pulkit Mathur</v>
      </c>
      <c r="C159" s="95">
        <f>IFERROR(__xludf.DUMMYFUNCTION("""COMPUTED_VALUE"""),126.0)</f>
        <v>126</v>
      </c>
      <c r="D159" s="95">
        <f>IFERROR(__xludf.DUMMYFUNCTION("""COMPUTED_VALUE"""),6.0)</f>
        <v>6</v>
      </c>
      <c r="E159" s="96">
        <f>IFERROR(__xludf.DUMMYFUNCTION("""COMPUTED_VALUE"""),2.0)</f>
        <v>2</v>
      </c>
      <c r="F159" s="97">
        <f>IFERROR(__xludf.DUMMYFUNCTION("""COMPUTED_VALUE"""),8.0)</f>
        <v>8</v>
      </c>
      <c r="G159" s="97">
        <f>IFERROR(__xludf.DUMMYFUNCTION("""COMPUTED_VALUE"""),0.0)</f>
        <v>0</v>
      </c>
      <c r="H159" s="97">
        <f>IFERROR(__xludf.DUMMYFUNCTION("""COMPUTED_VALUE"""),7.0)</f>
        <v>7</v>
      </c>
      <c r="I159" s="97">
        <f>IFERROR(__xludf.DUMMYFUNCTION("""COMPUTED_VALUE"""),6.0)</f>
        <v>6</v>
      </c>
      <c r="J159" s="97">
        <f>IFERROR(__xludf.DUMMYFUNCTION("""COMPUTED_VALUE"""),6.0)</f>
        <v>6</v>
      </c>
      <c r="K159" s="97">
        <f>IFERROR(__xludf.DUMMYFUNCTION("""COMPUTED_VALUE"""),19.0)</f>
        <v>19</v>
      </c>
      <c r="L159" s="97">
        <f>IFERROR(__xludf.DUMMYFUNCTION("""COMPUTED_VALUE"""),3.0)</f>
        <v>3</v>
      </c>
      <c r="M159" s="98">
        <f>IFERROR(__xludf.DUMMYFUNCTION("""COMPUTED_VALUE"""),145.0)</f>
        <v>145</v>
      </c>
      <c r="N159" s="98">
        <f>IFERROR(__xludf.DUMMYFUNCTION("""COMPUTED_VALUE"""),9.0)</f>
        <v>9</v>
      </c>
    </row>
    <row r="160">
      <c r="A160" s="11"/>
      <c r="B160" s="84" t="str">
        <f>IFERROR(__xludf.DUMMYFUNCTION("""COMPUTED_VALUE"""),"Eric Tan")</f>
        <v>Eric Tan</v>
      </c>
      <c r="C160" s="95">
        <f>IFERROR(__xludf.DUMMYFUNCTION("""COMPUTED_VALUE"""),124.0)</f>
        <v>124</v>
      </c>
      <c r="D160" s="95">
        <f>IFERROR(__xludf.DUMMYFUNCTION("""COMPUTED_VALUE"""),8.0)</f>
        <v>8</v>
      </c>
      <c r="E160" s="96">
        <f>IFERROR(__xludf.DUMMYFUNCTION("""COMPUTED_VALUE"""),1.0)</f>
        <v>1</v>
      </c>
      <c r="F160" s="97">
        <f>IFERROR(__xludf.DUMMYFUNCTION("""COMPUTED_VALUE"""),8.0)</f>
        <v>8</v>
      </c>
      <c r="G160" s="97">
        <f>IFERROR(__xludf.DUMMYFUNCTION("""COMPUTED_VALUE"""),0.0)</f>
        <v>0</v>
      </c>
      <c r="H160" s="97">
        <f>IFERROR(__xludf.DUMMYFUNCTION("""COMPUTED_VALUE"""),5.0)</f>
        <v>5</v>
      </c>
      <c r="I160" s="97">
        <f>IFERROR(__xludf.DUMMYFUNCTION("""COMPUTED_VALUE"""),1.0)</f>
        <v>1</v>
      </c>
      <c r="J160" s="97">
        <f>IFERROR(__xludf.DUMMYFUNCTION("""COMPUTED_VALUE"""),6.0)</f>
        <v>6</v>
      </c>
      <c r="K160" s="97">
        <f>IFERROR(__xludf.DUMMYFUNCTION("""COMPUTED_VALUE"""),12.0)</f>
        <v>12</v>
      </c>
      <c r="L160" s="97">
        <f>IFERROR(__xludf.DUMMYFUNCTION("""COMPUTED_VALUE"""),1.0)</f>
        <v>1</v>
      </c>
      <c r="M160" s="98">
        <f>IFERROR(__xludf.DUMMYFUNCTION("""COMPUTED_VALUE"""),136.0)</f>
        <v>136</v>
      </c>
      <c r="N160" s="98">
        <f>IFERROR(__xludf.DUMMYFUNCTION("""COMPUTED_VALUE"""),9.0)</f>
        <v>9</v>
      </c>
    </row>
    <row r="161">
      <c r="A161" s="11"/>
      <c r="B161" s="84" t="str">
        <f>IFERROR(__xludf.DUMMYFUNCTION("""COMPUTED_VALUE"""),"Vinaya Kajla")</f>
        <v>Vinaya Kajla</v>
      </c>
      <c r="C161" s="95">
        <f>IFERROR(__xludf.DUMMYFUNCTION("""COMPUTED_VALUE"""),123.0)</f>
        <v>123</v>
      </c>
      <c r="D161" s="95">
        <f>IFERROR(__xludf.DUMMYFUNCTION("""COMPUTED_VALUE"""),8.0)</f>
        <v>8</v>
      </c>
      <c r="E161" s="96">
        <f>IFERROR(__xludf.DUMMYFUNCTION("""COMPUTED_VALUE"""),1.0)</f>
        <v>1</v>
      </c>
      <c r="F161" s="97">
        <f>IFERROR(__xludf.DUMMYFUNCTION("""COMPUTED_VALUE"""),8.0)</f>
        <v>8</v>
      </c>
      <c r="G161" s="97">
        <f>IFERROR(__xludf.DUMMYFUNCTION("""COMPUTED_VALUE"""),0.0)</f>
        <v>0</v>
      </c>
      <c r="H161" s="97">
        <f>IFERROR(__xludf.DUMMYFUNCTION("""COMPUTED_VALUE"""),7.0)</f>
        <v>7</v>
      </c>
      <c r="I161" s="97">
        <f>IFERROR(__xludf.DUMMYFUNCTION("""COMPUTED_VALUE"""),1.0)</f>
        <v>1</v>
      </c>
      <c r="J161" s="97">
        <f>IFERROR(__xludf.DUMMYFUNCTION("""COMPUTED_VALUE"""),2.0)</f>
        <v>2</v>
      </c>
      <c r="K161" s="97">
        <f>IFERROR(__xludf.DUMMYFUNCTION("""COMPUTED_VALUE"""),10.0)</f>
        <v>10</v>
      </c>
      <c r="L161" s="97">
        <f>IFERROR(__xludf.DUMMYFUNCTION("""COMPUTED_VALUE"""),1.0)</f>
        <v>1</v>
      </c>
      <c r="M161" s="98">
        <f>IFERROR(__xludf.DUMMYFUNCTION("""COMPUTED_VALUE"""),133.0)</f>
        <v>133</v>
      </c>
      <c r="N161" s="98">
        <f>IFERROR(__xludf.DUMMYFUNCTION("""COMPUTED_VALUE"""),9.0)</f>
        <v>9</v>
      </c>
    </row>
    <row r="162">
      <c r="A162" s="11"/>
      <c r="B162" s="84" t="str">
        <f>IFERROR(__xludf.DUMMYFUNCTION("""COMPUTED_VALUE"""),"Balaji Alahari")</f>
        <v>Balaji Alahari</v>
      </c>
      <c r="C162" s="95">
        <f>IFERROR(__xludf.DUMMYFUNCTION("""COMPUTED_VALUE"""),121.0)</f>
        <v>121</v>
      </c>
      <c r="D162" s="95">
        <f>IFERROR(__xludf.DUMMYFUNCTION("""COMPUTED_VALUE"""),4.0)</f>
        <v>4</v>
      </c>
      <c r="E162" s="96">
        <f>IFERROR(__xludf.DUMMYFUNCTION("""COMPUTED_VALUE"""),1.0)</f>
        <v>1</v>
      </c>
      <c r="F162" s="97">
        <f>IFERROR(__xludf.DUMMYFUNCTION("""COMPUTED_VALUE"""),8.0)</f>
        <v>8</v>
      </c>
      <c r="G162" s="97">
        <f>IFERROR(__xludf.DUMMYFUNCTION("""COMPUTED_VALUE"""),0.0)</f>
        <v>0</v>
      </c>
      <c r="H162" s="97">
        <f>IFERROR(__xludf.DUMMYFUNCTION("""COMPUTED_VALUE"""),5.0)</f>
        <v>5</v>
      </c>
      <c r="I162" s="97">
        <f>IFERROR(__xludf.DUMMYFUNCTION("""COMPUTED_VALUE"""),6.0)</f>
        <v>6</v>
      </c>
      <c r="J162" s="97">
        <f>IFERROR(__xludf.DUMMYFUNCTION("""COMPUTED_VALUE"""),2.0)</f>
        <v>2</v>
      </c>
      <c r="K162" s="97">
        <f>IFERROR(__xludf.DUMMYFUNCTION("""COMPUTED_VALUE"""),13.0)</f>
        <v>13</v>
      </c>
      <c r="L162" s="97">
        <f>IFERROR(__xludf.DUMMYFUNCTION("""COMPUTED_VALUE"""),1.0)</f>
        <v>1</v>
      </c>
      <c r="M162" s="98">
        <f>IFERROR(__xludf.DUMMYFUNCTION("""COMPUTED_VALUE"""),134.0)</f>
        <v>134</v>
      </c>
      <c r="N162" s="98">
        <f>IFERROR(__xludf.DUMMYFUNCTION("""COMPUTED_VALUE"""),5.0)</f>
        <v>5</v>
      </c>
    </row>
    <row r="163">
      <c r="A163" s="11"/>
      <c r="C163" s="11"/>
      <c r="D163" s="11"/>
      <c r="E163" s="11"/>
    </row>
    <row r="164">
      <c r="A164" s="11"/>
      <c r="C164" s="11"/>
      <c r="D164" s="11"/>
      <c r="E164" s="11"/>
    </row>
    <row r="165">
      <c r="A165" s="11"/>
      <c r="C165" s="11"/>
      <c r="D165" s="11"/>
      <c r="E165" s="11"/>
    </row>
    <row r="166">
      <c r="A166" s="11"/>
      <c r="C166" s="11"/>
      <c r="D166" s="11"/>
      <c r="E166" s="11"/>
    </row>
    <row r="167">
      <c r="A167" s="11"/>
      <c r="C167" s="11"/>
      <c r="D167" s="11"/>
      <c r="E167" s="11"/>
    </row>
    <row r="168">
      <c r="A168" s="11"/>
      <c r="C168" s="11"/>
      <c r="D168" s="11"/>
      <c r="E168" s="11"/>
    </row>
    <row r="169">
      <c r="A169" s="11"/>
      <c r="C169" s="11"/>
      <c r="D169" s="11"/>
      <c r="E169" s="11"/>
    </row>
    <row r="170">
      <c r="A170" s="11"/>
      <c r="C170" s="11"/>
      <c r="D170" s="11"/>
      <c r="E170" s="11"/>
    </row>
    <row r="171">
      <c r="A171" s="11"/>
      <c r="C171" s="11"/>
      <c r="D171" s="11"/>
      <c r="E171" s="11"/>
    </row>
    <row r="172">
      <c r="A172" s="11"/>
      <c r="C172" s="11"/>
      <c r="D172" s="11"/>
      <c r="E172" s="11"/>
    </row>
    <row r="173">
      <c r="A173" s="11"/>
      <c r="B173" s="10" t="s">
        <v>166</v>
      </c>
      <c r="C173" s="11"/>
      <c r="D173" s="11"/>
      <c r="E173" s="11"/>
    </row>
    <row r="174">
      <c r="A174" s="11"/>
      <c r="B174" s="27" t="s">
        <v>31</v>
      </c>
      <c r="C174" s="29" t="s">
        <v>2</v>
      </c>
      <c r="D174" s="29" t="s">
        <v>4</v>
      </c>
      <c r="E174" s="29" t="s">
        <v>33</v>
      </c>
      <c r="F174" s="29" t="s">
        <v>35</v>
      </c>
      <c r="G174" s="29" t="s">
        <v>36</v>
      </c>
      <c r="H174" s="29" t="s">
        <v>6</v>
      </c>
      <c r="I174" s="29" t="s">
        <v>7</v>
      </c>
      <c r="J174" s="29" t="s">
        <v>8</v>
      </c>
      <c r="K174" s="29" t="s">
        <v>2</v>
      </c>
      <c r="L174" s="29" t="s">
        <v>4</v>
      </c>
      <c r="M174" s="28" t="s">
        <v>2</v>
      </c>
      <c r="N174" s="28" t="s">
        <v>4</v>
      </c>
    </row>
    <row r="175">
      <c r="A175" s="11"/>
      <c r="B175" s="82" t="str">
        <f>IFERROR(__xludf.DUMMYFUNCTION("QUERY(B5:N70, ""Select B, C, D, E, F, G, H, I, J, K, L, M, N   where F = 0"")"),"Christopher Li")</f>
        <v>Christopher Li</v>
      </c>
      <c r="C175" s="87">
        <f>IFERROR(__xludf.DUMMYFUNCTION("""COMPUTED_VALUE"""),164.0)</f>
        <v>164</v>
      </c>
      <c r="D175" s="87">
        <f>IFERROR(__xludf.DUMMYFUNCTION("""COMPUTED_VALUE"""),17.0)</f>
        <v>17</v>
      </c>
      <c r="E175" s="86">
        <f>IFERROR(__xludf.DUMMYFUNCTION("""COMPUTED_VALUE"""),3.0)</f>
        <v>3</v>
      </c>
      <c r="F175" s="88">
        <f>IFERROR(__xludf.DUMMYFUNCTION("""COMPUTED_VALUE"""),0.0)</f>
        <v>0</v>
      </c>
      <c r="G175" s="88">
        <f>IFERROR(__xludf.DUMMYFUNCTION("""COMPUTED_VALUE"""),9.0)</f>
        <v>9</v>
      </c>
      <c r="H175" s="88">
        <f>IFERROR(__xludf.DUMMYFUNCTION("""COMPUTED_VALUE"""),0.0)</f>
        <v>0</v>
      </c>
      <c r="I175" s="88">
        <f>IFERROR(__xludf.DUMMYFUNCTION("""COMPUTED_VALUE"""),0.0)</f>
        <v>0</v>
      </c>
      <c r="J175" s="88">
        <f>IFERROR(__xludf.DUMMYFUNCTION("""COMPUTED_VALUE"""),0.0)</f>
        <v>0</v>
      </c>
      <c r="K175" s="88">
        <f>IFERROR(__xludf.DUMMYFUNCTION("""COMPUTED_VALUE"""),9.0)</f>
        <v>9</v>
      </c>
      <c r="L175" s="88">
        <f>IFERROR(__xludf.DUMMYFUNCTION("""COMPUTED_VALUE"""),0.0)</f>
        <v>0</v>
      </c>
      <c r="M175" s="89">
        <f>IFERROR(__xludf.DUMMYFUNCTION("""COMPUTED_VALUE"""),173.0)</f>
        <v>173</v>
      </c>
      <c r="N175" s="89">
        <f>IFERROR(__xludf.DUMMYFUNCTION("""COMPUTED_VALUE"""),17.0)</f>
        <v>17</v>
      </c>
    </row>
    <row r="176">
      <c r="A176" s="11"/>
      <c r="B176" s="82" t="str">
        <f>IFERROR(__xludf.DUMMYFUNCTION("""COMPUTED_VALUE"""),"Troy Wong")</f>
        <v>Troy Wong</v>
      </c>
      <c r="C176" s="87">
        <f>IFERROR(__xludf.DUMMYFUNCTION("""COMPUTED_VALUE"""),153.0)</f>
        <v>153</v>
      </c>
      <c r="D176" s="87">
        <f>IFERROR(__xludf.DUMMYFUNCTION("""COMPUTED_VALUE"""),10.0)</f>
        <v>10</v>
      </c>
      <c r="E176" s="86">
        <f>IFERROR(__xludf.DUMMYFUNCTION("""COMPUTED_VALUE"""),3.0)</f>
        <v>3</v>
      </c>
      <c r="F176" s="88">
        <f>IFERROR(__xludf.DUMMYFUNCTION("""COMPUTED_VALUE"""),0.0)</f>
        <v>0</v>
      </c>
      <c r="G176" s="88">
        <f>IFERROR(__xludf.DUMMYFUNCTION("""COMPUTED_VALUE"""),9.0)</f>
        <v>9</v>
      </c>
      <c r="H176" s="88">
        <f>IFERROR(__xludf.DUMMYFUNCTION("""COMPUTED_VALUE"""),0.0)</f>
        <v>0</v>
      </c>
      <c r="I176" s="88">
        <f>IFERROR(__xludf.DUMMYFUNCTION("""COMPUTED_VALUE"""),0.0)</f>
        <v>0</v>
      </c>
      <c r="J176" s="88">
        <f>IFERROR(__xludf.DUMMYFUNCTION("""COMPUTED_VALUE"""),0.0)</f>
        <v>0</v>
      </c>
      <c r="K176" s="88">
        <f>IFERROR(__xludf.DUMMYFUNCTION("""COMPUTED_VALUE"""),9.0)</f>
        <v>9</v>
      </c>
      <c r="L176" s="88">
        <f>IFERROR(__xludf.DUMMYFUNCTION("""COMPUTED_VALUE"""),0.0)</f>
        <v>0</v>
      </c>
      <c r="M176" s="89">
        <f>IFERROR(__xludf.DUMMYFUNCTION("""COMPUTED_VALUE"""),162.0)</f>
        <v>162</v>
      </c>
      <c r="N176" s="89">
        <f>IFERROR(__xludf.DUMMYFUNCTION("""COMPUTED_VALUE"""),10.0)</f>
        <v>10</v>
      </c>
    </row>
    <row r="177">
      <c r="A177" s="11"/>
      <c r="B177" s="82" t="str">
        <f>IFERROR(__xludf.DUMMYFUNCTION("""COMPUTED_VALUE"""),"Cid Macaraeg")</f>
        <v>Cid Macaraeg</v>
      </c>
      <c r="C177" s="87">
        <f>IFERROR(__xludf.DUMMYFUNCTION("""COMPUTED_VALUE"""),150.0)</f>
        <v>150</v>
      </c>
      <c r="D177" s="87">
        <f>IFERROR(__xludf.DUMMYFUNCTION("""COMPUTED_VALUE"""),11.0)</f>
        <v>11</v>
      </c>
      <c r="E177" s="86">
        <f>IFERROR(__xludf.DUMMYFUNCTION("""COMPUTED_VALUE"""),3.0)</f>
        <v>3</v>
      </c>
      <c r="F177" s="88">
        <f>IFERROR(__xludf.DUMMYFUNCTION("""COMPUTED_VALUE"""),0.0)</f>
        <v>0</v>
      </c>
      <c r="G177" s="88">
        <f>IFERROR(__xludf.DUMMYFUNCTION("""COMPUTED_VALUE"""),9.0)</f>
        <v>9</v>
      </c>
      <c r="H177" s="88">
        <f>IFERROR(__xludf.DUMMYFUNCTION("""COMPUTED_VALUE"""),0.0)</f>
        <v>0</v>
      </c>
      <c r="I177" s="88">
        <f>IFERROR(__xludf.DUMMYFUNCTION("""COMPUTED_VALUE"""),0.0)</f>
        <v>0</v>
      </c>
      <c r="J177" s="88">
        <f>IFERROR(__xludf.DUMMYFUNCTION("""COMPUTED_VALUE"""),0.0)</f>
        <v>0</v>
      </c>
      <c r="K177" s="88">
        <f>IFERROR(__xludf.DUMMYFUNCTION("""COMPUTED_VALUE"""),9.0)</f>
        <v>9</v>
      </c>
      <c r="L177" s="88">
        <f>IFERROR(__xludf.DUMMYFUNCTION("""COMPUTED_VALUE"""),0.0)</f>
        <v>0</v>
      </c>
      <c r="M177" s="89">
        <f>IFERROR(__xludf.DUMMYFUNCTION("""COMPUTED_VALUE"""),159.0)</f>
        <v>159</v>
      </c>
      <c r="N177" s="89">
        <f>IFERROR(__xludf.DUMMYFUNCTION("""COMPUTED_VALUE"""),11.0)</f>
        <v>11</v>
      </c>
    </row>
    <row r="178">
      <c r="A178" s="11"/>
      <c r="B178" s="82" t="str">
        <f>IFERROR(__xludf.DUMMYFUNCTION("""COMPUTED_VALUE"""),"Ramesh Bandaru")</f>
        <v>Ramesh Bandaru</v>
      </c>
      <c r="C178" s="87">
        <f>IFERROR(__xludf.DUMMYFUNCTION("""COMPUTED_VALUE"""),143.0)</f>
        <v>143</v>
      </c>
      <c r="D178" s="87">
        <f>IFERROR(__xludf.DUMMYFUNCTION("""COMPUTED_VALUE"""),10.0)</f>
        <v>10</v>
      </c>
      <c r="E178" s="86">
        <f>IFERROR(__xludf.DUMMYFUNCTION("""COMPUTED_VALUE"""),3.0)</f>
        <v>3</v>
      </c>
      <c r="F178" s="88">
        <f>IFERROR(__xludf.DUMMYFUNCTION("""COMPUTED_VALUE"""),0.0)</f>
        <v>0</v>
      </c>
      <c r="G178" s="88">
        <f>IFERROR(__xludf.DUMMYFUNCTION("""COMPUTED_VALUE"""),9.0)</f>
        <v>9</v>
      </c>
      <c r="H178" s="88">
        <f>IFERROR(__xludf.DUMMYFUNCTION("""COMPUTED_VALUE"""),0.0)</f>
        <v>0</v>
      </c>
      <c r="I178" s="88">
        <f>IFERROR(__xludf.DUMMYFUNCTION("""COMPUTED_VALUE"""),0.0)</f>
        <v>0</v>
      </c>
      <c r="J178" s="88">
        <f>IFERROR(__xludf.DUMMYFUNCTION("""COMPUTED_VALUE"""),0.0)</f>
        <v>0</v>
      </c>
      <c r="K178" s="88">
        <f>IFERROR(__xludf.DUMMYFUNCTION("""COMPUTED_VALUE"""),9.0)</f>
        <v>9</v>
      </c>
      <c r="L178" s="88">
        <f>IFERROR(__xludf.DUMMYFUNCTION("""COMPUTED_VALUE"""),0.0)</f>
        <v>0</v>
      </c>
      <c r="M178" s="89">
        <f>IFERROR(__xludf.DUMMYFUNCTION("""COMPUTED_VALUE"""),152.0)</f>
        <v>152</v>
      </c>
      <c r="N178" s="89">
        <f>IFERROR(__xludf.DUMMYFUNCTION("""COMPUTED_VALUE"""),10.0)</f>
        <v>10</v>
      </c>
    </row>
    <row r="179">
      <c r="A179" s="11"/>
      <c r="B179" s="82" t="str">
        <f>IFERROR(__xludf.DUMMYFUNCTION("""COMPUTED_VALUE"""),"Trish Newlin")</f>
        <v>Trish Newlin</v>
      </c>
      <c r="C179" s="87">
        <f>IFERROR(__xludf.DUMMYFUNCTION("""COMPUTED_VALUE"""),141.0)</f>
        <v>141</v>
      </c>
      <c r="D179" s="87">
        <f>IFERROR(__xludf.DUMMYFUNCTION("""COMPUTED_VALUE"""),7.0)</f>
        <v>7</v>
      </c>
      <c r="E179" s="86">
        <f>IFERROR(__xludf.DUMMYFUNCTION("""COMPUTED_VALUE"""),3.0)</f>
        <v>3</v>
      </c>
      <c r="F179" s="88">
        <f>IFERROR(__xludf.DUMMYFUNCTION("""COMPUTED_VALUE"""),0.0)</f>
        <v>0</v>
      </c>
      <c r="G179" s="88">
        <f>IFERROR(__xludf.DUMMYFUNCTION("""COMPUTED_VALUE"""),9.0)</f>
        <v>9</v>
      </c>
      <c r="H179" s="88">
        <f>IFERROR(__xludf.DUMMYFUNCTION("""COMPUTED_VALUE"""),0.0)</f>
        <v>0</v>
      </c>
      <c r="I179" s="88">
        <f>IFERROR(__xludf.DUMMYFUNCTION("""COMPUTED_VALUE"""),0.0)</f>
        <v>0</v>
      </c>
      <c r="J179" s="88">
        <f>IFERROR(__xludf.DUMMYFUNCTION("""COMPUTED_VALUE"""),0.0)</f>
        <v>0</v>
      </c>
      <c r="K179" s="88">
        <f>IFERROR(__xludf.DUMMYFUNCTION("""COMPUTED_VALUE"""),9.0)</f>
        <v>9</v>
      </c>
      <c r="L179" s="88">
        <f>IFERROR(__xludf.DUMMYFUNCTION("""COMPUTED_VALUE"""),0.0)</f>
        <v>0</v>
      </c>
      <c r="M179" s="89">
        <f>IFERROR(__xludf.DUMMYFUNCTION("""COMPUTED_VALUE"""),150.0)</f>
        <v>150</v>
      </c>
      <c r="N179" s="89">
        <f>IFERROR(__xludf.DUMMYFUNCTION("""COMPUTED_VALUE"""),7.0)</f>
        <v>7</v>
      </c>
    </row>
    <row r="180">
      <c r="A180" s="11"/>
      <c r="B180" s="82" t="str">
        <f>IFERROR(__xludf.DUMMYFUNCTION("""COMPUTED_VALUE"""),"Erik Hoeckmann")</f>
        <v>Erik Hoeckmann</v>
      </c>
      <c r="C180" s="87">
        <f>IFERROR(__xludf.DUMMYFUNCTION("""COMPUTED_VALUE"""),138.0)</f>
        <v>138</v>
      </c>
      <c r="D180" s="87">
        <f>IFERROR(__xludf.DUMMYFUNCTION("""COMPUTED_VALUE"""),11.0)</f>
        <v>11</v>
      </c>
      <c r="E180" s="86">
        <f>IFERROR(__xludf.DUMMYFUNCTION("""COMPUTED_VALUE"""),3.0)</f>
        <v>3</v>
      </c>
      <c r="F180" s="88">
        <f>IFERROR(__xludf.DUMMYFUNCTION("""COMPUTED_VALUE"""),0.0)</f>
        <v>0</v>
      </c>
      <c r="G180" s="88">
        <f>IFERROR(__xludf.DUMMYFUNCTION("""COMPUTED_VALUE"""),9.0)</f>
        <v>9</v>
      </c>
      <c r="H180" s="88">
        <f>IFERROR(__xludf.DUMMYFUNCTION("""COMPUTED_VALUE"""),0.0)</f>
        <v>0</v>
      </c>
      <c r="I180" s="88">
        <f>IFERROR(__xludf.DUMMYFUNCTION("""COMPUTED_VALUE"""),0.0)</f>
        <v>0</v>
      </c>
      <c r="J180" s="88">
        <f>IFERROR(__xludf.DUMMYFUNCTION("""COMPUTED_VALUE"""),0.0)</f>
        <v>0</v>
      </c>
      <c r="K180" s="88">
        <f>IFERROR(__xludf.DUMMYFUNCTION("""COMPUTED_VALUE"""),9.0)</f>
        <v>9</v>
      </c>
      <c r="L180" s="88">
        <f>IFERROR(__xludf.DUMMYFUNCTION("""COMPUTED_VALUE"""),0.0)</f>
        <v>0</v>
      </c>
      <c r="M180" s="89">
        <f>IFERROR(__xludf.DUMMYFUNCTION("""COMPUTED_VALUE"""),147.0)</f>
        <v>147</v>
      </c>
      <c r="N180" s="89">
        <f>IFERROR(__xludf.DUMMYFUNCTION("""COMPUTED_VALUE"""),11.0)</f>
        <v>11</v>
      </c>
    </row>
    <row r="181">
      <c r="A181" s="11"/>
      <c r="B181" s="82" t="str">
        <f>IFERROR(__xludf.DUMMYFUNCTION("""COMPUTED_VALUE"""),"Jimmy Awolesi")</f>
        <v>Jimmy Awolesi</v>
      </c>
      <c r="C181" s="87">
        <f>IFERROR(__xludf.DUMMYFUNCTION("""COMPUTED_VALUE"""),138.0)</f>
        <v>138</v>
      </c>
      <c r="D181" s="87">
        <f>IFERROR(__xludf.DUMMYFUNCTION("""COMPUTED_VALUE"""),10.0)</f>
        <v>10</v>
      </c>
      <c r="E181" s="86">
        <f>IFERROR(__xludf.DUMMYFUNCTION("""COMPUTED_VALUE"""),3.0)</f>
        <v>3</v>
      </c>
      <c r="F181" s="88">
        <f>IFERROR(__xludf.DUMMYFUNCTION("""COMPUTED_VALUE"""),0.0)</f>
        <v>0</v>
      </c>
      <c r="G181" s="88">
        <f>IFERROR(__xludf.DUMMYFUNCTION("""COMPUTED_VALUE"""),9.0)</f>
        <v>9</v>
      </c>
      <c r="H181" s="88">
        <f>IFERROR(__xludf.DUMMYFUNCTION("""COMPUTED_VALUE"""),0.0)</f>
        <v>0</v>
      </c>
      <c r="I181" s="88">
        <f>IFERROR(__xludf.DUMMYFUNCTION("""COMPUTED_VALUE"""),0.0)</f>
        <v>0</v>
      </c>
      <c r="J181" s="88">
        <f>IFERROR(__xludf.DUMMYFUNCTION("""COMPUTED_VALUE"""),0.0)</f>
        <v>0</v>
      </c>
      <c r="K181" s="88">
        <f>IFERROR(__xludf.DUMMYFUNCTION("""COMPUTED_VALUE"""),9.0)</f>
        <v>9</v>
      </c>
      <c r="L181" s="88">
        <f>IFERROR(__xludf.DUMMYFUNCTION("""COMPUTED_VALUE"""),0.0)</f>
        <v>0</v>
      </c>
      <c r="M181" s="89">
        <f>IFERROR(__xludf.DUMMYFUNCTION("""COMPUTED_VALUE"""),147.0)</f>
        <v>147</v>
      </c>
      <c r="N181" s="89">
        <f>IFERROR(__xludf.DUMMYFUNCTION("""COMPUTED_VALUE"""),10.0)</f>
        <v>10</v>
      </c>
    </row>
    <row r="182">
      <c r="A182" s="11"/>
      <c r="B182" s="82" t="str">
        <f>IFERROR(__xludf.DUMMYFUNCTION("""COMPUTED_VALUE"""),"Sanjaye Elayattu")</f>
        <v>Sanjaye Elayattu</v>
      </c>
      <c r="C182" s="87">
        <f>IFERROR(__xludf.DUMMYFUNCTION("""COMPUTED_VALUE"""),137.0)</f>
        <v>137</v>
      </c>
      <c r="D182" s="87">
        <f>IFERROR(__xludf.DUMMYFUNCTION("""COMPUTED_VALUE"""),8.0)</f>
        <v>8</v>
      </c>
      <c r="E182" s="86">
        <f>IFERROR(__xludf.DUMMYFUNCTION("""COMPUTED_VALUE"""),3.0)</f>
        <v>3</v>
      </c>
      <c r="F182" s="88">
        <f>IFERROR(__xludf.DUMMYFUNCTION("""COMPUTED_VALUE"""),0.0)</f>
        <v>0</v>
      </c>
      <c r="G182" s="88">
        <f>IFERROR(__xludf.DUMMYFUNCTION("""COMPUTED_VALUE"""),9.0)</f>
        <v>9</v>
      </c>
      <c r="H182" s="88">
        <f>IFERROR(__xludf.DUMMYFUNCTION("""COMPUTED_VALUE"""),0.0)</f>
        <v>0</v>
      </c>
      <c r="I182" s="88">
        <f>IFERROR(__xludf.DUMMYFUNCTION("""COMPUTED_VALUE"""),0.0)</f>
        <v>0</v>
      </c>
      <c r="J182" s="88">
        <f>IFERROR(__xludf.DUMMYFUNCTION("""COMPUTED_VALUE"""),0.0)</f>
        <v>0</v>
      </c>
      <c r="K182" s="88">
        <f>IFERROR(__xludf.DUMMYFUNCTION("""COMPUTED_VALUE"""),9.0)</f>
        <v>9</v>
      </c>
      <c r="L182" s="88">
        <f>IFERROR(__xludf.DUMMYFUNCTION("""COMPUTED_VALUE"""),0.0)</f>
        <v>0</v>
      </c>
      <c r="M182" s="89">
        <f>IFERROR(__xludf.DUMMYFUNCTION("""COMPUTED_VALUE"""),146.0)</f>
        <v>146</v>
      </c>
      <c r="N182" s="89">
        <f>IFERROR(__xludf.DUMMYFUNCTION("""COMPUTED_VALUE"""),8.0)</f>
        <v>8</v>
      </c>
    </row>
    <row r="183">
      <c r="A183" s="11"/>
      <c r="B183" s="82" t="str">
        <f>IFERROR(__xludf.DUMMYFUNCTION("""COMPUTED_VALUE"""),"Andrew Wen")</f>
        <v>Andrew Wen</v>
      </c>
      <c r="C183" s="87">
        <f>IFERROR(__xludf.DUMMYFUNCTION("""COMPUTED_VALUE"""),134.0)</f>
        <v>134</v>
      </c>
      <c r="D183" s="87">
        <f>IFERROR(__xludf.DUMMYFUNCTION("""COMPUTED_VALUE"""),5.0)</f>
        <v>5</v>
      </c>
      <c r="E183" s="86">
        <f>IFERROR(__xludf.DUMMYFUNCTION("""COMPUTED_VALUE"""),3.0)</f>
        <v>3</v>
      </c>
      <c r="F183" s="88">
        <f>IFERROR(__xludf.DUMMYFUNCTION("""COMPUTED_VALUE"""),0.0)</f>
        <v>0</v>
      </c>
      <c r="G183" s="88">
        <f>IFERROR(__xludf.DUMMYFUNCTION("""COMPUTED_VALUE"""),9.0)</f>
        <v>9</v>
      </c>
      <c r="H183" s="88">
        <f>IFERROR(__xludf.DUMMYFUNCTION("""COMPUTED_VALUE"""),0.0)</f>
        <v>0</v>
      </c>
      <c r="I183" s="88">
        <f>IFERROR(__xludf.DUMMYFUNCTION("""COMPUTED_VALUE"""),0.0)</f>
        <v>0</v>
      </c>
      <c r="J183" s="88">
        <f>IFERROR(__xludf.DUMMYFUNCTION("""COMPUTED_VALUE"""),0.0)</f>
        <v>0</v>
      </c>
      <c r="K183" s="88">
        <f>IFERROR(__xludf.DUMMYFUNCTION("""COMPUTED_VALUE"""),9.0)</f>
        <v>9</v>
      </c>
      <c r="L183" s="88">
        <f>IFERROR(__xludf.DUMMYFUNCTION("""COMPUTED_VALUE"""),0.0)</f>
        <v>0</v>
      </c>
      <c r="M183" s="89">
        <f>IFERROR(__xludf.DUMMYFUNCTION("""COMPUTED_VALUE"""),143.0)</f>
        <v>143</v>
      </c>
      <c r="N183" s="89">
        <f>IFERROR(__xludf.DUMMYFUNCTION("""COMPUTED_VALUE"""),5.0)</f>
        <v>5</v>
      </c>
    </row>
    <row r="184">
      <c r="A184" s="11"/>
      <c r="B184" s="82" t="str">
        <f>IFERROR(__xludf.DUMMYFUNCTION("""COMPUTED_VALUE"""),"Tony Lin")</f>
        <v>Tony Lin</v>
      </c>
      <c r="C184" s="87">
        <f>IFERROR(__xludf.DUMMYFUNCTION("""COMPUTED_VALUE"""),132.0)</f>
        <v>132</v>
      </c>
      <c r="D184" s="87">
        <f>IFERROR(__xludf.DUMMYFUNCTION("""COMPUTED_VALUE"""),6.0)</f>
        <v>6</v>
      </c>
      <c r="E184" s="86">
        <f>IFERROR(__xludf.DUMMYFUNCTION("""COMPUTED_VALUE"""),3.0)</f>
        <v>3</v>
      </c>
      <c r="F184" s="88">
        <f>IFERROR(__xludf.DUMMYFUNCTION("""COMPUTED_VALUE"""),0.0)</f>
        <v>0</v>
      </c>
      <c r="G184" s="88">
        <f>IFERROR(__xludf.DUMMYFUNCTION("""COMPUTED_VALUE"""),9.0)</f>
        <v>9</v>
      </c>
      <c r="H184" s="88">
        <f>IFERROR(__xludf.DUMMYFUNCTION("""COMPUTED_VALUE"""),0.0)</f>
        <v>0</v>
      </c>
      <c r="I184" s="88">
        <f>IFERROR(__xludf.DUMMYFUNCTION("""COMPUTED_VALUE"""),0.0)</f>
        <v>0</v>
      </c>
      <c r="J184" s="88">
        <f>IFERROR(__xludf.DUMMYFUNCTION("""COMPUTED_VALUE"""),0.0)</f>
        <v>0</v>
      </c>
      <c r="K184" s="88">
        <f>IFERROR(__xludf.DUMMYFUNCTION("""COMPUTED_VALUE"""),9.0)</f>
        <v>9</v>
      </c>
      <c r="L184" s="88">
        <f>IFERROR(__xludf.DUMMYFUNCTION("""COMPUTED_VALUE"""),0.0)</f>
        <v>0</v>
      </c>
      <c r="M184" s="89">
        <f>IFERROR(__xludf.DUMMYFUNCTION("""COMPUTED_VALUE"""),141.0)</f>
        <v>141</v>
      </c>
      <c r="N184" s="89">
        <f>IFERROR(__xludf.DUMMYFUNCTION("""COMPUTED_VALUE"""),6.0)</f>
        <v>6</v>
      </c>
    </row>
    <row r="185">
      <c r="A185" s="11"/>
      <c r="B185" s="82" t="str">
        <f>IFERROR(__xludf.DUMMYFUNCTION("""COMPUTED_VALUE"""),"Manuel Rivera")</f>
        <v>Manuel Rivera</v>
      </c>
      <c r="C185" s="87">
        <f>IFERROR(__xludf.DUMMYFUNCTION("""COMPUTED_VALUE"""),131.0)</f>
        <v>131</v>
      </c>
      <c r="D185" s="87">
        <f>IFERROR(__xludf.DUMMYFUNCTION("""COMPUTED_VALUE"""),6.0)</f>
        <v>6</v>
      </c>
      <c r="E185" s="86">
        <f>IFERROR(__xludf.DUMMYFUNCTION("""COMPUTED_VALUE"""),3.0)</f>
        <v>3</v>
      </c>
      <c r="F185" s="88">
        <f>IFERROR(__xludf.DUMMYFUNCTION("""COMPUTED_VALUE"""),0.0)</f>
        <v>0</v>
      </c>
      <c r="G185" s="88">
        <f>IFERROR(__xludf.DUMMYFUNCTION("""COMPUTED_VALUE"""),9.0)</f>
        <v>9</v>
      </c>
      <c r="H185" s="88">
        <f>IFERROR(__xludf.DUMMYFUNCTION("""COMPUTED_VALUE"""),0.0)</f>
        <v>0</v>
      </c>
      <c r="I185" s="88">
        <f>IFERROR(__xludf.DUMMYFUNCTION("""COMPUTED_VALUE"""),0.0)</f>
        <v>0</v>
      </c>
      <c r="J185" s="88">
        <f>IFERROR(__xludf.DUMMYFUNCTION("""COMPUTED_VALUE"""),0.0)</f>
        <v>0</v>
      </c>
      <c r="K185" s="88">
        <f>IFERROR(__xludf.DUMMYFUNCTION("""COMPUTED_VALUE"""),9.0)</f>
        <v>9</v>
      </c>
      <c r="L185" s="88">
        <f>IFERROR(__xludf.DUMMYFUNCTION("""COMPUTED_VALUE"""),0.0)</f>
        <v>0</v>
      </c>
      <c r="M185" s="89">
        <f>IFERROR(__xludf.DUMMYFUNCTION("""COMPUTED_VALUE"""),140.0)</f>
        <v>140</v>
      </c>
      <c r="N185" s="89">
        <f>IFERROR(__xludf.DUMMYFUNCTION("""COMPUTED_VALUE"""),6.0)</f>
        <v>6</v>
      </c>
    </row>
    <row r="186">
      <c r="A186" s="11"/>
      <c r="B186" s="82" t="str">
        <f>IFERROR(__xludf.DUMMYFUNCTION("""COMPUTED_VALUE"""),"Lloyd Sagar")</f>
        <v>Lloyd Sagar</v>
      </c>
      <c r="C186" s="87">
        <f>IFERROR(__xludf.DUMMYFUNCTION("""COMPUTED_VALUE"""),129.0)</f>
        <v>129</v>
      </c>
      <c r="D186" s="87">
        <f>IFERROR(__xludf.DUMMYFUNCTION("""COMPUTED_VALUE"""),6.0)</f>
        <v>6</v>
      </c>
      <c r="E186" s="86">
        <f>IFERROR(__xludf.DUMMYFUNCTION("""COMPUTED_VALUE"""),3.0)</f>
        <v>3</v>
      </c>
      <c r="F186" s="88">
        <f>IFERROR(__xludf.DUMMYFUNCTION("""COMPUTED_VALUE"""),0.0)</f>
        <v>0</v>
      </c>
      <c r="G186" s="88">
        <f>IFERROR(__xludf.DUMMYFUNCTION("""COMPUTED_VALUE"""),9.0)</f>
        <v>9</v>
      </c>
      <c r="H186" s="88">
        <f>IFERROR(__xludf.DUMMYFUNCTION("""COMPUTED_VALUE"""),0.0)</f>
        <v>0</v>
      </c>
      <c r="I186" s="88">
        <f>IFERROR(__xludf.DUMMYFUNCTION("""COMPUTED_VALUE"""),0.0)</f>
        <v>0</v>
      </c>
      <c r="J186" s="88">
        <f>IFERROR(__xludf.DUMMYFUNCTION("""COMPUTED_VALUE"""),0.0)</f>
        <v>0</v>
      </c>
      <c r="K186" s="88">
        <f>IFERROR(__xludf.DUMMYFUNCTION("""COMPUTED_VALUE"""),9.0)</f>
        <v>9</v>
      </c>
      <c r="L186" s="88">
        <f>IFERROR(__xludf.DUMMYFUNCTION("""COMPUTED_VALUE"""),0.0)</f>
        <v>0</v>
      </c>
      <c r="M186" s="89">
        <f>IFERROR(__xludf.DUMMYFUNCTION("""COMPUTED_VALUE"""),138.0)</f>
        <v>138</v>
      </c>
      <c r="N186" s="89">
        <f>IFERROR(__xludf.DUMMYFUNCTION("""COMPUTED_VALUE"""),6.0)</f>
        <v>6</v>
      </c>
    </row>
    <row r="187">
      <c r="A187" s="11"/>
      <c r="B187" s="82" t="str">
        <f>IFERROR(__xludf.DUMMYFUNCTION("""COMPUTED_VALUE"""),"Peter Cheng")</f>
        <v>Peter Cheng</v>
      </c>
      <c r="C187" s="87">
        <f>IFERROR(__xludf.DUMMYFUNCTION("""COMPUTED_VALUE"""),129.0)</f>
        <v>129</v>
      </c>
      <c r="D187" s="87">
        <f>IFERROR(__xludf.DUMMYFUNCTION("""COMPUTED_VALUE"""),2.0)</f>
        <v>2</v>
      </c>
      <c r="E187" s="86">
        <f>IFERROR(__xludf.DUMMYFUNCTION("""COMPUTED_VALUE"""),3.0)</f>
        <v>3</v>
      </c>
      <c r="F187" s="88">
        <f>IFERROR(__xludf.DUMMYFUNCTION("""COMPUTED_VALUE"""),0.0)</f>
        <v>0</v>
      </c>
      <c r="G187" s="88">
        <f>IFERROR(__xludf.DUMMYFUNCTION("""COMPUTED_VALUE"""),9.0)</f>
        <v>9</v>
      </c>
      <c r="H187" s="88">
        <f>IFERROR(__xludf.DUMMYFUNCTION("""COMPUTED_VALUE"""),0.0)</f>
        <v>0</v>
      </c>
      <c r="I187" s="88">
        <f>IFERROR(__xludf.DUMMYFUNCTION("""COMPUTED_VALUE"""),0.0)</f>
        <v>0</v>
      </c>
      <c r="J187" s="88">
        <f>IFERROR(__xludf.DUMMYFUNCTION("""COMPUTED_VALUE"""),0.0)</f>
        <v>0</v>
      </c>
      <c r="K187" s="88">
        <f>IFERROR(__xludf.DUMMYFUNCTION("""COMPUTED_VALUE"""),9.0)</f>
        <v>9</v>
      </c>
      <c r="L187" s="88">
        <f>IFERROR(__xludf.DUMMYFUNCTION("""COMPUTED_VALUE"""),0.0)</f>
        <v>0</v>
      </c>
      <c r="M187" s="89">
        <f>IFERROR(__xludf.DUMMYFUNCTION("""COMPUTED_VALUE"""),138.0)</f>
        <v>138</v>
      </c>
      <c r="N187" s="89">
        <f>IFERROR(__xludf.DUMMYFUNCTION("""COMPUTED_VALUE"""),2.0)</f>
        <v>2</v>
      </c>
    </row>
    <row r="188">
      <c r="A188" s="11"/>
      <c r="B188" s="82" t="str">
        <f>IFERROR(__xludf.DUMMYFUNCTION("""COMPUTED_VALUE"""),"Coco Yan")</f>
        <v>Coco Yan</v>
      </c>
      <c r="C188" s="87">
        <f>IFERROR(__xludf.DUMMYFUNCTION("""COMPUTED_VALUE"""),128.0)</f>
        <v>128</v>
      </c>
      <c r="D188" s="87">
        <f>IFERROR(__xludf.DUMMYFUNCTION("""COMPUTED_VALUE"""),7.0)</f>
        <v>7</v>
      </c>
      <c r="E188" s="86">
        <f>IFERROR(__xludf.DUMMYFUNCTION("""COMPUTED_VALUE"""),3.0)</f>
        <v>3</v>
      </c>
      <c r="F188" s="88">
        <f>IFERROR(__xludf.DUMMYFUNCTION("""COMPUTED_VALUE"""),0.0)</f>
        <v>0</v>
      </c>
      <c r="G188" s="88">
        <f>IFERROR(__xludf.DUMMYFUNCTION("""COMPUTED_VALUE"""),9.0)</f>
        <v>9</v>
      </c>
      <c r="H188" s="88">
        <f>IFERROR(__xludf.DUMMYFUNCTION("""COMPUTED_VALUE"""),0.0)</f>
        <v>0</v>
      </c>
      <c r="I188" s="88">
        <f>IFERROR(__xludf.DUMMYFUNCTION("""COMPUTED_VALUE"""),0.0)</f>
        <v>0</v>
      </c>
      <c r="J188" s="88">
        <f>IFERROR(__xludf.DUMMYFUNCTION("""COMPUTED_VALUE"""),0.0)</f>
        <v>0</v>
      </c>
      <c r="K188" s="88">
        <f>IFERROR(__xludf.DUMMYFUNCTION("""COMPUTED_VALUE"""),9.0)</f>
        <v>9</v>
      </c>
      <c r="L188" s="88">
        <f>IFERROR(__xludf.DUMMYFUNCTION("""COMPUTED_VALUE"""),0.0)</f>
        <v>0</v>
      </c>
      <c r="M188" s="89">
        <f>IFERROR(__xludf.DUMMYFUNCTION("""COMPUTED_VALUE"""),137.0)</f>
        <v>137</v>
      </c>
      <c r="N188" s="89">
        <f>IFERROR(__xludf.DUMMYFUNCTION("""COMPUTED_VALUE"""),7.0)</f>
        <v>7</v>
      </c>
    </row>
    <row r="189">
      <c r="A189" s="11"/>
      <c r="B189" s="82" t="str">
        <f>IFERROR(__xludf.DUMMYFUNCTION("""COMPUTED_VALUE"""),"Mauricio Palacios")</f>
        <v>Mauricio Palacios</v>
      </c>
      <c r="C189" s="87">
        <f>IFERROR(__xludf.DUMMYFUNCTION("""COMPUTED_VALUE"""),125.0)</f>
        <v>125</v>
      </c>
      <c r="D189" s="87">
        <f>IFERROR(__xludf.DUMMYFUNCTION("""COMPUTED_VALUE"""),4.0)</f>
        <v>4</v>
      </c>
      <c r="E189" s="86">
        <f>IFERROR(__xludf.DUMMYFUNCTION("""COMPUTED_VALUE"""),3.0)</f>
        <v>3</v>
      </c>
      <c r="F189" s="88">
        <f>IFERROR(__xludf.DUMMYFUNCTION("""COMPUTED_VALUE"""),0.0)</f>
        <v>0</v>
      </c>
      <c r="G189" s="88">
        <f>IFERROR(__xludf.DUMMYFUNCTION("""COMPUTED_VALUE"""),9.0)</f>
        <v>9</v>
      </c>
      <c r="H189" s="88">
        <f>IFERROR(__xludf.DUMMYFUNCTION("""COMPUTED_VALUE"""),0.0)</f>
        <v>0</v>
      </c>
      <c r="I189" s="88">
        <f>IFERROR(__xludf.DUMMYFUNCTION("""COMPUTED_VALUE"""),0.0)</f>
        <v>0</v>
      </c>
      <c r="J189" s="88">
        <f>IFERROR(__xludf.DUMMYFUNCTION("""COMPUTED_VALUE"""),0.0)</f>
        <v>0</v>
      </c>
      <c r="K189" s="88">
        <f>IFERROR(__xludf.DUMMYFUNCTION("""COMPUTED_VALUE"""),9.0)</f>
        <v>9</v>
      </c>
      <c r="L189" s="88">
        <f>IFERROR(__xludf.DUMMYFUNCTION("""COMPUTED_VALUE"""),0.0)</f>
        <v>0</v>
      </c>
      <c r="M189" s="89">
        <f>IFERROR(__xludf.DUMMYFUNCTION("""COMPUTED_VALUE"""),134.0)</f>
        <v>134</v>
      </c>
      <c r="N189" s="89">
        <f>IFERROR(__xludf.DUMMYFUNCTION("""COMPUTED_VALUE"""),4.0)</f>
        <v>4</v>
      </c>
    </row>
    <row r="190">
      <c r="A190" s="11"/>
      <c r="B190" s="82" t="str">
        <f>IFERROR(__xludf.DUMMYFUNCTION("""COMPUTED_VALUE"""),"Susanta Mishra")</f>
        <v>Susanta Mishra</v>
      </c>
      <c r="C190" s="87">
        <f>IFERROR(__xludf.DUMMYFUNCTION("""COMPUTED_VALUE"""),124.0)</f>
        <v>124</v>
      </c>
      <c r="D190" s="87">
        <f>IFERROR(__xludf.DUMMYFUNCTION("""COMPUTED_VALUE"""),3.0)</f>
        <v>3</v>
      </c>
      <c r="E190" s="86">
        <f>IFERROR(__xludf.DUMMYFUNCTION("""COMPUTED_VALUE"""),3.0)</f>
        <v>3</v>
      </c>
      <c r="F190" s="88">
        <f>IFERROR(__xludf.DUMMYFUNCTION("""COMPUTED_VALUE"""),0.0)</f>
        <v>0</v>
      </c>
      <c r="G190" s="88">
        <f>IFERROR(__xludf.DUMMYFUNCTION("""COMPUTED_VALUE"""),9.0)</f>
        <v>9</v>
      </c>
      <c r="H190" s="88">
        <f>IFERROR(__xludf.DUMMYFUNCTION("""COMPUTED_VALUE"""),0.0)</f>
        <v>0</v>
      </c>
      <c r="I190" s="88">
        <f>IFERROR(__xludf.DUMMYFUNCTION("""COMPUTED_VALUE"""),0.0)</f>
        <v>0</v>
      </c>
      <c r="J190" s="88">
        <f>IFERROR(__xludf.DUMMYFUNCTION("""COMPUTED_VALUE"""),0.0)</f>
        <v>0</v>
      </c>
      <c r="K190" s="88">
        <f>IFERROR(__xludf.DUMMYFUNCTION("""COMPUTED_VALUE"""),9.0)</f>
        <v>9</v>
      </c>
      <c r="L190" s="88">
        <f>IFERROR(__xludf.DUMMYFUNCTION("""COMPUTED_VALUE"""),0.0)</f>
        <v>0</v>
      </c>
      <c r="M190" s="89">
        <f>IFERROR(__xludf.DUMMYFUNCTION("""COMPUTED_VALUE"""),133.0)</f>
        <v>133</v>
      </c>
      <c r="N190" s="89">
        <f>IFERROR(__xludf.DUMMYFUNCTION("""COMPUTED_VALUE"""),3.0)</f>
        <v>3</v>
      </c>
    </row>
    <row r="191">
      <c r="A191" s="11"/>
      <c r="B191" s="82" t="str">
        <f>IFERROR(__xludf.DUMMYFUNCTION("""COMPUTED_VALUE"""),"Sai Dilip Ponnaganti")</f>
        <v>Sai Dilip Ponnaganti</v>
      </c>
      <c r="C191" s="87">
        <f>IFERROR(__xludf.DUMMYFUNCTION("""COMPUTED_VALUE"""),123.0)</f>
        <v>123</v>
      </c>
      <c r="D191" s="87">
        <f>IFERROR(__xludf.DUMMYFUNCTION("""COMPUTED_VALUE"""),5.0)</f>
        <v>5</v>
      </c>
      <c r="E191" s="86">
        <f>IFERROR(__xludf.DUMMYFUNCTION("""COMPUTED_VALUE"""),3.0)</f>
        <v>3</v>
      </c>
      <c r="F191" s="88">
        <f>IFERROR(__xludf.DUMMYFUNCTION("""COMPUTED_VALUE"""),0.0)</f>
        <v>0</v>
      </c>
      <c r="G191" s="88">
        <f>IFERROR(__xludf.DUMMYFUNCTION("""COMPUTED_VALUE"""),9.0)</f>
        <v>9</v>
      </c>
      <c r="H191" s="88">
        <f>IFERROR(__xludf.DUMMYFUNCTION("""COMPUTED_VALUE"""),0.0)</f>
        <v>0</v>
      </c>
      <c r="I191" s="88">
        <f>IFERROR(__xludf.DUMMYFUNCTION("""COMPUTED_VALUE"""),0.0)</f>
        <v>0</v>
      </c>
      <c r="J191" s="88">
        <f>IFERROR(__xludf.DUMMYFUNCTION("""COMPUTED_VALUE"""),0.0)</f>
        <v>0</v>
      </c>
      <c r="K191" s="88">
        <f>IFERROR(__xludf.DUMMYFUNCTION("""COMPUTED_VALUE"""),9.0)</f>
        <v>9</v>
      </c>
      <c r="L191" s="88">
        <f>IFERROR(__xludf.DUMMYFUNCTION("""COMPUTED_VALUE"""),0.0)</f>
        <v>0</v>
      </c>
      <c r="M191" s="89">
        <f>IFERROR(__xludf.DUMMYFUNCTION("""COMPUTED_VALUE"""),132.0)</f>
        <v>132</v>
      </c>
      <c r="N191" s="89">
        <f>IFERROR(__xludf.DUMMYFUNCTION("""COMPUTED_VALUE"""),5.0)</f>
        <v>5</v>
      </c>
    </row>
    <row r="192">
      <c r="A192" s="11"/>
      <c r="B192" s="82" t="str">
        <f>IFERROR(__xludf.DUMMYFUNCTION("""COMPUTED_VALUE"""),"Trinath Goteti")</f>
        <v>Trinath Goteti</v>
      </c>
      <c r="C192" s="87">
        <f>IFERROR(__xludf.DUMMYFUNCTION("""COMPUTED_VALUE"""),121.0)</f>
        <v>121</v>
      </c>
      <c r="D192" s="87">
        <f>IFERROR(__xludf.DUMMYFUNCTION("""COMPUTED_VALUE"""),4.0)</f>
        <v>4</v>
      </c>
      <c r="E192" s="86">
        <f>IFERROR(__xludf.DUMMYFUNCTION("""COMPUTED_VALUE"""),3.0)</f>
        <v>3</v>
      </c>
      <c r="F192" s="88">
        <f>IFERROR(__xludf.DUMMYFUNCTION("""COMPUTED_VALUE"""),0.0)</f>
        <v>0</v>
      </c>
      <c r="G192" s="88">
        <f>IFERROR(__xludf.DUMMYFUNCTION("""COMPUTED_VALUE"""),9.0)</f>
        <v>9</v>
      </c>
      <c r="H192" s="88">
        <f>IFERROR(__xludf.DUMMYFUNCTION("""COMPUTED_VALUE"""),0.0)</f>
        <v>0</v>
      </c>
      <c r="I192" s="88">
        <f>IFERROR(__xludf.DUMMYFUNCTION("""COMPUTED_VALUE"""),0.0)</f>
        <v>0</v>
      </c>
      <c r="J192" s="88">
        <f>IFERROR(__xludf.DUMMYFUNCTION("""COMPUTED_VALUE"""),0.0)</f>
        <v>0</v>
      </c>
      <c r="K192" s="88">
        <f>IFERROR(__xludf.DUMMYFUNCTION("""COMPUTED_VALUE"""),9.0)</f>
        <v>9</v>
      </c>
      <c r="L192" s="88">
        <f>IFERROR(__xludf.DUMMYFUNCTION("""COMPUTED_VALUE"""),0.0)</f>
        <v>0</v>
      </c>
      <c r="M192" s="89">
        <f>IFERROR(__xludf.DUMMYFUNCTION("""COMPUTED_VALUE"""),130.0)</f>
        <v>130</v>
      </c>
      <c r="N192" s="89">
        <f>IFERROR(__xludf.DUMMYFUNCTION("""COMPUTED_VALUE"""),4.0)</f>
        <v>4</v>
      </c>
    </row>
    <row r="193">
      <c r="A193" s="11"/>
      <c r="B193" s="82" t="str">
        <f>IFERROR(__xludf.DUMMYFUNCTION("""COMPUTED_VALUE"""),"Naveen Raj")</f>
        <v>Naveen Raj</v>
      </c>
      <c r="C193" s="87">
        <f>IFERROR(__xludf.DUMMYFUNCTION("""COMPUTED_VALUE"""),121.0)</f>
        <v>121</v>
      </c>
      <c r="D193" s="87">
        <f>IFERROR(__xludf.DUMMYFUNCTION("""COMPUTED_VALUE"""),4.0)</f>
        <v>4</v>
      </c>
      <c r="E193" s="86">
        <f>IFERROR(__xludf.DUMMYFUNCTION("""COMPUTED_VALUE"""),3.0)</f>
        <v>3</v>
      </c>
      <c r="F193" s="88">
        <f>IFERROR(__xludf.DUMMYFUNCTION("""COMPUTED_VALUE"""),0.0)</f>
        <v>0</v>
      </c>
      <c r="G193" s="88">
        <f>IFERROR(__xludf.DUMMYFUNCTION("""COMPUTED_VALUE"""),9.0)</f>
        <v>9</v>
      </c>
      <c r="H193" s="88">
        <f>IFERROR(__xludf.DUMMYFUNCTION("""COMPUTED_VALUE"""),0.0)</f>
        <v>0</v>
      </c>
      <c r="I193" s="88">
        <f>IFERROR(__xludf.DUMMYFUNCTION("""COMPUTED_VALUE"""),0.0)</f>
        <v>0</v>
      </c>
      <c r="J193" s="88">
        <f>IFERROR(__xludf.DUMMYFUNCTION("""COMPUTED_VALUE"""),0.0)</f>
        <v>0</v>
      </c>
      <c r="K193" s="88">
        <f>IFERROR(__xludf.DUMMYFUNCTION("""COMPUTED_VALUE"""),9.0)</f>
        <v>9</v>
      </c>
      <c r="L193" s="88">
        <f>IFERROR(__xludf.DUMMYFUNCTION("""COMPUTED_VALUE"""),0.0)</f>
        <v>0</v>
      </c>
      <c r="M193" s="89">
        <f>IFERROR(__xludf.DUMMYFUNCTION("""COMPUTED_VALUE"""),130.0)</f>
        <v>130</v>
      </c>
      <c r="N193" s="89">
        <f>IFERROR(__xludf.DUMMYFUNCTION("""COMPUTED_VALUE"""),4.0)</f>
        <v>4</v>
      </c>
    </row>
    <row r="194">
      <c r="A194" s="11"/>
      <c r="B194" s="82" t="str">
        <f>IFERROR(__xludf.DUMMYFUNCTION("""COMPUTED_VALUE"""),"Santosh Sundaresan ")</f>
        <v>Santosh Sundaresan </v>
      </c>
      <c r="C194" s="87">
        <f>IFERROR(__xludf.DUMMYFUNCTION("""COMPUTED_VALUE"""),121.0)</f>
        <v>121</v>
      </c>
      <c r="D194" s="87">
        <f>IFERROR(__xludf.DUMMYFUNCTION("""COMPUTED_VALUE"""),3.0)</f>
        <v>3</v>
      </c>
      <c r="E194" s="86">
        <f>IFERROR(__xludf.DUMMYFUNCTION("""COMPUTED_VALUE"""),3.0)</f>
        <v>3</v>
      </c>
      <c r="F194" s="88">
        <f>IFERROR(__xludf.DUMMYFUNCTION("""COMPUTED_VALUE"""),0.0)</f>
        <v>0</v>
      </c>
      <c r="G194" s="88">
        <f>IFERROR(__xludf.DUMMYFUNCTION("""COMPUTED_VALUE"""),9.0)</f>
        <v>9</v>
      </c>
      <c r="H194" s="88">
        <f>IFERROR(__xludf.DUMMYFUNCTION("""COMPUTED_VALUE"""),0.0)</f>
        <v>0</v>
      </c>
      <c r="I194" s="88">
        <f>IFERROR(__xludf.DUMMYFUNCTION("""COMPUTED_VALUE"""),0.0)</f>
        <v>0</v>
      </c>
      <c r="J194" s="88">
        <f>IFERROR(__xludf.DUMMYFUNCTION("""COMPUTED_VALUE"""),0.0)</f>
        <v>0</v>
      </c>
      <c r="K194" s="88">
        <f>IFERROR(__xludf.DUMMYFUNCTION("""COMPUTED_VALUE"""),9.0)</f>
        <v>9</v>
      </c>
      <c r="L194" s="88">
        <f>IFERROR(__xludf.DUMMYFUNCTION("""COMPUTED_VALUE"""),0.0)</f>
        <v>0</v>
      </c>
      <c r="M194" s="89">
        <f>IFERROR(__xludf.DUMMYFUNCTION("""COMPUTED_VALUE"""),130.0)</f>
        <v>130</v>
      </c>
      <c r="N194" s="89">
        <f>IFERROR(__xludf.DUMMYFUNCTION("""COMPUTED_VALUE"""),3.0)</f>
        <v>3</v>
      </c>
    </row>
    <row r="195">
      <c r="A195" s="11"/>
      <c r="B195" s="82" t="str">
        <f>IFERROR(__xludf.DUMMYFUNCTION("""COMPUTED_VALUE"""),"Elayaraja Thangaraj ")</f>
        <v>Elayaraja Thangaraj </v>
      </c>
      <c r="C195" s="87">
        <f>IFERROR(__xludf.DUMMYFUNCTION("""COMPUTED_VALUE"""),121.0)</f>
        <v>121</v>
      </c>
      <c r="D195" s="87">
        <f>IFERROR(__xludf.DUMMYFUNCTION("""COMPUTED_VALUE"""),2.0)</f>
        <v>2</v>
      </c>
      <c r="E195" s="86">
        <f>IFERROR(__xludf.DUMMYFUNCTION("""COMPUTED_VALUE"""),3.0)</f>
        <v>3</v>
      </c>
      <c r="F195" s="88">
        <f>IFERROR(__xludf.DUMMYFUNCTION("""COMPUTED_VALUE"""),0.0)</f>
        <v>0</v>
      </c>
      <c r="G195" s="88">
        <f>IFERROR(__xludf.DUMMYFUNCTION("""COMPUTED_VALUE"""),9.0)</f>
        <v>9</v>
      </c>
      <c r="H195" s="88">
        <f>IFERROR(__xludf.DUMMYFUNCTION("""COMPUTED_VALUE"""),0.0)</f>
        <v>0</v>
      </c>
      <c r="I195" s="88">
        <f>IFERROR(__xludf.DUMMYFUNCTION("""COMPUTED_VALUE"""),0.0)</f>
        <v>0</v>
      </c>
      <c r="J195" s="88">
        <f>IFERROR(__xludf.DUMMYFUNCTION("""COMPUTED_VALUE"""),0.0)</f>
        <v>0</v>
      </c>
      <c r="K195" s="88">
        <f>IFERROR(__xludf.DUMMYFUNCTION("""COMPUTED_VALUE"""),9.0)</f>
        <v>9</v>
      </c>
      <c r="L195" s="88">
        <f>IFERROR(__xludf.DUMMYFUNCTION("""COMPUTED_VALUE"""),0.0)</f>
        <v>0</v>
      </c>
      <c r="M195" s="89">
        <f>IFERROR(__xludf.DUMMYFUNCTION("""COMPUTED_VALUE"""),130.0)</f>
        <v>130</v>
      </c>
      <c r="N195" s="89">
        <f>IFERROR(__xludf.DUMMYFUNCTION("""COMPUTED_VALUE"""),2.0)</f>
        <v>2</v>
      </c>
    </row>
    <row r="196">
      <c r="A196" s="11"/>
      <c r="B196" s="82" t="str">
        <f>IFERROR(__xludf.DUMMYFUNCTION("""COMPUTED_VALUE"""),"Rajesh Dorairaj")</f>
        <v>Rajesh Dorairaj</v>
      </c>
      <c r="C196" s="87">
        <f>IFERROR(__xludf.DUMMYFUNCTION("""COMPUTED_VALUE"""),120.0)</f>
        <v>120</v>
      </c>
      <c r="D196" s="87">
        <f>IFERROR(__xludf.DUMMYFUNCTION("""COMPUTED_VALUE"""),5.0)</f>
        <v>5</v>
      </c>
      <c r="E196" s="86">
        <f>IFERROR(__xludf.DUMMYFUNCTION("""COMPUTED_VALUE"""),3.0)</f>
        <v>3</v>
      </c>
      <c r="F196" s="88">
        <f>IFERROR(__xludf.DUMMYFUNCTION("""COMPUTED_VALUE"""),0.0)</f>
        <v>0</v>
      </c>
      <c r="G196" s="88">
        <f>IFERROR(__xludf.DUMMYFUNCTION("""COMPUTED_VALUE"""),9.0)</f>
        <v>9</v>
      </c>
      <c r="H196" s="88">
        <f>IFERROR(__xludf.DUMMYFUNCTION("""COMPUTED_VALUE"""),0.0)</f>
        <v>0</v>
      </c>
      <c r="I196" s="88">
        <f>IFERROR(__xludf.DUMMYFUNCTION("""COMPUTED_VALUE"""),0.0)</f>
        <v>0</v>
      </c>
      <c r="J196" s="88">
        <f>IFERROR(__xludf.DUMMYFUNCTION("""COMPUTED_VALUE"""),0.0)</f>
        <v>0</v>
      </c>
      <c r="K196" s="88">
        <f>IFERROR(__xludf.DUMMYFUNCTION("""COMPUTED_VALUE"""),9.0)</f>
        <v>9</v>
      </c>
      <c r="L196" s="88">
        <f>IFERROR(__xludf.DUMMYFUNCTION("""COMPUTED_VALUE"""),0.0)</f>
        <v>0</v>
      </c>
      <c r="M196" s="89">
        <f>IFERROR(__xludf.DUMMYFUNCTION("""COMPUTED_VALUE"""),129.0)</f>
        <v>129</v>
      </c>
      <c r="N196" s="89">
        <f>IFERROR(__xludf.DUMMYFUNCTION("""COMPUTED_VALUE"""),5.0)</f>
        <v>5</v>
      </c>
    </row>
    <row r="197">
      <c r="A197" s="11"/>
      <c r="B197" s="82" t="str">
        <f>IFERROR(__xludf.DUMMYFUNCTION("""COMPUTED_VALUE"""),"Nohely Mejia")</f>
        <v>Nohely Mejia</v>
      </c>
      <c r="C197" s="87">
        <f>IFERROR(__xludf.DUMMYFUNCTION("""COMPUTED_VALUE"""),118.0)</f>
        <v>118</v>
      </c>
      <c r="D197" s="87">
        <f>IFERROR(__xludf.DUMMYFUNCTION("""COMPUTED_VALUE"""),3.0)</f>
        <v>3</v>
      </c>
      <c r="E197" s="86">
        <f>IFERROR(__xludf.DUMMYFUNCTION("""COMPUTED_VALUE"""),3.0)</f>
        <v>3</v>
      </c>
      <c r="F197" s="88">
        <f>IFERROR(__xludf.DUMMYFUNCTION("""COMPUTED_VALUE"""),0.0)</f>
        <v>0</v>
      </c>
      <c r="G197" s="88">
        <f>IFERROR(__xludf.DUMMYFUNCTION("""COMPUTED_VALUE"""),9.0)</f>
        <v>9</v>
      </c>
      <c r="H197" s="88">
        <f>IFERROR(__xludf.DUMMYFUNCTION("""COMPUTED_VALUE"""),0.0)</f>
        <v>0</v>
      </c>
      <c r="I197" s="88">
        <f>IFERROR(__xludf.DUMMYFUNCTION("""COMPUTED_VALUE"""),0.0)</f>
        <v>0</v>
      </c>
      <c r="J197" s="88">
        <f>IFERROR(__xludf.DUMMYFUNCTION("""COMPUTED_VALUE"""),0.0)</f>
        <v>0</v>
      </c>
      <c r="K197" s="88">
        <f>IFERROR(__xludf.DUMMYFUNCTION("""COMPUTED_VALUE"""),9.0)</f>
        <v>9</v>
      </c>
      <c r="L197" s="88">
        <f>IFERROR(__xludf.DUMMYFUNCTION("""COMPUTED_VALUE"""),0.0)</f>
        <v>0</v>
      </c>
      <c r="M197" s="89">
        <f>IFERROR(__xludf.DUMMYFUNCTION("""COMPUTED_VALUE"""),127.0)</f>
        <v>127</v>
      </c>
      <c r="N197" s="89">
        <f>IFERROR(__xludf.DUMMYFUNCTION("""COMPUTED_VALUE"""),3.0)</f>
        <v>3</v>
      </c>
    </row>
    <row r="198">
      <c r="A198" s="11"/>
      <c r="B198" s="82" t="str">
        <f>IFERROR(__xludf.DUMMYFUNCTION("""COMPUTED_VALUE"""),"Eric Pan")</f>
        <v>Eric Pan</v>
      </c>
      <c r="C198" s="87">
        <f>IFERROR(__xludf.DUMMYFUNCTION("""COMPUTED_VALUE"""),117.0)</f>
        <v>117</v>
      </c>
      <c r="D198" s="87">
        <f>IFERROR(__xludf.DUMMYFUNCTION("""COMPUTED_VALUE"""),3.0)</f>
        <v>3</v>
      </c>
      <c r="E198" s="86">
        <f>IFERROR(__xludf.DUMMYFUNCTION("""COMPUTED_VALUE"""),3.0)</f>
        <v>3</v>
      </c>
      <c r="F198" s="88">
        <f>IFERROR(__xludf.DUMMYFUNCTION("""COMPUTED_VALUE"""),0.0)</f>
        <v>0</v>
      </c>
      <c r="G198" s="88">
        <f>IFERROR(__xludf.DUMMYFUNCTION("""COMPUTED_VALUE"""),9.0)</f>
        <v>9</v>
      </c>
      <c r="H198" s="88">
        <f>IFERROR(__xludf.DUMMYFUNCTION("""COMPUTED_VALUE"""),0.0)</f>
        <v>0</v>
      </c>
      <c r="I198" s="88">
        <f>IFERROR(__xludf.DUMMYFUNCTION("""COMPUTED_VALUE"""),0.0)</f>
        <v>0</v>
      </c>
      <c r="J198" s="88">
        <f>IFERROR(__xludf.DUMMYFUNCTION("""COMPUTED_VALUE"""),0.0)</f>
        <v>0</v>
      </c>
      <c r="K198" s="88">
        <f>IFERROR(__xludf.DUMMYFUNCTION("""COMPUTED_VALUE"""),9.0)</f>
        <v>9</v>
      </c>
      <c r="L198" s="88">
        <f>IFERROR(__xludf.DUMMYFUNCTION("""COMPUTED_VALUE"""),0.0)</f>
        <v>0</v>
      </c>
      <c r="M198" s="89">
        <f>IFERROR(__xludf.DUMMYFUNCTION("""COMPUTED_VALUE"""),126.0)</f>
        <v>126</v>
      </c>
      <c r="N198" s="89">
        <f>IFERROR(__xludf.DUMMYFUNCTION("""COMPUTED_VALUE"""),3.0)</f>
        <v>3</v>
      </c>
    </row>
    <row r="199">
      <c r="A199" s="11"/>
      <c r="B199" s="82" t="str">
        <f>IFERROR(__xludf.DUMMYFUNCTION("""COMPUTED_VALUE"""),"Vishnu Amarnath")</f>
        <v>Vishnu Amarnath</v>
      </c>
      <c r="C199" s="87">
        <f>IFERROR(__xludf.DUMMYFUNCTION("""COMPUTED_VALUE"""),117.0)</f>
        <v>117</v>
      </c>
      <c r="D199" s="87">
        <f>IFERROR(__xludf.DUMMYFUNCTION("""COMPUTED_VALUE"""),3.0)</f>
        <v>3</v>
      </c>
      <c r="E199" s="86">
        <f>IFERROR(__xludf.DUMMYFUNCTION("""COMPUTED_VALUE"""),3.0)</f>
        <v>3</v>
      </c>
      <c r="F199" s="88">
        <f>IFERROR(__xludf.DUMMYFUNCTION("""COMPUTED_VALUE"""),0.0)</f>
        <v>0</v>
      </c>
      <c r="G199" s="88">
        <f>IFERROR(__xludf.DUMMYFUNCTION("""COMPUTED_VALUE"""),9.0)</f>
        <v>9</v>
      </c>
      <c r="H199" s="88">
        <f>IFERROR(__xludf.DUMMYFUNCTION("""COMPUTED_VALUE"""),0.0)</f>
        <v>0</v>
      </c>
      <c r="I199" s="88">
        <f>IFERROR(__xludf.DUMMYFUNCTION("""COMPUTED_VALUE"""),0.0)</f>
        <v>0</v>
      </c>
      <c r="J199" s="88">
        <f>IFERROR(__xludf.DUMMYFUNCTION("""COMPUTED_VALUE"""),0.0)</f>
        <v>0</v>
      </c>
      <c r="K199" s="88">
        <f>IFERROR(__xludf.DUMMYFUNCTION("""COMPUTED_VALUE"""),9.0)</f>
        <v>9</v>
      </c>
      <c r="L199" s="88">
        <f>IFERROR(__xludf.DUMMYFUNCTION("""COMPUTED_VALUE"""),0.0)</f>
        <v>0</v>
      </c>
      <c r="M199" s="89">
        <f>IFERROR(__xludf.DUMMYFUNCTION("""COMPUTED_VALUE"""),126.0)</f>
        <v>126</v>
      </c>
      <c r="N199" s="89">
        <f>IFERROR(__xludf.DUMMYFUNCTION("""COMPUTED_VALUE"""),3.0)</f>
        <v>3</v>
      </c>
    </row>
    <row r="200">
      <c r="A200" s="11"/>
      <c r="B200" s="82" t="str">
        <f>IFERROR(__xludf.DUMMYFUNCTION("""COMPUTED_VALUE"""),"Manish Anand")</f>
        <v>Manish Anand</v>
      </c>
      <c r="C200" s="87">
        <f>IFERROR(__xludf.DUMMYFUNCTION("""COMPUTED_VALUE"""),117.0)</f>
        <v>117</v>
      </c>
      <c r="D200" s="87">
        <f>IFERROR(__xludf.DUMMYFUNCTION("""COMPUTED_VALUE"""),3.0)</f>
        <v>3</v>
      </c>
      <c r="E200" s="86">
        <f>IFERROR(__xludf.DUMMYFUNCTION("""COMPUTED_VALUE"""),3.0)</f>
        <v>3</v>
      </c>
      <c r="F200" s="88">
        <f>IFERROR(__xludf.DUMMYFUNCTION("""COMPUTED_VALUE"""),0.0)</f>
        <v>0</v>
      </c>
      <c r="G200" s="88">
        <f>IFERROR(__xludf.DUMMYFUNCTION("""COMPUTED_VALUE"""),9.0)</f>
        <v>9</v>
      </c>
      <c r="H200" s="88">
        <f>IFERROR(__xludf.DUMMYFUNCTION("""COMPUTED_VALUE"""),0.0)</f>
        <v>0</v>
      </c>
      <c r="I200" s="88">
        <f>IFERROR(__xludf.DUMMYFUNCTION("""COMPUTED_VALUE"""),0.0)</f>
        <v>0</v>
      </c>
      <c r="J200" s="88">
        <f>IFERROR(__xludf.DUMMYFUNCTION("""COMPUTED_VALUE"""),0.0)</f>
        <v>0</v>
      </c>
      <c r="K200" s="88">
        <f>IFERROR(__xludf.DUMMYFUNCTION("""COMPUTED_VALUE"""),9.0)</f>
        <v>9</v>
      </c>
      <c r="L200" s="88">
        <f>IFERROR(__xludf.DUMMYFUNCTION("""COMPUTED_VALUE"""),0.0)</f>
        <v>0</v>
      </c>
      <c r="M200" s="89">
        <f>IFERROR(__xludf.DUMMYFUNCTION("""COMPUTED_VALUE"""),126.0)</f>
        <v>126</v>
      </c>
      <c r="N200" s="89">
        <f>IFERROR(__xludf.DUMMYFUNCTION("""COMPUTED_VALUE"""),3.0)</f>
        <v>3</v>
      </c>
    </row>
    <row r="201">
      <c r="A201" s="11"/>
      <c r="B201" s="82" t="str">
        <f>IFERROR(__xludf.DUMMYFUNCTION("""COMPUTED_VALUE"""),"Leigh-Anh Nguyen")</f>
        <v>Leigh-Anh Nguyen</v>
      </c>
      <c r="C201" s="87">
        <f>IFERROR(__xludf.DUMMYFUNCTION("""COMPUTED_VALUE"""),113.0)</f>
        <v>113</v>
      </c>
      <c r="D201" s="87">
        <f>IFERROR(__xludf.DUMMYFUNCTION("""COMPUTED_VALUE"""),4.0)</f>
        <v>4</v>
      </c>
      <c r="E201" s="86">
        <f>IFERROR(__xludf.DUMMYFUNCTION("""COMPUTED_VALUE"""),3.0)</f>
        <v>3</v>
      </c>
      <c r="F201" s="88">
        <f>IFERROR(__xludf.DUMMYFUNCTION("""COMPUTED_VALUE"""),0.0)</f>
        <v>0</v>
      </c>
      <c r="G201" s="88">
        <f>IFERROR(__xludf.DUMMYFUNCTION("""COMPUTED_VALUE"""),9.0)</f>
        <v>9</v>
      </c>
      <c r="H201" s="88">
        <f>IFERROR(__xludf.DUMMYFUNCTION("""COMPUTED_VALUE"""),0.0)</f>
        <v>0</v>
      </c>
      <c r="I201" s="88">
        <f>IFERROR(__xludf.DUMMYFUNCTION("""COMPUTED_VALUE"""),0.0)</f>
        <v>0</v>
      </c>
      <c r="J201" s="88">
        <f>IFERROR(__xludf.DUMMYFUNCTION("""COMPUTED_VALUE"""),0.0)</f>
        <v>0</v>
      </c>
      <c r="K201" s="88">
        <f>IFERROR(__xludf.DUMMYFUNCTION("""COMPUTED_VALUE"""),9.0)</f>
        <v>9</v>
      </c>
      <c r="L201" s="88">
        <f>IFERROR(__xludf.DUMMYFUNCTION("""COMPUTED_VALUE"""),0.0)</f>
        <v>0</v>
      </c>
      <c r="M201" s="89">
        <f>IFERROR(__xludf.DUMMYFUNCTION("""COMPUTED_VALUE"""),122.0)</f>
        <v>122</v>
      </c>
      <c r="N201" s="89">
        <f>IFERROR(__xludf.DUMMYFUNCTION("""COMPUTED_VALUE"""),4.0)</f>
        <v>4</v>
      </c>
    </row>
    <row r="202">
      <c r="A202" s="11"/>
      <c r="B202" s="82" t="str">
        <f>IFERROR(__xludf.DUMMYFUNCTION("""COMPUTED_VALUE"""),"Sandy Weyant")</f>
        <v>Sandy Weyant</v>
      </c>
      <c r="C202" s="87">
        <f>IFERROR(__xludf.DUMMYFUNCTION("""COMPUTED_VALUE"""),113.0)</f>
        <v>113</v>
      </c>
      <c r="D202" s="87">
        <f>IFERROR(__xludf.DUMMYFUNCTION("""COMPUTED_VALUE"""),4.0)</f>
        <v>4</v>
      </c>
      <c r="E202" s="86">
        <f>IFERROR(__xludf.DUMMYFUNCTION("""COMPUTED_VALUE"""),3.0)</f>
        <v>3</v>
      </c>
      <c r="F202" s="88">
        <f>IFERROR(__xludf.DUMMYFUNCTION("""COMPUTED_VALUE"""),0.0)</f>
        <v>0</v>
      </c>
      <c r="G202" s="88">
        <f>IFERROR(__xludf.DUMMYFUNCTION("""COMPUTED_VALUE"""),9.0)</f>
        <v>9</v>
      </c>
      <c r="H202" s="88">
        <f>IFERROR(__xludf.DUMMYFUNCTION("""COMPUTED_VALUE"""),0.0)</f>
        <v>0</v>
      </c>
      <c r="I202" s="88">
        <f>IFERROR(__xludf.DUMMYFUNCTION("""COMPUTED_VALUE"""),0.0)</f>
        <v>0</v>
      </c>
      <c r="J202" s="88">
        <f>IFERROR(__xludf.DUMMYFUNCTION("""COMPUTED_VALUE"""),0.0)</f>
        <v>0</v>
      </c>
      <c r="K202" s="88">
        <f>IFERROR(__xludf.DUMMYFUNCTION("""COMPUTED_VALUE"""),9.0)</f>
        <v>9</v>
      </c>
      <c r="L202" s="88">
        <f>IFERROR(__xludf.DUMMYFUNCTION("""COMPUTED_VALUE"""),0.0)</f>
        <v>0</v>
      </c>
      <c r="M202" s="89">
        <f>IFERROR(__xludf.DUMMYFUNCTION("""COMPUTED_VALUE"""),122.0)</f>
        <v>122</v>
      </c>
      <c r="N202" s="89">
        <f>IFERROR(__xludf.DUMMYFUNCTION("""COMPUTED_VALUE"""),4.0)</f>
        <v>4</v>
      </c>
    </row>
    <row r="203">
      <c r="A203" s="11"/>
      <c r="B203" s="82" t="str">
        <f>IFERROR(__xludf.DUMMYFUNCTION("""COMPUTED_VALUE"""),"Vinz Solano")</f>
        <v>Vinz Solano</v>
      </c>
      <c r="C203" s="87">
        <f>IFERROR(__xludf.DUMMYFUNCTION("""COMPUTED_VALUE"""),112.0)</f>
        <v>112</v>
      </c>
      <c r="D203" s="87">
        <f>IFERROR(__xludf.DUMMYFUNCTION("""COMPUTED_VALUE"""),2.0)</f>
        <v>2</v>
      </c>
      <c r="E203" s="86">
        <f>IFERROR(__xludf.DUMMYFUNCTION("""COMPUTED_VALUE"""),3.0)</f>
        <v>3</v>
      </c>
      <c r="F203" s="88">
        <f>IFERROR(__xludf.DUMMYFUNCTION("""COMPUTED_VALUE"""),0.0)</f>
        <v>0</v>
      </c>
      <c r="G203" s="88">
        <f>IFERROR(__xludf.DUMMYFUNCTION("""COMPUTED_VALUE"""),9.0)</f>
        <v>9</v>
      </c>
      <c r="H203" s="88">
        <f>IFERROR(__xludf.DUMMYFUNCTION("""COMPUTED_VALUE"""),0.0)</f>
        <v>0</v>
      </c>
      <c r="I203" s="88">
        <f>IFERROR(__xludf.DUMMYFUNCTION("""COMPUTED_VALUE"""),0.0)</f>
        <v>0</v>
      </c>
      <c r="J203" s="88">
        <f>IFERROR(__xludf.DUMMYFUNCTION("""COMPUTED_VALUE"""),0.0)</f>
        <v>0</v>
      </c>
      <c r="K203" s="88">
        <f>IFERROR(__xludf.DUMMYFUNCTION("""COMPUTED_VALUE"""),9.0)</f>
        <v>9</v>
      </c>
      <c r="L203" s="88">
        <f>IFERROR(__xludf.DUMMYFUNCTION("""COMPUTED_VALUE"""),0.0)</f>
        <v>0</v>
      </c>
      <c r="M203" s="89">
        <f>IFERROR(__xludf.DUMMYFUNCTION("""COMPUTED_VALUE"""),121.0)</f>
        <v>121</v>
      </c>
      <c r="N203" s="89">
        <f>IFERROR(__xludf.DUMMYFUNCTION("""COMPUTED_VALUE"""),2.0)</f>
        <v>2</v>
      </c>
    </row>
    <row r="204">
      <c r="A204" s="11"/>
      <c r="B204" s="82" t="str">
        <f>IFERROR(__xludf.DUMMYFUNCTION("""COMPUTED_VALUE"""),"Peter Homsey")</f>
        <v>Peter Homsey</v>
      </c>
      <c r="C204" s="87">
        <f>IFERROR(__xludf.DUMMYFUNCTION("""COMPUTED_VALUE"""),112.0)</f>
        <v>112</v>
      </c>
      <c r="D204" s="87">
        <f>IFERROR(__xludf.DUMMYFUNCTION("""COMPUTED_VALUE"""),0.0)</f>
        <v>0</v>
      </c>
      <c r="E204" s="86">
        <f>IFERROR(__xludf.DUMMYFUNCTION("""COMPUTED_VALUE"""),3.0)</f>
        <v>3</v>
      </c>
      <c r="F204" s="88">
        <f>IFERROR(__xludf.DUMMYFUNCTION("""COMPUTED_VALUE"""),0.0)</f>
        <v>0</v>
      </c>
      <c r="G204" s="88">
        <f>IFERROR(__xludf.DUMMYFUNCTION("""COMPUTED_VALUE"""),9.0)</f>
        <v>9</v>
      </c>
      <c r="H204" s="88">
        <f>IFERROR(__xludf.DUMMYFUNCTION("""COMPUTED_VALUE"""),0.0)</f>
        <v>0</v>
      </c>
      <c r="I204" s="88">
        <f>IFERROR(__xludf.DUMMYFUNCTION("""COMPUTED_VALUE"""),0.0)</f>
        <v>0</v>
      </c>
      <c r="J204" s="88">
        <f>IFERROR(__xludf.DUMMYFUNCTION("""COMPUTED_VALUE"""),0.0)</f>
        <v>0</v>
      </c>
      <c r="K204" s="88">
        <f>IFERROR(__xludf.DUMMYFUNCTION("""COMPUTED_VALUE"""),9.0)</f>
        <v>9</v>
      </c>
      <c r="L204" s="88">
        <f>IFERROR(__xludf.DUMMYFUNCTION("""COMPUTED_VALUE"""),0.0)</f>
        <v>0</v>
      </c>
      <c r="M204" s="89">
        <f>IFERROR(__xludf.DUMMYFUNCTION("""COMPUTED_VALUE"""),121.0)</f>
        <v>121</v>
      </c>
      <c r="N204" s="89">
        <f>IFERROR(__xludf.DUMMYFUNCTION("""COMPUTED_VALUE"""),0.0)</f>
        <v>0</v>
      </c>
    </row>
    <row r="205">
      <c r="A205" s="11"/>
      <c r="B205" s="82" t="str">
        <f>IFERROR(__xludf.DUMMYFUNCTION("""COMPUTED_VALUE"""),"Amit Patel")</f>
        <v>Amit Patel</v>
      </c>
      <c r="C205" s="87">
        <f>IFERROR(__xludf.DUMMYFUNCTION("""COMPUTED_VALUE"""),112.0)</f>
        <v>112</v>
      </c>
      <c r="D205" s="87">
        <f>IFERROR(__xludf.DUMMYFUNCTION("""COMPUTED_VALUE"""),0.0)</f>
        <v>0</v>
      </c>
      <c r="E205" s="86">
        <f>IFERROR(__xludf.DUMMYFUNCTION("""COMPUTED_VALUE"""),3.0)</f>
        <v>3</v>
      </c>
      <c r="F205" s="88">
        <f>IFERROR(__xludf.DUMMYFUNCTION("""COMPUTED_VALUE"""),0.0)</f>
        <v>0</v>
      </c>
      <c r="G205" s="88">
        <f>IFERROR(__xludf.DUMMYFUNCTION("""COMPUTED_VALUE"""),9.0)</f>
        <v>9</v>
      </c>
      <c r="H205" s="88">
        <f>IFERROR(__xludf.DUMMYFUNCTION("""COMPUTED_VALUE"""),0.0)</f>
        <v>0</v>
      </c>
      <c r="I205" s="88">
        <f>IFERROR(__xludf.DUMMYFUNCTION("""COMPUTED_VALUE"""),0.0)</f>
        <v>0</v>
      </c>
      <c r="J205" s="88">
        <f>IFERROR(__xludf.DUMMYFUNCTION("""COMPUTED_VALUE"""),0.0)</f>
        <v>0</v>
      </c>
      <c r="K205" s="88">
        <f>IFERROR(__xludf.DUMMYFUNCTION("""COMPUTED_VALUE"""),9.0)</f>
        <v>9</v>
      </c>
      <c r="L205" s="88">
        <f>IFERROR(__xludf.DUMMYFUNCTION("""COMPUTED_VALUE"""),0.0)</f>
        <v>0</v>
      </c>
      <c r="M205" s="89">
        <f>IFERROR(__xludf.DUMMYFUNCTION("""COMPUTED_VALUE"""),121.0)</f>
        <v>121</v>
      </c>
      <c r="N205" s="89">
        <f>IFERROR(__xludf.DUMMYFUNCTION("""COMPUTED_VALUE"""),0.0)</f>
        <v>0</v>
      </c>
    </row>
    <row r="206">
      <c r="A206" s="11"/>
      <c r="B206" s="82" t="str">
        <f>IFERROR(__xludf.DUMMYFUNCTION("""COMPUTED_VALUE"""),"Nicole Ni")</f>
        <v>Nicole Ni</v>
      </c>
      <c r="C206" s="86">
        <f>IFERROR(__xludf.DUMMYFUNCTION("""COMPUTED_VALUE"""),108.0)</f>
        <v>108</v>
      </c>
      <c r="D206" s="87">
        <f>IFERROR(__xludf.DUMMYFUNCTION("""COMPUTED_VALUE"""),6.0)</f>
        <v>6</v>
      </c>
      <c r="E206" s="86">
        <f>IFERROR(__xludf.DUMMYFUNCTION("""COMPUTED_VALUE"""),3.0)</f>
        <v>3</v>
      </c>
      <c r="F206" s="88">
        <f>IFERROR(__xludf.DUMMYFUNCTION("""COMPUTED_VALUE"""),0.0)</f>
        <v>0</v>
      </c>
      <c r="G206" s="88">
        <f>IFERROR(__xludf.DUMMYFUNCTION("""COMPUTED_VALUE"""),9.0)</f>
        <v>9</v>
      </c>
      <c r="H206" s="88">
        <f>IFERROR(__xludf.DUMMYFUNCTION("""COMPUTED_VALUE"""),0.0)</f>
        <v>0</v>
      </c>
      <c r="I206" s="88">
        <f>IFERROR(__xludf.DUMMYFUNCTION("""COMPUTED_VALUE"""),0.0)</f>
        <v>0</v>
      </c>
      <c r="J206" s="88">
        <f>IFERROR(__xludf.DUMMYFUNCTION("""COMPUTED_VALUE"""),0.0)</f>
        <v>0</v>
      </c>
      <c r="K206" s="88">
        <f>IFERROR(__xludf.DUMMYFUNCTION("""COMPUTED_VALUE"""),9.0)</f>
        <v>9</v>
      </c>
      <c r="L206" s="88">
        <f>IFERROR(__xludf.DUMMYFUNCTION("""COMPUTED_VALUE"""),0.0)</f>
        <v>0</v>
      </c>
      <c r="M206" s="88">
        <f>IFERROR(__xludf.DUMMYFUNCTION("""COMPUTED_VALUE"""),117.0)</f>
        <v>117</v>
      </c>
      <c r="N206" s="89">
        <f>IFERROR(__xludf.DUMMYFUNCTION("""COMPUTED_VALUE"""),6.0)</f>
        <v>6</v>
      </c>
    </row>
    <row r="207">
      <c r="A207" s="11"/>
      <c r="B207" s="82" t="str">
        <f>IFERROR(__xludf.DUMMYFUNCTION("""COMPUTED_VALUE"""),"Jose Ortiz")</f>
        <v>Jose Ortiz</v>
      </c>
      <c r="C207" s="86">
        <f>IFERROR(__xludf.DUMMYFUNCTION("""COMPUTED_VALUE"""),108.0)</f>
        <v>108</v>
      </c>
      <c r="D207" s="87">
        <f>IFERROR(__xludf.DUMMYFUNCTION("""COMPUTED_VALUE"""),0.0)</f>
        <v>0</v>
      </c>
      <c r="E207" s="86">
        <f>IFERROR(__xludf.DUMMYFUNCTION("""COMPUTED_VALUE"""),3.0)</f>
        <v>3</v>
      </c>
      <c r="F207" s="88">
        <f>IFERROR(__xludf.DUMMYFUNCTION("""COMPUTED_VALUE"""),0.0)</f>
        <v>0</v>
      </c>
      <c r="G207" s="88">
        <f>IFERROR(__xludf.DUMMYFUNCTION("""COMPUTED_VALUE"""),9.0)</f>
        <v>9</v>
      </c>
      <c r="H207" s="88">
        <f>IFERROR(__xludf.DUMMYFUNCTION("""COMPUTED_VALUE"""),0.0)</f>
        <v>0</v>
      </c>
      <c r="I207" s="88">
        <f>IFERROR(__xludf.DUMMYFUNCTION("""COMPUTED_VALUE"""),0.0)</f>
        <v>0</v>
      </c>
      <c r="J207" s="88">
        <f>IFERROR(__xludf.DUMMYFUNCTION("""COMPUTED_VALUE"""),0.0)</f>
        <v>0</v>
      </c>
      <c r="K207" s="88">
        <f>IFERROR(__xludf.DUMMYFUNCTION("""COMPUTED_VALUE"""),9.0)</f>
        <v>9</v>
      </c>
      <c r="L207" s="88">
        <f>IFERROR(__xludf.DUMMYFUNCTION("""COMPUTED_VALUE"""),0.0)</f>
        <v>0</v>
      </c>
      <c r="M207" s="88">
        <f>IFERROR(__xludf.DUMMYFUNCTION("""COMPUTED_VALUE"""),117.0)</f>
        <v>117</v>
      </c>
      <c r="N207" s="89">
        <f>IFERROR(__xludf.DUMMYFUNCTION("""COMPUTED_VALUE"""),0.0)</f>
        <v>0</v>
      </c>
    </row>
    <row r="208">
      <c r="A208" s="11"/>
      <c r="B208" s="82" t="str">
        <f>IFERROR(__xludf.DUMMYFUNCTION("""COMPUTED_VALUE"""),"Joyce Zhu")</f>
        <v>Joyce Zhu</v>
      </c>
      <c r="C208" s="86">
        <f>IFERROR(__xludf.DUMMYFUNCTION("""COMPUTED_VALUE"""),105.0)</f>
        <v>105</v>
      </c>
      <c r="D208" s="87">
        <f>IFERROR(__xludf.DUMMYFUNCTION("""COMPUTED_VALUE"""),6.0)</f>
        <v>6</v>
      </c>
      <c r="E208" s="86">
        <f>IFERROR(__xludf.DUMMYFUNCTION("""COMPUTED_VALUE"""),3.0)</f>
        <v>3</v>
      </c>
      <c r="F208" s="88">
        <f>IFERROR(__xludf.DUMMYFUNCTION("""COMPUTED_VALUE"""),0.0)</f>
        <v>0</v>
      </c>
      <c r="G208" s="88">
        <f>IFERROR(__xludf.DUMMYFUNCTION("""COMPUTED_VALUE"""),9.0)</f>
        <v>9</v>
      </c>
      <c r="H208" s="88">
        <f>IFERROR(__xludf.DUMMYFUNCTION("""COMPUTED_VALUE"""),0.0)</f>
        <v>0</v>
      </c>
      <c r="I208" s="88">
        <f>IFERROR(__xludf.DUMMYFUNCTION("""COMPUTED_VALUE"""),0.0)</f>
        <v>0</v>
      </c>
      <c r="J208" s="88">
        <f>IFERROR(__xludf.DUMMYFUNCTION("""COMPUTED_VALUE"""),0.0)</f>
        <v>0</v>
      </c>
      <c r="K208" s="88">
        <f>IFERROR(__xludf.DUMMYFUNCTION("""COMPUTED_VALUE"""),9.0)</f>
        <v>9</v>
      </c>
      <c r="L208" s="88">
        <f>IFERROR(__xludf.DUMMYFUNCTION("""COMPUTED_VALUE"""),0.0)</f>
        <v>0</v>
      </c>
      <c r="M208" s="88">
        <f>IFERROR(__xludf.DUMMYFUNCTION("""COMPUTED_VALUE"""),114.0)</f>
        <v>114</v>
      </c>
      <c r="N208" s="89">
        <f>IFERROR(__xludf.DUMMYFUNCTION("""COMPUTED_VALUE"""),6.0)</f>
        <v>6</v>
      </c>
    </row>
    <row r="209">
      <c r="A209" s="11"/>
      <c r="B209" s="82"/>
      <c r="C209" s="86"/>
      <c r="D209" s="87"/>
      <c r="E209" s="86"/>
      <c r="F209" s="88"/>
      <c r="G209" s="88"/>
      <c r="H209" s="88"/>
      <c r="I209" s="88"/>
      <c r="J209" s="88"/>
      <c r="K209" s="88"/>
      <c r="L209" s="88"/>
      <c r="M209" s="88"/>
      <c r="N209" s="89"/>
    </row>
    <row r="210">
      <c r="A210" s="11"/>
      <c r="B210" s="82"/>
      <c r="C210" s="86"/>
      <c r="D210" s="87"/>
      <c r="E210" s="86"/>
      <c r="F210" s="88"/>
      <c r="G210" s="88"/>
      <c r="H210" s="88"/>
      <c r="I210" s="88"/>
      <c r="J210" s="88"/>
      <c r="K210" s="88"/>
      <c r="L210" s="88"/>
      <c r="M210" s="88"/>
      <c r="N210" s="89"/>
    </row>
    <row r="211">
      <c r="A211" s="11"/>
      <c r="B211" s="82"/>
      <c r="C211" s="86"/>
      <c r="D211" s="87"/>
      <c r="E211" s="86"/>
      <c r="F211" s="88"/>
      <c r="G211" s="88"/>
      <c r="H211" s="88"/>
      <c r="I211" s="88"/>
      <c r="J211" s="88"/>
      <c r="K211" s="88"/>
      <c r="L211" s="88"/>
      <c r="M211" s="88"/>
      <c r="N211" s="89"/>
    </row>
    <row r="212">
      <c r="A212" s="11"/>
      <c r="B212" s="82"/>
      <c r="C212" s="86"/>
      <c r="D212" s="87"/>
      <c r="E212" s="86"/>
      <c r="F212" s="88"/>
      <c r="G212" s="88"/>
      <c r="H212" s="88"/>
      <c r="I212" s="88"/>
      <c r="J212" s="88"/>
      <c r="K212" s="88"/>
      <c r="L212" s="88"/>
      <c r="M212" s="88"/>
      <c r="N212" s="89"/>
    </row>
    <row r="213">
      <c r="A213" s="11"/>
      <c r="B213" s="82"/>
      <c r="C213" s="86"/>
      <c r="D213" s="87"/>
      <c r="E213" s="86"/>
      <c r="F213" s="88"/>
      <c r="G213" s="88"/>
      <c r="H213" s="88"/>
      <c r="I213" s="88"/>
      <c r="J213" s="88"/>
      <c r="K213" s="88"/>
      <c r="L213" s="88"/>
      <c r="M213" s="88"/>
      <c r="N213" s="89"/>
    </row>
    <row r="214">
      <c r="A214" s="11"/>
      <c r="B214" s="82"/>
      <c r="C214" s="86"/>
      <c r="D214" s="87"/>
      <c r="E214" s="86"/>
      <c r="F214" s="88"/>
      <c r="G214" s="88"/>
      <c r="H214" s="88"/>
      <c r="I214" s="88"/>
      <c r="J214" s="88"/>
      <c r="K214" s="88"/>
      <c r="L214" s="88"/>
      <c r="M214" s="88"/>
      <c r="N214" s="89"/>
    </row>
    <row r="215">
      <c r="A215" s="11"/>
      <c r="B215" s="82"/>
      <c r="C215" s="86"/>
      <c r="D215" s="87"/>
      <c r="E215" s="86"/>
      <c r="F215" s="88"/>
      <c r="G215" s="88"/>
      <c r="H215" s="88"/>
      <c r="I215" s="88"/>
      <c r="J215" s="88"/>
      <c r="K215" s="88"/>
      <c r="L215" s="88"/>
      <c r="M215" s="88"/>
      <c r="N215" s="89"/>
    </row>
    <row r="216">
      <c r="A216" s="11"/>
      <c r="B216" s="82"/>
      <c r="C216" s="86"/>
      <c r="D216" s="87"/>
      <c r="E216" s="86"/>
      <c r="F216" s="88"/>
      <c r="G216" s="88"/>
      <c r="H216" s="88"/>
      <c r="I216" s="88"/>
      <c r="J216" s="88"/>
      <c r="K216" s="88"/>
      <c r="L216" s="88"/>
      <c r="M216" s="88"/>
      <c r="N216" s="89"/>
    </row>
    <row r="217">
      <c r="A217" s="11"/>
      <c r="B217" s="82"/>
      <c r="C217" s="86"/>
      <c r="D217" s="87"/>
      <c r="E217" s="86"/>
      <c r="F217" s="88"/>
      <c r="G217" s="88"/>
      <c r="H217" s="88"/>
      <c r="I217" s="88"/>
      <c r="J217" s="88"/>
      <c r="K217" s="88"/>
      <c r="L217" s="88"/>
      <c r="M217" s="88"/>
      <c r="N217" s="89"/>
    </row>
    <row r="218">
      <c r="A218" s="11"/>
      <c r="B218" s="82"/>
      <c r="C218" s="86"/>
      <c r="D218" s="87"/>
      <c r="E218" s="86"/>
      <c r="F218" s="88"/>
      <c r="G218" s="88"/>
      <c r="H218" s="88"/>
      <c r="I218" s="88"/>
      <c r="J218" s="88"/>
      <c r="K218" s="88"/>
      <c r="L218" s="88"/>
      <c r="M218" s="88"/>
      <c r="N218" s="89"/>
    </row>
    <row r="219">
      <c r="A219" s="11"/>
      <c r="B219" s="82"/>
      <c r="C219" s="86"/>
      <c r="D219" s="87"/>
      <c r="E219" s="86"/>
      <c r="F219" s="88"/>
      <c r="G219" s="88"/>
      <c r="H219" s="88"/>
      <c r="I219" s="88"/>
      <c r="J219" s="88"/>
      <c r="K219" s="88"/>
      <c r="L219" s="88"/>
      <c r="M219" s="88"/>
      <c r="N219" s="89"/>
    </row>
    <row r="220">
      <c r="A220" s="11"/>
      <c r="B220" s="82"/>
      <c r="C220" s="86"/>
      <c r="D220" s="87"/>
      <c r="E220" s="86"/>
      <c r="F220" s="88"/>
      <c r="G220" s="88"/>
      <c r="H220" s="88"/>
      <c r="I220" s="88"/>
      <c r="J220" s="88"/>
      <c r="K220" s="88"/>
      <c r="L220" s="88"/>
      <c r="M220" s="88"/>
      <c r="N220" s="89"/>
    </row>
    <row r="221">
      <c r="A221" s="11"/>
      <c r="B221" s="82"/>
      <c r="C221" s="86"/>
      <c r="D221" s="87"/>
      <c r="E221" s="86"/>
      <c r="F221" s="88"/>
      <c r="G221" s="88"/>
      <c r="H221" s="88"/>
      <c r="I221" s="88"/>
      <c r="J221" s="88"/>
      <c r="K221" s="88"/>
      <c r="L221" s="88"/>
      <c r="M221" s="88"/>
      <c r="N221" s="89"/>
    </row>
    <row r="222">
      <c r="A222" s="11"/>
      <c r="B222" s="82"/>
      <c r="C222" s="86"/>
      <c r="D222" s="87"/>
      <c r="E222" s="86"/>
      <c r="F222" s="88"/>
      <c r="G222" s="88"/>
      <c r="H222" s="88"/>
      <c r="I222" s="88"/>
      <c r="J222" s="88"/>
      <c r="K222" s="88"/>
      <c r="L222" s="88"/>
      <c r="M222" s="88"/>
      <c r="N222" s="89"/>
    </row>
    <row r="223">
      <c r="A223" s="11"/>
      <c r="B223" s="82"/>
      <c r="C223" s="86"/>
      <c r="D223" s="87"/>
      <c r="E223" s="86"/>
      <c r="F223" s="88"/>
      <c r="G223" s="88"/>
      <c r="H223" s="88"/>
      <c r="I223" s="88"/>
      <c r="J223" s="88"/>
      <c r="K223" s="88"/>
      <c r="L223" s="88"/>
      <c r="M223" s="88"/>
      <c r="N223" s="89"/>
    </row>
    <row r="224">
      <c r="A224" s="11"/>
      <c r="B224" s="82"/>
      <c r="C224" s="86"/>
      <c r="D224" s="87"/>
      <c r="E224" s="86"/>
      <c r="F224" s="88"/>
      <c r="G224" s="88"/>
      <c r="H224" s="88"/>
      <c r="I224" s="88"/>
      <c r="J224" s="88"/>
      <c r="K224" s="88"/>
      <c r="L224" s="88"/>
      <c r="M224" s="88"/>
      <c r="N224" s="89"/>
    </row>
    <row r="225">
      <c r="A225" s="11"/>
      <c r="B225" s="82"/>
      <c r="C225" s="86"/>
      <c r="D225" s="87"/>
      <c r="E225" s="86"/>
      <c r="F225" s="88"/>
      <c r="G225" s="88"/>
      <c r="H225" s="88"/>
      <c r="I225" s="88"/>
      <c r="J225" s="88"/>
      <c r="K225" s="88"/>
      <c r="L225" s="88"/>
      <c r="M225" s="88"/>
      <c r="N225" s="89"/>
    </row>
    <row r="226">
      <c r="A226" s="11"/>
      <c r="B226" s="82"/>
      <c r="C226" s="86"/>
      <c r="D226" s="87"/>
      <c r="E226" s="86"/>
      <c r="F226" s="88"/>
      <c r="G226" s="88"/>
      <c r="H226" s="88"/>
      <c r="I226" s="88"/>
      <c r="J226" s="88"/>
      <c r="K226" s="88"/>
      <c r="L226" s="88"/>
      <c r="M226" s="88"/>
      <c r="N226" s="89"/>
    </row>
    <row r="227">
      <c r="A227" s="11"/>
      <c r="B227" s="82"/>
      <c r="C227" s="86"/>
      <c r="D227" s="87"/>
      <c r="E227" s="86"/>
      <c r="F227" s="88"/>
      <c r="G227" s="88"/>
      <c r="H227" s="88"/>
      <c r="I227" s="88"/>
      <c r="J227" s="88"/>
      <c r="K227" s="88"/>
      <c r="L227" s="88"/>
      <c r="M227" s="88"/>
      <c r="N227" s="89"/>
    </row>
    <row r="228">
      <c r="A228" s="11"/>
      <c r="B228" s="82"/>
      <c r="C228" s="86"/>
      <c r="D228" s="87"/>
      <c r="E228" s="86"/>
      <c r="F228" s="88"/>
      <c r="G228" s="88"/>
      <c r="H228" s="88"/>
      <c r="I228" s="88"/>
      <c r="J228" s="88"/>
      <c r="K228" s="88"/>
      <c r="L228" s="88"/>
      <c r="M228" s="88"/>
      <c r="N228" s="89"/>
    </row>
    <row r="229">
      <c r="A229" s="11"/>
      <c r="B229" s="82"/>
      <c r="C229" s="86"/>
      <c r="D229" s="87"/>
      <c r="E229" s="86"/>
      <c r="F229" s="88"/>
      <c r="G229" s="88"/>
      <c r="H229" s="88"/>
      <c r="I229" s="88"/>
      <c r="J229" s="88"/>
      <c r="K229" s="88"/>
      <c r="L229" s="88"/>
      <c r="M229" s="88"/>
      <c r="N229" s="89"/>
    </row>
    <row r="230">
      <c r="A230" s="11"/>
      <c r="B230" s="82"/>
      <c r="C230" s="86"/>
      <c r="D230" s="87"/>
      <c r="E230" s="86"/>
      <c r="F230" s="88"/>
      <c r="G230" s="88"/>
      <c r="H230" s="88"/>
      <c r="I230" s="88"/>
      <c r="J230" s="88"/>
      <c r="K230" s="88"/>
      <c r="L230" s="88"/>
      <c r="M230" s="88"/>
      <c r="N230" s="89"/>
    </row>
    <row r="231">
      <c r="A231" s="11"/>
      <c r="B231" s="82"/>
      <c r="C231" s="86"/>
      <c r="D231" s="87"/>
      <c r="E231" s="86"/>
      <c r="F231" s="88"/>
      <c r="G231" s="88"/>
      <c r="H231" s="88"/>
      <c r="I231" s="88"/>
      <c r="J231" s="88"/>
      <c r="K231" s="88"/>
      <c r="L231" s="88"/>
      <c r="M231" s="88"/>
      <c r="N231" s="89"/>
    </row>
    <row r="232">
      <c r="A232" s="11"/>
      <c r="B232" s="82"/>
      <c r="C232" s="86"/>
      <c r="D232" s="87"/>
      <c r="E232" s="86"/>
      <c r="F232" s="88"/>
      <c r="G232" s="88"/>
      <c r="H232" s="88"/>
      <c r="I232" s="88"/>
      <c r="J232" s="88"/>
      <c r="K232" s="88"/>
      <c r="L232" s="88"/>
      <c r="M232" s="88"/>
      <c r="N232" s="89"/>
    </row>
    <row r="233">
      <c r="A233" s="11"/>
      <c r="B233" s="82"/>
      <c r="C233" s="86"/>
      <c r="D233" s="87"/>
      <c r="E233" s="86"/>
      <c r="F233" s="88"/>
      <c r="G233" s="88"/>
      <c r="H233" s="88"/>
      <c r="I233" s="88"/>
      <c r="J233" s="88"/>
      <c r="K233" s="88"/>
      <c r="L233" s="88"/>
      <c r="M233" s="88"/>
      <c r="N233" s="89"/>
    </row>
    <row r="234">
      <c r="A234" s="11"/>
      <c r="B234" s="82"/>
      <c r="C234" s="86"/>
      <c r="D234" s="87"/>
      <c r="E234" s="86"/>
      <c r="F234" s="88"/>
      <c r="G234" s="88"/>
      <c r="H234" s="88"/>
      <c r="I234" s="88"/>
      <c r="J234" s="88"/>
      <c r="K234" s="88"/>
      <c r="L234" s="88"/>
      <c r="M234" s="88"/>
      <c r="N234" s="89"/>
    </row>
    <row r="235">
      <c r="A235" s="11"/>
      <c r="B235" s="82"/>
      <c r="C235" s="86"/>
      <c r="D235" s="87"/>
      <c r="E235" s="86"/>
      <c r="F235" s="88"/>
      <c r="G235" s="88"/>
      <c r="H235" s="88"/>
      <c r="I235" s="88"/>
      <c r="J235" s="88"/>
      <c r="K235" s="88"/>
      <c r="L235" s="88"/>
      <c r="M235" s="88"/>
      <c r="N235" s="89"/>
    </row>
    <row r="236">
      <c r="A236" s="11"/>
      <c r="B236" s="82"/>
      <c r="C236" s="86"/>
      <c r="D236" s="87"/>
      <c r="E236" s="86"/>
      <c r="F236" s="88"/>
      <c r="G236" s="88"/>
      <c r="H236" s="88"/>
      <c r="I236" s="88"/>
      <c r="J236" s="88"/>
      <c r="K236" s="88"/>
      <c r="L236" s="88"/>
      <c r="M236" s="88"/>
      <c r="N236" s="89"/>
    </row>
    <row r="237">
      <c r="A237" s="11"/>
      <c r="B237" s="82"/>
      <c r="C237" s="86"/>
      <c r="D237" s="87"/>
      <c r="E237" s="86"/>
      <c r="F237" s="88"/>
      <c r="G237" s="88"/>
      <c r="H237" s="88"/>
      <c r="I237" s="88"/>
      <c r="J237" s="88"/>
      <c r="K237" s="88"/>
      <c r="L237" s="88"/>
      <c r="M237" s="88"/>
      <c r="N237" s="89"/>
    </row>
    <row r="238">
      <c r="A238" s="11"/>
      <c r="B238" s="82"/>
      <c r="C238" s="86"/>
      <c r="D238" s="87"/>
      <c r="E238" s="86"/>
      <c r="F238" s="88"/>
      <c r="G238" s="88"/>
      <c r="H238" s="88"/>
      <c r="I238" s="88"/>
      <c r="J238" s="88"/>
      <c r="K238" s="88"/>
      <c r="L238" s="88"/>
      <c r="M238" s="88"/>
      <c r="N238" s="89"/>
    </row>
    <row r="239">
      <c r="A239" s="11"/>
      <c r="B239" s="82"/>
      <c r="C239" s="86"/>
      <c r="D239" s="87"/>
      <c r="E239" s="86"/>
      <c r="F239" s="88"/>
      <c r="G239" s="88"/>
      <c r="H239" s="88"/>
      <c r="I239" s="88"/>
      <c r="J239" s="88"/>
      <c r="K239" s="88"/>
      <c r="L239" s="88"/>
      <c r="M239" s="88"/>
      <c r="N239" s="89"/>
    </row>
    <row r="240">
      <c r="A240" s="11"/>
      <c r="C240" s="11"/>
      <c r="D240" s="11"/>
      <c r="E240" s="11"/>
    </row>
    <row r="241">
      <c r="A241" s="11"/>
      <c r="C241" s="11"/>
      <c r="D241" s="11"/>
      <c r="E241" s="11"/>
    </row>
    <row r="242">
      <c r="A242" s="11"/>
      <c r="C242" s="11"/>
      <c r="D242" s="11"/>
      <c r="E242" s="11"/>
    </row>
    <row r="243">
      <c r="A243" s="11"/>
      <c r="C243" s="11"/>
      <c r="D243" s="11"/>
      <c r="E243" s="11"/>
    </row>
    <row r="244">
      <c r="A244" s="11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B261" s="90" t="s">
        <v>167</v>
      </c>
      <c r="C261" s="11"/>
      <c r="D261" s="11"/>
      <c r="E261" s="11"/>
      <c r="U261" s="90" t="s">
        <v>168</v>
      </c>
    </row>
    <row r="262">
      <c r="A262" s="49">
        <v>1.0</v>
      </c>
      <c r="B262" s="82" t="str">
        <f>IFERROR(__xludf.DUMMYFUNCTION("QUERY(B5:Q70, ""Select B   where Q is null"")"),"#N/A")</f>
        <v>#N/A</v>
      </c>
      <c r="C262" s="11"/>
      <c r="D262" s="11"/>
      <c r="E262" s="11"/>
      <c r="T262" s="49">
        <v>1.0</v>
      </c>
      <c r="U262" s="17" t="str">
        <f>IFERROR(__xludf.DUMMYFUNCTION("QUERY(B5:Q70, ""Select B   where Q = 'N' "")"),"#N/A")</f>
        <v>#N/A</v>
      </c>
    </row>
    <row r="263">
      <c r="A263" s="11">
        <f t="shared" ref="A263:A283" si="71">A262+1</f>
        <v>2</v>
      </c>
      <c r="B263" s="82"/>
      <c r="C263" s="11"/>
      <c r="D263" s="11"/>
      <c r="E263" s="11"/>
      <c r="T263" s="11">
        <f t="shared" ref="T263:T274" si="72">T262+1</f>
        <v>2</v>
      </c>
    </row>
    <row r="264">
      <c r="A264" s="11">
        <f t="shared" si="71"/>
        <v>3</v>
      </c>
      <c r="B264" s="82"/>
      <c r="C264" s="11"/>
      <c r="D264" s="11"/>
      <c r="E264" s="11"/>
      <c r="T264" s="11">
        <f t="shared" si="72"/>
        <v>3</v>
      </c>
    </row>
    <row r="265">
      <c r="A265" s="11">
        <f t="shared" si="71"/>
        <v>4</v>
      </c>
      <c r="B265" s="82"/>
      <c r="C265" s="11"/>
      <c r="D265" s="11"/>
      <c r="E265" s="11"/>
      <c r="T265" s="11">
        <f t="shared" si="72"/>
        <v>4</v>
      </c>
    </row>
    <row r="266">
      <c r="A266" s="11">
        <f t="shared" si="71"/>
        <v>5</v>
      </c>
      <c r="B266" s="82"/>
      <c r="C266" s="11"/>
      <c r="D266" s="11"/>
      <c r="E266" s="11"/>
      <c r="T266" s="11">
        <f t="shared" si="72"/>
        <v>5</v>
      </c>
    </row>
    <row r="267">
      <c r="A267" s="11">
        <f t="shared" si="71"/>
        <v>6</v>
      </c>
      <c r="B267" s="82"/>
      <c r="C267" s="11"/>
      <c r="D267" s="11"/>
      <c r="E267" s="11"/>
      <c r="T267" s="11">
        <f t="shared" si="72"/>
        <v>6</v>
      </c>
    </row>
    <row r="268">
      <c r="A268" s="11">
        <f t="shared" si="71"/>
        <v>7</v>
      </c>
      <c r="B268" s="82"/>
      <c r="C268" s="11"/>
      <c r="D268" s="11"/>
      <c r="E268" s="11"/>
      <c r="T268" s="11">
        <f t="shared" si="72"/>
        <v>7</v>
      </c>
    </row>
    <row r="269">
      <c r="A269" s="11">
        <f t="shared" si="71"/>
        <v>8</v>
      </c>
      <c r="B269" s="82"/>
      <c r="C269" s="11"/>
      <c r="D269" s="11"/>
      <c r="E269" s="11"/>
      <c r="T269" s="11">
        <f t="shared" si="72"/>
        <v>8</v>
      </c>
    </row>
    <row r="270">
      <c r="A270" s="11">
        <f t="shared" si="71"/>
        <v>9</v>
      </c>
      <c r="B270" s="82"/>
      <c r="C270" s="11"/>
      <c r="D270" s="11"/>
      <c r="E270" s="11"/>
      <c r="T270" s="11">
        <f t="shared" si="72"/>
        <v>9</v>
      </c>
    </row>
    <row r="271">
      <c r="A271" s="11">
        <f t="shared" si="71"/>
        <v>10</v>
      </c>
      <c r="B271" s="82"/>
      <c r="C271" s="11"/>
      <c r="D271" s="11"/>
      <c r="E271" s="11"/>
      <c r="T271" s="11">
        <f t="shared" si="72"/>
        <v>10</v>
      </c>
    </row>
    <row r="272">
      <c r="A272" s="11">
        <f t="shared" si="71"/>
        <v>11</v>
      </c>
      <c r="B272" s="82"/>
      <c r="C272" s="11"/>
      <c r="D272" s="11"/>
      <c r="E272" s="11"/>
      <c r="T272" s="11">
        <f t="shared" si="72"/>
        <v>11</v>
      </c>
    </row>
    <row r="273">
      <c r="A273" s="11">
        <f t="shared" si="71"/>
        <v>12</v>
      </c>
      <c r="B273" s="82"/>
      <c r="C273" s="11"/>
      <c r="D273" s="11"/>
      <c r="E273" s="11"/>
      <c r="T273" s="11">
        <f t="shared" si="72"/>
        <v>12</v>
      </c>
    </row>
    <row r="274">
      <c r="A274" s="11">
        <f t="shared" si="71"/>
        <v>13</v>
      </c>
      <c r="B274" s="82"/>
      <c r="C274" s="11"/>
      <c r="D274" s="11"/>
      <c r="E274" s="11"/>
      <c r="T274" s="11">
        <f t="shared" si="72"/>
        <v>13</v>
      </c>
    </row>
    <row r="275">
      <c r="A275" s="11">
        <f t="shared" si="71"/>
        <v>14</v>
      </c>
      <c r="B275" s="82"/>
      <c r="C275" s="11"/>
      <c r="D275" s="11"/>
      <c r="E275" s="11"/>
    </row>
    <row r="276">
      <c r="A276" s="11">
        <f t="shared" si="71"/>
        <v>15</v>
      </c>
      <c r="B276" s="82"/>
      <c r="C276" s="11"/>
      <c r="D276" s="11"/>
      <c r="E276" s="11"/>
    </row>
    <row r="277">
      <c r="A277" s="11">
        <f t="shared" si="71"/>
        <v>16</v>
      </c>
      <c r="B277" s="82"/>
      <c r="C277" s="11"/>
      <c r="D277" s="11"/>
      <c r="E277" s="11"/>
    </row>
    <row r="278">
      <c r="A278" s="11">
        <f t="shared" si="71"/>
        <v>17</v>
      </c>
      <c r="B278" s="82"/>
      <c r="C278" s="11"/>
      <c r="D278" s="11"/>
      <c r="E278" s="11"/>
    </row>
    <row r="279">
      <c r="A279" s="11">
        <f t="shared" si="71"/>
        <v>18</v>
      </c>
      <c r="B279" s="82"/>
      <c r="C279" s="11"/>
      <c r="D279" s="11"/>
      <c r="E279" s="11"/>
    </row>
    <row r="280">
      <c r="A280" s="11">
        <f t="shared" si="71"/>
        <v>19</v>
      </c>
      <c r="B280" s="82"/>
      <c r="C280" s="11"/>
      <c r="D280" s="11"/>
      <c r="E280" s="11"/>
    </row>
    <row r="281">
      <c r="A281" s="11">
        <f t="shared" si="71"/>
        <v>20</v>
      </c>
      <c r="B281" s="82"/>
      <c r="C281" s="11"/>
      <c r="D281" s="11"/>
      <c r="E281" s="11"/>
    </row>
    <row r="282">
      <c r="A282" s="11">
        <f t="shared" si="71"/>
        <v>21</v>
      </c>
      <c r="B282" s="82"/>
      <c r="C282" s="11"/>
      <c r="D282" s="11"/>
      <c r="E282" s="11"/>
    </row>
    <row r="283">
      <c r="A283" s="11">
        <f t="shared" si="71"/>
        <v>22</v>
      </c>
      <c r="B283" s="82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  <row r="1030">
      <c r="A1030" s="11"/>
      <c r="C1030" s="11"/>
      <c r="D1030" s="11"/>
      <c r="E1030" s="11"/>
    </row>
    <row r="1031">
      <c r="A1031" s="11"/>
      <c r="C1031" s="11"/>
      <c r="D1031" s="11"/>
      <c r="E1031" s="11"/>
    </row>
    <row r="1032">
      <c r="A1032" s="11"/>
      <c r="C1032" s="11"/>
      <c r="D1032" s="11"/>
      <c r="E1032" s="11"/>
    </row>
    <row r="1033">
      <c r="A1033" s="11"/>
      <c r="C1033" s="11"/>
      <c r="D1033" s="11"/>
      <c r="E1033" s="11"/>
    </row>
    <row r="1034">
      <c r="A1034" s="11"/>
      <c r="C1034" s="11"/>
      <c r="D1034" s="11"/>
      <c r="E1034" s="11"/>
    </row>
    <row r="1035">
      <c r="A1035" s="11"/>
      <c r="C1035" s="11"/>
      <c r="D1035" s="11"/>
      <c r="E1035" s="11"/>
    </row>
    <row r="1036">
      <c r="A1036" s="11"/>
      <c r="C1036" s="11"/>
      <c r="D1036" s="11"/>
      <c r="E1036" s="11"/>
    </row>
    <row r="1037">
      <c r="A1037" s="11"/>
      <c r="C1037" s="11"/>
      <c r="D1037" s="11"/>
      <c r="E1037" s="11"/>
    </row>
    <row r="1038">
      <c r="A1038" s="11"/>
      <c r="C1038" s="11"/>
      <c r="D1038" s="11"/>
      <c r="E1038" s="11"/>
    </row>
    <row r="1039">
      <c r="A1039" s="11"/>
      <c r="C1039" s="11"/>
      <c r="D1039" s="11"/>
      <c r="E1039" s="11"/>
    </row>
    <row r="1040">
      <c r="A1040" s="11"/>
      <c r="C1040" s="11"/>
      <c r="D1040" s="11"/>
      <c r="E1040" s="11"/>
    </row>
    <row r="1041">
      <c r="A1041" s="11"/>
      <c r="C1041" s="11"/>
      <c r="D1041" s="11"/>
      <c r="E1041" s="11"/>
    </row>
    <row r="1042">
      <c r="A1042" s="11"/>
      <c r="C1042" s="11"/>
      <c r="D1042" s="11"/>
      <c r="E1042" s="11"/>
    </row>
    <row r="1043">
      <c r="A1043" s="11"/>
      <c r="C1043" s="11"/>
      <c r="D1043" s="11"/>
      <c r="E1043" s="11"/>
    </row>
    <row r="1044">
      <c r="A1044" s="11"/>
      <c r="C1044" s="11"/>
      <c r="D1044" s="11"/>
      <c r="E1044" s="11"/>
    </row>
    <row r="1045">
      <c r="A1045" s="11"/>
      <c r="C1045" s="11"/>
      <c r="D1045" s="11"/>
      <c r="E1045" s="11"/>
    </row>
    <row r="1046">
      <c r="A1046" s="11"/>
      <c r="C1046" s="11"/>
      <c r="D1046" s="11"/>
      <c r="E1046" s="11"/>
    </row>
    <row r="1047">
      <c r="A1047" s="11"/>
      <c r="C1047" s="11"/>
      <c r="D1047" s="11"/>
      <c r="E1047" s="11"/>
    </row>
    <row r="1048">
      <c r="A1048" s="11"/>
      <c r="C1048" s="11"/>
      <c r="D1048" s="11"/>
      <c r="E1048" s="11"/>
    </row>
    <row r="1049">
      <c r="A1049" s="11"/>
      <c r="C1049" s="11"/>
      <c r="D1049" s="11"/>
      <c r="E1049" s="11"/>
    </row>
    <row r="1050">
      <c r="A1050" s="11"/>
      <c r="C1050" s="11"/>
      <c r="D1050" s="11"/>
      <c r="E1050" s="11"/>
    </row>
    <row r="1051">
      <c r="A1051" s="11"/>
      <c r="C1051" s="11"/>
      <c r="D1051" s="11"/>
      <c r="E1051" s="11"/>
    </row>
    <row r="1052">
      <c r="A1052" s="11"/>
      <c r="C1052" s="11"/>
      <c r="D1052" s="11"/>
      <c r="E1052" s="11"/>
    </row>
    <row r="1053">
      <c r="A1053" s="11"/>
      <c r="C1053" s="11"/>
      <c r="D1053" s="11"/>
      <c r="E1053" s="11"/>
    </row>
    <row r="1054">
      <c r="A1054" s="11"/>
      <c r="C1054" s="11"/>
      <c r="D1054" s="11"/>
      <c r="E1054" s="11"/>
    </row>
    <row r="1055">
      <c r="A1055" s="11"/>
      <c r="C1055" s="11"/>
      <c r="D1055" s="11"/>
      <c r="E1055" s="11"/>
    </row>
    <row r="1056">
      <c r="A1056" s="11"/>
      <c r="C1056" s="11"/>
      <c r="D1056" s="11"/>
      <c r="E1056" s="11"/>
    </row>
    <row r="1057">
      <c r="A1057" s="11"/>
      <c r="C1057" s="11"/>
      <c r="D1057" s="11"/>
      <c r="E1057" s="11"/>
    </row>
    <row r="1058">
      <c r="A1058" s="11"/>
      <c r="C1058" s="11"/>
      <c r="D1058" s="11"/>
      <c r="E1058" s="11"/>
    </row>
    <row r="1059">
      <c r="A1059" s="11"/>
      <c r="C1059" s="11"/>
      <c r="D1059" s="11"/>
      <c r="E1059" s="11"/>
    </row>
    <row r="1060">
      <c r="A1060" s="11"/>
      <c r="C1060" s="11"/>
      <c r="D1060" s="11"/>
      <c r="E1060" s="11"/>
    </row>
    <row r="1061">
      <c r="A1061" s="11"/>
      <c r="C1061" s="11"/>
      <c r="D1061" s="11"/>
      <c r="E1061" s="11"/>
    </row>
    <row r="1062">
      <c r="A1062" s="11"/>
      <c r="C1062" s="11"/>
      <c r="D1062" s="11"/>
      <c r="E1062" s="11"/>
    </row>
    <row r="1063">
      <c r="A1063" s="11"/>
      <c r="C1063" s="11"/>
      <c r="D1063" s="11"/>
      <c r="E1063" s="11"/>
    </row>
    <row r="1064">
      <c r="A1064" s="11"/>
      <c r="C1064" s="11"/>
      <c r="D1064" s="11"/>
      <c r="E1064" s="11"/>
    </row>
    <row r="1065">
      <c r="A1065" s="11"/>
      <c r="C1065" s="11"/>
      <c r="D1065" s="11"/>
      <c r="E1065" s="11"/>
    </row>
    <row r="1066">
      <c r="A1066" s="11"/>
      <c r="C1066" s="11"/>
      <c r="D1066" s="11"/>
      <c r="E1066" s="11"/>
    </row>
    <row r="1067">
      <c r="A1067" s="11"/>
      <c r="C1067" s="11"/>
      <c r="D1067" s="11"/>
      <c r="E1067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 B92:C102 B105:C115">
    <cfRule type="expression" dxfId="1" priority="3">
      <formula>E5=1</formula>
    </cfRule>
  </conditionalFormatting>
  <conditionalFormatting sqref="B5:B70 B79:D89 B92:C102 B105:C115">
    <cfRule type="expression" dxfId="3" priority="4">
      <formula>E5=2</formula>
    </cfRule>
  </conditionalFormatting>
  <conditionalFormatting sqref="B5:B70 B79:D89 B92:C102 B105:C115">
    <cfRule type="expression" dxfId="4" priority="5">
      <formula>E5=3</formula>
    </cfRule>
  </conditionalFormatting>
  <conditionalFormatting sqref="B5:B70 B79:D89 B92:C102 B105:C115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14.88"/>
  </cols>
  <sheetData>
    <row r="1">
      <c r="A1" s="11"/>
      <c r="B1" s="12" t="s">
        <v>23</v>
      </c>
      <c r="C1" s="81">
        <v>45556.0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12.0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  <c r="U4" s="29" t="s">
        <v>42</v>
      </c>
      <c r="V4" s="26" t="s">
        <v>30</v>
      </c>
    </row>
    <row r="5">
      <c r="A5" s="30">
        <v>1.0</v>
      </c>
      <c r="B5" s="31" t="s">
        <v>43</v>
      </c>
      <c r="C5" s="32">
        <v>175.0</v>
      </c>
      <c r="D5" s="32">
        <v>20.0</v>
      </c>
      <c r="E5" s="37">
        <v>3.0</v>
      </c>
      <c r="F5" s="39">
        <v>0.0</v>
      </c>
      <c r="G5" s="40">
        <v>9.0</v>
      </c>
      <c r="H5" s="39">
        <v>0.0</v>
      </c>
      <c r="I5" s="39">
        <v>0.0</v>
      </c>
      <c r="J5" s="39">
        <v>0.0</v>
      </c>
      <c r="K5" s="42">
        <v>9.0</v>
      </c>
      <c r="L5" s="39">
        <v>0.0</v>
      </c>
      <c r="M5" s="32">
        <f t="shared" ref="M5:N5" si="1">C5+K5</f>
        <v>184</v>
      </c>
      <c r="N5" s="32">
        <f t="shared" si="1"/>
        <v>20</v>
      </c>
      <c r="O5" s="43" t="s">
        <v>53</v>
      </c>
      <c r="P5" s="43" t="s">
        <v>53</v>
      </c>
      <c r="Q5" s="43" t="s">
        <v>53</v>
      </c>
      <c r="R5" s="39">
        <f>if(G5=13,1,0)+VLOOKUP(B5,'091424'!B:T,17,false)</f>
        <v>2</v>
      </c>
      <c r="S5" s="39"/>
      <c r="T5" s="39">
        <f>if(G5=9,1,0)+VLOOKUP(B5,'091424'!B:T,19,false)</f>
        <v>2</v>
      </c>
      <c r="U5" s="39">
        <f>VLOOKUP(B5,'091424'!B$5:V$70,21,false)-A5</f>
        <v>0</v>
      </c>
      <c r="V5" s="30">
        <v>1.0</v>
      </c>
    </row>
    <row r="6">
      <c r="A6" s="30">
        <f t="shared" ref="A6:A70" si="3">A5+1</f>
        <v>2</v>
      </c>
      <c r="B6" s="31" t="s">
        <v>61</v>
      </c>
      <c r="C6" s="32">
        <v>153.0</v>
      </c>
      <c r="D6" s="32">
        <v>18.0</v>
      </c>
      <c r="E6" s="37">
        <v>1.0</v>
      </c>
      <c r="F6" s="39">
        <v>1.0</v>
      </c>
      <c r="G6" s="40">
        <v>0.0</v>
      </c>
      <c r="H6" s="39">
        <v>0.0</v>
      </c>
      <c r="I6" s="39">
        <v>6.0</v>
      </c>
      <c r="J6" s="39">
        <v>6.0</v>
      </c>
      <c r="K6" s="42">
        <v>12.0</v>
      </c>
      <c r="L6" s="39">
        <v>2.0</v>
      </c>
      <c r="M6" s="32">
        <f t="shared" ref="M6:N6" si="2">C6+K6</f>
        <v>165</v>
      </c>
      <c r="N6" s="32">
        <f t="shared" si="2"/>
        <v>20</v>
      </c>
      <c r="O6" s="43" t="s">
        <v>53</v>
      </c>
      <c r="P6" s="43" t="s">
        <v>53</v>
      </c>
      <c r="Q6" s="43" t="s">
        <v>53</v>
      </c>
      <c r="R6" s="39">
        <f>if(G6=13,1,0)+VLOOKUP(B6,'091424'!B:T,17,false)</f>
        <v>0</v>
      </c>
      <c r="S6" s="39"/>
      <c r="T6" s="39">
        <f>if(G6=9,1,0)+VLOOKUP(B6,'091424'!B:T,19,false)</f>
        <v>2</v>
      </c>
      <c r="U6" s="39">
        <f>VLOOKUP(B6,'091424'!B$5:V$70,21,false)-A6</f>
        <v>0</v>
      </c>
      <c r="V6" s="30">
        <f t="shared" ref="V6:V70" si="5">V5+1</f>
        <v>2</v>
      </c>
    </row>
    <row r="7">
      <c r="A7" s="30">
        <f t="shared" si="3"/>
        <v>3</v>
      </c>
      <c r="B7" s="51" t="s">
        <v>54</v>
      </c>
      <c r="C7" s="32">
        <v>149.0</v>
      </c>
      <c r="D7" s="32">
        <v>17.0</v>
      </c>
      <c r="E7" s="37">
        <v>3.0</v>
      </c>
      <c r="F7" s="39">
        <v>0.0</v>
      </c>
      <c r="G7" s="40">
        <v>9.0</v>
      </c>
      <c r="H7" s="39">
        <v>0.0</v>
      </c>
      <c r="I7" s="39">
        <v>0.0</v>
      </c>
      <c r="J7" s="39">
        <v>0.0</v>
      </c>
      <c r="K7" s="42">
        <v>9.0</v>
      </c>
      <c r="L7" s="39">
        <v>0.0</v>
      </c>
      <c r="M7" s="32">
        <f t="shared" ref="M7:N7" si="4">C7+K7</f>
        <v>158</v>
      </c>
      <c r="N7" s="32">
        <f t="shared" si="4"/>
        <v>17</v>
      </c>
      <c r="O7" s="43" t="s">
        <v>53</v>
      </c>
      <c r="P7" s="43" t="s">
        <v>53</v>
      </c>
      <c r="Q7" s="43" t="s">
        <v>53</v>
      </c>
      <c r="R7" s="39">
        <f>if(G7=13,1,0)+VLOOKUP(B7,'091424'!B:T,17,false)</f>
        <v>0</v>
      </c>
      <c r="S7" s="39"/>
      <c r="T7" s="39">
        <f>if(G7=9,1,0)+VLOOKUP(B7,'091424'!B:T,19,false)</f>
        <v>2</v>
      </c>
      <c r="U7" s="39">
        <f>VLOOKUP(B7,'091424'!B$5:V$70,21,false)-A7</f>
        <v>1</v>
      </c>
      <c r="V7" s="30">
        <f t="shared" si="5"/>
        <v>3</v>
      </c>
    </row>
    <row r="8">
      <c r="A8" s="30">
        <f t="shared" si="3"/>
        <v>4</v>
      </c>
      <c r="B8" s="51" t="s">
        <v>92</v>
      </c>
      <c r="C8" s="32">
        <v>148.0</v>
      </c>
      <c r="D8" s="32">
        <v>15.0</v>
      </c>
      <c r="E8" s="37">
        <v>1.0</v>
      </c>
      <c r="F8" s="39">
        <v>1.0</v>
      </c>
      <c r="G8" s="40">
        <v>0.0</v>
      </c>
      <c r="H8" s="39">
        <v>6.0</v>
      </c>
      <c r="I8" s="39">
        <v>6.0</v>
      </c>
      <c r="J8" s="39">
        <v>4.0</v>
      </c>
      <c r="K8" s="42">
        <v>16.0</v>
      </c>
      <c r="L8" s="39">
        <v>2.0</v>
      </c>
      <c r="M8" s="32">
        <f t="shared" ref="M8:N8" si="6">C8+K8</f>
        <v>164</v>
      </c>
      <c r="N8" s="32">
        <f t="shared" si="6"/>
        <v>17</v>
      </c>
      <c r="O8" s="43" t="s">
        <v>53</v>
      </c>
      <c r="P8" s="43" t="s">
        <v>53</v>
      </c>
      <c r="Q8" s="43" t="s">
        <v>53</v>
      </c>
      <c r="R8" s="39">
        <f>if(G8=13,1,0)+VLOOKUP(B8,'091424'!B:T,17,false)</f>
        <v>1</v>
      </c>
      <c r="S8" s="39"/>
      <c r="T8" s="39">
        <f>if(G8=9,1,0)+VLOOKUP(B8,'091424'!B:T,19,false)</f>
        <v>4</v>
      </c>
      <c r="U8" s="39">
        <f>VLOOKUP(B8,'091424'!B$5:V$70,21,false)-A8</f>
        <v>-1</v>
      </c>
      <c r="V8" s="30">
        <f t="shared" si="5"/>
        <v>4</v>
      </c>
    </row>
    <row r="9">
      <c r="A9" s="30">
        <f t="shared" si="3"/>
        <v>5</v>
      </c>
      <c r="B9" s="51" t="s">
        <v>100</v>
      </c>
      <c r="C9" s="32">
        <v>148.0</v>
      </c>
      <c r="D9" s="32">
        <v>13.0</v>
      </c>
      <c r="E9" s="37">
        <v>3.0</v>
      </c>
      <c r="F9" s="39">
        <v>0.0</v>
      </c>
      <c r="G9" s="40">
        <v>9.0</v>
      </c>
      <c r="H9" s="39">
        <v>0.0</v>
      </c>
      <c r="I9" s="39">
        <v>0.0</v>
      </c>
      <c r="J9" s="39">
        <v>0.0</v>
      </c>
      <c r="K9" s="42">
        <v>9.0</v>
      </c>
      <c r="L9" s="39">
        <v>0.0</v>
      </c>
      <c r="M9" s="32">
        <f t="shared" ref="M9:N9" si="7">C9+K9</f>
        <v>157</v>
      </c>
      <c r="N9" s="32">
        <f t="shared" si="7"/>
        <v>13</v>
      </c>
      <c r="O9" s="43" t="s">
        <v>53</v>
      </c>
      <c r="P9" s="43" t="s">
        <v>53</v>
      </c>
      <c r="Q9" s="43" t="s">
        <v>53</v>
      </c>
      <c r="R9" s="39">
        <f>if(G9=13,1,0)+VLOOKUP(B9,'091424'!B:T,17,false)</f>
        <v>1</v>
      </c>
      <c r="S9" s="39"/>
      <c r="T9" s="39">
        <f>if(G9=9,1,0)+VLOOKUP(B9,'091424'!B:T,19,false)</f>
        <v>3</v>
      </c>
      <c r="U9" s="39">
        <f>VLOOKUP(B9,'091424'!B$5:V$70,21,false)-A9</f>
        <v>1</v>
      </c>
      <c r="V9" s="30">
        <f t="shared" si="5"/>
        <v>5</v>
      </c>
    </row>
    <row r="10">
      <c r="A10" s="30">
        <f t="shared" si="3"/>
        <v>6</v>
      </c>
      <c r="B10" s="31" t="s">
        <v>57</v>
      </c>
      <c r="C10" s="32">
        <v>146.0</v>
      </c>
      <c r="D10" s="32">
        <v>14.0</v>
      </c>
      <c r="E10" s="37">
        <v>1.0</v>
      </c>
      <c r="F10" s="39">
        <v>1.0</v>
      </c>
      <c r="G10" s="40">
        <v>0.0</v>
      </c>
      <c r="H10" s="39">
        <v>0.0</v>
      </c>
      <c r="I10" s="39">
        <v>0.0</v>
      </c>
      <c r="J10" s="39">
        <v>4.0</v>
      </c>
      <c r="K10" s="42">
        <v>4.0</v>
      </c>
      <c r="L10" s="39">
        <v>0.0</v>
      </c>
      <c r="M10" s="32">
        <f t="shared" ref="M10:N10" si="8">C10+K10</f>
        <v>150</v>
      </c>
      <c r="N10" s="32">
        <f t="shared" si="8"/>
        <v>14</v>
      </c>
      <c r="O10" s="43" t="s">
        <v>53</v>
      </c>
      <c r="P10" s="43" t="s">
        <v>53</v>
      </c>
      <c r="Q10" s="43" t="s">
        <v>53</v>
      </c>
      <c r="R10" s="39">
        <f>if(G10=13,1,0)+VLOOKUP(B10,'091424'!B:T,17,false)</f>
        <v>1</v>
      </c>
      <c r="S10" s="39"/>
      <c r="T10" s="39">
        <f>if(G10=9,1,0)+VLOOKUP(B10,'091424'!B:T,19,false)</f>
        <v>2</v>
      </c>
      <c r="U10" s="39">
        <f>VLOOKUP(B10,'091424'!B$5:V$70,21,false)-A10</f>
        <v>2</v>
      </c>
      <c r="V10" s="30">
        <f t="shared" si="5"/>
        <v>6</v>
      </c>
    </row>
    <row r="11">
      <c r="A11" s="30">
        <f t="shared" si="3"/>
        <v>7</v>
      </c>
      <c r="B11" s="31" t="s">
        <v>34</v>
      </c>
      <c r="C11" s="32">
        <v>145.0</v>
      </c>
      <c r="D11" s="32">
        <v>16.0</v>
      </c>
      <c r="E11" s="37">
        <v>1.0</v>
      </c>
      <c r="F11" s="39">
        <v>1.0</v>
      </c>
      <c r="G11" s="40">
        <v>0.0</v>
      </c>
      <c r="H11" s="39">
        <v>6.0</v>
      </c>
      <c r="I11" s="39">
        <v>0.0</v>
      </c>
      <c r="J11" s="39">
        <v>6.0</v>
      </c>
      <c r="K11" s="42">
        <v>12.0</v>
      </c>
      <c r="L11" s="39">
        <v>2.0</v>
      </c>
      <c r="M11" s="32">
        <f t="shared" ref="M11:N11" si="9">C11+K11</f>
        <v>157</v>
      </c>
      <c r="N11" s="32">
        <f t="shared" si="9"/>
        <v>18</v>
      </c>
      <c r="O11" s="43" t="s">
        <v>53</v>
      </c>
      <c r="P11" s="43" t="s">
        <v>53</v>
      </c>
      <c r="Q11" s="43" t="s">
        <v>53</v>
      </c>
      <c r="R11" s="39">
        <f>if(G11=13,1,0)+VLOOKUP(B11,'091424'!B:T,17,false)</f>
        <v>0</v>
      </c>
      <c r="S11" s="39"/>
      <c r="T11" s="39">
        <f>if(G11=9,1,0)+VLOOKUP(B11,'091424'!B:T,19,false)</f>
        <v>2</v>
      </c>
      <c r="U11" s="39">
        <f>VLOOKUP(B11,'091424'!B$5:V$70,21,false)-A11</f>
        <v>8</v>
      </c>
      <c r="V11" s="30">
        <f t="shared" si="5"/>
        <v>7</v>
      </c>
    </row>
    <row r="12">
      <c r="A12" s="30">
        <f t="shared" si="3"/>
        <v>8</v>
      </c>
      <c r="B12" s="31" t="s">
        <v>71</v>
      </c>
      <c r="C12" s="32">
        <v>144.0</v>
      </c>
      <c r="D12" s="32">
        <v>14.0</v>
      </c>
      <c r="E12" s="37">
        <v>2.0</v>
      </c>
      <c r="F12" s="39">
        <v>2.0</v>
      </c>
      <c r="G12" s="40">
        <v>0.0</v>
      </c>
      <c r="H12" s="39">
        <v>3.0</v>
      </c>
      <c r="I12" s="39">
        <v>6.0</v>
      </c>
      <c r="J12" s="39">
        <v>3.0</v>
      </c>
      <c r="K12" s="42">
        <v>12.0</v>
      </c>
      <c r="L12" s="39">
        <v>1.0</v>
      </c>
      <c r="M12" s="32">
        <f t="shared" ref="M12:N12" si="10">C12+K12</f>
        <v>156</v>
      </c>
      <c r="N12" s="32">
        <f t="shared" si="10"/>
        <v>15</v>
      </c>
      <c r="O12" s="43" t="s">
        <v>53</v>
      </c>
      <c r="P12" s="43" t="s">
        <v>53</v>
      </c>
      <c r="Q12" s="43" t="s">
        <v>53</v>
      </c>
      <c r="R12" s="39">
        <f>if(G12=13,1,0)+VLOOKUP(B12,'091424'!B:T,17,false)</f>
        <v>1</v>
      </c>
      <c r="S12" s="39"/>
      <c r="T12" s="39">
        <f>if(G12=9,1,0)+VLOOKUP(B12,'091424'!B:T,19,false)</f>
        <v>0</v>
      </c>
      <c r="U12" s="39">
        <f>VLOOKUP(B12,'091424'!B$5:V$70,21,false)-A12</f>
        <v>6</v>
      </c>
      <c r="V12" s="30">
        <f t="shared" si="5"/>
        <v>8</v>
      </c>
    </row>
    <row r="13">
      <c r="A13" s="30">
        <f t="shared" si="3"/>
        <v>9</v>
      </c>
      <c r="B13" s="31" t="s">
        <v>90</v>
      </c>
      <c r="C13" s="32">
        <v>144.0</v>
      </c>
      <c r="D13" s="32">
        <v>13.0</v>
      </c>
      <c r="E13" s="37">
        <v>1.0</v>
      </c>
      <c r="F13" s="39">
        <v>2.0</v>
      </c>
      <c r="G13" s="40">
        <v>0.0</v>
      </c>
      <c r="H13" s="39">
        <v>6.0</v>
      </c>
      <c r="I13" s="39">
        <v>6.0</v>
      </c>
      <c r="J13" s="39">
        <v>6.0</v>
      </c>
      <c r="K13" s="42">
        <v>18.0</v>
      </c>
      <c r="L13" s="39">
        <v>3.0</v>
      </c>
      <c r="M13" s="32">
        <f t="shared" ref="M13:N13" si="11">C13+K13</f>
        <v>162</v>
      </c>
      <c r="N13" s="32">
        <f t="shared" si="11"/>
        <v>16</v>
      </c>
      <c r="O13" s="43" t="s">
        <v>53</v>
      </c>
      <c r="P13" s="43" t="s">
        <v>53</v>
      </c>
      <c r="Q13" s="43" t="s">
        <v>53</v>
      </c>
      <c r="R13" s="39">
        <f>if(G13=13,1,0)+VLOOKUP(B13,'091424'!B:T,17,false)</f>
        <v>2</v>
      </c>
      <c r="S13" s="39"/>
      <c r="T13" s="39">
        <f>if(G13=9,1,0)+VLOOKUP(B13,'091424'!B:T,19,false)</f>
        <v>1</v>
      </c>
      <c r="U13" s="39">
        <f>VLOOKUP(B13,'091424'!B$5:V$70,21,false)-A13</f>
        <v>-2</v>
      </c>
      <c r="V13" s="30">
        <f t="shared" si="5"/>
        <v>9</v>
      </c>
    </row>
    <row r="14">
      <c r="A14" s="30">
        <f t="shared" si="3"/>
        <v>10</v>
      </c>
      <c r="B14" s="31" t="s">
        <v>86</v>
      </c>
      <c r="C14" s="32">
        <v>144.0</v>
      </c>
      <c r="D14" s="32">
        <v>10.0</v>
      </c>
      <c r="E14" s="37">
        <v>1.0</v>
      </c>
      <c r="F14" s="39">
        <v>2.0</v>
      </c>
      <c r="G14" s="40">
        <v>0.0</v>
      </c>
      <c r="H14" s="39">
        <v>6.0</v>
      </c>
      <c r="I14" s="39">
        <v>4.0</v>
      </c>
      <c r="J14" s="39">
        <v>3.0</v>
      </c>
      <c r="K14" s="42">
        <v>13.0</v>
      </c>
      <c r="L14" s="39">
        <v>1.0</v>
      </c>
      <c r="M14" s="32">
        <f t="shared" ref="M14:N14" si="12">C14+K14</f>
        <v>157</v>
      </c>
      <c r="N14" s="32">
        <f t="shared" si="12"/>
        <v>11</v>
      </c>
      <c r="O14" s="43" t="s">
        <v>53</v>
      </c>
      <c r="P14" s="43" t="s">
        <v>53</v>
      </c>
      <c r="Q14" s="43" t="s">
        <v>53</v>
      </c>
      <c r="R14" s="39">
        <f>if(G14=13,1,0)+VLOOKUP(B14,'091424'!B:T,17,false)</f>
        <v>4</v>
      </c>
      <c r="S14" s="39"/>
      <c r="T14" s="39">
        <f>if(G14=9,1,0)+VLOOKUP(B14,'091424'!B:T,19,false)</f>
        <v>0</v>
      </c>
      <c r="U14" s="39">
        <f>VLOOKUP(B14,'091424'!B$5:V$70,21,false)-A14</f>
        <v>-1</v>
      </c>
      <c r="V14" s="30">
        <f t="shared" si="5"/>
        <v>10</v>
      </c>
    </row>
    <row r="15">
      <c r="A15" s="30">
        <f t="shared" si="3"/>
        <v>11</v>
      </c>
      <c r="B15" s="31" t="s">
        <v>68</v>
      </c>
      <c r="C15" s="32">
        <v>142.0</v>
      </c>
      <c r="D15" s="32">
        <v>14.0</v>
      </c>
      <c r="E15" s="37">
        <v>3.0</v>
      </c>
      <c r="F15" s="39">
        <v>0.0</v>
      </c>
      <c r="G15" s="40">
        <v>9.0</v>
      </c>
      <c r="H15" s="39">
        <v>0.0</v>
      </c>
      <c r="I15" s="39">
        <v>0.0</v>
      </c>
      <c r="J15" s="39">
        <v>0.0</v>
      </c>
      <c r="K15" s="42">
        <v>9.0</v>
      </c>
      <c r="L15" s="39">
        <v>0.0</v>
      </c>
      <c r="M15" s="32">
        <f t="shared" ref="M15:N15" si="13">C15+K15</f>
        <v>151</v>
      </c>
      <c r="N15" s="32">
        <f t="shared" si="13"/>
        <v>14</v>
      </c>
      <c r="O15" s="43" t="s">
        <v>53</v>
      </c>
      <c r="P15" s="43" t="s">
        <v>53</v>
      </c>
      <c r="Q15" s="43" t="s">
        <v>53</v>
      </c>
      <c r="R15" s="39">
        <f>if(G15=13,1,0)+VLOOKUP(B15,'091424'!B:T,17,false)</f>
        <v>1</v>
      </c>
      <c r="S15" s="39"/>
      <c r="T15" s="39">
        <f>if(G15=9,1,0)+VLOOKUP(B15,'091424'!B:T,19,false)</f>
        <v>2</v>
      </c>
      <c r="U15" s="39">
        <f>VLOOKUP(B15,'091424'!B$5:V$70,21,false)-A15</f>
        <v>-1</v>
      </c>
      <c r="V15" s="30">
        <f t="shared" si="5"/>
        <v>11</v>
      </c>
    </row>
    <row r="16">
      <c r="A16" s="30">
        <f t="shared" si="3"/>
        <v>12</v>
      </c>
      <c r="B16" s="51" t="s">
        <v>78</v>
      </c>
      <c r="C16" s="32">
        <v>142.0</v>
      </c>
      <c r="D16" s="32">
        <v>13.0</v>
      </c>
      <c r="E16" s="37">
        <v>1.0</v>
      </c>
      <c r="F16" s="39">
        <v>2.0</v>
      </c>
      <c r="G16" s="40">
        <v>0.0</v>
      </c>
      <c r="H16" s="39">
        <v>3.0</v>
      </c>
      <c r="I16" s="39">
        <v>4.0</v>
      </c>
      <c r="J16" s="39">
        <v>6.0</v>
      </c>
      <c r="K16" s="42">
        <v>13.0</v>
      </c>
      <c r="L16" s="39">
        <v>1.0</v>
      </c>
      <c r="M16" s="32">
        <f t="shared" ref="M16:N16" si="14">C16+K16</f>
        <v>155</v>
      </c>
      <c r="N16" s="32">
        <f t="shared" si="14"/>
        <v>14</v>
      </c>
      <c r="O16" s="43" t="s">
        <v>53</v>
      </c>
      <c r="P16" s="43" t="s">
        <v>53</v>
      </c>
      <c r="Q16" s="43" t="s">
        <v>53</v>
      </c>
      <c r="R16" s="39">
        <f>if(G16=13,1,0)+VLOOKUP(B16,'091424'!B:T,17,false)</f>
        <v>0</v>
      </c>
      <c r="S16" s="39"/>
      <c r="T16" s="39">
        <f>if(G16=9,1,0)+VLOOKUP(B16,'091424'!B:T,19,false)</f>
        <v>1</v>
      </c>
      <c r="U16" s="39">
        <f>VLOOKUP(B16,'091424'!B$5:V$70,21,false)-A16</f>
        <v>4</v>
      </c>
      <c r="V16" s="30">
        <f t="shared" si="5"/>
        <v>12</v>
      </c>
    </row>
    <row r="17">
      <c r="A17" s="30">
        <f t="shared" si="3"/>
        <v>13</v>
      </c>
      <c r="B17" s="51" t="s">
        <v>85</v>
      </c>
      <c r="C17" s="32">
        <v>142.0</v>
      </c>
      <c r="D17" s="32">
        <v>13.0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5">C17+K17</f>
        <v>151</v>
      </c>
      <c r="N17" s="32">
        <f t="shared" si="15"/>
        <v>13</v>
      </c>
      <c r="O17" s="43" t="s">
        <v>53</v>
      </c>
      <c r="P17" s="43" t="s">
        <v>53</v>
      </c>
      <c r="Q17" s="43" t="s">
        <v>53</v>
      </c>
      <c r="R17" s="39">
        <f>if(G17=13,1,0)+VLOOKUP(B17,'091424'!B:T,17,false)</f>
        <v>0</v>
      </c>
      <c r="S17" s="39"/>
      <c r="T17" s="39">
        <f>if(G17=9,1,0)+VLOOKUP(B17,'091424'!B:T,19,false)</f>
        <v>7</v>
      </c>
      <c r="U17" s="39">
        <f>VLOOKUP(B17,'091424'!B$5:V$70,21,false)-A17</f>
        <v>6</v>
      </c>
      <c r="V17" s="30">
        <f t="shared" si="5"/>
        <v>13</v>
      </c>
    </row>
    <row r="18">
      <c r="A18" s="30">
        <f t="shared" si="3"/>
        <v>14</v>
      </c>
      <c r="B18" s="51" t="s">
        <v>94</v>
      </c>
      <c r="C18" s="32">
        <v>142.0</v>
      </c>
      <c r="D18" s="32">
        <v>9.0</v>
      </c>
      <c r="E18" s="37">
        <v>1.0</v>
      </c>
      <c r="F18" s="39">
        <v>3.0</v>
      </c>
      <c r="G18" s="40">
        <v>0.0</v>
      </c>
      <c r="H18" s="39">
        <v>4.0</v>
      </c>
      <c r="I18" s="39">
        <v>6.0</v>
      </c>
      <c r="J18" s="39">
        <v>1.0</v>
      </c>
      <c r="K18" s="42">
        <v>11.0</v>
      </c>
      <c r="L18" s="39">
        <v>1.0</v>
      </c>
      <c r="M18" s="32">
        <f t="shared" ref="M18:N18" si="16">C18+K18</f>
        <v>153</v>
      </c>
      <c r="N18" s="32">
        <f t="shared" si="16"/>
        <v>10</v>
      </c>
      <c r="O18" s="43" t="s">
        <v>53</v>
      </c>
      <c r="P18" s="43" t="s">
        <v>53</v>
      </c>
      <c r="Q18" s="43" t="s">
        <v>53</v>
      </c>
      <c r="R18" s="39">
        <f>if(G18=13,1,0)+VLOOKUP(B18,'091424'!B:T,17,false)</f>
        <v>2</v>
      </c>
      <c r="S18" s="39"/>
      <c r="T18" s="39">
        <f>if(G18=9,1,0)+VLOOKUP(B18,'091424'!B:T,19,false)</f>
        <v>2</v>
      </c>
      <c r="U18" s="39">
        <f>VLOOKUP(B18,'091424'!B$5:V$70,21,false)-A18</f>
        <v>-1</v>
      </c>
      <c r="V18" s="30">
        <f t="shared" si="5"/>
        <v>14</v>
      </c>
    </row>
    <row r="19">
      <c r="A19" s="30">
        <f t="shared" si="3"/>
        <v>15</v>
      </c>
      <c r="B19" s="31" t="s">
        <v>91</v>
      </c>
      <c r="C19" s="32">
        <v>141.0</v>
      </c>
      <c r="D19" s="32">
        <v>10.0</v>
      </c>
      <c r="E19" s="37">
        <v>1.0</v>
      </c>
      <c r="F19" s="39">
        <v>3.0</v>
      </c>
      <c r="G19" s="40">
        <v>0.0</v>
      </c>
      <c r="H19" s="39">
        <v>6.0</v>
      </c>
      <c r="I19" s="39">
        <v>6.0</v>
      </c>
      <c r="J19" s="39">
        <v>6.0</v>
      </c>
      <c r="K19" s="42">
        <v>18.0</v>
      </c>
      <c r="L19" s="39">
        <v>3.0</v>
      </c>
      <c r="M19" s="32">
        <f t="shared" ref="M19:N19" si="17">C19+K19</f>
        <v>159</v>
      </c>
      <c r="N19" s="32">
        <f t="shared" si="17"/>
        <v>13</v>
      </c>
      <c r="O19" s="43" t="s">
        <v>53</v>
      </c>
      <c r="P19" s="43" t="s">
        <v>53</v>
      </c>
      <c r="Q19" s="43" t="s">
        <v>53</v>
      </c>
      <c r="R19" s="39">
        <f>if(G19=13,1,0)+VLOOKUP(B19,'091424'!B:T,17,false)</f>
        <v>1</v>
      </c>
      <c r="S19" s="39"/>
      <c r="T19" s="39">
        <f>if(G19=9,1,0)+VLOOKUP(B19,'091424'!B:T,19,false)</f>
        <v>2</v>
      </c>
      <c r="U19" s="39">
        <f>VLOOKUP(B19,'091424'!B$5:V$70,21,false)-A19</f>
        <v>-3</v>
      </c>
      <c r="V19" s="30">
        <f t="shared" si="5"/>
        <v>15</v>
      </c>
    </row>
    <row r="20">
      <c r="A20" s="30">
        <f t="shared" si="3"/>
        <v>16</v>
      </c>
      <c r="B20" s="51" t="s">
        <v>87</v>
      </c>
      <c r="C20" s="32">
        <v>140.0</v>
      </c>
      <c r="D20" s="32">
        <v>13.0</v>
      </c>
      <c r="E20" s="37">
        <v>3.0</v>
      </c>
      <c r="F20" s="39">
        <v>0.0</v>
      </c>
      <c r="G20" s="40">
        <v>9.0</v>
      </c>
      <c r="H20" s="39">
        <v>0.0</v>
      </c>
      <c r="I20" s="39">
        <v>0.0</v>
      </c>
      <c r="J20" s="39">
        <v>0.0</v>
      </c>
      <c r="K20" s="42">
        <v>9.0</v>
      </c>
      <c r="L20" s="39">
        <v>0.0</v>
      </c>
      <c r="M20" s="32">
        <f t="shared" ref="M20:N20" si="18">C20+K20</f>
        <v>149</v>
      </c>
      <c r="N20" s="32">
        <f t="shared" si="18"/>
        <v>13</v>
      </c>
      <c r="O20" s="43" t="s">
        <v>53</v>
      </c>
      <c r="P20" s="43" t="s">
        <v>53</v>
      </c>
      <c r="Q20" s="43" t="s">
        <v>53</v>
      </c>
      <c r="R20" s="39">
        <f>if(G20=13,1,0)+VLOOKUP(B20,'091424'!B:T,17,false)</f>
        <v>2</v>
      </c>
      <c r="S20" s="39"/>
      <c r="T20" s="39">
        <f>if(G20=9,1,0)+VLOOKUP(B20,'091424'!B:T,19,false)</f>
        <v>1</v>
      </c>
      <c r="U20" s="39">
        <f>VLOOKUP(B20,'091424'!B$5:V$70,21,false)-A20</f>
        <v>-11</v>
      </c>
      <c r="V20" s="30">
        <f t="shared" si="5"/>
        <v>16</v>
      </c>
    </row>
    <row r="21">
      <c r="A21" s="30">
        <f t="shared" si="3"/>
        <v>17</v>
      </c>
      <c r="B21" s="31" t="s">
        <v>83</v>
      </c>
      <c r="C21" s="32">
        <v>139.0</v>
      </c>
      <c r="D21" s="32">
        <v>12.0</v>
      </c>
      <c r="E21" s="37">
        <v>1.0</v>
      </c>
      <c r="F21" s="39">
        <v>3.0</v>
      </c>
      <c r="G21" s="40">
        <v>0.0</v>
      </c>
      <c r="H21" s="39">
        <v>4.0</v>
      </c>
      <c r="I21" s="39">
        <v>4.0</v>
      </c>
      <c r="J21" s="39">
        <v>6.0</v>
      </c>
      <c r="K21" s="42">
        <v>14.0</v>
      </c>
      <c r="L21" s="39">
        <v>1.0</v>
      </c>
      <c r="M21" s="32">
        <f t="shared" ref="M21:N21" si="19">C21+K21</f>
        <v>153</v>
      </c>
      <c r="N21" s="32">
        <f t="shared" si="19"/>
        <v>13</v>
      </c>
      <c r="O21" s="43" t="s">
        <v>53</v>
      </c>
      <c r="P21" s="43" t="s">
        <v>53</v>
      </c>
      <c r="Q21" s="43" t="s">
        <v>53</v>
      </c>
      <c r="R21" s="39">
        <f>if(G21=13,1,0)+VLOOKUP(B21,'091424'!B:T,17,false)</f>
        <v>0</v>
      </c>
      <c r="S21" s="39"/>
      <c r="T21" s="39">
        <f>if(G21=9,1,0)+VLOOKUP(B21,'091424'!B:T,19,false)</f>
        <v>6</v>
      </c>
      <c r="U21" s="39">
        <f>VLOOKUP(B21,'091424'!B$5:V$70,21,false)-A21</f>
        <v>6</v>
      </c>
      <c r="V21" s="30">
        <f t="shared" si="5"/>
        <v>17</v>
      </c>
    </row>
    <row r="22">
      <c r="A22" s="30">
        <f t="shared" si="3"/>
        <v>18</v>
      </c>
      <c r="B22" s="51" t="s">
        <v>95</v>
      </c>
      <c r="C22" s="32">
        <v>139.0</v>
      </c>
      <c r="D22" s="32">
        <v>10.0</v>
      </c>
      <c r="E22" s="37">
        <v>1.0</v>
      </c>
      <c r="F22" s="39">
        <v>3.0</v>
      </c>
      <c r="G22" s="40">
        <v>0.0</v>
      </c>
      <c r="H22" s="39">
        <v>6.0</v>
      </c>
      <c r="I22" s="39">
        <v>4.0</v>
      </c>
      <c r="J22" s="39">
        <v>1.0</v>
      </c>
      <c r="K22" s="42">
        <v>11.0</v>
      </c>
      <c r="L22" s="39">
        <v>1.0</v>
      </c>
      <c r="M22" s="32">
        <f t="shared" ref="M22:N22" si="20">C22+K22</f>
        <v>150</v>
      </c>
      <c r="N22" s="32">
        <f t="shared" si="20"/>
        <v>11</v>
      </c>
      <c r="O22" s="43" t="s">
        <v>53</v>
      </c>
      <c r="P22" s="43" t="s">
        <v>53</v>
      </c>
      <c r="Q22" s="43" t="s">
        <v>53</v>
      </c>
      <c r="R22" s="39">
        <f>if(G22=13,1,0)+VLOOKUP(B22,'091424'!B:T,17,false)</f>
        <v>1</v>
      </c>
      <c r="S22" s="39"/>
      <c r="T22" s="39">
        <f>if(G22=9,1,0)+VLOOKUP(B22,'091424'!B:T,19,false)</f>
        <v>5</v>
      </c>
      <c r="U22" s="39">
        <f>VLOOKUP(B22,'091424'!B$5:V$70,21,false)-A22</f>
        <v>-7</v>
      </c>
      <c r="V22" s="30">
        <f t="shared" si="5"/>
        <v>18</v>
      </c>
    </row>
    <row r="23">
      <c r="A23" s="30">
        <f t="shared" si="3"/>
        <v>19</v>
      </c>
      <c r="B23" s="56" t="s">
        <v>65</v>
      </c>
      <c r="C23" s="32">
        <v>137.0</v>
      </c>
      <c r="D23" s="32">
        <v>12.0</v>
      </c>
      <c r="E23" s="37">
        <v>3.0</v>
      </c>
      <c r="F23" s="39">
        <v>0.0</v>
      </c>
      <c r="G23" s="40">
        <v>9.0</v>
      </c>
      <c r="H23" s="39">
        <v>0.0</v>
      </c>
      <c r="I23" s="39">
        <v>0.0</v>
      </c>
      <c r="J23" s="39">
        <v>0.0</v>
      </c>
      <c r="K23" s="42">
        <v>9.0</v>
      </c>
      <c r="L23" s="39">
        <v>0.0</v>
      </c>
      <c r="M23" s="32">
        <f t="shared" ref="M23:N23" si="21">C23+K23</f>
        <v>146</v>
      </c>
      <c r="N23" s="32">
        <f t="shared" si="21"/>
        <v>12</v>
      </c>
      <c r="O23" s="43" t="s">
        <v>53</v>
      </c>
      <c r="P23" s="43" t="s">
        <v>53</v>
      </c>
      <c r="Q23" s="43" t="s">
        <v>53</v>
      </c>
      <c r="R23" s="39">
        <f>if(G23=13,1,0)+VLOOKUP(B23,'091424'!B:T,17,false)</f>
        <v>0</v>
      </c>
      <c r="S23" s="39"/>
      <c r="T23" s="39">
        <f>if(G23=9,1,0)+VLOOKUP(B23,'091424'!B:T,19,false)</f>
        <v>5</v>
      </c>
      <c r="U23" s="39">
        <f>VLOOKUP(B23,'091424'!B$5:V$70,21,false)-A23</f>
        <v>-2</v>
      </c>
      <c r="V23" s="30">
        <f t="shared" si="5"/>
        <v>19</v>
      </c>
    </row>
    <row r="24">
      <c r="A24" s="30">
        <f t="shared" si="3"/>
        <v>20</v>
      </c>
      <c r="B24" s="51" t="s">
        <v>93</v>
      </c>
      <c r="C24" s="32">
        <v>136.0</v>
      </c>
      <c r="D24" s="32">
        <v>12.0</v>
      </c>
      <c r="E24" s="37">
        <v>1.0</v>
      </c>
      <c r="F24" s="39">
        <v>4.0</v>
      </c>
      <c r="G24" s="40">
        <v>0.0</v>
      </c>
      <c r="H24" s="39">
        <v>7.0</v>
      </c>
      <c r="I24" s="39">
        <v>6.0</v>
      </c>
      <c r="J24" s="39">
        <v>6.0</v>
      </c>
      <c r="K24" s="42">
        <v>19.0</v>
      </c>
      <c r="L24" s="39">
        <v>2.0</v>
      </c>
      <c r="M24" s="32">
        <f t="shared" ref="M24:N24" si="22">C24+K24</f>
        <v>155</v>
      </c>
      <c r="N24" s="32">
        <f t="shared" si="22"/>
        <v>14</v>
      </c>
      <c r="O24" s="43" t="s">
        <v>53</v>
      </c>
      <c r="P24" s="43" t="s">
        <v>53</v>
      </c>
      <c r="Q24" s="43" t="s">
        <v>53</v>
      </c>
      <c r="R24" s="39">
        <f>if(G24=13,1,0)+VLOOKUP(B24,'091424'!B:T,17,false)</f>
        <v>0</v>
      </c>
      <c r="S24" s="39"/>
      <c r="T24" s="39">
        <f>if(G24=9,1,0)+VLOOKUP(B24,'091424'!B:T,19,false)</f>
        <v>1</v>
      </c>
      <c r="U24" s="39">
        <f>VLOOKUP(B24,'091424'!B$5:V$70,21,false)-A24</f>
        <v>-2</v>
      </c>
      <c r="V24" s="30">
        <f t="shared" si="5"/>
        <v>20</v>
      </c>
    </row>
    <row r="25">
      <c r="A25" s="30">
        <f t="shared" si="3"/>
        <v>21</v>
      </c>
      <c r="B25" s="56" t="s">
        <v>101</v>
      </c>
      <c r="C25" s="32">
        <v>134.0</v>
      </c>
      <c r="D25" s="32">
        <v>10.0</v>
      </c>
      <c r="E25" s="37">
        <v>3.0</v>
      </c>
      <c r="F25" s="39">
        <v>0.0</v>
      </c>
      <c r="G25" s="40">
        <v>9.0</v>
      </c>
      <c r="H25" s="39">
        <v>0.0</v>
      </c>
      <c r="I25" s="39">
        <v>0.0</v>
      </c>
      <c r="J25" s="39">
        <v>0.0</v>
      </c>
      <c r="K25" s="42">
        <v>9.0</v>
      </c>
      <c r="L25" s="39">
        <v>0.0</v>
      </c>
      <c r="M25" s="32">
        <f t="shared" ref="M25:N25" si="23">C25+K25</f>
        <v>143</v>
      </c>
      <c r="N25" s="32">
        <f t="shared" si="23"/>
        <v>10</v>
      </c>
      <c r="O25" s="43" t="s">
        <v>53</v>
      </c>
      <c r="P25" s="43" t="s">
        <v>53</v>
      </c>
      <c r="Q25" s="43" t="s">
        <v>53</v>
      </c>
      <c r="R25" s="39">
        <f>if(G25=13,1,0)+VLOOKUP(B25,'091424'!B:T,17,false)</f>
        <v>0</v>
      </c>
      <c r="S25" s="39"/>
      <c r="T25" s="39">
        <f>if(G25=9,1,0)+VLOOKUP(B25,'091424'!B:T,19,false)</f>
        <v>5</v>
      </c>
      <c r="U25" s="39">
        <f>VLOOKUP(B25,'091424'!B$5:V$70,21,false)-A25</f>
        <v>0</v>
      </c>
      <c r="V25" s="30">
        <f t="shared" si="5"/>
        <v>21</v>
      </c>
    </row>
    <row r="26">
      <c r="A26" s="30">
        <f t="shared" si="3"/>
        <v>22</v>
      </c>
      <c r="B26" s="31" t="s">
        <v>82</v>
      </c>
      <c r="C26" s="32">
        <v>134.0</v>
      </c>
      <c r="D26" s="32">
        <v>10.0</v>
      </c>
      <c r="E26" s="37">
        <v>3.0</v>
      </c>
      <c r="F26" s="39">
        <v>0.0</v>
      </c>
      <c r="G26" s="40">
        <v>9.0</v>
      </c>
      <c r="H26" s="39">
        <v>0.0</v>
      </c>
      <c r="I26" s="39">
        <v>0.0</v>
      </c>
      <c r="J26" s="39">
        <v>0.0</v>
      </c>
      <c r="K26" s="42">
        <v>9.0</v>
      </c>
      <c r="L26" s="39">
        <v>0.0</v>
      </c>
      <c r="M26" s="32">
        <f t="shared" ref="M26:N26" si="24">C26+K26</f>
        <v>143</v>
      </c>
      <c r="N26" s="32">
        <f t="shared" si="24"/>
        <v>10</v>
      </c>
      <c r="O26" s="43" t="s">
        <v>53</v>
      </c>
      <c r="P26" s="43" t="s">
        <v>53</v>
      </c>
      <c r="Q26" s="43" t="s">
        <v>53</v>
      </c>
      <c r="R26" s="39">
        <f>if(G26=13,1,0)+VLOOKUP(B26,'091424'!B:T,17,false)</f>
        <v>1</v>
      </c>
      <c r="S26" s="39"/>
      <c r="T26" s="39">
        <f>if(G26=9,1,0)+VLOOKUP(B26,'091424'!B:T,19,false)</f>
        <v>7</v>
      </c>
      <c r="U26" s="39">
        <f>VLOOKUP(B26,'091424'!B$5:V$70,21,false)-A26</f>
        <v>6</v>
      </c>
      <c r="V26" s="30">
        <f t="shared" si="5"/>
        <v>22</v>
      </c>
    </row>
    <row r="27">
      <c r="A27" s="30">
        <f t="shared" si="3"/>
        <v>23</v>
      </c>
      <c r="B27" s="31" t="s">
        <v>98</v>
      </c>
      <c r="C27" s="32">
        <v>132.0</v>
      </c>
      <c r="D27" s="32">
        <v>11.0</v>
      </c>
      <c r="E27" s="37">
        <v>2.0</v>
      </c>
      <c r="F27" s="39">
        <v>4.0</v>
      </c>
      <c r="G27" s="40">
        <v>0.0</v>
      </c>
      <c r="H27" s="39">
        <v>7.0</v>
      </c>
      <c r="I27" s="39">
        <v>4.0</v>
      </c>
      <c r="J27" s="39">
        <v>7.0</v>
      </c>
      <c r="K27" s="42">
        <v>18.0</v>
      </c>
      <c r="L27" s="39">
        <v>2.0</v>
      </c>
      <c r="M27" s="32">
        <f t="shared" ref="M27:N27" si="25">C27+K27</f>
        <v>150</v>
      </c>
      <c r="N27" s="32">
        <f t="shared" si="25"/>
        <v>13</v>
      </c>
      <c r="O27" s="43" t="s">
        <v>53</v>
      </c>
      <c r="P27" s="43" t="s">
        <v>53</v>
      </c>
      <c r="Q27" s="43" t="s">
        <v>53</v>
      </c>
      <c r="R27" s="39">
        <f>if(G27=13,1,0)+VLOOKUP(B27,'091424'!B:T,17,false)</f>
        <v>1</v>
      </c>
      <c r="S27" s="39"/>
      <c r="T27" s="39">
        <f>if(G27=9,1,0)+VLOOKUP(B27,'091424'!B:T,19,false)</f>
        <v>4</v>
      </c>
      <c r="U27" s="39">
        <f>VLOOKUP(B27,'091424'!B$5:V$70,21,false)-A27</f>
        <v>-3</v>
      </c>
      <c r="V27" s="30">
        <f t="shared" si="5"/>
        <v>23</v>
      </c>
    </row>
    <row r="28">
      <c r="A28" s="30">
        <f t="shared" si="3"/>
        <v>24</v>
      </c>
      <c r="B28" s="51" t="s">
        <v>84</v>
      </c>
      <c r="C28" s="32">
        <v>132.0</v>
      </c>
      <c r="D28" s="32">
        <v>9.0</v>
      </c>
      <c r="E28" s="37">
        <v>1.0</v>
      </c>
      <c r="F28" s="39">
        <v>4.0</v>
      </c>
      <c r="G28" s="40">
        <v>0.0</v>
      </c>
      <c r="H28" s="39">
        <v>5.0</v>
      </c>
      <c r="I28" s="39">
        <v>6.0</v>
      </c>
      <c r="J28" s="39">
        <v>7.0</v>
      </c>
      <c r="K28" s="42">
        <v>18.0</v>
      </c>
      <c r="L28" s="39">
        <v>2.0</v>
      </c>
      <c r="M28" s="32">
        <f t="shared" ref="M28:N28" si="26">C28+K28</f>
        <v>150</v>
      </c>
      <c r="N28" s="32">
        <f t="shared" si="26"/>
        <v>11</v>
      </c>
      <c r="O28" s="43" t="s">
        <v>53</v>
      </c>
      <c r="P28" s="43" t="s">
        <v>53</v>
      </c>
      <c r="Q28" s="43" t="s">
        <v>53</v>
      </c>
      <c r="R28" s="39">
        <f>if(G28=13,1,0)+VLOOKUP(B28,'091424'!B:T,17,false)</f>
        <v>1</v>
      </c>
      <c r="S28" s="39"/>
      <c r="T28" s="39">
        <f>if(G28=9,1,0)+VLOOKUP(B28,'091424'!B:T,19,false)</f>
        <v>2</v>
      </c>
      <c r="U28" s="39">
        <f>VLOOKUP(B28,'091424'!B$5:V$70,21,false)-A28</f>
        <v>-2</v>
      </c>
      <c r="V28" s="30">
        <f t="shared" si="5"/>
        <v>24</v>
      </c>
    </row>
    <row r="29">
      <c r="A29" s="30">
        <f t="shared" si="3"/>
        <v>25</v>
      </c>
      <c r="B29" s="31" t="s">
        <v>105</v>
      </c>
      <c r="C29" s="32">
        <v>132.0</v>
      </c>
      <c r="D29" s="32">
        <v>8.0</v>
      </c>
      <c r="E29" s="37">
        <v>3.0</v>
      </c>
      <c r="F29" s="39">
        <v>0.0</v>
      </c>
      <c r="G29" s="40">
        <v>9.0</v>
      </c>
      <c r="H29" s="39">
        <v>0.0</v>
      </c>
      <c r="I29" s="39">
        <v>0.0</v>
      </c>
      <c r="J29" s="39">
        <v>0.0</v>
      </c>
      <c r="K29" s="42">
        <v>9.0</v>
      </c>
      <c r="L29" s="39">
        <v>0.0</v>
      </c>
      <c r="M29" s="32">
        <f t="shared" ref="M29:N29" si="27">C29+K29</f>
        <v>141</v>
      </c>
      <c r="N29" s="32">
        <f t="shared" si="27"/>
        <v>8</v>
      </c>
      <c r="O29" s="43" t="s">
        <v>53</v>
      </c>
      <c r="P29" s="43" t="s">
        <v>53</v>
      </c>
      <c r="Q29" s="43" t="s">
        <v>53</v>
      </c>
      <c r="R29" s="39">
        <f>if(G29=13,1,0)+VLOOKUP(B29,'091424'!B:T,17,false)</f>
        <v>0</v>
      </c>
      <c r="S29" s="39"/>
      <c r="T29" s="39">
        <f>if(G29=9,1,0)+VLOOKUP(B29,'091424'!B:T,19,false)</f>
        <v>5</v>
      </c>
      <c r="U29" s="39">
        <f>VLOOKUP(B29,'091424'!B$5:V$70,21,false)-A29</f>
        <v>-1</v>
      </c>
      <c r="V29" s="30">
        <f t="shared" si="5"/>
        <v>25</v>
      </c>
    </row>
    <row r="30">
      <c r="A30" s="30">
        <f t="shared" si="3"/>
        <v>26</v>
      </c>
      <c r="B30" s="31" t="s">
        <v>66</v>
      </c>
      <c r="C30" s="32">
        <v>131.0</v>
      </c>
      <c r="D30" s="32">
        <v>8.0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8">C30+K30</f>
        <v>140</v>
      </c>
      <c r="N30" s="32">
        <f t="shared" si="28"/>
        <v>8</v>
      </c>
      <c r="O30" s="43" t="s">
        <v>53</v>
      </c>
      <c r="P30" s="43" t="s">
        <v>53</v>
      </c>
      <c r="Q30" s="43" t="s">
        <v>53</v>
      </c>
      <c r="R30" s="39">
        <f>if(G30=13,1,0)+VLOOKUP(B30,'091424'!B:T,17,false)</f>
        <v>2</v>
      </c>
      <c r="S30" s="39"/>
      <c r="T30" s="39">
        <f>if(G30=9,1,0)+VLOOKUP(B30,'091424'!B:T,19,false)</f>
        <v>4</v>
      </c>
      <c r="U30" s="39">
        <f>VLOOKUP(B30,'091424'!B$5:V$70,21,false)-A30</f>
        <v>-1</v>
      </c>
      <c r="V30" s="30">
        <f t="shared" si="5"/>
        <v>26</v>
      </c>
    </row>
    <row r="31">
      <c r="A31" s="30">
        <f t="shared" si="3"/>
        <v>27</v>
      </c>
      <c r="B31" s="31" t="s">
        <v>96</v>
      </c>
      <c r="C31" s="32">
        <v>129.0</v>
      </c>
      <c r="D31" s="32">
        <v>11.0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9">C31+K31</f>
        <v>138</v>
      </c>
      <c r="N31" s="32">
        <f t="shared" si="29"/>
        <v>11</v>
      </c>
      <c r="O31" s="43" t="s">
        <v>53</v>
      </c>
      <c r="P31" s="43" t="s">
        <v>53</v>
      </c>
      <c r="Q31" s="43" t="s">
        <v>53</v>
      </c>
      <c r="R31" s="39">
        <f>if(G31=13,1,0)+VLOOKUP(B31,'091424'!B:T,17,false)</f>
        <v>1</v>
      </c>
      <c r="S31" s="39"/>
      <c r="T31" s="39">
        <f>if(G31=9,1,0)+VLOOKUP(B31,'091424'!B:T,19,false)</f>
        <v>6</v>
      </c>
      <c r="U31" s="39">
        <f>VLOOKUP(B31,'091424'!B$5:V$70,21,false)-A31</f>
        <v>-1</v>
      </c>
      <c r="V31" s="30">
        <f t="shared" si="5"/>
        <v>27</v>
      </c>
    </row>
    <row r="32">
      <c r="A32" s="30">
        <f t="shared" si="3"/>
        <v>28</v>
      </c>
      <c r="B32" s="31" t="s">
        <v>89</v>
      </c>
      <c r="C32" s="32">
        <v>127.0</v>
      </c>
      <c r="D32" s="32">
        <v>4.0</v>
      </c>
      <c r="E32" s="37">
        <v>3.0</v>
      </c>
      <c r="F32" s="39">
        <v>0.0</v>
      </c>
      <c r="G32" s="40">
        <v>9.0</v>
      </c>
      <c r="H32" s="39">
        <v>0.0</v>
      </c>
      <c r="I32" s="39">
        <v>0.0</v>
      </c>
      <c r="J32" s="39">
        <v>0.0</v>
      </c>
      <c r="K32" s="42">
        <v>9.0</v>
      </c>
      <c r="L32" s="39">
        <v>0.0</v>
      </c>
      <c r="M32" s="32">
        <f t="shared" ref="M32:N32" si="30">C32+K32</f>
        <v>136</v>
      </c>
      <c r="N32" s="32">
        <f t="shared" si="30"/>
        <v>4</v>
      </c>
      <c r="O32" s="43" t="s">
        <v>53</v>
      </c>
      <c r="P32" s="43" t="s">
        <v>53</v>
      </c>
      <c r="Q32" s="43" t="s">
        <v>53</v>
      </c>
      <c r="R32" s="39">
        <f>if(G32=13,1,0)+VLOOKUP(B32,'091424'!B:T,17,false)</f>
        <v>4</v>
      </c>
      <c r="S32" s="39"/>
      <c r="T32" s="39">
        <f>if(G32=9,1,0)+VLOOKUP(B32,'091424'!B:T,19,false)</f>
        <v>6</v>
      </c>
      <c r="U32" s="39">
        <f>VLOOKUP(B32,'091424'!B$5:V$70,21,false)-A32</f>
        <v>1</v>
      </c>
      <c r="V32" s="30">
        <f t="shared" si="5"/>
        <v>28</v>
      </c>
    </row>
    <row r="33">
      <c r="A33" s="30">
        <f t="shared" si="3"/>
        <v>29</v>
      </c>
      <c r="B33" s="51" t="s">
        <v>111</v>
      </c>
      <c r="C33" s="32">
        <v>126.0</v>
      </c>
      <c r="D33" s="32">
        <v>7.0</v>
      </c>
      <c r="E33" s="37">
        <v>1.0</v>
      </c>
      <c r="F33" s="39">
        <v>4.0</v>
      </c>
      <c r="G33" s="40">
        <v>0.0</v>
      </c>
      <c r="H33" s="39">
        <v>5.0</v>
      </c>
      <c r="I33" s="39">
        <v>4.0</v>
      </c>
      <c r="J33" s="39">
        <v>6.0</v>
      </c>
      <c r="K33" s="42">
        <v>15.0</v>
      </c>
      <c r="L33" s="39">
        <v>0.0</v>
      </c>
      <c r="M33" s="32">
        <f t="shared" ref="M33:N33" si="31">C33+K33</f>
        <v>141</v>
      </c>
      <c r="N33" s="32">
        <f t="shared" si="31"/>
        <v>7</v>
      </c>
      <c r="O33" s="43" t="s">
        <v>53</v>
      </c>
      <c r="P33" s="43" t="s">
        <v>53</v>
      </c>
      <c r="Q33" s="43" t="s">
        <v>53</v>
      </c>
      <c r="R33" s="39">
        <f>if(G33=13,1,0)+VLOOKUP(B33,'091424'!B:T,17,false)</f>
        <v>0</v>
      </c>
      <c r="S33" s="39"/>
      <c r="T33" s="39">
        <f>if(G33=9,1,0)+VLOOKUP(B33,'091424'!B:T,19,false)</f>
        <v>6</v>
      </c>
      <c r="U33" s="39">
        <f>VLOOKUP(B33,'091424'!B$5:V$70,21,false)-A33</f>
        <v>-2</v>
      </c>
      <c r="V33" s="30">
        <f t="shared" si="5"/>
        <v>29</v>
      </c>
    </row>
    <row r="34">
      <c r="A34" s="30">
        <f t="shared" si="3"/>
        <v>30</v>
      </c>
      <c r="B34" s="31" t="s">
        <v>46</v>
      </c>
      <c r="C34" s="32">
        <v>125.0</v>
      </c>
      <c r="D34" s="32">
        <v>8.0</v>
      </c>
      <c r="E34" s="37">
        <v>1.0</v>
      </c>
      <c r="F34" s="39">
        <v>5.0</v>
      </c>
      <c r="G34" s="40">
        <v>0.0</v>
      </c>
      <c r="H34" s="39">
        <v>6.0</v>
      </c>
      <c r="I34" s="39">
        <v>1.0</v>
      </c>
      <c r="J34" s="39">
        <v>6.0</v>
      </c>
      <c r="K34" s="42">
        <v>13.0</v>
      </c>
      <c r="L34" s="39">
        <v>2.0</v>
      </c>
      <c r="M34" s="32">
        <f t="shared" ref="M34:N34" si="32">C34+K34</f>
        <v>138</v>
      </c>
      <c r="N34" s="32">
        <f t="shared" si="32"/>
        <v>10</v>
      </c>
      <c r="O34" s="43" t="s">
        <v>53</v>
      </c>
      <c r="P34" s="43" t="s">
        <v>53</v>
      </c>
      <c r="Q34" s="43" t="s">
        <v>53</v>
      </c>
      <c r="R34" s="39">
        <f>if(G34=13,1,0)+VLOOKUP(B34,'091424'!B:T,17,false)</f>
        <v>0</v>
      </c>
      <c r="S34" s="39"/>
      <c r="T34" s="39">
        <f>if(G34=9,1,0)+VLOOKUP(B34,'091424'!B:T,19,false)</f>
        <v>5</v>
      </c>
      <c r="U34" s="39">
        <f>VLOOKUP(B34,'091424'!B$5:V$70,21,false)-A34</f>
        <v>7</v>
      </c>
      <c r="V34" s="30">
        <f t="shared" si="5"/>
        <v>30</v>
      </c>
    </row>
    <row r="35">
      <c r="A35" s="30">
        <f t="shared" si="3"/>
        <v>31</v>
      </c>
      <c r="B35" s="56" t="s">
        <v>110</v>
      </c>
      <c r="C35" s="32">
        <v>125.0</v>
      </c>
      <c r="D35" s="32">
        <v>5.0</v>
      </c>
      <c r="E35" s="37">
        <v>3.0</v>
      </c>
      <c r="F35" s="39">
        <v>0.0</v>
      </c>
      <c r="G35" s="40">
        <v>9.0</v>
      </c>
      <c r="H35" s="39">
        <v>0.0</v>
      </c>
      <c r="I35" s="39">
        <v>0.0</v>
      </c>
      <c r="J35" s="39">
        <v>0.0</v>
      </c>
      <c r="K35" s="42">
        <v>9.0</v>
      </c>
      <c r="L35" s="39">
        <v>0.0</v>
      </c>
      <c r="M35" s="32">
        <f t="shared" ref="M35:N35" si="33">C35+K35</f>
        <v>134</v>
      </c>
      <c r="N35" s="32">
        <f t="shared" si="33"/>
        <v>5</v>
      </c>
      <c r="O35" s="43" t="s">
        <v>53</v>
      </c>
      <c r="P35" s="43" t="s">
        <v>53</v>
      </c>
      <c r="Q35" s="43" t="s">
        <v>53</v>
      </c>
      <c r="R35" s="39">
        <f>if(G35=13,1,0)+VLOOKUP(B35,'091424'!B:T,17,false)</f>
        <v>3</v>
      </c>
      <c r="S35" s="39"/>
      <c r="T35" s="39">
        <f>if(G35=9,1,0)+VLOOKUP(B35,'091424'!B:T,19,false)</f>
        <v>4</v>
      </c>
      <c r="U35" s="39">
        <f>VLOOKUP(B35,'091424'!B$5:V$70,21,false)-A35</f>
        <v>1</v>
      </c>
      <c r="V35" s="30">
        <f t="shared" si="5"/>
        <v>31</v>
      </c>
    </row>
    <row r="36">
      <c r="A36" s="30">
        <f t="shared" si="3"/>
        <v>32</v>
      </c>
      <c r="B36" s="51" t="s">
        <v>104</v>
      </c>
      <c r="C36" s="32">
        <v>124.0</v>
      </c>
      <c r="D36" s="32">
        <v>12.0</v>
      </c>
      <c r="E36" s="37">
        <v>1.0</v>
      </c>
      <c r="F36" s="39">
        <v>5.0</v>
      </c>
      <c r="G36" s="40">
        <v>0.0</v>
      </c>
      <c r="H36" s="39">
        <v>6.0</v>
      </c>
      <c r="I36" s="39">
        <v>6.0</v>
      </c>
      <c r="J36" s="39">
        <v>4.0</v>
      </c>
      <c r="K36" s="42">
        <v>16.0</v>
      </c>
      <c r="L36" s="39">
        <v>2.0</v>
      </c>
      <c r="M36" s="32">
        <f t="shared" ref="M36:N36" si="34">C36+K36</f>
        <v>140</v>
      </c>
      <c r="N36" s="32">
        <f t="shared" si="34"/>
        <v>14</v>
      </c>
      <c r="O36" s="43" t="s">
        <v>53</v>
      </c>
      <c r="P36" s="43" t="s">
        <v>53</v>
      </c>
      <c r="Q36" s="43" t="s">
        <v>53</v>
      </c>
      <c r="R36" s="39">
        <f>if(G36=13,1,0)+VLOOKUP(B36,'091424'!B:T,17,false)</f>
        <v>0</v>
      </c>
      <c r="S36" s="39"/>
      <c r="T36" s="39">
        <f>if(G36=9,1,0)+VLOOKUP(B36,'091424'!B:T,19,false)</f>
        <v>0</v>
      </c>
      <c r="U36" s="39">
        <f>VLOOKUP(B36,'091424'!B$5:V$70,21,false)-A36</f>
        <v>-2</v>
      </c>
      <c r="V36" s="30">
        <f t="shared" si="5"/>
        <v>32</v>
      </c>
    </row>
    <row r="37">
      <c r="A37" s="30">
        <f t="shared" si="3"/>
        <v>33</v>
      </c>
      <c r="B37" s="31" t="s">
        <v>73</v>
      </c>
      <c r="C37" s="32">
        <v>122.0</v>
      </c>
      <c r="D37" s="32">
        <v>6.0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5">C37+K37</f>
        <v>131</v>
      </c>
      <c r="N37" s="32">
        <f t="shared" si="35"/>
        <v>6</v>
      </c>
      <c r="O37" s="43" t="s">
        <v>53</v>
      </c>
      <c r="P37" s="43" t="s">
        <v>53</v>
      </c>
      <c r="Q37" s="43" t="s">
        <v>53</v>
      </c>
      <c r="R37" s="39">
        <f>if(G37=13,1,0)+VLOOKUP(B37,'091424'!B:T,17,false)</f>
        <v>2</v>
      </c>
      <c r="S37" s="39"/>
      <c r="T37" s="39">
        <f>if(G37=9,1,0)+VLOOKUP(B37,'091424'!B:T,19,false)</f>
        <v>6</v>
      </c>
      <c r="U37" s="39">
        <f>VLOOKUP(B37,'091424'!B$5:V$70,21,false)-A37</f>
        <v>-2</v>
      </c>
      <c r="V37" s="30">
        <f t="shared" si="5"/>
        <v>33</v>
      </c>
    </row>
    <row r="38">
      <c r="A38" s="30">
        <f t="shared" si="3"/>
        <v>34</v>
      </c>
      <c r="B38" s="51" t="s">
        <v>116</v>
      </c>
      <c r="C38" s="32">
        <v>121.0</v>
      </c>
      <c r="D38" s="32">
        <v>7.0</v>
      </c>
      <c r="E38" s="37">
        <v>1.0</v>
      </c>
      <c r="F38" s="39">
        <v>5.0</v>
      </c>
      <c r="G38" s="40">
        <v>0.0</v>
      </c>
      <c r="H38" s="39">
        <v>4.0</v>
      </c>
      <c r="I38" s="39">
        <v>1.0</v>
      </c>
      <c r="J38" s="39">
        <v>4.0</v>
      </c>
      <c r="K38" s="42">
        <v>9.0</v>
      </c>
      <c r="L38" s="39">
        <v>0.0</v>
      </c>
      <c r="M38" s="32">
        <f t="shared" ref="M38:N38" si="36">C38+K38</f>
        <v>130</v>
      </c>
      <c r="N38" s="32">
        <f t="shared" si="36"/>
        <v>7</v>
      </c>
      <c r="O38" s="43" t="s">
        <v>53</v>
      </c>
      <c r="P38" s="43" t="s">
        <v>53</v>
      </c>
      <c r="Q38" s="43" t="s">
        <v>53</v>
      </c>
      <c r="R38" s="39">
        <f>if(G38=13,1,0)+VLOOKUP(B38,'091424'!B:T,17,false)</f>
        <v>1</v>
      </c>
      <c r="S38" s="39"/>
      <c r="T38" s="39">
        <f>if(G38=9,1,0)+VLOOKUP(B38,'091424'!B:T,19,false)</f>
        <v>3</v>
      </c>
      <c r="U38" s="39">
        <f>VLOOKUP(B38,'091424'!B$5:V$70,21,false)-A38</f>
        <v>1</v>
      </c>
      <c r="V38" s="30">
        <f t="shared" si="5"/>
        <v>34</v>
      </c>
    </row>
    <row r="39">
      <c r="A39" s="30">
        <f t="shared" si="3"/>
        <v>35</v>
      </c>
      <c r="B39" s="31" t="s">
        <v>97</v>
      </c>
      <c r="C39" s="32">
        <v>121.0</v>
      </c>
      <c r="D39" s="32">
        <v>6.0</v>
      </c>
      <c r="E39" s="37">
        <v>1.0</v>
      </c>
      <c r="F39" s="39">
        <v>5.0</v>
      </c>
      <c r="G39" s="40">
        <v>0.0</v>
      </c>
      <c r="H39" s="39">
        <v>4.0</v>
      </c>
      <c r="I39" s="39">
        <v>6.0</v>
      </c>
      <c r="J39" s="39">
        <v>6.0</v>
      </c>
      <c r="K39" s="42">
        <v>16.0</v>
      </c>
      <c r="L39" s="39">
        <v>2.0</v>
      </c>
      <c r="M39" s="32">
        <f t="shared" ref="M39:N39" si="37">C39+K39</f>
        <v>137</v>
      </c>
      <c r="N39" s="32">
        <f t="shared" si="37"/>
        <v>8</v>
      </c>
      <c r="O39" s="43" t="s">
        <v>53</v>
      </c>
      <c r="P39" s="43" t="s">
        <v>53</v>
      </c>
      <c r="Q39" s="43" t="s">
        <v>53</v>
      </c>
      <c r="R39" s="39">
        <f>if(G39=13,1,0)+VLOOKUP(B39,'091424'!B:T,17,false)</f>
        <v>1</v>
      </c>
      <c r="S39" s="39"/>
      <c r="T39" s="39">
        <f>if(G39=9,1,0)+VLOOKUP(B39,'091424'!B:T,19,false)</f>
        <v>6</v>
      </c>
      <c r="U39" s="39">
        <f>VLOOKUP(B39,'091424'!B$5:V$70,21,false)-A39</f>
        <v>4</v>
      </c>
      <c r="V39" s="30">
        <f t="shared" si="5"/>
        <v>35</v>
      </c>
    </row>
    <row r="40">
      <c r="A40" s="30">
        <f t="shared" si="3"/>
        <v>36</v>
      </c>
      <c r="B40" s="56" t="s">
        <v>107</v>
      </c>
      <c r="C40" s="32">
        <v>120.0</v>
      </c>
      <c r="D40" s="32">
        <v>11.0</v>
      </c>
      <c r="E40" s="37">
        <v>1.0</v>
      </c>
      <c r="F40" s="39">
        <v>6.0</v>
      </c>
      <c r="G40" s="40">
        <v>0.0</v>
      </c>
      <c r="H40" s="39">
        <v>0.0</v>
      </c>
      <c r="I40" s="39">
        <v>5.0</v>
      </c>
      <c r="J40" s="39">
        <v>7.0</v>
      </c>
      <c r="K40" s="42">
        <v>12.0</v>
      </c>
      <c r="L40" s="39">
        <v>1.0</v>
      </c>
      <c r="M40" s="32">
        <f t="shared" ref="M40:N40" si="38">C40+K40</f>
        <v>132</v>
      </c>
      <c r="N40" s="32">
        <f t="shared" si="38"/>
        <v>12</v>
      </c>
      <c r="O40" s="43" t="s">
        <v>53</v>
      </c>
      <c r="P40" s="43" t="s">
        <v>53</v>
      </c>
      <c r="Q40" s="43" t="s">
        <v>53</v>
      </c>
      <c r="R40" s="39">
        <f>if(G40=13,1,0)+VLOOKUP(B40,'091424'!B:T,17,false)</f>
        <v>0</v>
      </c>
      <c r="S40" s="39"/>
      <c r="T40" s="39">
        <f>if(G40=9,1,0)+VLOOKUP(B40,'091424'!B:T,19,false)</f>
        <v>3</v>
      </c>
      <c r="U40" s="39">
        <f>VLOOKUP(B40,'091424'!B$5:V$70,21,false)-A40</f>
        <v>-3</v>
      </c>
      <c r="V40" s="30">
        <f t="shared" si="5"/>
        <v>36</v>
      </c>
    </row>
    <row r="41">
      <c r="A41" s="30">
        <f t="shared" si="3"/>
        <v>37</v>
      </c>
      <c r="B41" s="51" t="s">
        <v>76</v>
      </c>
      <c r="C41" s="32">
        <v>120.0</v>
      </c>
      <c r="D41" s="32">
        <v>10.0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9">C41+K41</f>
        <v>129</v>
      </c>
      <c r="N41" s="32">
        <f t="shared" si="39"/>
        <v>10</v>
      </c>
      <c r="O41" s="43" t="s">
        <v>53</v>
      </c>
      <c r="P41" s="43" t="s">
        <v>53</v>
      </c>
      <c r="Q41" s="43" t="s">
        <v>53</v>
      </c>
      <c r="R41" s="39">
        <f>if(G41=13,1,0)+VLOOKUP(B41,'091424'!B:T,17,false)</f>
        <v>0</v>
      </c>
      <c r="S41" s="39"/>
      <c r="T41" s="39">
        <f>if(G41=9,1,0)+VLOOKUP(B41,'091424'!B:T,19,false)</f>
        <v>5</v>
      </c>
      <c r="U41" s="39">
        <f>VLOOKUP(B41,'091424'!B$5:V$70,21,false)-A41</f>
        <v>1</v>
      </c>
      <c r="V41" s="30">
        <f t="shared" si="5"/>
        <v>37</v>
      </c>
    </row>
    <row r="42">
      <c r="A42" s="30">
        <f t="shared" si="3"/>
        <v>38</v>
      </c>
      <c r="B42" s="51" t="s">
        <v>103</v>
      </c>
      <c r="C42" s="32">
        <v>120.0</v>
      </c>
      <c r="D42" s="32">
        <v>6.0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40">C42+K42</f>
        <v>129</v>
      </c>
      <c r="N42" s="32">
        <f t="shared" si="40"/>
        <v>6</v>
      </c>
      <c r="O42" s="43" t="s">
        <v>53</v>
      </c>
      <c r="P42" s="43" t="s">
        <v>53</v>
      </c>
      <c r="Q42" s="43" t="s">
        <v>53</v>
      </c>
      <c r="R42" s="39">
        <f>if(G42=13,1,0)+VLOOKUP(B42,'091424'!B:T,17,false)</f>
        <v>1</v>
      </c>
      <c r="S42" s="39"/>
      <c r="T42" s="39">
        <f>if(G42=9,1,0)+VLOOKUP(B42,'091424'!B:T,19,false)</f>
        <v>7</v>
      </c>
      <c r="U42" s="39">
        <f>VLOOKUP(B42,'091424'!B$5:V$70,21,false)-A42</f>
        <v>-4</v>
      </c>
      <c r="V42" s="30">
        <f t="shared" si="5"/>
        <v>38</v>
      </c>
    </row>
    <row r="43">
      <c r="A43" s="30">
        <f t="shared" si="3"/>
        <v>39</v>
      </c>
      <c r="B43" s="31" t="s">
        <v>109</v>
      </c>
      <c r="C43" s="32">
        <v>120.0</v>
      </c>
      <c r="D43" s="32">
        <v>2.0</v>
      </c>
      <c r="E43" s="37">
        <v>3.0</v>
      </c>
      <c r="F43" s="39">
        <v>0.0</v>
      </c>
      <c r="G43" s="40">
        <v>9.0</v>
      </c>
      <c r="H43" s="39">
        <v>0.0</v>
      </c>
      <c r="I43" s="39">
        <v>0.0</v>
      </c>
      <c r="J43" s="39">
        <v>0.0</v>
      </c>
      <c r="K43" s="42">
        <v>9.0</v>
      </c>
      <c r="L43" s="39">
        <v>0.0</v>
      </c>
      <c r="M43" s="32">
        <f t="shared" ref="M43:N43" si="41">C43+K43</f>
        <v>129</v>
      </c>
      <c r="N43" s="32">
        <f t="shared" si="41"/>
        <v>2</v>
      </c>
      <c r="O43" s="43" t="s">
        <v>53</v>
      </c>
      <c r="P43" s="43" t="s">
        <v>53</v>
      </c>
      <c r="Q43" s="43" t="s">
        <v>53</v>
      </c>
      <c r="R43" s="39">
        <f>if(G43=13,1,0)+VLOOKUP(B43,'091424'!B:T,17,false)</f>
        <v>3</v>
      </c>
      <c r="S43" s="39"/>
      <c r="T43" s="39">
        <f>if(G43=9,1,0)+VLOOKUP(B43,'091424'!B:T,19,false)</f>
        <v>8</v>
      </c>
      <c r="U43" s="39">
        <f>VLOOKUP(B43,'091424'!B$5:V$70,21,false)-A43</f>
        <v>1</v>
      </c>
      <c r="V43" s="30">
        <f t="shared" si="5"/>
        <v>39</v>
      </c>
    </row>
    <row r="44">
      <c r="A44" s="30">
        <f t="shared" si="3"/>
        <v>40</v>
      </c>
      <c r="B44" s="51" t="s">
        <v>114</v>
      </c>
      <c r="C44" s="32">
        <v>119.0</v>
      </c>
      <c r="D44" s="32">
        <v>7.0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2">C44+K44</f>
        <v>128</v>
      </c>
      <c r="N44" s="32">
        <f t="shared" si="42"/>
        <v>7</v>
      </c>
      <c r="O44" s="43" t="s">
        <v>53</v>
      </c>
      <c r="P44" s="43" t="s">
        <v>53</v>
      </c>
      <c r="Q44" s="43" t="s">
        <v>53</v>
      </c>
      <c r="R44" s="39">
        <f>if(G44=13,1,0)+VLOOKUP(B44,'091424'!B:T,17,false)</f>
        <v>2</v>
      </c>
      <c r="S44" s="39"/>
      <c r="T44" s="39">
        <f>if(G44=9,1,0)+VLOOKUP(B44,'091424'!B:T,19,false)</f>
        <v>4</v>
      </c>
      <c r="U44" s="39">
        <f>VLOOKUP(B44,'091424'!B$5:V$70,21,false)-A44</f>
        <v>-4</v>
      </c>
      <c r="V44" s="30">
        <f t="shared" si="5"/>
        <v>40</v>
      </c>
    </row>
    <row r="45">
      <c r="A45" s="30">
        <f t="shared" si="3"/>
        <v>41</v>
      </c>
      <c r="B45" s="31" t="s">
        <v>63</v>
      </c>
      <c r="C45" s="32">
        <v>117.0</v>
      </c>
      <c r="D45" s="32">
        <v>6.0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3">C45+K45</f>
        <v>126</v>
      </c>
      <c r="N45" s="32">
        <f t="shared" si="43"/>
        <v>6</v>
      </c>
      <c r="O45" s="43" t="s">
        <v>53</v>
      </c>
      <c r="P45" s="43" t="s">
        <v>53</v>
      </c>
      <c r="Q45" s="43" t="s">
        <v>53</v>
      </c>
      <c r="R45" s="39">
        <f>if(G45=13,1,0)+VLOOKUP(B45,'091424'!B:T,17,false)</f>
        <v>0</v>
      </c>
      <c r="S45" s="39"/>
      <c r="T45" s="39">
        <f>if(G45=9,1,0)+VLOOKUP(B45,'091424'!B:T,19,false)</f>
        <v>10</v>
      </c>
      <c r="U45" s="39">
        <f>VLOOKUP(B45,'091424'!B$5:V$70,21,false)-A45</f>
        <v>13</v>
      </c>
      <c r="V45" s="30">
        <f t="shared" si="5"/>
        <v>41</v>
      </c>
    </row>
    <row r="46">
      <c r="A46" s="30">
        <f t="shared" si="3"/>
        <v>42</v>
      </c>
      <c r="B46" s="57" t="s">
        <v>79</v>
      </c>
      <c r="C46" s="32">
        <v>116.0</v>
      </c>
      <c r="D46" s="32">
        <v>4.0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4">C46+K46</f>
        <v>125</v>
      </c>
      <c r="N46" s="32">
        <f t="shared" si="44"/>
        <v>4</v>
      </c>
      <c r="O46" s="43" t="s">
        <v>53</v>
      </c>
      <c r="P46" s="43" t="s">
        <v>53</v>
      </c>
      <c r="Q46" s="43" t="s">
        <v>53</v>
      </c>
      <c r="R46" s="39">
        <f>if(G46=13,1,0)+VLOOKUP(B46,'091424'!B:T,17,false)</f>
        <v>2</v>
      </c>
      <c r="S46" s="39"/>
      <c r="T46" s="39">
        <f>if(G46=9,1,0)+VLOOKUP(B46,'091424'!B:T,19,false)</f>
        <v>7</v>
      </c>
      <c r="U46" s="39">
        <f>VLOOKUP(B46,'091424'!B$5:V$70,21,false)-A46</f>
        <v>1</v>
      </c>
      <c r="V46" s="30">
        <f t="shared" si="5"/>
        <v>42</v>
      </c>
    </row>
    <row r="47">
      <c r="A47" s="30">
        <f t="shared" si="3"/>
        <v>43</v>
      </c>
      <c r="B47" s="51" t="s">
        <v>99</v>
      </c>
      <c r="C47" s="32">
        <v>115.0</v>
      </c>
      <c r="D47" s="32">
        <v>5.0</v>
      </c>
      <c r="E47" s="37">
        <v>1.0</v>
      </c>
      <c r="F47" s="39">
        <v>6.0</v>
      </c>
      <c r="G47" s="40">
        <v>0.0</v>
      </c>
      <c r="H47" s="39">
        <v>6.0</v>
      </c>
      <c r="I47" s="39">
        <v>5.0</v>
      </c>
      <c r="J47" s="39">
        <v>5.0</v>
      </c>
      <c r="K47" s="42">
        <v>16.0</v>
      </c>
      <c r="L47" s="39">
        <v>1.0</v>
      </c>
      <c r="M47" s="32">
        <f t="shared" ref="M47:N47" si="45">C47+K47</f>
        <v>131</v>
      </c>
      <c r="N47" s="32">
        <f t="shared" si="45"/>
        <v>6</v>
      </c>
      <c r="O47" s="43" t="s">
        <v>53</v>
      </c>
      <c r="P47" s="43"/>
      <c r="Q47" s="43" t="s">
        <v>53</v>
      </c>
      <c r="R47" s="39">
        <f>if(G47=13,1,0)+VLOOKUP(B47,'091424'!B:T,17,false)</f>
        <v>0</v>
      </c>
      <c r="S47" s="39"/>
      <c r="T47" s="39">
        <f>if(G47=9,1,0)+VLOOKUP(B47,'091424'!B:T,19,false)</f>
        <v>3</v>
      </c>
      <c r="U47" s="39">
        <f>VLOOKUP(B47,'091424'!B$5:V$70,21,false)-A47</f>
        <v>-1</v>
      </c>
      <c r="V47" s="30">
        <f t="shared" si="5"/>
        <v>43</v>
      </c>
    </row>
    <row r="48">
      <c r="A48" s="30">
        <f t="shared" si="3"/>
        <v>44</v>
      </c>
      <c r="B48" s="31" t="s">
        <v>56</v>
      </c>
      <c r="C48" s="32">
        <v>115.0</v>
      </c>
      <c r="D48" s="32">
        <v>3.0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6">C48+K48</f>
        <v>124</v>
      </c>
      <c r="N48" s="32">
        <f t="shared" si="46"/>
        <v>3</v>
      </c>
      <c r="O48" s="43" t="s">
        <v>53</v>
      </c>
      <c r="P48" s="43" t="s">
        <v>53</v>
      </c>
      <c r="Q48" s="43" t="s">
        <v>53</v>
      </c>
      <c r="R48" s="39">
        <f>if(G48=13,1,0)+VLOOKUP(B48,'091424'!B:T,17,false)</f>
        <v>1</v>
      </c>
      <c r="S48" s="39"/>
      <c r="T48" s="39">
        <f>if(G48=9,1,0)+VLOOKUP(B48,'091424'!B:T,19,false)</f>
        <v>9</v>
      </c>
      <c r="U48" s="39">
        <f>VLOOKUP(B48,'091424'!B$5:V$70,21,false)-A48</f>
        <v>6</v>
      </c>
      <c r="V48" s="30">
        <f t="shared" si="5"/>
        <v>44</v>
      </c>
    </row>
    <row r="49">
      <c r="A49" s="30">
        <f t="shared" si="3"/>
        <v>45</v>
      </c>
      <c r="B49" s="31" t="s">
        <v>106</v>
      </c>
      <c r="C49" s="32">
        <v>114.0</v>
      </c>
      <c r="D49" s="32">
        <v>5.0</v>
      </c>
      <c r="E49" s="37">
        <v>3.0</v>
      </c>
      <c r="F49" s="39">
        <v>0.0</v>
      </c>
      <c r="G49" s="40">
        <v>9.0</v>
      </c>
      <c r="H49" s="39">
        <v>0.0</v>
      </c>
      <c r="I49" s="39">
        <v>0.0</v>
      </c>
      <c r="J49" s="39">
        <v>0.0</v>
      </c>
      <c r="K49" s="42">
        <v>9.0</v>
      </c>
      <c r="L49" s="39">
        <v>0.0</v>
      </c>
      <c r="M49" s="32">
        <f t="shared" ref="M49:N49" si="47">C49+K49</f>
        <v>123</v>
      </c>
      <c r="N49" s="32">
        <f t="shared" si="47"/>
        <v>5</v>
      </c>
      <c r="O49" s="43" t="s">
        <v>53</v>
      </c>
      <c r="P49" s="43" t="s">
        <v>53</v>
      </c>
      <c r="Q49" s="43" t="s">
        <v>53</v>
      </c>
      <c r="R49" s="39">
        <f>if(G49=13,1,0)+VLOOKUP(B49,'091424'!B:T,17,false)</f>
        <v>0</v>
      </c>
      <c r="S49" s="39"/>
      <c r="T49" s="39">
        <f>if(G49=9,1,0)+VLOOKUP(B49,'091424'!B:T,19,false)</f>
        <v>9</v>
      </c>
      <c r="U49" s="39">
        <f>VLOOKUP(B49,'091424'!B$5:V$70,21,false)-A49</f>
        <v>4</v>
      </c>
      <c r="V49" s="30">
        <f t="shared" si="5"/>
        <v>45</v>
      </c>
    </row>
    <row r="50">
      <c r="A50" s="30">
        <f t="shared" si="3"/>
        <v>46</v>
      </c>
      <c r="B50" s="31" t="s">
        <v>119</v>
      </c>
      <c r="C50" s="32">
        <v>112.0</v>
      </c>
      <c r="D50" s="32">
        <v>4.0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8">C50+K50</f>
        <v>121</v>
      </c>
      <c r="N50" s="32">
        <f t="shared" si="48"/>
        <v>4</v>
      </c>
      <c r="O50" s="43" t="s">
        <v>53</v>
      </c>
      <c r="P50" s="43" t="s">
        <v>53</v>
      </c>
      <c r="Q50" s="43" t="s">
        <v>53</v>
      </c>
      <c r="R50" s="39">
        <f>if(G50=13,1,0)+VLOOKUP(B50,'091424'!B:T,17,false)</f>
        <v>0</v>
      </c>
      <c r="S50" s="39"/>
      <c r="T50" s="39">
        <f>if(G50=9,1,0)+VLOOKUP(B50,'091424'!B:T,19,false)</f>
        <v>10</v>
      </c>
      <c r="U50" s="39">
        <f>VLOOKUP(B50,'091424'!B$5:V$70,21,false)-A50</f>
        <v>-2</v>
      </c>
      <c r="V50" s="30">
        <f t="shared" si="5"/>
        <v>46</v>
      </c>
    </row>
    <row r="51">
      <c r="A51" s="30">
        <f t="shared" si="3"/>
        <v>47</v>
      </c>
      <c r="B51" s="31" t="s">
        <v>120</v>
      </c>
      <c r="C51" s="32">
        <v>112.0</v>
      </c>
      <c r="D51" s="32">
        <v>4.0</v>
      </c>
      <c r="E51" s="37">
        <v>3.0</v>
      </c>
      <c r="F51" s="39">
        <v>0.0</v>
      </c>
      <c r="G51" s="40">
        <v>9.0</v>
      </c>
      <c r="H51" s="39">
        <v>0.0</v>
      </c>
      <c r="I51" s="39">
        <v>0.0</v>
      </c>
      <c r="J51" s="39">
        <v>0.0</v>
      </c>
      <c r="K51" s="42">
        <v>9.0</v>
      </c>
      <c r="L51" s="39">
        <v>0.0</v>
      </c>
      <c r="M51" s="32">
        <f t="shared" ref="M51:N51" si="49">C51+K51</f>
        <v>121</v>
      </c>
      <c r="N51" s="32">
        <f t="shared" si="49"/>
        <v>4</v>
      </c>
      <c r="O51" s="43" t="s">
        <v>53</v>
      </c>
      <c r="P51" s="43" t="s">
        <v>53</v>
      </c>
      <c r="Q51" s="43" t="s">
        <v>53</v>
      </c>
      <c r="R51" s="39">
        <f>if(G51=13,1,0)+VLOOKUP(B51,'091424'!B:T,17,false)</f>
        <v>1</v>
      </c>
      <c r="S51" s="39"/>
      <c r="T51" s="39">
        <f>if(G51=9,1,0)+VLOOKUP(B51,'091424'!B:T,19,false)</f>
        <v>9</v>
      </c>
      <c r="U51" s="39">
        <f>VLOOKUP(B51,'091424'!B$5:V$70,21,false)-A51</f>
        <v>-2</v>
      </c>
      <c r="V51" s="30">
        <f t="shared" si="5"/>
        <v>47</v>
      </c>
    </row>
    <row r="52">
      <c r="A52" s="30">
        <f t="shared" si="3"/>
        <v>48</v>
      </c>
      <c r="B52" s="51" t="s">
        <v>75</v>
      </c>
      <c r="C52" s="32">
        <v>112.0</v>
      </c>
      <c r="D52" s="32">
        <v>3.0</v>
      </c>
      <c r="E52" s="37">
        <v>2.0</v>
      </c>
      <c r="F52" s="39">
        <v>6.0</v>
      </c>
      <c r="G52" s="40">
        <v>0.0</v>
      </c>
      <c r="H52" s="39">
        <v>6.0</v>
      </c>
      <c r="I52" s="39">
        <v>7.0</v>
      </c>
      <c r="J52" s="39">
        <v>7.0</v>
      </c>
      <c r="K52" s="42">
        <v>20.0</v>
      </c>
      <c r="L52" s="39">
        <v>3.0</v>
      </c>
      <c r="M52" s="32">
        <f t="shared" ref="M52:N52" si="50">C52+K52</f>
        <v>132</v>
      </c>
      <c r="N52" s="32">
        <f t="shared" si="50"/>
        <v>6</v>
      </c>
      <c r="O52" s="43" t="s">
        <v>53</v>
      </c>
      <c r="P52" s="43" t="s">
        <v>53</v>
      </c>
      <c r="Q52" s="43" t="s">
        <v>53</v>
      </c>
      <c r="R52" s="39">
        <f>if(G52=13,1,0)+VLOOKUP(B52,'091424'!B:T,17,false)</f>
        <v>1</v>
      </c>
      <c r="S52" s="39"/>
      <c r="T52" s="39">
        <f>if(G52=9,1,0)+VLOOKUP(B52,'091424'!B:T,19,false)</f>
        <v>9</v>
      </c>
      <c r="U52" s="39">
        <f>VLOOKUP(B52,'091424'!B$5:V$70,21,false)-A52</f>
        <v>-2</v>
      </c>
      <c r="V52" s="30">
        <f t="shared" si="5"/>
        <v>48</v>
      </c>
    </row>
    <row r="53">
      <c r="A53" s="30">
        <f t="shared" si="3"/>
        <v>49</v>
      </c>
      <c r="B53" s="51" t="s">
        <v>102</v>
      </c>
      <c r="C53" s="32">
        <v>112.0</v>
      </c>
      <c r="D53" s="32">
        <v>2.0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1">C53+K53</f>
        <v>121</v>
      </c>
      <c r="N53" s="32">
        <f t="shared" si="51"/>
        <v>2</v>
      </c>
      <c r="O53" s="43" t="s">
        <v>53</v>
      </c>
      <c r="P53" s="43" t="s">
        <v>53</v>
      </c>
      <c r="Q53" s="43" t="s">
        <v>53</v>
      </c>
      <c r="R53" s="39">
        <f>if(G53=13,1,0)+VLOOKUP(B53,'091424'!B:T,17,false)</f>
        <v>2</v>
      </c>
      <c r="S53" s="39"/>
      <c r="T53" s="39">
        <f>if(G53=9,1,0)+VLOOKUP(B53,'091424'!B:T,19,false)</f>
        <v>8</v>
      </c>
      <c r="U53" s="39">
        <f>VLOOKUP(B53,'091424'!B$5:V$70,21,false)-A53</f>
        <v>-2</v>
      </c>
      <c r="V53" s="30">
        <f t="shared" si="5"/>
        <v>49</v>
      </c>
    </row>
    <row r="54">
      <c r="A54" s="30">
        <f t="shared" si="3"/>
        <v>50</v>
      </c>
      <c r="B54" s="56" t="s">
        <v>51</v>
      </c>
      <c r="C54" s="32">
        <v>111.0</v>
      </c>
      <c r="D54" s="32">
        <v>7.0</v>
      </c>
      <c r="E54" s="37">
        <v>1.0</v>
      </c>
      <c r="F54" s="39">
        <v>6.0</v>
      </c>
      <c r="G54" s="40">
        <v>0.0</v>
      </c>
      <c r="H54" s="39">
        <v>0.0</v>
      </c>
      <c r="I54" s="39">
        <v>7.0</v>
      </c>
      <c r="J54" s="39">
        <v>5.0</v>
      </c>
      <c r="K54" s="42">
        <v>12.0</v>
      </c>
      <c r="L54" s="39">
        <v>1.0</v>
      </c>
      <c r="M54" s="32">
        <f t="shared" ref="M54:N54" si="52">C54+K54</f>
        <v>123</v>
      </c>
      <c r="N54" s="32">
        <f t="shared" si="52"/>
        <v>8</v>
      </c>
      <c r="O54" s="43" t="s">
        <v>53</v>
      </c>
      <c r="P54" s="43" t="s">
        <v>53</v>
      </c>
      <c r="Q54" s="43" t="s">
        <v>53</v>
      </c>
      <c r="R54" s="39">
        <f>if(G54=13,1,0)+VLOOKUP(B54,'091424'!B:T,17,false)</f>
        <v>1</v>
      </c>
      <c r="S54" s="39"/>
      <c r="T54" s="39">
        <f>if(G54=9,1,0)+VLOOKUP(B54,'091424'!B:T,19,false)</f>
        <v>4</v>
      </c>
      <c r="U54" s="39">
        <f>VLOOKUP(B54,'091424'!B$5:V$70,21,false)-A54</f>
        <v>-2</v>
      </c>
      <c r="V54" s="30">
        <f t="shared" si="5"/>
        <v>50</v>
      </c>
    </row>
    <row r="55">
      <c r="A55" s="30">
        <f t="shared" si="3"/>
        <v>51</v>
      </c>
      <c r="B55" s="56" t="s">
        <v>115</v>
      </c>
      <c r="C55" s="32">
        <v>110.0</v>
      </c>
      <c r="D55" s="32">
        <v>7.0</v>
      </c>
      <c r="E55" s="37">
        <v>1.0</v>
      </c>
      <c r="F55" s="39">
        <v>7.0</v>
      </c>
      <c r="G55" s="40">
        <v>0.0</v>
      </c>
      <c r="H55" s="39">
        <v>4.0</v>
      </c>
      <c r="I55" s="39">
        <v>4.0</v>
      </c>
      <c r="J55" s="39">
        <v>6.0</v>
      </c>
      <c r="K55" s="42">
        <v>14.0</v>
      </c>
      <c r="L55" s="39">
        <v>1.0</v>
      </c>
      <c r="M55" s="32">
        <f t="shared" ref="M55:N55" si="53">C55+K55</f>
        <v>124</v>
      </c>
      <c r="N55" s="32">
        <f t="shared" si="53"/>
        <v>8</v>
      </c>
      <c r="O55" s="43" t="s">
        <v>53</v>
      </c>
      <c r="P55" s="43" t="s">
        <v>53</v>
      </c>
      <c r="Q55" s="43" t="s">
        <v>53</v>
      </c>
      <c r="R55" s="39">
        <f>if(G55=13,1,0)+VLOOKUP(B55,'091424'!B:T,17,false)</f>
        <v>0</v>
      </c>
      <c r="S55" s="39"/>
      <c r="T55" s="39">
        <f>if(G55=9,1,0)+VLOOKUP(B55,'091424'!B:T,19,false)</f>
        <v>1</v>
      </c>
      <c r="U55" s="39">
        <f>VLOOKUP(B55,'091424'!B$5:V$70,21,false)-A55</f>
        <v>-10</v>
      </c>
      <c r="V55" s="30">
        <f t="shared" si="5"/>
        <v>51</v>
      </c>
    </row>
    <row r="56">
      <c r="A56" s="30">
        <f t="shared" si="3"/>
        <v>52</v>
      </c>
      <c r="B56" s="31" t="s">
        <v>117</v>
      </c>
      <c r="C56" s="32">
        <v>110.0</v>
      </c>
      <c r="D56" s="32">
        <v>2.0</v>
      </c>
      <c r="E56" s="37">
        <v>1.0</v>
      </c>
      <c r="F56" s="39">
        <v>7.0</v>
      </c>
      <c r="G56" s="40">
        <v>0.0</v>
      </c>
      <c r="H56" s="39">
        <v>6.0</v>
      </c>
      <c r="I56" s="39">
        <v>4.0</v>
      </c>
      <c r="J56" s="39">
        <v>1.0</v>
      </c>
      <c r="K56" s="42">
        <v>11.0</v>
      </c>
      <c r="L56" s="39">
        <v>1.0</v>
      </c>
      <c r="M56" s="32">
        <f t="shared" ref="M56:N56" si="54">C56+K56</f>
        <v>121</v>
      </c>
      <c r="N56" s="32">
        <f t="shared" si="54"/>
        <v>3</v>
      </c>
      <c r="O56" s="43" t="s">
        <v>53</v>
      </c>
      <c r="P56" s="43" t="s">
        <v>53</v>
      </c>
      <c r="Q56" s="43" t="s">
        <v>53</v>
      </c>
      <c r="R56" s="39">
        <f>if(G56=13,1,0)+VLOOKUP(B56,'091424'!B:T,17,false)</f>
        <v>1</v>
      </c>
      <c r="S56" s="39"/>
      <c r="T56" s="39">
        <f>if(G56=9,1,0)+VLOOKUP(B56,'091424'!B:T,19,false)</f>
        <v>9</v>
      </c>
      <c r="U56" s="39">
        <f>VLOOKUP(B56,'091424'!B$5:V$70,21,false)-A56</f>
        <v>10</v>
      </c>
      <c r="V56" s="30">
        <f t="shared" si="5"/>
        <v>52</v>
      </c>
    </row>
    <row r="57">
      <c r="A57" s="30">
        <f t="shared" si="3"/>
        <v>53</v>
      </c>
      <c r="B57" s="51" t="s">
        <v>118</v>
      </c>
      <c r="C57" s="32">
        <v>109.0</v>
      </c>
      <c r="D57" s="32">
        <v>4.0</v>
      </c>
      <c r="E57" s="37">
        <v>1.0</v>
      </c>
      <c r="F57" s="39">
        <v>7.0</v>
      </c>
      <c r="G57" s="40">
        <v>0.0</v>
      </c>
      <c r="H57" s="39">
        <v>4.0</v>
      </c>
      <c r="I57" s="39">
        <v>6.0</v>
      </c>
      <c r="J57" s="39">
        <v>1.0</v>
      </c>
      <c r="K57" s="42">
        <v>11.0</v>
      </c>
      <c r="L57" s="39">
        <v>1.0</v>
      </c>
      <c r="M57" s="32">
        <f t="shared" ref="M57:N57" si="55">C57+K57</f>
        <v>120</v>
      </c>
      <c r="N57" s="32">
        <f t="shared" si="55"/>
        <v>5</v>
      </c>
      <c r="O57" s="43" t="s">
        <v>53</v>
      </c>
      <c r="P57" s="43" t="s">
        <v>53</v>
      </c>
      <c r="Q57" s="43" t="s">
        <v>53</v>
      </c>
      <c r="R57" s="39">
        <f>if(G57=13,1,0)+VLOOKUP(B57,'091424'!B:T,17,false)</f>
        <v>0</v>
      </c>
      <c r="S57" s="39"/>
      <c r="T57" s="39">
        <f>if(G57=9,1,0)+VLOOKUP(B57,'091424'!B:T,19,false)</f>
        <v>7</v>
      </c>
      <c r="U57" s="39">
        <f>VLOOKUP(B57,'091424'!B$5:V$70,21,false)-A57</f>
        <v>3</v>
      </c>
      <c r="V57" s="30">
        <f t="shared" si="5"/>
        <v>53</v>
      </c>
    </row>
    <row r="58">
      <c r="A58" s="30">
        <f t="shared" si="3"/>
        <v>54</v>
      </c>
      <c r="B58" s="31" t="s">
        <v>124</v>
      </c>
      <c r="C58" s="32">
        <v>109.0</v>
      </c>
      <c r="D58" s="32">
        <v>3.0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6">C58+K58</f>
        <v>118</v>
      </c>
      <c r="N58" s="32">
        <f t="shared" si="56"/>
        <v>3</v>
      </c>
      <c r="O58" s="43" t="s">
        <v>53</v>
      </c>
      <c r="P58" s="43" t="s">
        <v>53</v>
      </c>
      <c r="Q58" s="43" t="s">
        <v>53</v>
      </c>
      <c r="R58" s="39">
        <f>if(G58=13,1,0)+VLOOKUP(B58,'091424'!B:T,17,false)</f>
        <v>1</v>
      </c>
      <c r="S58" s="39"/>
      <c r="T58" s="39">
        <f>if(G58=9,1,0)+VLOOKUP(B58,'091424'!B:T,19,false)</f>
        <v>9</v>
      </c>
      <c r="U58" s="39">
        <f>VLOOKUP(B58,'091424'!B$5:V$70,21,false)-A58</f>
        <v>-3</v>
      </c>
      <c r="V58" s="30">
        <f t="shared" si="5"/>
        <v>54</v>
      </c>
    </row>
    <row r="59">
      <c r="A59" s="30">
        <f t="shared" si="3"/>
        <v>55</v>
      </c>
      <c r="B59" s="31" t="s">
        <v>125</v>
      </c>
      <c r="C59" s="32">
        <v>108.0</v>
      </c>
      <c r="D59" s="32">
        <v>3.0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7">C59+K59</f>
        <v>117</v>
      </c>
      <c r="N59" s="32">
        <f t="shared" si="57"/>
        <v>3</v>
      </c>
      <c r="O59" s="43" t="s">
        <v>53</v>
      </c>
      <c r="P59" s="43" t="s">
        <v>53</v>
      </c>
      <c r="Q59" s="43" t="s">
        <v>53</v>
      </c>
      <c r="R59" s="39">
        <f>if(G59=13,1,0)+VLOOKUP(B59,'091424'!B:T,17,false)</f>
        <v>0</v>
      </c>
      <c r="S59" s="39"/>
      <c r="T59" s="39">
        <f>if(G59=9,1,0)+VLOOKUP(B59,'091424'!B:T,19,false)</f>
        <v>11</v>
      </c>
      <c r="U59" s="39">
        <f>VLOOKUP(B59,'091424'!B$5:V$70,21,false)-A59</f>
        <v>-3</v>
      </c>
      <c r="V59" s="30">
        <f t="shared" si="5"/>
        <v>55</v>
      </c>
    </row>
    <row r="60">
      <c r="A60" s="30">
        <f t="shared" si="3"/>
        <v>56</v>
      </c>
      <c r="B60" s="56" t="s">
        <v>122</v>
      </c>
      <c r="C60" s="32">
        <v>108.0</v>
      </c>
      <c r="D60" s="32">
        <v>3.0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8">C60+K60</f>
        <v>117</v>
      </c>
      <c r="N60" s="32">
        <f t="shared" si="58"/>
        <v>3</v>
      </c>
      <c r="O60" s="43" t="s">
        <v>53</v>
      </c>
      <c r="P60" s="43" t="s">
        <v>53</v>
      </c>
      <c r="Q60" s="43" t="s">
        <v>53</v>
      </c>
      <c r="R60" s="39">
        <f>if(G60=13,1,0)+VLOOKUP(B60,'091424'!B:T,17,false)</f>
        <v>1</v>
      </c>
      <c r="S60" s="39"/>
      <c r="T60" s="39">
        <f>if(G60=9,1,0)+VLOOKUP(B60,'091424'!B:T,19,false)</f>
        <v>8</v>
      </c>
      <c r="U60" s="39">
        <f>VLOOKUP(B60,'091424'!B$5:V$70,21,false)-A60</f>
        <v>-3</v>
      </c>
      <c r="V60" s="30">
        <f t="shared" si="5"/>
        <v>56</v>
      </c>
    </row>
    <row r="61">
      <c r="A61" s="30">
        <f t="shared" si="3"/>
        <v>57</v>
      </c>
      <c r="B61" s="31" t="s">
        <v>123</v>
      </c>
      <c r="C61" s="32">
        <v>108.0</v>
      </c>
      <c r="D61" s="32">
        <v>3.0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9">C61+K61</f>
        <v>117</v>
      </c>
      <c r="N61" s="32">
        <f t="shared" si="59"/>
        <v>3</v>
      </c>
      <c r="O61" s="43" t="s">
        <v>53</v>
      </c>
      <c r="P61" s="43" t="s">
        <v>53</v>
      </c>
      <c r="Q61" s="43" t="s">
        <v>53</v>
      </c>
      <c r="R61" s="39">
        <f>if(G61=13,1,0)+VLOOKUP(B61,'091424'!B:T,17,false)</f>
        <v>0</v>
      </c>
      <c r="S61" s="39"/>
      <c r="T61" s="39">
        <f>if(G61=9,1,0)+VLOOKUP(B61,'091424'!B:T,19,false)</f>
        <v>11</v>
      </c>
      <c r="U61" s="39">
        <f>VLOOKUP(B61,'091424'!B$5:V$70,21,false)-A61</f>
        <v>-2</v>
      </c>
      <c r="V61" s="30">
        <f t="shared" si="5"/>
        <v>57</v>
      </c>
    </row>
    <row r="62">
      <c r="A62" s="30">
        <f t="shared" si="3"/>
        <v>58</v>
      </c>
      <c r="B62" s="51" t="s">
        <v>121</v>
      </c>
      <c r="C62" s="32">
        <v>104.0</v>
      </c>
      <c r="D62" s="32">
        <v>4.0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60">C62+K62</f>
        <v>113</v>
      </c>
      <c r="N62" s="32">
        <f t="shared" si="60"/>
        <v>4</v>
      </c>
      <c r="O62" s="43" t="s">
        <v>53</v>
      </c>
      <c r="P62" s="43" t="s">
        <v>53</v>
      </c>
      <c r="Q62" s="43" t="s">
        <v>53</v>
      </c>
      <c r="R62" s="39">
        <f>if(G62=13,1,0)+VLOOKUP(B62,'091424'!B:T,17,false)</f>
        <v>0</v>
      </c>
      <c r="S62" s="39"/>
      <c r="T62" s="39">
        <f>if(G62=9,1,0)+VLOOKUP(B62,'091424'!B:T,19,false)</f>
        <v>9</v>
      </c>
      <c r="U62" s="39">
        <f>VLOOKUP(B62,'091424'!B$5:V$70,21,false)-A62</f>
        <v>-1</v>
      </c>
      <c r="V62" s="30">
        <f t="shared" si="5"/>
        <v>58</v>
      </c>
    </row>
    <row r="63">
      <c r="A63" s="30">
        <f t="shared" si="3"/>
        <v>59</v>
      </c>
      <c r="B63" s="51" t="s">
        <v>112</v>
      </c>
      <c r="C63" s="32">
        <v>104.0</v>
      </c>
      <c r="D63" s="32">
        <v>4.0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1">C63+K63</f>
        <v>113</v>
      </c>
      <c r="N63" s="32">
        <f t="shared" si="61"/>
        <v>4</v>
      </c>
      <c r="O63" s="43" t="s">
        <v>53</v>
      </c>
      <c r="P63" s="43" t="s">
        <v>53</v>
      </c>
      <c r="Q63" s="43" t="s">
        <v>53</v>
      </c>
      <c r="R63" s="39">
        <f>if(G63=13,1,0)+VLOOKUP(B63,'091424'!B:T,17,false)</f>
        <v>0</v>
      </c>
      <c r="S63" s="39"/>
      <c r="T63" s="39">
        <f>if(G63=9,1,0)+VLOOKUP(B63,'091424'!B:T,19,false)</f>
        <v>6</v>
      </c>
      <c r="U63" s="39">
        <f>VLOOKUP(B63,'091424'!B$5:V$70,21,false)-A63</f>
        <v>5</v>
      </c>
      <c r="V63" s="30">
        <f t="shared" si="5"/>
        <v>59</v>
      </c>
    </row>
    <row r="64">
      <c r="A64" s="30">
        <f t="shared" si="3"/>
        <v>60</v>
      </c>
      <c r="B64" s="51" t="s">
        <v>108</v>
      </c>
      <c r="C64" s="32">
        <v>103.0</v>
      </c>
      <c r="D64" s="32">
        <v>2.0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2">C64+K64</f>
        <v>112</v>
      </c>
      <c r="N64" s="32">
        <f t="shared" si="62"/>
        <v>2</v>
      </c>
      <c r="O64" s="43" t="s">
        <v>53</v>
      </c>
      <c r="P64" s="43" t="s">
        <v>53</v>
      </c>
      <c r="Q64" s="43" t="s">
        <v>53</v>
      </c>
      <c r="R64" s="39">
        <f>if(G64=13,1,0)+VLOOKUP(B64,'091424'!B:T,17,false)</f>
        <v>0</v>
      </c>
      <c r="S64" s="39"/>
      <c r="T64" s="39">
        <f>if(G64=9,1,0)+VLOOKUP(B64,'091424'!B:T,19,false)</f>
        <v>10</v>
      </c>
      <c r="U64" s="39">
        <f>VLOOKUP(B64,'091424'!B$5:V$70,21,false)-A64</f>
        <v>-2</v>
      </c>
      <c r="V64" s="30">
        <f t="shared" si="5"/>
        <v>60</v>
      </c>
    </row>
    <row r="65">
      <c r="A65" s="30">
        <f t="shared" si="3"/>
        <v>61</v>
      </c>
      <c r="B65" s="31" t="s">
        <v>81</v>
      </c>
      <c r="C65" s="32">
        <v>103.0</v>
      </c>
      <c r="D65" s="32">
        <v>1.0</v>
      </c>
      <c r="E65" s="37">
        <v>1.0</v>
      </c>
      <c r="F65" s="39">
        <v>7.0</v>
      </c>
      <c r="G65" s="40">
        <v>0.0</v>
      </c>
      <c r="H65" s="39">
        <v>6.0</v>
      </c>
      <c r="I65" s="39">
        <v>6.0</v>
      </c>
      <c r="J65" s="39">
        <v>6.0</v>
      </c>
      <c r="K65" s="42">
        <v>18.0</v>
      </c>
      <c r="L65" s="39">
        <v>3.0</v>
      </c>
      <c r="M65" s="32">
        <f t="shared" ref="M65:N65" si="63">C65+K65</f>
        <v>121</v>
      </c>
      <c r="N65" s="32">
        <f t="shared" si="63"/>
        <v>4</v>
      </c>
      <c r="O65" s="43" t="s">
        <v>53</v>
      </c>
      <c r="P65" s="43" t="s">
        <v>53</v>
      </c>
      <c r="Q65" s="43" t="s">
        <v>53</v>
      </c>
      <c r="R65" s="39">
        <f>if(G65=13,1,0)+VLOOKUP(B65,'091424'!B:T,17,false)</f>
        <v>1</v>
      </c>
      <c r="S65" s="39"/>
      <c r="T65" s="39">
        <f>if(G65=9,1,0)+VLOOKUP(B65,'091424'!B:T,19,false)</f>
        <v>9</v>
      </c>
      <c r="U65" s="39">
        <f>VLOOKUP(B65,'091424'!B$5:V$70,21,false)-A65</f>
        <v>-2</v>
      </c>
      <c r="V65" s="30">
        <f t="shared" si="5"/>
        <v>61</v>
      </c>
    </row>
    <row r="66">
      <c r="A66" s="30">
        <f t="shared" si="3"/>
        <v>62</v>
      </c>
      <c r="B66" s="31" t="s">
        <v>72</v>
      </c>
      <c r="C66" s="32">
        <v>103.0</v>
      </c>
      <c r="D66" s="32">
        <v>0.0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4">C66+K66</f>
        <v>112</v>
      </c>
      <c r="N66" s="32">
        <f t="shared" si="64"/>
        <v>0</v>
      </c>
      <c r="O66" s="43" t="s">
        <v>53</v>
      </c>
      <c r="P66" s="43" t="s">
        <v>53</v>
      </c>
      <c r="Q66" s="43" t="s">
        <v>53</v>
      </c>
      <c r="R66" s="39">
        <f>if(G66=13,1,0)+VLOOKUP(B66,'091424'!B:T,17,false)</f>
        <v>1</v>
      </c>
      <c r="S66" s="39"/>
      <c r="T66" s="39">
        <f>if(G66=9,1,0)+VLOOKUP(B66,'091424'!B:T,19,false)</f>
        <v>11</v>
      </c>
      <c r="U66" s="39">
        <f>VLOOKUP(B66,'091424'!B$5:V$70,21,false)-A66</f>
        <v>-2</v>
      </c>
      <c r="V66" s="30">
        <f t="shared" si="5"/>
        <v>62</v>
      </c>
    </row>
    <row r="67">
      <c r="A67" s="30">
        <f t="shared" si="3"/>
        <v>63</v>
      </c>
      <c r="B67" s="31" t="s">
        <v>126</v>
      </c>
      <c r="C67" s="32">
        <v>103.0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5">C67+K67</f>
        <v>112</v>
      </c>
      <c r="N67" s="32">
        <f t="shared" si="65"/>
        <v>0</v>
      </c>
      <c r="O67" s="43" t="s">
        <v>53</v>
      </c>
      <c r="P67" s="43" t="s">
        <v>53</v>
      </c>
      <c r="Q67" s="43" t="s">
        <v>53</v>
      </c>
      <c r="R67" s="39">
        <f>if(G67=13,1,0)+VLOOKUP(B67,'091424'!B:T,17,false)</f>
        <v>1</v>
      </c>
      <c r="S67" s="39"/>
      <c r="T67" s="39">
        <f>if(G67=9,1,0)+VLOOKUP(B67,'091424'!B:T,19,false)</f>
        <v>10</v>
      </c>
      <c r="U67" s="39">
        <f>VLOOKUP(B67,'091424'!B$5:V$70,21,false)-A67</f>
        <v>-2</v>
      </c>
      <c r="V67" s="30">
        <f t="shared" si="5"/>
        <v>63</v>
      </c>
    </row>
    <row r="68">
      <c r="A68" s="30">
        <f t="shared" si="3"/>
        <v>64</v>
      </c>
      <c r="B68" s="51" t="s">
        <v>113</v>
      </c>
      <c r="C68" s="32">
        <v>99.0</v>
      </c>
      <c r="D68" s="32">
        <v>6.0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6">C68+K68</f>
        <v>108</v>
      </c>
      <c r="N68" s="32">
        <f t="shared" si="66"/>
        <v>6</v>
      </c>
      <c r="O68" s="43" t="s">
        <v>53</v>
      </c>
      <c r="P68" s="43" t="s">
        <v>53</v>
      </c>
      <c r="Q68" s="43" t="s">
        <v>53</v>
      </c>
      <c r="R68" s="39">
        <f>if(G68=13,1,0)+VLOOKUP(B68,'091424'!B:T,17,false)</f>
        <v>0</v>
      </c>
      <c r="S68" s="39"/>
      <c r="T68" s="39">
        <f>if(G68=9,1,0)+VLOOKUP(B68,'091424'!B:T,19,false)</f>
        <v>3</v>
      </c>
      <c r="U68" s="39">
        <f>VLOOKUP(B68,'091424'!B$5:V$70,21,false)-A68</f>
        <v>-1</v>
      </c>
      <c r="V68" s="30">
        <f t="shared" si="5"/>
        <v>64</v>
      </c>
    </row>
    <row r="69">
      <c r="A69" s="30">
        <f t="shared" si="3"/>
        <v>65</v>
      </c>
      <c r="B69" s="51" t="s">
        <v>74</v>
      </c>
      <c r="C69" s="32">
        <v>99.0</v>
      </c>
      <c r="D69" s="32">
        <v>0.0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7">C69+K69</f>
        <v>108</v>
      </c>
      <c r="N69" s="32">
        <f t="shared" si="67"/>
        <v>0</v>
      </c>
      <c r="O69" s="43" t="s">
        <v>53</v>
      </c>
      <c r="P69" s="43" t="s">
        <v>53</v>
      </c>
      <c r="Q69" s="43" t="s">
        <v>53</v>
      </c>
      <c r="R69" s="39">
        <f>if(G69=13,1,0)+VLOOKUP(B69,'091424'!B:T,17,false)</f>
        <v>0</v>
      </c>
      <c r="S69" s="39"/>
      <c r="T69" s="39">
        <f>if(G69=9,1,0)+VLOOKUP(B69,'091424'!B:T,19,false)</f>
        <v>12</v>
      </c>
      <c r="U69" s="39">
        <f>VLOOKUP(B69,'091424'!B$5:V$70,21,false)-A69</f>
        <v>0</v>
      </c>
      <c r="V69" s="30">
        <f t="shared" si="5"/>
        <v>65</v>
      </c>
    </row>
    <row r="70">
      <c r="A70" s="30">
        <f t="shared" si="3"/>
        <v>66</v>
      </c>
      <c r="B70" s="51" t="s">
        <v>80</v>
      </c>
      <c r="C70" s="32">
        <v>96.0</v>
      </c>
      <c r="D70" s="32">
        <v>6.0</v>
      </c>
      <c r="E70" s="37">
        <v>3.0</v>
      </c>
      <c r="F70" s="39">
        <v>0.0</v>
      </c>
      <c r="G70" s="40">
        <v>9.0</v>
      </c>
      <c r="H70" s="39">
        <v>0.0</v>
      </c>
      <c r="I70" s="39">
        <v>0.0</v>
      </c>
      <c r="J70" s="39">
        <v>0.0</v>
      </c>
      <c r="K70" s="42">
        <v>9.0</v>
      </c>
      <c r="L70" s="39">
        <v>0.0</v>
      </c>
      <c r="M70" s="32">
        <f t="shared" ref="M70:N70" si="68">C70+K70</f>
        <v>105</v>
      </c>
      <c r="N70" s="32">
        <f t="shared" si="68"/>
        <v>6</v>
      </c>
      <c r="O70" s="43" t="s">
        <v>53</v>
      </c>
      <c r="P70" s="43" t="s">
        <v>53</v>
      </c>
      <c r="Q70" s="43" t="s">
        <v>53</v>
      </c>
      <c r="R70" s="39">
        <f>if(G70=13,1,0)+VLOOKUP(B70,'091424'!B:T,17,false)</f>
        <v>0</v>
      </c>
      <c r="S70" s="39"/>
      <c r="T70" s="39">
        <f>if(G70=9,1,0)+VLOOKUP(B70,'091424'!B:T,19,false)</f>
        <v>5</v>
      </c>
      <c r="U70" s="39">
        <f>VLOOKUP(B70,'091424'!B$5:V$70,21,false)-A70</f>
        <v>0</v>
      </c>
      <c r="V70" s="30">
        <f t="shared" si="5"/>
        <v>66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9">COUNTA(P5:P70)</f>
        <v>65</v>
      </c>
      <c r="Q73" s="8">
        <f t="shared" si="69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70">P75-P73</f>
        <v>1</v>
      </c>
      <c r="Q74" s="8">
        <f t="shared" si="70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desc"",0)"),"Tony Lin")</f>
        <v>Tony Lin</v>
      </c>
      <c r="C80" s="71">
        <f>IFERROR(__xludf.DUMMYFUNCTION("""COMPUTED_VALUE"""),20.0)</f>
        <v>20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IFERROR(__xludf.DUMMYFUNCTION("""COMPUTED_VALUE"""),"Alex Hou")</f>
        <v>Alex Hou</v>
      </c>
      <c r="C81" s="71">
        <f>IFERROR(__xludf.DUMMYFUNCTION("""COMPUTED_VALUE"""),19.0)</f>
        <v>19</v>
      </c>
      <c r="D81" s="71">
        <f>IFERROR(__xludf.DUMMYFUNCTION("""COMPUTED_VALUE"""),2.0)</f>
        <v>2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IFERROR(__xludf.DUMMYFUNCTION("""COMPUTED_VALUE"""),"Matthew Huang")</f>
        <v>Matthew Huang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IFERROR(__xludf.DUMMYFUNCTION("""COMPUTED_VALUE"""),"Jonathan Phan")</f>
        <v>Jonathan Phan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</row>
    <row r="84">
      <c r="A84" s="11"/>
      <c r="B84" s="51" t="str">
        <f>IFERROR(__xludf.DUMMYFUNCTION("""COMPUTED_VALUE"""),"Balaji Alahari")</f>
        <v>Balaji Alahari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K84" s="10"/>
    </row>
    <row r="85">
      <c r="A85" s="11"/>
      <c r="B85" s="51" t="str">
        <f>IFERROR(__xludf.DUMMYFUNCTION("""COMPUTED_VALUE"""),"Sean Chang")</f>
        <v>Sean Chang</v>
      </c>
      <c r="C85" s="71">
        <f>IFERROR(__xludf.DUMMYFUNCTION("""COMPUTED_VALUE"""),18.0)</f>
        <v>18</v>
      </c>
      <c r="D85" s="71">
        <f>IFERROR(__xludf.DUMMYFUNCTION("""COMPUTED_VALUE"""),2.0)</f>
        <v>2</v>
      </c>
      <c r="E85" s="11"/>
      <c r="K85" s="10"/>
    </row>
    <row r="86">
      <c r="A86" s="11"/>
      <c r="B86" s="51" t="str">
        <f>IFERROR(__xludf.DUMMYFUNCTION("""COMPUTED_VALUE"""),"Herman Au")</f>
        <v>Herman Au</v>
      </c>
      <c r="C86" s="71">
        <f>IFERROR(__xludf.DUMMYFUNCTION("""COMPUTED_VALUE"""),18.0)</f>
        <v>18</v>
      </c>
      <c r="D86" s="71">
        <f>IFERROR(__xludf.DUMMYFUNCTION("""COMPUTED_VALUE"""),2.0)</f>
        <v>2</v>
      </c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/>
      <c r="C91" s="11"/>
      <c r="D91" s="11"/>
      <c r="E91" s="11"/>
    </row>
    <row r="92">
      <c r="A92" s="11"/>
      <c r="B92" s="62" t="s">
        <v>135</v>
      </c>
      <c r="C92" s="62" t="s">
        <v>143</v>
      </c>
      <c r="E92" s="11"/>
    </row>
    <row r="93">
      <c r="A93" s="11"/>
      <c r="B93" s="51" t="str">
        <f>IFERROR(__xludf.DUMMYFUNCTION("query(B5:U70,""select B, U order by U Desc Limit 10"")"),"Pulkit Mathur")</f>
        <v>Pulkit Mathur</v>
      </c>
      <c r="C93" s="64">
        <f>IFERROR(__xludf.DUMMYFUNCTION("""COMPUTED_VALUE"""),13.0)</f>
        <v>13</v>
      </c>
      <c r="E93" s="11"/>
    </row>
    <row r="94">
      <c r="A94" s="11"/>
      <c r="B94" s="51" t="str">
        <f>IFERROR(__xludf.DUMMYFUNCTION("""COMPUTED_VALUE"""),"Santosh Sundaresan ")</f>
        <v>Santosh Sundaresan </v>
      </c>
      <c r="C94" s="64">
        <f>IFERROR(__xludf.DUMMYFUNCTION("""COMPUTED_VALUE"""),10.0)</f>
        <v>10</v>
      </c>
      <c r="E94" s="11"/>
    </row>
    <row r="95">
      <c r="A95" s="11"/>
      <c r="B95" s="51" t="str">
        <f>IFERROR(__xludf.DUMMYFUNCTION("""COMPUTED_VALUE"""),"Alejandro Mejia")</f>
        <v>Alejandro Mejia</v>
      </c>
      <c r="C95" s="64">
        <f>IFERROR(__xludf.DUMMYFUNCTION("""COMPUTED_VALUE"""),8.0)</f>
        <v>8</v>
      </c>
      <c r="E95" s="11"/>
    </row>
    <row r="96">
      <c r="A96" s="11"/>
      <c r="B96" s="51" t="str">
        <f>IFERROR(__xludf.DUMMYFUNCTION("""COMPUTED_VALUE"""),"Jimmy Awolesi")</f>
        <v>Jimmy Awolesi</v>
      </c>
      <c r="C96" s="64">
        <f>IFERROR(__xludf.DUMMYFUNCTION("""COMPUTED_VALUE"""),7.0)</f>
        <v>7</v>
      </c>
      <c r="E96" s="11"/>
    </row>
    <row r="97">
      <c r="A97" s="11"/>
      <c r="B97" s="51" t="str">
        <f>IFERROR(__xludf.DUMMYFUNCTION("""COMPUTED_VALUE"""),"Ted Shen")</f>
        <v>Ted Shen</v>
      </c>
      <c r="C97" s="64">
        <f>IFERROR(__xludf.DUMMYFUNCTION("""COMPUTED_VALUE"""),6.0)</f>
        <v>6</v>
      </c>
      <c r="E97" s="11"/>
    </row>
    <row r="98">
      <c r="A98" s="11"/>
      <c r="B98" s="51" t="str">
        <f>IFERROR(__xludf.DUMMYFUNCTION("""COMPUTED_VALUE"""),"James Phan")</f>
        <v>James Phan</v>
      </c>
      <c r="C98" s="64">
        <f>IFERROR(__xludf.DUMMYFUNCTION("""COMPUTED_VALUE"""),6.0)</f>
        <v>6</v>
      </c>
      <c r="E98" s="11"/>
    </row>
    <row r="99">
      <c r="A99" s="11"/>
      <c r="B99" s="51" t="str">
        <f>IFERROR(__xludf.DUMMYFUNCTION("""COMPUTED_VALUE"""),"Pavan Akkimsetty")</f>
        <v>Pavan Akkimsetty</v>
      </c>
      <c r="C99" s="64">
        <f>IFERROR(__xludf.DUMMYFUNCTION("""COMPUTED_VALUE"""),6.0)</f>
        <v>6</v>
      </c>
      <c r="E99" s="11"/>
    </row>
    <row r="100">
      <c r="A100" s="11"/>
      <c r="B100" s="51" t="str">
        <f>IFERROR(__xludf.DUMMYFUNCTION("""COMPUTED_VALUE"""),"Lam Bui")</f>
        <v>Lam Bui</v>
      </c>
      <c r="C100" s="64">
        <f>IFERROR(__xludf.DUMMYFUNCTION("""COMPUTED_VALUE"""),6.0)</f>
        <v>6</v>
      </c>
      <c r="E100" s="11"/>
    </row>
    <row r="101">
      <c r="A101" s="11"/>
      <c r="B101" s="51" t="str">
        <f>IFERROR(__xludf.DUMMYFUNCTION("""COMPUTED_VALUE"""),"Susanta Mishra")</f>
        <v>Susanta Mishra</v>
      </c>
      <c r="C101" s="64">
        <f>IFERROR(__xludf.DUMMYFUNCTION("""COMPUTED_VALUE"""),6.0)</f>
        <v>6</v>
      </c>
      <c r="E101" s="11"/>
    </row>
    <row r="102">
      <c r="A102" s="11"/>
      <c r="B102" s="51" t="str">
        <f>IFERROR(__xludf.DUMMYFUNCTION("""COMPUTED_VALUE"""),"Sandy Weyant")</f>
        <v>Sandy Weyant</v>
      </c>
      <c r="C102" s="64">
        <f>IFERROR(__xludf.DUMMYFUNCTION("""COMPUTED_VALUE"""),5.0)</f>
        <v>5</v>
      </c>
      <c r="E102" s="11"/>
    </row>
    <row r="103">
      <c r="A103" s="11"/>
      <c r="B103" s="10"/>
      <c r="C103" s="11"/>
      <c r="E103" s="11"/>
    </row>
    <row r="104">
      <c r="A104" s="11"/>
      <c r="B104" s="10"/>
      <c r="C104" s="11"/>
      <c r="E104" s="11"/>
    </row>
    <row r="105">
      <c r="A105" s="11"/>
      <c r="B105" s="62" t="s">
        <v>142</v>
      </c>
      <c r="C105" s="62" t="s">
        <v>143</v>
      </c>
      <c r="E105" s="11"/>
    </row>
    <row r="106">
      <c r="A106" s="11"/>
      <c r="B106" s="51" t="str">
        <f>IFERROR(__xludf.DUMMYFUNCTION("query(B5:U70,""select B, U order by U asc Limit 10"")"),"Arun Mallikarjuna")</f>
        <v>Arun Mallikarjuna</v>
      </c>
      <c r="C106" s="64">
        <f>IFERROR(__xludf.DUMMYFUNCTION("""COMPUTED_VALUE"""),-11.0)</f>
        <v>-11</v>
      </c>
      <c r="E106" s="11"/>
    </row>
    <row r="107">
      <c r="A107" s="11"/>
      <c r="B107" s="51" t="str">
        <f>IFERROR(__xludf.DUMMYFUNCTION("""COMPUTED_VALUE"""),"Eric Tan")</f>
        <v>Eric Tan</v>
      </c>
      <c r="C107" s="64">
        <f>IFERROR(__xludf.DUMMYFUNCTION("""COMPUTED_VALUE"""),-10.0)</f>
        <v>-10</v>
      </c>
      <c r="E107" s="11"/>
    </row>
    <row r="108">
      <c r="A108" s="11"/>
      <c r="B108" s="51" t="str">
        <f>IFERROR(__xludf.DUMMYFUNCTION("""COMPUTED_VALUE"""),"Cid Macaraeg")</f>
        <v>Cid Macaraeg</v>
      </c>
      <c r="C108" s="64">
        <f>IFERROR(__xludf.DUMMYFUNCTION("""COMPUTED_VALUE"""),-7.0)</f>
        <v>-7</v>
      </c>
      <c r="E108" s="11"/>
    </row>
    <row r="109">
      <c r="A109" s="11"/>
      <c r="B109" s="51" t="str">
        <f>IFERROR(__xludf.DUMMYFUNCTION("""COMPUTED_VALUE"""),"Lloyd Sagar")</f>
        <v>Lloyd Sagar</v>
      </c>
      <c r="C109" s="64">
        <f>IFERROR(__xludf.DUMMYFUNCTION("""COMPUTED_VALUE"""),-4.0)</f>
        <v>-4</v>
      </c>
      <c r="E109" s="11"/>
    </row>
    <row r="110">
      <c r="A110" s="11"/>
      <c r="B110" s="51" t="str">
        <f>IFERROR(__xludf.DUMMYFUNCTION("""COMPUTED_VALUE"""),"Coco Yan")</f>
        <v>Coco Yan</v>
      </c>
      <c r="C110" s="64">
        <f>IFERROR(__xludf.DUMMYFUNCTION("""COMPUTED_VALUE"""),-4.0)</f>
        <v>-4</v>
      </c>
      <c r="E110" s="11"/>
    </row>
    <row r="111">
      <c r="A111" s="11"/>
      <c r="B111" s="51" t="str">
        <f>IFERROR(__xludf.DUMMYFUNCTION("""COMPUTED_VALUE"""),"Jonathan Phan")</f>
        <v>Jonathan Phan</v>
      </c>
      <c r="C111" s="64">
        <f>IFERROR(__xludf.DUMMYFUNCTION("""COMPUTED_VALUE"""),-3.0)</f>
        <v>-3</v>
      </c>
      <c r="E111" s="11"/>
    </row>
    <row r="112">
      <c r="A112" s="11"/>
      <c r="B112" s="51" t="str">
        <f>IFERROR(__xludf.DUMMYFUNCTION("""COMPUTED_VALUE"""),"Sean Chang")</f>
        <v>Sean Chang</v>
      </c>
      <c r="C112" s="64">
        <f>IFERROR(__xludf.DUMMYFUNCTION("""COMPUTED_VALUE"""),-3.0)</f>
        <v>-3</v>
      </c>
      <c r="E112" s="11"/>
    </row>
    <row r="113">
      <c r="A113" s="11"/>
      <c r="B113" s="51" t="str">
        <f>IFERROR(__xludf.DUMMYFUNCTION("""COMPUTED_VALUE"""),"Kumar Palakeel")</f>
        <v>Kumar Palakeel</v>
      </c>
      <c r="C113" s="64">
        <f>IFERROR(__xludf.DUMMYFUNCTION("""COMPUTED_VALUE"""),-3.0)</f>
        <v>-3</v>
      </c>
      <c r="E113" s="11"/>
    </row>
    <row r="114">
      <c r="A114" s="11"/>
      <c r="B114" s="51" t="str">
        <f>IFERROR(__xludf.DUMMYFUNCTION("""COMPUTED_VALUE"""),"Nohely Mejia")</f>
        <v>Nohely Mejia</v>
      </c>
      <c r="C114" s="64">
        <f>IFERROR(__xludf.DUMMYFUNCTION("""COMPUTED_VALUE"""),-3.0)</f>
        <v>-3</v>
      </c>
      <c r="E114" s="11"/>
    </row>
    <row r="115">
      <c r="A115" s="11"/>
      <c r="B115" s="51" t="str">
        <f>IFERROR(__xludf.DUMMYFUNCTION("""COMPUTED_VALUE"""),"Eric Pan")</f>
        <v>Eric Pan</v>
      </c>
      <c r="C115" s="64">
        <f>IFERROR(__xludf.DUMMYFUNCTION("""COMPUTED_VALUE"""),-3.0)</f>
        <v>-3</v>
      </c>
      <c r="E115" s="11"/>
    </row>
    <row r="116">
      <c r="A116" s="11"/>
      <c r="B116" s="10"/>
      <c r="C116" s="11"/>
      <c r="E116" s="11"/>
    </row>
    <row r="117">
      <c r="A117" s="11"/>
      <c r="B117" s="10"/>
      <c r="C117" s="11"/>
      <c r="E117" s="11"/>
    </row>
    <row r="118">
      <c r="A118" s="11"/>
      <c r="B118" s="10"/>
      <c r="C118" s="11"/>
      <c r="E118" s="11"/>
    </row>
    <row r="119">
      <c r="A119" s="11"/>
      <c r="B119" s="10"/>
      <c r="C119" s="11"/>
      <c r="E119" s="11"/>
    </row>
    <row r="120">
      <c r="A120" s="11"/>
      <c r="B120" s="10"/>
      <c r="C120" s="11"/>
      <c r="D120" s="11"/>
      <c r="E120" s="11"/>
    </row>
    <row r="121">
      <c r="A121" s="11"/>
      <c r="B121" s="10"/>
      <c r="C121" s="11"/>
      <c r="D121" s="11"/>
      <c r="E121" s="11"/>
    </row>
    <row r="122">
      <c r="A122" s="11"/>
      <c r="B122" s="10"/>
      <c r="C122" s="11"/>
      <c r="D122" s="11"/>
      <c r="E122" s="11"/>
    </row>
    <row r="123">
      <c r="A123" s="11"/>
      <c r="B123" s="10"/>
      <c r="C123" s="11"/>
      <c r="D123" s="11"/>
      <c r="E123" s="11"/>
    </row>
    <row r="124">
      <c r="A124" s="11"/>
      <c r="B124" s="10"/>
      <c r="C124" s="11"/>
      <c r="D124" s="11"/>
      <c r="E124" s="11"/>
    </row>
    <row r="125">
      <c r="A125" s="11"/>
      <c r="B125" s="10"/>
      <c r="C125" s="11"/>
      <c r="D125" s="11"/>
      <c r="E125" s="11"/>
    </row>
    <row r="126">
      <c r="A126" s="11"/>
      <c r="B126" s="10"/>
      <c r="C126" s="11"/>
      <c r="D126" s="11"/>
      <c r="E126" s="11"/>
    </row>
    <row r="127">
      <c r="A127" s="11"/>
      <c r="B127" s="10"/>
      <c r="C127" s="11"/>
      <c r="D127" s="11"/>
      <c r="E127" s="11"/>
    </row>
    <row r="128">
      <c r="A128" s="11"/>
      <c r="B128" s="10"/>
      <c r="C128" s="11"/>
      <c r="D128" s="11"/>
      <c r="E128" s="11"/>
    </row>
    <row r="129">
      <c r="A129" s="11"/>
      <c r="B129" s="10" t="s">
        <v>165</v>
      </c>
      <c r="C129" s="11"/>
      <c r="D129" s="11"/>
      <c r="E129" s="11"/>
    </row>
    <row r="130">
      <c r="A130" s="11"/>
      <c r="B130" s="27" t="s">
        <v>31</v>
      </c>
      <c r="C130" s="29" t="s">
        <v>2</v>
      </c>
      <c r="D130" s="29" t="s">
        <v>4</v>
      </c>
      <c r="E130" s="29" t="s">
        <v>33</v>
      </c>
      <c r="F130" s="29" t="s">
        <v>35</v>
      </c>
      <c r="G130" s="29" t="s">
        <v>36</v>
      </c>
      <c r="H130" s="29" t="s">
        <v>6</v>
      </c>
      <c r="I130" s="29" t="s">
        <v>7</v>
      </c>
      <c r="J130" s="29" t="s">
        <v>8</v>
      </c>
      <c r="K130" s="29" t="s">
        <v>2</v>
      </c>
      <c r="L130" s="29" t="s">
        <v>4</v>
      </c>
      <c r="M130" s="28" t="s">
        <v>2</v>
      </c>
      <c r="N130" s="28" t="s">
        <v>4</v>
      </c>
    </row>
    <row r="131">
      <c r="A131" s="11"/>
      <c r="B131" s="82" t="str">
        <f>IFERROR(__xludf.DUMMYFUNCTION("QUERY(B5:N70, ""Select B, C, D, E, F, G, H, I, J, K, L, M, N   where F &gt;= 1"")"),"Tom Le")</f>
        <v>Tom Le</v>
      </c>
      <c r="C131" s="87">
        <f>IFERROR(__xludf.DUMMYFUNCTION("""COMPUTED_VALUE"""),153.0)</f>
        <v>153</v>
      </c>
      <c r="D131" s="87">
        <f>IFERROR(__xludf.DUMMYFUNCTION("""COMPUTED_VALUE"""),18.0)</f>
        <v>18</v>
      </c>
      <c r="E131" s="86">
        <f>IFERROR(__xludf.DUMMYFUNCTION("""COMPUTED_VALUE"""),1.0)</f>
        <v>1</v>
      </c>
      <c r="F131" s="88">
        <f>IFERROR(__xludf.DUMMYFUNCTION("""COMPUTED_VALUE"""),1.0)</f>
        <v>1</v>
      </c>
      <c r="G131" s="88">
        <f>IFERROR(__xludf.DUMMYFUNCTION("""COMPUTED_VALUE"""),0.0)</f>
        <v>0</v>
      </c>
      <c r="H131" s="88">
        <f>IFERROR(__xludf.DUMMYFUNCTION("""COMPUTED_VALUE"""),0.0)</f>
        <v>0</v>
      </c>
      <c r="I131" s="88">
        <f>IFERROR(__xludf.DUMMYFUNCTION("""COMPUTED_VALUE"""),6.0)</f>
        <v>6</v>
      </c>
      <c r="J131" s="88">
        <f>IFERROR(__xludf.DUMMYFUNCTION("""COMPUTED_VALUE"""),6.0)</f>
        <v>6</v>
      </c>
      <c r="K131" s="88">
        <f>IFERROR(__xludf.DUMMYFUNCTION("""COMPUTED_VALUE"""),12.0)</f>
        <v>12</v>
      </c>
      <c r="L131" s="88">
        <f>IFERROR(__xludf.DUMMYFUNCTION("""COMPUTED_VALUE"""),2.0)</f>
        <v>2</v>
      </c>
      <c r="M131" s="89">
        <f>IFERROR(__xludf.DUMMYFUNCTION("""COMPUTED_VALUE"""),165.0)</f>
        <v>165</v>
      </c>
      <c r="N131" s="89">
        <f>IFERROR(__xludf.DUMMYFUNCTION("""COMPUTED_VALUE"""),20.0)</f>
        <v>20</v>
      </c>
    </row>
    <row r="132">
      <c r="A132" s="11"/>
      <c r="B132" s="82" t="str">
        <f>IFERROR(__xludf.DUMMYFUNCTION("""COMPUTED_VALUE"""),"Christopher Li")</f>
        <v>Christopher Li</v>
      </c>
      <c r="C132" s="87">
        <f>IFERROR(__xludf.DUMMYFUNCTION("""COMPUTED_VALUE"""),148.0)</f>
        <v>148</v>
      </c>
      <c r="D132" s="87">
        <f>IFERROR(__xludf.DUMMYFUNCTION("""COMPUTED_VALUE"""),15.0)</f>
        <v>15</v>
      </c>
      <c r="E132" s="86">
        <f>IFERROR(__xludf.DUMMYFUNCTION("""COMPUTED_VALUE"""),1.0)</f>
        <v>1</v>
      </c>
      <c r="F132" s="88">
        <f>IFERROR(__xludf.DUMMYFUNCTION("""COMPUTED_VALUE"""),1.0)</f>
        <v>1</v>
      </c>
      <c r="G132" s="88">
        <f>IFERROR(__xludf.DUMMYFUNCTION("""COMPUTED_VALUE"""),0.0)</f>
        <v>0</v>
      </c>
      <c r="H132" s="88">
        <f>IFERROR(__xludf.DUMMYFUNCTION("""COMPUTED_VALUE"""),6.0)</f>
        <v>6</v>
      </c>
      <c r="I132" s="88">
        <f>IFERROR(__xludf.DUMMYFUNCTION("""COMPUTED_VALUE"""),6.0)</f>
        <v>6</v>
      </c>
      <c r="J132" s="88">
        <f>IFERROR(__xludf.DUMMYFUNCTION("""COMPUTED_VALUE"""),4.0)</f>
        <v>4</v>
      </c>
      <c r="K132" s="88">
        <f>IFERROR(__xludf.DUMMYFUNCTION("""COMPUTED_VALUE"""),16.0)</f>
        <v>16</v>
      </c>
      <c r="L132" s="88">
        <f>IFERROR(__xludf.DUMMYFUNCTION("""COMPUTED_VALUE"""),2.0)</f>
        <v>2</v>
      </c>
      <c r="M132" s="89">
        <f>IFERROR(__xludf.DUMMYFUNCTION("""COMPUTED_VALUE"""),164.0)</f>
        <v>164</v>
      </c>
      <c r="N132" s="89">
        <f>IFERROR(__xludf.DUMMYFUNCTION("""COMPUTED_VALUE"""),17.0)</f>
        <v>17</v>
      </c>
    </row>
    <row r="133">
      <c r="A133" s="11"/>
      <c r="B133" s="82" t="str">
        <f>IFERROR(__xludf.DUMMYFUNCTION("""COMPUTED_VALUE"""),"David Shin")</f>
        <v>David Shin</v>
      </c>
      <c r="C133" s="87">
        <f>IFERROR(__xludf.DUMMYFUNCTION("""COMPUTED_VALUE"""),146.0)</f>
        <v>146</v>
      </c>
      <c r="D133" s="87">
        <f>IFERROR(__xludf.DUMMYFUNCTION("""COMPUTED_VALUE"""),14.0)</f>
        <v>14</v>
      </c>
      <c r="E133" s="86">
        <f>IFERROR(__xludf.DUMMYFUNCTION("""COMPUTED_VALUE"""),1.0)</f>
        <v>1</v>
      </c>
      <c r="F133" s="88">
        <f>IFERROR(__xludf.DUMMYFUNCTION("""COMPUTED_VALUE"""),1.0)</f>
        <v>1</v>
      </c>
      <c r="G133" s="88">
        <f>IFERROR(__xludf.DUMMYFUNCTION("""COMPUTED_VALUE"""),0.0)</f>
        <v>0</v>
      </c>
      <c r="H133" s="88">
        <f>IFERROR(__xludf.DUMMYFUNCTION("""COMPUTED_VALUE"""),0.0)</f>
        <v>0</v>
      </c>
      <c r="I133" s="88">
        <f>IFERROR(__xludf.DUMMYFUNCTION("""COMPUTED_VALUE"""),0.0)</f>
        <v>0</v>
      </c>
      <c r="J133" s="88">
        <f>IFERROR(__xludf.DUMMYFUNCTION("""COMPUTED_VALUE"""),4.0)</f>
        <v>4</v>
      </c>
      <c r="K133" s="88">
        <f>IFERROR(__xludf.DUMMYFUNCTION("""COMPUTED_VALUE"""),4.0)</f>
        <v>4</v>
      </c>
      <c r="L133" s="88">
        <f>IFERROR(__xludf.DUMMYFUNCTION("""COMPUTED_VALUE"""),0.0)</f>
        <v>0</v>
      </c>
      <c r="M133" s="89">
        <f>IFERROR(__xludf.DUMMYFUNCTION("""COMPUTED_VALUE"""),150.0)</f>
        <v>150</v>
      </c>
      <c r="N133" s="89">
        <f>IFERROR(__xludf.DUMMYFUNCTION("""COMPUTED_VALUE"""),14.0)</f>
        <v>14</v>
      </c>
    </row>
    <row r="134">
      <c r="A134" s="11"/>
      <c r="B134" s="82" t="str">
        <f>IFERROR(__xludf.DUMMYFUNCTION("""COMPUTED_VALUE"""),"Alejandro Mejia")</f>
        <v>Alejandro Mejia</v>
      </c>
      <c r="C134" s="87">
        <f>IFERROR(__xludf.DUMMYFUNCTION("""COMPUTED_VALUE"""),145.0)</f>
        <v>145</v>
      </c>
      <c r="D134" s="87">
        <f>IFERROR(__xludf.DUMMYFUNCTION("""COMPUTED_VALUE"""),16.0)</f>
        <v>16</v>
      </c>
      <c r="E134" s="86">
        <f>IFERROR(__xludf.DUMMYFUNCTION("""COMPUTED_VALUE"""),1.0)</f>
        <v>1</v>
      </c>
      <c r="F134" s="88">
        <f>IFERROR(__xludf.DUMMYFUNCTION("""COMPUTED_VALUE"""),1.0)</f>
        <v>1</v>
      </c>
      <c r="G134" s="88">
        <f>IFERROR(__xludf.DUMMYFUNCTION("""COMPUTED_VALUE"""),0.0)</f>
        <v>0</v>
      </c>
      <c r="H134" s="88">
        <f>IFERROR(__xludf.DUMMYFUNCTION("""COMPUTED_VALUE"""),6.0)</f>
        <v>6</v>
      </c>
      <c r="I134" s="88">
        <f>IFERROR(__xludf.DUMMYFUNCTION("""COMPUTED_VALUE"""),0.0)</f>
        <v>0</v>
      </c>
      <c r="J134" s="88">
        <f>IFERROR(__xludf.DUMMYFUNCTION("""COMPUTED_VALUE"""),6.0)</f>
        <v>6</v>
      </c>
      <c r="K134" s="88">
        <f>IFERROR(__xludf.DUMMYFUNCTION("""COMPUTED_VALUE"""),12.0)</f>
        <v>12</v>
      </c>
      <c r="L134" s="88">
        <f>IFERROR(__xludf.DUMMYFUNCTION("""COMPUTED_VALUE"""),2.0)</f>
        <v>2</v>
      </c>
      <c r="M134" s="89">
        <f>IFERROR(__xludf.DUMMYFUNCTION("""COMPUTED_VALUE"""),157.0)</f>
        <v>157</v>
      </c>
      <c r="N134" s="89">
        <f>IFERROR(__xludf.DUMMYFUNCTION("""COMPUTED_VALUE"""),18.0)</f>
        <v>18</v>
      </c>
    </row>
    <row r="135">
      <c r="A135" s="11"/>
      <c r="B135" s="84" t="str">
        <f>IFERROR(__xludf.DUMMYFUNCTION("""COMPUTED_VALUE"""),"Ted Shen")</f>
        <v>Ted Shen</v>
      </c>
      <c r="C135" s="95">
        <f>IFERROR(__xludf.DUMMYFUNCTION("""COMPUTED_VALUE"""),144.0)</f>
        <v>144</v>
      </c>
      <c r="D135" s="95">
        <f>IFERROR(__xludf.DUMMYFUNCTION("""COMPUTED_VALUE"""),14.0)</f>
        <v>14</v>
      </c>
      <c r="E135" s="96">
        <f>IFERROR(__xludf.DUMMYFUNCTION("""COMPUTED_VALUE"""),2.0)</f>
        <v>2</v>
      </c>
      <c r="F135" s="97">
        <f>IFERROR(__xludf.DUMMYFUNCTION("""COMPUTED_VALUE"""),2.0)</f>
        <v>2</v>
      </c>
      <c r="G135" s="97">
        <f>IFERROR(__xludf.DUMMYFUNCTION("""COMPUTED_VALUE"""),0.0)</f>
        <v>0</v>
      </c>
      <c r="H135" s="97">
        <f>IFERROR(__xludf.DUMMYFUNCTION("""COMPUTED_VALUE"""),3.0)</f>
        <v>3</v>
      </c>
      <c r="I135" s="97">
        <f>IFERROR(__xludf.DUMMYFUNCTION("""COMPUTED_VALUE"""),6.0)</f>
        <v>6</v>
      </c>
      <c r="J135" s="97">
        <f>IFERROR(__xludf.DUMMYFUNCTION("""COMPUTED_VALUE"""),3.0)</f>
        <v>3</v>
      </c>
      <c r="K135" s="97">
        <f>IFERROR(__xludf.DUMMYFUNCTION("""COMPUTED_VALUE"""),12.0)</f>
        <v>12</v>
      </c>
      <c r="L135" s="97">
        <f>IFERROR(__xludf.DUMMYFUNCTION("""COMPUTED_VALUE"""),1.0)</f>
        <v>1</v>
      </c>
      <c r="M135" s="98">
        <f>IFERROR(__xludf.DUMMYFUNCTION("""COMPUTED_VALUE"""),156.0)</f>
        <v>156</v>
      </c>
      <c r="N135" s="98">
        <f>IFERROR(__xludf.DUMMYFUNCTION("""COMPUTED_VALUE"""),15.0)</f>
        <v>15</v>
      </c>
    </row>
    <row r="136">
      <c r="A136" s="11"/>
      <c r="B136" s="84" t="str">
        <f>IFERROR(__xludf.DUMMYFUNCTION("""COMPUTED_VALUE"""),"Matthew Huang")</f>
        <v>Matthew Huang</v>
      </c>
      <c r="C136" s="95">
        <f>IFERROR(__xludf.DUMMYFUNCTION("""COMPUTED_VALUE"""),144.0)</f>
        <v>144</v>
      </c>
      <c r="D136" s="95">
        <f>IFERROR(__xludf.DUMMYFUNCTION("""COMPUTED_VALUE"""),13.0)</f>
        <v>13</v>
      </c>
      <c r="E136" s="96">
        <f>IFERROR(__xludf.DUMMYFUNCTION("""COMPUTED_VALUE"""),1.0)</f>
        <v>1</v>
      </c>
      <c r="F136" s="97">
        <f>IFERROR(__xludf.DUMMYFUNCTION("""COMPUTED_VALUE"""),2.0)</f>
        <v>2</v>
      </c>
      <c r="G136" s="97">
        <f>IFERROR(__xludf.DUMMYFUNCTION("""COMPUTED_VALUE"""),0.0)</f>
        <v>0</v>
      </c>
      <c r="H136" s="97">
        <f>IFERROR(__xludf.DUMMYFUNCTION("""COMPUTED_VALUE"""),6.0)</f>
        <v>6</v>
      </c>
      <c r="I136" s="97">
        <f>IFERROR(__xludf.DUMMYFUNCTION("""COMPUTED_VALUE"""),6.0)</f>
        <v>6</v>
      </c>
      <c r="J136" s="97">
        <f>IFERROR(__xludf.DUMMYFUNCTION("""COMPUTED_VALUE"""),6.0)</f>
        <v>6</v>
      </c>
      <c r="K136" s="97">
        <f>IFERROR(__xludf.DUMMYFUNCTION("""COMPUTED_VALUE"""),18.0)</f>
        <v>18</v>
      </c>
      <c r="L136" s="97">
        <f>IFERROR(__xludf.DUMMYFUNCTION("""COMPUTED_VALUE"""),3.0)</f>
        <v>3</v>
      </c>
      <c r="M136" s="98">
        <f>IFERROR(__xludf.DUMMYFUNCTION("""COMPUTED_VALUE"""),162.0)</f>
        <v>162</v>
      </c>
      <c r="N136" s="98">
        <f>IFERROR(__xludf.DUMMYFUNCTION("""COMPUTED_VALUE"""),16.0)</f>
        <v>16</v>
      </c>
    </row>
    <row r="137">
      <c r="A137" s="11"/>
      <c r="B137" s="84" t="str">
        <f>IFERROR(__xludf.DUMMYFUNCTION("""COMPUTED_VALUE"""),"Joe Luzzi")</f>
        <v>Joe Luzzi</v>
      </c>
      <c r="C137" s="95">
        <f>IFERROR(__xludf.DUMMYFUNCTION("""COMPUTED_VALUE"""),144.0)</f>
        <v>144</v>
      </c>
      <c r="D137" s="95">
        <f>IFERROR(__xludf.DUMMYFUNCTION("""COMPUTED_VALUE"""),10.0)</f>
        <v>10</v>
      </c>
      <c r="E137" s="96">
        <f>IFERROR(__xludf.DUMMYFUNCTION("""COMPUTED_VALUE"""),1.0)</f>
        <v>1</v>
      </c>
      <c r="F137" s="97">
        <f>IFERROR(__xludf.DUMMYFUNCTION("""COMPUTED_VALUE"""),2.0)</f>
        <v>2</v>
      </c>
      <c r="G137" s="97">
        <f>IFERROR(__xludf.DUMMYFUNCTION("""COMPUTED_VALUE"""),0.0)</f>
        <v>0</v>
      </c>
      <c r="H137" s="97">
        <f>IFERROR(__xludf.DUMMYFUNCTION("""COMPUTED_VALUE"""),6.0)</f>
        <v>6</v>
      </c>
      <c r="I137" s="97">
        <f>IFERROR(__xludf.DUMMYFUNCTION("""COMPUTED_VALUE"""),4.0)</f>
        <v>4</v>
      </c>
      <c r="J137" s="97">
        <f>IFERROR(__xludf.DUMMYFUNCTION("""COMPUTED_VALUE"""),3.0)</f>
        <v>3</v>
      </c>
      <c r="K137" s="97">
        <f>IFERROR(__xludf.DUMMYFUNCTION("""COMPUTED_VALUE"""),13.0)</f>
        <v>13</v>
      </c>
      <c r="L137" s="97">
        <f>IFERROR(__xludf.DUMMYFUNCTION("""COMPUTED_VALUE"""),1.0)</f>
        <v>1</v>
      </c>
      <c r="M137" s="98">
        <f>IFERROR(__xludf.DUMMYFUNCTION("""COMPUTED_VALUE"""),157.0)</f>
        <v>157</v>
      </c>
      <c r="N137" s="98">
        <f>IFERROR(__xludf.DUMMYFUNCTION("""COMPUTED_VALUE"""),11.0)</f>
        <v>11</v>
      </c>
    </row>
    <row r="138">
      <c r="A138" s="11"/>
      <c r="B138" s="84" t="str">
        <f>IFERROR(__xludf.DUMMYFUNCTION("""COMPUTED_VALUE"""),"Frank Moon")</f>
        <v>Frank Moon</v>
      </c>
      <c r="C138" s="95">
        <f>IFERROR(__xludf.DUMMYFUNCTION("""COMPUTED_VALUE"""),142.0)</f>
        <v>142</v>
      </c>
      <c r="D138" s="95">
        <f>IFERROR(__xludf.DUMMYFUNCTION("""COMPUTED_VALUE"""),13.0)</f>
        <v>13</v>
      </c>
      <c r="E138" s="96">
        <f>IFERROR(__xludf.DUMMYFUNCTION("""COMPUTED_VALUE"""),1.0)</f>
        <v>1</v>
      </c>
      <c r="F138" s="97">
        <f>IFERROR(__xludf.DUMMYFUNCTION("""COMPUTED_VALUE"""),2.0)</f>
        <v>2</v>
      </c>
      <c r="G138" s="97">
        <f>IFERROR(__xludf.DUMMYFUNCTION("""COMPUTED_VALUE"""),0.0)</f>
        <v>0</v>
      </c>
      <c r="H138" s="97">
        <f>IFERROR(__xludf.DUMMYFUNCTION("""COMPUTED_VALUE"""),3.0)</f>
        <v>3</v>
      </c>
      <c r="I138" s="97">
        <f>IFERROR(__xludf.DUMMYFUNCTION("""COMPUTED_VALUE"""),4.0)</f>
        <v>4</v>
      </c>
      <c r="J138" s="97">
        <f>IFERROR(__xludf.DUMMYFUNCTION("""COMPUTED_VALUE"""),6.0)</f>
        <v>6</v>
      </c>
      <c r="K138" s="97">
        <f>IFERROR(__xludf.DUMMYFUNCTION("""COMPUTED_VALUE"""),13.0)</f>
        <v>13</v>
      </c>
      <c r="L138" s="97">
        <f>IFERROR(__xludf.DUMMYFUNCTION("""COMPUTED_VALUE"""),1.0)</f>
        <v>1</v>
      </c>
      <c r="M138" s="98">
        <f>IFERROR(__xludf.DUMMYFUNCTION("""COMPUTED_VALUE"""),155.0)</f>
        <v>155</v>
      </c>
      <c r="N138" s="98">
        <f>IFERROR(__xludf.DUMMYFUNCTION("""COMPUTED_VALUE"""),14.0)</f>
        <v>14</v>
      </c>
    </row>
    <row r="139">
      <c r="A139" s="11"/>
      <c r="B139" s="84" t="str">
        <f>IFERROR(__xludf.DUMMYFUNCTION("""COMPUTED_VALUE"""),"Troy Wong")</f>
        <v>Troy Wong</v>
      </c>
      <c r="C139" s="87">
        <f>IFERROR(__xludf.DUMMYFUNCTION("""COMPUTED_VALUE"""),142.0)</f>
        <v>142</v>
      </c>
      <c r="D139" s="87">
        <f>IFERROR(__xludf.DUMMYFUNCTION("""COMPUTED_VALUE"""),9.0)</f>
        <v>9</v>
      </c>
      <c r="E139" s="86">
        <f>IFERROR(__xludf.DUMMYFUNCTION("""COMPUTED_VALUE"""),1.0)</f>
        <v>1</v>
      </c>
      <c r="F139" s="88">
        <f>IFERROR(__xludf.DUMMYFUNCTION("""COMPUTED_VALUE"""),3.0)</f>
        <v>3</v>
      </c>
      <c r="G139" s="88">
        <f>IFERROR(__xludf.DUMMYFUNCTION("""COMPUTED_VALUE"""),0.0)</f>
        <v>0</v>
      </c>
      <c r="H139" s="88">
        <f>IFERROR(__xludf.DUMMYFUNCTION("""COMPUTED_VALUE"""),4.0)</f>
        <v>4</v>
      </c>
      <c r="I139" s="88">
        <f>IFERROR(__xludf.DUMMYFUNCTION("""COMPUTED_VALUE"""),6.0)</f>
        <v>6</v>
      </c>
      <c r="J139" s="88">
        <f>IFERROR(__xludf.DUMMYFUNCTION("""COMPUTED_VALUE"""),1.0)</f>
        <v>1</v>
      </c>
      <c r="K139" s="88">
        <f>IFERROR(__xludf.DUMMYFUNCTION("""COMPUTED_VALUE"""),11.0)</f>
        <v>11</v>
      </c>
      <c r="L139" s="88">
        <f>IFERROR(__xludf.DUMMYFUNCTION("""COMPUTED_VALUE"""),1.0)</f>
        <v>1</v>
      </c>
      <c r="M139" s="89">
        <f>IFERROR(__xludf.DUMMYFUNCTION("""COMPUTED_VALUE"""),153.0)</f>
        <v>153</v>
      </c>
      <c r="N139" s="89">
        <f>IFERROR(__xludf.DUMMYFUNCTION("""COMPUTED_VALUE"""),10.0)</f>
        <v>10</v>
      </c>
    </row>
    <row r="140">
      <c r="A140" s="11"/>
      <c r="B140" s="84" t="str">
        <f>IFERROR(__xludf.DUMMYFUNCTION("""COMPUTED_VALUE"""),"Jonathan Phan")</f>
        <v>Jonathan Phan</v>
      </c>
      <c r="C140" s="87">
        <f>IFERROR(__xludf.DUMMYFUNCTION("""COMPUTED_VALUE"""),141.0)</f>
        <v>141</v>
      </c>
      <c r="D140" s="87">
        <f>IFERROR(__xludf.DUMMYFUNCTION("""COMPUTED_VALUE"""),10.0)</f>
        <v>10</v>
      </c>
      <c r="E140" s="86">
        <f>IFERROR(__xludf.DUMMYFUNCTION("""COMPUTED_VALUE"""),1.0)</f>
        <v>1</v>
      </c>
      <c r="F140" s="88">
        <f>IFERROR(__xludf.DUMMYFUNCTION("""COMPUTED_VALUE"""),3.0)</f>
        <v>3</v>
      </c>
      <c r="G140" s="88">
        <f>IFERROR(__xludf.DUMMYFUNCTION("""COMPUTED_VALUE"""),0.0)</f>
        <v>0</v>
      </c>
      <c r="H140" s="88">
        <f>IFERROR(__xludf.DUMMYFUNCTION("""COMPUTED_VALUE"""),6.0)</f>
        <v>6</v>
      </c>
      <c r="I140" s="88">
        <f>IFERROR(__xludf.DUMMYFUNCTION("""COMPUTED_VALUE"""),6.0)</f>
        <v>6</v>
      </c>
      <c r="J140" s="88">
        <f>IFERROR(__xludf.DUMMYFUNCTION("""COMPUTED_VALUE"""),6.0)</f>
        <v>6</v>
      </c>
      <c r="K140" s="88">
        <f>IFERROR(__xludf.DUMMYFUNCTION("""COMPUTED_VALUE"""),18.0)</f>
        <v>18</v>
      </c>
      <c r="L140" s="88">
        <f>IFERROR(__xludf.DUMMYFUNCTION("""COMPUTED_VALUE"""),3.0)</f>
        <v>3</v>
      </c>
      <c r="M140" s="89">
        <f>IFERROR(__xludf.DUMMYFUNCTION("""COMPUTED_VALUE"""),159.0)</f>
        <v>159</v>
      </c>
      <c r="N140" s="89">
        <f>IFERROR(__xludf.DUMMYFUNCTION("""COMPUTED_VALUE"""),13.0)</f>
        <v>13</v>
      </c>
    </row>
    <row r="141">
      <c r="A141" s="11"/>
      <c r="B141" s="82" t="str">
        <f>IFERROR(__xludf.DUMMYFUNCTION("""COMPUTED_VALUE"""),"Pavan Akkimsetty")</f>
        <v>Pavan Akkimsetty</v>
      </c>
      <c r="C141" s="87">
        <f>IFERROR(__xludf.DUMMYFUNCTION("""COMPUTED_VALUE"""),139.0)</f>
        <v>139</v>
      </c>
      <c r="D141" s="87">
        <f>IFERROR(__xludf.DUMMYFUNCTION("""COMPUTED_VALUE"""),12.0)</f>
        <v>12</v>
      </c>
      <c r="E141" s="86">
        <f>IFERROR(__xludf.DUMMYFUNCTION("""COMPUTED_VALUE"""),1.0)</f>
        <v>1</v>
      </c>
      <c r="F141" s="88">
        <f>IFERROR(__xludf.DUMMYFUNCTION("""COMPUTED_VALUE"""),3.0)</f>
        <v>3</v>
      </c>
      <c r="G141" s="88">
        <f>IFERROR(__xludf.DUMMYFUNCTION("""COMPUTED_VALUE"""),0.0)</f>
        <v>0</v>
      </c>
      <c r="H141" s="88">
        <f>IFERROR(__xludf.DUMMYFUNCTION("""COMPUTED_VALUE"""),4.0)</f>
        <v>4</v>
      </c>
      <c r="I141" s="88">
        <f>IFERROR(__xludf.DUMMYFUNCTION("""COMPUTED_VALUE"""),4.0)</f>
        <v>4</v>
      </c>
      <c r="J141" s="88">
        <f>IFERROR(__xludf.DUMMYFUNCTION("""COMPUTED_VALUE"""),6.0)</f>
        <v>6</v>
      </c>
      <c r="K141" s="88">
        <f>IFERROR(__xludf.DUMMYFUNCTION("""COMPUTED_VALUE"""),14.0)</f>
        <v>14</v>
      </c>
      <c r="L141" s="88">
        <f>IFERROR(__xludf.DUMMYFUNCTION("""COMPUTED_VALUE"""),1.0)</f>
        <v>1</v>
      </c>
      <c r="M141" s="89">
        <f>IFERROR(__xludf.DUMMYFUNCTION("""COMPUTED_VALUE"""),153.0)</f>
        <v>153</v>
      </c>
      <c r="N141" s="89">
        <f>IFERROR(__xludf.DUMMYFUNCTION("""COMPUTED_VALUE"""),13.0)</f>
        <v>13</v>
      </c>
    </row>
    <row r="142">
      <c r="A142" s="11"/>
      <c r="B142" s="82" t="str">
        <f>IFERROR(__xludf.DUMMYFUNCTION("""COMPUTED_VALUE"""),"Cid Macaraeg")</f>
        <v>Cid Macaraeg</v>
      </c>
      <c r="C142" s="87">
        <f>IFERROR(__xludf.DUMMYFUNCTION("""COMPUTED_VALUE"""),139.0)</f>
        <v>139</v>
      </c>
      <c r="D142" s="87">
        <f>IFERROR(__xludf.DUMMYFUNCTION("""COMPUTED_VALUE"""),10.0)</f>
        <v>10</v>
      </c>
      <c r="E142" s="86">
        <f>IFERROR(__xludf.DUMMYFUNCTION("""COMPUTED_VALUE"""),1.0)</f>
        <v>1</v>
      </c>
      <c r="F142" s="88">
        <f>IFERROR(__xludf.DUMMYFUNCTION("""COMPUTED_VALUE"""),3.0)</f>
        <v>3</v>
      </c>
      <c r="G142" s="88">
        <f>IFERROR(__xludf.DUMMYFUNCTION("""COMPUTED_VALUE"""),0.0)</f>
        <v>0</v>
      </c>
      <c r="H142" s="88">
        <f>IFERROR(__xludf.DUMMYFUNCTION("""COMPUTED_VALUE"""),6.0)</f>
        <v>6</v>
      </c>
      <c r="I142" s="88">
        <f>IFERROR(__xludf.DUMMYFUNCTION("""COMPUTED_VALUE"""),4.0)</f>
        <v>4</v>
      </c>
      <c r="J142" s="88">
        <f>IFERROR(__xludf.DUMMYFUNCTION("""COMPUTED_VALUE"""),1.0)</f>
        <v>1</v>
      </c>
      <c r="K142" s="88">
        <f>IFERROR(__xludf.DUMMYFUNCTION("""COMPUTED_VALUE"""),11.0)</f>
        <v>11</v>
      </c>
      <c r="L142" s="88">
        <f>IFERROR(__xludf.DUMMYFUNCTION("""COMPUTED_VALUE"""),1.0)</f>
        <v>1</v>
      </c>
      <c r="M142" s="89">
        <f>IFERROR(__xludf.DUMMYFUNCTION("""COMPUTED_VALUE"""),150.0)</f>
        <v>150</v>
      </c>
      <c r="N142" s="89">
        <f>IFERROR(__xludf.DUMMYFUNCTION("""COMPUTED_VALUE"""),11.0)</f>
        <v>11</v>
      </c>
    </row>
    <row r="143">
      <c r="A143" s="11"/>
      <c r="B143" s="84" t="str">
        <f>IFERROR(__xludf.DUMMYFUNCTION("""COMPUTED_VALUE"""),"Alex Hou")</f>
        <v>Alex Hou</v>
      </c>
      <c r="C143" s="95">
        <f>IFERROR(__xludf.DUMMYFUNCTION("""COMPUTED_VALUE"""),136.0)</f>
        <v>136</v>
      </c>
      <c r="D143" s="95">
        <f>IFERROR(__xludf.DUMMYFUNCTION("""COMPUTED_VALUE"""),12.0)</f>
        <v>12</v>
      </c>
      <c r="E143" s="96">
        <f>IFERROR(__xludf.DUMMYFUNCTION("""COMPUTED_VALUE"""),1.0)</f>
        <v>1</v>
      </c>
      <c r="F143" s="97">
        <f>IFERROR(__xludf.DUMMYFUNCTION("""COMPUTED_VALUE"""),4.0)</f>
        <v>4</v>
      </c>
      <c r="G143" s="97">
        <f>IFERROR(__xludf.DUMMYFUNCTION("""COMPUTED_VALUE"""),0.0)</f>
        <v>0</v>
      </c>
      <c r="H143" s="97">
        <f>IFERROR(__xludf.DUMMYFUNCTION("""COMPUTED_VALUE"""),7.0)</f>
        <v>7</v>
      </c>
      <c r="I143" s="97">
        <f>IFERROR(__xludf.DUMMYFUNCTION("""COMPUTED_VALUE"""),6.0)</f>
        <v>6</v>
      </c>
      <c r="J143" s="97">
        <f>IFERROR(__xludf.DUMMYFUNCTION("""COMPUTED_VALUE"""),6.0)</f>
        <v>6</v>
      </c>
      <c r="K143" s="97">
        <f>IFERROR(__xludf.DUMMYFUNCTION("""COMPUTED_VALUE"""),19.0)</f>
        <v>19</v>
      </c>
      <c r="L143" s="97">
        <f>IFERROR(__xludf.DUMMYFUNCTION("""COMPUTED_VALUE"""),2.0)</f>
        <v>2</v>
      </c>
      <c r="M143" s="98">
        <f>IFERROR(__xludf.DUMMYFUNCTION("""COMPUTED_VALUE"""),155.0)</f>
        <v>155</v>
      </c>
      <c r="N143" s="98">
        <f>IFERROR(__xludf.DUMMYFUNCTION("""COMPUTED_VALUE"""),14.0)</f>
        <v>14</v>
      </c>
    </row>
    <row r="144">
      <c r="A144" s="11"/>
      <c r="B144" s="84" t="str">
        <f>IFERROR(__xludf.DUMMYFUNCTION("""COMPUTED_VALUE"""),"Sean Chang")</f>
        <v>Sean Chang</v>
      </c>
      <c r="C144" s="95">
        <f>IFERROR(__xludf.DUMMYFUNCTION("""COMPUTED_VALUE"""),132.0)</f>
        <v>132</v>
      </c>
      <c r="D144" s="95">
        <f>IFERROR(__xludf.DUMMYFUNCTION("""COMPUTED_VALUE"""),11.0)</f>
        <v>11</v>
      </c>
      <c r="E144" s="96">
        <f>IFERROR(__xludf.DUMMYFUNCTION("""COMPUTED_VALUE"""),2.0)</f>
        <v>2</v>
      </c>
      <c r="F144" s="97">
        <f>IFERROR(__xludf.DUMMYFUNCTION("""COMPUTED_VALUE"""),4.0)</f>
        <v>4</v>
      </c>
      <c r="G144" s="97">
        <f>IFERROR(__xludf.DUMMYFUNCTION("""COMPUTED_VALUE"""),0.0)</f>
        <v>0</v>
      </c>
      <c r="H144" s="97">
        <f>IFERROR(__xludf.DUMMYFUNCTION("""COMPUTED_VALUE"""),7.0)</f>
        <v>7</v>
      </c>
      <c r="I144" s="97">
        <f>IFERROR(__xludf.DUMMYFUNCTION("""COMPUTED_VALUE"""),4.0)</f>
        <v>4</v>
      </c>
      <c r="J144" s="97">
        <f>IFERROR(__xludf.DUMMYFUNCTION("""COMPUTED_VALUE"""),7.0)</f>
        <v>7</v>
      </c>
      <c r="K144" s="97">
        <f>IFERROR(__xludf.DUMMYFUNCTION("""COMPUTED_VALUE"""),18.0)</f>
        <v>18</v>
      </c>
      <c r="L144" s="97">
        <f>IFERROR(__xludf.DUMMYFUNCTION("""COMPUTED_VALUE"""),2.0)</f>
        <v>2</v>
      </c>
      <c r="M144" s="98">
        <f>IFERROR(__xludf.DUMMYFUNCTION("""COMPUTED_VALUE"""),150.0)</f>
        <v>150</v>
      </c>
      <c r="N144" s="98">
        <f>IFERROR(__xludf.DUMMYFUNCTION("""COMPUTED_VALUE"""),13.0)</f>
        <v>13</v>
      </c>
    </row>
    <row r="145">
      <c r="A145" s="11"/>
      <c r="B145" s="84" t="str">
        <f>IFERROR(__xludf.DUMMYFUNCTION("""COMPUTED_VALUE"""),"Herman Au")</f>
        <v>Herman Au</v>
      </c>
      <c r="C145" s="95">
        <f>IFERROR(__xludf.DUMMYFUNCTION("""COMPUTED_VALUE"""),132.0)</f>
        <v>132</v>
      </c>
      <c r="D145" s="95">
        <f>IFERROR(__xludf.DUMMYFUNCTION("""COMPUTED_VALUE"""),9.0)</f>
        <v>9</v>
      </c>
      <c r="E145" s="96">
        <f>IFERROR(__xludf.DUMMYFUNCTION("""COMPUTED_VALUE"""),1.0)</f>
        <v>1</v>
      </c>
      <c r="F145" s="97">
        <f>IFERROR(__xludf.DUMMYFUNCTION("""COMPUTED_VALUE"""),4.0)</f>
        <v>4</v>
      </c>
      <c r="G145" s="97">
        <f>IFERROR(__xludf.DUMMYFUNCTION("""COMPUTED_VALUE"""),0.0)</f>
        <v>0</v>
      </c>
      <c r="H145" s="97">
        <f>IFERROR(__xludf.DUMMYFUNCTION("""COMPUTED_VALUE"""),5.0)</f>
        <v>5</v>
      </c>
      <c r="I145" s="97">
        <f>IFERROR(__xludf.DUMMYFUNCTION("""COMPUTED_VALUE"""),6.0)</f>
        <v>6</v>
      </c>
      <c r="J145" s="97">
        <f>IFERROR(__xludf.DUMMYFUNCTION("""COMPUTED_VALUE"""),7.0)</f>
        <v>7</v>
      </c>
      <c r="K145" s="97">
        <f>IFERROR(__xludf.DUMMYFUNCTION("""COMPUTED_VALUE"""),18.0)</f>
        <v>18</v>
      </c>
      <c r="L145" s="97">
        <f>IFERROR(__xludf.DUMMYFUNCTION("""COMPUTED_VALUE"""),2.0)</f>
        <v>2</v>
      </c>
      <c r="M145" s="98">
        <f>IFERROR(__xludf.DUMMYFUNCTION("""COMPUTED_VALUE"""),150.0)</f>
        <v>150</v>
      </c>
      <c r="N145" s="98">
        <f>IFERROR(__xludf.DUMMYFUNCTION("""COMPUTED_VALUE"""),11.0)</f>
        <v>11</v>
      </c>
    </row>
    <row r="146">
      <c r="A146" s="11"/>
      <c r="B146" s="84" t="str">
        <f>IFERROR(__xludf.DUMMYFUNCTION("""COMPUTED_VALUE"""),"Trish Newlin")</f>
        <v>Trish Newlin</v>
      </c>
      <c r="C146" s="95">
        <f>IFERROR(__xludf.DUMMYFUNCTION("""COMPUTED_VALUE"""),126.0)</f>
        <v>126</v>
      </c>
      <c r="D146" s="95">
        <f>IFERROR(__xludf.DUMMYFUNCTION("""COMPUTED_VALUE"""),7.0)</f>
        <v>7</v>
      </c>
      <c r="E146" s="96">
        <f>IFERROR(__xludf.DUMMYFUNCTION("""COMPUTED_VALUE"""),1.0)</f>
        <v>1</v>
      </c>
      <c r="F146" s="97">
        <f>IFERROR(__xludf.DUMMYFUNCTION("""COMPUTED_VALUE"""),4.0)</f>
        <v>4</v>
      </c>
      <c r="G146" s="97">
        <f>IFERROR(__xludf.DUMMYFUNCTION("""COMPUTED_VALUE"""),0.0)</f>
        <v>0</v>
      </c>
      <c r="H146" s="97">
        <f>IFERROR(__xludf.DUMMYFUNCTION("""COMPUTED_VALUE"""),5.0)</f>
        <v>5</v>
      </c>
      <c r="I146" s="97">
        <f>IFERROR(__xludf.DUMMYFUNCTION("""COMPUTED_VALUE"""),4.0)</f>
        <v>4</v>
      </c>
      <c r="J146" s="97">
        <f>IFERROR(__xludf.DUMMYFUNCTION("""COMPUTED_VALUE"""),6.0)</f>
        <v>6</v>
      </c>
      <c r="K146" s="97">
        <f>IFERROR(__xludf.DUMMYFUNCTION("""COMPUTED_VALUE"""),15.0)</f>
        <v>15</v>
      </c>
      <c r="L146" s="97">
        <f>IFERROR(__xludf.DUMMYFUNCTION("""COMPUTED_VALUE"""),0.0)</f>
        <v>0</v>
      </c>
      <c r="M146" s="98">
        <f>IFERROR(__xludf.DUMMYFUNCTION("""COMPUTED_VALUE"""),141.0)</f>
        <v>141</v>
      </c>
      <c r="N146" s="98">
        <f>IFERROR(__xludf.DUMMYFUNCTION("""COMPUTED_VALUE"""),7.0)</f>
        <v>7</v>
      </c>
    </row>
    <row r="147">
      <c r="A147" s="11"/>
      <c r="B147" s="82" t="str">
        <f>IFERROR(__xludf.DUMMYFUNCTION("""COMPUTED_VALUE"""),"Jimmy Awolesi")</f>
        <v>Jimmy Awolesi</v>
      </c>
      <c r="C147" s="87">
        <f>IFERROR(__xludf.DUMMYFUNCTION("""COMPUTED_VALUE"""),125.0)</f>
        <v>125</v>
      </c>
      <c r="D147" s="87">
        <f>IFERROR(__xludf.DUMMYFUNCTION("""COMPUTED_VALUE"""),8.0)</f>
        <v>8</v>
      </c>
      <c r="E147" s="86">
        <f>IFERROR(__xludf.DUMMYFUNCTION("""COMPUTED_VALUE"""),1.0)</f>
        <v>1</v>
      </c>
      <c r="F147" s="88">
        <f>IFERROR(__xludf.DUMMYFUNCTION("""COMPUTED_VALUE"""),5.0)</f>
        <v>5</v>
      </c>
      <c r="G147" s="88">
        <f>IFERROR(__xludf.DUMMYFUNCTION("""COMPUTED_VALUE"""),0.0)</f>
        <v>0</v>
      </c>
      <c r="H147" s="88">
        <f>IFERROR(__xludf.DUMMYFUNCTION("""COMPUTED_VALUE"""),6.0)</f>
        <v>6</v>
      </c>
      <c r="I147" s="88">
        <f>IFERROR(__xludf.DUMMYFUNCTION("""COMPUTED_VALUE"""),1.0)</f>
        <v>1</v>
      </c>
      <c r="J147" s="88">
        <f>IFERROR(__xludf.DUMMYFUNCTION("""COMPUTED_VALUE"""),6.0)</f>
        <v>6</v>
      </c>
      <c r="K147" s="88">
        <f>IFERROR(__xludf.DUMMYFUNCTION("""COMPUTED_VALUE"""),13.0)</f>
        <v>13</v>
      </c>
      <c r="L147" s="88">
        <f>IFERROR(__xludf.DUMMYFUNCTION("""COMPUTED_VALUE"""),2.0)</f>
        <v>2</v>
      </c>
      <c r="M147" s="89">
        <f>IFERROR(__xludf.DUMMYFUNCTION("""COMPUTED_VALUE"""),138.0)</f>
        <v>138</v>
      </c>
      <c r="N147" s="89">
        <f>IFERROR(__xludf.DUMMYFUNCTION("""COMPUTED_VALUE"""),10.0)</f>
        <v>10</v>
      </c>
    </row>
    <row r="148">
      <c r="A148" s="11"/>
      <c r="B148" s="82" t="str">
        <f>IFERROR(__xludf.DUMMYFUNCTION("""COMPUTED_VALUE"""),"Wayne Liu")</f>
        <v>Wayne Liu</v>
      </c>
      <c r="C148" s="87">
        <f>IFERROR(__xludf.DUMMYFUNCTION("""COMPUTED_VALUE"""),124.0)</f>
        <v>124</v>
      </c>
      <c r="D148" s="87">
        <f>IFERROR(__xludf.DUMMYFUNCTION("""COMPUTED_VALUE"""),12.0)</f>
        <v>12</v>
      </c>
      <c r="E148" s="86">
        <f>IFERROR(__xludf.DUMMYFUNCTION("""COMPUTED_VALUE"""),1.0)</f>
        <v>1</v>
      </c>
      <c r="F148" s="88">
        <f>IFERROR(__xludf.DUMMYFUNCTION("""COMPUTED_VALUE"""),5.0)</f>
        <v>5</v>
      </c>
      <c r="G148" s="88">
        <f>IFERROR(__xludf.DUMMYFUNCTION("""COMPUTED_VALUE"""),0.0)</f>
        <v>0</v>
      </c>
      <c r="H148" s="88">
        <f>IFERROR(__xludf.DUMMYFUNCTION("""COMPUTED_VALUE"""),6.0)</f>
        <v>6</v>
      </c>
      <c r="I148" s="88">
        <f>IFERROR(__xludf.DUMMYFUNCTION("""COMPUTED_VALUE"""),6.0)</f>
        <v>6</v>
      </c>
      <c r="J148" s="88">
        <f>IFERROR(__xludf.DUMMYFUNCTION("""COMPUTED_VALUE"""),4.0)</f>
        <v>4</v>
      </c>
      <c r="K148" s="88">
        <f>IFERROR(__xludf.DUMMYFUNCTION("""COMPUTED_VALUE"""),16.0)</f>
        <v>16</v>
      </c>
      <c r="L148" s="88">
        <f>IFERROR(__xludf.DUMMYFUNCTION("""COMPUTED_VALUE"""),2.0)</f>
        <v>2</v>
      </c>
      <c r="M148" s="89">
        <f>IFERROR(__xludf.DUMMYFUNCTION("""COMPUTED_VALUE"""),140.0)</f>
        <v>140</v>
      </c>
      <c r="N148" s="89">
        <f>IFERROR(__xludf.DUMMYFUNCTION("""COMPUTED_VALUE"""),14.0)</f>
        <v>14</v>
      </c>
    </row>
    <row r="149">
      <c r="A149" s="11"/>
      <c r="B149" s="82" t="str">
        <f>IFERROR(__xludf.DUMMYFUNCTION("""COMPUTED_VALUE"""),"Saravanan Veerapandian")</f>
        <v>Saravanan Veerapandian</v>
      </c>
      <c r="C149" s="87">
        <f>IFERROR(__xludf.DUMMYFUNCTION("""COMPUTED_VALUE"""),121.0)</f>
        <v>121</v>
      </c>
      <c r="D149" s="87">
        <f>IFERROR(__xludf.DUMMYFUNCTION("""COMPUTED_VALUE"""),7.0)</f>
        <v>7</v>
      </c>
      <c r="E149" s="86">
        <f>IFERROR(__xludf.DUMMYFUNCTION("""COMPUTED_VALUE"""),1.0)</f>
        <v>1</v>
      </c>
      <c r="F149" s="88">
        <f>IFERROR(__xludf.DUMMYFUNCTION("""COMPUTED_VALUE"""),5.0)</f>
        <v>5</v>
      </c>
      <c r="G149" s="88">
        <f>IFERROR(__xludf.DUMMYFUNCTION("""COMPUTED_VALUE"""),0.0)</f>
        <v>0</v>
      </c>
      <c r="H149" s="88">
        <f>IFERROR(__xludf.DUMMYFUNCTION("""COMPUTED_VALUE"""),4.0)</f>
        <v>4</v>
      </c>
      <c r="I149" s="88">
        <f>IFERROR(__xludf.DUMMYFUNCTION("""COMPUTED_VALUE"""),1.0)</f>
        <v>1</v>
      </c>
      <c r="J149" s="88">
        <f>IFERROR(__xludf.DUMMYFUNCTION("""COMPUTED_VALUE"""),4.0)</f>
        <v>4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IFERROR(__xludf.DUMMYFUNCTION("""COMPUTED_VALUE"""),130.0)</f>
        <v>130</v>
      </c>
      <c r="N149" s="89">
        <f>IFERROR(__xludf.DUMMYFUNCTION("""COMPUTED_VALUE"""),7.0)</f>
        <v>7</v>
      </c>
    </row>
    <row r="150">
      <c r="A150" s="11"/>
      <c r="B150" s="82" t="str">
        <f>IFERROR(__xludf.DUMMYFUNCTION("""COMPUTED_VALUE"""),"Sanjaye Elayattu")</f>
        <v>Sanjaye Elayattu</v>
      </c>
      <c r="C150" s="87">
        <f>IFERROR(__xludf.DUMMYFUNCTION("""COMPUTED_VALUE"""),121.0)</f>
        <v>121</v>
      </c>
      <c r="D150" s="87">
        <f>IFERROR(__xludf.DUMMYFUNCTION("""COMPUTED_VALUE"""),6.0)</f>
        <v>6</v>
      </c>
      <c r="E150" s="86">
        <f>IFERROR(__xludf.DUMMYFUNCTION("""COMPUTED_VALUE"""),1.0)</f>
        <v>1</v>
      </c>
      <c r="F150" s="88">
        <f>IFERROR(__xludf.DUMMYFUNCTION("""COMPUTED_VALUE"""),5.0)</f>
        <v>5</v>
      </c>
      <c r="G150" s="88">
        <f>IFERROR(__xludf.DUMMYFUNCTION("""COMPUTED_VALUE"""),0.0)</f>
        <v>0</v>
      </c>
      <c r="H150" s="88">
        <f>IFERROR(__xludf.DUMMYFUNCTION("""COMPUTED_VALUE"""),4.0)</f>
        <v>4</v>
      </c>
      <c r="I150" s="88">
        <f>IFERROR(__xludf.DUMMYFUNCTION("""COMPUTED_VALUE"""),6.0)</f>
        <v>6</v>
      </c>
      <c r="J150" s="88">
        <f>IFERROR(__xludf.DUMMYFUNCTION("""COMPUTED_VALUE"""),6.0)</f>
        <v>6</v>
      </c>
      <c r="K150" s="88">
        <f>IFERROR(__xludf.DUMMYFUNCTION("""COMPUTED_VALUE"""),16.0)</f>
        <v>16</v>
      </c>
      <c r="L150" s="88">
        <f>IFERROR(__xludf.DUMMYFUNCTION("""COMPUTED_VALUE"""),2.0)</f>
        <v>2</v>
      </c>
      <c r="M150" s="89">
        <f>IFERROR(__xludf.DUMMYFUNCTION("""COMPUTED_VALUE"""),137.0)</f>
        <v>137</v>
      </c>
      <c r="N150" s="89">
        <f>IFERROR(__xludf.DUMMYFUNCTION("""COMPUTED_VALUE"""),8.0)</f>
        <v>8</v>
      </c>
    </row>
    <row r="151">
      <c r="A151" s="11"/>
      <c r="B151" s="84" t="str">
        <f>IFERROR(__xludf.DUMMYFUNCTION("""COMPUTED_VALUE"""),"Kumar Palakeel")</f>
        <v>Kumar Palakeel</v>
      </c>
      <c r="C151" s="95">
        <f>IFERROR(__xludf.DUMMYFUNCTION("""COMPUTED_VALUE"""),120.0)</f>
        <v>120</v>
      </c>
      <c r="D151" s="95">
        <f>IFERROR(__xludf.DUMMYFUNCTION("""COMPUTED_VALUE"""),11.0)</f>
        <v>11</v>
      </c>
      <c r="E151" s="96">
        <f>IFERROR(__xludf.DUMMYFUNCTION("""COMPUTED_VALUE"""),1.0)</f>
        <v>1</v>
      </c>
      <c r="F151" s="97">
        <f>IFERROR(__xludf.DUMMYFUNCTION("""COMPUTED_VALUE"""),6.0)</f>
        <v>6</v>
      </c>
      <c r="G151" s="97">
        <f>IFERROR(__xludf.DUMMYFUNCTION("""COMPUTED_VALUE"""),0.0)</f>
        <v>0</v>
      </c>
      <c r="H151" s="97">
        <f>IFERROR(__xludf.DUMMYFUNCTION("""COMPUTED_VALUE"""),0.0)</f>
        <v>0</v>
      </c>
      <c r="I151" s="97">
        <f>IFERROR(__xludf.DUMMYFUNCTION("""COMPUTED_VALUE"""),5.0)</f>
        <v>5</v>
      </c>
      <c r="J151" s="97">
        <f>IFERROR(__xludf.DUMMYFUNCTION("""COMPUTED_VALUE"""),7.0)</f>
        <v>7</v>
      </c>
      <c r="K151" s="97">
        <f>IFERROR(__xludf.DUMMYFUNCTION("""COMPUTED_VALUE"""),12.0)</f>
        <v>12</v>
      </c>
      <c r="L151" s="97">
        <f>IFERROR(__xludf.DUMMYFUNCTION("""COMPUTED_VALUE"""),1.0)</f>
        <v>1</v>
      </c>
      <c r="M151" s="98">
        <f>IFERROR(__xludf.DUMMYFUNCTION("""COMPUTED_VALUE"""),132.0)</f>
        <v>132</v>
      </c>
      <c r="N151" s="98">
        <f>IFERROR(__xludf.DUMMYFUNCTION("""COMPUTED_VALUE"""),12.0)</f>
        <v>12</v>
      </c>
    </row>
    <row r="152">
      <c r="A152" s="11"/>
      <c r="B152" s="84" t="str">
        <f>IFERROR(__xludf.DUMMYFUNCTION("""COMPUTED_VALUE"""),"Jim Miao")</f>
        <v>Jim Miao</v>
      </c>
      <c r="C152" s="95">
        <f>IFERROR(__xludf.DUMMYFUNCTION("""COMPUTED_VALUE"""),115.0)</f>
        <v>115</v>
      </c>
      <c r="D152" s="95">
        <f>IFERROR(__xludf.DUMMYFUNCTION("""COMPUTED_VALUE"""),5.0)</f>
        <v>5</v>
      </c>
      <c r="E152" s="96">
        <f>IFERROR(__xludf.DUMMYFUNCTION("""COMPUTED_VALUE"""),1.0)</f>
        <v>1</v>
      </c>
      <c r="F152" s="97">
        <f>IFERROR(__xludf.DUMMYFUNCTION("""COMPUTED_VALUE"""),6.0)</f>
        <v>6</v>
      </c>
      <c r="G152" s="97">
        <f>IFERROR(__xludf.DUMMYFUNCTION("""COMPUTED_VALUE"""),0.0)</f>
        <v>0</v>
      </c>
      <c r="H152" s="97">
        <f>IFERROR(__xludf.DUMMYFUNCTION("""COMPUTED_VALUE"""),6.0)</f>
        <v>6</v>
      </c>
      <c r="I152" s="97">
        <f>IFERROR(__xludf.DUMMYFUNCTION("""COMPUTED_VALUE"""),5.0)</f>
        <v>5</v>
      </c>
      <c r="J152" s="97">
        <f>IFERROR(__xludf.DUMMYFUNCTION("""COMPUTED_VALUE"""),5.0)</f>
        <v>5</v>
      </c>
      <c r="K152" s="97">
        <f>IFERROR(__xludf.DUMMYFUNCTION("""COMPUTED_VALUE"""),16.0)</f>
        <v>16</v>
      </c>
      <c r="L152" s="97">
        <f>IFERROR(__xludf.DUMMYFUNCTION("""COMPUTED_VALUE"""),1.0)</f>
        <v>1</v>
      </c>
      <c r="M152" s="98">
        <f>IFERROR(__xludf.DUMMYFUNCTION("""COMPUTED_VALUE"""),131.0)</f>
        <v>131</v>
      </c>
      <c r="N152" s="98">
        <f>IFERROR(__xludf.DUMMYFUNCTION("""COMPUTED_VALUE"""),6.0)</f>
        <v>6</v>
      </c>
    </row>
    <row r="153">
      <c r="A153" s="11"/>
      <c r="B153" s="84" t="str">
        <f>IFERROR(__xludf.DUMMYFUNCTION("""COMPUTED_VALUE"""),"Tony Lin")</f>
        <v>Tony Lin</v>
      </c>
      <c r="C153" s="95">
        <f>IFERROR(__xludf.DUMMYFUNCTION("""COMPUTED_VALUE"""),112.0)</f>
        <v>112</v>
      </c>
      <c r="D153" s="95">
        <f>IFERROR(__xludf.DUMMYFUNCTION("""COMPUTED_VALUE"""),3.0)</f>
        <v>3</v>
      </c>
      <c r="E153" s="96">
        <f>IFERROR(__xludf.DUMMYFUNCTION("""COMPUTED_VALUE"""),2.0)</f>
        <v>2</v>
      </c>
      <c r="F153" s="97">
        <f>IFERROR(__xludf.DUMMYFUNCTION("""COMPUTED_VALUE"""),6.0)</f>
        <v>6</v>
      </c>
      <c r="G153" s="97">
        <f>IFERROR(__xludf.DUMMYFUNCTION("""COMPUTED_VALUE"""),0.0)</f>
        <v>0</v>
      </c>
      <c r="H153" s="97">
        <f>IFERROR(__xludf.DUMMYFUNCTION("""COMPUTED_VALUE"""),6.0)</f>
        <v>6</v>
      </c>
      <c r="I153" s="97">
        <f>IFERROR(__xludf.DUMMYFUNCTION("""COMPUTED_VALUE"""),7.0)</f>
        <v>7</v>
      </c>
      <c r="J153" s="97">
        <f>IFERROR(__xludf.DUMMYFUNCTION("""COMPUTED_VALUE"""),7.0)</f>
        <v>7</v>
      </c>
      <c r="K153" s="97">
        <f>IFERROR(__xludf.DUMMYFUNCTION("""COMPUTED_VALUE"""),20.0)</f>
        <v>20</v>
      </c>
      <c r="L153" s="97">
        <f>IFERROR(__xludf.DUMMYFUNCTION("""COMPUTED_VALUE"""),3.0)</f>
        <v>3</v>
      </c>
      <c r="M153" s="98">
        <f>IFERROR(__xludf.DUMMYFUNCTION("""COMPUTED_VALUE"""),132.0)</f>
        <v>132</v>
      </c>
      <c r="N153" s="98">
        <f>IFERROR(__xludf.DUMMYFUNCTION("""COMPUTED_VALUE"""),6.0)</f>
        <v>6</v>
      </c>
    </row>
    <row r="154">
      <c r="A154" s="11"/>
      <c r="B154" s="84" t="str">
        <f>IFERROR(__xludf.DUMMYFUNCTION("""COMPUTED_VALUE"""),"Vinaya Kajla")</f>
        <v>Vinaya Kajla</v>
      </c>
      <c r="C154" s="95">
        <f>IFERROR(__xludf.DUMMYFUNCTION("""COMPUTED_VALUE"""),111.0)</f>
        <v>111</v>
      </c>
      <c r="D154" s="95">
        <f>IFERROR(__xludf.DUMMYFUNCTION("""COMPUTED_VALUE"""),7.0)</f>
        <v>7</v>
      </c>
      <c r="E154" s="96">
        <f>IFERROR(__xludf.DUMMYFUNCTION("""COMPUTED_VALUE"""),1.0)</f>
        <v>1</v>
      </c>
      <c r="F154" s="97">
        <f>IFERROR(__xludf.DUMMYFUNCTION("""COMPUTED_VALUE"""),6.0)</f>
        <v>6</v>
      </c>
      <c r="G154" s="97">
        <f>IFERROR(__xludf.DUMMYFUNCTION("""COMPUTED_VALUE"""),0.0)</f>
        <v>0</v>
      </c>
      <c r="H154" s="97">
        <f>IFERROR(__xludf.DUMMYFUNCTION("""COMPUTED_VALUE"""),0.0)</f>
        <v>0</v>
      </c>
      <c r="I154" s="97">
        <f>IFERROR(__xludf.DUMMYFUNCTION("""COMPUTED_VALUE"""),7.0)</f>
        <v>7</v>
      </c>
      <c r="J154" s="97">
        <f>IFERROR(__xludf.DUMMYFUNCTION("""COMPUTED_VALUE"""),5.0)</f>
        <v>5</v>
      </c>
      <c r="K154" s="97">
        <f>IFERROR(__xludf.DUMMYFUNCTION("""COMPUTED_VALUE"""),12.0)</f>
        <v>12</v>
      </c>
      <c r="L154" s="97">
        <f>IFERROR(__xludf.DUMMYFUNCTION("""COMPUTED_VALUE"""),1.0)</f>
        <v>1</v>
      </c>
      <c r="M154" s="98">
        <f>IFERROR(__xludf.DUMMYFUNCTION("""COMPUTED_VALUE"""),123.0)</f>
        <v>123</v>
      </c>
      <c r="N154" s="98">
        <f>IFERROR(__xludf.DUMMYFUNCTION("""COMPUTED_VALUE"""),8.0)</f>
        <v>8</v>
      </c>
    </row>
    <row r="155">
      <c r="A155" s="11"/>
      <c r="B155" s="82" t="str">
        <f>IFERROR(__xludf.DUMMYFUNCTION("""COMPUTED_VALUE"""),"Eric Tan")</f>
        <v>Eric Tan</v>
      </c>
      <c r="C155" s="87">
        <f>IFERROR(__xludf.DUMMYFUNCTION("""COMPUTED_VALUE"""),110.0)</f>
        <v>110</v>
      </c>
      <c r="D155" s="87">
        <f>IFERROR(__xludf.DUMMYFUNCTION("""COMPUTED_VALUE"""),7.0)</f>
        <v>7</v>
      </c>
      <c r="E155" s="86">
        <f>IFERROR(__xludf.DUMMYFUNCTION("""COMPUTED_VALUE"""),1.0)</f>
        <v>1</v>
      </c>
      <c r="F155" s="88">
        <f>IFERROR(__xludf.DUMMYFUNCTION("""COMPUTED_VALUE"""),7.0)</f>
        <v>7</v>
      </c>
      <c r="G155" s="88">
        <f>IFERROR(__xludf.DUMMYFUNCTION("""COMPUTED_VALUE"""),0.0)</f>
        <v>0</v>
      </c>
      <c r="H155" s="88">
        <f>IFERROR(__xludf.DUMMYFUNCTION("""COMPUTED_VALUE"""),4.0)</f>
        <v>4</v>
      </c>
      <c r="I155" s="88">
        <f>IFERROR(__xludf.DUMMYFUNCTION("""COMPUTED_VALUE"""),4.0)</f>
        <v>4</v>
      </c>
      <c r="J155" s="88">
        <f>IFERROR(__xludf.DUMMYFUNCTION("""COMPUTED_VALUE"""),6.0)</f>
        <v>6</v>
      </c>
      <c r="K155" s="88">
        <f>IFERROR(__xludf.DUMMYFUNCTION("""COMPUTED_VALUE"""),14.0)</f>
        <v>14</v>
      </c>
      <c r="L155" s="88">
        <f>IFERROR(__xludf.DUMMYFUNCTION("""COMPUTED_VALUE"""),1.0)</f>
        <v>1</v>
      </c>
      <c r="M155" s="89">
        <f>IFERROR(__xludf.DUMMYFUNCTION("""COMPUTED_VALUE"""),124.0)</f>
        <v>124</v>
      </c>
      <c r="N155" s="89">
        <f>IFERROR(__xludf.DUMMYFUNCTION("""COMPUTED_VALUE"""),8.0)</f>
        <v>8</v>
      </c>
    </row>
    <row r="156">
      <c r="A156" s="11"/>
      <c r="B156" s="82" t="str">
        <f>IFERROR(__xludf.DUMMYFUNCTION("""COMPUTED_VALUE"""),"Santosh Sundaresan ")</f>
        <v>Santosh Sundaresan </v>
      </c>
      <c r="C156" s="87">
        <f>IFERROR(__xludf.DUMMYFUNCTION("""COMPUTED_VALUE"""),110.0)</f>
        <v>110</v>
      </c>
      <c r="D156" s="87">
        <f>IFERROR(__xludf.DUMMYFUNCTION("""COMPUTED_VALUE"""),2.0)</f>
        <v>2</v>
      </c>
      <c r="E156" s="86">
        <f>IFERROR(__xludf.DUMMYFUNCTION("""COMPUTED_VALUE"""),1.0)</f>
        <v>1</v>
      </c>
      <c r="F156" s="88">
        <f>IFERROR(__xludf.DUMMYFUNCTION("""COMPUTED_VALUE"""),7.0)</f>
        <v>7</v>
      </c>
      <c r="G156" s="88">
        <f>IFERROR(__xludf.DUMMYFUNCTION("""COMPUTED_VALUE"""),0.0)</f>
        <v>0</v>
      </c>
      <c r="H156" s="88">
        <f>IFERROR(__xludf.DUMMYFUNCTION("""COMPUTED_VALUE"""),6.0)</f>
        <v>6</v>
      </c>
      <c r="I156" s="88">
        <f>IFERROR(__xludf.DUMMYFUNCTION("""COMPUTED_VALUE"""),4.0)</f>
        <v>4</v>
      </c>
      <c r="J156" s="88">
        <f>IFERROR(__xludf.DUMMYFUNCTION("""COMPUTED_VALUE"""),1.0)</f>
        <v>1</v>
      </c>
      <c r="K156" s="88">
        <f>IFERROR(__xludf.DUMMYFUNCTION("""COMPUTED_VALUE"""),11.0)</f>
        <v>11</v>
      </c>
      <c r="L156" s="88">
        <f>IFERROR(__xludf.DUMMYFUNCTION("""COMPUTED_VALUE"""),1.0)</f>
        <v>1</v>
      </c>
      <c r="M156" s="89">
        <f>IFERROR(__xludf.DUMMYFUNCTION("""COMPUTED_VALUE"""),121.0)</f>
        <v>121</v>
      </c>
      <c r="N156" s="89">
        <f>IFERROR(__xludf.DUMMYFUNCTION("""COMPUTED_VALUE"""),3.0)</f>
        <v>3</v>
      </c>
    </row>
    <row r="157">
      <c r="A157" s="11"/>
      <c r="B157" s="82" t="str">
        <f>IFERROR(__xludf.DUMMYFUNCTION("""COMPUTED_VALUE"""),"Rajesh Dorairaj")</f>
        <v>Rajesh Dorairaj</v>
      </c>
      <c r="C157" s="87">
        <f>IFERROR(__xludf.DUMMYFUNCTION("""COMPUTED_VALUE"""),109.0)</f>
        <v>109</v>
      </c>
      <c r="D157" s="87">
        <f>IFERROR(__xludf.DUMMYFUNCTION("""COMPUTED_VALUE"""),4.0)</f>
        <v>4</v>
      </c>
      <c r="E157" s="86">
        <f>IFERROR(__xludf.DUMMYFUNCTION("""COMPUTED_VALUE"""),1.0)</f>
        <v>1</v>
      </c>
      <c r="F157" s="88">
        <f>IFERROR(__xludf.DUMMYFUNCTION("""COMPUTED_VALUE"""),7.0)</f>
        <v>7</v>
      </c>
      <c r="G157" s="88">
        <f>IFERROR(__xludf.DUMMYFUNCTION("""COMPUTED_VALUE"""),0.0)</f>
        <v>0</v>
      </c>
      <c r="H157" s="88">
        <f>IFERROR(__xludf.DUMMYFUNCTION("""COMPUTED_VALUE"""),4.0)</f>
        <v>4</v>
      </c>
      <c r="I157" s="88">
        <f>IFERROR(__xludf.DUMMYFUNCTION("""COMPUTED_VALUE"""),6.0)</f>
        <v>6</v>
      </c>
      <c r="J157" s="88">
        <f>IFERROR(__xludf.DUMMYFUNCTION("""COMPUTED_VALUE"""),1.0)</f>
        <v>1</v>
      </c>
      <c r="K157" s="88">
        <f>IFERROR(__xludf.DUMMYFUNCTION("""COMPUTED_VALUE"""),11.0)</f>
        <v>11</v>
      </c>
      <c r="L157" s="88">
        <f>IFERROR(__xludf.DUMMYFUNCTION("""COMPUTED_VALUE"""),1.0)</f>
        <v>1</v>
      </c>
      <c r="M157" s="89">
        <f>IFERROR(__xludf.DUMMYFUNCTION("""COMPUTED_VALUE"""),120.0)</f>
        <v>120</v>
      </c>
      <c r="N157" s="89">
        <f>IFERROR(__xludf.DUMMYFUNCTION("""COMPUTED_VALUE"""),5.0)</f>
        <v>5</v>
      </c>
    </row>
    <row r="158">
      <c r="A158" s="11"/>
      <c r="B158" s="82" t="str">
        <f>IFERROR(__xludf.DUMMYFUNCTION("""COMPUTED_VALUE"""),"Balaji Alahari")</f>
        <v>Balaji Alahari</v>
      </c>
      <c r="C158" s="87">
        <f>IFERROR(__xludf.DUMMYFUNCTION("""COMPUTED_VALUE"""),103.0)</f>
        <v>103</v>
      </c>
      <c r="D158" s="87">
        <f>IFERROR(__xludf.DUMMYFUNCTION("""COMPUTED_VALUE"""),1.0)</f>
        <v>1</v>
      </c>
      <c r="E158" s="86">
        <f>IFERROR(__xludf.DUMMYFUNCTION("""COMPUTED_VALUE"""),1.0)</f>
        <v>1</v>
      </c>
      <c r="F158" s="88">
        <f>IFERROR(__xludf.DUMMYFUNCTION("""COMPUTED_VALUE"""),7.0)</f>
        <v>7</v>
      </c>
      <c r="G158" s="88">
        <f>IFERROR(__xludf.DUMMYFUNCTION("""COMPUTED_VALUE"""),0.0)</f>
        <v>0</v>
      </c>
      <c r="H158" s="88">
        <f>IFERROR(__xludf.DUMMYFUNCTION("""COMPUTED_VALUE"""),6.0)</f>
        <v>6</v>
      </c>
      <c r="I158" s="88">
        <f>IFERROR(__xludf.DUMMYFUNCTION("""COMPUTED_VALUE"""),6.0)</f>
        <v>6</v>
      </c>
      <c r="J158" s="88">
        <f>IFERROR(__xludf.DUMMYFUNCTION("""COMPUTED_VALUE"""),6.0)</f>
        <v>6</v>
      </c>
      <c r="K158" s="88">
        <f>IFERROR(__xludf.DUMMYFUNCTION("""COMPUTED_VALUE"""),18.0)</f>
        <v>18</v>
      </c>
      <c r="L158" s="88">
        <f>IFERROR(__xludf.DUMMYFUNCTION("""COMPUTED_VALUE"""),3.0)</f>
        <v>3</v>
      </c>
      <c r="M158" s="89">
        <f>IFERROR(__xludf.DUMMYFUNCTION("""COMPUTED_VALUE"""),121.0)</f>
        <v>121</v>
      </c>
      <c r="N158" s="89">
        <f>IFERROR(__xludf.DUMMYFUNCTION("""COMPUTED_VALUE"""),4.0)</f>
        <v>4</v>
      </c>
    </row>
    <row r="159">
      <c r="A159" s="11"/>
      <c r="B159" s="84"/>
      <c r="C159" s="85"/>
      <c r="D159" s="85"/>
      <c r="E159" s="85"/>
      <c r="F159" s="84"/>
      <c r="G159" s="84"/>
      <c r="H159" s="84"/>
      <c r="I159" s="84"/>
      <c r="J159" s="84"/>
      <c r="K159" s="84"/>
      <c r="L159" s="84"/>
      <c r="M159" s="84"/>
      <c r="N159" s="84"/>
    </row>
    <row r="160">
      <c r="A160" s="11"/>
      <c r="B160" s="84"/>
      <c r="C160" s="85"/>
      <c r="D160" s="85"/>
      <c r="E160" s="85"/>
      <c r="F160" s="84"/>
      <c r="G160" s="84"/>
      <c r="H160" s="84"/>
      <c r="I160" s="84"/>
      <c r="J160" s="84"/>
      <c r="K160" s="84"/>
      <c r="L160" s="84"/>
      <c r="M160" s="84"/>
      <c r="N160" s="84"/>
    </row>
    <row r="161">
      <c r="A161" s="11"/>
      <c r="B161" s="84"/>
      <c r="C161" s="85"/>
      <c r="D161" s="85"/>
      <c r="E161" s="85"/>
      <c r="F161" s="84"/>
      <c r="G161" s="84"/>
      <c r="H161" s="84"/>
      <c r="I161" s="84"/>
      <c r="J161" s="84"/>
      <c r="K161" s="84"/>
      <c r="L161" s="84"/>
      <c r="M161" s="84"/>
      <c r="N161" s="84"/>
    </row>
    <row r="162">
      <c r="A162" s="11"/>
      <c r="B162" s="84"/>
      <c r="C162" s="85"/>
      <c r="D162" s="85"/>
      <c r="E162" s="85"/>
      <c r="F162" s="84"/>
      <c r="G162" s="84"/>
      <c r="H162" s="84"/>
      <c r="I162" s="84"/>
      <c r="J162" s="84"/>
      <c r="K162" s="84"/>
      <c r="L162" s="84"/>
      <c r="M162" s="84"/>
      <c r="N162" s="84"/>
    </row>
    <row r="163">
      <c r="A163" s="11"/>
      <c r="C163" s="11"/>
      <c r="D163" s="11"/>
      <c r="E163" s="11"/>
    </row>
    <row r="164">
      <c r="A164" s="11"/>
      <c r="C164" s="11"/>
      <c r="D164" s="11"/>
      <c r="E164" s="11"/>
    </row>
    <row r="165">
      <c r="A165" s="11"/>
      <c r="C165" s="11"/>
      <c r="D165" s="11"/>
      <c r="E165" s="11"/>
    </row>
    <row r="166">
      <c r="A166" s="11"/>
      <c r="C166" s="11"/>
      <c r="D166" s="11"/>
      <c r="E166" s="11"/>
    </row>
    <row r="167">
      <c r="A167" s="11"/>
      <c r="C167" s="11"/>
      <c r="D167" s="11"/>
      <c r="E167" s="11"/>
    </row>
    <row r="168">
      <c r="A168" s="11"/>
      <c r="C168" s="11"/>
      <c r="D168" s="11"/>
      <c r="E168" s="11"/>
    </row>
    <row r="169">
      <c r="A169" s="11"/>
      <c r="C169" s="11"/>
      <c r="D169" s="11"/>
      <c r="E169" s="11"/>
    </row>
    <row r="170">
      <c r="A170" s="11"/>
      <c r="C170" s="11"/>
      <c r="D170" s="11"/>
      <c r="E170" s="11"/>
    </row>
    <row r="171">
      <c r="A171" s="11"/>
      <c r="C171" s="11"/>
      <c r="D171" s="11"/>
      <c r="E171" s="11"/>
    </row>
    <row r="172">
      <c r="A172" s="11"/>
      <c r="C172" s="11"/>
      <c r="D172" s="11"/>
      <c r="E172" s="11"/>
    </row>
    <row r="173">
      <c r="A173" s="11"/>
      <c r="B173" s="10" t="s">
        <v>166</v>
      </c>
      <c r="C173" s="11"/>
      <c r="D173" s="11"/>
      <c r="E173" s="11"/>
    </row>
    <row r="174">
      <c r="A174" s="11"/>
      <c r="B174" s="27" t="s">
        <v>31</v>
      </c>
      <c r="C174" s="29" t="s">
        <v>2</v>
      </c>
      <c r="D174" s="29" t="s">
        <v>4</v>
      </c>
      <c r="E174" s="29" t="s">
        <v>33</v>
      </c>
      <c r="F174" s="29" t="s">
        <v>35</v>
      </c>
      <c r="G174" s="29" t="s">
        <v>36</v>
      </c>
      <c r="H174" s="29" t="s">
        <v>6</v>
      </c>
      <c r="I174" s="29" t="s">
        <v>7</v>
      </c>
      <c r="J174" s="29" t="s">
        <v>8</v>
      </c>
      <c r="K174" s="29" t="s">
        <v>2</v>
      </c>
      <c r="L174" s="29" t="s">
        <v>4</v>
      </c>
      <c r="M174" s="28" t="s">
        <v>2</v>
      </c>
      <c r="N174" s="28" t="s">
        <v>4</v>
      </c>
    </row>
    <row r="175">
      <c r="A175" s="11"/>
      <c r="B175" s="82" t="str">
        <f>IFERROR(__xludf.DUMMYFUNCTION("QUERY(B5:N70, ""Select B, C, D, E, F, G, H, I, J, K, L, M, N   where F = 0"")"),"Adrian Tay")</f>
        <v>Adrian Tay</v>
      </c>
      <c r="C175" s="87">
        <f>IFERROR(__xludf.DUMMYFUNCTION("""COMPUTED_VALUE"""),175.0)</f>
        <v>175</v>
      </c>
      <c r="D175" s="87">
        <f>IFERROR(__xludf.DUMMYFUNCTION("""COMPUTED_VALUE"""),20.0)</f>
        <v>20</v>
      </c>
      <c r="E175" s="86">
        <f>IFERROR(__xludf.DUMMYFUNCTION("""COMPUTED_VALUE"""),3.0)</f>
        <v>3</v>
      </c>
      <c r="F175" s="88">
        <f>IFERROR(__xludf.DUMMYFUNCTION("""COMPUTED_VALUE"""),0.0)</f>
        <v>0</v>
      </c>
      <c r="G175" s="88">
        <f>IFERROR(__xludf.DUMMYFUNCTION("""COMPUTED_VALUE"""),9.0)</f>
        <v>9</v>
      </c>
      <c r="H175" s="88">
        <f>IFERROR(__xludf.DUMMYFUNCTION("""COMPUTED_VALUE"""),0.0)</f>
        <v>0</v>
      </c>
      <c r="I175" s="88">
        <f>IFERROR(__xludf.DUMMYFUNCTION("""COMPUTED_VALUE"""),0.0)</f>
        <v>0</v>
      </c>
      <c r="J175" s="88">
        <f>IFERROR(__xludf.DUMMYFUNCTION("""COMPUTED_VALUE"""),0.0)</f>
        <v>0</v>
      </c>
      <c r="K175" s="88">
        <f>IFERROR(__xludf.DUMMYFUNCTION("""COMPUTED_VALUE"""),9.0)</f>
        <v>9</v>
      </c>
      <c r="L175" s="88">
        <f>IFERROR(__xludf.DUMMYFUNCTION("""COMPUTED_VALUE"""),0.0)</f>
        <v>0</v>
      </c>
      <c r="M175" s="89">
        <f>IFERROR(__xludf.DUMMYFUNCTION("""COMPUTED_VALUE"""),184.0)</f>
        <v>184</v>
      </c>
      <c r="N175" s="89">
        <f>IFERROR(__xludf.DUMMYFUNCTION("""COMPUTED_VALUE"""),20.0)</f>
        <v>20</v>
      </c>
    </row>
    <row r="176">
      <c r="A176" s="11"/>
      <c r="B176" s="82" t="str">
        <f>IFERROR(__xludf.DUMMYFUNCTION("""COMPUTED_VALUE"""),"Suleman Alidina")</f>
        <v>Suleman Alidina</v>
      </c>
      <c r="C176" s="87">
        <f>IFERROR(__xludf.DUMMYFUNCTION("""COMPUTED_VALUE"""),149.0)</f>
        <v>149</v>
      </c>
      <c r="D176" s="87">
        <f>IFERROR(__xludf.DUMMYFUNCTION("""COMPUTED_VALUE"""),17.0)</f>
        <v>17</v>
      </c>
      <c r="E176" s="86">
        <f>IFERROR(__xludf.DUMMYFUNCTION("""COMPUTED_VALUE"""),3.0)</f>
        <v>3</v>
      </c>
      <c r="F176" s="88">
        <f>IFERROR(__xludf.DUMMYFUNCTION("""COMPUTED_VALUE"""),0.0)</f>
        <v>0</v>
      </c>
      <c r="G176" s="88">
        <f>IFERROR(__xludf.DUMMYFUNCTION("""COMPUTED_VALUE"""),9.0)</f>
        <v>9</v>
      </c>
      <c r="H176" s="88">
        <f>IFERROR(__xludf.DUMMYFUNCTION("""COMPUTED_VALUE"""),0.0)</f>
        <v>0</v>
      </c>
      <c r="I176" s="88">
        <f>IFERROR(__xludf.DUMMYFUNCTION("""COMPUTED_VALUE"""),0.0)</f>
        <v>0</v>
      </c>
      <c r="J176" s="88">
        <f>IFERROR(__xludf.DUMMYFUNCTION("""COMPUTED_VALUE"""),0.0)</f>
        <v>0</v>
      </c>
      <c r="K176" s="88">
        <f>IFERROR(__xludf.DUMMYFUNCTION("""COMPUTED_VALUE"""),9.0)</f>
        <v>9</v>
      </c>
      <c r="L176" s="88">
        <f>IFERROR(__xludf.DUMMYFUNCTION("""COMPUTED_VALUE"""),0.0)</f>
        <v>0</v>
      </c>
      <c r="M176" s="89">
        <f>IFERROR(__xludf.DUMMYFUNCTION("""COMPUTED_VALUE"""),158.0)</f>
        <v>158</v>
      </c>
      <c r="N176" s="89">
        <f>IFERROR(__xludf.DUMMYFUNCTION("""COMPUTED_VALUE"""),17.0)</f>
        <v>17</v>
      </c>
    </row>
    <row r="177">
      <c r="A177" s="11"/>
      <c r="B177" s="82" t="str">
        <f>IFERROR(__xludf.DUMMYFUNCTION("""COMPUTED_VALUE"""),"Luis Hsu")</f>
        <v>Luis Hsu</v>
      </c>
      <c r="C177" s="87">
        <f>IFERROR(__xludf.DUMMYFUNCTION("""COMPUTED_VALUE"""),148.0)</f>
        <v>148</v>
      </c>
      <c r="D177" s="87">
        <f>IFERROR(__xludf.DUMMYFUNCTION("""COMPUTED_VALUE"""),13.0)</f>
        <v>13</v>
      </c>
      <c r="E177" s="86">
        <f>IFERROR(__xludf.DUMMYFUNCTION("""COMPUTED_VALUE"""),3.0)</f>
        <v>3</v>
      </c>
      <c r="F177" s="88">
        <f>IFERROR(__xludf.DUMMYFUNCTION("""COMPUTED_VALUE"""),0.0)</f>
        <v>0</v>
      </c>
      <c r="G177" s="88">
        <f>IFERROR(__xludf.DUMMYFUNCTION("""COMPUTED_VALUE"""),9.0)</f>
        <v>9</v>
      </c>
      <c r="H177" s="88">
        <f>IFERROR(__xludf.DUMMYFUNCTION("""COMPUTED_VALUE"""),0.0)</f>
        <v>0</v>
      </c>
      <c r="I177" s="88">
        <f>IFERROR(__xludf.DUMMYFUNCTION("""COMPUTED_VALUE"""),0.0)</f>
        <v>0</v>
      </c>
      <c r="J177" s="88">
        <f>IFERROR(__xludf.DUMMYFUNCTION("""COMPUTED_VALUE"""),0.0)</f>
        <v>0</v>
      </c>
      <c r="K177" s="88">
        <f>IFERROR(__xludf.DUMMYFUNCTION("""COMPUTED_VALUE"""),9.0)</f>
        <v>9</v>
      </c>
      <c r="L177" s="88">
        <f>IFERROR(__xludf.DUMMYFUNCTION("""COMPUTED_VALUE"""),0.0)</f>
        <v>0</v>
      </c>
      <c r="M177" s="89">
        <f>IFERROR(__xludf.DUMMYFUNCTION("""COMPUTED_VALUE"""),157.0)</f>
        <v>157</v>
      </c>
      <c r="N177" s="89">
        <f>IFERROR(__xludf.DUMMYFUNCTION("""COMPUTED_VALUE"""),13.0)</f>
        <v>13</v>
      </c>
    </row>
    <row r="178">
      <c r="A178" s="11"/>
      <c r="B178" s="82" t="str">
        <f>IFERROR(__xludf.DUMMYFUNCTION("""COMPUTED_VALUE"""),"Rajasekar Ramasamy")</f>
        <v>Rajasekar Ramasamy</v>
      </c>
      <c r="C178" s="87">
        <f>IFERROR(__xludf.DUMMYFUNCTION("""COMPUTED_VALUE"""),142.0)</f>
        <v>142</v>
      </c>
      <c r="D178" s="87">
        <f>IFERROR(__xludf.DUMMYFUNCTION("""COMPUTED_VALUE"""),14.0)</f>
        <v>14</v>
      </c>
      <c r="E178" s="86">
        <f>IFERROR(__xludf.DUMMYFUNCTION("""COMPUTED_VALUE"""),3.0)</f>
        <v>3</v>
      </c>
      <c r="F178" s="88">
        <f>IFERROR(__xludf.DUMMYFUNCTION("""COMPUTED_VALUE"""),0.0)</f>
        <v>0</v>
      </c>
      <c r="G178" s="88">
        <f>IFERROR(__xludf.DUMMYFUNCTION("""COMPUTED_VALUE"""),9.0)</f>
        <v>9</v>
      </c>
      <c r="H178" s="88">
        <f>IFERROR(__xludf.DUMMYFUNCTION("""COMPUTED_VALUE"""),0.0)</f>
        <v>0</v>
      </c>
      <c r="I178" s="88">
        <f>IFERROR(__xludf.DUMMYFUNCTION("""COMPUTED_VALUE"""),0.0)</f>
        <v>0</v>
      </c>
      <c r="J178" s="88">
        <f>IFERROR(__xludf.DUMMYFUNCTION("""COMPUTED_VALUE"""),0.0)</f>
        <v>0</v>
      </c>
      <c r="K178" s="88">
        <f>IFERROR(__xludf.DUMMYFUNCTION("""COMPUTED_VALUE"""),9.0)</f>
        <v>9</v>
      </c>
      <c r="L178" s="88">
        <f>IFERROR(__xludf.DUMMYFUNCTION("""COMPUTED_VALUE"""),0.0)</f>
        <v>0</v>
      </c>
      <c r="M178" s="89">
        <f>IFERROR(__xludf.DUMMYFUNCTION("""COMPUTED_VALUE"""),151.0)</f>
        <v>151</v>
      </c>
      <c r="N178" s="89">
        <f>IFERROR(__xludf.DUMMYFUNCTION("""COMPUTED_VALUE"""),14.0)</f>
        <v>14</v>
      </c>
    </row>
    <row r="179">
      <c r="A179" s="11"/>
      <c r="B179" s="82" t="str">
        <f>IFERROR(__xludf.DUMMYFUNCTION("""COMPUTED_VALUE"""),"James Phan")</f>
        <v>James Phan</v>
      </c>
      <c r="C179" s="87">
        <f>IFERROR(__xludf.DUMMYFUNCTION("""COMPUTED_VALUE"""),142.0)</f>
        <v>142</v>
      </c>
      <c r="D179" s="87">
        <f>IFERROR(__xludf.DUMMYFUNCTION("""COMPUTED_VALUE"""),13.0)</f>
        <v>13</v>
      </c>
      <c r="E179" s="86">
        <f>IFERROR(__xludf.DUMMYFUNCTION("""COMPUTED_VALUE"""),3.0)</f>
        <v>3</v>
      </c>
      <c r="F179" s="88">
        <f>IFERROR(__xludf.DUMMYFUNCTION("""COMPUTED_VALUE"""),0.0)</f>
        <v>0</v>
      </c>
      <c r="G179" s="88">
        <f>IFERROR(__xludf.DUMMYFUNCTION("""COMPUTED_VALUE"""),9.0)</f>
        <v>9</v>
      </c>
      <c r="H179" s="88">
        <f>IFERROR(__xludf.DUMMYFUNCTION("""COMPUTED_VALUE"""),0.0)</f>
        <v>0</v>
      </c>
      <c r="I179" s="88">
        <f>IFERROR(__xludf.DUMMYFUNCTION("""COMPUTED_VALUE"""),0.0)</f>
        <v>0</v>
      </c>
      <c r="J179" s="88">
        <f>IFERROR(__xludf.DUMMYFUNCTION("""COMPUTED_VALUE"""),0.0)</f>
        <v>0</v>
      </c>
      <c r="K179" s="88">
        <f>IFERROR(__xludf.DUMMYFUNCTION("""COMPUTED_VALUE"""),9.0)</f>
        <v>9</v>
      </c>
      <c r="L179" s="88">
        <f>IFERROR(__xludf.DUMMYFUNCTION("""COMPUTED_VALUE"""),0.0)</f>
        <v>0</v>
      </c>
      <c r="M179" s="89">
        <f>IFERROR(__xludf.DUMMYFUNCTION("""COMPUTED_VALUE"""),151.0)</f>
        <v>151</v>
      </c>
      <c r="N179" s="89">
        <f>IFERROR(__xludf.DUMMYFUNCTION("""COMPUTED_VALUE"""),13.0)</f>
        <v>13</v>
      </c>
    </row>
    <row r="180">
      <c r="A180" s="11"/>
      <c r="B180" s="82" t="str">
        <f>IFERROR(__xludf.DUMMYFUNCTION("""COMPUTED_VALUE"""),"Arun Mallikarjuna")</f>
        <v>Arun Mallikarjuna</v>
      </c>
      <c r="C180" s="87">
        <f>IFERROR(__xludf.DUMMYFUNCTION("""COMPUTED_VALUE"""),140.0)</f>
        <v>140</v>
      </c>
      <c r="D180" s="87">
        <f>IFERROR(__xludf.DUMMYFUNCTION("""COMPUTED_VALUE"""),13.0)</f>
        <v>13</v>
      </c>
      <c r="E180" s="86">
        <f>IFERROR(__xludf.DUMMYFUNCTION("""COMPUTED_VALUE"""),3.0)</f>
        <v>3</v>
      </c>
      <c r="F180" s="88">
        <f>IFERROR(__xludf.DUMMYFUNCTION("""COMPUTED_VALUE"""),0.0)</f>
        <v>0</v>
      </c>
      <c r="G180" s="88">
        <f>IFERROR(__xludf.DUMMYFUNCTION("""COMPUTED_VALUE"""),9.0)</f>
        <v>9</v>
      </c>
      <c r="H180" s="88">
        <f>IFERROR(__xludf.DUMMYFUNCTION("""COMPUTED_VALUE"""),0.0)</f>
        <v>0</v>
      </c>
      <c r="I180" s="88">
        <f>IFERROR(__xludf.DUMMYFUNCTION("""COMPUTED_VALUE"""),0.0)</f>
        <v>0</v>
      </c>
      <c r="J180" s="88">
        <f>IFERROR(__xludf.DUMMYFUNCTION("""COMPUTED_VALUE"""),0.0)</f>
        <v>0</v>
      </c>
      <c r="K180" s="88">
        <f>IFERROR(__xludf.DUMMYFUNCTION("""COMPUTED_VALUE"""),9.0)</f>
        <v>9</v>
      </c>
      <c r="L180" s="88">
        <f>IFERROR(__xludf.DUMMYFUNCTION("""COMPUTED_VALUE"""),0.0)</f>
        <v>0</v>
      </c>
      <c r="M180" s="89">
        <f>IFERROR(__xludf.DUMMYFUNCTION("""COMPUTED_VALUE"""),149.0)</f>
        <v>149</v>
      </c>
      <c r="N180" s="89">
        <f>IFERROR(__xludf.DUMMYFUNCTION("""COMPUTED_VALUE"""),13.0)</f>
        <v>13</v>
      </c>
    </row>
    <row r="181">
      <c r="A181" s="11"/>
      <c r="B181" s="82" t="str">
        <f>IFERROR(__xludf.DUMMYFUNCTION("""COMPUTED_VALUE"""),"Scott Li")</f>
        <v>Scott Li</v>
      </c>
      <c r="C181" s="87">
        <f>IFERROR(__xludf.DUMMYFUNCTION("""COMPUTED_VALUE"""),137.0)</f>
        <v>137</v>
      </c>
      <c r="D181" s="87">
        <f>IFERROR(__xludf.DUMMYFUNCTION("""COMPUTED_VALUE"""),12.0)</f>
        <v>12</v>
      </c>
      <c r="E181" s="86">
        <f>IFERROR(__xludf.DUMMYFUNCTION("""COMPUTED_VALUE"""),3.0)</f>
        <v>3</v>
      </c>
      <c r="F181" s="88">
        <f>IFERROR(__xludf.DUMMYFUNCTION("""COMPUTED_VALUE"""),0.0)</f>
        <v>0</v>
      </c>
      <c r="G181" s="88">
        <f>IFERROR(__xludf.DUMMYFUNCTION("""COMPUTED_VALUE"""),9.0)</f>
        <v>9</v>
      </c>
      <c r="H181" s="88">
        <f>IFERROR(__xludf.DUMMYFUNCTION("""COMPUTED_VALUE"""),0.0)</f>
        <v>0</v>
      </c>
      <c r="I181" s="88">
        <f>IFERROR(__xludf.DUMMYFUNCTION("""COMPUTED_VALUE"""),0.0)</f>
        <v>0</v>
      </c>
      <c r="J181" s="88">
        <f>IFERROR(__xludf.DUMMYFUNCTION("""COMPUTED_VALUE"""),0.0)</f>
        <v>0</v>
      </c>
      <c r="K181" s="88">
        <f>IFERROR(__xludf.DUMMYFUNCTION("""COMPUTED_VALUE"""),9.0)</f>
        <v>9</v>
      </c>
      <c r="L181" s="88">
        <f>IFERROR(__xludf.DUMMYFUNCTION("""COMPUTED_VALUE"""),0.0)</f>
        <v>0</v>
      </c>
      <c r="M181" s="89">
        <f>IFERROR(__xludf.DUMMYFUNCTION("""COMPUTED_VALUE"""),146.0)</f>
        <v>146</v>
      </c>
      <c r="N181" s="89">
        <f>IFERROR(__xludf.DUMMYFUNCTION("""COMPUTED_VALUE"""),12.0)</f>
        <v>12</v>
      </c>
    </row>
    <row r="182">
      <c r="A182" s="11"/>
      <c r="B182" s="82" t="str">
        <f>IFERROR(__xludf.DUMMYFUNCTION("""COMPUTED_VALUE"""),"Ramesh Bandaru")</f>
        <v>Ramesh Bandaru</v>
      </c>
      <c r="C182" s="87">
        <f>IFERROR(__xludf.DUMMYFUNCTION("""COMPUTED_VALUE"""),134.0)</f>
        <v>134</v>
      </c>
      <c r="D182" s="87">
        <f>IFERROR(__xludf.DUMMYFUNCTION("""COMPUTED_VALUE"""),10.0)</f>
        <v>10</v>
      </c>
      <c r="E182" s="86">
        <f>IFERROR(__xludf.DUMMYFUNCTION("""COMPUTED_VALUE"""),3.0)</f>
        <v>3</v>
      </c>
      <c r="F182" s="88">
        <f>IFERROR(__xludf.DUMMYFUNCTION("""COMPUTED_VALUE"""),0.0)</f>
        <v>0</v>
      </c>
      <c r="G182" s="88">
        <f>IFERROR(__xludf.DUMMYFUNCTION("""COMPUTED_VALUE"""),9.0)</f>
        <v>9</v>
      </c>
      <c r="H182" s="88">
        <f>IFERROR(__xludf.DUMMYFUNCTION("""COMPUTED_VALUE"""),0.0)</f>
        <v>0</v>
      </c>
      <c r="I182" s="88">
        <f>IFERROR(__xludf.DUMMYFUNCTION("""COMPUTED_VALUE"""),0.0)</f>
        <v>0</v>
      </c>
      <c r="J182" s="88">
        <f>IFERROR(__xludf.DUMMYFUNCTION("""COMPUTED_VALUE"""),0.0)</f>
        <v>0</v>
      </c>
      <c r="K182" s="88">
        <f>IFERROR(__xludf.DUMMYFUNCTION("""COMPUTED_VALUE"""),9.0)</f>
        <v>9</v>
      </c>
      <c r="L182" s="88">
        <f>IFERROR(__xludf.DUMMYFUNCTION("""COMPUTED_VALUE"""),0.0)</f>
        <v>0</v>
      </c>
      <c r="M182" s="89">
        <f>IFERROR(__xludf.DUMMYFUNCTION("""COMPUTED_VALUE"""),143.0)</f>
        <v>143</v>
      </c>
      <c r="N182" s="89">
        <f>IFERROR(__xludf.DUMMYFUNCTION("""COMPUTED_VALUE"""),10.0)</f>
        <v>10</v>
      </c>
    </row>
    <row r="183">
      <c r="A183" s="11"/>
      <c r="B183" s="82" t="str">
        <f>IFERROR(__xludf.DUMMYFUNCTION("""COMPUTED_VALUE"""),"Lam Bui")</f>
        <v>Lam Bui</v>
      </c>
      <c r="C183" s="87">
        <f>IFERROR(__xludf.DUMMYFUNCTION("""COMPUTED_VALUE"""),134.0)</f>
        <v>134</v>
      </c>
      <c r="D183" s="87">
        <f>IFERROR(__xludf.DUMMYFUNCTION("""COMPUTED_VALUE"""),10.0)</f>
        <v>10</v>
      </c>
      <c r="E183" s="86">
        <f>IFERROR(__xludf.DUMMYFUNCTION("""COMPUTED_VALUE"""),3.0)</f>
        <v>3</v>
      </c>
      <c r="F183" s="88">
        <f>IFERROR(__xludf.DUMMYFUNCTION("""COMPUTED_VALUE"""),0.0)</f>
        <v>0</v>
      </c>
      <c r="G183" s="88">
        <f>IFERROR(__xludf.DUMMYFUNCTION("""COMPUTED_VALUE"""),9.0)</f>
        <v>9</v>
      </c>
      <c r="H183" s="88">
        <f>IFERROR(__xludf.DUMMYFUNCTION("""COMPUTED_VALUE"""),0.0)</f>
        <v>0</v>
      </c>
      <c r="I183" s="88">
        <f>IFERROR(__xludf.DUMMYFUNCTION("""COMPUTED_VALUE"""),0.0)</f>
        <v>0</v>
      </c>
      <c r="J183" s="88">
        <f>IFERROR(__xludf.DUMMYFUNCTION("""COMPUTED_VALUE"""),0.0)</f>
        <v>0</v>
      </c>
      <c r="K183" s="88">
        <f>IFERROR(__xludf.DUMMYFUNCTION("""COMPUTED_VALUE"""),9.0)</f>
        <v>9</v>
      </c>
      <c r="L183" s="88">
        <f>IFERROR(__xludf.DUMMYFUNCTION("""COMPUTED_VALUE"""),0.0)</f>
        <v>0</v>
      </c>
      <c r="M183" s="89">
        <f>IFERROR(__xludf.DUMMYFUNCTION("""COMPUTED_VALUE"""),143.0)</f>
        <v>143</v>
      </c>
      <c r="N183" s="89">
        <f>IFERROR(__xludf.DUMMYFUNCTION("""COMPUTED_VALUE"""),10.0)</f>
        <v>10</v>
      </c>
    </row>
    <row r="184">
      <c r="A184" s="11"/>
      <c r="B184" s="82" t="str">
        <f>IFERROR(__xludf.DUMMYFUNCTION("""COMPUTED_VALUE"""),"Oscar Bonilla")</f>
        <v>Oscar Bonilla</v>
      </c>
      <c r="C184" s="87">
        <f>IFERROR(__xludf.DUMMYFUNCTION("""COMPUTED_VALUE"""),132.0)</f>
        <v>132</v>
      </c>
      <c r="D184" s="87">
        <f>IFERROR(__xludf.DUMMYFUNCTION("""COMPUTED_VALUE"""),8.0)</f>
        <v>8</v>
      </c>
      <c r="E184" s="86">
        <f>IFERROR(__xludf.DUMMYFUNCTION("""COMPUTED_VALUE"""),3.0)</f>
        <v>3</v>
      </c>
      <c r="F184" s="88">
        <f>IFERROR(__xludf.DUMMYFUNCTION("""COMPUTED_VALUE"""),0.0)</f>
        <v>0</v>
      </c>
      <c r="G184" s="88">
        <f>IFERROR(__xludf.DUMMYFUNCTION("""COMPUTED_VALUE"""),9.0)</f>
        <v>9</v>
      </c>
      <c r="H184" s="88">
        <f>IFERROR(__xludf.DUMMYFUNCTION("""COMPUTED_VALUE"""),0.0)</f>
        <v>0</v>
      </c>
      <c r="I184" s="88">
        <f>IFERROR(__xludf.DUMMYFUNCTION("""COMPUTED_VALUE"""),0.0)</f>
        <v>0</v>
      </c>
      <c r="J184" s="88">
        <f>IFERROR(__xludf.DUMMYFUNCTION("""COMPUTED_VALUE"""),0.0)</f>
        <v>0</v>
      </c>
      <c r="K184" s="88">
        <f>IFERROR(__xludf.DUMMYFUNCTION("""COMPUTED_VALUE"""),9.0)</f>
        <v>9</v>
      </c>
      <c r="L184" s="88">
        <f>IFERROR(__xludf.DUMMYFUNCTION("""COMPUTED_VALUE"""),0.0)</f>
        <v>0</v>
      </c>
      <c r="M184" s="89">
        <f>IFERROR(__xludf.DUMMYFUNCTION("""COMPUTED_VALUE"""),141.0)</f>
        <v>141</v>
      </c>
      <c r="N184" s="89">
        <f>IFERROR(__xludf.DUMMYFUNCTION("""COMPUTED_VALUE"""),8.0)</f>
        <v>8</v>
      </c>
    </row>
    <row r="185">
      <c r="A185" s="11"/>
      <c r="B185" s="82" t="str">
        <f>IFERROR(__xludf.DUMMYFUNCTION("""COMPUTED_VALUE"""),"Vamsi Lolla ")</f>
        <v>Vamsi Lolla </v>
      </c>
      <c r="C185" s="87">
        <f>IFERROR(__xludf.DUMMYFUNCTION("""COMPUTED_VALUE"""),131.0)</f>
        <v>131</v>
      </c>
      <c r="D185" s="87">
        <f>IFERROR(__xludf.DUMMYFUNCTION("""COMPUTED_VALUE"""),8.0)</f>
        <v>8</v>
      </c>
      <c r="E185" s="86">
        <f>IFERROR(__xludf.DUMMYFUNCTION("""COMPUTED_VALUE"""),3.0)</f>
        <v>3</v>
      </c>
      <c r="F185" s="88">
        <f>IFERROR(__xludf.DUMMYFUNCTION("""COMPUTED_VALUE"""),0.0)</f>
        <v>0</v>
      </c>
      <c r="G185" s="88">
        <f>IFERROR(__xludf.DUMMYFUNCTION("""COMPUTED_VALUE"""),9.0)</f>
        <v>9</v>
      </c>
      <c r="H185" s="88">
        <f>IFERROR(__xludf.DUMMYFUNCTION("""COMPUTED_VALUE"""),0.0)</f>
        <v>0</v>
      </c>
      <c r="I185" s="88">
        <f>IFERROR(__xludf.DUMMYFUNCTION("""COMPUTED_VALUE"""),0.0)</f>
        <v>0</v>
      </c>
      <c r="J185" s="88">
        <f>IFERROR(__xludf.DUMMYFUNCTION("""COMPUTED_VALUE"""),0.0)</f>
        <v>0</v>
      </c>
      <c r="K185" s="88">
        <f>IFERROR(__xludf.DUMMYFUNCTION("""COMPUTED_VALUE"""),9.0)</f>
        <v>9</v>
      </c>
      <c r="L185" s="88">
        <f>IFERROR(__xludf.DUMMYFUNCTION("""COMPUTED_VALUE"""),0.0)</f>
        <v>0</v>
      </c>
      <c r="M185" s="89">
        <f>IFERROR(__xludf.DUMMYFUNCTION("""COMPUTED_VALUE"""),140.0)</f>
        <v>140</v>
      </c>
      <c r="N185" s="89">
        <f>IFERROR(__xludf.DUMMYFUNCTION("""COMPUTED_VALUE"""),8.0)</f>
        <v>8</v>
      </c>
    </row>
    <row r="186">
      <c r="A186" s="11"/>
      <c r="B186" s="82" t="str">
        <f>IFERROR(__xludf.DUMMYFUNCTION("""COMPUTED_VALUE"""),"Erik Hoeckmann")</f>
        <v>Erik Hoeckmann</v>
      </c>
      <c r="C186" s="87">
        <f>IFERROR(__xludf.DUMMYFUNCTION("""COMPUTED_VALUE"""),129.0)</f>
        <v>129</v>
      </c>
      <c r="D186" s="87">
        <f>IFERROR(__xludf.DUMMYFUNCTION("""COMPUTED_VALUE"""),11.0)</f>
        <v>11</v>
      </c>
      <c r="E186" s="86">
        <f>IFERROR(__xludf.DUMMYFUNCTION("""COMPUTED_VALUE"""),3.0)</f>
        <v>3</v>
      </c>
      <c r="F186" s="88">
        <f>IFERROR(__xludf.DUMMYFUNCTION("""COMPUTED_VALUE"""),0.0)</f>
        <v>0</v>
      </c>
      <c r="G186" s="88">
        <f>IFERROR(__xludf.DUMMYFUNCTION("""COMPUTED_VALUE"""),9.0)</f>
        <v>9</v>
      </c>
      <c r="H186" s="88">
        <f>IFERROR(__xludf.DUMMYFUNCTION("""COMPUTED_VALUE"""),0.0)</f>
        <v>0</v>
      </c>
      <c r="I186" s="88">
        <f>IFERROR(__xludf.DUMMYFUNCTION("""COMPUTED_VALUE"""),0.0)</f>
        <v>0</v>
      </c>
      <c r="J186" s="88">
        <f>IFERROR(__xludf.DUMMYFUNCTION("""COMPUTED_VALUE"""),0.0)</f>
        <v>0</v>
      </c>
      <c r="K186" s="88">
        <f>IFERROR(__xludf.DUMMYFUNCTION("""COMPUTED_VALUE"""),9.0)</f>
        <v>9</v>
      </c>
      <c r="L186" s="88">
        <f>IFERROR(__xludf.DUMMYFUNCTION("""COMPUTED_VALUE"""),0.0)</f>
        <v>0</v>
      </c>
      <c r="M186" s="89">
        <f>IFERROR(__xludf.DUMMYFUNCTION("""COMPUTED_VALUE"""),138.0)</f>
        <v>138</v>
      </c>
      <c r="N186" s="89">
        <f>IFERROR(__xludf.DUMMYFUNCTION("""COMPUTED_VALUE"""),11.0)</f>
        <v>11</v>
      </c>
    </row>
    <row r="187">
      <c r="A187" s="11"/>
      <c r="B187" s="82" t="str">
        <f>IFERROR(__xludf.DUMMYFUNCTION("""COMPUTED_VALUE"""),"Robert Chang")</f>
        <v>Robert Chang</v>
      </c>
      <c r="C187" s="87">
        <f>IFERROR(__xludf.DUMMYFUNCTION("""COMPUTED_VALUE"""),127.0)</f>
        <v>127</v>
      </c>
      <c r="D187" s="87">
        <f>IFERROR(__xludf.DUMMYFUNCTION("""COMPUTED_VALUE"""),4.0)</f>
        <v>4</v>
      </c>
      <c r="E187" s="86">
        <f>IFERROR(__xludf.DUMMYFUNCTION("""COMPUTED_VALUE"""),3.0)</f>
        <v>3</v>
      </c>
      <c r="F187" s="88">
        <f>IFERROR(__xludf.DUMMYFUNCTION("""COMPUTED_VALUE"""),0.0)</f>
        <v>0</v>
      </c>
      <c r="G187" s="88">
        <f>IFERROR(__xludf.DUMMYFUNCTION("""COMPUTED_VALUE"""),9.0)</f>
        <v>9</v>
      </c>
      <c r="H187" s="88">
        <f>IFERROR(__xludf.DUMMYFUNCTION("""COMPUTED_VALUE"""),0.0)</f>
        <v>0</v>
      </c>
      <c r="I187" s="88">
        <f>IFERROR(__xludf.DUMMYFUNCTION("""COMPUTED_VALUE"""),0.0)</f>
        <v>0</v>
      </c>
      <c r="J187" s="88">
        <f>IFERROR(__xludf.DUMMYFUNCTION("""COMPUTED_VALUE"""),0.0)</f>
        <v>0</v>
      </c>
      <c r="K187" s="88">
        <f>IFERROR(__xludf.DUMMYFUNCTION("""COMPUTED_VALUE"""),9.0)</f>
        <v>9</v>
      </c>
      <c r="L187" s="88">
        <f>IFERROR(__xludf.DUMMYFUNCTION("""COMPUTED_VALUE"""),0.0)</f>
        <v>0</v>
      </c>
      <c r="M187" s="89">
        <f>IFERROR(__xludf.DUMMYFUNCTION("""COMPUTED_VALUE"""),136.0)</f>
        <v>136</v>
      </c>
      <c r="N187" s="89">
        <f>IFERROR(__xludf.DUMMYFUNCTION("""COMPUTED_VALUE"""),4.0)</f>
        <v>4</v>
      </c>
    </row>
    <row r="188">
      <c r="A188" s="11"/>
      <c r="B188" s="82" t="str">
        <f>IFERROR(__xludf.DUMMYFUNCTION("""COMPUTED_VALUE"""),"Andrew Wen")</f>
        <v>Andrew Wen</v>
      </c>
      <c r="C188" s="87">
        <f>IFERROR(__xludf.DUMMYFUNCTION("""COMPUTED_VALUE"""),125.0)</f>
        <v>125</v>
      </c>
      <c r="D188" s="87">
        <f>IFERROR(__xludf.DUMMYFUNCTION("""COMPUTED_VALUE"""),5.0)</f>
        <v>5</v>
      </c>
      <c r="E188" s="86">
        <f>IFERROR(__xludf.DUMMYFUNCTION("""COMPUTED_VALUE"""),3.0)</f>
        <v>3</v>
      </c>
      <c r="F188" s="88">
        <f>IFERROR(__xludf.DUMMYFUNCTION("""COMPUTED_VALUE"""),0.0)</f>
        <v>0</v>
      </c>
      <c r="G188" s="88">
        <f>IFERROR(__xludf.DUMMYFUNCTION("""COMPUTED_VALUE"""),9.0)</f>
        <v>9</v>
      </c>
      <c r="H188" s="88">
        <f>IFERROR(__xludf.DUMMYFUNCTION("""COMPUTED_VALUE"""),0.0)</f>
        <v>0</v>
      </c>
      <c r="I188" s="88">
        <f>IFERROR(__xludf.DUMMYFUNCTION("""COMPUTED_VALUE"""),0.0)</f>
        <v>0</v>
      </c>
      <c r="J188" s="88">
        <f>IFERROR(__xludf.DUMMYFUNCTION("""COMPUTED_VALUE"""),0.0)</f>
        <v>0</v>
      </c>
      <c r="K188" s="88">
        <f>IFERROR(__xludf.DUMMYFUNCTION("""COMPUTED_VALUE"""),9.0)</f>
        <v>9</v>
      </c>
      <c r="L188" s="88">
        <f>IFERROR(__xludf.DUMMYFUNCTION("""COMPUTED_VALUE"""),0.0)</f>
        <v>0</v>
      </c>
      <c r="M188" s="89">
        <f>IFERROR(__xludf.DUMMYFUNCTION("""COMPUTED_VALUE"""),134.0)</f>
        <v>134</v>
      </c>
      <c r="N188" s="89">
        <f>IFERROR(__xludf.DUMMYFUNCTION("""COMPUTED_VALUE"""),5.0)</f>
        <v>5</v>
      </c>
    </row>
    <row r="189">
      <c r="A189" s="11"/>
      <c r="B189" s="82" t="str">
        <f>IFERROR(__xludf.DUMMYFUNCTION("""COMPUTED_VALUE"""),"Manuel Rivera")</f>
        <v>Manuel Rivera</v>
      </c>
      <c r="C189" s="87">
        <f>IFERROR(__xludf.DUMMYFUNCTION("""COMPUTED_VALUE"""),122.0)</f>
        <v>122</v>
      </c>
      <c r="D189" s="87">
        <f>IFERROR(__xludf.DUMMYFUNCTION("""COMPUTED_VALUE"""),6.0)</f>
        <v>6</v>
      </c>
      <c r="E189" s="86">
        <f>IFERROR(__xludf.DUMMYFUNCTION("""COMPUTED_VALUE"""),3.0)</f>
        <v>3</v>
      </c>
      <c r="F189" s="88">
        <f>IFERROR(__xludf.DUMMYFUNCTION("""COMPUTED_VALUE"""),0.0)</f>
        <v>0</v>
      </c>
      <c r="G189" s="88">
        <f>IFERROR(__xludf.DUMMYFUNCTION("""COMPUTED_VALUE"""),9.0)</f>
        <v>9</v>
      </c>
      <c r="H189" s="88">
        <f>IFERROR(__xludf.DUMMYFUNCTION("""COMPUTED_VALUE"""),0.0)</f>
        <v>0</v>
      </c>
      <c r="I189" s="88">
        <f>IFERROR(__xludf.DUMMYFUNCTION("""COMPUTED_VALUE"""),0.0)</f>
        <v>0</v>
      </c>
      <c r="J189" s="88">
        <f>IFERROR(__xludf.DUMMYFUNCTION("""COMPUTED_VALUE"""),0.0)</f>
        <v>0</v>
      </c>
      <c r="K189" s="88">
        <f>IFERROR(__xludf.DUMMYFUNCTION("""COMPUTED_VALUE"""),9.0)</f>
        <v>9</v>
      </c>
      <c r="L189" s="88">
        <f>IFERROR(__xludf.DUMMYFUNCTION("""COMPUTED_VALUE"""),0.0)</f>
        <v>0</v>
      </c>
      <c r="M189" s="89">
        <f>IFERROR(__xludf.DUMMYFUNCTION("""COMPUTED_VALUE"""),131.0)</f>
        <v>131</v>
      </c>
      <c r="N189" s="89">
        <f>IFERROR(__xludf.DUMMYFUNCTION("""COMPUTED_VALUE"""),6.0)</f>
        <v>6</v>
      </c>
    </row>
    <row r="190">
      <c r="A190" s="11"/>
      <c r="B190" s="82" t="str">
        <f>IFERROR(__xludf.DUMMYFUNCTION("""COMPUTED_VALUE"""),"Chinna Ponnaganti")</f>
        <v>Chinna Ponnaganti</v>
      </c>
      <c r="C190" s="87">
        <f>IFERROR(__xludf.DUMMYFUNCTION("""COMPUTED_VALUE"""),120.0)</f>
        <v>120</v>
      </c>
      <c r="D190" s="87">
        <f>IFERROR(__xludf.DUMMYFUNCTION("""COMPUTED_VALUE"""),10.0)</f>
        <v>10</v>
      </c>
      <c r="E190" s="86">
        <f>IFERROR(__xludf.DUMMYFUNCTION("""COMPUTED_VALUE"""),3.0)</f>
        <v>3</v>
      </c>
      <c r="F190" s="88">
        <f>IFERROR(__xludf.DUMMYFUNCTION("""COMPUTED_VALUE"""),0.0)</f>
        <v>0</v>
      </c>
      <c r="G190" s="88">
        <f>IFERROR(__xludf.DUMMYFUNCTION("""COMPUTED_VALUE"""),9.0)</f>
        <v>9</v>
      </c>
      <c r="H190" s="88">
        <f>IFERROR(__xludf.DUMMYFUNCTION("""COMPUTED_VALUE"""),0.0)</f>
        <v>0</v>
      </c>
      <c r="I190" s="88">
        <f>IFERROR(__xludf.DUMMYFUNCTION("""COMPUTED_VALUE"""),0.0)</f>
        <v>0</v>
      </c>
      <c r="J190" s="88">
        <f>IFERROR(__xludf.DUMMYFUNCTION("""COMPUTED_VALUE"""),0.0)</f>
        <v>0</v>
      </c>
      <c r="K190" s="88">
        <f>IFERROR(__xludf.DUMMYFUNCTION("""COMPUTED_VALUE"""),9.0)</f>
        <v>9</v>
      </c>
      <c r="L190" s="88">
        <f>IFERROR(__xludf.DUMMYFUNCTION("""COMPUTED_VALUE"""),0.0)</f>
        <v>0</v>
      </c>
      <c r="M190" s="89">
        <f>IFERROR(__xludf.DUMMYFUNCTION("""COMPUTED_VALUE"""),129.0)</f>
        <v>129</v>
      </c>
      <c r="N190" s="89">
        <f>IFERROR(__xludf.DUMMYFUNCTION("""COMPUTED_VALUE"""),10.0)</f>
        <v>10</v>
      </c>
    </row>
    <row r="191">
      <c r="A191" s="11"/>
      <c r="B191" s="82" t="str">
        <f>IFERROR(__xludf.DUMMYFUNCTION("""COMPUTED_VALUE"""),"Lloyd Sagar")</f>
        <v>Lloyd Sagar</v>
      </c>
      <c r="C191" s="87">
        <f>IFERROR(__xludf.DUMMYFUNCTION("""COMPUTED_VALUE"""),120.0)</f>
        <v>120</v>
      </c>
      <c r="D191" s="87">
        <f>IFERROR(__xludf.DUMMYFUNCTION("""COMPUTED_VALUE"""),6.0)</f>
        <v>6</v>
      </c>
      <c r="E191" s="86">
        <f>IFERROR(__xludf.DUMMYFUNCTION("""COMPUTED_VALUE"""),3.0)</f>
        <v>3</v>
      </c>
      <c r="F191" s="88">
        <f>IFERROR(__xludf.DUMMYFUNCTION("""COMPUTED_VALUE"""),0.0)</f>
        <v>0</v>
      </c>
      <c r="G191" s="88">
        <f>IFERROR(__xludf.DUMMYFUNCTION("""COMPUTED_VALUE"""),9.0)</f>
        <v>9</v>
      </c>
      <c r="H191" s="88">
        <f>IFERROR(__xludf.DUMMYFUNCTION("""COMPUTED_VALUE"""),0.0)</f>
        <v>0</v>
      </c>
      <c r="I191" s="88">
        <f>IFERROR(__xludf.DUMMYFUNCTION("""COMPUTED_VALUE"""),0.0)</f>
        <v>0</v>
      </c>
      <c r="J191" s="88">
        <f>IFERROR(__xludf.DUMMYFUNCTION("""COMPUTED_VALUE"""),0.0)</f>
        <v>0</v>
      </c>
      <c r="K191" s="88">
        <f>IFERROR(__xludf.DUMMYFUNCTION("""COMPUTED_VALUE"""),9.0)</f>
        <v>9</v>
      </c>
      <c r="L191" s="88">
        <f>IFERROR(__xludf.DUMMYFUNCTION("""COMPUTED_VALUE"""),0.0)</f>
        <v>0</v>
      </c>
      <c r="M191" s="89">
        <f>IFERROR(__xludf.DUMMYFUNCTION("""COMPUTED_VALUE"""),129.0)</f>
        <v>129</v>
      </c>
      <c r="N191" s="89">
        <f>IFERROR(__xludf.DUMMYFUNCTION("""COMPUTED_VALUE"""),6.0)</f>
        <v>6</v>
      </c>
    </row>
    <row r="192">
      <c r="A192" s="11"/>
      <c r="B192" s="82" t="str">
        <f>IFERROR(__xludf.DUMMYFUNCTION("""COMPUTED_VALUE"""),"Peter Cheng")</f>
        <v>Peter Cheng</v>
      </c>
      <c r="C192" s="87">
        <f>IFERROR(__xludf.DUMMYFUNCTION("""COMPUTED_VALUE"""),120.0)</f>
        <v>120</v>
      </c>
      <c r="D192" s="87">
        <f>IFERROR(__xludf.DUMMYFUNCTION("""COMPUTED_VALUE"""),2.0)</f>
        <v>2</v>
      </c>
      <c r="E192" s="86">
        <f>IFERROR(__xludf.DUMMYFUNCTION("""COMPUTED_VALUE"""),3.0)</f>
        <v>3</v>
      </c>
      <c r="F192" s="88">
        <f>IFERROR(__xludf.DUMMYFUNCTION("""COMPUTED_VALUE"""),0.0)</f>
        <v>0</v>
      </c>
      <c r="G192" s="88">
        <f>IFERROR(__xludf.DUMMYFUNCTION("""COMPUTED_VALUE"""),9.0)</f>
        <v>9</v>
      </c>
      <c r="H192" s="88">
        <f>IFERROR(__xludf.DUMMYFUNCTION("""COMPUTED_VALUE"""),0.0)</f>
        <v>0</v>
      </c>
      <c r="I192" s="88">
        <f>IFERROR(__xludf.DUMMYFUNCTION("""COMPUTED_VALUE"""),0.0)</f>
        <v>0</v>
      </c>
      <c r="J192" s="88">
        <f>IFERROR(__xludf.DUMMYFUNCTION("""COMPUTED_VALUE"""),0.0)</f>
        <v>0</v>
      </c>
      <c r="K192" s="88">
        <f>IFERROR(__xludf.DUMMYFUNCTION("""COMPUTED_VALUE"""),9.0)</f>
        <v>9</v>
      </c>
      <c r="L192" s="88">
        <f>IFERROR(__xludf.DUMMYFUNCTION("""COMPUTED_VALUE"""),0.0)</f>
        <v>0</v>
      </c>
      <c r="M192" s="89">
        <f>IFERROR(__xludf.DUMMYFUNCTION("""COMPUTED_VALUE"""),129.0)</f>
        <v>129</v>
      </c>
      <c r="N192" s="89">
        <f>IFERROR(__xludf.DUMMYFUNCTION("""COMPUTED_VALUE"""),2.0)</f>
        <v>2</v>
      </c>
    </row>
    <row r="193">
      <c r="A193" s="11"/>
      <c r="B193" s="82" t="str">
        <f>IFERROR(__xludf.DUMMYFUNCTION("""COMPUTED_VALUE"""),"Coco Yan")</f>
        <v>Coco Yan</v>
      </c>
      <c r="C193" s="87">
        <f>IFERROR(__xludf.DUMMYFUNCTION("""COMPUTED_VALUE"""),119.0)</f>
        <v>119</v>
      </c>
      <c r="D193" s="87">
        <f>IFERROR(__xludf.DUMMYFUNCTION("""COMPUTED_VALUE"""),7.0)</f>
        <v>7</v>
      </c>
      <c r="E193" s="86">
        <f>IFERROR(__xludf.DUMMYFUNCTION("""COMPUTED_VALUE"""),3.0)</f>
        <v>3</v>
      </c>
      <c r="F193" s="88">
        <f>IFERROR(__xludf.DUMMYFUNCTION("""COMPUTED_VALUE"""),0.0)</f>
        <v>0</v>
      </c>
      <c r="G193" s="88">
        <f>IFERROR(__xludf.DUMMYFUNCTION("""COMPUTED_VALUE"""),9.0)</f>
        <v>9</v>
      </c>
      <c r="H193" s="88">
        <f>IFERROR(__xludf.DUMMYFUNCTION("""COMPUTED_VALUE"""),0.0)</f>
        <v>0</v>
      </c>
      <c r="I193" s="88">
        <f>IFERROR(__xludf.DUMMYFUNCTION("""COMPUTED_VALUE"""),0.0)</f>
        <v>0</v>
      </c>
      <c r="J193" s="88">
        <f>IFERROR(__xludf.DUMMYFUNCTION("""COMPUTED_VALUE"""),0.0)</f>
        <v>0</v>
      </c>
      <c r="K193" s="88">
        <f>IFERROR(__xludf.DUMMYFUNCTION("""COMPUTED_VALUE"""),9.0)</f>
        <v>9</v>
      </c>
      <c r="L193" s="88">
        <f>IFERROR(__xludf.DUMMYFUNCTION("""COMPUTED_VALUE"""),0.0)</f>
        <v>0</v>
      </c>
      <c r="M193" s="89">
        <f>IFERROR(__xludf.DUMMYFUNCTION("""COMPUTED_VALUE"""),128.0)</f>
        <v>128</v>
      </c>
      <c r="N193" s="89">
        <f>IFERROR(__xludf.DUMMYFUNCTION("""COMPUTED_VALUE"""),7.0)</f>
        <v>7</v>
      </c>
    </row>
    <row r="194">
      <c r="A194" s="11"/>
      <c r="B194" s="82" t="str">
        <f>IFERROR(__xludf.DUMMYFUNCTION("""COMPUTED_VALUE"""),"Pulkit Mathur")</f>
        <v>Pulkit Mathur</v>
      </c>
      <c r="C194" s="87">
        <f>IFERROR(__xludf.DUMMYFUNCTION("""COMPUTED_VALUE"""),117.0)</f>
        <v>117</v>
      </c>
      <c r="D194" s="87">
        <f>IFERROR(__xludf.DUMMYFUNCTION("""COMPUTED_VALUE"""),6.0)</f>
        <v>6</v>
      </c>
      <c r="E194" s="86">
        <f>IFERROR(__xludf.DUMMYFUNCTION("""COMPUTED_VALUE"""),3.0)</f>
        <v>3</v>
      </c>
      <c r="F194" s="88">
        <f>IFERROR(__xludf.DUMMYFUNCTION("""COMPUTED_VALUE"""),0.0)</f>
        <v>0</v>
      </c>
      <c r="G194" s="88">
        <f>IFERROR(__xludf.DUMMYFUNCTION("""COMPUTED_VALUE"""),9.0)</f>
        <v>9</v>
      </c>
      <c r="H194" s="88">
        <f>IFERROR(__xludf.DUMMYFUNCTION("""COMPUTED_VALUE"""),0.0)</f>
        <v>0</v>
      </c>
      <c r="I194" s="88">
        <f>IFERROR(__xludf.DUMMYFUNCTION("""COMPUTED_VALUE"""),0.0)</f>
        <v>0</v>
      </c>
      <c r="J194" s="88">
        <f>IFERROR(__xludf.DUMMYFUNCTION("""COMPUTED_VALUE"""),0.0)</f>
        <v>0</v>
      </c>
      <c r="K194" s="88">
        <f>IFERROR(__xludf.DUMMYFUNCTION("""COMPUTED_VALUE"""),9.0)</f>
        <v>9</v>
      </c>
      <c r="L194" s="88">
        <f>IFERROR(__xludf.DUMMYFUNCTION("""COMPUTED_VALUE"""),0.0)</f>
        <v>0</v>
      </c>
      <c r="M194" s="89">
        <f>IFERROR(__xludf.DUMMYFUNCTION("""COMPUTED_VALUE"""),126.0)</f>
        <v>126</v>
      </c>
      <c r="N194" s="89">
        <f>IFERROR(__xludf.DUMMYFUNCTION("""COMPUTED_VALUE"""),6.0)</f>
        <v>6</v>
      </c>
    </row>
    <row r="195">
      <c r="A195" s="11"/>
      <c r="B195" s="82" t="str">
        <f>IFERROR(__xludf.DUMMYFUNCTION("""COMPUTED_VALUE"""),"Mauricio Palacios")</f>
        <v>Mauricio Palacios</v>
      </c>
      <c r="C195" s="87">
        <f>IFERROR(__xludf.DUMMYFUNCTION("""COMPUTED_VALUE"""),116.0)</f>
        <v>116</v>
      </c>
      <c r="D195" s="87">
        <f>IFERROR(__xludf.DUMMYFUNCTION("""COMPUTED_VALUE"""),4.0)</f>
        <v>4</v>
      </c>
      <c r="E195" s="86">
        <f>IFERROR(__xludf.DUMMYFUNCTION("""COMPUTED_VALUE"""),3.0)</f>
        <v>3</v>
      </c>
      <c r="F195" s="88">
        <f>IFERROR(__xludf.DUMMYFUNCTION("""COMPUTED_VALUE"""),0.0)</f>
        <v>0</v>
      </c>
      <c r="G195" s="88">
        <f>IFERROR(__xludf.DUMMYFUNCTION("""COMPUTED_VALUE"""),9.0)</f>
        <v>9</v>
      </c>
      <c r="H195" s="88">
        <f>IFERROR(__xludf.DUMMYFUNCTION("""COMPUTED_VALUE"""),0.0)</f>
        <v>0</v>
      </c>
      <c r="I195" s="88">
        <f>IFERROR(__xludf.DUMMYFUNCTION("""COMPUTED_VALUE"""),0.0)</f>
        <v>0</v>
      </c>
      <c r="J195" s="88">
        <f>IFERROR(__xludf.DUMMYFUNCTION("""COMPUTED_VALUE"""),0.0)</f>
        <v>0</v>
      </c>
      <c r="K195" s="88">
        <f>IFERROR(__xludf.DUMMYFUNCTION("""COMPUTED_VALUE"""),9.0)</f>
        <v>9</v>
      </c>
      <c r="L195" s="88">
        <f>IFERROR(__xludf.DUMMYFUNCTION("""COMPUTED_VALUE"""),0.0)</f>
        <v>0</v>
      </c>
      <c r="M195" s="89">
        <f>IFERROR(__xludf.DUMMYFUNCTION("""COMPUTED_VALUE"""),125.0)</f>
        <v>125</v>
      </c>
      <c r="N195" s="89">
        <f>IFERROR(__xludf.DUMMYFUNCTION("""COMPUTED_VALUE"""),4.0)</f>
        <v>4</v>
      </c>
    </row>
    <row r="196">
      <c r="A196" s="11"/>
      <c r="B196" s="82" t="str">
        <f>IFERROR(__xludf.DUMMYFUNCTION("""COMPUTED_VALUE"""),"Susanta Mishra")</f>
        <v>Susanta Mishra</v>
      </c>
      <c r="C196" s="87">
        <f>IFERROR(__xludf.DUMMYFUNCTION("""COMPUTED_VALUE"""),115.0)</f>
        <v>115</v>
      </c>
      <c r="D196" s="87">
        <f>IFERROR(__xludf.DUMMYFUNCTION("""COMPUTED_VALUE"""),3.0)</f>
        <v>3</v>
      </c>
      <c r="E196" s="86">
        <f>IFERROR(__xludf.DUMMYFUNCTION("""COMPUTED_VALUE"""),3.0)</f>
        <v>3</v>
      </c>
      <c r="F196" s="88">
        <f>IFERROR(__xludf.DUMMYFUNCTION("""COMPUTED_VALUE"""),0.0)</f>
        <v>0</v>
      </c>
      <c r="G196" s="88">
        <f>IFERROR(__xludf.DUMMYFUNCTION("""COMPUTED_VALUE"""),9.0)</f>
        <v>9</v>
      </c>
      <c r="H196" s="88">
        <f>IFERROR(__xludf.DUMMYFUNCTION("""COMPUTED_VALUE"""),0.0)</f>
        <v>0</v>
      </c>
      <c r="I196" s="88">
        <f>IFERROR(__xludf.DUMMYFUNCTION("""COMPUTED_VALUE"""),0.0)</f>
        <v>0</v>
      </c>
      <c r="J196" s="88">
        <f>IFERROR(__xludf.DUMMYFUNCTION("""COMPUTED_VALUE"""),0.0)</f>
        <v>0</v>
      </c>
      <c r="K196" s="88">
        <f>IFERROR(__xludf.DUMMYFUNCTION("""COMPUTED_VALUE"""),9.0)</f>
        <v>9</v>
      </c>
      <c r="L196" s="88">
        <f>IFERROR(__xludf.DUMMYFUNCTION("""COMPUTED_VALUE"""),0.0)</f>
        <v>0</v>
      </c>
      <c r="M196" s="89">
        <f>IFERROR(__xludf.DUMMYFUNCTION("""COMPUTED_VALUE"""),124.0)</f>
        <v>124</v>
      </c>
      <c r="N196" s="89">
        <f>IFERROR(__xludf.DUMMYFUNCTION("""COMPUTED_VALUE"""),3.0)</f>
        <v>3</v>
      </c>
    </row>
    <row r="197">
      <c r="A197" s="11"/>
      <c r="B197" s="82" t="str">
        <f>IFERROR(__xludf.DUMMYFUNCTION("""COMPUTED_VALUE"""),"Sai Dilip Ponnaganti")</f>
        <v>Sai Dilip Ponnaganti</v>
      </c>
      <c r="C197" s="87">
        <f>IFERROR(__xludf.DUMMYFUNCTION("""COMPUTED_VALUE"""),114.0)</f>
        <v>114</v>
      </c>
      <c r="D197" s="87">
        <f>IFERROR(__xludf.DUMMYFUNCTION("""COMPUTED_VALUE"""),5.0)</f>
        <v>5</v>
      </c>
      <c r="E197" s="86">
        <f>IFERROR(__xludf.DUMMYFUNCTION("""COMPUTED_VALUE"""),3.0)</f>
        <v>3</v>
      </c>
      <c r="F197" s="88">
        <f>IFERROR(__xludf.DUMMYFUNCTION("""COMPUTED_VALUE"""),0.0)</f>
        <v>0</v>
      </c>
      <c r="G197" s="88">
        <f>IFERROR(__xludf.DUMMYFUNCTION("""COMPUTED_VALUE"""),9.0)</f>
        <v>9</v>
      </c>
      <c r="H197" s="88">
        <f>IFERROR(__xludf.DUMMYFUNCTION("""COMPUTED_VALUE"""),0.0)</f>
        <v>0</v>
      </c>
      <c r="I197" s="88">
        <f>IFERROR(__xludf.DUMMYFUNCTION("""COMPUTED_VALUE"""),0.0)</f>
        <v>0</v>
      </c>
      <c r="J197" s="88">
        <f>IFERROR(__xludf.DUMMYFUNCTION("""COMPUTED_VALUE"""),0.0)</f>
        <v>0</v>
      </c>
      <c r="K197" s="88">
        <f>IFERROR(__xludf.DUMMYFUNCTION("""COMPUTED_VALUE"""),9.0)</f>
        <v>9</v>
      </c>
      <c r="L197" s="88">
        <f>IFERROR(__xludf.DUMMYFUNCTION("""COMPUTED_VALUE"""),0.0)</f>
        <v>0</v>
      </c>
      <c r="M197" s="89">
        <f>IFERROR(__xludf.DUMMYFUNCTION("""COMPUTED_VALUE"""),123.0)</f>
        <v>123</v>
      </c>
      <c r="N197" s="89">
        <f>IFERROR(__xludf.DUMMYFUNCTION("""COMPUTED_VALUE"""),5.0)</f>
        <v>5</v>
      </c>
    </row>
    <row r="198">
      <c r="A198" s="11"/>
      <c r="B198" s="82" t="str">
        <f>IFERROR(__xludf.DUMMYFUNCTION("""COMPUTED_VALUE"""),"Trinath Goteti")</f>
        <v>Trinath Goteti</v>
      </c>
      <c r="C198" s="87">
        <f>IFERROR(__xludf.DUMMYFUNCTION("""COMPUTED_VALUE"""),112.0)</f>
        <v>112</v>
      </c>
      <c r="D198" s="87">
        <f>IFERROR(__xludf.DUMMYFUNCTION("""COMPUTED_VALUE"""),4.0)</f>
        <v>4</v>
      </c>
      <c r="E198" s="86">
        <f>IFERROR(__xludf.DUMMYFUNCTION("""COMPUTED_VALUE"""),3.0)</f>
        <v>3</v>
      </c>
      <c r="F198" s="88">
        <f>IFERROR(__xludf.DUMMYFUNCTION("""COMPUTED_VALUE"""),0.0)</f>
        <v>0</v>
      </c>
      <c r="G198" s="88">
        <f>IFERROR(__xludf.DUMMYFUNCTION("""COMPUTED_VALUE"""),9.0)</f>
        <v>9</v>
      </c>
      <c r="H198" s="88">
        <f>IFERROR(__xludf.DUMMYFUNCTION("""COMPUTED_VALUE"""),0.0)</f>
        <v>0</v>
      </c>
      <c r="I198" s="88">
        <f>IFERROR(__xludf.DUMMYFUNCTION("""COMPUTED_VALUE"""),0.0)</f>
        <v>0</v>
      </c>
      <c r="J198" s="88">
        <f>IFERROR(__xludf.DUMMYFUNCTION("""COMPUTED_VALUE"""),0.0)</f>
        <v>0</v>
      </c>
      <c r="K198" s="88">
        <f>IFERROR(__xludf.DUMMYFUNCTION("""COMPUTED_VALUE"""),9.0)</f>
        <v>9</v>
      </c>
      <c r="L198" s="88">
        <f>IFERROR(__xludf.DUMMYFUNCTION("""COMPUTED_VALUE"""),0.0)</f>
        <v>0</v>
      </c>
      <c r="M198" s="89">
        <f>IFERROR(__xludf.DUMMYFUNCTION("""COMPUTED_VALUE"""),121.0)</f>
        <v>121</v>
      </c>
      <c r="N198" s="89">
        <f>IFERROR(__xludf.DUMMYFUNCTION("""COMPUTED_VALUE"""),4.0)</f>
        <v>4</v>
      </c>
    </row>
    <row r="199">
      <c r="A199" s="11"/>
      <c r="B199" s="82" t="str">
        <f>IFERROR(__xludf.DUMMYFUNCTION("""COMPUTED_VALUE"""),"Naveen Raj")</f>
        <v>Naveen Raj</v>
      </c>
      <c r="C199" s="87">
        <f>IFERROR(__xludf.DUMMYFUNCTION("""COMPUTED_VALUE"""),112.0)</f>
        <v>112</v>
      </c>
      <c r="D199" s="87">
        <f>IFERROR(__xludf.DUMMYFUNCTION("""COMPUTED_VALUE"""),4.0)</f>
        <v>4</v>
      </c>
      <c r="E199" s="86">
        <f>IFERROR(__xludf.DUMMYFUNCTION("""COMPUTED_VALUE"""),3.0)</f>
        <v>3</v>
      </c>
      <c r="F199" s="88">
        <f>IFERROR(__xludf.DUMMYFUNCTION("""COMPUTED_VALUE"""),0.0)</f>
        <v>0</v>
      </c>
      <c r="G199" s="88">
        <f>IFERROR(__xludf.DUMMYFUNCTION("""COMPUTED_VALUE"""),9.0)</f>
        <v>9</v>
      </c>
      <c r="H199" s="88">
        <f>IFERROR(__xludf.DUMMYFUNCTION("""COMPUTED_VALUE"""),0.0)</f>
        <v>0</v>
      </c>
      <c r="I199" s="88">
        <f>IFERROR(__xludf.DUMMYFUNCTION("""COMPUTED_VALUE"""),0.0)</f>
        <v>0</v>
      </c>
      <c r="J199" s="88">
        <f>IFERROR(__xludf.DUMMYFUNCTION("""COMPUTED_VALUE"""),0.0)</f>
        <v>0</v>
      </c>
      <c r="K199" s="88">
        <f>IFERROR(__xludf.DUMMYFUNCTION("""COMPUTED_VALUE"""),9.0)</f>
        <v>9</v>
      </c>
      <c r="L199" s="88">
        <f>IFERROR(__xludf.DUMMYFUNCTION("""COMPUTED_VALUE"""),0.0)</f>
        <v>0</v>
      </c>
      <c r="M199" s="89">
        <f>IFERROR(__xludf.DUMMYFUNCTION("""COMPUTED_VALUE"""),121.0)</f>
        <v>121</v>
      </c>
      <c r="N199" s="89">
        <f>IFERROR(__xludf.DUMMYFUNCTION("""COMPUTED_VALUE"""),4.0)</f>
        <v>4</v>
      </c>
    </row>
    <row r="200">
      <c r="A200" s="11"/>
      <c r="B200" s="82" t="str">
        <f>IFERROR(__xludf.DUMMYFUNCTION("""COMPUTED_VALUE"""),"Elayaraja Thangaraj ")</f>
        <v>Elayaraja Thangaraj </v>
      </c>
      <c r="C200" s="87">
        <f>IFERROR(__xludf.DUMMYFUNCTION("""COMPUTED_VALUE"""),112.0)</f>
        <v>112</v>
      </c>
      <c r="D200" s="87">
        <f>IFERROR(__xludf.DUMMYFUNCTION("""COMPUTED_VALUE"""),2.0)</f>
        <v>2</v>
      </c>
      <c r="E200" s="86">
        <f>IFERROR(__xludf.DUMMYFUNCTION("""COMPUTED_VALUE"""),3.0)</f>
        <v>3</v>
      </c>
      <c r="F200" s="88">
        <f>IFERROR(__xludf.DUMMYFUNCTION("""COMPUTED_VALUE"""),0.0)</f>
        <v>0</v>
      </c>
      <c r="G200" s="88">
        <f>IFERROR(__xludf.DUMMYFUNCTION("""COMPUTED_VALUE"""),9.0)</f>
        <v>9</v>
      </c>
      <c r="H200" s="88">
        <f>IFERROR(__xludf.DUMMYFUNCTION("""COMPUTED_VALUE"""),0.0)</f>
        <v>0</v>
      </c>
      <c r="I200" s="88">
        <f>IFERROR(__xludf.DUMMYFUNCTION("""COMPUTED_VALUE"""),0.0)</f>
        <v>0</v>
      </c>
      <c r="J200" s="88">
        <f>IFERROR(__xludf.DUMMYFUNCTION("""COMPUTED_VALUE"""),0.0)</f>
        <v>0</v>
      </c>
      <c r="K200" s="88">
        <f>IFERROR(__xludf.DUMMYFUNCTION("""COMPUTED_VALUE"""),9.0)</f>
        <v>9</v>
      </c>
      <c r="L200" s="88">
        <f>IFERROR(__xludf.DUMMYFUNCTION("""COMPUTED_VALUE"""),0.0)</f>
        <v>0</v>
      </c>
      <c r="M200" s="89">
        <f>IFERROR(__xludf.DUMMYFUNCTION("""COMPUTED_VALUE"""),121.0)</f>
        <v>121</v>
      </c>
      <c r="N200" s="89">
        <f>IFERROR(__xludf.DUMMYFUNCTION("""COMPUTED_VALUE"""),2.0)</f>
        <v>2</v>
      </c>
    </row>
    <row r="201">
      <c r="A201" s="11"/>
      <c r="B201" s="82" t="str">
        <f>IFERROR(__xludf.DUMMYFUNCTION("""COMPUTED_VALUE"""),"Nohely Mejia")</f>
        <v>Nohely Mejia</v>
      </c>
      <c r="C201" s="87">
        <f>IFERROR(__xludf.DUMMYFUNCTION("""COMPUTED_VALUE"""),109.0)</f>
        <v>109</v>
      </c>
      <c r="D201" s="87">
        <f>IFERROR(__xludf.DUMMYFUNCTION("""COMPUTED_VALUE"""),3.0)</f>
        <v>3</v>
      </c>
      <c r="E201" s="86">
        <f>IFERROR(__xludf.DUMMYFUNCTION("""COMPUTED_VALUE"""),3.0)</f>
        <v>3</v>
      </c>
      <c r="F201" s="88">
        <f>IFERROR(__xludf.DUMMYFUNCTION("""COMPUTED_VALUE"""),0.0)</f>
        <v>0</v>
      </c>
      <c r="G201" s="88">
        <f>IFERROR(__xludf.DUMMYFUNCTION("""COMPUTED_VALUE"""),9.0)</f>
        <v>9</v>
      </c>
      <c r="H201" s="88">
        <f>IFERROR(__xludf.DUMMYFUNCTION("""COMPUTED_VALUE"""),0.0)</f>
        <v>0</v>
      </c>
      <c r="I201" s="88">
        <f>IFERROR(__xludf.DUMMYFUNCTION("""COMPUTED_VALUE"""),0.0)</f>
        <v>0</v>
      </c>
      <c r="J201" s="88">
        <f>IFERROR(__xludf.DUMMYFUNCTION("""COMPUTED_VALUE"""),0.0)</f>
        <v>0</v>
      </c>
      <c r="K201" s="88">
        <f>IFERROR(__xludf.DUMMYFUNCTION("""COMPUTED_VALUE"""),9.0)</f>
        <v>9</v>
      </c>
      <c r="L201" s="88">
        <f>IFERROR(__xludf.DUMMYFUNCTION("""COMPUTED_VALUE"""),0.0)</f>
        <v>0</v>
      </c>
      <c r="M201" s="89">
        <f>IFERROR(__xludf.DUMMYFUNCTION("""COMPUTED_VALUE"""),118.0)</f>
        <v>118</v>
      </c>
      <c r="N201" s="89">
        <f>IFERROR(__xludf.DUMMYFUNCTION("""COMPUTED_VALUE"""),3.0)</f>
        <v>3</v>
      </c>
    </row>
    <row r="202">
      <c r="A202" s="11"/>
      <c r="B202" s="82" t="str">
        <f>IFERROR(__xludf.DUMMYFUNCTION("""COMPUTED_VALUE"""),"Eric Pan")</f>
        <v>Eric Pan</v>
      </c>
      <c r="C202" s="87">
        <f>IFERROR(__xludf.DUMMYFUNCTION("""COMPUTED_VALUE"""),108.0)</f>
        <v>108</v>
      </c>
      <c r="D202" s="87">
        <f>IFERROR(__xludf.DUMMYFUNCTION("""COMPUTED_VALUE"""),3.0)</f>
        <v>3</v>
      </c>
      <c r="E202" s="86">
        <f>IFERROR(__xludf.DUMMYFUNCTION("""COMPUTED_VALUE"""),3.0)</f>
        <v>3</v>
      </c>
      <c r="F202" s="88">
        <f>IFERROR(__xludf.DUMMYFUNCTION("""COMPUTED_VALUE"""),0.0)</f>
        <v>0</v>
      </c>
      <c r="G202" s="88">
        <f>IFERROR(__xludf.DUMMYFUNCTION("""COMPUTED_VALUE"""),9.0)</f>
        <v>9</v>
      </c>
      <c r="H202" s="88">
        <f>IFERROR(__xludf.DUMMYFUNCTION("""COMPUTED_VALUE"""),0.0)</f>
        <v>0</v>
      </c>
      <c r="I202" s="88">
        <f>IFERROR(__xludf.DUMMYFUNCTION("""COMPUTED_VALUE"""),0.0)</f>
        <v>0</v>
      </c>
      <c r="J202" s="88">
        <f>IFERROR(__xludf.DUMMYFUNCTION("""COMPUTED_VALUE"""),0.0)</f>
        <v>0</v>
      </c>
      <c r="K202" s="88">
        <f>IFERROR(__xludf.DUMMYFUNCTION("""COMPUTED_VALUE"""),9.0)</f>
        <v>9</v>
      </c>
      <c r="L202" s="88">
        <f>IFERROR(__xludf.DUMMYFUNCTION("""COMPUTED_VALUE"""),0.0)</f>
        <v>0</v>
      </c>
      <c r="M202" s="89">
        <f>IFERROR(__xludf.DUMMYFUNCTION("""COMPUTED_VALUE"""),117.0)</f>
        <v>117</v>
      </c>
      <c r="N202" s="89">
        <f>IFERROR(__xludf.DUMMYFUNCTION("""COMPUTED_VALUE"""),3.0)</f>
        <v>3</v>
      </c>
    </row>
    <row r="203">
      <c r="A203" s="11"/>
      <c r="B203" s="82" t="str">
        <f>IFERROR(__xludf.DUMMYFUNCTION("""COMPUTED_VALUE"""),"Vishnu Amarnath")</f>
        <v>Vishnu Amarnath</v>
      </c>
      <c r="C203" s="87">
        <f>IFERROR(__xludf.DUMMYFUNCTION("""COMPUTED_VALUE"""),108.0)</f>
        <v>108</v>
      </c>
      <c r="D203" s="87">
        <f>IFERROR(__xludf.DUMMYFUNCTION("""COMPUTED_VALUE"""),3.0)</f>
        <v>3</v>
      </c>
      <c r="E203" s="86">
        <f>IFERROR(__xludf.DUMMYFUNCTION("""COMPUTED_VALUE"""),3.0)</f>
        <v>3</v>
      </c>
      <c r="F203" s="88">
        <f>IFERROR(__xludf.DUMMYFUNCTION("""COMPUTED_VALUE"""),0.0)</f>
        <v>0</v>
      </c>
      <c r="G203" s="88">
        <f>IFERROR(__xludf.DUMMYFUNCTION("""COMPUTED_VALUE"""),9.0)</f>
        <v>9</v>
      </c>
      <c r="H203" s="88">
        <f>IFERROR(__xludf.DUMMYFUNCTION("""COMPUTED_VALUE"""),0.0)</f>
        <v>0</v>
      </c>
      <c r="I203" s="88">
        <f>IFERROR(__xludf.DUMMYFUNCTION("""COMPUTED_VALUE"""),0.0)</f>
        <v>0</v>
      </c>
      <c r="J203" s="88">
        <f>IFERROR(__xludf.DUMMYFUNCTION("""COMPUTED_VALUE"""),0.0)</f>
        <v>0</v>
      </c>
      <c r="K203" s="88">
        <f>IFERROR(__xludf.DUMMYFUNCTION("""COMPUTED_VALUE"""),9.0)</f>
        <v>9</v>
      </c>
      <c r="L203" s="88">
        <f>IFERROR(__xludf.DUMMYFUNCTION("""COMPUTED_VALUE"""),0.0)</f>
        <v>0</v>
      </c>
      <c r="M203" s="89">
        <f>IFERROR(__xludf.DUMMYFUNCTION("""COMPUTED_VALUE"""),117.0)</f>
        <v>117</v>
      </c>
      <c r="N203" s="89">
        <f>IFERROR(__xludf.DUMMYFUNCTION("""COMPUTED_VALUE"""),3.0)</f>
        <v>3</v>
      </c>
    </row>
    <row r="204">
      <c r="A204" s="11"/>
      <c r="B204" s="82" t="str">
        <f>IFERROR(__xludf.DUMMYFUNCTION("""COMPUTED_VALUE"""),"Manish Anand")</f>
        <v>Manish Anand</v>
      </c>
      <c r="C204" s="87">
        <f>IFERROR(__xludf.DUMMYFUNCTION("""COMPUTED_VALUE"""),108.0)</f>
        <v>108</v>
      </c>
      <c r="D204" s="87">
        <f>IFERROR(__xludf.DUMMYFUNCTION("""COMPUTED_VALUE"""),3.0)</f>
        <v>3</v>
      </c>
      <c r="E204" s="86">
        <f>IFERROR(__xludf.DUMMYFUNCTION("""COMPUTED_VALUE"""),3.0)</f>
        <v>3</v>
      </c>
      <c r="F204" s="88">
        <f>IFERROR(__xludf.DUMMYFUNCTION("""COMPUTED_VALUE"""),0.0)</f>
        <v>0</v>
      </c>
      <c r="G204" s="88">
        <f>IFERROR(__xludf.DUMMYFUNCTION("""COMPUTED_VALUE"""),9.0)</f>
        <v>9</v>
      </c>
      <c r="H204" s="88">
        <f>IFERROR(__xludf.DUMMYFUNCTION("""COMPUTED_VALUE"""),0.0)</f>
        <v>0</v>
      </c>
      <c r="I204" s="88">
        <f>IFERROR(__xludf.DUMMYFUNCTION("""COMPUTED_VALUE"""),0.0)</f>
        <v>0</v>
      </c>
      <c r="J204" s="88">
        <f>IFERROR(__xludf.DUMMYFUNCTION("""COMPUTED_VALUE"""),0.0)</f>
        <v>0</v>
      </c>
      <c r="K204" s="88">
        <f>IFERROR(__xludf.DUMMYFUNCTION("""COMPUTED_VALUE"""),9.0)</f>
        <v>9</v>
      </c>
      <c r="L204" s="88">
        <f>IFERROR(__xludf.DUMMYFUNCTION("""COMPUTED_VALUE"""),0.0)</f>
        <v>0</v>
      </c>
      <c r="M204" s="89">
        <f>IFERROR(__xludf.DUMMYFUNCTION("""COMPUTED_VALUE"""),117.0)</f>
        <v>117</v>
      </c>
      <c r="N204" s="89">
        <f>IFERROR(__xludf.DUMMYFUNCTION("""COMPUTED_VALUE"""),3.0)</f>
        <v>3</v>
      </c>
    </row>
    <row r="205">
      <c r="A205" s="11"/>
      <c r="B205" s="82" t="str">
        <f>IFERROR(__xludf.DUMMYFUNCTION("""COMPUTED_VALUE"""),"Leigh-Anh Nguyen")</f>
        <v>Leigh-Anh Nguyen</v>
      </c>
      <c r="C205" s="87">
        <f>IFERROR(__xludf.DUMMYFUNCTION("""COMPUTED_VALUE"""),104.0)</f>
        <v>104</v>
      </c>
      <c r="D205" s="87">
        <f>IFERROR(__xludf.DUMMYFUNCTION("""COMPUTED_VALUE"""),4.0)</f>
        <v>4</v>
      </c>
      <c r="E205" s="86">
        <f>IFERROR(__xludf.DUMMYFUNCTION("""COMPUTED_VALUE"""),3.0)</f>
        <v>3</v>
      </c>
      <c r="F205" s="88">
        <f>IFERROR(__xludf.DUMMYFUNCTION("""COMPUTED_VALUE"""),0.0)</f>
        <v>0</v>
      </c>
      <c r="G205" s="88">
        <f>IFERROR(__xludf.DUMMYFUNCTION("""COMPUTED_VALUE"""),9.0)</f>
        <v>9</v>
      </c>
      <c r="H205" s="88">
        <f>IFERROR(__xludf.DUMMYFUNCTION("""COMPUTED_VALUE"""),0.0)</f>
        <v>0</v>
      </c>
      <c r="I205" s="88">
        <f>IFERROR(__xludf.DUMMYFUNCTION("""COMPUTED_VALUE"""),0.0)</f>
        <v>0</v>
      </c>
      <c r="J205" s="88">
        <f>IFERROR(__xludf.DUMMYFUNCTION("""COMPUTED_VALUE"""),0.0)</f>
        <v>0</v>
      </c>
      <c r="K205" s="88">
        <f>IFERROR(__xludf.DUMMYFUNCTION("""COMPUTED_VALUE"""),9.0)</f>
        <v>9</v>
      </c>
      <c r="L205" s="88">
        <f>IFERROR(__xludf.DUMMYFUNCTION("""COMPUTED_VALUE"""),0.0)</f>
        <v>0</v>
      </c>
      <c r="M205" s="89">
        <f>IFERROR(__xludf.DUMMYFUNCTION("""COMPUTED_VALUE"""),113.0)</f>
        <v>113</v>
      </c>
      <c r="N205" s="89">
        <f>IFERROR(__xludf.DUMMYFUNCTION("""COMPUTED_VALUE"""),4.0)</f>
        <v>4</v>
      </c>
    </row>
    <row r="206">
      <c r="A206" s="11"/>
      <c r="B206" s="82" t="str">
        <f>IFERROR(__xludf.DUMMYFUNCTION("""COMPUTED_VALUE"""),"Sandy Weyant")</f>
        <v>Sandy Weyant</v>
      </c>
      <c r="C206" s="86">
        <f>IFERROR(__xludf.DUMMYFUNCTION("""COMPUTED_VALUE"""),104.0)</f>
        <v>104</v>
      </c>
      <c r="D206" s="87">
        <f>IFERROR(__xludf.DUMMYFUNCTION("""COMPUTED_VALUE"""),4.0)</f>
        <v>4</v>
      </c>
      <c r="E206" s="86">
        <f>IFERROR(__xludf.DUMMYFUNCTION("""COMPUTED_VALUE"""),3.0)</f>
        <v>3</v>
      </c>
      <c r="F206" s="88">
        <f>IFERROR(__xludf.DUMMYFUNCTION("""COMPUTED_VALUE"""),0.0)</f>
        <v>0</v>
      </c>
      <c r="G206" s="88">
        <f>IFERROR(__xludf.DUMMYFUNCTION("""COMPUTED_VALUE"""),9.0)</f>
        <v>9</v>
      </c>
      <c r="H206" s="88">
        <f>IFERROR(__xludf.DUMMYFUNCTION("""COMPUTED_VALUE"""),0.0)</f>
        <v>0</v>
      </c>
      <c r="I206" s="88">
        <f>IFERROR(__xludf.DUMMYFUNCTION("""COMPUTED_VALUE"""),0.0)</f>
        <v>0</v>
      </c>
      <c r="J206" s="88">
        <f>IFERROR(__xludf.DUMMYFUNCTION("""COMPUTED_VALUE"""),0.0)</f>
        <v>0</v>
      </c>
      <c r="K206" s="88">
        <f>IFERROR(__xludf.DUMMYFUNCTION("""COMPUTED_VALUE"""),9.0)</f>
        <v>9</v>
      </c>
      <c r="L206" s="88">
        <f>IFERROR(__xludf.DUMMYFUNCTION("""COMPUTED_VALUE"""),0.0)</f>
        <v>0</v>
      </c>
      <c r="M206" s="88">
        <f>IFERROR(__xludf.DUMMYFUNCTION("""COMPUTED_VALUE"""),113.0)</f>
        <v>113</v>
      </c>
      <c r="N206" s="89">
        <f>IFERROR(__xludf.DUMMYFUNCTION("""COMPUTED_VALUE"""),4.0)</f>
        <v>4</v>
      </c>
    </row>
    <row r="207">
      <c r="A207" s="11"/>
      <c r="B207" s="82" t="str">
        <f>IFERROR(__xludf.DUMMYFUNCTION("""COMPUTED_VALUE"""),"Vinz Solano")</f>
        <v>Vinz Solano</v>
      </c>
      <c r="C207" s="86">
        <f>IFERROR(__xludf.DUMMYFUNCTION("""COMPUTED_VALUE"""),103.0)</f>
        <v>103</v>
      </c>
      <c r="D207" s="87">
        <f>IFERROR(__xludf.DUMMYFUNCTION("""COMPUTED_VALUE"""),2.0)</f>
        <v>2</v>
      </c>
      <c r="E207" s="86">
        <f>IFERROR(__xludf.DUMMYFUNCTION("""COMPUTED_VALUE"""),3.0)</f>
        <v>3</v>
      </c>
      <c r="F207" s="88">
        <f>IFERROR(__xludf.DUMMYFUNCTION("""COMPUTED_VALUE"""),0.0)</f>
        <v>0</v>
      </c>
      <c r="G207" s="88">
        <f>IFERROR(__xludf.DUMMYFUNCTION("""COMPUTED_VALUE"""),9.0)</f>
        <v>9</v>
      </c>
      <c r="H207" s="88">
        <f>IFERROR(__xludf.DUMMYFUNCTION("""COMPUTED_VALUE"""),0.0)</f>
        <v>0</v>
      </c>
      <c r="I207" s="88">
        <f>IFERROR(__xludf.DUMMYFUNCTION("""COMPUTED_VALUE"""),0.0)</f>
        <v>0</v>
      </c>
      <c r="J207" s="88">
        <f>IFERROR(__xludf.DUMMYFUNCTION("""COMPUTED_VALUE"""),0.0)</f>
        <v>0</v>
      </c>
      <c r="K207" s="88">
        <f>IFERROR(__xludf.DUMMYFUNCTION("""COMPUTED_VALUE"""),9.0)</f>
        <v>9</v>
      </c>
      <c r="L207" s="88">
        <f>IFERROR(__xludf.DUMMYFUNCTION("""COMPUTED_VALUE"""),0.0)</f>
        <v>0</v>
      </c>
      <c r="M207" s="88">
        <f>IFERROR(__xludf.DUMMYFUNCTION("""COMPUTED_VALUE"""),112.0)</f>
        <v>112</v>
      </c>
      <c r="N207" s="89">
        <f>IFERROR(__xludf.DUMMYFUNCTION("""COMPUTED_VALUE"""),2.0)</f>
        <v>2</v>
      </c>
    </row>
    <row r="208">
      <c r="A208" s="11"/>
      <c r="B208" s="82" t="str">
        <f>IFERROR(__xludf.DUMMYFUNCTION("""COMPUTED_VALUE"""),"Peter Homsey")</f>
        <v>Peter Homsey</v>
      </c>
      <c r="C208" s="86">
        <f>IFERROR(__xludf.DUMMYFUNCTION("""COMPUTED_VALUE"""),103.0)</f>
        <v>103</v>
      </c>
      <c r="D208" s="87">
        <f>IFERROR(__xludf.DUMMYFUNCTION("""COMPUTED_VALUE"""),0.0)</f>
        <v>0</v>
      </c>
      <c r="E208" s="86">
        <f>IFERROR(__xludf.DUMMYFUNCTION("""COMPUTED_VALUE"""),3.0)</f>
        <v>3</v>
      </c>
      <c r="F208" s="88">
        <f>IFERROR(__xludf.DUMMYFUNCTION("""COMPUTED_VALUE"""),0.0)</f>
        <v>0</v>
      </c>
      <c r="G208" s="88">
        <f>IFERROR(__xludf.DUMMYFUNCTION("""COMPUTED_VALUE"""),9.0)</f>
        <v>9</v>
      </c>
      <c r="H208" s="88">
        <f>IFERROR(__xludf.DUMMYFUNCTION("""COMPUTED_VALUE"""),0.0)</f>
        <v>0</v>
      </c>
      <c r="I208" s="88">
        <f>IFERROR(__xludf.DUMMYFUNCTION("""COMPUTED_VALUE"""),0.0)</f>
        <v>0</v>
      </c>
      <c r="J208" s="88">
        <f>IFERROR(__xludf.DUMMYFUNCTION("""COMPUTED_VALUE"""),0.0)</f>
        <v>0</v>
      </c>
      <c r="K208" s="88">
        <f>IFERROR(__xludf.DUMMYFUNCTION("""COMPUTED_VALUE"""),9.0)</f>
        <v>9</v>
      </c>
      <c r="L208" s="88">
        <f>IFERROR(__xludf.DUMMYFUNCTION("""COMPUTED_VALUE"""),0.0)</f>
        <v>0</v>
      </c>
      <c r="M208" s="88">
        <f>IFERROR(__xludf.DUMMYFUNCTION("""COMPUTED_VALUE"""),112.0)</f>
        <v>112</v>
      </c>
      <c r="N208" s="89">
        <f>IFERROR(__xludf.DUMMYFUNCTION("""COMPUTED_VALUE"""),0.0)</f>
        <v>0</v>
      </c>
    </row>
    <row r="209">
      <c r="A209" s="11"/>
      <c r="B209" s="82" t="str">
        <f>IFERROR(__xludf.DUMMYFUNCTION("""COMPUTED_VALUE"""),"Amit Patel")</f>
        <v>Amit Patel</v>
      </c>
      <c r="C209" s="86">
        <f>IFERROR(__xludf.DUMMYFUNCTION("""COMPUTED_VALUE"""),103.0)</f>
        <v>103</v>
      </c>
      <c r="D209" s="87">
        <f>IFERROR(__xludf.DUMMYFUNCTION("""COMPUTED_VALUE"""),0.0)</f>
        <v>0</v>
      </c>
      <c r="E209" s="86">
        <f>IFERROR(__xludf.DUMMYFUNCTION("""COMPUTED_VALUE"""),3.0)</f>
        <v>3</v>
      </c>
      <c r="F209" s="88">
        <f>IFERROR(__xludf.DUMMYFUNCTION("""COMPUTED_VALUE"""),0.0)</f>
        <v>0</v>
      </c>
      <c r="G209" s="88">
        <f>IFERROR(__xludf.DUMMYFUNCTION("""COMPUTED_VALUE"""),9.0)</f>
        <v>9</v>
      </c>
      <c r="H209" s="88">
        <f>IFERROR(__xludf.DUMMYFUNCTION("""COMPUTED_VALUE"""),0.0)</f>
        <v>0</v>
      </c>
      <c r="I209" s="88">
        <f>IFERROR(__xludf.DUMMYFUNCTION("""COMPUTED_VALUE"""),0.0)</f>
        <v>0</v>
      </c>
      <c r="J209" s="88">
        <f>IFERROR(__xludf.DUMMYFUNCTION("""COMPUTED_VALUE"""),0.0)</f>
        <v>0</v>
      </c>
      <c r="K209" s="88">
        <f>IFERROR(__xludf.DUMMYFUNCTION("""COMPUTED_VALUE"""),9.0)</f>
        <v>9</v>
      </c>
      <c r="L209" s="88">
        <f>IFERROR(__xludf.DUMMYFUNCTION("""COMPUTED_VALUE"""),0.0)</f>
        <v>0</v>
      </c>
      <c r="M209" s="88">
        <f>IFERROR(__xludf.DUMMYFUNCTION("""COMPUTED_VALUE"""),112.0)</f>
        <v>112</v>
      </c>
      <c r="N209" s="89">
        <f>IFERROR(__xludf.DUMMYFUNCTION("""COMPUTED_VALUE"""),0.0)</f>
        <v>0</v>
      </c>
    </row>
    <row r="210">
      <c r="A210" s="11"/>
      <c r="B210" s="82" t="str">
        <f>IFERROR(__xludf.DUMMYFUNCTION("""COMPUTED_VALUE"""),"Nicole Ni")</f>
        <v>Nicole Ni</v>
      </c>
      <c r="C210" s="86">
        <f>IFERROR(__xludf.DUMMYFUNCTION("""COMPUTED_VALUE"""),99.0)</f>
        <v>99</v>
      </c>
      <c r="D210" s="87">
        <f>IFERROR(__xludf.DUMMYFUNCTION("""COMPUTED_VALUE"""),6.0)</f>
        <v>6</v>
      </c>
      <c r="E210" s="86">
        <f>IFERROR(__xludf.DUMMYFUNCTION("""COMPUTED_VALUE"""),3.0)</f>
        <v>3</v>
      </c>
      <c r="F210" s="88">
        <f>IFERROR(__xludf.DUMMYFUNCTION("""COMPUTED_VALUE"""),0.0)</f>
        <v>0</v>
      </c>
      <c r="G210" s="88">
        <f>IFERROR(__xludf.DUMMYFUNCTION("""COMPUTED_VALUE"""),9.0)</f>
        <v>9</v>
      </c>
      <c r="H210" s="88">
        <f>IFERROR(__xludf.DUMMYFUNCTION("""COMPUTED_VALUE"""),0.0)</f>
        <v>0</v>
      </c>
      <c r="I210" s="88">
        <f>IFERROR(__xludf.DUMMYFUNCTION("""COMPUTED_VALUE"""),0.0)</f>
        <v>0</v>
      </c>
      <c r="J210" s="88">
        <f>IFERROR(__xludf.DUMMYFUNCTION("""COMPUTED_VALUE"""),0.0)</f>
        <v>0</v>
      </c>
      <c r="K210" s="88">
        <f>IFERROR(__xludf.DUMMYFUNCTION("""COMPUTED_VALUE"""),9.0)</f>
        <v>9</v>
      </c>
      <c r="L210" s="88">
        <f>IFERROR(__xludf.DUMMYFUNCTION("""COMPUTED_VALUE"""),0.0)</f>
        <v>0</v>
      </c>
      <c r="M210" s="88">
        <f>IFERROR(__xludf.DUMMYFUNCTION("""COMPUTED_VALUE"""),108.0)</f>
        <v>108</v>
      </c>
      <c r="N210" s="89">
        <f>IFERROR(__xludf.DUMMYFUNCTION("""COMPUTED_VALUE"""),6.0)</f>
        <v>6</v>
      </c>
    </row>
    <row r="211">
      <c r="A211" s="11"/>
      <c r="B211" s="82" t="str">
        <f>IFERROR(__xludf.DUMMYFUNCTION("""COMPUTED_VALUE"""),"Jose Ortiz")</f>
        <v>Jose Ortiz</v>
      </c>
      <c r="C211" s="86">
        <f>IFERROR(__xludf.DUMMYFUNCTION("""COMPUTED_VALUE"""),99.0)</f>
        <v>99</v>
      </c>
      <c r="D211" s="87">
        <f>IFERROR(__xludf.DUMMYFUNCTION("""COMPUTED_VALUE"""),0.0)</f>
        <v>0</v>
      </c>
      <c r="E211" s="86">
        <f>IFERROR(__xludf.DUMMYFUNCTION("""COMPUTED_VALUE"""),3.0)</f>
        <v>3</v>
      </c>
      <c r="F211" s="88">
        <f>IFERROR(__xludf.DUMMYFUNCTION("""COMPUTED_VALUE"""),0.0)</f>
        <v>0</v>
      </c>
      <c r="G211" s="88">
        <f>IFERROR(__xludf.DUMMYFUNCTION("""COMPUTED_VALUE"""),9.0)</f>
        <v>9</v>
      </c>
      <c r="H211" s="88">
        <f>IFERROR(__xludf.DUMMYFUNCTION("""COMPUTED_VALUE"""),0.0)</f>
        <v>0</v>
      </c>
      <c r="I211" s="88">
        <f>IFERROR(__xludf.DUMMYFUNCTION("""COMPUTED_VALUE"""),0.0)</f>
        <v>0</v>
      </c>
      <c r="J211" s="88">
        <f>IFERROR(__xludf.DUMMYFUNCTION("""COMPUTED_VALUE"""),0.0)</f>
        <v>0</v>
      </c>
      <c r="K211" s="88">
        <f>IFERROR(__xludf.DUMMYFUNCTION("""COMPUTED_VALUE"""),9.0)</f>
        <v>9</v>
      </c>
      <c r="L211" s="88">
        <f>IFERROR(__xludf.DUMMYFUNCTION("""COMPUTED_VALUE"""),0.0)</f>
        <v>0</v>
      </c>
      <c r="M211" s="88">
        <f>IFERROR(__xludf.DUMMYFUNCTION("""COMPUTED_VALUE"""),108.0)</f>
        <v>108</v>
      </c>
      <c r="N211" s="89">
        <f>IFERROR(__xludf.DUMMYFUNCTION("""COMPUTED_VALUE"""),0.0)</f>
        <v>0</v>
      </c>
    </row>
    <row r="212">
      <c r="A212" s="11"/>
      <c r="B212" s="82" t="str">
        <f>IFERROR(__xludf.DUMMYFUNCTION("""COMPUTED_VALUE"""),"Joyce Zhu")</f>
        <v>Joyce Zhu</v>
      </c>
      <c r="C212" s="86">
        <f>IFERROR(__xludf.DUMMYFUNCTION("""COMPUTED_VALUE"""),96.0)</f>
        <v>96</v>
      </c>
      <c r="D212" s="87">
        <f>IFERROR(__xludf.DUMMYFUNCTION("""COMPUTED_VALUE"""),6.0)</f>
        <v>6</v>
      </c>
      <c r="E212" s="86">
        <f>IFERROR(__xludf.DUMMYFUNCTION("""COMPUTED_VALUE"""),3.0)</f>
        <v>3</v>
      </c>
      <c r="F212" s="88">
        <f>IFERROR(__xludf.DUMMYFUNCTION("""COMPUTED_VALUE"""),0.0)</f>
        <v>0</v>
      </c>
      <c r="G212" s="88">
        <f>IFERROR(__xludf.DUMMYFUNCTION("""COMPUTED_VALUE"""),9.0)</f>
        <v>9</v>
      </c>
      <c r="H212" s="88">
        <f>IFERROR(__xludf.DUMMYFUNCTION("""COMPUTED_VALUE"""),0.0)</f>
        <v>0</v>
      </c>
      <c r="I212" s="88">
        <f>IFERROR(__xludf.DUMMYFUNCTION("""COMPUTED_VALUE"""),0.0)</f>
        <v>0</v>
      </c>
      <c r="J212" s="88">
        <f>IFERROR(__xludf.DUMMYFUNCTION("""COMPUTED_VALUE"""),0.0)</f>
        <v>0</v>
      </c>
      <c r="K212" s="88">
        <f>IFERROR(__xludf.DUMMYFUNCTION("""COMPUTED_VALUE"""),9.0)</f>
        <v>9</v>
      </c>
      <c r="L212" s="88">
        <f>IFERROR(__xludf.DUMMYFUNCTION("""COMPUTED_VALUE"""),0.0)</f>
        <v>0</v>
      </c>
      <c r="M212" s="88">
        <f>IFERROR(__xludf.DUMMYFUNCTION("""COMPUTED_VALUE"""),105.0)</f>
        <v>105</v>
      </c>
      <c r="N212" s="89">
        <f>IFERROR(__xludf.DUMMYFUNCTION("""COMPUTED_VALUE"""),6.0)</f>
        <v>6</v>
      </c>
    </row>
    <row r="213">
      <c r="A213" s="11"/>
      <c r="B213" s="82"/>
      <c r="C213" s="86"/>
      <c r="D213" s="87"/>
      <c r="E213" s="86"/>
      <c r="F213" s="88"/>
      <c r="G213" s="88"/>
      <c r="H213" s="88"/>
      <c r="I213" s="88"/>
      <c r="J213" s="88"/>
      <c r="K213" s="88"/>
      <c r="L213" s="88"/>
      <c r="M213" s="88"/>
      <c r="N213" s="89"/>
    </row>
    <row r="214">
      <c r="A214" s="11"/>
      <c r="B214" s="82"/>
      <c r="C214" s="86"/>
      <c r="D214" s="87"/>
      <c r="E214" s="86"/>
      <c r="F214" s="88"/>
      <c r="G214" s="88"/>
      <c r="H214" s="88"/>
      <c r="I214" s="88"/>
      <c r="J214" s="88"/>
      <c r="K214" s="88"/>
      <c r="L214" s="88"/>
      <c r="M214" s="88"/>
      <c r="N214" s="89"/>
    </row>
    <row r="215">
      <c r="A215" s="11"/>
      <c r="B215" s="82"/>
      <c r="C215" s="86"/>
      <c r="D215" s="87"/>
      <c r="E215" s="86"/>
      <c r="F215" s="88"/>
      <c r="G215" s="88"/>
      <c r="H215" s="88"/>
      <c r="I215" s="88"/>
      <c r="J215" s="88"/>
      <c r="K215" s="88"/>
      <c r="L215" s="88"/>
      <c r="M215" s="88"/>
      <c r="N215" s="89"/>
    </row>
    <row r="216">
      <c r="A216" s="11"/>
      <c r="B216" s="82"/>
      <c r="C216" s="86"/>
      <c r="D216" s="87"/>
      <c r="E216" s="86"/>
      <c r="F216" s="88"/>
      <c r="G216" s="88"/>
      <c r="H216" s="88"/>
      <c r="I216" s="88"/>
      <c r="J216" s="88"/>
      <c r="K216" s="88"/>
      <c r="L216" s="88"/>
      <c r="M216" s="88"/>
      <c r="N216" s="89"/>
    </row>
    <row r="217">
      <c r="A217" s="11"/>
      <c r="B217" s="82"/>
      <c r="C217" s="86"/>
      <c r="D217" s="87"/>
      <c r="E217" s="86"/>
      <c r="F217" s="88"/>
      <c r="G217" s="88"/>
      <c r="H217" s="88"/>
      <c r="I217" s="88"/>
      <c r="J217" s="88"/>
      <c r="K217" s="88"/>
      <c r="L217" s="88"/>
      <c r="M217" s="88"/>
      <c r="N217" s="89"/>
    </row>
    <row r="218">
      <c r="A218" s="11"/>
      <c r="B218" s="82"/>
      <c r="C218" s="86"/>
      <c r="D218" s="87"/>
      <c r="E218" s="86"/>
      <c r="F218" s="88"/>
      <c r="G218" s="88"/>
      <c r="H218" s="88"/>
      <c r="I218" s="88"/>
      <c r="J218" s="88"/>
      <c r="K218" s="88"/>
      <c r="L218" s="88"/>
      <c r="M218" s="88"/>
      <c r="N218" s="89"/>
    </row>
    <row r="219">
      <c r="A219" s="11"/>
      <c r="B219" s="82"/>
      <c r="C219" s="86"/>
      <c r="D219" s="87"/>
      <c r="E219" s="86"/>
      <c r="F219" s="88"/>
      <c r="G219" s="88"/>
      <c r="H219" s="88"/>
      <c r="I219" s="88"/>
      <c r="J219" s="88"/>
      <c r="K219" s="88"/>
      <c r="L219" s="88"/>
      <c r="M219" s="88"/>
      <c r="N219" s="89"/>
    </row>
    <row r="220">
      <c r="A220" s="11"/>
      <c r="B220" s="82"/>
      <c r="C220" s="86"/>
      <c r="D220" s="87"/>
      <c r="E220" s="86"/>
      <c r="F220" s="88"/>
      <c r="G220" s="88"/>
      <c r="H220" s="88"/>
      <c r="I220" s="88"/>
      <c r="J220" s="88"/>
      <c r="K220" s="88"/>
      <c r="L220" s="88"/>
      <c r="M220" s="88"/>
      <c r="N220" s="89"/>
    </row>
    <row r="221">
      <c r="A221" s="11"/>
      <c r="B221" s="82"/>
      <c r="C221" s="86"/>
      <c r="D221" s="87"/>
      <c r="E221" s="86"/>
      <c r="F221" s="88"/>
      <c r="G221" s="88"/>
      <c r="H221" s="88"/>
      <c r="I221" s="88"/>
      <c r="J221" s="88"/>
      <c r="K221" s="88"/>
      <c r="L221" s="88"/>
      <c r="M221" s="88"/>
      <c r="N221" s="89"/>
    </row>
    <row r="222">
      <c r="A222" s="11"/>
      <c r="B222" s="82"/>
      <c r="C222" s="86"/>
      <c r="D222" s="87"/>
      <c r="E222" s="86"/>
      <c r="F222" s="88"/>
      <c r="G222" s="88"/>
      <c r="H222" s="88"/>
      <c r="I222" s="88"/>
      <c r="J222" s="88"/>
      <c r="K222" s="88"/>
      <c r="L222" s="88"/>
      <c r="M222" s="88"/>
      <c r="N222" s="89"/>
    </row>
    <row r="223">
      <c r="A223" s="11"/>
      <c r="B223" s="82"/>
      <c r="C223" s="86"/>
      <c r="D223" s="87"/>
      <c r="E223" s="86"/>
      <c r="F223" s="88"/>
      <c r="G223" s="88"/>
      <c r="H223" s="88"/>
      <c r="I223" s="88"/>
      <c r="J223" s="88"/>
      <c r="K223" s="88"/>
      <c r="L223" s="88"/>
      <c r="M223" s="88"/>
      <c r="N223" s="89"/>
    </row>
    <row r="224">
      <c r="A224" s="11"/>
      <c r="B224" s="82"/>
      <c r="C224" s="86"/>
      <c r="D224" s="87"/>
      <c r="E224" s="86"/>
      <c r="F224" s="88"/>
      <c r="G224" s="88"/>
      <c r="H224" s="88"/>
      <c r="I224" s="88"/>
      <c r="J224" s="88"/>
      <c r="K224" s="88"/>
      <c r="L224" s="88"/>
      <c r="M224" s="88"/>
      <c r="N224" s="89"/>
    </row>
    <row r="225">
      <c r="A225" s="11"/>
      <c r="B225" s="82"/>
      <c r="C225" s="86"/>
      <c r="D225" s="87"/>
      <c r="E225" s="86"/>
      <c r="F225" s="88"/>
      <c r="G225" s="88"/>
      <c r="H225" s="88"/>
      <c r="I225" s="88"/>
      <c r="J225" s="88"/>
      <c r="K225" s="88"/>
      <c r="L225" s="88"/>
      <c r="M225" s="88"/>
      <c r="N225" s="89"/>
    </row>
    <row r="226">
      <c r="A226" s="11"/>
      <c r="B226" s="82"/>
      <c r="C226" s="86"/>
      <c r="D226" s="87"/>
      <c r="E226" s="86"/>
      <c r="F226" s="88"/>
      <c r="G226" s="88"/>
      <c r="H226" s="88"/>
      <c r="I226" s="88"/>
      <c r="J226" s="88"/>
      <c r="K226" s="88"/>
      <c r="L226" s="88"/>
      <c r="M226" s="88"/>
      <c r="N226" s="89"/>
    </row>
    <row r="227">
      <c r="A227" s="11"/>
      <c r="B227" s="82"/>
      <c r="C227" s="86"/>
      <c r="D227" s="87"/>
      <c r="E227" s="86"/>
      <c r="F227" s="88"/>
      <c r="G227" s="88"/>
      <c r="H227" s="88"/>
      <c r="I227" s="88"/>
      <c r="J227" s="88"/>
      <c r="K227" s="88"/>
      <c r="L227" s="88"/>
      <c r="M227" s="88"/>
      <c r="N227" s="89"/>
    </row>
    <row r="228">
      <c r="A228" s="11"/>
      <c r="B228" s="82"/>
      <c r="C228" s="86"/>
      <c r="D228" s="87"/>
      <c r="E228" s="86"/>
      <c r="F228" s="88"/>
      <c r="G228" s="88"/>
      <c r="H228" s="88"/>
      <c r="I228" s="88"/>
      <c r="J228" s="88"/>
      <c r="K228" s="88"/>
      <c r="L228" s="88"/>
      <c r="M228" s="88"/>
      <c r="N228" s="89"/>
    </row>
    <row r="229">
      <c r="A229" s="11"/>
      <c r="B229" s="82"/>
      <c r="C229" s="86"/>
      <c r="D229" s="87"/>
      <c r="E229" s="86"/>
      <c r="F229" s="88"/>
      <c r="G229" s="88"/>
      <c r="H229" s="88"/>
      <c r="I229" s="88"/>
      <c r="J229" s="88"/>
      <c r="K229" s="88"/>
      <c r="L229" s="88"/>
      <c r="M229" s="88"/>
      <c r="N229" s="89"/>
    </row>
    <row r="230">
      <c r="A230" s="11"/>
      <c r="B230" s="82"/>
      <c r="C230" s="86"/>
      <c r="D230" s="87"/>
      <c r="E230" s="86"/>
      <c r="F230" s="88"/>
      <c r="G230" s="88"/>
      <c r="H230" s="88"/>
      <c r="I230" s="88"/>
      <c r="J230" s="88"/>
      <c r="K230" s="88"/>
      <c r="L230" s="88"/>
      <c r="M230" s="88"/>
      <c r="N230" s="89"/>
    </row>
    <row r="231">
      <c r="A231" s="11"/>
      <c r="B231" s="82"/>
      <c r="C231" s="86"/>
      <c r="D231" s="87"/>
      <c r="E231" s="86"/>
      <c r="F231" s="88"/>
      <c r="G231" s="88"/>
      <c r="H231" s="88"/>
      <c r="I231" s="88"/>
      <c r="J231" s="88"/>
      <c r="K231" s="88"/>
      <c r="L231" s="88"/>
      <c r="M231" s="88"/>
      <c r="N231" s="89"/>
    </row>
    <row r="232">
      <c r="A232" s="11"/>
      <c r="B232" s="82"/>
      <c r="C232" s="86"/>
      <c r="D232" s="87"/>
      <c r="E232" s="86"/>
      <c r="F232" s="88"/>
      <c r="G232" s="88"/>
      <c r="H232" s="88"/>
      <c r="I232" s="88"/>
      <c r="J232" s="88"/>
      <c r="K232" s="88"/>
      <c r="L232" s="88"/>
      <c r="M232" s="88"/>
      <c r="N232" s="89"/>
    </row>
    <row r="233">
      <c r="A233" s="11"/>
      <c r="B233" s="82"/>
      <c r="C233" s="86"/>
      <c r="D233" s="87"/>
      <c r="E233" s="86"/>
      <c r="F233" s="88"/>
      <c r="G233" s="88"/>
      <c r="H233" s="88"/>
      <c r="I233" s="88"/>
      <c r="J233" s="88"/>
      <c r="K233" s="88"/>
      <c r="L233" s="88"/>
      <c r="M233" s="88"/>
      <c r="N233" s="89"/>
    </row>
    <row r="234">
      <c r="A234" s="11"/>
      <c r="B234" s="82"/>
      <c r="C234" s="86"/>
      <c r="D234" s="87"/>
      <c r="E234" s="86"/>
      <c r="F234" s="88"/>
      <c r="G234" s="88"/>
      <c r="H234" s="88"/>
      <c r="I234" s="88"/>
      <c r="J234" s="88"/>
      <c r="K234" s="88"/>
      <c r="L234" s="88"/>
      <c r="M234" s="88"/>
      <c r="N234" s="89"/>
    </row>
    <row r="235">
      <c r="A235" s="11"/>
      <c r="B235" s="82"/>
      <c r="C235" s="86"/>
      <c r="D235" s="87"/>
      <c r="E235" s="86"/>
      <c r="F235" s="88"/>
      <c r="G235" s="88"/>
      <c r="H235" s="88"/>
      <c r="I235" s="88"/>
      <c r="J235" s="88"/>
      <c r="K235" s="88"/>
      <c r="L235" s="88"/>
      <c r="M235" s="88"/>
      <c r="N235" s="89"/>
    </row>
    <row r="236">
      <c r="A236" s="11"/>
      <c r="B236" s="82"/>
      <c r="C236" s="86"/>
      <c r="D236" s="87"/>
      <c r="E236" s="86"/>
      <c r="F236" s="88"/>
      <c r="G236" s="88"/>
      <c r="H236" s="88"/>
      <c r="I236" s="88"/>
      <c r="J236" s="88"/>
      <c r="K236" s="88"/>
      <c r="L236" s="88"/>
      <c r="M236" s="88"/>
      <c r="N236" s="89"/>
    </row>
    <row r="237">
      <c r="A237" s="11"/>
      <c r="B237" s="82"/>
      <c r="C237" s="86"/>
      <c r="D237" s="87"/>
      <c r="E237" s="86"/>
      <c r="F237" s="88"/>
      <c r="G237" s="88"/>
      <c r="H237" s="88"/>
      <c r="I237" s="88"/>
      <c r="J237" s="88"/>
      <c r="K237" s="88"/>
      <c r="L237" s="88"/>
      <c r="M237" s="88"/>
      <c r="N237" s="89"/>
    </row>
    <row r="238">
      <c r="A238" s="11"/>
      <c r="B238" s="82"/>
      <c r="C238" s="86"/>
      <c r="D238" s="87"/>
      <c r="E238" s="86"/>
      <c r="F238" s="88"/>
      <c r="G238" s="88"/>
      <c r="H238" s="88"/>
      <c r="I238" s="88"/>
      <c r="J238" s="88"/>
      <c r="K238" s="88"/>
      <c r="L238" s="88"/>
      <c r="M238" s="88"/>
      <c r="N238" s="89"/>
    </row>
    <row r="239">
      <c r="A239" s="11"/>
      <c r="B239" s="82"/>
      <c r="C239" s="86"/>
      <c r="D239" s="87"/>
      <c r="E239" s="86"/>
      <c r="F239" s="88"/>
      <c r="G239" s="88"/>
      <c r="H239" s="88"/>
      <c r="I239" s="88"/>
      <c r="J239" s="88"/>
      <c r="K239" s="88"/>
      <c r="L239" s="88"/>
      <c r="M239" s="88"/>
      <c r="N239" s="89"/>
    </row>
    <row r="240">
      <c r="A240" s="11"/>
      <c r="C240" s="11"/>
      <c r="D240" s="11"/>
      <c r="E240" s="11"/>
    </row>
    <row r="241">
      <c r="A241" s="11"/>
      <c r="C241" s="11"/>
      <c r="D241" s="11"/>
      <c r="E241" s="11"/>
    </row>
    <row r="242">
      <c r="A242" s="11"/>
      <c r="C242" s="11"/>
      <c r="D242" s="11"/>
      <c r="E242" s="11"/>
    </row>
    <row r="243">
      <c r="A243" s="11"/>
      <c r="C243" s="11"/>
      <c r="D243" s="11"/>
      <c r="E243" s="11"/>
    </row>
    <row r="244">
      <c r="A244" s="11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B261" s="90" t="s">
        <v>167</v>
      </c>
      <c r="C261" s="11"/>
      <c r="D261" s="11"/>
      <c r="E261" s="11"/>
      <c r="U261" s="90" t="s">
        <v>168</v>
      </c>
    </row>
    <row r="262">
      <c r="A262" s="49">
        <v>1.0</v>
      </c>
      <c r="B262" s="82" t="str">
        <f>IFERROR(__xludf.DUMMYFUNCTION("QUERY(B5:Q70, ""Select B   where Q is null"")"),"#N/A")</f>
        <v>#N/A</v>
      </c>
      <c r="C262" s="11"/>
      <c r="D262" s="11"/>
      <c r="E262" s="11"/>
      <c r="T262" s="49">
        <v>1.0</v>
      </c>
      <c r="U262" s="17" t="str">
        <f>IFERROR(__xludf.DUMMYFUNCTION("QUERY(B5:Q70, ""Select B   where Q = 'N' "")"),"#N/A")</f>
        <v>#N/A</v>
      </c>
    </row>
    <row r="263">
      <c r="A263" s="11">
        <f t="shared" ref="A263:A283" si="71">A262+1</f>
        <v>2</v>
      </c>
      <c r="B263" s="82"/>
      <c r="C263" s="11"/>
      <c r="D263" s="11"/>
      <c r="E263" s="11"/>
      <c r="T263" s="11">
        <f t="shared" ref="T263:T274" si="72">T262+1</f>
        <v>2</v>
      </c>
    </row>
    <row r="264">
      <c r="A264" s="11">
        <f t="shared" si="71"/>
        <v>3</v>
      </c>
      <c r="B264" s="82"/>
      <c r="C264" s="11"/>
      <c r="D264" s="11"/>
      <c r="E264" s="11"/>
      <c r="T264" s="11">
        <f t="shared" si="72"/>
        <v>3</v>
      </c>
    </row>
    <row r="265">
      <c r="A265" s="11">
        <f t="shared" si="71"/>
        <v>4</v>
      </c>
      <c r="B265" s="82"/>
      <c r="C265" s="11"/>
      <c r="D265" s="11"/>
      <c r="E265" s="11"/>
      <c r="T265" s="11">
        <f t="shared" si="72"/>
        <v>4</v>
      </c>
    </row>
    <row r="266">
      <c r="A266" s="11">
        <f t="shared" si="71"/>
        <v>5</v>
      </c>
      <c r="B266" s="82"/>
      <c r="C266" s="11"/>
      <c r="D266" s="11"/>
      <c r="E266" s="11"/>
      <c r="T266" s="11">
        <f t="shared" si="72"/>
        <v>5</v>
      </c>
    </row>
    <row r="267">
      <c r="A267" s="11">
        <f t="shared" si="71"/>
        <v>6</v>
      </c>
      <c r="B267" s="82"/>
      <c r="C267" s="11"/>
      <c r="D267" s="11"/>
      <c r="E267" s="11"/>
      <c r="T267" s="11">
        <f t="shared" si="72"/>
        <v>6</v>
      </c>
    </row>
    <row r="268">
      <c r="A268" s="11">
        <f t="shared" si="71"/>
        <v>7</v>
      </c>
      <c r="B268" s="82"/>
      <c r="C268" s="11"/>
      <c r="D268" s="11"/>
      <c r="E268" s="11"/>
      <c r="T268" s="11">
        <f t="shared" si="72"/>
        <v>7</v>
      </c>
    </row>
    <row r="269">
      <c r="A269" s="11">
        <f t="shared" si="71"/>
        <v>8</v>
      </c>
      <c r="B269" s="82"/>
      <c r="C269" s="11"/>
      <c r="D269" s="11"/>
      <c r="E269" s="11"/>
      <c r="T269" s="11">
        <f t="shared" si="72"/>
        <v>8</v>
      </c>
    </row>
    <row r="270">
      <c r="A270" s="11">
        <f t="shared" si="71"/>
        <v>9</v>
      </c>
      <c r="B270" s="82"/>
      <c r="C270" s="11"/>
      <c r="D270" s="11"/>
      <c r="E270" s="11"/>
      <c r="T270" s="11">
        <f t="shared" si="72"/>
        <v>9</v>
      </c>
    </row>
    <row r="271">
      <c r="A271" s="11">
        <f t="shared" si="71"/>
        <v>10</v>
      </c>
      <c r="B271" s="82"/>
      <c r="C271" s="11"/>
      <c r="D271" s="11"/>
      <c r="E271" s="11"/>
      <c r="T271" s="11">
        <f t="shared" si="72"/>
        <v>10</v>
      </c>
    </row>
    <row r="272">
      <c r="A272" s="11">
        <f t="shared" si="71"/>
        <v>11</v>
      </c>
      <c r="B272" s="82"/>
      <c r="C272" s="11"/>
      <c r="D272" s="11"/>
      <c r="E272" s="11"/>
      <c r="T272" s="11">
        <f t="shared" si="72"/>
        <v>11</v>
      </c>
    </row>
    <row r="273">
      <c r="A273" s="11">
        <f t="shared" si="71"/>
        <v>12</v>
      </c>
      <c r="B273" s="82"/>
      <c r="C273" s="11"/>
      <c r="D273" s="11"/>
      <c r="E273" s="11"/>
      <c r="T273" s="11">
        <f t="shared" si="72"/>
        <v>12</v>
      </c>
    </row>
    <row r="274">
      <c r="A274" s="11">
        <f t="shared" si="71"/>
        <v>13</v>
      </c>
      <c r="B274" s="82"/>
      <c r="C274" s="11"/>
      <c r="D274" s="11"/>
      <c r="E274" s="11"/>
      <c r="T274" s="11">
        <f t="shared" si="72"/>
        <v>13</v>
      </c>
    </row>
    <row r="275">
      <c r="A275" s="11">
        <f t="shared" si="71"/>
        <v>14</v>
      </c>
      <c r="B275" s="82"/>
      <c r="C275" s="11"/>
      <c r="D275" s="11"/>
      <c r="E275" s="11"/>
    </row>
    <row r="276">
      <c r="A276" s="11">
        <f t="shared" si="71"/>
        <v>15</v>
      </c>
      <c r="B276" s="82"/>
      <c r="C276" s="11"/>
      <c r="D276" s="11"/>
      <c r="E276" s="11"/>
    </row>
    <row r="277">
      <c r="A277" s="11">
        <f t="shared" si="71"/>
        <v>16</v>
      </c>
      <c r="B277" s="82"/>
      <c r="C277" s="11"/>
      <c r="D277" s="11"/>
      <c r="E277" s="11"/>
    </row>
    <row r="278">
      <c r="A278" s="11">
        <f t="shared" si="71"/>
        <v>17</v>
      </c>
      <c r="B278" s="82"/>
      <c r="C278" s="11"/>
      <c r="D278" s="11"/>
      <c r="E278" s="11"/>
    </row>
    <row r="279">
      <c r="A279" s="11">
        <f t="shared" si="71"/>
        <v>18</v>
      </c>
      <c r="B279" s="82"/>
      <c r="C279" s="11"/>
      <c r="D279" s="11"/>
      <c r="E279" s="11"/>
    </row>
    <row r="280">
      <c r="A280" s="11">
        <f t="shared" si="71"/>
        <v>19</v>
      </c>
      <c r="B280" s="82"/>
      <c r="C280" s="11"/>
      <c r="D280" s="11"/>
      <c r="E280" s="11"/>
    </row>
    <row r="281">
      <c r="A281" s="11">
        <f t="shared" si="71"/>
        <v>20</v>
      </c>
      <c r="B281" s="82"/>
      <c r="C281" s="11"/>
      <c r="D281" s="11"/>
      <c r="E281" s="11"/>
    </row>
    <row r="282">
      <c r="A282" s="11">
        <f t="shared" si="71"/>
        <v>21</v>
      </c>
      <c r="B282" s="82"/>
      <c r="C282" s="11"/>
      <c r="D282" s="11"/>
      <c r="E282" s="11"/>
    </row>
    <row r="283">
      <c r="A283" s="11">
        <f t="shared" si="71"/>
        <v>22</v>
      </c>
      <c r="B283" s="82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  <row r="1030">
      <c r="A1030" s="11"/>
      <c r="C1030" s="11"/>
      <c r="D1030" s="11"/>
      <c r="E1030" s="11"/>
    </row>
    <row r="1031">
      <c r="A1031" s="11"/>
      <c r="C1031" s="11"/>
      <c r="D1031" s="11"/>
      <c r="E1031" s="11"/>
    </row>
    <row r="1032">
      <c r="A1032" s="11"/>
      <c r="C1032" s="11"/>
      <c r="D1032" s="11"/>
      <c r="E1032" s="11"/>
    </row>
    <row r="1033">
      <c r="A1033" s="11"/>
      <c r="C1033" s="11"/>
      <c r="D1033" s="11"/>
      <c r="E1033" s="11"/>
    </row>
    <row r="1034">
      <c r="A1034" s="11"/>
      <c r="C1034" s="11"/>
      <c r="D1034" s="11"/>
      <c r="E1034" s="11"/>
    </row>
    <row r="1035">
      <c r="A1035" s="11"/>
      <c r="C1035" s="11"/>
      <c r="D1035" s="11"/>
      <c r="E1035" s="11"/>
    </row>
    <row r="1036">
      <c r="A1036" s="11"/>
      <c r="C1036" s="11"/>
      <c r="D1036" s="11"/>
      <c r="E1036" s="11"/>
    </row>
    <row r="1037">
      <c r="A1037" s="11"/>
      <c r="C1037" s="11"/>
      <c r="D1037" s="11"/>
      <c r="E1037" s="11"/>
    </row>
    <row r="1038">
      <c r="A1038" s="11"/>
      <c r="C1038" s="11"/>
      <c r="D1038" s="11"/>
      <c r="E1038" s="11"/>
    </row>
    <row r="1039">
      <c r="A1039" s="11"/>
      <c r="C1039" s="11"/>
      <c r="D1039" s="11"/>
      <c r="E1039" s="11"/>
    </row>
    <row r="1040">
      <c r="A1040" s="11"/>
      <c r="C1040" s="11"/>
      <c r="D1040" s="11"/>
      <c r="E1040" s="11"/>
    </row>
    <row r="1041">
      <c r="A1041" s="11"/>
      <c r="C1041" s="11"/>
      <c r="D1041" s="11"/>
      <c r="E1041" s="11"/>
    </row>
    <row r="1042">
      <c r="A1042" s="11"/>
      <c r="C1042" s="11"/>
      <c r="D1042" s="11"/>
      <c r="E1042" s="11"/>
    </row>
    <row r="1043">
      <c r="A1043" s="11"/>
      <c r="C1043" s="11"/>
      <c r="D1043" s="11"/>
      <c r="E1043" s="11"/>
    </row>
    <row r="1044">
      <c r="A1044" s="11"/>
      <c r="C1044" s="11"/>
      <c r="D1044" s="11"/>
      <c r="E1044" s="11"/>
    </row>
    <row r="1045">
      <c r="A1045" s="11"/>
      <c r="C1045" s="11"/>
      <c r="D1045" s="11"/>
      <c r="E1045" s="11"/>
    </row>
    <row r="1046">
      <c r="A1046" s="11"/>
      <c r="C1046" s="11"/>
      <c r="D1046" s="11"/>
      <c r="E1046" s="11"/>
    </row>
    <row r="1047">
      <c r="A1047" s="11"/>
      <c r="C1047" s="11"/>
      <c r="D1047" s="11"/>
      <c r="E1047" s="11"/>
    </row>
    <row r="1048">
      <c r="A1048" s="11"/>
      <c r="C1048" s="11"/>
      <c r="D1048" s="11"/>
      <c r="E1048" s="11"/>
    </row>
    <row r="1049">
      <c r="A1049" s="11"/>
      <c r="C1049" s="11"/>
      <c r="D1049" s="11"/>
      <c r="E1049" s="11"/>
    </row>
    <row r="1050">
      <c r="A1050" s="11"/>
      <c r="C1050" s="11"/>
      <c r="D1050" s="11"/>
      <c r="E1050" s="11"/>
    </row>
    <row r="1051">
      <c r="A1051" s="11"/>
      <c r="C1051" s="11"/>
      <c r="D1051" s="11"/>
      <c r="E1051" s="11"/>
    </row>
    <row r="1052">
      <c r="A1052" s="11"/>
      <c r="C1052" s="11"/>
      <c r="D1052" s="11"/>
      <c r="E1052" s="11"/>
    </row>
    <row r="1053">
      <c r="A1053" s="11"/>
      <c r="C1053" s="11"/>
      <c r="D1053" s="11"/>
      <c r="E1053" s="11"/>
    </row>
    <row r="1054">
      <c r="A1054" s="11"/>
      <c r="C1054" s="11"/>
      <c r="D1054" s="11"/>
      <c r="E1054" s="11"/>
    </row>
    <row r="1055">
      <c r="A1055" s="11"/>
      <c r="C1055" s="11"/>
      <c r="D1055" s="11"/>
      <c r="E1055" s="11"/>
    </row>
    <row r="1056">
      <c r="A1056" s="11"/>
      <c r="C1056" s="11"/>
      <c r="D1056" s="11"/>
      <c r="E1056" s="11"/>
    </row>
    <row r="1057">
      <c r="A1057" s="11"/>
      <c r="C1057" s="11"/>
      <c r="D1057" s="11"/>
      <c r="E1057" s="11"/>
    </row>
    <row r="1058">
      <c r="A1058" s="11"/>
      <c r="C1058" s="11"/>
      <c r="D1058" s="11"/>
      <c r="E1058" s="11"/>
    </row>
    <row r="1059">
      <c r="A1059" s="11"/>
      <c r="C1059" s="11"/>
      <c r="D1059" s="11"/>
      <c r="E1059" s="11"/>
    </row>
    <row r="1060">
      <c r="A1060" s="11"/>
      <c r="C1060" s="11"/>
      <c r="D1060" s="11"/>
      <c r="E1060" s="11"/>
    </row>
    <row r="1061">
      <c r="A1061" s="11"/>
      <c r="C1061" s="11"/>
      <c r="D1061" s="11"/>
      <c r="E1061" s="11"/>
    </row>
    <row r="1062">
      <c r="A1062" s="11"/>
      <c r="C1062" s="11"/>
      <c r="D1062" s="11"/>
      <c r="E1062" s="11"/>
    </row>
    <row r="1063">
      <c r="A1063" s="11"/>
      <c r="C1063" s="11"/>
      <c r="D1063" s="11"/>
      <c r="E1063" s="11"/>
    </row>
    <row r="1064">
      <c r="A1064" s="11"/>
      <c r="C1064" s="11"/>
      <c r="D1064" s="11"/>
      <c r="E1064" s="11"/>
    </row>
    <row r="1065">
      <c r="A1065" s="11"/>
      <c r="C1065" s="11"/>
      <c r="D1065" s="11"/>
      <c r="E1065" s="11"/>
    </row>
    <row r="1066">
      <c r="A1066" s="11"/>
      <c r="C1066" s="11"/>
      <c r="D1066" s="11"/>
      <c r="E1066" s="11"/>
    </row>
    <row r="1067">
      <c r="A1067" s="11"/>
      <c r="C1067" s="11"/>
      <c r="D1067" s="11"/>
      <c r="E1067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 B92:C102 B105:C115">
    <cfRule type="expression" dxfId="1" priority="3">
      <formula>E5=1</formula>
    </cfRule>
  </conditionalFormatting>
  <conditionalFormatting sqref="B5:B70 B79:D89 B92:C102 B105:C115">
    <cfRule type="expression" dxfId="3" priority="4">
      <formula>E5=2</formula>
    </cfRule>
  </conditionalFormatting>
  <conditionalFormatting sqref="B5:B70 B79:D89 B92:C102 B105:C115">
    <cfRule type="expression" dxfId="4" priority="5">
      <formula>E5=3</formula>
    </cfRule>
  </conditionalFormatting>
  <conditionalFormatting sqref="B5:B70 B79:D89 B92:C102 B105:C115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14.88"/>
  </cols>
  <sheetData>
    <row r="1">
      <c r="A1" s="11"/>
      <c r="B1" s="12" t="s">
        <v>23</v>
      </c>
      <c r="C1" s="81">
        <v>45549.0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11.0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  <c r="U4" s="29" t="s">
        <v>42</v>
      </c>
      <c r="V4" s="26" t="s">
        <v>30</v>
      </c>
    </row>
    <row r="5">
      <c r="A5" s="30">
        <v>1.0</v>
      </c>
      <c r="B5" s="31" t="s">
        <v>43</v>
      </c>
      <c r="C5" s="32">
        <v>162.0</v>
      </c>
      <c r="D5" s="32">
        <v>20.0</v>
      </c>
      <c r="E5" s="37">
        <v>5.0</v>
      </c>
      <c r="F5" s="39">
        <v>0.0</v>
      </c>
      <c r="G5" s="40">
        <v>13.0</v>
      </c>
      <c r="H5" s="39">
        <v>0.0</v>
      </c>
      <c r="I5" s="39">
        <v>0.0</v>
      </c>
      <c r="J5" s="39">
        <v>0.0</v>
      </c>
      <c r="K5" s="42">
        <v>13.0</v>
      </c>
      <c r="L5" s="39">
        <v>0.0</v>
      </c>
      <c r="M5" s="32">
        <f t="shared" ref="M5:N5" si="1">C5+K5</f>
        <v>175</v>
      </c>
      <c r="N5" s="32">
        <f t="shared" si="1"/>
        <v>20</v>
      </c>
      <c r="O5" s="43" t="s">
        <v>53</v>
      </c>
      <c r="P5" s="43" t="s">
        <v>53</v>
      </c>
      <c r="Q5" s="43" t="s">
        <v>53</v>
      </c>
      <c r="R5" s="39">
        <f>if(G5=13,1,0)+VLOOKUP(B5,'090724'!B:T,17,false)</f>
        <v>2</v>
      </c>
      <c r="S5" s="39"/>
      <c r="T5" s="39">
        <f>if(G5=9,1,0)+VLOOKUP(B5,'090724'!B:T,19,false)</f>
        <v>1</v>
      </c>
      <c r="U5" s="39">
        <f>VLOOKUP(B5,'090724'!B$5:V$70,21,false)-A5</f>
        <v>0</v>
      </c>
      <c r="V5" s="30">
        <v>1.0</v>
      </c>
    </row>
    <row r="6">
      <c r="A6" s="30">
        <f t="shared" ref="A6:A70" si="3">A5+1</f>
        <v>2</v>
      </c>
      <c r="B6" s="31" t="s">
        <v>61</v>
      </c>
      <c r="C6" s="32">
        <v>144.0</v>
      </c>
      <c r="D6" s="32">
        <v>18.0</v>
      </c>
      <c r="E6" s="37">
        <v>3.0</v>
      </c>
      <c r="F6" s="39">
        <v>0.0</v>
      </c>
      <c r="G6" s="40">
        <v>9.0</v>
      </c>
      <c r="H6" s="39">
        <v>0.0</v>
      </c>
      <c r="I6" s="39">
        <v>0.0</v>
      </c>
      <c r="J6" s="39">
        <v>0.0</v>
      </c>
      <c r="K6" s="42">
        <v>9.0</v>
      </c>
      <c r="L6" s="39">
        <v>0.0</v>
      </c>
      <c r="M6" s="32">
        <f t="shared" ref="M6:N6" si="2">C6+K6</f>
        <v>153</v>
      </c>
      <c r="N6" s="32">
        <f t="shared" si="2"/>
        <v>18</v>
      </c>
      <c r="O6" s="43" t="s">
        <v>53</v>
      </c>
      <c r="P6" s="43" t="s">
        <v>53</v>
      </c>
      <c r="Q6" s="43" t="s">
        <v>53</v>
      </c>
      <c r="R6" s="39">
        <f>if(G6=13,1,0)+VLOOKUP(B6,'090724'!B:T,17,false)</f>
        <v>0</v>
      </c>
      <c r="S6" s="39"/>
      <c r="T6" s="39">
        <f>if(G6=9,1,0)+VLOOKUP(B6,'090724'!B:T,19,false)</f>
        <v>2</v>
      </c>
      <c r="U6" s="39">
        <f>VLOOKUP(B6,'090724'!B$5:V$70,21,false)-A6</f>
        <v>0</v>
      </c>
      <c r="V6" s="30">
        <f t="shared" ref="V6:V70" si="5">V5+1</f>
        <v>2</v>
      </c>
    </row>
    <row r="7">
      <c r="A7" s="30">
        <f t="shared" si="3"/>
        <v>3</v>
      </c>
      <c r="B7" s="51" t="s">
        <v>92</v>
      </c>
      <c r="C7" s="32">
        <v>139.0</v>
      </c>
      <c r="D7" s="32">
        <v>15.0</v>
      </c>
      <c r="E7" s="37">
        <v>3.0</v>
      </c>
      <c r="F7" s="39">
        <v>0.0</v>
      </c>
      <c r="G7" s="40">
        <v>9.0</v>
      </c>
      <c r="H7" s="39">
        <v>0.0</v>
      </c>
      <c r="I7" s="39">
        <v>0.0</v>
      </c>
      <c r="J7" s="39">
        <v>0.0</v>
      </c>
      <c r="K7" s="42">
        <v>9.0</v>
      </c>
      <c r="L7" s="39">
        <v>0.0</v>
      </c>
      <c r="M7" s="32">
        <f t="shared" ref="M7:N7" si="4">C7+K7</f>
        <v>148</v>
      </c>
      <c r="N7" s="32">
        <f t="shared" si="4"/>
        <v>15</v>
      </c>
      <c r="O7" s="43" t="s">
        <v>53</v>
      </c>
      <c r="P7" s="43" t="s">
        <v>53</v>
      </c>
      <c r="Q7" s="43" t="s">
        <v>53</v>
      </c>
      <c r="R7" s="39">
        <f>if(G7=13,1,0)+VLOOKUP(B7,'090724'!B:T,17,false)</f>
        <v>1</v>
      </c>
      <c r="S7" s="39"/>
      <c r="T7" s="39">
        <f>if(G7=9,1,0)+VLOOKUP(B7,'090724'!B:T,19,false)</f>
        <v>4</v>
      </c>
      <c r="U7" s="39">
        <f>VLOOKUP(B7,'090724'!B$5:V$70,21,false)-A7</f>
        <v>3</v>
      </c>
      <c r="V7" s="30">
        <f t="shared" si="5"/>
        <v>3</v>
      </c>
    </row>
    <row r="8">
      <c r="A8" s="30">
        <f t="shared" si="3"/>
        <v>4</v>
      </c>
      <c r="B8" s="51" t="s">
        <v>54</v>
      </c>
      <c r="C8" s="32">
        <v>137.0</v>
      </c>
      <c r="D8" s="32">
        <v>15.0</v>
      </c>
      <c r="E8" s="37">
        <v>1.0</v>
      </c>
      <c r="F8" s="39">
        <v>1.0</v>
      </c>
      <c r="G8" s="40">
        <v>0.0</v>
      </c>
      <c r="H8" s="39">
        <v>6.0</v>
      </c>
      <c r="I8" s="39">
        <v>0.0</v>
      </c>
      <c r="J8" s="39">
        <v>6.0</v>
      </c>
      <c r="K8" s="42">
        <v>12.0</v>
      </c>
      <c r="L8" s="39">
        <v>2.0</v>
      </c>
      <c r="M8" s="32">
        <f t="shared" ref="M8:N8" si="6">C8+K8</f>
        <v>149</v>
      </c>
      <c r="N8" s="32">
        <f t="shared" si="6"/>
        <v>17</v>
      </c>
      <c r="O8" s="43" t="s">
        <v>53</v>
      </c>
      <c r="P8" s="43" t="s">
        <v>53</v>
      </c>
      <c r="Q8" s="43" t="s">
        <v>53</v>
      </c>
      <c r="R8" s="39">
        <f>if(G8=13,1,0)+VLOOKUP(B8,'090724'!B:T,17,false)</f>
        <v>0</v>
      </c>
      <c r="S8" s="39"/>
      <c r="T8" s="39">
        <f>if(G8=9,1,0)+VLOOKUP(B8,'090724'!B:T,19,false)</f>
        <v>1</v>
      </c>
      <c r="U8" s="39">
        <f>VLOOKUP(B8,'090724'!B$5:V$70,21,false)-A8</f>
        <v>6</v>
      </c>
      <c r="V8" s="30">
        <f t="shared" si="5"/>
        <v>4</v>
      </c>
    </row>
    <row r="9">
      <c r="A9" s="30">
        <f t="shared" si="3"/>
        <v>5</v>
      </c>
      <c r="B9" s="51" t="s">
        <v>87</v>
      </c>
      <c r="C9" s="32">
        <v>137.0</v>
      </c>
      <c r="D9" s="32">
        <v>13.0</v>
      </c>
      <c r="E9" s="37">
        <v>1.0</v>
      </c>
      <c r="F9" s="39">
        <v>1.0</v>
      </c>
      <c r="G9" s="40">
        <v>0.0</v>
      </c>
      <c r="H9" s="39">
        <v>3.0</v>
      </c>
      <c r="I9" s="39">
        <v>0.0</v>
      </c>
      <c r="J9" s="39">
        <v>0.0</v>
      </c>
      <c r="K9" s="42">
        <v>3.0</v>
      </c>
      <c r="L9" s="39">
        <v>0.0</v>
      </c>
      <c r="M9" s="32">
        <f t="shared" ref="M9:N9" si="7">C9+K9</f>
        <v>140</v>
      </c>
      <c r="N9" s="32">
        <f t="shared" si="7"/>
        <v>13</v>
      </c>
      <c r="O9" s="43" t="s">
        <v>53</v>
      </c>
      <c r="P9" s="43" t="s">
        <v>53</v>
      </c>
      <c r="Q9" s="43" t="s">
        <v>53</v>
      </c>
      <c r="R9" s="39">
        <f>if(G9=13,1,0)+VLOOKUP(B9,'090724'!B:T,17,false)</f>
        <v>2</v>
      </c>
      <c r="S9" s="39"/>
      <c r="T9" s="39">
        <f>if(G9=9,1,0)+VLOOKUP(B9,'090724'!B:T,19,false)</f>
        <v>0</v>
      </c>
      <c r="U9" s="39">
        <f>VLOOKUP(B9,'090724'!B$5:V$70,21,false)-A9</f>
        <v>-2</v>
      </c>
      <c r="V9" s="30">
        <f t="shared" si="5"/>
        <v>5</v>
      </c>
    </row>
    <row r="10">
      <c r="A10" s="30">
        <f t="shared" si="3"/>
        <v>6</v>
      </c>
      <c r="B10" s="51" t="s">
        <v>100</v>
      </c>
      <c r="C10" s="32">
        <v>135.0</v>
      </c>
      <c r="D10" s="32">
        <v>13.0</v>
      </c>
      <c r="E10" s="37">
        <v>5.0</v>
      </c>
      <c r="F10" s="39">
        <v>0.0</v>
      </c>
      <c r="G10" s="40">
        <v>13.0</v>
      </c>
      <c r="H10" s="39">
        <v>0.0</v>
      </c>
      <c r="I10" s="39">
        <v>0.0</v>
      </c>
      <c r="J10" s="39">
        <v>0.0</v>
      </c>
      <c r="K10" s="42">
        <v>13.0</v>
      </c>
      <c r="L10" s="39">
        <v>0.0</v>
      </c>
      <c r="M10" s="32">
        <f t="shared" ref="M10:N10" si="8">C10+K10</f>
        <v>148</v>
      </c>
      <c r="N10" s="32">
        <f t="shared" si="8"/>
        <v>13</v>
      </c>
      <c r="O10" s="43" t="s">
        <v>53</v>
      </c>
      <c r="P10" s="43" t="s">
        <v>53</v>
      </c>
      <c r="Q10" s="43" t="s">
        <v>53</v>
      </c>
      <c r="R10" s="39">
        <f>if(G10=13,1,0)+VLOOKUP(B10,'090724'!B:T,17,false)</f>
        <v>1</v>
      </c>
      <c r="S10" s="39"/>
      <c r="T10" s="39">
        <f>if(G10=9,1,0)+VLOOKUP(B10,'090724'!B:T,19,false)</f>
        <v>2</v>
      </c>
      <c r="U10" s="39">
        <f>VLOOKUP(B10,'090724'!B$5:V$70,21,false)-A10</f>
        <v>-2</v>
      </c>
      <c r="V10" s="30">
        <f t="shared" si="5"/>
        <v>6</v>
      </c>
    </row>
    <row r="11">
      <c r="A11" s="30">
        <f t="shared" si="3"/>
        <v>7</v>
      </c>
      <c r="B11" s="31" t="s">
        <v>90</v>
      </c>
      <c r="C11" s="32">
        <v>131.0</v>
      </c>
      <c r="D11" s="32">
        <v>13.0</v>
      </c>
      <c r="E11" s="37">
        <v>5.0</v>
      </c>
      <c r="F11" s="39">
        <v>0.0</v>
      </c>
      <c r="G11" s="40">
        <v>13.0</v>
      </c>
      <c r="H11" s="39">
        <v>0.0</v>
      </c>
      <c r="I11" s="39">
        <v>0.0</v>
      </c>
      <c r="J11" s="39">
        <v>0.0</v>
      </c>
      <c r="K11" s="42">
        <v>13.0</v>
      </c>
      <c r="L11" s="39">
        <v>0.0</v>
      </c>
      <c r="M11" s="32">
        <f t="shared" ref="M11:N11" si="9">C11+K11</f>
        <v>144</v>
      </c>
      <c r="N11" s="32">
        <f t="shared" si="9"/>
        <v>13</v>
      </c>
      <c r="O11" s="43" t="s">
        <v>53</v>
      </c>
      <c r="P11" s="43" t="s">
        <v>53</v>
      </c>
      <c r="Q11" s="43" t="s">
        <v>53</v>
      </c>
      <c r="R11" s="39">
        <f>if(G11=13,1,0)+VLOOKUP(B11,'090724'!B:T,17,false)</f>
        <v>2</v>
      </c>
      <c r="S11" s="39"/>
      <c r="T11" s="39">
        <f>if(G11=9,1,0)+VLOOKUP(B11,'090724'!B:T,19,false)</f>
        <v>1</v>
      </c>
      <c r="U11" s="39">
        <f>VLOOKUP(B11,'090724'!B$5:V$70,21,false)-A11</f>
        <v>4</v>
      </c>
      <c r="V11" s="30">
        <f t="shared" si="5"/>
        <v>7</v>
      </c>
    </row>
    <row r="12">
      <c r="A12" s="30">
        <f t="shared" si="3"/>
        <v>8</v>
      </c>
      <c r="B12" s="31" t="s">
        <v>57</v>
      </c>
      <c r="C12" s="32">
        <v>131.0</v>
      </c>
      <c r="D12" s="32">
        <v>12.0</v>
      </c>
      <c r="E12" s="37">
        <v>1.0</v>
      </c>
      <c r="F12" s="39">
        <v>1.0</v>
      </c>
      <c r="G12" s="40">
        <v>0.0</v>
      </c>
      <c r="H12" s="39">
        <v>3.0</v>
      </c>
      <c r="I12" s="39">
        <v>6.0</v>
      </c>
      <c r="J12" s="39">
        <v>6.0</v>
      </c>
      <c r="K12" s="42">
        <v>15.0</v>
      </c>
      <c r="L12" s="39">
        <v>2.0</v>
      </c>
      <c r="M12" s="32">
        <f t="shared" ref="M12:N12" si="10">C12+K12</f>
        <v>146</v>
      </c>
      <c r="N12" s="32">
        <f t="shared" si="10"/>
        <v>14</v>
      </c>
      <c r="O12" s="43" t="s">
        <v>53</v>
      </c>
      <c r="P12" s="43" t="s">
        <v>53</v>
      </c>
      <c r="Q12" s="43" t="s">
        <v>53</v>
      </c>
      <c r="R12" s="39">
        <f>if(G12=13,1,0)+VLOOKUP(B12,'090724'!B:T,17,false)</f>
        <v>1</v>
      </c>
      <c r="S12" s="39"/>
      <c r="T12" s="39">
        <f>if(G12=9,1,0)+VLOOKUP(B12,'090724'!B:T,19,false)</f>
        <v>2</v>
      </c>
      <c r="U12" s="39">
        <f>VLOOKUP(B12,'090724'!B$5:V$70,21,false)-A12</f>
        <v>9</v>
      </c>
      <c r="V12" s="30">
        <f t="shared" si="5"/>
        <v>8</v>
      </c>
    </row>
    <row r="13">
      <c r="A13" s="30">
        <f t="shared" si="3"/>
        <v>9</v>
      </c>
      <c r="B13" s="31" t="s">
        <v>86</v>
      </c>
      <c r="C13" s="32">
        <v>131.0</v>
      </c>
      <c r="D13" s="32">
        <v>10.0</v>
      </c>
      <c r="E13" s="37">
        <v>5.0</v>
      </c>
      <c r="F13" s="39">
        <v>0.0</v>
      </c>
      <c r="G13" s="40">
        <v>13.0</v>
      </c>
      <c r="H13" s="39">
        <v>0.0</v>
      </c>
      <c r="I13" s="39">
        <v>0.0</v>
      </c>
      <c r="J13" s="39">
        <v>0.0</v>
      </c>
      <c r="K13" s="42">
        <v>13.0</v>
      </c>
      <c r="L13" s="39">
        <v>0.0</v>
      </c>
      <c r="M13" s="32">
        <f t="shared" ref="M13:N13" si="11">C13+K13</f>
        <v>144</v>
      </c>
      <c r="N13" s="32">
        <f t="shared" si="11"/>
        <v>10</v>
      </c>
      <c r="O13" s="43" t="s">
        <v>53</v>
      </c>
      <c r="P13" s="43" t="s">
        <v>53</v>
      </c>
      <c r="Q13" s="43" t="s">
        <v>53</v>
      </c>
      <c r="R13" s="39">
        <f>if(G13=13,1,0)+VLOOKUP(B13,'090724'!B:T,17,false)</f>
        <v>4</v>
      </c>
      <c r="S13" s="39"/>
      <c r="T13" s="39">
        <f>if(G13=9,1,0)+VLOOKUP(B13,'090724'!B:T,19,false)</f>
        <v>0</v>
      </c>
      <c r="U13" s="39">
        <f>VLOOKUP(B13,'090724'!B$5:V$70,21,false)-A13</f>
        <v>9</v>
      </c>
      <c r="V13" s="30">
        <f t="shared" si="5"/>
        <v>9</v>
      </c>
    </row>
    <row r="14">
      <c r="A14" s="30">
        <f t="shared" si="3"/>
        <v>10</v>
      </c>
      <c r="B14" s="31" t="s">
        <v>68</v>
      </c>
      <c r="C14" s="32">
        <v>130.0</v>
      </c>
      <c r="D14" s="32">
        <v>12.0</v>
      </c>
      <c r="E14" s="37">
        <v>1.0</v>
      </c>
      <c r="F14" s="39">
        <v>1.0</v>
      </c>
      <c r="G14" s="40">
        <v>0.0</v>
      </c>
      <c r="H14" s="39">
        <v>6.0</v>
      </c>
      <c r="I14" s="39">
        <v>6.0</v>
      </c>
      <c r="J14" s="39">
        <v>0.0</v>
      </c>
      <c r="K14" s="42">
        <v>12.0</v>
      </c>
      <c r="L14" s="39">
        <v>2.0</v>
      </c>
      <c r="M14" s="32">
        <f t="shared" ref="M14:N14" si="12">C14+K14</f>
        <v>142</v>
      </c>
      <c r="N14" s="32">
        <f t="shared" si="12"/>
        <v>14</v>
      </c>
      <c r="O14" s="43" t="s">
        <v>53</v>
      </c>
      <c r="P14" s="43" t="s">
        <v>53</v>
      </c>
      <c r="Q14" s="43" t="s">
        <v>53</v>
      </c>
      <c r="R14" s="39">
        <f>if(G14=13,1,0)+VLOOKUP(B14,'090724'!B:T,17,false)</f>
        <v>1</v>
      </c>
      <c r="S14" s="39"/>
      <c r="T14" s="39">
        <f>if(G14=9,1,0)+VLOOKUP(B14,'090724'!B:T,19,false)</f>
        <v>1</v>
      </c>
      <c r="U14" s="39">
        <f>VLOOKUP(B14,'090724'!B$5:V$70,21,false)-A14</f>
        <v>-5</v>
      </c>
      <c r="V14" s="30">
        <f t="shared" si="5"/>
        <v>10</v>
      </c>
    </row>
    <row r="15">
      <c r="A15" s="30">
        <f t="shared" si="3"/>
        <v>11</v>
      </c>
      <c r="B15" s="51" t="s">
        <v>95</v>
      </c>
      <c r="C15" s="32">
        <v>130.0</v>
      </c>
      <c r="D15" s="32">
        <v>10.0</v>
      </c>
      <c r="E15" s="37">
        <v>3.0</v>
      </c>
      <c r="F15" s="39">
        <v>0.0</v>
      </c>
      <c r="G15" s="40">
        <v>9.0</v>
      </c>
      <c r="H15" s="39">
        <v>0.0</v>
      </c>
      <c r="I15" s="39">
        <v>0.0</v>
      </c>
      <c r="J15" s="39">
        <v>0.0</v>
      </c>
      <c r="K15" s="42">
        <v>9.0</v>
      </c>
      <c r="L15" s="39">
        <v>0.0</v>
      </c>
      <c r="M15" s="32">
        <f t="shared" ref="M15:N15" si="13">C15+K15</f>
        <v>139</v>
      </c>
      <c r="N15" s="32">
        <f t="shared" si="13"/>
        <v>10</v>
      </c>
      <c r="O15" s="43" t="s">
        <v>53</v>
      </c>
      <c r="P15" s="43" t="s">
        <v>53</v>
      </c>
      <c r="Q15" s="43" t="s">
        <v>53</v>
      </c>
      <c r="R15" s="39">
        <f>if(G15=13,1,0)+VLOOKUP(B15,'090724'!B:T,17,false)</f>
        <v>1</v>
      </c>
      <c r="S15" s="39"/>
      <c r="T15" s="39">
        <f>if(G15=9,1,0)+VLOOKUP(B15,'090724'!B:T,19,false)</f>
        <v>5</v>
      </c>
      <c r="U15" s="39">
        <f>VLOOKUP(B15,'090724'!B$5:V$70,21,false)-A15</f>
        <v>-4</v>
      </c>
      <c r="V15" s="30">
        <f t="shared" si="5"/>
        <v>11</v>
      </c>
    </row>
    <row r="16">
      <c r="A16" s="30">
        <f t="shared" si="3"/>
        <v>12</v>
      </c>
      <c r="B16" s="31" t="s">
        <v>91</v>
      </c>
      <c r="C16" s="32">
        <v>129.0</v>
      </c>
      <c r="D16" s="32">
        <v>10.0</v>
      </c>
      <c r="E16" s="37">
        <v>1.0</v>
      </c>
      <c r="F16" s="39">
        <v>2.0</v>
      </c>
      <c r="G16" s="40">
        <v>0.0</v>
      </c>
      <c r="H16" s="39">
        <v>3.0</v>
      </c>
      <c r="I16" s="39">
        <v>6.0</v>
      </c>
      <c r="J16" s="39">
        <v>3.0</v>
      </c>
      <c r="K16" s="42">
        <v>12.0</v>
      </c>
      <c r="L16" s="39">
        <v>0.0</v>
      </c>
      <c r="M16" s="32">
        <f t="shared" ref="M16:N16" si="14">C16+K16</f>
        <v>141</v>
      </c>
      <c r="N16" s="32">
        <f t="shared" si="14"/>
        <v>10</v>
      </c>
      <c r="O16" s="43" t="s">
        <v>53</v>
      </c>
      <c r="P16" s="43" t="s">
        <v>53</v>
      </c>
      <c r="Q16" s="43" t="s">
        <v>53</v>
      </c>
      <c r="R16" s="39">
        <f>if(G16=13,1,0)+VLOOKUP(B16,'090724'!B:T,17,false)</f>
        <v>1</v>
      </c>
      <c r="S16" s="39"/>
      <c r="T16" s="39">
        <f>if(G16=9,1,0)+VLOOKUP(B16,'090724'!B:T,19,false)</f>
        <v>2</v>
      </c>
      <c r="U16" s="39">
        <f>VLOOKUP(B16,'090724'!B$5:V$70,21,false)-A16</f>
        <v>0</v>
      </c>
      <c r="V16" s="30">
        <f t="shared" si="5"/>
        <v>12</v>
      </c>
    </row>
    <row r="17">
      <c r="A17" s="30">
        <f t="shared" si="3"/>
        <v>13</v>
      </c>
      <c r="B17" s="51" t="s">
        <v>94</v>
      </c>
      <c r="C17" s="32">
        <v>129.0</v>
      </c>
      <c r="D17" s="32">
        <v>9.0</v>
      </c>
      <c r="E17" s="37">
        <v>5.0</v>
      </c>
      <c r="F17" s="39">
        <v>0.0</v>
      </c>
      <c r="G17" s="40">
        <v>13.0</v>
      </c>
      <c r="H17" s="39">
        <v>0.0</v>
      </c>
      <c r="I17" s="39">
        <v>0.0</v>
      </c>
      <c r="J17" s="39">
        <v>0.0</v>
      </c>
      <c r="K17" s="42">
        <v>13.0</v>
      </c>
      <c r="L17" s="39">
        <v>0.0</v>
      </c>
      <c r="M17" s="32">
        <f t="shared" ref="M17:N17" si="15">C17+K17</f>
        <v>142</v>
      </c>
      <c r="N17" s="32">
        <f t="shared" si="15"/>
        <v>9</v>
      </c>
      <c r="O17" s="43" t="s">
        <v>53</v>
      </c>
      <c r="P17" s="43" t="s">
        <v>53</v>
      </c>
      <c r="Q17" s="43" t="s">
        <v>53</v>
      </c>
      <c r="R17" s="39">
        <f>if(G17=13,1,0)+VLOOKUP(B17,'090724'!B:T,17,false)</f>
        <v>2</v>
      </c>
      <c r="S17" s="39"/>
      <c r="T17" s="39">
        <f>if(G17=9,1,0)+VLOOKUP(B17,'090724'!B:T,19,false)</f>
        <v>2</v>
      </c>
      <c r="U17" s="39">
        <f>VLOOKUP(B17,'090724'!B$5:V$70,21,false)-A17</f>
        <v>0</v>
      </c>
      <c r="V17" s="30">
        <f t="shared" si="5"/>
        <v>13</v>
      </c>
    </row>
    <row r="18">
      <c r="A18" s="30">
        <f t="shared" si="3"/>
        <v>14</v>
      </c>
      <c r="B18" s="31" t="s">
        <v>71</v>
      </c>
      <c r="C18" s="32">
        <v>128.0</v>
      </c>
      <c r="D18" s="32">
        <v>12.0</v>
      </c>
      <c r="E18" s="37">
        <v>1.0</v>
      </c>
      <c r="F18" s="39">
        <v>2.0</v>
      </c>
      <c r="G18" s="40">
        <v>0.0</v>
      </c>
      <c r="H18" s="39">
        <v>6.0</v>
      </c>
      <c r="I18" s="39">
        <v>7.0</v>
      </c>
      <c r="J18" s="39">
        <v>3.0</v>
      </c>
      <c r="K18" s="42">
        <v>16.0</v>
      </c>
      <c r="L18" s="39">
        <v>2.0</v>
      </c>
      <c r="M18" s="32">
        <f t="shared" ref="M18:N18" si="16">C18+K18</f>
        <v>144</v>
      </c>
      <c r="N18" s="32">
        <f t="shared" si="16"/>
        <v>14</v>
      </c>
      <c r="O18" s="43" t="s">
        <v>53</v>
      </c>
      <c r="P18" s="43" t="s">
        <v>53</v>
      </c>
      <c r="Q18" s="43" t="s">
        <v>53</v>
      </c>
      <c r="R18" s="39">
        <f>if(G18=13,1,0)+VLOOKUP(B18,'090724'!B:T,17,false)</f>
        <v>1</v>
      </c>
      <c r="S18" s="39"/>
      <c r="T18" s="39">
        <f>if(G18=9,1,0)+VLOOKUP(B18,'090724'!B:T,19,false)</f>
        <v>0</v>
      </c>
      <c r="U18" s="39">
        <f>VLOOKUP(B18,'090724'!B$5:V$70,21,false)-A18</f>
        <v>-6</v>
      </c>
      <c r="V18" s="30">
        <f t="shared" si="5"/>
        <v>14</v>
      </c>
    </row>
    <row r="19">
      <c r="A19" s="30">
        <f t="shared" si="3"/>
        <v>15</v>
      </c>
      <c r="B19" s="31" t="s">
        <v>34</v>
      </c>
      <c r="C19" s="32">
        <v>127.0</v>
      </c>
      <c r="D19" s="32">
        <v>14.0</v>
      </c>
      <c r="E19" s="37">
        <v>1.0</v>
      </c>
      <c r="F19" s="39">
        <v>2.0</v>
      </c>
      <c r="G19" s="40">
        <v>0.0</v>
      </c>
      <c r="H19" s="39">
        <v>6.0</v>
      </c>
      <c r="I19" s="39">
        <v>6.0</v>
      </c>
      <c r="J19" s="39">
        <v>6.0</v>
      </c>
      <c r="K19" s="42">
        <v>18.0</v>
      </c>
      <c r="L19" s="39">
        <v>2.0</v>
      </c>
      <c r="M19" s="32">
        <f t="shared" ref="M19:N19" si="17">C19+K19</f>
        <v>145</v>
      </c>
      <c r="N19" s="32">
        <f t="shared" si="17"/>
        <v>16</v>
      </c>
      <c r="O19" s="43" t="s">
        <v>53</v>
      </c>
      <c r="P19" s="43" t="s">
        <v>53</v>
      </c>
      <c r="Q19" s="43" t="s">
        <v>53</v>
      </c>
      <c r="R19" s="39">
        <f>if(G19=13,1,0)+VLOOKUP(B19,'090724'!B:T,17,false)</f>
        <v>0</v>
      </c>
      <c r="S19" s="39"/>
      <c r="T19" s="39">
        <f>if(G19=9,1,0)+VLOOKUP(B19,'090724'!B:T,19,false)</f>
        <v>2</v>
      </c>
      <c r="U19" s="39">
        <f>VLOOKUP(B19,'090724'!B$5:V$70,21,false)-A19</f>
        <v>-6</v>
      </c>
      <c r="V19" s="30">
        <f t="shared" si="5"/>
        <v>15</v>
      </c>
    </row>
    <row r="20">
      <c r="A20" s="30">
        <f t="shared" si="3"/>
        <v>16</v>
      </c>
      <c r="B20" s="51" t="s">
        <v>78</v>
      </c>
      <c r="C20" s="32">
        <v>126.0</v>
      </c>
      <c r="D20" s="32">
        <v>11.0</v>
      </c>
      <c r="E20" s="37">
        <v>1.0</v>
      </c>
      <c r="F20" s="39">
        <v>2.0</v>
      </c>
      <c r="G20" s="40">
        <v>0.0</v>
      </c>
      <c r="H20" s="39">
        <v>3.0</v>
      </c>
      <c r="I20" s="39">
        <v>7.0</v>
      </c>
      <c r="J20" s="39">
        <v>6.0</v>
      </c>
      <c r="K20" s="42">
        <v>16.0</v>
      </c>
      <c r="L20" s="39">
        <v>2.0</v>
      </c>
      <c r="M20" s="32">
        <f t="shared" ref="M20:N20" si="18">C20+K20</f>
        <v>142</v>
      </c>
      <c r="N20" s="32">
        <f t="shared" si="18"/>
        <v>13</v>
      </c>
      <c r="O20" s="43" t="s">
        <v>53</v>
      </c>
      <c r="P20" s="43" t="s">
        <v>53</v>
      </c>
      <c r="Q20" s="43" t="s">
        <v>53</v>
      </c>
      <c r="R20" s="39">
        <f>if(G20=13,1,0)+VLOOKUP(B20,'090724'!B:T,17,false)</f>
        <v>0</v>
      </c>
      <c r="S20" s="39"/>
      <c r="T20" s="39">
        <f>if(G20=9,1,0)+VLOOKUP(B20,'090724'!B:T,19,false)</f>
        <v>1</v>
      </c>
      <c r="U20" s="39">
        <f>VLOOKUP(B20,'090724'!B$5:V$70,21,false)-A20</f>
        <v>-2</v>
      </c>
      <c r="V20" s="30">
        <f t="shared" si="5"/>
        <v>16</v>
      </c>
    </row>
    <row r="21">
      <c r="A21" s="30">
        <f t="shared" si="3"/>
        <v>17</v>
      </c>
      <c r="B21" s="56" t="s">
        <v>65</v>
      </c>
      <c r="C21" s="32">
        <v>124.0</v>
      </c>
      <c r="D21" s="32">
        <v>11.0</v>
      </c>
      <c r="E21" s="37">
        <v>1.0</v>
      </c>
      <c r="F21" s="39">
        <v>3.0</v>
      </c>
      <c r="G21" s="40">
        <v>0.0</v>
      </c>
      <c r="H21" s="39">
        <v>6.0</v>
      </c>
      <c r="I21" s="39">
        <v>3.0</v>
      </c>
      <c r="J21" s="39">
        <v>4.0</v>
      </c>
      <c r="K21" s="42">
        <v>13.0</v>
      </c>
      <c r="L21" s="39">
        <v>1.0</v>
      </c>
      <c r="M21" s="32">
        <f t="shared" ref="M21:N21" si="19">C21+K21</f>
        <v>137</v>
      </c>
      <c r="N21" s="32">
        <f t="shared" si="19"/>
        <v>12</v>
      </c>
      <c r="O21" s="43" t="s">
        <v>53</v>
      </c>
      <c r="P21" s="43" t="s">
        <v>53</v>
      </c>
      <c r="Q21" s="43" t="s">
        <v>53</v>
      </c>
      <c r="R21" s="39">
        <f>if(G21=13,1,0)+VLOOKUP(B21,'090724'!B:T,17,false)</f>
        <v>0</v>
      </c>
      <c r="S21" s="39"/>
      <c r="T21" s="39">
        <f>if(G21=9,1,0)+VLOOKUP(B21,'090724'!B:T,19,false)</f>
        <v>4</v>
      </c>
      <c r="U21" s="39">
        <f>VLOOKUP(B21,'090724'!B$5:V$70,21,false)-A21</f>
        <v>-2</v>
      </c>
      <c r="V21" s="30">
        <f t="shared" si="5"/>
        <v>17</v>
      </c>
    </row>
    <row r="22">
      <c r="A22" s="30">
        <f t="shared" si="3"/>
        <v>18</v>
      </c>
      <c r="B22" s="51" t="s">
        <v>93</v>
      </c>
      <c r="C22" s="32">
        <v>124.0</v>
      </c>
      <c r="D22" s="32">
        <v>11.0</v>
      </c>
      <c r="E22" s="37">
        <v>1.0</v>
      </c>
      <c r="F22" s="39">
        <v>3.0</v>
      </c>
      <c r="G22" s="40">
        <v>0.0</v>
      </c>
      <c r="H22" s="39">
        <v>2.0</v>
      </c>
      <c r="I22" s="39">
        <v>6.0</v>
      </c>
      <c r="J22" s="39">
        <v>4.0</v>
      </c>
      <c r="K22" s="42">
        <v>12.0</v>
      </c>
      <c r="L22" s="39">
        <v>1.0</v>
      </c>
      <c r="M22" s="32">
        <f t="shared" ref="M22:N22" si="20">C22+K22</f>
        <v>136</v>
      </c>
      <c r="N22" s="32">
        <f t="shared" si="20"/>
        <v>12</v>
      </c>
      <c r="O22" s="43" t="s">
        <v>53</v>
      </c>
      <c r="P22" s="43" t="s">
        <v>53</v>
      </c>
      <c r="Q22" s="43" t="s">
        <v>53</v>
      </c>
      <c r="R22" s="39">
        <f>if(G22=13,1,0)+VLOOKUP(B22,'090724'!B:T,17,false)</f>
        <v>0</v>
      </c>
      <c r="S22" s="39"/>
      <c r="T22" s="39">
        <f>if(G22=9,1,0)+VLOOKUP(B22,'090724'!B:T,19,false)</f>
        <v>1</v>
      </c>
      <c r="U22" s="39">
        <f>VLOOKUP(B22,'090724'!B$5:V$70,21,false)-A22</f>
        <v>3</v>
      </c>
      <c r="V22" s="30">
        <f t="shared" si="5"/>
        <v>18</v>
      </c>
    </row>
    <row r="23">
      <c r="A23" s="30">
        <f t="shared" si="3"/>
        <v>19</v>
      </c>
      <c r="B23" s="51" t="s">
        <v>85</v>
      </c>
      <c r="C23" s="32">
        <v>124.0</v>
      </c>
      <c r="D23" s="32">
        <v>10.0</v>
      </c>
      <c r="E23" s="37">
        <v>1.0</v>
      </c>
      <c r="F23" s="39">
        <v>3.0</v>
      </c>
      <c r="G23" s="40">
        <v>0.0</v>
      </c>
      <c r="H23" s="39">
        <v>6.0</v>
      </c>
      <c r="I23" s="39">
        <v>6.0</v>
      </c>
      <c r="J23" s="39">
        <v>6.0</v>
      </c>
      <c r="K23" s="42">
        <v>18.0</v>
      </c>
      <c r="L23" s="39">
        <v>3.0</v>
      </c>
      <c r="M23" s="32">
        <f t="shared" ref="M23:N23" si="21">C23+K23</f>
        <v>142</v>
      </c>
      <c r="N23" s="32">
        <f t="shared" si="21"/>
        <v>13</v>
      </c>
      <c r="O23" s="43" t="s">
        <v>53</v>
      </c>
      <c r="P23" s="43" t="s">
        <v>53</v>
      </c>
      <c r="Q23" s="43" t="s">
        <v>53</v>
      </c>
      <c r="R23" s="39">
        <f>if(G23=13,1,0)+VLOOKUP(B23,'090724'!B:T,17,false)</f>
        <v>0</v>
      </c>
      <c r="S23" s="39"/>
      <c r="T23" s="39">
        <f>if(G23=9,1,0)+VLOOKUP(B23,'090724'!B:T,19,false)</f>
        <v>6</v>
      </c>
      <c r="U23" s="39">
        <f>VLOOKUP(B23,'090724'!B$5:V$70,21,false)-A23</f>
        <v>-3</v>
      </c>
      <c r="V23" s="30">
        <f t="shared" si="5"/>
        <v>19</v>
      </c>
    </row>
    <row r="24">
      <c r="A24" s="30">
        <f t="shared" si="3"/>
        <v>20</v>
      </c>
      <c r="B24" s="31" t="s">
        <v>98</v>
      </c>
      <c r="C24" s="32">
        <v>123.0</v>
      </c>
      <c r="D24" s="32">
        <v>11.0</v>
      </c>
      <c r="E24" s="37">
        <v>3.0</v>
      </c>
      <c r="F24" s="39">
        <v>0.0</v>
      </c>
      <c r="G24" s="40">
        <v>9.0</v>
      </c>
      <c r="H24" s="39">
        <v>0.0</v>
      </c>
      <c r="I24" s="39">
        <v>0.0</v>
      </c>
      <c r="J24" s="39">
        <v>0.0</v>
      </c>
      <c r="K24" s="42">
        <v>9.0</v>
      </c>
      <c r="L24" s="39">
        <v>0.0</v>
      </c>
      <c r="M24" s="32">
        <f t="shared" ref="M24:N24" si="22">C24+K24</f>
        <v>132</v>
      </c>
      <c r="N24" s="32">
        <f t="shared" si="22"/>
        <v>11</v>
      </c>
      <c r="O24" s="43" t="s">
        <v>53</v>
      </c>
      <c r="P24" s="43" t="s">
        <v>53</v>
      </c>
      <c r="Q24" s="43" t="s">
        <v>53</v>
      </c>
      <c r="R24" s="39">
        <f>if(G24=13,1,0)+VLOOKUP(B24,'090724'!B:T,17,false)</f>
        <v>1</v>
      </c>
      <c r="S24" s="39"/>
      <c r="T24" s="39">
        <f>if(G24=9,1,0)+VLOOKUP(B24,'090724'!B:T,19,false)</f>
        <v>4</v>
      </c>
      <c r="U24" s="39">
        <f>VLOOKUP(B24,'090724'!B$5:V$70,21,false)-A24</f>
        <v>8</v>
      </c>
      <c r="V24" s="30">
        <f t="shared" si="5"/>
        <v>20</v>
      </c>
    </row>
    <row r="25">
      <c r="A25" s="30">
        <f t="shared" si="3"/>
        <v>21</v>
      </c>
      <c r="B25" s="56" t="s">
        <v>101</v>
      </c>
      <c r="C25" s="32">
        <v>123.0</v>
      </c>
      <c r="D25" s="32">
        <v>9.0</v>
      </c>
      <c r="E25" s="37">
        <v>1.0</v>
      </c>
      <c r="F25" s="39">
        <v>3.0</v>
      </c>
      <c r="G25" s="40">
        <v>0.0</v>
      </c>
      <c r="H25" s="39">
        <v>2.0</v>
      </c>
      <c r="I25" s="39">
        <v>3.0</v>
      </c>
      <c r="J25" s="39">
        <v>6.0</v>
      </c>
      <c r="K25" s="42">
        <v>11.0</v>
      </c>
      <c r="L25" s="39">
        <v>1.0</v>
      </c>
      <c r="M25" s="32">
        <f t="shared" ref="M25:N25" si="23">C25+K25</f>
        <v>134</v>
      </c>
      <c r="N25" s="32">
        <f t="shared" si="23"/>
        <v>10</v>
      </c>
      <c r="O25" s="43" t="s">
        <v>53</v>
      </c>
      <c r="P25" s="43" t="s">
        <v>53</v>
      </c>
      <c r="Q25" s="43" t="s">
        <v>53</v>
      </c>
      <c r="R25" s="39">
        <f>if(G25=13,1,0)+VLOOKUP(B25,'090724'!B:T,17,false)</f>
        <v>0</v>
      </c>
      <c r="S25" s="39"/>
      <c r="T25" s="39">
        <f>if(G25=9,1,0)+VLOOKUP(B25,'090724'!B:T,19,false)</f>
        <v>4</v>
      </c>
      <c r="U25" s="39">
        <f>VLOOKUP(B25,'090724'!B$5:V$70,21,false)-A25</f>
        <v>1</v>
      </c>
      <c r="V25" s="30">
        <f t="shared" si="5"/>
        <v>21</v>
      </c>
    </row>
    <row r="26">
      <c r="A26" s="30">
        <f t="shared" si="3"/>
        <v>22</v>
      </c>
      <c r="B26" s="51" t="s">
        <v>84</v>
      </c>
      <c r="C26" s="32">
        <v>123.0</v>
      </c>
      <c r="D26" s="32">
        <v>8.0</v>
      </c>
      <c r="E26" s="37">
        <v>1.0</v>
      </c>
      <c r="F26" s="39">
        <v>4.0</v>
      </c>
      <c r="G26" s="40">
        <v>0.0</v>
      </c>
      <c r="H26" s="39">
        <v>2.0</v>
      </c>
      <c r="I26" s="39">
        <v>1.0</v>
      </c>
      <c r="J26" s="39">
        <v>6.0</v>
      </c>
      <c r="K26" s="42">
        <v>9.0</v>
      </c>
      <c r="L26" s="39">
        <v>1.0</v>
      </c>
      <c r="M26" s="32">
        <f t="shared" ref="M26:N26" si="24">C26+K26</f>
        <v>132</v>
      </c>
      <c r="N26" s="32">
        <f t="shared" si="24"/>
        <v>9</v>
      </c>
      <c r="O26" s="43" t="s">
        <v>53</v>
      </c>
      <c r="P26" s="43" t="s">
        <v>53</v>
      </c>
      <c r="Q26" s="43" t="s">
        <v>53</v>
      </c>
      <c r="R26" s="39">
        <f>if(G26=13,1,0)+VLOOKUP(B26,'090724'!B:T,17,false)</f>
        <v>1</v>
      </c>
      <c r="S26" s="39"/>
      <c r="T26" s="39">
        <f>if(G26=9,1,0)+VLOOKUP(B26,'090724'!B:T,19,false)</f>
        <v>2</v>
      </c>
      <c r="U26" s="39">
        <f>VLOOKUP(B26,'090724'!B$5:V$70,21,false)-A26</f>
        <v>1</v>
      </c>
      <c r="V26" s="30">
        <f t="shared" si="5"/>
        <v>22</v>
      </c>
    </row>
    <row r="27">
      <c r="A27" s="30">
        <f t="shared" si="3"/>
        <v>23</v>
      </c>
      <c r="B27" s="31" t="s">
        <v>83</v>
      </c>
      <c r="C27" s="32">
        <v>121.0</v>
      </c>
      <c r="D27" s="32">
        <v>9.0</v>
      </c>
      <c r="E27" s="37">
        <v>1.0</v>
      </c>
      <c r="F27" s="39">
        <v>4.0</v>
      </c>
      <c r="G27" s="40">
        <v>0.0</v>
      </c>
      <c r="H27" s="39">
        <v>6.0</v>
      </c>
      <c r="I27" s="39">
        <v>6.0</v>
      </c>
      <c r="J27" s="39">
        <v>6.0</v>
      </c>
      <c r="K27" s="42">
        <v>18.0</v>
      </c>
      <c r="L27" s="39">
        <v>3.0</v>
      </c>
      <c r="M27" s="32">
        <f t="shared" ref="M27:N27" si="25">C27+K27</f>
        <v>139</v>
      </c>
      <c r="N27" s="32">
        <f t="shared" si="25"/>
        <v>12</v>
      </c>
      <c r="O27" s="43" t="s">
        <v>53</v>
      </c>
      <c r="P27" s="43" t="s">
        <v>53</v>
      </c>
      <c r="Q27" s="43" t="s">
        <v>53</v>
      </c>
      <c r="R27" s="39">
        <f>if(G27=13,1,0)+VLOOKUP(B27,'090724'!B:T,17,false)</f>
        <v>0</v>
      </c>
      <c r="S27" s="39"/>
      <c r="T27" s="39">
        <f>if(G27=9,1,0)+VLOOKUP(B27,'090724'!B:T,19,false)</f>
        <v>6</v>
      </c>
      <c r="U27" s="39">
        <f>VLOOKUP(B27,'090724'!B$5:V$70,21,false)-A27</f>
        <v>7</v>
      </c>
      <c r="V27" s="30">
        <f t="shared" si="5"/>
        <v>23</v>
      </c>
    </row>
    <row r="28">
      <c r="A28" s="30">
        <f t="shared" si="3"/>
        <v>24</v>
      </c>
      <c r="B28" s="31" t="s">
        <v>105</v>
      </c>
      <c r="C28" s="32">
        <v>121.0</v>
      </c>
      <c r="D28" s="32">
        <v>7.0</v>
      </c>
      <c r="E28" s="37">
        <v>1.0</v>
      </c>
      <c r="F28" s="39">
        <v>4.0</v>
      </c>
      <c r="G28" s="40">
        <v>0.0</v>
      </c>
      <c r="H28" s="39">
        <v>2.0</v>
      </c>
      <c r="I28" s="39">
        <v>6.0</v>
      </c>
      <c r="J28" s="39">
        <v>3.0</v>
      </c>
      <c r="K28" s="42">
        <v>11.0</v>
      </c>
      <c r="L28" s="39">
        <v>1.0</v>
      </c>
      <c r="M28" s="32">
        <f t="shared" ref="M28:N28" si="26">C28+K28</f>
        <v>132</v>
      </c>
      <c r="N28" s="32">
        <f t="shared" si="26"/>
        <v>8</v>
      </c>
      <c r="O28" s="43" t="s">
        <v>53</v>
      </c>
      <c r="P28" s="43" t="s">
        <v>53</v>
      </c>
      <c r="Q28" s="43" t="s">
        <v>53</v>
      </c>
      <c r="R28" s="39">
        <f>if(G28=13,1,0)+VLOOKUP(B28,'090724'!B:T,17,false)</f>
        <v>0</v>
      </c>
      <c r="S28" s="39"/>
      <c r="T28" s="39">
        <f>if(G28=9,1,0)+VLOOKUP(B28,'090724'!B:T,19,false)</f>
        <v>4</v>
      </c>
      <c r="U28" s="39">
        <f>VLOOKUP(B28,'090724'!B$5:V$70,21,false)-A28</f>
        <v>-5</v>
      </c>
      <c r="V28" s="30">
        <f t="shared" si="5"/>
        <v>24</v>
      </c>
    </row>
    <row r="29">
      <c r="A29" s="30">
        <f t="shared" si="3"/>
        <v>25</v>
      </c>
      <c r="B29" s="31" t="s">
        <v>66</v>
      </c>
      <c r="C29" s="32">
        <v>121.0</v>
      </c>
      <c r="D29" s="32">
        <v>7.0</v>
      </c>
      <c r="E29" s="37">
        <v>2.0</v>
      </c>
      <c r="F29" s="39">
        <v>4.0</v>
      </c>
      <c r="G29" s="40">
        <v>0.0</v>
      </c>
      <c r="H29" s="39">
        <v>6.0</v>
      </c>
      <c r="I29" s="39">
        <v>1.0</v>
      </c>
      <c r="J29" s="39">
        <v>3.0</v>
      </c>
      <c r="K29" s="42">
        <v>10.0</v>
      </c>
      <c r="L29" s="39">
        <v>1.0</v>
      </c>
      <c r="M29" s="32">
        <f t="shared" ref="M29:N29" si="27">C29+K29</f>
        <v>131</v>
      </c>
      <c r="N29" s="32">
        <f t="shared" si="27"/>
        <v>8</v>
      </c>
      <c r="O29" s="43" t="s">
        <v>53</v>
      </c>
      <c r="P29" s="43" t="s">
        <v>53</v>
      </c>
      <c r="Q29" s="43" t="s">
        <v>53</v>
      </c>
      <c r="R29" s="39">
        <f>if(G29=13,1,0)+VLOOKUP(B29,'090724'!B:T,17,false)</f>
        <v>2</v>
      </c>
      <c r="S29" s="39"/>
      <c r="T29" s="39">
        <f>if(G29=9,1,0)+VLOOKUP(B29,'090724'!B:T,19,false)</f>
        <v>3</v>
      </c>
      <c r="U29" s="39">
        <f>VLOOKUP(B29,'090724'!B$5:V$70,21,false)-A29</f>
        <v>1</v>
      </c>
      <c r="V29" s="30">
        <f t="shared" si="5"/>
        <v>25</v>
      </c>
    </row>
    <row r="30">
      <c r="A30" s="30">
        <f t="shared" si="3"/>
        <v>26</v>
      </c>
      <c r="B30" s="31" t="s">
        <v>96</v>
      </c>
      <c r="C30" s="32">
        <v>120.0</v>
      </c>
      <c r="D30" s="32">
        <v>11.0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8">C30+K30</f>
        <v>129</v>
      </c>
      <c r="N30" s="32">
        <f t="shared" si="28"/>
        <v>11</v>
      </c>
      <c r="O30" s="43" t="s">
        <v>53</v>
      </c>
      <c r="P30" s="43" t="s">
        <v>53</v>
      </c>
      <c r="Q30" s="43" t="s">
        <v>53</v>
      </c>
      <c r="R30" s="39">
        <f>if(G30=13,1,0)+VLOOKUP(B30,'090724'!B:T,17,false)</f>
        <v>1</v>
      </c>
      <c r="S30" s="39"/>
      <c r="T30" s="39">
        <f>if(G30=9,1,0)+VLOOKUP(B30,'090724'!B:T,19,false)</f>
        <v>5</v>
      </c>
      <c r="U30" s="39">
        <f>VLOOKUP(B30,'090724'!B$5:V$70,21,false)-A30</f>
        <v>-6</v>
      </c>
      <c r="V30" s="30">
        <f t="shared" si="5"/>
        <v>26</v>
      </c>
    </row>
    <row r="31">
      <c r="A31" s="30">
        <f t="shared" si="3"/>
        <v>27</v>
      </c>
      <c r="B31" s="51" t="s">
        <v>111</v>
      </c>
      <c r="C31" s="32">
        <v>117.0</v>
      </c>
      <c r="D31" s="32">
        <v>7.0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9">C31+K31</f>
        <v>126</v>
      </c>
      <c r="N31" s="32">
        <f t="shared" si="29"/>
        <v>7</v>
      </c>
      <c r="O31" s="43" t="s">
        <v>53</v>
      </c>
      <c r="P31" s="43" t="s">
        <v>53</v>
      </c>
      <c r="Q31" s="43" t="s">
        <v>53</v>
      </c>
      <c r="R31" s="39">
        <f>if(G31=13,1,0)+VLOOKUP(B31,'090724'!B:T,17,false)</f>
        <v>0</v>
      </c>
      <c r="S31" s="39"/>
      <c r="T31" s="39">
        <f>if(G31=9,1,0)+VLOOKUP(B31,'090724'!B:T,19,false)</f>
        <v>6</v>
      </c>
      <c r="U31" s="39">
        <f>VLOOKUP(B31,'090724'!B$5:V$70,21,false)-A31</f>
        <v>-3</v>
      </c>
      <c r="V31" s="30">
        <f t="shared" si="5"/>
        <v>27</v>
      </c>
    </row>
    <row r="32">
      <c r="A32" s="30">
        <f t="shared" si="3"/>
        <v>28</v>
      </c>
      <c r="B32" s="31" t="s">
        <v>82</v>
      </c>
      <c r="C32" s="32">
        <v>116.0</v>
      </c>
      <c r="D32" s="32">
        <v>7.0</v>
      </c>
      <c r="E32" s="37">
        <v>1.0</v>
      </c>
      <c r="F32" s="39">
        <v>5.0</v>
      </c>
      <c r="G32" s="40">
        <v>0.0</v>
      </c>
      <c r="H32" s="39">
        <v>6.0</v>
      </c>
      <c r="I32" s="39">
        <v>6.0</v>
      </c>
      <c r="J32" s="39">
        <v>6.0</v>
      </c>
      <c r="K32" s="42">
        <v>18.0</v>
      </c>
      <c r="L32" s="39">
        <v>3.0</v>
      </c>
      <c r="M32" s="32">
        <f t="shared" ref="M32:N32" si="30">C32+K32</f>
        <v>134</v>
      </c>
      <c r="N32" s="32">
        <f t="shared" si="30"/>
        <v>10</v>
      </c>
      <c r="O32" s="43" t="s">
        <v>53</v>
      </c>
      <c r="P32" s="43" t="s">
        <v>53</v>
      </c>
      <c r="Q32" s="43" t="s">
        <v>53</v>
      </c>
      <c r="R32" s="39">
        <f>if(G32=13,1,0)+VLOOKUP(B32,'090724'!B:T,17,false)</f>
        <v>1</v>
      </c>
      <c r="S32" s="39"/>
      <c r="T32" s="39">
        <f>if(G32=9,1,0)+VLOOKUP(B32,'090724'!B:T,19,false)</f>
        <v>6</v>
      </c>
      <c r="U32" s="39">
        <f>VLOOKUP(B32,'090724'!B$5:V$70,21,false)-A32</f>
        <v>-3</v>
      </c>
      <c r="V32" s="30">
        <f t="shared" si="5"/>
        <v>28</v>
      </c>
    </row>
    <row r="33">
      <c r="A33" s="30">
        <f t="shared" si="3"/>
        <v>29</v>
      </c>
      <c r="B33" s="31" t="s">
        <v>89</v>
      </c>
      <c r="C33" s="32">
        <v>114.0</v>
      </c>
      <c r="D33" s="32">
        <v>4.0</v>
      </c>
      <c r="E33" s="37">
        <v>5.0</v>
      </c>
      <c r="F33" s="39">
        <v>0.0</v>
      </c>
      <c r="G33" s="40">
        <v>13.0</v>
      </c>
      <c r="H33" s="39">
        <v>0.0</v>
      </c>
      <c r="I33" s="39">
        <v>0.0</v>
      </c>
      <c r="J33" s="39">
        <v>0.0</v>
      </c>
      <c r="K33" s="42">
        <v>13.0</v>
      </c>
      <c r="L33" s="39">
        <v>0.0</v>
      </c>
      <c r="M33" s="32">
        <f t="shared" ref="M33:N33" si="31">C33+K33</f>
        <v>127</v>
      </c>
      <c r="N33" s="32">
        <f t="shared" si="31"/>
        <v>4</v>
      </c>
      <c r="O33" s="43" t="s">
        <v>53</v>
      </c>
      <c r="P33" s="43" t="s">
        <v>53</v>
      </c>
      <c r="Q33" s="43" t="s">
        <v>53</v>
      </c>
      <c r="R33" s="39">
        <f>if(G33=13,1,0)+VLOOKUP(B33,'090724'!B:T,17,false)</f>
        <v>4</v>
      </c>
      <c r="S33" s="39"/>
      <c r="T33" s="39">
        <f>if(G33=9,1,0)+VLOOKUP(B33,'090724'!B:T,19,false)</f>
        <v>5</v>
      </c>
      <c r="U33" s="39">
        <f>VLOOKUP(B33,'090724'!B$5:V$70,21,false)-A33</f>
        <v>-2</v>
      </c>
      <c r="V33" s="30">
        <f t="shared" si="5"/>
        <v>29</v>
      </c>
    </row>
    <row r="34">
      <c r="A34" s="30">
        <f t="shared" si="3"/>
        <v>30</v>
      </c>
      <c r="B34" s="51" t="s">
        <v>104</v>
      </c>
      <c r="C34" s="32">
        <v>113.0</v>
      </c>
      <c r="D34" s="32">
        <v>11.0</v>
      </c>
      <c r="E34" s="37">
        <v>1.0</v>
      </c>
      <c r="F34" s="39">
        <v>5.0</v>
      </c>
      <c r="G34" s="40">
        <v>0.0</v>
      </c>
      <c r="H34" s="39">
        <v>3.0</v>
      </c>
      <c r="I34" s="39">
        <v>2.0</v>
      </c>
      <c r="J34" s="39">
        <v>6.0</v>
      </c>
      <c r="K34" s="42">
        <v>11.0</v>
      </c>
      <c r="L34" s="39">
        <v>1.0</v>
      </c>
      <c r="M34" s="32">
        <f t="shared" ref="M34:N34" si="32">C34+K34</f>
        <v>124</v>
      </c>
      <c r="N34" s="32">
        <f t="shared" si="32"/>
        <v>12</v>
      </c>
      <c r="O34" s="43" t="s">
        <v>53</v>
      </c>
      <c r="P34" s="43" t="s">
        <v>53</v>
      </c>
      <c r="Q34" s="43" t="s">
        <v>53</v>
      </c>
      <c r="R34" s="39">
        <f>if(G34=13,1,0)+VLOOKUP(B34,'090724'!B:T,17,false)</f>
        <v>0</v>
      </c>
      <c r="S34" s="39"/>
      <c r="T34" s="39">
        <f>if(G34=9,1,0)+VLOOKUP(B34,'090724'!B:T,19,false)</f>
        <v>0</v>
      </c>
      <c r="U34" s="39">
        <f>VLOOKUP(B34,'090724'!B$5:V$70,21,false)-A34</f>
        <v>2</v>
      </c>
      <c r="V34" s="30">
        <f t="shared" si="5"/>
        <v>30</v>
      </c>
    </row>
    <row r="35">
      <c r="A35" s="30">
        <f t="shared" si="3"/>
        <v>31</v>
      </c>
      <c r="B35" s="31" t="s">
        <v>73</v>
      </c>
      <c r="C35" s="32">
        <v>113.0</v>
      </c>
      <c r="D35" s="32">
        <v>6.0</v>
      </c>
      <c r="E35" s="37">
        <v>3.0</v>
      </c>
      <c r="F35" s="39">
        <v>0.0</v>
      </c>
      <c r="G35" s="40">
        <v>9.0</v>
      </c>
      <c r="H35" s="39">
        <v>0.0</v>
      </c>
      <c r="I35" s="39">
        <v>0.0</v>
      </c>
      <c r="J35" s="39">
        <v>0.0</v>
      </c>
      <c r="K35" s="42">
        <v>9.0</v>
      </c>
      <c r="L35" s="39">
        <v>0.0</v>
      </c>
      <c r="M35" s="32">
        <f t="shared" ref="M35:N35" si="33">C35+K35</f>
        <v>122</v>
      </c>
      <c r="N35" s="32">
        <f t="shared" si="33"/>
        <v>6</v>
      </c>
      <c r="O35" s="43" t="s">
        <v>53</v>
      </c>
      <c r="P35" s="43" t="s">
        <v>53</v>
      </c>
      <c r="Q35" s="43" t="s">
        <v>53</v>
      </c>
      <c r="R35" s="39">
        <f>if(G35=13,1,0)+VLOOKUP(B35,'090724'!B:T,17,false)</f>
        <v>2</v>
      </c>
      <c r="S35" s="39"/>
      <c r="T35" s="39">
        <f>if(G35=9,1,0)+VLOOKUP(B35,'090724'!B:T,19,false)</f>
        <v>5</v>
      </c>
      <c r="U35" s="39">
        <f>VLOOKUP(B35,'090724'!B$5:V$70,21,false)-A35</f>
        <v>-2</v>
      </c>
      <c r="V35" s="30">
        <f t="shared" si="5"/>
        <v>31</v>
      </c>
    </row>
    <row r="36">
      <c r="A36" s="30">
        <f t="shared" si="3"/>
        <v>32</v>
      </c>
      <c r="B36" s="56" t="s">
        <v>110</v>
      </c>
      <c r="C36" s="32">
        <v>112.0</v>
      </c>
      <c r="D36" s="32">
        <v>5.0</v>
      </c>
      <c r="E36" s="37">
        <v>5.0</v>
      </c>
      <c r="F36" s="39">
        <v>0.0</v>
      </c>
      <c r="G36" s="40">
        <v>13.0</v>
      </c>
      <c r="H36" s="39">
        <v>0.0</v>
      </c>
      <c r="I36" s="39">
        <v>0.0</v>
      </c>
      <c r="J36" s="39">
        <v>0.0</v>
      </c>
      <c r="K36" s="42">
        <v>13.0</v>
      </c>
      <c r="L36" s="39">
        <v>0.0</v>
      </c>
      <c r="M36" s="32">
        <f t="shared" ref="M36:N36" si="34">C36+K36</f>
        <v>125</v>
      </c>
      <c r="N36" s="32">
        <f t="shared" si="34"/>
        <v>5</v>
      </c>
      <c r="O36" s="43" t="s">
        <v>53</v>
      </c>
      <c r="P36" s="43" t="s">
        <v>53</v>
      </c>
      <c r="Q36" s="43" t="s">
        <v>53</v>
      </c>
      <c r="R36" s="39">
        <f>if(G36=13,1,0)+VLOOKUP(B36,'090724'!B:T,17,false)</f>
        <v>3</v>
      </c>
      <c r="S36" s="39"/>
      <c r="T36" s="39">
        <f>if(G36=9,1,0)+VLOOKUP(B36,'090724'!B:T,19,false)</f>
        <v>3</v>
      </c>
      <c r="U36" s="39">
        <f>VLOOKUP(B36,'090724'!B$5:V$70,21,false)-A36</f>
        <v>-1</v>
      </c>
      <c r="V36" s="30">
        <f t="shared" si="5"/>
        <v>32</v>
      </c>
    </row>
    <row r="37">
      <c r="A37" s="30">
        <f t="shared" si="3"/>
        <v>33</v>
      </c>
      <c r="B37" s="56" t="s">
        <v>107</v>
      </c>
      <c r="C37" s="32">
        <v>111.0</v>
      </c>
      <c r="D37" s="32">
        <v>10.0</v>
      </c>
      <c r="E37" s="37">
        <v>1.0</v>
      </c>
      <c r="F37" s="39">
        <v>5.0</v>
      </c>
      <c r="G37" s="40">
        <v>0.0</v>
      </c>
      <c r="H37" s="39">
        <v>6.0</v>
      </c>
      <c r="I37" s="39">
        <v>2.0</v>
      </c>
      <c r="J37" s="39">
        <v>1.0</v>
      </c>
      <c r="K37" s="42">
        <v>9.0</v>
      </c>
      <c r="L37" s="39">
        <v>1.0</v>
      </c>
      <c r="M37" s="32">
        <f t="shared" ref="M37:N37" si="35">C37+K37</f>
        <v>120</v>
      </c>
      <c r="N37" s="32">
        <f t="shared" si="35"/>
        <v>11</v>
      </c>
      <c r="O37" s="43" t="s">
        <v>53</v>
      </c>
      <c r="P37" s="43" t="s">
        <v>53</v>
      </c>
      <c r="Q37" s="43" t="s">
        <v>53</v>
      </c>
      <c r="R37" s="39">
        <f>if(G37=13,1,0)+VLOOKUP(B37,'090724'!B:T,17,false)</f>
        <v>0</v>
      </c>
      <c r="S37" s="39"/>
      <c r="T37" s="39">
        <f>if(G37=9,1,0)+VLOOKUP(B37,'090724'!B:T,19,false)</f>
        <v>3</v>
      </c>
      <c r="U37" s="39">
        <f>VLOOKUP(B37,'090724'!B$5:V$70,21,false)-A37</f>
        <v>12</v>
      </c>
      <c r="V37" s="30">
        <f t="shared" si="5"/>
        <v>33</v>
      </c>
    </row>
    <row r="38">
      <c r="A38" s="30">
        <f t="shared" si="3"/>
        <v>34</v>
      </c>
      <c r="B38" s="51" t="s">
        <v>103</v>
      </c>
      <c r="C38" s="32">
        <v>111.0</v>
      </c>
      <c r="D38" s="32">
        <v>6.0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6">C38+K38</f>
        <v>120</v>
      </c>
      <c r="N38" s="32">
        <f t="shared" si="36"/>
        <v>6</v>
      </c>
      <c r="O38" s="43" t="s">
        <v>53</v>
      </c>
      <c r="P38" s="43" t="s">
        <v>53</v>
      </c>
      <c r="Q38" s="43" t="s">
        <v>53</v>
      </c>
      <c r="R38" s="39">
        <f>if(G38=13,1,0)+VLOOKUP(B38,'090724'!B:T,17,false)</f>
        <v>1</v>
      </c>
      <c r="S38" s="39"/>
      <c r="T38" s="39">
        <f>if(G38=9,1,0)+VLOOKUP(B38,'090724'!B:T,19,false)</f>
        <v>6</v>
      </c>
      <c r="U38" s="39">
        <f>VLOOKUP(B38,'090724'!B$5:V$70,21,false)-A38</f>
        <v>-1</v>
      </c>
      <c r="V38" s="30">
        <f t="shared" si="5"/>
        <v>34</v>
      </c>
    </row>
    <row r="39">
      <c r="A39" s="30">
        <f t="shared" si="3"/>
        <v>35</v>
      </c>
      <c r="B39" s="51" t="s">
        <v>116</v>
      </c>
      <c r="C39" s="32">
        <v>111.0</v>
      </c>
      <c r="D39" s="32">
        <v>6.0</v>
      </c>
      <c r="E39" s="37">
        <v>1.0</v>
      </c>
      <c r="F39" s="39">
        <v>5.0</v>
      </c>
      <c r="G39" s="40">
        <v>0.0</v>
      </c>
      <c r="H39" s="39">
        <v>3.0</v>
      </c>
      <c r="I39" s="39">
        <v>6.0</v>
      </c>
      <c r="J39" s="39">
        <v>1.0</v>
      </c>
      <c r="K39" s="42">
        <v>10.0</v>
      </c>
      <c r="L39" s="39">
        <v>1.0</v>
      </c>
      <c r="M39" s="32">
        <f t="shared" ref="M39:N39" si="37">C39+K39</f>
        <v>121</v>
      </c>
      <c r="N39" s="32">
        <f t="shared" si="37"/>
        <v>7</v>
      </c>
      <c r="O39" s="43" t="s">
        <v>53</v>
      </c>
      <c r="P39" s="43" t="s">
        <v>53</v>
      </c>
      <c r="Q39" s="43" t="s">
        <v>53</v>
      </c>
      <c r="R39" s="39">
        <f>if(G39=13,1,0)+VLOOKUP(B39,'090724'!B:T,17,false)</f>
        <v>1</v>
      </c>
      <c r="S39" s="39"/>
      <c r="T39" s="39">
        <f>if(G39=9,1,0)+VLOOKUP(B39,'090724'!B:T,19,false)</f>
        <v>3</v>
      </c>
      <c r="U39" s="39">
        <f>VLOOKUP(B39,'090724'!B$5:V$70,21,false)-A39</f>
        <v>11</v>
      </c>
      <c r="V39" s="30">
        <f t="shared" si="5"/>
        <v>35</v>
      </c>
    </row>
    <row r="40">
      <c r="A40" s="30">
        <f t="shared" si="3"/>
        <v>36</v>
      </c>
      <c r="B40" s="51" t="s">
        <v>114</v>
      </c>
      <c r="C40" s="32">
        <v>110.0</v>
      </c>
      <c r="D40" s="32">
        <v>7.0</v>
      </c>
      <c r="E40" s="37">
        <v>3.0</v>
      </c>
      <c r="F40" s="39">
        <v>0.0</v>
      </c>
      <c r="G40" s="40">
        <v>9.0</v>
      </c>
      <c r="H40" s="39">
        <v>0.0</v>
      </c>
      <c r="I40" s="39">
        <v>0.0</v>
      </c>
      <c r="J40" s="39">
        <v>0.0</v>
      </c>
      <c r="K40" s="42">
        <v>9.0</v>
      </c>
      <c r="L40" s="39">
        <v>0.0</v>
      </c>
      <c r="M40" s="32">
        <f t="shared" ref="M40:N40" si="38">C40+K40</f>
        <v>119</v>
      </c>
      <c r="N40" s="32">
        <f t="shared" si="38"/>
        <v>7</v>
      </c>
      <c r="O40" s="43" t="s">
        <v>53</v>
      </c>
      <c r="P40" s="43" t="s">
        <v>53</v>
      </c>
      <c r="Q40" s="43" t="s">
        <v>53</v>
      </c>
      <c r="R40" s="39">
        <f>if(G40=13,1,0)+VLOOKUP(B40,'090724'!B:T,17,false)</f>
        <v>2</v>
      </c>
      <c r="S40" s="39"/>
      <c r="T40" s="39">
        <f>if(G40=9,1,0)+VLOOKUP(B40,'090724'!B:T,19,false)</f>
        <v>3</v>
      </c>
      <c r="U40" s="39">
        <f>VLOOKUP(B40,'090724'!B$5:V$70,21,false)-A40</f>
        <v>-2</v>
      </c>
      <c r="V40" s="30">
        <f t="shared" si="5"/>
        <v>36</v>
      </c>
    </row>
    <row r="41">
      <c r="A41" s="30">
        <f t="shared" si="3"/>
        <v>37</v>
      </c>
      <c r="B41" s="31" t="s">
        <v>46</v>
      </c>
      <c r="C41" s="32">
        <v>110.0</v>
      </c>
      <c r="D41" s="32">
        <v>6.0</v>
      </c>
      <c r="E41" s="37">
        <v>1.0</v>
      </c>
      <c r="F41" s="39">
        <v>6.0</v>
      </c>
      <c r="G41" s="40">
        <v>0.0</v>
      </c>
      <c r="H41" s="39">
        <v>6.0</v>
      </c>
      <c r="I41" s="39">
        <v>6.0</v>
      </c>
      <c r="J41" s="39">
        <v>3.0</v>
      </c>
      <c r="K41" s="42">
        <v>15.0</v>
      </c>
      <c r="L41" s="39">
        <v>2.0</v>
      </c>
      <c r="M41" s="32">
        <f t="shared" ref="M41:N41" si="39">C41+K41</f>
        <v>125</v>
      </c>
      <c r="N41" s="32">
        <f t="shared" si="39"/>
        <v>8</v>
      </c>
      <c r="O41" s="43" t="s">
        <v>53</v>
      </c>
      <c r="P41" s="43" t="s">
        <v>53</v>
      </c>
      <c r="Q41" s="43" t="s">
        <v>53</v>
      </c>
      <c r="R41" s="39">
        <f>if(G41=13,1,0)+VLOOKUP(B41,'090724'!B:T,17,false)</f>
        <v>0</v>
      </c>
      <c r="S41" s="39"/>
      <c r="T41" s="39">
        <f>if(G41=9,1,0)+VLOOKUP(B41,'090724'!B:T,19,false)</f>
        <v>5</v>
      </c>
      <c r="U41" s="39">
        <f>VLOOKUP(B41,'090724'!B$5:V$70,21,false)-A41</f>
        <v>6</v>
      </c>
      <c r="V41" s="30">
        <f t="shared" si="5"/>
        <v>37</v>
      </c>
    </row>
    <row r="42">
      <c r="A42" s="30">
        <f t="shared" si="3"/>
        <v>38</v>
      </c>
      <c r="B42" s="51" t="s">
        <v>76</v>
      </c>
      <c r="C42" s="32">
        <v>108.0</v>
      </c>
      <c r="D42" s="32">
        <v>8.0</v>
      </c>
      <c r="E42" s="37">
        <v>1.0</v>
      </c>
      <c r="F42" s="39">
        <v>6.0</v>
      </c>
      <c r="G42" s="40">
        <v>0.0</v>
      </c>
      <c r="H42" s="39">
        <v>6.0</v>
      </c>
      <c r="I42" s="39">
        <v>0.0</v>
      </c>
      <c r="J42" s="39">
        <v>6.0</v>
      </c>
      <c r="K42" s="42">
        <v>12.0</v>
      </c>
      <c r="L42" s="39">
        <v>2.0</v>
      </c>
      <c r="M42" s="32">
        <f t="shared" ref="M42:N42" si="40">C42+K42</f>
        <v>120</v>
      </c>
      <c r="N42" s="32">
        <f t="shared" si="40"/>
        <v>10</v>
      </c>
      <c r="O42" s="43" t="s">
        <v>53</v>
      </c>
      <c r="P42" s="43" t="s">
        <v>53</v>
      </c>
      <c r="Q42" s="43" t="s">
        <v>53</v>
      </c>
      <c r="R42" s="39">
        <f>if(G42=13,1,0)+VLOOKUP(B42,'090724'!B:T,17,false)</f>
        <v>0</v>
      </c>
      <c r="S42" s="39"/>
      <c r="T42" s="39">
        <f>if(G42=9,1,0)+VLOOKUP(B42,'090724'!B:T,19,false)</f>
        <v>4</v>
      </c>
      <c r="U42" s="39">
        <f>VLOOKUP(B42,'090724'!B$5:V$70,21,false)-A42</f>
        <v>-2</v>
      </c>
      <c r="V42" s="30">
        <f t="shared" si="5"/>
        <v>38</v>
      </c>
    </row>
    <row r="43">
      <c r="A43" s="30">
        <f t="shared" si="3"/>
        <v>39</v>
      </c>
      <c r="B43" s="31" t="s">
        <v>97</v>
      </c>
      <c r="C43" s="32">
        <v>108.0</v>
      </c>
      <c r="D43" s="32">
        <v>4.0</v>
      </c>
      <c r="E43" s="37">
        <v>1.0</v>
      </c>
      <c r="F43" s="39">
        <v>6.0</v>
      </c>
      <c r="G43" s="40">
        <v>0.0</v>
      </c>
      <c r="H43" s="39">
        <v>1.0</v>
      </c>
      <c r="I43" s="39">
        <v>6.0</v>
      </c>
      <c r="J43" s="39">
        <v>6.0</v>
      </c>
      <c r="K43" s="42">
        <v>13.0</v>
      </c>
      <c r="L43" s="39">
        <v>2.0</v>
      </c>
      <c r="M43" s="32">
        <f t="shared" ref="M43:N43" si="41">C43+K43</f>
        <v>121</v>
      </c>
      <c r="N43" s="32">
        <f t="shared" si="41"/>
        <v>6</v>
      </c>
      <c r="O43" s="43" t="s">
        <v>53</v>
      </c>
      <c r="P43" s="43" t="s">
        <v>53</v>
      </c>
      <c r="Q43" s="43" t="s">
        <v>53</v>
      </c>
      <c r="R43" s="39">
        <f>if(G43=13,1,0)+VLOOKUP(B43,'090724'!B:T,17,false)</f>
        <v>1</v>
      </c>
      <c r="S43" s="39"/>
      <c r="T43" s="39">
        <f>if(G43=9,1,0)+VLOOKUP(B43,'090724'!B:T,19,false)</f>
        <v>6</v>
      </c>
      <c r="U43" s="39">
        <f>VLOOKUP(B43,'090724'!B$5:V$70,21,false)-A43</f>
        <v>-4</v>
      </c>
      <c r="V43" s="30">
        <f t="shared" si="5"/>
        <v>39</v>
      </c>
    </row>
    <row r="44">
      <c r="A44" s="30">
        <f t="shared" si="3"/>
        <v>40</v>
      </c>
      <c r="B44" s="31" t="s">
        <v>109</v>
      </c>
      <c r="C44" s="32">
        <v>107.0</v>
      </c>
      <c r="D44" s="32">
        <v>2.0</v>
      </c>
      <c r="E44" s="37">
        <v>5.0</v>
      </c>
      <c r="F44" s="39">
        <v>0.0</v>
      </c>
      <c r="G44" s="40">
        <v>13.0</v>
      </c>
      <c r="H44" s="39">
        <v>0.0</v>
      </c>
      <c r="I44" s="39">
        <v>0.0</v>
      </c>
      <c r="J44" s="39">
        <v>0.0</v>
      </c>
      <c r="K44" s="42">
        <v>13.0</v>
      </c>
      <c r="L44" s="39">
        <v>0.0</v>
      </c>
      <c r="M44" s="32">
        <f t="shared" ref="M44:N44" si="42">C44+K44</f>
        <v>120</v>
      </c>
      <c r="N44" s="32">
        <f t="shared" si="42"/>
        <v>2</v>
      </c>
      <c r="O44" s="43" t="s">
        <v>53</v>
      </c>
      <c r="P44" s="43" t="s">
        <v>53</v>
      </c>
      <c r="Q44" s="43" t="s">
        <v>53</v>
      </c>
      <c r="R44" s="39">
        <f>if(G44=13,1,0)+VLOOKUP(B44,'090724'!B:T,17,false)</f>
        <v>3</v>
      </c>
      <c r="S44" s="39"/>
      <c r="T44" s="39">
        <f>if(G44=9,1,0)+VLOOKUP(B44,'090724'!B:T,19,false)</f>
        <v>7</v>
      </c>
      <c r="U44" s="39">
        <f>VLOOKUP(B44,'090724'!B$5:V$70,21,false)-A44</f>
        <v>13</v>
      </c>
      <c r="V44" s="30">
        <f t="shared" si="5"/>
        <v>40</v>
      </c>
    </row>
    <row r="45">
      <c r="A45" s="30">
        <f t="shared" si="3"/>
        <v>41</v>
      </c>
      <c r="B45" s="56" t="s">
        <v>115</v>
      </c>
      <c r="C45" s="32">
        <v>106.0</v>
      </c>
      <c r="D45" s="32">
        <v>7.0</v>
      </c>
      <c r="E45" s="37">
        <v>1.0</v>
      </c>
      <c r="F45" s="39">
        <v>6.0</v>
      </c>
      <c r="G45" s="40">
        <v>0.0</v>
      </c>
      <c r="H45" s="39">
        <v>1.0</v>
      </c>
      <c r="I45" s="39">
        <v>0.0</v>
      </c>
      <c r="J45" s="39">
        <v>3.0</v>
      </c>
      <c r="K45" s="42">
        <v>4.0</v>
      </c>
      <c r="L45" s="39">
        <v>0.0</v>
      </c>
      <c r="M45" s="32">
        <f t="shared" ref="M45:N45" si="43">C45+K45</f>
        <v>110</v>
      </c>
      <c r="N45" s="32">
        <f t="shared" si="43"/>
        <v>7</v>
      </c>
      <c r="O45" s="43" t="s">
        <v>53</v>
      </c>
      <c r="P45" s="43" t="s">
        <v>53</v>
      </c>
      <c r="Q45" s="43" t="s">
        <v>53</v>
      </c>
      <c r="R45" s="39">
        <f>if(G45=13,1,0)+VLOOKUP(B45,'090724'!B:T,17,false)</f>
        <v>0</v>
      </c>
      <c r="S45" s="39"/>
      <c r="T45" s="39">
        <f>if(G45=9,1,0)+VLOOKUP(B45,'090724'!B:T,19,false)</f>
        <v>1</v>
      </c>
      <c r="U45" s="39">
        <f>VLOOKUP(B45,'090724'!B$5:V$70,21,false)-A45</f>
        <v>6</v>
      </c>
      <c r="V45" s="30">
        <f t="shared" si="5"/>
        <v>41</v>
      </c>
    </row>
    <row r="46">
      <c r="A46" s="30">
        <f t="shared" si="3"/>
        <v>42</v>
      </c>
      <c r="B46" s="78" t="s">
        <v>99</v>
      </c>
      <c r="C46" s="32">
        <v>106.0</v>
      </c>
      <c r="D46" s="32">
        <v>5.0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4">C46+K46</f>
        <v>115</v>
      </c>
      <c r="N46" s="32">
        <f t="shared" si="44"/>
        <v>5</v>
      </c>
      <c r="O46" s="43" t="s">
        <v>53</v>
      </c>
      <c r="P46" s="43"/>
      <c r="Q46" s="43" t="s">
        <v>53</v>
      </c>
      <c r="R46" s="39">
        <f>if(G46=13,1,0)+VLOOKUP(B46,'090724'!B:T,17,false)</f>
        <v>0</v>
      </c>
      <c r="S46" s="39"/>
      <c r="T46" s="39">
        <f>if(G46=9,1,0)+VLOOKUP(B46,'090724'!B:T,19,false)</f>
        <v>3</v>
      </c>
      <c r="U46" s="39">
        <f>VLOOKUP(B46,'090724'!B$5:V$70,21,false)-A46</f>
        <v>-5</v>
      </c>
      <c r="V46" s="30">
        <f t="shared" si="5"/>
        <v>42</v>
      </c>
    </row>
    <row r="47">
      <c r="A47" s="30">
        <f t="shared" si="3"/>
        <v>43</v>
      </c>
      <c r="B47" s="31" t="s">
        <v>79</v>
      </c>
      <c r="C47" s="32">
        <v>105.0</v>
      </c>
      <c r="D47" s="32">
        <v>3.0</v>
      </c>
      <c r="E47" s="37">
        <v>1.0</v>
      </c>
      <c r="F47" s="39">
        <v>7.0</v>
      </c>
      <c r="G47" s="40">
        <v>0.0</v>
      </c>
      <c r="H47" s="39">
        <v>6.0</v>
      </c>
      <c r="I47" s="39">
        <v>1.0</v>
      </c>
      <c r="J47" s="39">
        <v>4.0</v>
      </c>
      <c r="K47" s="42">
        <v>11.0</v>
      </c>
      <c r="L47" s="39">
        <v>1.0</v>
      </c>
      <c r="M47" s="32">
        <f t="shared" ref="M47:N47" si="45">C47+K47</f>
        <v>116</v>
      </c>
      <c r="N47" s="32">
        <f t="shared" si="45"/>
        <v>4</v>
      </c>
      <c r="O47" s="43" t="s">
        <v>53</v>
      </c>
      <c r="P47" s="43" t="s">
        <v>53</v>
      </c>
      <c r="Q47" s="43" t="s">
        <v>53</v>
      </c>
      <c r="R47" s="39">
        <f>if(G47=13,1,0)+VLOOKUP(B47,'090724'!B:T,17,false)</f>
        <v>2</v>
      </c>
      <c r="S47" s="39"/>
      <c r="T47" s="39">
        <f>if(G47=9,1,0)+VLOOKUP(B47,'090724'!B:T,19,false)</f>
        <v>6</v>
      </c>
      <c r="U47" s="39">
        <f>VLOOKUP(B47,'090724'!B$5:V$70,21,false)-A47</f>
        <v>-5</v>
      </c>
      <c r="V47" s="30">
        <f t="shared" si="5"/>
        <v>43</v>
      </c>
    </row>
    <row r="48">
      <c r="A48" s="30">
        <f t="shared" si="3"/>
        <v>44</v>
      </c>
      <c r="B48" s="31" t="s">
        <v>119</v>
      </c>
      <c r="C48" s="32">
        <v>103.0</v>
      </c>
      <c r="D48" s="32">
        <v>4.0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6">C48+K48</f>
        <v>112</v>
      </c>
      <c r="N48" s="32">
        <f t="shared" si="46"/>
        <v>4</v>
      </c>
      <c r="O48" s="43" t="s">
        <v>53</v>
      </c>
      <c r="P48" s="43" t="s">
        <v>53</v>
      </c>
      <c r="Q48" s="43" t="s">
        <v>53</v>
      </c>
      <c r="R48" s="39">
        <f>if(G48=13,1,0)+VLOOKUP(B48,'090724'!B:T,17,false)</f>
        <v>0</v>
      </c>
      <c r="S48" s="39"/>
      <c r="T48" s="39">
        <f>if(G48=9,1,0)+VLOOKUP(B48,'090724'!B:T,19,false)</f>
        <v>9</v>
      </c>
      <c r="U48" s="39">
        <f>VLOOKUP(B48,'090724'!B$5:V$70,21,false)-A48</f>
        <v>-5</v>
      </c>
      <c r="V48" s="30">
        <f t="shared" si="5"/>
        <v>44</v>
      </c>
    </row>
    <row r="49">
      <c r="A49" s="30">
        <f t="shared" si="3"/>
        <v>45</v>
      </c>
      <c r="B49" s="31" t="s">
        <v>120</v>
      </c>
      <c r="C49" s="32">
        <v>103.0</v>
      </c>
      <c r="D49" s="32">
        <v>4.0</v>
      </c>
      <c r="E49" s="37">
        <v>3.0</v>
      </c>
      <c r="F49" s="39">
        <v>0.0</v>
      </c>
      <c r="G49" s="40">
        <v>9.0</v>
      </c>
      <c r="H49" s="39">
        <v>0.0</v>
      </c>
      <c r="I49" s="39">
        <v>0.0</v>
      </c>
      <c r="J49" s="39">
        <v>0.0</v>
      </c>
      <c r="K49" s="42">
        <v>9.0</v>
      </c>
      <c r="L49" s="39">
        <v>0.0</v>
      </c>
      <c r="M49" s="32">
        <f t="shared" ref="M49:N49" si="47">C49+K49</f>
        <v>112</v>
      </c>
      <c r="N49" s="32">
        <f t="shared" si="47"/>
        <v>4</v>
      </c>
      <c r="O49" s="43" t="s">
        <v>53</v>
      </c>
      <c r="P49" s="43" t="s">
        <v>53</v>
      </c>
      <c r="Q49" s="43" t="s">
        <v>53</v>
      </c>
      <c r="R49" s="39">
        <f>if(G49=13,1,0)+VLOOKUP(B49,'090724'!B:T,17,false)</f>
        <v>1</v>
      </c>
      <c r="S49" s="39"/>
      <c r="T49" s="39">
        <f>if(G49=9,1,0)+VLOOKUP(B49,'090724'!B:T,19,false)</f>
        <v>8</v>
      </c>
      <c r="U49" s="39">
        <f>VLOOKUP(B49,'090724'!B$5:V$70,21,false)-A49</f>
        <v>3</v>
      </c>
      <c r="V49" s="30">
        <f t="shared" si="5"/>
        <v>45</v>
      </c>
    </row>
    <row r="50">
      <c r="A50" s="30">
        <f t="shared" si="3"/>
        <v>46</v>
      </c>
      <c r="B50" s="51" t="s">
        <v>75</v>
      </c>
      <c r="C50" s="32">
        <v>103.0</v>
      </c>
      <c r="D50" s="32">
        <v>3.0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8">C50+K50</f>
        <v>112</v>
      </c>
      <c r="N50" s="32">
        <f t="shared" si="48"/>
        <v>3</v>
      </c>
      <c r="O50" s="43" t="s">
        <v>53</v>
      </c>
      <c r="P50" s="43" t="s">
        <v>53</v>
      </c>
      <c r="Q50" s="43" t="s">
        <v>53</v>
      </c>
      <c r="R50" s="39">
        <f>if(G50=13,1,0)+VLOOKUP(B50,'090724'!B:T,17,false)</f>
        <v>1</v>
      </c>
      <c r="S50" s="39"/>
      <c r="T50" s="39">
        <f>if(G50=9,1,0)+VLOOKUP(B50,'090724'!B:T,19,false)</f>
        <v>9</v>
      </c>
      <c r="U50" s="39">
        <f>VLOOKUP(B50,'090724'!B$5:V$70,21,false)-A50</f>
        <v>-6</v>
      </c>
      <c r="V50" s="30">
        <f t="shared" si="5"/>
        <v>46</v>
      </c>
    </row>
    <row r="51">
      <c r="A51" s="30">
        <f t="shared" si="3"/>
        <v>47</v>
      </c>
      <c r="B51" s="51" t="s">
        <v>102</v>
      </c>
      <c r="C51" s="32">
        <v>103.0</v>
      </c>
      <c r="D51" s="32">
        <v>2.0</v>
      </c>
      <c r="E51" s="37">
        <v>3.0</v>
      </c>
      <c r="F51" s="39">
        <v>0.0</v>
      </c>
      <c r="G51" s="40">
        <v>9.0</v>
      </c>
      <c r="H51" s="39">
        <v>0.0</v>
      </c>
      <c r="I51" s="39">
        <v>0.0</v>
      </c>
      <c r="J51" s="39">
        <v>0.0</v>
      </c>
      <c r="K51" s="42">
        <v>9.0</v>
      </c>
      <c r="L51" s="39">
        <v>0.0</v>
      </c>
      <c r="M51" s="32">
        <f t="shared" ref="M51:N51" si="49">C51+K51</f>
        <v>112</v>
      </c>
      <c r="N51" s="32">
        <f t="shared" si="49"/>
        <v>2</v>
      </c>
      <c r="O51" s="43" t="s">
        <v>53</v>
      </c>
      <c r="P51" s="43" t="s">
        <v>53</v>
      </c>
      <c r="Q51" s="43" t="s">
        <v>53</v>
      </c>
      <c r="R51" s="39">
        <f>if(G51=13,1,0)+VLOOKUP(B51,'090724'!B:T,17,false)</f>
        <v>2</v>
      </c>
      <c r="S51" s="39"/>
      <c r="T51" s="39">
        <f>if(G51=9,1,0)+VLOOKUP(B51,'090724'!B:T,19,false)</f>
        <v>7</v>
      </c>
      <c r="U51" s="39">
        <f>VLOOKUP(B51,'090724'!B$5:V$70,21,false)-A51</f>
        <v>-6</v>
      </c>
      <c r="V51" s="30">
        <f t="shared" si="5"/>
        <v>47</v>
      </c>
    </row>
    <row r="52">
      <c r="A52" s="30">
        <f t="shared" si="3"/>
        <v>48</v>
      </c>
      <c r="B52" s="56" t="s">
        <v>51</v>
      </c>
      <c r="C52" s="32">
        <v>102.0</v>
      </c>
      <c r="D52" s="32">
        <v>6.0</v>
      </c>
      <c r="E52" s="37">
        <v>1.0</v>
      </c>
      <c r="F52" s="39">
        <v>7.0</v>
      </c>
      <c r="G52" s="40">
        <v>0.0</v>
      </c>
      <c r="H52" s="39">
        <v>2.0</v>
      </c>
      <c r="I52" s="39">
        <v>1.0</v>
      </c>
      <c r="J52" s="39">
        <v>6.0</v>
      </c>
      <c r="K52" s="42">
        <v>9.0</v>
      </c>
      <c r="L52" s="39">
        <v>1.0</v>
      </c>
      <c r="M52" s="32">
        <f t="shared" ref="M52:N52" si="50">C52+K52</f>
        <v>111</v>
      </c>
      <c r="N52" s="32">
        <f t="shared" si="50"/>
        <v>7</v>
      </c>
      <c r="O52" s="43" t="s">
        <v>53</v>
      </c>
      <c r="P52" s="43" t="s">
        <v>53</v>
      </c>
      <c r="Q52" s="43" t="s">
        <v>53</v>
      </c>
      <c r="R52" s="39">
        <f>if(G52=13,1,0)+VLOOKUP(B52,'090724'!B:T,17,false)</f>
        <v>1</v>
      </c>
      <c r="S52" s="39"/>
      <c r="T52" s="39">
        <f>if(G52=9,1,0)+VLOOKUP(B52,'090724'!B:T,19,false)</f>
        <v>4</v>
      </c>
      <c r="U52" s="39">
        <f>VLOOKUP(B52,'090724'!B$5:V$70,21,false)-A52</f>
        <v>-6</v>
      </c>
      <c r="V52" s="30">
        <f t="shared" si="5"/>
        <v>48</v>
      </c>
    </row>
    <row r="53">
      <c r="A53" s="30">
        <f t="shared" si="3"/>
        <v>49</v>
      </c>
      <c r="B53" s="31" t="s">
        <v>106</v>
      </c>
      <c r="C53" s="32">
        <v>102.0</v>
      </c>
      <c r="D53" s="32">
        <v>4.0</v>
      </c>
      <c r="E53" s="37">
        <v>1.0</v>
      </c>
      <c r="F53" s="39">
        <v>7.0</v>
      </c>
      <c r="G53" s="40">
        <v>0.0</v>
      </c>
      <c r="H53" s="39">
        <v>2.0</v>
      </c>
      <c r="I53" s="39">
        <v>6.0</v>
      </c>
      <c r="J53" s="39">
        <v>4.0</v>
      </c>
      <c r="K53" s="42">
        <v>12.0</v>
      </c>
      <c r="L53" s="39">
        <v>1.0</v>
      </c>
      <c r="M53" s="32">
        <f t="shared" ref="M53:N53" si="51">C53+K53</f>
        <v>114</v>
      </c>
      <c r="N53" s="32">
        <f t="shared" si="51"/>
        <v>5</v>
      </c>
      <c r="O53" s="43" t="s">
        <v>53</v>
      </c>
      <c r="P53" s="43" t="s">
        <v>53</v>
      </c>
      <c r="Q53" s="43" t="s">
        <v>53</v>
      </c>
      <c r="R53" s="39">
        <f>if(G53=13,1,0)+VLOOKUP(B53,'090724'!B:T,17,false)</f>
        <v>0</v>
      </c>
      <c r="S53" s="39"/>
      <c r="T53" s="39">
        <f>if(G53=9,1,0)+VLOOKUP(B53,'090724'!B:T,19,false)</f>
        <v>8</v>
      </c>
      <c r="U53" s="39">
        <f>VLOOKUP(B53,'090724'!B$5:V$70,21,false)-A53</f>
        <v>5</v>
      </c>
      <c r="V53" s="30">
        <f t="shared" si="5"/>
        <v>49</v>
      </c>
    </row>
    <row r="54">
      <c r="A54" s="30">
        <f t="shared" si="3"/>
        <v>50</v>
      </c>
      <c r="B54" s="31" t="s">
        <v>56</v>
      </c>
      <c r="C54" s="32">
        <v>102.0</v>
      </c>
      <c r="D54" s="32">
        <v>3.0</v>
      </c>
      <c r="E54" s="37">
        <v>5.0</v>
      </c>
      <c r="F54" s="39">
        <v>0.0</v>
      </c>
      <c r="G54" s="40">
        <v>13.0</v>
      </c>
      <c r="H54" s="39">
        <v>0.0</v>
      </c>
      <c r="I54" s="39">
        <v>0.0</v>
      </c>
      <c r="J54" s="39">
        <v>0.0</v>
      </c>
      <c r="K54" s="42">
        <v>13.0</v>
      </c>
      <c r="L54" s="39">
        <v>0.0</v>
      </c>
      <c r="M54" s="32">
        <f t="shared" ref="M54:N54" si="52">C54+K54</f>
        <v>115</v>
      </c>
      <c r="N54" s="32">
        <f t="shared" si="52"/>
        <v>3</v>
      </c>
      <c r="O54" s="43" t="s">
        <v>53</v>
      </c>
      <c r="P54" s="43" t="s">
        <v>53</v>
      </c>
      <c r="Q54" s="43" t="s">
        <v>53</v>
      </c>
      <c r="R54" s="39">
        <f>if(G54=13,1,0)+VLOOKUP(B54,'090724'!B:T,17,false)</f>
        <v>1</v>
      </c>
      <c r="S54" s="39"/>
      <c r="T54" s="39">
        <f>if(G54=9,1,0)+VLOOKUP(B54,'090724'!B:T,19,false)</f>
        <v>8</v>
      </c>
      <c r="U54" s="39">
        <f>VLOOKUP(B54,'090724'!B$5:V$70,21,false)-A54</f>
        <v>-6</v>
      </c>
      <c r="V54" s="30">
        <f t="shared" si="5"/>
        <v>50</v>
      </c>
    </row>
    <row r="55">
      <c r="A55" s="30">
        <f t="shared" si="3"/>
        <v>51</v>
      </c>
      <c r="B55" s="31" t="s">
        <v>124</v>
      </c>
      <c r="C55" s="32">
        <v>100.0</v>
      </c>
      <c r="D55" s="32">
        <v>3.0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3">C55+K55</f>
        <v>109</v>
      </c>
      <c r="N55" s="32">
        <f t="shared" si="53"/>
        <v>3</v>
      </c>
      <c r="O55" s="43" t="s">
        <v>53</v>
      </c>
      <c r="P55" s="43" t="s">
        <v>53</v>
      </c>
      <c r="Q55" s="43" t="s">
        <v>53</v>
      </c>
      <c r="R55" s="39">
        <f>if(G55=13,1,0)+VLOOKUP(B55,'090724'!B:T,17,false)</f>
        <v>1</v>
      </c>
      <c r="S55" s="39"/>
      <c r="T55" s="39">
        <f>if(G55=9,1,0)+VLOOKUP(B55,'090724'!B:T,19,false)</f>
        <v>8</v>
      </c>
      <c r="U55" s="39">
        <f>VLOOKUP(B55,'090724'!B$5:V$70,21,false)-A55</f>
        <v>6</v>
      </c>
      <c r="V55" s="30">
        <f t="shared" si="5"/>
        <v>51</v>
      </c>
    </row>
    <row r="56">
      <c r="A56" s="30">
        <f t="shared" si="3"/>
        <v>52</v>
      </c>
      <c r="B56" s="31" t="s">
        <v>125</v>
      </c>
      <c r="C56" s="32">
        <v>99.0</v>
      </c>
      <c r="D56" s="32">
        <v>3.0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4">C56+K56</f>
        <v>108</v>
      </c>
      <c r="N56" s="32">
        <f t="shared" si="54"/>
        <v>3</v>
      </c>
      <c r="O56" s="43" t="s">
        <v>53</v>
      </c>
      <c r="P56" s="43" t="s">
        <v>53</v>
      </c>
      <c r="Q56" s="43" t="s">
        <v>53</v>
      </c>
      <c r="R56" s="39">
        <f>if(G56=13,1,0)+VLOOKUP(B56,'090724'!B:T,17,false)</f>
        <v>0</v>
      </c>
      <c r="S56" s="39"/>
      <c r="T56" s="39">
        <f>if(G56=9,1,0)+VLOOKUP(B56,'090724'!B:T,19,false)</f>
        <v>10</v>
      </c>
      <c r="U56" s="39">
        <f>VLOOKUP(B56,'090724'!B$5:V$70,21,false)-A56</f>
        <v>-3</v>
      </c>
      <c r="V56" s="30">
        <f t="shared" si="5"/>
        <v>52</v>
      </c>
    </row>
    <row r="57">
      <c r="A57" s="30">
        <f t="shared" si="3"/>
        <v>53</v>
      </c>
      <c r="B57" s="56" t="s">
        <v>122</v>
      </c>
      <c r="C57" s="32">
        <v>99.0</v>
      </c>
      <c r="D57" s="32">
        <v>3.0</v>
      </c>
      <c r="E57" s="37">
        <v>3.0</v>
      </c>
      <c r="F57" s="39">
        <v>0.0</v>
      </c>
      <c r="G57" s="40">
        <v>9.0</v>
      </c>
      <c r="H57" s="39">
        <v>0.0</v>
      </c>
      <c r="I57" s="39">
        <v>0.0</v>
      </c>
      <c r="J57" s="39">
        <v>0.0</v>
      </c>
      <c r="K57" s="42">
        <v>9.0</v>
      </c>
      <c r="L57" s="39">
        <v>0.0</v>
      </c>
      <c r="M57" s="32">
        <f t="shared" ref="M57:N57" si="55">C57+K57</f>
        <v>108</v>
      </c>
      <c r="N57" s="32">
        <f t="shared" si="55"/>
        <v>3</v>
      </c>
      <c r="O57" s="43" t="s">
        <v>53</v>
      </c>
      <c r="P57" s="43" t="s">
        <v>53</v>
      </c>
      <c r="Q57" s="43" t="s">
        <v>53</v>
      </c>
      <c r="R57" s="39">
        <f>if(G57=13,1,0)+VLOOKUP(B57,'090724'!B:T,17,false)</f>
        <v>1</v>
      </c>
      <c r="S57" s="39"/>
      <c r="T57" s="39">
        <f>if(G57=9,1,0)+VLOOKUP(B57,'090724'!B:T,19,false)</f>
        <v>7</v>
      </c>
      <c r="U57" s="39">
        <f>VLOOKUP(B57,'090724'!B$5:V$70,21,false)-A57</f>
        <v>-3</v>
      </c>
      <c r="V57" s="30">
        <f t="shared" si="5"/>
        <v>53</v>
      </c>
    </row>
    <row r="58">
      <c r="A58" s="30">
        <f t="shared" si="3"/>
        <v>54</v>
      </c>
      <c r="B58" s="31" t="s">
        <v>63</v>
      </c>
      <c r="C58" s="32">
        <v>99.0</v>
      </c>
      <c r="D58" s="32">
        <v>3.0</v>
      </c>
      <c r="E58" s="37">
        <v>1.0</v>
      </c>
      <c r="F58" s="39">
        <v>7.0</v>
      </c>
      <c r="G58" s="40">
        <v>0.0</v>
      </c>
      <c r="H58" s="39">
        <v>6.0</v>
      </c>
      <c r="I58" s="39">
        <v>6.0</v>
      </c>
      <c r="J58" s="39">
        <v>6.0</v>
      </c>
      <c r="K58" s="42">
        <v>18.0</v>
      </c>
      <c r="L58" s="39">
        <v>3.0</v>
      </c>
      <c r="M58" s="32">
        <f t="shared" ref="M58:N58" si="56">C58+K58</f>
        <v>117</v>
      </c>
      <c r="N58" s="32">
        <f t="shared" si="56"/>
        <v>6</v>
      </c>
      <c r="O58" s="43" t="s">
        <v>53</v>
      </c>
      <c r="P58" s="43" t="s">
        <v>53</v>
      </c>
      <c r="Q58" s="43" t="s">
        <v>53</v>
      </c>
      <c r="R58" s="39">
        <f>if(G58=13,1,0)+VLOOKUP(B58,'090724'!B:T,17,false)</f>
        <v>0</v>
      </c>
      <c r="S58" s="39"/>
      <c r="T58" s="39">
        <f>if(G58=9,1,0)+VLOOKUP(B58,'090724'!B:T,19,false)</f>
        <v>9</v>
      </c>
      <c r="U58" s="39">
        <f>VLOOKUP(B58,'090724'!B$5:V$70,21,false)-A58</f>
        <v>-3</v>
      </c>
      <c r="V58" s="30">
        <f t="shared" si="5"/>
        <v>54</v>
      </c>
    </row>
    <row r="59">
      <c r="A59" s="30">
        <f t="shared" si="3"/>
        <v>55</v>
      </c>
      <c r="B59" s="31" t="s">
        <v>123</v>
      </c>
      <c r="C59" s="32">
        <v>99.0</v>
      </c>
      <c r="D59" s="32">
        <v>3.0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7">C59+K59</f>
        <v>108</v>
      </c>
      <c r="N59" s="32">
        <f t="shared" si="57"/>
        <v>3</v>
      </c>
      <c r="O59" s="43" t="s">
        <v>53</v>
      </c>
      <c r="P59" s="43" t="s">
        <v>53</v>
      </c>
      <c r="Q59" s="43" t="s">
        <v>53</v>
      </c>
      <c r="R59" s="39">
        <f>if(G59=13,1,0)+VLOOKUP(B59,'090724'!B:T,17,false)</f>
        <v>0</v>
      </c>
      <c r="S59" s="39"/>
      <c r="T59" s="39">
        <f>if(G59=9,1,0)+VLOOKUP(B59,'090724'!B:T,19,false)</f>
        <v>10</v>
      </c>
      <c r="U59" s="39">
        <f>VLOOKUP(B59,'090724'!B$5:V$70,21,false)-A59</f>
        <v>-3</v>
      </c>
      <c r="V59" s="30">
        <f t="shared" si="5"/>
        <v>55</v>
      </c>
    </row>
    <row r="60">
      <c r="A60" s="30">
        <f t="shared" si="3"/>
        <v>56</v>
      </c>
      <c r="B60" s="51" t="s">
        <v>118</v>
      </c>
      <c r="C60" s="32">
        <v>96.0</v>
      </c>
      <c r="D60" s="32">
        <v>2.0</v>
      </c>
      <c r="E60" s="37">
        <v>1.0</v>
      </c>
      <c r="F60" s="39">
        <v>8.0</v>
      </c>
      <c r="G60" s="40">
        <v>0.0</v>
      </c>
      <c r="H60" s="39">
        <v>1.0</v>
      </c>
      <c r="I60" s="39">
        <v>6.0</v>
      </c>
      <c r="J60" s="39">
        <v>6.0</v>
      </c>
      <c r="K60" s="42">
        <v>13.0</v>
      </c>
      <c r="L60" s="39">
        <v>2.0</v>
      </c>
      <c r="M60" s="32">
        <f t="shared" ref="M60:N60" si="58">C60+K60</f>
        <v>109</v>
      </c>
      <c r="N60" s="32">
        <f t="shared" si="58"/>
        <v>4</v>
      </c>
      <c r="O60" s="43" t="s">
        <v>53</v>
      </c>
      <c r="P60" s="43" t="s">
        <v>53</v>
      </c>
      <c r="Q60" s="43" t="s">
        <v>53</v>
      </c>
      <c r="R60" s="39">
        <f>if(G60=13,1,0)+VLOOKUP(B60,'090724'!B:T,17,false)</f>
        <v>0</v>
      </c>
      <c r="S60" s="39"/>
      <c r="T60" s="39">
        <f>if(G60=9,1,0)+VLOOKUP(B60,'090724'!B:T,19,false)</f>
        <v>7</v>
      </c>
      <c r="U60" s="39">
        <f>VLOOKUP(B60,'090724'!B$5:V$70,21,false)-A60</f>
        <v>-1</v>
      </c>
      <c r="V60" s="30">
        <f t="shared" si="5"/>
        <v>56</v>
      </c>
    </row>
    <row r="61">
      <c r="A61" s="30">
        <f t="shared" si="3"/>
        <v>57</v>
      </c>
      <c r="B61" s="51" t="s">
        <v>121</v>
      </c>
      <c r="C61" s="32">
        <v>95.0</v>
      </c>
      <c r="D61" s="32">
        <v>4.0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9">C61+K61</f>
        <v>104</v>
      </c>
      <c r="N61" s="32">
        <f t="shared" si="59"/>
        <v>4</v>
      </c>
      <c r="O61" s="43" t="s">
        <v>53</v>
      </c>
      <c r="P61" s="43" t="s">
        <v>53</v>
      </c>
      <c r="Q61" s="43" t="s">
        <v>53</v>
      </c>
      <c r="R61" s="39">
        <f>if(G61=13,1,0)+VLOOKUP(B61,'090724'!B:T,17,false)</f>
        <v>0</v>
      </c>
      <c r="S61" s="39"/>
      <c r="T61" s="39">
        <f>if(G61=9,1,0)+VLOOKUP(B61,'090724'!B:T,19,false)</f>
        <v>8</v>
      </c>
      <c r="U61" s="39">
        <f>VLOOKUP(B61,'090724'!B$5:V$70,21,false)-A61</f>
        <v>-1</v>
      </c>
      <c r="V61" s="30">
        <f t="shared" si="5"/>
        <v>57</v>
      </c>
    </row>
    <row r="62">
      <c r="A62" s="30">
        <f t="shared" si="3"/>
        <v>58</v>
      </c>
      <c r="B62" s="51" t="s">
        <v>108</v>
      </c>
      <c r="C62" s="32">
        <v>94.0</v>
      </c>
      <c r="D62" s="32">
        <v>2.0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60">C62+K62</f>
        <v>103</v>
      </c>
      <c r="N62" s="32">
        <f t="shared" si="60"/>
        <v>2</v>
      </c>
      <c r="O62" s="43" t="s">
        <v>53</v>
      </c>
      <c r="P62" s="43" t="s">
        <v>53</v>
      </c>
      <c r="Q62" s="43" t="s">
        <v>53</v>
      </c>
      <c r="R62" s="39">
        <f>if(G62=13,1,0)+VLOOKUP(B62,'090724'!B:T,17,false)</f>
        <v>0</v>
      </c>
      <c r="S62" s="39"/>
      <c r="T62" s="39">
        <f>if(G62=9,1,0)+VLOOKUP(B62,'090724'!B:T,19,false)</f>
        <v>9</v>
      </c>
      <c r="U62" s="39">
        <f>VLOOKUP(B62,'090724'!B$5:V$70,21,false)-A62</f>
        <v>0</v>
      </c>
      <c r="V62" s="30">
        <f t="shared" si="5"/>
        <v>58</v>
      </c>
    </row>
    <row r="63">
      <c r="A63" s="30">
        <f t="shared" si="3"/>
        <v>59</v>
      </c>
      <c r="B63" s="31" t="s">
        <v>81</v>
      </c>
      <c r="C63" s="32">
        <v>94.0</v>
      </c>
      <c r="D63" s="32">
        <v>1.0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1">C63+K63</f>
        <v>103</v>
      </c>
      <c r="N63" s="32">
        <f t="shared" si="61"/>
        <v>1</v>
      </c>
      <c r="O63" s="43" t="s">
        <v>53</v>
      </c>
      <c r="P63" s="43" t="s">
        <v>53</v>
      </c>
      <c r="Q63" s="43" t="s">
        <v>53</v>
      </c>
      <c r="R63" s="39">
        <f>if(G63=13,1,0)+VLOOKUP(B63,'090724'!B:T,17,false)</f>
        <v>1</v>
      </c>
      <c r="S63" s="39"/>
      <c r="T63" s="39">
        <f>if(G63=9,1,0)+VLOOKUP(B63,'090724'!B:T,19,false)</f>
        <v>9</v>
      </c>
      <c r="U63" s="39">
        <f>VLOOKUP(B63,'090724'!B$5:V$70,21,false)-A63</f>
        <v>0</v>
      </c>
      <c r="V63" s="30">
        <f t="shared" si="5"/>
        <v>59</v>
      </c>
    </row>
    <row r="64">
      <c r="A64" s="30">
        <f t="shared" si="3"/>
        <v>60</v>
      </c>
      <c r="B64" s="31" t="s">
        <v>72</v>
      </c>
      <c r="C64" s="32">
        <v>94.0</v>
      </c>
      <c r="D64" s="32">
        <v>0.0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2">C64+K64</f>
        <v>103</v>
      </c>
      <c r="N64" s="32">
        <f t="shared" si="62"/>
        <v>0</v>
      </c>
      <c r="O64" s="43" t="s">
        <v>53</v>
      </c>
      <c r="P64" s="43" t="s">
        <v>53</v>
      </c>
      <c r="Q64" s="43" t="s">
        <v>53</v>
      </c>
      <c r="R64" s="39">
        <f>if(G64=13,1,0)+VLOOKUP(B64,'090724'!B:T,17,false)</f>
        <v>1</v>
      </c>
      <c r="S64" s="39"/>
      <c r="T64" s="39">
        <f>if(G64=9,1,0)+VLOOKUP(B64,'090724'!B:T,19,false)</f>
        <v>10</v>
      </c>
      <c r="U64" s="39">
        <f>VLOOKUP(B64,'090724'!B$5:V$70,21,false)-A64</f>
        <v>0</v>
      </c>
      <c r="V64" s="30">
        <f t="shared" si="5"/>
        <v>60</v>
      </c>
    </row>
    <row r="65">
      <c r="A65" s="30">
        <f t="shared" si="3"/>
        <v>61</v>
      </c>
      <c r="B65" s="31" t="s">
        <v>126</v>
      </c>
      <c r="C65" s="32">
        <v>94.0</v>
      </c>
      <c r="D65" s="32">
        <v>0.0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3">C65+K65</f>
        <v>103</v>
      </c>
      <c r="N65" s="32">
        <f t="shared" si="63"/>
        <v>0</v>
      </c>
      <c r="O65" s="43" t="s">
        <v>53</v>
      </c>
      <c r="P65" s="43" t="s">
        <v>53</v>
      </c>
      <c r="Q65" s="43" t="s">
        <v>53</v>
      </c>
      <c r="R65" s="39">
        <f>if(G65=13,1,0)+VLOOKUP(B65,'090724'!B:T,17,false)</f>
        <v>1</v>
      </c>
      <c r="S65" s="39"/>
      <c r="T65" s="39">
        <f>if(G65=9,1,0)+VLOOKUP(B65,'090724'!B:T,19,false)</f>
        <v>9</v>
      </c>
      <c r="U65" s="39">
        <f>VLOOKUP(B65,'090724'!B$5:V$70,21,false)-A65</f>
        <v>0</v>
      </c>
      <c r="V65" s="30">
        <f t="shared" si="5"/>
        <v>61</v>
      </c>
    </row>
    <row r="66">
      <c r="A66" s="30">
        <f t="shared" si="3"/>
        <v>62</v>
      </c>
      <c r="B66" s="31" t="s">
        <v>117</v>
      </c>
      <c r="C66" s="32">
        <v>94.0</v>
      </c>
      <c r="D66" s="32">
        <v>0.0</v>
      </c>
      <c r="E66" s="37">
        <v>1.0</v>
      </c>
      <c r="F66" s="39">
        <v>8.0</v>
      </c>
      <c r="G66" s="40">
        <v>0.0</v>
      </c>
      <c r="H66" s="39">
        <v>6.0</v>
      </c>
      <c r="I66" s="39">
        <v>6.0</v>
      </c>
      <c r="J66" s="39">
        <v>4.0</v>
      </c>
      <c r="K66" s="42">
        <v>16.0</v>
      </c>
      <c r="L66" s="39">
        <v>2.0</v>
      </c>
      <c r="M66" s="32">
        <f t="shared" ref="M66:N66" si="64">C66+K66</f>
        <v>110</v>
      </c>
      <c r="N66" s="32">
        <f t="shared" si="64"/>
        <v>2</v>
      </c>
      <c r="O66" s="43" t="s">
        <v>53</v>
      </c>
      <c r="P66" s="43" t="s">
        <v>53</v>
      </c>
      <c r="Q66" s="43" t="s">
        <v>53</v>
      </c>
      <c r="R66" s="39">
        <f>if(G66=13,1,0)+VLOOKUP(B66,'090724'!B:T,17,false)</f>
        <v>1</v>
      </c>
      <c r="S66" s="39"/>
      <c r="T66" s="39">
        <f>if(G66=9,1,0)+VLOOKUP(B66,'090724'!B:T,19,false)</f>
        <v>9</v>
      </c>
      <c r="U66" s="39">
        <f>VLOOKUP(B66,'090724'!B$5:V$70,21,false)-A66</f>
        <v>0</v>
      </c>
      <c r="V66" s="30">
        <f t="shared" si="5"/>
        <v>62</v>
      </c>
    </row>
    <row r="67">
      <c r="A67" s="30">
        <f t="shared" si="3"/>
        <v>63</v>
      </c>
      <c r="B67" s="51" t="s">
        <v>113</v>
      </c>
      <c r="C67" s="32">
        <v>93.0</v>
      </c>
      <c r="D67" s="32">
        <v>6.0</v>
      </c>
      <c r="E67" s="37">
        <v>1.0</v>
      </c>
      <c r="F67" s="39">
        <v>8.0</v>
      </c>
      <c r="G67" s="40">
        <v>0.0</v>
      </c>
      <c r="H67" s="39">
        <v>1.0</v>
      </c>
      <c r="I67" s="39">
        <v>1.0</v>
      </c>
      <c r="J67" s="39">
        <v>4.0</v>
      </c>
      <c r="K67" s="42">
        <v>6.0</v>
      </c>
      <c r="L67" s="39">
        <v>0.0</v>
      </c>
      <c r="M67" s="32">
        <f t="shared" ref="M67:N67" si="65">C67+K67</f>
        <v>99</v>
      </c>
      <c r="N67" s="32">
        <f t="shared" si="65"/>
        <v>6</v>
      </c>
      <c r="O67" s="43" t="s">
        <v>53</v>
      </c>
      <c r="P67" s="43" t="s">
        <v>53</v>
      </c>
      <c r="Q67" s="43" t="s">
        <v>53</v>
      </c>
      <c r="R67" s="39">
        <f>if(G67=13,1,0)+VLOOKUP(B67,'090724'!B:T,17,false)</f>
        <v>0</v>
      </c>
      <c r="S67" s="39"/>
      <c r="T67" s="39">
        <f>if(G67=9,1,0)+VLOOKUP(B67,'090724'!B:T,19,false)</f>
        <v>2</v>
      </c>
      <c r="U67" s="39">
        <f>VLOOKUP(B67,'090724'!B$5:V$70,21,false)-A67</f>
        <v>0</v>
      </c>
      <c r="V67" s="30">
        <f t="shared" si="5"/>
        <v>63</v>
      </c>
    </row>
    <row r="68">
      <c r="A68" s="30">
        <f t="shared" si="3"/>
        <v>64</v>
      </c>
      <c r="B68" s="51" t="s">
        <v>112</v>
      </c>
      <c r="C68" s="32">
        <v>91.0</v>
      </c>
      <c r="D68" s="32">
        <v>2.0</v>
      </c>
      <c r="E68" s="37">
        <v>1.0</v>
      </c>
      <c r="F68" s="39">
        <v>8.0</v>
      </c>
      <c r="G68" s="40">
        <v>0.0</v>
      </c>
      <c r="H68" s="39">
        <v>6.0</v>
      </c>
      <c r="I68" s="39">
        <v>1.0</v>
      </c>
      <c r="J68" s="39">
        <v>6.0</v>
      </c>
      <c r="K68" s="42">
        <v>13.0</v>
      </c>
      <c r="L68" s="39">
        <v>2.0</v>
      </c>
      <c r="M68" s="32">
        <f t="shared" ref="M68:N68" si="66">C68+K68</f>
        <v>104</v>
      </c>
      <c r="N68" s="32">
        <f t="shared" si="66"/>
        <v>4</v>
      </c>
      <c r="O68" s="43" t="s">
        <v>53</v>
      </c>
      <c r="P68" s="43" t="s">
        <v>53</v>
      </c>
      <c r="Q68" s="43" t="s">
        <v>53</v>
      </c>
      <c r="R68" s="39">
        <f>if(G68=13,1,0)+VLOOKUP(B68,'090724'!B:T,17,false)</f>
        <v>0</v>
      </c>
      <c r="S68" s="39"/>
      <c r="T68" s="39">
        <f>if(G68=9,1,0)+VLOOKUP(B68,'090724'!B:T,19,false)</f>
        <v>5</v>
      </c>
      <c r="U68" s="39">
        <f>VLOOKUP(B68,'090724'!B$5:V$70,21,false)-A68</f>
        <v>0</v>
      </c>
      <c r="V68" s="30">
        <f t="shared" si="5"/>
        <v>64</v>
      </c>
    </row>
    <row r="69">
      <c r="A69" s="30">
        <f t="shared" si="3"/>
        <v>65</v>
      </c>
      <c r="B69" s="51" t="s">
        <v>74</v>
      </c>
      <c r="C69" s="32">
        <v>90.0</v>
      </c>
      <c r="D69" s="32">
        <v>0.0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7">C69+K69</f>
        <v>99</v>
      </c>
      <c r="N69" s="32">
        <f t="shared" si="67"/>
        <v>0</v>
      </c>
      <c r="O69" s="43" t="s">
        <v>53</v>
      </c>
      <c r="P69" s="43" t="s">
        <v>53</v>
      </c>
      <c r="Q69" s="43" t="s">
        <v>53</v>
      </c>
      <c r="R69" s="39">
        <f>if(G69=13,1,0)+VLOOKUP(B69,'090724'!B:T,17,false)</f>
        <v>0</v>
      </c>
      <c r="S69" s="39"/>
      <c r="T69" s="39">
        <f>if(G69=9,1,0)+VLOOKUP(B69,'090724'!B:T,19,false)</f>
        <v>11</v>
      </c>
      <c r="U69" s="39">
        <f>VLOOKUP(B69,'090724'!B$5:V$70,21,false)-A69</f>
        <v>0</v>
      </c>
      <c r="V69" s="30">
        <f t="shared" si="5"/>
        <v>65</v>
      </c>
    </row>
    <row r="70">
      <c r="A70" s="30">
        <f t="shared" si="3"/>
        <v>66</v>
      </c>
      <c r="B70" s="51" t="s">
        <v>80</v>
      </c>
      <c r="C70" s="32">
        <v>87.0</v>
      </c>
      <c r="D70" s="32">
        <v>6.0</v>
      </c>
      <c r="E70" s="37">
        <v>3.0</v>
      </c>
      <c r="F70" s="39">
        <v>0.0</v>
      </c>
      <c r="G70" s="40">
        <v>9.0</v>
      </c>
      <c r="H70" s="39">
        <v>0.0</v>
      </c>
      <c r="I70" s="39">
        <v>0.0</v>
      </c>
      <c r="J70" s="39">
        <v>0.0</v>
      </c>
      <c r="K70" s="42">
        <v>9.0</v>
      </c>
      <c r="L70" s="39">
        <v>0.0</v>
      </c>
      <c r="M70" s="32">
        <f t="shared" ref="M70:N70" si="68">C70+K70</f>
        <v>96</v>
      </c>
      <c r="N70" s="32">
        <f t="shared" si="68"/>
        <v>6</v>
      </c>
      <c r="O70" s="43" t="s">
        <v>53</v>
      </c>
      <c r="P70" s="43" t="s">
        <v>53</v>
      </c>
      <c r="Q70" s="43" t="s">
        <v>53</v>
      </c>
      <c r="R70" s="39">
        <f>if(G70=13,1,0)+VLOOKUP(B70,'090724'!B:T,17,false)</f>
        <v>0</v>
      </c>
      <c r="S70" s="39"/>
      <c r="T70" s="39">
        <f>if(G70=9,1,0)+VLOOKUP(B70,'090724'!B:T,19,false)</f>
        <v>4</v>
      </c>
      <c r="U70" s="39">
        <f>VLOOKUP(B70,'090724'!B$5:V$70,21,false)-A70</f>
        <v>0</v>
      </c>
      <c r="V70" s="30">
        <f t="shared" si="5"/>
        <v>66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9">COUNTA(P5:P70)</f>
        <v>65</v>
      </c>
      <c r="Q73" s="8">
        <f t="shared" si="69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70">P75-P73</f>
        <v>1</v>
      </c>
      <c r="Q74" s="8">
        <f t="shared" si="70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desc"",0)"),"James Phan")</f>
        <v>James Phan</v>
      </c>
      <c r="C80" s="71">
        <f>IFERROR(__xludf.DUMMYFUNCTION("""COMPUTED_VALUE"""),18.0)</f>
        <v>18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IFERROR(__xludf.DUMMYFUNCTION("""COMPUTED_VALUE"""),"Pavan Akkimsetty")</f>
        <v>Pavan Akkimsetty</v>
      </c>
      <c r="C81" s="71">
        <f>IFERROR(__xludf.DUMMYFUNCTION("""COMPUTED_VALUE"""),18.0)</f>
        <v>18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IFERROR(__xludf.DUMMYFUNCTION("""COMPUTED_VALUE"""),"Lam Bui")</f>
        <v>Lam Bui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IFERROR(__xludf.DUMMYFUNCTION("""COMPUTED_VALUE"""),"Pulkit Mathur")</f>
        <v>Pulkit Mathur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</row>
    <row r="84">
      <c r="A84" s="11"/>
      <c r="B84" s="51" t="str">
        <f>IFERROR(__xludf.DUMMYFUNCTION("""COMPUTED_VALUE"""),"Alejandro Mejia")</f>
        <v>Alejandro Mejia</v>
      </c>
      <c r="C84" s="71">
        <f>IFERROR(__xludf.DUMMYFUNCTION("""COMPUTED_VALUE"""),18.0)</f>
        <v>18</v>
      </c>
      <c r="D84" s="71">
        <f>IFERROR(__xludf.DUMMYFUNCTION("""COMPUTED_VALUE"""),2.0)</f>
        <v>2</v>
      </c>
      <c r="E84" s="11"/>
      <c r="K84" s="10"/>
    </row>
    <row r="85">
      <c r="A85" s="11"/>
      <c r="B85" s="51"/>
      <c r="C85" s="71"/>
      <c r="D85" s="71"/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/>
      <c r="C91" s="11"/>
      <c r="D91" s="11"/>
      <c r="E91" s="11"/>
    </row>
    <row r="92">
      <c r="A92" s="11"/>
      <c r="B92" s="62" t="s">
        <v>173</v>
      </c>
      <c r="C92" s="62" t="s">
        <v>143</v>
      </c>
      <c r="E92" s="11"/>
    </row>
    <row r="93">
      <c r="A93" s="11"/>
      <c r="B93" s="51" t="str">
        <f>IFERROR(__xludf.DUMMYFUNCTION("query(B5:U70,""select B, U order by U Desc Limit 10"")"),"Peter Cheng")</f>
        <v>Peter Cheng</v>
      </c>
      <c r="C93" s="64">
        <f>IFERROR(__xludf.DUMMYFUNCTION("""COMPUTED_VALUE"""),13.0)</f>
        <v>13</v>
      </c>
      <c r="E93" s="11"/>
    </row>
    <row r="94">
      <c r="A94" s="11"/>
      <c r="B94" s="51" t="str">
        <f>IFERROR(__xludf.DUMMYFUNCTION("""COMPUTED_VALUE"""),"Kumar Palakeel")</f>
        <v>Kumar Palakeel</v>
      </c>
      <c r="C94" s="64">
        <f>IFERROR(__xludf.DUMMYFUNCTION("""COMPUTED_VALUE"""),12.0)</f>
        <v>12</v>
      </c>
      <c r="E94" s="11"/>
    </row>
    <row r="95">
      <c r="A95" s="11"/>
      <c r="B95" s="51" t="str">
        <f>IFERROR(__xludf.DUMMYFUNCTION("""COMPUTED_VALUE"""),"Saravanan Veerapandian")</f>
        <v>Saravanan Veerapandian</v>
      </c>
      <c r="C95" s="64">
        <f>IFERROR(__xludf.DUMMYFUNCTION("""COMPUTED_VALUE"""),11.0)</f>
        <v>11</v>
      </c>
      <c r="E95" s="11"/>
    </row>
    <row r="96">
      <c r="A96" s="11"/>
      <c r="B96" s="51" t="str">
        <f>IFERROR(__xludf.DUMMYFUNCTION("""COMPUTED_VALUE"""),"David Shin")</f>
        <v>David Shin</v>
      </c>
      <c r="C96" s="64">
        <f>IFERROR(__xludf.DUMMYFUNCTION("""COMPUTED_VALUE"""),9.0)</f>
        <v>9</v>
      </c>
      <c r="E96" s="11"/>
    </row>
    <row r="97">
      <c r="A97" s="11"/>
      <c r="B97" s="51" t="str">
        <f>IFERROR(__xludf.DUMMYFUNCTION("""COMPUTED_VALUE"""),"Joe Luzzi")</f>
        <v>Joe Luzzi</v>
      </c>
      <c r="C97" s="64">
        <f>IFERROR(__xludf.DUMMYFUNCTION("""COMPUTED_VALUE"""),9.0)</f>
        <v>9</v>
      </c>
      <c r="E97" s="11"/>
    </row>
    <row r="98">
      <c r="A98" s="11"/>
      <c r="B98" s="51" t="str">
        <f>IFERROR(__xludf.DUMMYFUNCTION("""COMPUTED_VALUE"""),"Sean Chang")</f>
        <v>Sean Chang</v>
      </c>
      <c r="C98" s="64">
        <f>IFERROR(__xludf.DUMMYFUNCTION("""COMPUTED_VALUE"""),8.0)</f>
        <v>8</v>
      </c>
      <c r="E98" s="11"/>
    </row>
    <row r="99">
      <c r="A99" s="11"/>
      <c r="B99" s="51" t="str">
        <f>IFERROR(__xludf.DUMMYFUNCTION("""COMPUTED_VALUE"""),"Pavan Akkimsetty")</f>
        <v>Pavan Akkimsetty</v>
      </c>
      <c r="C99" s="64">
        <f>IFERROR(__xludf.DUMMYFUNCTION("""COMPUTED_VALUE"""),7.0)</f>
        <v>7</v>
      </c>
      <c r="E99" s="11"/>
    </row>
    <row r="100">
      <c r="A100" s="11"/>
      <c r="B100" s="51" t="str">
        <f>IFERROR(__xludf.DUMMYFUNCTION("""COMPUTED_VALUE"""),"Suleman Alidina")</f>
        <v>Suleman Alidina</v>
      </c>
      <c r="C100" s="64">
        <f>IFERROR(__xludf.DUMMYFUNCTION("""COMPUTED_VALUE"""),6.0)</f>
        <v>6</v>
      </c>
      <c r="E100" s="11"/>
    </row>
    <row r="101">
      <c r="A101" s="11"/>
      <c r="B101" s="51" t="str">
        <f>IFERROR(__xludf.DUMMYFUNCTION("""COMPUTED_VALUE"""),"Jimmy Awolesi")</f>
        <v>Jimmy Awolesi</v>
      </c>
      <c r="C101" s="64">
        <f>IFERROR(__xludf.DUMMYFUNCTION("""COMPUTED_VALUE"""),6.0)</f>
        <v>6</v>
      </c>
      <c r="E101" s="11"/>
    </row>
    <row r="102">
      <c r="A102" s="11"/>
      <c r="B102" s="51" t="str">
        <f>IFERROR(__xludf.DUMMYFUNCTION("""COMPUTED_VALUE"""),"Eric Tan")</f>
        <v>Eric Tan</v>
      </c>
      <c r="C102" s="64">
        <f>IFERROR(__xludf.DUMMYFUNCTION("""COMPUTED_VALUE"""),6.0)</f>
        <v>6</v>
      </c>
      <c r="E102" s="11"/>
    </row>
    <row r="103">
      <c r="A103" s="11"/>
      <c r="B103" s="10"/>
      <c r="C103" s="11"/>
      <c r="E103" s="11"/>
    </row>
    <row r="104">
      <c r="A104" s="11"/>
      <c r="B104" s="10"/>
      <c r="C104" s="11"/>
      <c r="E104" s="11"/>
    </row>
    <row r="105">
      <c r="A105" s="11"/>
      <c r="B105" s="10"/>
      <c r="C105" s="11"/>
      <c r="D105" s="11"/>
      <c r="E105" s="11"/>
    </row>
    <row r="106">
      <c r="A106" s="11"/>
      <c r="B106" s="10"/>
      <c r="C106" s="11"/>
      <c r="D106" s="11"/>
      <c r="E106" s="11"/>
    </row>
    <row r="107">
      <c r="A107" s="11"/>
      <c r="B107" s="10"/>
      <c r="C107" s="11"/>
      <c r="D107" s="11"/>
      <c r="E107" s="11"/>
    </row>
    <row r="108">
      <c r="A108" s="11"/>
      <c r="B108" s="10"/>
      <c r="C108" s="11"/>
      <c r="D108" s="11"/>
      <c r="E108" s="11"/>
    </row>
    <row r="109">
      <c r="A109" s="11"/>
      <c r="B109" s="10"/>
      <c r="C109" s="11"/>
      <c r="D109" s="11"/>
      <c r="E109" s="11"/>
    </row>
    <row r="110">
      <c r="A110" s="11"/>
      <c r="B110" s="10"/>
      <c r="C110" s="11"/>
      <c r="D110" s="11"/>
      <c r="E110" s="11"/>
    </row>
    <row r="111">
      <c r="A111" s="11"/>
      <c r="B111" s="10"/>
      <c r="C111" s="11"/>
      <c r="D111" s="11"/>
      <c r="E111" s="11"/>
    </row>
    <row r="112">
      <c r="A112" s="11"/>
      <c r="B112" s="10"/>
      <c r="C112" s="11"/>
      <c r="D112" s="11"/>
      <c r="E112" s="11"/>
    </row>
    <row r="113">
      <c r="A113" s="11"/>
      <c r="B113" s="10"/>
      <c r="C113" s="11"/>
      <c r="D113" s="11"/>
      <c r="E113" s="11"/>
    </row>
    <row r="114">
      <c r="A114" s="11"/>
      <c r="B114" s="10" t="s">
        <v>165</v>
      </c>
      <c r="C114" s="11"/>
      <c r="D114" s="11"/>
      <c r="E114" s="11"/>
    </row>
    <row r="115">
      <c r="A115" s="11"/>
      <c r="B115" s="27" t="s">
        <v>31</v>
      </c>
      <c r="C115" s="29" t="s">
        <v>2</v>
      </c>
      <c r="D115" s="29" t="s">
        <v>4</v>
      </c>
      <c r="E115" s="29" t="s">
        <v>33</v>
      </c>
      <c r="F115" s="29" t="s">
        <v>35</v>
      </c>
      <c r="G115" s="29" t="s">
        <v>36</v>
      </c>
      <c r="H115" s="29" t="s">
        <v>6</v>
      </c>
      <c r="I115" s="29" t="s">
        <v>7</v>
      </c>
      <c r="J115" s="29" t="s">
        <v>8</v>
      </c>
      <c r="K115" s="29" t="s">
        <v>2</v>
      </c>
      <c r="L115" s="29" t="s">
        <v>4</v>
      </c>
      <c r="M115" s="28" t="s">
        <v>2</v>
      </c>
      <c r="N115" s="28" t="s">
        <v>4</v>
      </c>
    </row>
    <row r="116">
      <c r="A116" s="11"/>
      <c r="B116" s="82" t="str">
        <f>IFERROR(__xludf.DUMMYFUNCTION("QUERY(B5:N70, ""Select B, C, D, E, F, G, H, I, J, K, L, M, N   where F &gt;= 1"")"),"Suleman Alidina")</f>
        <v>Suleman Alidina</v>
      </c>
      <c r="C116" s="87">
        <f>IFERROR(__xludf.DUMMYFUNCTION("""COMPUTED_VALUE"""),137.0)</f>
        <v>137</v>
      </c>
      <c r="D116" s="87">
        <f>IFERROR(__xludf.DUMMYFUNCTION("""COMPUTED_VALUE"""),15.0)</f>
        <v>15</v>
      </c>
      <c r="E116" s="86">
        <f>IFERROR(__xludf.DUMMYFUNCTION("""COMPUTED_VALUE"""),1.0)</f>
        <v>1</v>
      </c>
      <c r="F116" s="88">
        <f>IFERROR(__xludf.DUMMYFUNCTION("""COMPUTED_VALUE"""),1.0)</f>
        <v>1</v>
      </c>
      <c r="G116" s="88">
        <f>IFERROR(__xludf.DUMMYFUNCTION("""COMPUTED_VALUE"""),0.0)</f>
        <v>0</v>
      </c>
      <c r="H116" s="88">
        <f>IFERROR(__xludf.DUMMYFUNCTION("""COMPUTED_VALUE"""),6.0)</f>
        <v>6</v>
      </c>
      <c r="I116" s="88">
        <f>IFERROR(__xludf.DUMMYFUNCTION("""COMPUTED_VALUE"""),0.0)</f>
        <v>0</v>
      </c>
      <c r="J116" s="88">
        <f>IFERROR(__xludf.DUMMYFUNCTION("""COMPUTED_VALUE"""),6.0)</f>
        <v>6</v>
      </c>
      <c r="K116" s="88">
        <f>IFERROR(__xludf.DUMMYFUNCTION("""COMPUTED_VALUE"""),12.0)</f>
        <v>12</v>
      </c>
      <c r="L116" s="88">
        <f>IFERROR(__xludf.DUMMYFUNCTION("""COMPUTED_VALUE"""),2.0)</f>
        <v>2</v>
      </c>
      <c r="M116" s="89">
        <f>IFERROR(__xludf.DUMMYFUNCTION("""COMPUTED_VALUE"""),149.0)</f>
        <v>149</v>
      </c>
      <c r="N116" s="89">
        <f>IFERROR(__xludf.DUMMYFUNCTION("""COMPUTED_VALUE"""),17.0)</f>
        <v>17</v>
      </c>
    </row>
    <row r="117">
      <c r="A117" s="11"/>
      <c r="B117" s="82" t="str">
        <f>IFERROR(__xludf.DUMMYFUNCTION("""COMPUTED_VALUE"""),"Arun Mallikarjuna")</f>
        <v>Arun Mallikarjuna</v>
      </c>
      <c r="C117" s="87">
        <f>IFERROR(__xludf.DUMMYFUNCTION("""COMPUTED_VALUE"""),137.0)</f>
        <v>137</v>
      </c>
      <c r="D117" s="87">
        <f>IFERROR(__xludf.DUMMYFUNCTION("""COMPUTED_VALUE"""),13.0)</f>
        <v>13</v>
      </c>
      <c r="E117" s="86">
        <f>IFERROR(__xludf.DUMMYFUNCTION("""COMPUTED_VALUE"""),1.0)</f>
        <v>1</v>
      </c>
      <c r="F117" s="88">
        <f>IFERROR(__xludf.DUMMYFUNCTION("""COMPUTED_VALUE"""),1.0)</f>
        <v>1</v>
      </c>
      <c r="G117" s="88">
        <f>IFERROR(__xludf.DUMMYFUNCTION("""COMPUTED_VALUE"""),0.0)</f>
        <v>0</v>
      </c>
      <c r="H117" s="88">
        <f>IFERROR(__xludf.DUMMYFUNCTION("""COMPUTED_VALUE"""),3.0)</f>
        <v>3</v>
      </c>
      <c r="I117" s="88">
        <f>IFERROR(__xludf.DUMMYFUNCTION("""COMPUTED_VALUE"""),0.0)</f>
        <v>0</v>
      </c>
      <c r="J117" s="88">
        <f>IFERROR(__xludf.DUMMYFUNCTION("""COMPUTED_VALUE"""),0.0)</f>
        <v>0</v>
      </c>
      <c r="K117" s="88">
        <f>IFERROR(__xludf.DUMMYFUNCTION("""COMPUTED_VALUE"""),3.0)</f>
        <v>3</v>
      </c>
      <c r="L117" s="88">
        <f>IFERROR(__xludf.DUMMYFUNCTION("""COMPUTED_VALUE"""),0.0)</f>
        <v>0</v>
      </c>
      <c r="M117" s="89">
        <f>IFERROR(__xludf.DUMMYFUNCTION("""COMPUTED_VALUE"""),140.0)</f>
        <v>140</v>
      </c>
      <c r="N117" s="89">
        <f>IFERROR(__xludf.DUMMYFUNCTION("""COMPUTED_VALUE"""),13.0)</f>
        <v>13</v>
      </c>
    </row>
    <row r="118">
      <c r="A118" s="11"/>
      <c r="B118" s="82" t="str">
        <f>IFERROR(__xludf.DUMMYFUNCTION("""COMPUTED_VALUE"""),"David Shin")</f>
        <v>David Shin</v>
      </c>
      <c r="C118" s="87">
        <f>IFERROR(__xludf.DUMMYFUNCTION("""COMPUTED_VALUE"""),131.0)</f>
        <v>131</v>
      </c>
      <c r="D118" s="87">
        <f>IFERROR(__xludf.DUMMYFUNCTION("""COMPUTED_VALUE"""),12.0)</f>
        <v>12</v>
      </c>
      <c r="E118" s="86">
        <f>IFERROR(__xludf.DUMMYFUNCTION("""COMPUTED_VALUE"""),1.0)</f>
        <v>1</v>
      </c>
      <c r="F118" s="88">
        <f>IFERROR(__xludf.DUMMYFUNCTION("""COMPUTED_VALUE"""),1.0)</f>
        <v>1</v>
      </c>
      <c r="G118" s="88">
        <f>IFERROR(__xludf.DUMMYFUNCTION("""COMPUTED_VALUE"""),0.0)</f>
        <v>0</v>
      </c>
      <c r="H118" s="88">
        <f>IFERROR(__xludf.DUMMYFUNCTION("""COMPUTED_VALUE"""),3.0)</f>
        <v>3</v>
      </c>
      <c r="I118" s="88">
        <f>IFERROR(__xludf.DUMMYFUNCTION("""COMPUTED_VALUE"""),6.0)</f>
        <v>6</v>
      </c>
      <c r="J118" s="88">
        <f>IFERROR(__xludf.DUMMYFUNCTION("""COMPUTED_VALUE"""),6.0)</f>
        <v>6</v>
      </c>
      <c r="K118" s="88">
        <f>IFERROR(__xludf.DUMMYFUNCTION("""COMPUTED_VALUE"""),15.0)</f>
        <v>15</v>
      </c>
      <c r="L118" s="88">
        <f>IFERROR(__xludf.DUMMYFUNCTION("""COMPUTED_VALUE"""),2.0)</f>
        <v>2</v>
      </c>
      <c r="M118" s="89">
        <f>IFERROR(__xludf.DUMMYFUNCTION("""COMPUTED_VALUE"""),146.0)</f>
        <v>146</v>
      </c>
      <c r="N118" s="89">
        <f>IFERROR(__xludf.DUMMYFUNCTION("""COMPUTED_VALUE"""),14.0)</f>
        <v>14</v>
      </c>
    </row>
    <row r="119">
      <c r="A119" s="11"/>
      <c r="B119" s="82" t="str">
        <f>IFERROR(__xludf.DUMMYFUNCTION("""COMPUTED_VALUE"""),"Rajasekar Ramasamy")</f>
        <v>Rajasekar Ramasamy</v>
      </c>
      <c r="C119" s="87">
        <f>IFERROR(__xludf.DUMMYFUNCTION("""COMPUTED_VALUE"""),130.0)</f>
        <v>130</v>
      </c>
      <c r="D119" s="87">
        <f>IFERROR(__xludf.DUMMYFUNCTION("""COMPUTED_VALUE"""),12.0)</f>
        <v>12</v>
      </c>
      <c r="E119" s="86">
        <f>IFERROR(__xludf.DUMMYFUNCTION("""COMPUTED_VALUE"""),1.0)</f>
        <v>1</v>
      </c>
      <c r="F119" s="88">
        <f>IFERROR(__xludf.DUMMYFUNCTION("""COMPUTED_VALUE"""),1.0)</f>
        <v>1</v>
      </c>
      <c r="G119" s="88">
        <f>IFERROR(__xludf.DUMMYFUNCTION("""COMPUTED_VALUE"""),0.0)</f>
        <v>0</v>
      </c>
      <c r="H119" s="88">
        <f>IFERROR(__xludf.DUMMYFUNCTION("""COMPUTED_VALUE"""),6.0)</f>
        <v>6</v>
      </c>
      <c r="I119" s="88">
        <f>IFERROR(__xludf.DUMMYFUNCTION("""COMPUTED_VALUE"""),6.0)</f>
        <v>6</v>
      </c>
      <c r="J119" s="88">
        <f>IFERROR(__xludf.DUMMYFUNCTION("""COMPUTED_VALUE"""),0.0)</f>
        <v>0</v>
      </c>
      <c r="K119" s="88">
        <f>IFERROR(__xludf.DUMMYFUNCTION("""COMPUTED_VALUE"""),12.0)</f>
        <v>12</v>
      </c>
      <c r="L119" s="88">
        <f>IFERROR(__xludf.DUMMYFUNCTION("""COMPUTED_VALUE"""),2.0)</f>
        <v>2</v>
      </c>
      <c r="M119" s="89">
        <f>IFERROR(__xludf.DUMMYFUNCTION("""COMPUTED_VALUE"""),142.0)</f>
        <v>142</v>
      </c>
      <c r="N119" s="89">
        <f>IFERROR(__xludf.DUMMYFUNCTION("""COMPUTED_VALUE"""),14.0)</f>
        <v>14</v>
      </c>
    </row>
    <row r="120">
      <c r="A120" s="11"/>
      <c r="B120" s="84" t="str">
        <f>IFERROR(__xludf.DUMMYFUNCTION("""COMPUTED_VALUE"""),"Jonathan Phan")</f>
        <v>Jonathan Phan</v>
      </c>
      <c r="C120" s="95">
        <f>IFERROR(__xludf.DUMMYFUNCTION("""COMPUTED_VALUE"""),129.0)</f>
        <v>129</v>
      </c>
      <c r="D120" s="95">
        <f>IFERROR(__xludf.DUMMYFUNCTION("""COMPUTED_VALUE"""),10.0)</f>
        <v>10</v>
      </c>
      <c r="E120" s="96">
        <f>IFERROR(__xludf.DUMMYFUNCTION("""COMPUTED_VALUE"""),1.0)</f>
        <v>1</v>
      </c>
      <c r="F120" s="97">
        <f>IFERROR(__xludf.DUMMYFUNCTION("""COMPUTED_VALUE"""),2.0)</f>
        <v>2</v>
      </c>
      <c r="G120" s="97">
        <f>IFERROR(__xludf.DUMMYFUNCTION("""COMPUTED_VALUE"""),0.0)</f>
        <v>0</v>
      </c>
      <c r="H120" s="97">
        <f>IFERROR(__xludf.DUMMYFUNCTION("""COMPUTED_VALUE"""),3.0)</f>
        <v>3</v>
      </c>
      <c r="I120" s="97">
        <f>IFERROR(__xludf.DUMMYFUNCTION("""COMPUTED_VALUE"""),6.0)</f>
        <v>6</v>
      </c>
      <c r="J120" s="97">
        <f>IFERROR(__xludf.DUMMYFUNCTION("""COMPUTED_VALUE"""),3.0)</f>
        <v>3</v>
      </c>
      <c r="K120" s="97">
        <f>IFERROR(__xludf.DUMMYFUNCTION("""COMPUTED_VALUE"""),12.0)</f>
        <v>12</v>
      </c>
      <c r="L120" s="97">
        <f>IFERROR(__xludf.DUMMYFUNCTION("""COMPUTED_VALUE"""),0.0)</f>
        <v>0</v>
      </c>
      <c r="M120" s="98">
        <f>IFERROR(__xludf.DUMMYFUNCTION("""COMPUTED_VALUE"""),141.0)</f>
        <v>141</v>
      </c>
      <c r="N120" s="98">
        <f>IFERROR(__xludf.DUMMYFUNCTION("""COMPUTED_VALUE"""),10.0)</f>
        <v>10</v>
      </c>
    </row>
    <row r="121">
      <c r="A121" s="11"/>
      <c r="B121" s="84" t="str">
        <f>IFERROR(__xludf.DUMMYFUNCTION("""COMPUTED_VALUE"""),"Ted Shen")</f>
        <v>Ted Shen</v>
      </c>
      <c r="C121" s="95">
        <f>IFERROR(__xludf.DUMMYFUNCTION("""COMPUTED_VALUE"""),128.0)</f>
        <v>128</v>
      </c>
      <c r="D121" s="95">
        <f>IFERROR(__xludf.DUMMYFUNCTION("""COMPUTED_VALUE"""),12.0)</f>
        <v>12</v>
      </c>
      <c r="E121" s="96">
        <f>IFERROR(__xludf.DUMMYFUNCTION("""COMPUTED_VALUE"""),1.0)</f>
        <v>1</v>
      </c>
      <c r="F121" s="97">
        <f>IFERROR(__xludf.DUMMYFUNCTION("""COMPUTED_VALUE"""),2.0)</f>
        <v>2</v>
      </c>
      <c r="G121" s="97">
        <f>IFERROR(__xludf.DUMMYFUNCTION("""COMPUTED_VALUE"""),0.0)</f>
        <v>0</v>
      </c>
      <c r="H121" s="97">
        <f>IFERROR(__xludf.DUMMYFUNCTION("""COMPUTED_VALUE"""),6.0)</f>
        <v>6</v>
      </c>
      <c r="I121" s="97">
        <f>IFERROR(__xludf.DUMMYFUNCTION("""COMPUTED_VALUE"""),7.0)</f>
        <v>7</v>
      </c>
      <c r="J121" s="97">
        <f>IFERROR(__xludf.DUMMYFUNCTION("""COMPUTED_VALUE"""),3.0)</f>
        <v>3</v>
      </c>
      <c r="K121" s="97">
        <f>IFERROR(__xludf.DUMMYFUNCTION("""COMPUTED_VALUE"""),16.0)</f>
        <v>16</v>
      </c>
      <c r="L121" s="97">
        <f>IFERROR(__xludf.DUMMYFUNCTION("""COMPUTED_VALUE"""),2.0)</f>
        <v>2</v>
      </c>
      <c r="M121" s="98">
        <f>IFERROR(__xludf.DUMMYFUNCTION("""COMPUTED_VALUE"""),144.0)</f>
        <v>144</v>
      </c>
      <c r="N121" s="98">
        <f>IFERROR(__xludf.DUMMYFUNCTION("""COMPUTED_VALUE"""),14.0)</f>
        <v>14</v>
      </c>
    </row>
    <row r="122">
      <c r="A122" s="11"/>
      <c r="B122" s="84" t="str">
        <f>IFERROR(__xludf.DUMMYFUNCTION("""COMPUTED_VALUE"""),"Alejandro Mejia")</f>
        <v>Alejandro Mejia</v>
      </c>
      <c r="C122" s="95">
        <f>IFERROR(__xludf.DUMMYFUNCTION("""COMPUTED_VALUE"""),127.0)</f>
        <v>127</v>
      </c>
      <c r="D122" s="95">
        <f>IFERROR(__xludf.DUMMYFUNCTION("""COMPUTED_VALUE"""),14.0)</f>
        <v>14</v>
      </c>
      <c r="E122" s="96">
        <f>IFERROR(__xludf.DUMMYFUNCTION("""COMPUTED_VALUE"""),1.0)</f>
        <v>1</v>
      </c>
      <c r="F122" s="97">
        <f>IFERROR(__xludf.DUMMYFUNCTION("""COMPUTED_VALUE"""),2.0)</f>
        <v>2</v>
      </c>
      <c r="G122" s="97">
        <f>IFERROR(__xludf.DUMMYFUNCTION("""COMPUTED_VALUE"""),0.0)</f>
        <v>0</v>
      </c>
      <c r="H122" s="97">
        <f>IFERROR(__xludf.DUMMYFUNCTION("""COMPUTED_VALUE"""),6.0)</f>
        <v>6</v>
      </c>
      <c r="I122" s="97">
        <f>IFERROR(__xludf.DUMMYFUNCTION("""COMPUTED_VALUE"""),6.0)</f>
        <v>6</v>
      </c>
      <c r="J122" s="97">
        <f>IFERROR(__xludf.DUMMYFUNCTION("""COMPUTED_VALUE"""),6.0)</f>
        <v>6</v>
      </c>
      <c r="K122" s="97">
        <f>IFERROR(__xludf.DUMMYFUNCTION("""COMPUTED_VALUE"""),18.0)</f>
        <v>18</v>
      </c>
      <c r="L122" s="97">
        <f>IFERROR(__xludf.DUMMYFUNCTION("""COMPUTED_VALUE"""),2.0)</f>
        <v>2</v>
      </c>
      <c r="M122" s="98">
        <f>IFERROR(__xludf.DUMMYFUNCTION("""COMPUTED_VALUE"""),145.0)</f>
        <v>145</v>
      </c>
      <c r="N122" s="98">
        <f>IFERROR(__xludf.DUMMYFUNCTION("""COMPUTED_VALUE"""),16.0)</f>
        <v>16</v>
      </c>
    </row>
    <row r="123">
      <c r="A123" s="11"/>
      <c r="B123" s="84" t="str">
        <f>IFERROR(__xludf.DUMMYFUNCTION("""COMPUTED_VALUE"""),"Frank Moon")</f>
        <v>Frank Moon</v>
      </c>
      <c r="C123" s="95">
        <f>IFERROR(__xludf.DUMMYFUNCTION("""COMPUTED_VALUE"""),126.0)</f>
        <v>126</v>
      </c>
      <c r="D123" s="95">
        <f>IFERROR(__xludf.DUMMYFUNCTION("""COMPUTED_VALUE"""),11.0)</f>
        <v>11</v>
      </c>
      <c r="E123" s="96">
        <f>IFERROR(__xludf.DUMMYFUNCTION("""COMPUTED_VALUE"""),1.0)</f>
        <v>1</v>
      </c>
      <c r="F123" s="97">
        <f>IFERROR(__xludf.DUMMYFUNCTION("""COMPUTED_VALUE"""),2.0)</f>
        <v>2</v>
      </c>
      <c r="G123" s="97">
        <f>IFERROR(__xludf.DUMMYFUNCTION("""COMPUTED_VALUE"""),0.0)</f>
        <v>0</v>
      </c>
      <c r="H123" s="97">
        <f>IFERROR(__xludf.DUMMYFUNCTION("""COMPUTED_VALUE"""),3.0)</f>
        <v>3</v>
      </c>
      <c r="I123" s="97">
        <f>IFERROR(__xludf.DUMMYFUNCTION("""COMPUTED_VALUE"""),7.0)</f>
        <v>7</v>
      </c>
      <c r="J123" s="97">
        <f>IFERROR(__xludf.DUMMYFUNCTION("""COMPUTED_VALUE"""),6.0)</f>
        <v>6</v>
      </c>
      <c r="K123" s="97">
        <f>IFERROR(__xludf.DUMMYFUNCTION("""COMPUTED_VALUE"""),16.0)</f>
        <v>16</v>
      </c>
      <c r="L123" s="97">
        <f>IFERROR(__xludf.DUMMYFUNCTION("""COMPUTED_VALUE"""),2.0)</f>
        <v>2</v>
      </c>
      <c r="M123" s="98">
        <f>IFERROR(__xludf.DUMMYFUNCTION("""COMPUTED_VALUE"""),142.0)</f>
        <v>142</v>
      </c>
      <c r="N123" s="98">
        <f>IFERROR(__xludf.DUMMYFUNCTION("""COMPUTED_VALUE"""),13.0)</f>
        <v>13</v>
      </c>
    </row>
    <row r="124">
      <c r="A124" s="11"/>
      <c r="B124" s="84" t="str">
        <f>IFERROR(__xludf.DUMMYFUNCTION("""COMPUTED_VALUE"""),"Scott Li")</f>
        <v>Scott Li</v>
      </c>
      <c r="C124" s="87">
        <f>IFERROR(__xludf.DUMMYFUNCTION("""COMPUTED_VALUE"""),124.0)</f>
        <v>124</v>
      </c>
      <c r="D124" s="87">
        <f>IFERROR(__xludf.DUMMYFUNCTION("""COMPUTED_VALUE"""),11.0)</f>
        <v>11</v>
      </c>
      <c r="E124" s="86">
        <f>IFERROR(__xludf.DUMMYFUNCTION("""COMPUTED_VALUE"""),1.0)</f>
        <v>1</v>
      </c>
      <c r="F124" s="88">
        <f>IFERROR(__xludf.DUMMYFUNCTION("""COMPUTED_VALUE"""),3.0)</f>
        <v>3</v>
      </c>
      <c r="G124" s="88">
        <f>IFERROR(__xludf.DUMMYFUNCTION("""COMPUTED_VALUE"""),0.0)</f>
        <v>0</v>
      </c>
      <c r="H124" s="88">
        <f>IFERROR(__xludf.DUMMYFUNCTION("""COMPUTED_VALUE"""),6.0)</f>
        <v>6</v>
      </c>
      <c r="I124" s="88">
        <f>IFERROR(__xludf.DUMMYFUNCTION("""COMPUTED_VALUE"""),3.0)</f>
        <v>3</v>
      </c>
      <c r="J124" s="88">
        <f>IFERROR(__xludf.DUMMYFUNCTION("""COMPUTED_VALUE"""),4.0)</f>
        <v>4</v>
      </c>
      <c r="K124" s="88">
        <f>IFERROR(__xludf.DUMMYFUNCTION("""COMPUTED_VALUE"""),13.0)</f>
        <v>13</v>
      </c>
      <c r="L124" s="88">
        <f>IFERROR(__xludf.DUMMYFUNCTION("""COMPUTED_VALUE"""),1.0)</f>
        <v>1</v>
      </c>
      <c r="M124" s="89">
        <f>IFERROR(__xludf.DUMMYFUNCTION("""COMPUTED_VALUE"""),137.0)</f>
        <v>137</v>
      </c>
      <c r="N124" s="89">
        <f>IFERROR(__xludf.DUMMYFUNCTION("""COMPUTED_VALUE"""),12.0)</f>
        <v>12</v>
      </c>
    </row>
    <row r="125">
      <c r="A125" s="11"/>
      <c r="B125" s="84" t="str">
        <f>IFERROR(__xludf.DUMMYFUNCTION("""COMPUTED_VALUE"""),"Alex Hou")</f>
        <v>Alex Hou</v>
      </c>
      <c r="C125" s="87">
        <f>IFERROR(__xludf.DUMMYFUNCTION("""COMPUTED_VALUE"""),124.0)</f>
        <v>124</v>
      </c>
      <c r="D125" s="87">
        <f>IFERROR(__xludf.DUMMYFUNCTION("""COMPUTED_VALUE"""),11.0)</f>
        <v>11</v>
      </c>
      <c r="E125" s="86">
        <f>IFERROR(__xludf.DUMMYFUNCTION("""COMPUTED_VALUE"""),1.0)</f>
        <v>1</v>
      </c>
      <c r="F125" s="88">
        <f>IFERROR(__xludf.DUMMYFUNCTION("""COMPUTED_VALUE"""),3.0)</f>
        <v>3</v>
      </c>
      <c r="G125" s="88">
        <f>IFERROR(__xludf.DUMMYFUNCTION("""COMPUTED_VALUE"""),0.0)</f>
        <v>0</v>
      </c>
      <c r="H125" s="88">
        <f>IFERROR(__xludf.DUMMYFUNCTION("""COMPUTED_VALUE"""),2.0)</f>
        <v>2</v>
      </c>
      <c r="I125" s="88">
        <f>IFERROR(__xludf.DUMMYFUNCTION("""COMPUTED_VALUE"""),6.0)</f>
        <v>6</v>
      </c>
      <c r="J125" s="88">
        <f>IFERROR(__xludf.DUMMYFUNCTION("""COMPUTED_VALUE"""),4.0)</f>
        <v>4</v>
      </c>
      <c r="K125" s="88">
        <f>IFERROR(__xludf.DUMMYFUNCTION("""COMPUTED_VALUE"""),12.0)</f>
        <v>12</v>
      </c>
      <c r="L125" s="88">
        <f>IFERROR(__xludf.DUMMYFUNCTION("""COMPUTED_VALUE"""),1.0)</f>
        <v>1</v>
      </c>
      <c r="M125" s="89">
        <f>IFERROR(__xludf.DUMMYFUNCTION("""COMPUTED_VALUE"""),136.0)</f>
        <v>136</v>
      </c>
      <c r="N125" s="89">
        <f>IFERROR(__xludf.DUMMYFUNCTION("""COMPUTED_VALUE"""),12.0)</f>
        <v>12</v>
      </c>
    </row>
    <row r="126">
      <c r="A126" s="11"/>
      <c r="B126" s="82" t="str">
        <f>IFERROR(__xludf.DUMMYFUNCTION("""COMPUTED_VALUE"""),"James Phan")</f>
        <v>James Phan</v>
      </c>
      <c r="C126" s="87">
        <f>IFERROR(__xludf.DUMMYFUNCTION("""COMPUTED_VALUE"""),124.0)</f>
        <v>124</v>
      </c>
      <c r="D126" s="87">
        <f>IFERROR(__xludf.DUMMYFUNCTION("""COMPUTED_VALUE"""),10.0)</f>
        <v>10</v>
      </c>
      <c r="E126" s="86">
        <f>IFERROR(__xludf.DUMMYFUNCTION("""COMPUTED_VALUE"""),1.0)</f>
        <v>1</v>
      </c>
      <c r="F126" s="88">
        <f>IFERROR(__xludf.DUMMYFUNCTION("""COMPUTED_VALUE"""),3.0)</f>
        <v>3</v>
      </c>
      <c r="G126" s="88">
        <f>IFERROR(__xludf.DUMMYFUNCTION("""COMPUTED_VALUE"""),0.0)</f>
        <v>0</v>
      </c>
      <c r="H126" s="88">
        <f>IFERROR(__xludf.DUMMYFUNCTION("""COMPUTED_VALUE"""),6.0)</f>
        <v>6</v>
      </c>
      <c r="I126" s="88">
        <f>IFERROR(__xludf.DUMMYFUNCTION("""COMPUTED_VALUE"""),6.0)</f>
        <v>6</v>
      </c>
      <c r="J126" s="88">
        <f>IFERROR(__xludf.DUMMYFUNCTION("""COMPUTED_VALUE"""),6.0)</f>
        <v>6</v>
      </c>
      <c r="K126" s="88">
        <f>IFERROR(__xludf.DUMMYFUNCTION("""COMPUTED_VALUE"""),18.0)</f>
        <v>18</v>
      </c>
      <c r="L126" s="88">
        <f>IFERROR(__xludf.DUMMYFUNCTION("""COMPUTED_VALUE"""),3.0)</f>
        <v>3</v>
      </c>
      <c r="M126" s="89">
        <f>IFERROR(__xludf.DUMMYFUNCTION("""COMPUTED_VALUE"""),142.0)</f>
        <v>142</v>
      </c>
      <c r="N126" s="89">
        <f>IFERROR(__xludf.DUMMYFUNCTION("""COMPUTED_VALUE"""),13.0)</f>
        <v>13</v>
      </c>
    </row>
    <row r="127">
      <c r="A127" s="11"/>
      <c r="B127" s="82" t="str">
        <f>IFERROR(__xludf.DUMMYFUNCTION("""COMPUTED_VALUE"""),"Ramesh Bandaru")</f>
        <v>Ramesh Bandaru</v>
      </c>
      <c r="C127" s="87">
        <f>IFERROR(__xludf.DUMMYFUNCTION("""COMPUTED_VALUE"""),123.0)</f>
        <v>123</v>
      </c>
      <c r="D127" s="87">
        <f>IFERROR(__xludf.DUMMYFUNCTION("""COMPUTED_VALUE"""),9.0)</f>
        <v>9</v>
      </c>
      <c r="E127" s="86">
        <f>IFERROR(__xludf.DUMMYFUNCTION("""COMPUTED_VALUE"""),1.0)</f>
        <v>1</v>
      </c>
      <c r="F127" s="88">
        <f>IFERROR(__xludf.DUMMYFUNCTION("""COMPUTED_VALUE"""),3.0)</f>
        <v>3</v>
      </c>
      <c r="G127" s="88">
        <f>IFERROR(__xludf.DUMMYFUNCTION("""COMPUTED_VALUE"""),0.0)</f>
        <v>0</v>
      </c>
      <c r="H127" s="88">
        <f>IFERROR(__xludf.DUMMYFUNCTION("""COMPUTED_VALUE"""),2.0)</f>
        <v>2</v>
      </c>
      <c r="I127" s="88">
        <f>IFERROR(__xludf.DUMMYFUNCTION("""COMPUTED_VALUE"""),3.0)</f>
        <v>3</v>
      </c>
      <c r="J127" s="88">
        <f>IFERROR(__xludf.DUMMYFUNCTION("""COMPUTED_VALUE"""),6.0)</f>
        <v>6</v>
      </c>
      <c r="K127" s="88">
        <f>IFERROR(__xludf.DUMMYFUNCTION("""COMPUTED_VALUE"""),11.0)</f>
        <v>11</v>
      </c>
      <c r="L127" s="88">
        <f>IFERROR(__xludf.DUMMYFUNCTION("""COMPUTED_VALUE"""),1.0)</f>
        <v>1</v>
      </c>
      <c r="M127" s="89">
        <f>IFERROR(__xludf.DUMMYFUNCTION("""COMPUTED_VALUE"""),134.0)</f>
        <v>134</v>
      </c>
      <c r="N127" s="89">
        <f>IFERROR(__xludf.DUMMYFUNCTION("""COMPUTED_VALUE"""),10.0)</f>
        <v>10</v>
      </c>
    </row>
    <row r="128">
      <c r="A128" s="11"/>
      <c r="B128" s="84" t="str">
        <f>IFERROR(__xludf.DUMMYFUNCTION("""COMPUTED_VALUE"""),"Herman Au")</f>
        <v>Herman Au</v>
      </c>
      <c r="C128" s="95">
        <f>IFERROR(__xludf.DUMMYFUNCTION("""COMPUTED_VALUE"""),123.0)</f>
        <v>123</v>
      </c>
      <c r="D128" s="95">
        <f>IFERROR(__xludf.DUMMYFUNCTION("""COMPUTED_VALUE"""),8.0)</f>
        <v>8</v>
      </c>
      <c r="E128" s="96">
        <f>IFERROR(__xludf.DUMMYFUNCTION("""COMPUTED_VALUE"""),1.0)</f>
        <v>1</v>
      </c>
      <c r="F128" s="97">
        <f>IFERROR(__xludf.DUMMYFUNCTION("""COMPUTED_VALUE"""),4.0)</f>
        <v>4</v>
      </c>
      <c r="G128" s="97">
        <f>IFERROR(__xludf.DUMMYFUNCTION("""COMPUTED_VALUE"""),0.0)</f>
        <v>0</v>
      </c>
      <c r="H128" s="97">
        <f>IFERROR(__xludf.DUMMYFUNCTION("""COMPUTED_VALUE"""),2.0)</f>
        <v>2</v>
      </c>
      <c r="I128" s="97">
        <f>IFERROR(__xludf.DUMMYFUNCTION("""COMPUTED_VALUE"""),1.0)</f>
        <v>1</v>
      </c>
      <c r="J128" s="97">
        <f>IFERROR(__xludf.DUMMYFUNCTION("""COMPUTED_VALUE"""),6.0)</f>
        <v>6</v>
      </c>
      <c r="K128" s="97">
        <f>IFERROR(__xludf.DUMMYFUNCTION("""COMPUTED_VALUE"""),9.0)</f>
        <v>9</v>
      </c>
      <c r="L128" s="97">
        <f>IFERROR(__xludf.DUMMYFUNCTION("""COMPUTED_VALUE"""),1.0)</f>
        <v>1</v>
      </c>
      <c r="M128" s="98">
        <f>IFERROR(__xludf.DUMMYFUNCTION("""COMPUTED_VALUE"""),132.0)</f>
        <v>132</v>
      </c>
      <c r="N128" s="98">
        <f>IFERROR(__xludf.DUMMYFUNCTION("""COMPUTED_VALUE"""),9.0)</f>
        <v>9</v>
      </c>
    </row>
    <row r="129">
      <c r="A129" s="11"/>
      <c r="B129" s="84" t="str">
        <f>IFERROR(__xludf.DUMMYFUNCTION("""COMPUTED_VALUE"""),"Pavan Akkimsetty")</f>
        <v>Pavan Akkimsetty</v>
      </c>
      <c r="C129" s="95">
        <f>IFERROR(__xludf.DUMMYFUNCTION("""COMPUTED_VALUE"""),121.0)</f>
        <v>121</v>
      </c>
      <c r="D129" s="95">
        <f>IFERROR(__xludf.DUMMYFUNCTION("""COMPUTED_VALUE"""),9.0)</f>
        <v>9</v>
      </c>
      <c r="E129" s="96">
        <f>IFERROR(__xludf.DUMMYFUNCTION("""COMPUTED_VALUE"""),1.0)</f>
        <v>1</v>
      </c>
      <c r="F129" s="97">
        <f>IFERROR(__xludf.DUMMYFUNCTION("""COMPUTED_VALUE"""),4.0)</f>
        <v>4</v>
      </c>
      <c r="G129" s="97">
        <f>IFERROR(__xludf.DUMMYFUNCTION("""COMPUTED_VALUE"""),0.0)</f>
        <v>0</v>
      </c>
      <c r="H129" s="97">
        <f>IFERROR(__xludf.DUMMYFUNCTION("""COMPUTED_VALUE"""),6.0)</f>
        <v>6</v>
      </c>
      <c r="I129" s="97">
        <f>IFERROR(__xludf.DUMMYFUNCTION("""COMPUTED_VALUE"""),6.0)</f>
        <v>6</v>
      </c>
      <c r="J129" s="97">
        <f>IFERROR(__xludf.DUMMYFUNCTION("""COMPUTED_VALUE"""),6.0)</f>
        <v>6</v>
      </c>
      <c r="K129" s="97">
        <f>IFERROR(__xludf.DUMMYFUNCTION("""COMPUTED_VALUE"""),18.0)</f>
        <v>18</v>
      </c>
      <c r="L129" s="97">
        <f>IFERROR(__xludf.DUMMYFUNCTION("""COMPUTED_VALUE"""),3.0)</f>
        <v>3</v>
      </c>
      <c r="M129" s="98">
        <f>IFERROR(__xludf.DUMMYFUNCTION("""COMPUTED_VALUE"""),139.0)</f>
        <v>139</v>
      </c>
      <c r="N129" s="98">
        <f>IFERROR(__xludf.DUMMYFUNCTION("""COMPUTED_VALUE"""),12.0)</f>
        <v>12</v>
      </c>
    </row>
    <row r="130">
      <c r="A130" s="11"/>
      <c r="B130" s="84" t="str">
        <f>IFERROR(__xludf.DUMMYFUNCTION("""COMPUTED_VALUE"""),"Oscar Bonilla")</f>
        <v>Oscar Bonilla</v>
      </c>
      <c r="C130" s="95">
        <f>IFERROR(__xludf.DUMMYFUNCTION("""COMPUTED_VALUE"""),121.0)</f>
        <v>121</v>
      </c>
      <c r="D130" s="95">
        <f>IFERROR(__xludf.DUMMYFUNCTION("""COMPUTED_VALUE"""),7.0)</f>
        <v>7</v>
      </c>
      <c r="E130" s="96">
        <f>IFERROR(__xludf.DUMMYFUNCTION("""COMPUTED_VALUE"""),1.0)</f>
        <v>1</v>
      </c>
      <c r="F130" s="97">
        <f>IFERROR(__xludf.DUMMYFUNCTION("""COMPUTED_VALUE"""),4.0)</f>
        <v>4</v>
      </c>
      <c r="G130" s="97">
        <f>IFERROR(__xludf.DUMMYFUNCTION("""COMPUTED_VALUE"""),0.0)</f>
        <v>0</v>
      </c>
      <c r="H130" s="97">
        <f>IFERROR(__xludf.DUMMYFUNCTION("""COMPUTED_VALUE"""),2.0)</f>
        <v>2</v>
      </c>
      <c r="I130" s="97">
        <f>IFERROR(__xludf.DUMMYFUNCTION("""COMPUTED_VALUE"""),6.0)</f>
        <v>6</v>
      </c>
      <c r="J130" s="97">
        <f>IFERROR(__xludf.DUMMYFUNCTION("""COMPUTED_VALUE"""),3.0)</f>
        <v>3</v>
      </c>
      <c r="K130" s="97">
        <f>IFERROR(__xludf.DUMMYFUNCTION("""COMPUTED_VALUE"""),11.0)</f>
        <v>11</v>
      </c>
      <c r="L130" s="97">
        <f>IFERROR(__xludf.DUMMYFUNCTION("""COMPUTED_VALUE"""),1.0)</f>
        <v>1</v>
      </c>
      <c r="M130" s="98">
        <f>IFERROR(__xludf.DUMMYFUNCTION("""COMPUTED_VALUE"""),132.0)</f>
        <v>132</v>
      </c>
      <c r="N130" s="98">
        <f>IFERROR(__xludf.DUMMYFUNCTION("""COMPUTED_VALUE"""),8.0)</f>
        <v>8</v>
      </c>
    </row>
    <row r="131">
      <c r="A131" s="11"/>
      <c r="B131" s="84" t="str">
        <f>IFERROR(__xludf.DUMMYFUNCTION("""COMPUTED_VALUE"""),"Vamsi Lolla ")</f>
        <v>Vamsi Lolla </v>
      </c>
      <c r="C131" s="95">
        <f>IFERROR(__xludf.DUMMYFUNCTION("""COMPUTED_VALUE"""),121.0)</f>
        <v>121</v>
      </c>
      <c r="D131" s="95">
        <f>IFERROR(__xludf.DUMMYFUNCTION("""COMPUTED_VALUE"""),7.0)</f>
        <v>7</v>
      </c>
      <c r="E131" s="96">
        <f>IFERROR(__xludf.DUMMYFUNCTION("""COMPUTED_VALUE"""),2.0)</f>
        <v>2</v>
      </c>
      <c r="F131" s="97">
        <f>IFERROR(__xludf.DUMMYFUNCTION("""COMPUTED_VALUE"""),4.0)</f>
        <v>4</v>
      </c>
      <c r="G131" s="97">
        <f>IFERROR(__xludf.DUMMYFUNCTION("""COMPUTED_VALUE"""),0.0)</f>
        <v>0</v>
      </c>
      <c r="H131" s="97">
        <f>IFERROR(__xludf.DUMMYFUNCTION("""COMPUTED_VALUE"""),6.0)</f>
        <v>6</v>
      </c>
      <c r="I131" s="97">
        <f>IFERROR(__xludf.DUMMYFUNCTION("""COMPUTED_VALUE"""),1.0)</f>
        <v>1</v>
      </c>
      <c r="J131" s="97">
        <f>IFERROR(__xludf.DUMMYFUNCTION("""COMPUTED_VALUE"""),3.0)</f>
        <v>3</v>
      </c>
      <c r="K131" s="97">
        <f>IFERROR(__xludf.DUMMYFUNCTION("""COMPUTED_VALUE"""),10.0)</f>
        <v>10</v>
      </c>
      <c r="L131" s="97">
        <f>IFERROR(__xludf.DUMMYFUNCTION("""COMPUTED_VALUE"""),1.0)</f>
        <v>1</v>
      </c>
      <c r="M131" s="98">
        <f>IFERROR(__xludf.DUMMYFUNCTION("""COMPUTED_VALUE"""),131.0)</f>
        <v>131</v>
      </c>
      <c r="N131" s="98">
        <f>IFERROR(__xludf.DUMMYFUNCTION("""COMPUTED_VALUE"""),8.0)</f>
        <v>8</v>
      </c>
    </row>
    <row r="132">
      <c r="A132" s="11"/>
      <c r="B132" s="82" t="str">
        <f>IFERROR(__xludf.DUMMYFUNCTION("""COMPUTED_VALUE"""),"Lam Bui")</f>
        <v>Lam Bui</v>
      </c>
      <c r="C132" s="87">
        <f>IFERROR(__xludf.DUMMYFUNCTION("""COMPUTED_VALUE"""),116.0)</f>
        <v>116</v>
      </c>
      <c r="D132" s="87">
        <f>IFERROR(__xludf.DUMMYFUNCTION("""COMPUTED_VALUE"""),7.0)</f>
        <v>7</v>
      </c>
      <c r="E132" s="86">
        <f>IFERROR(__xludf.DUMMYFUNCTION("""COMPUTED_VALUE"""),1.0)</f>
        <v>1</v>
      </c>
      <c r="F132" s="88">
        <f>IFERROR(__xludf.DUMMYFUNCTION("""COMPUTED_VALUE"""),5.0)</f>
        <v>5</v>
      </c>
      <c r="G132" s="88">
        <f>IFERROR(__xludf.DUMMYFUNCTION("""COMPUTED_VALUE"""),0.0)</f>
        <v>0</v>
      </c>
      <c r="H132" s="88">
        <f>IFERROR(__xludf.DUMMYFUNCTION("""COMPUTED_VALUE"""),6.0)</f>
        <v>6</v>
      </c>
      <c r="I132" s="88">
        <f>IFERROR(__xludf.DUMMYFUNCTION("""COMPUTED_VALUE"""),6.0)</f>
        <v>6</v>
      </c>
      <c r="J132" s="88">
        <f>IFERROR(__xludf.DUMMYFUNCTION("""COMPUTED_VALUE"""),6.0)</f>
        <v>6</v>
      </c>
      <c r="K132" s="88">
        <f>IFERROR(__xludf.DUMMYFUNCTION("""COMPUTED_VALUE"""),18.0)</f>
        <v>18</v>
      </c>
      <c r="L132" s="88">
        <f>IFERROR(__xludf.DUMMYFUNCTION("""COMPUTED_VALUE"""),3.0)</f>
        <v>3</v>
      </c>
      <c r="M132" s="89">
        <f>IFERROR(__xludf.DUMMYFUNCTION("""COMPUTED_VALUE"""),134.0)</f>
        <v>134</v>
      </c>
      <c r="N132" s="89">
        <f>IFERROR(__xludf.DUMMYFUNCTION("""COMPUTED_VALUE"""),10.0)</f>
        <v>10</v>
      </c>
    </row>
    <row r="133">
      <c r="A133" s="11"/>
      <c r="B133" s="82" t="str">
        <f>IFERROR(__xludf.DUMMYFUNCTION("""COMPUTED_VALUE"""),"Wayne Liu")</f>
        <v>Wayne Liu</v>
      </c>
      <c r="C133" s="87">
        <f>IFERROR(__xludf.DUMMYFUNCTION("""COMPUTED_VALUE"""),113.0)</f>
        <v>113</v>
      </c>
      <c r="D133" s="87">
        <f>IFERROR(__xludf.DUMMYFUNCTION("""COMPUTED_VALUE"""),11.0)</f>
        <v>11</v>
      </c>
      <c r="E133" s="86">
        <f>IFERROR(__xludf.DUMMYFUNCTION("""COMPUTED_VALUE"""),1.0)</f>
        <v>1</v>
      </c>
      <c r="F133" s="88">
        <f>IFERROR(__xludf.DUMMYFUNCTION("""COMPUTED_VALUE"""),5.0)</f>
        <v>5</v>
      </c>
      <c r="G133" s="88">
        <f>IFERROR(__xludf.DUMMYFUNCTION("""COMPUTED_VALUE"""),0.0)</f>
        <v>0</v>
      </c>
      <c r="H133" s="88">
        <f>IFERROR(__xludf.DUMMYFUNCTION("""COMPUTED_VALUE"""),3.0)</f>
        <v>3</v>
      </c>
      <c r="I133" s="88">
        <f>IFERROR(__xludf.DUMMYFUNCTION("""COMPUTED_VALUE"""),2.0)</f>
        <v>2</v>
      </c>
      <c r="J133" s="88">
        <f>IFERROR(__xludf.DUMMYFUNCTION("""COMPUTED_VALUE"""),6.0)</f>
        <v>6</v>
      </c>
      <c r="K133" s="88">
        <f>IFERROR(__xludf.DUMMYFUNCTION("""COMPUTED_VALUE"""),11.0)</f>
        <v>11</v>
      </c>
      <c r="L133" s="88">
        <f>IFERROR(__xludf.DUMMYFUNCTION("""COMPUTED_VALUE"""),1.0)</f>
        <v>1</v>
      </c>
      <c r="M133" s="89">
        <f>IFERROR(__xludf.DUMMYFUNCTION("""COMPUTED_VALUE"""),124.0)</f>
        <v>124</v>
      </c>
      <c r="N133" s="89">
        <f>IFERROR(__xludf.DUMMYFUNCTION("""COMPUTED_VALUE"""),12.0)</f>
        <v>12</v>
      </c>
    </row>
    <row r="134">
      <c r="A134" s="11"/>
      <c r="B134" s="82" t="str">
        <f>IFERROR(__xludf.DUMMYFUNCTION("""COMPUTED_VALUE"""),"Kumar Palakeel")</f>
        <v>Kumar Palakeel</v>
      </c>
      <c r="C134" s="87">
        <f>IFERROR(__xludf.DUMMYFUNCTION("""COMPUTED_VALUE"""),111.0)</f>
        <v>111</v>
      </c>
      <c r="D134" s="87">
        <f>IFERROR(__xludf.DUMMYFUNCTION("""COMPUTED_VALUE"""),10.0)</f>
        <v>10</v>
      </c>
      <c r="E134" s="86">
        <f>IFERROR(__xludf.DUMMYFUNCTION("""COMPUTED_VALUE"""),1.0)</f>
        <v>1</v>
      </c>
      <c r="F134" s="88">
        <f>IFERROR(__xludf.DUMMYFUNCTION("""COMPUTED_VALUE"""),5.0)</f>
        <v>5</v>
      </c>
      <c r="G134" s="88">
        <f>IFERROR(__xludf.DUMMYFUNCTION("""COMPUTED_VALUE"""),0.0)</f>
        <v>0</v>
      </c>
      <c r="H134" s="88">
        <f>IFERROR(__xludf.DUMMYFUNCTION("""COMPUTED_VALUE"""),6.0)</f>
        <v>6</v>
      </c>
      <c r="I134" s="88">
        <f>IFERROR(__xludf.DUMMYFUNCTION("""COMPUTED_VALUE"""),2.0)</f>
        <v>2</v>
      </c>
      <c r="J134" s="88">
        <f>IFERROR(__xludf.DUMMYFUNCTION("""COMPUTED_VALUE"""),1.0)</f>
        <v>1</v>
      </c>
      <c r="K134" s="88">
        <f>IFERROR(__xludf.DUMMYFUNCTION("""COMPUTED_VALUE"""),9.0)</f>
        <v>9</v>
      </c>
      <c r="L134" s="88">
        <f>IFERROR(__xludf.DUMMYFUNCTION("""COMPUTED_VALUE"""),1.0)</f>
        <v>1</v>
      </c>
      <c r="M134" s="89">
        <f>IFERROR(__xludf.DUMMYFUNCTION("""COMPUTED_VALUE"""),120.0)</f>
        <v>120</v>
      </c>
      <c r="N134" s="89">
        <f>IFERROR(__xludf.DUMMYFUNCTION("""COMPUTED_VALUE"""),11.0)</f>
        <v>11</v>
      </c>
    </row>
    <row r="135">
      <c r="A135" s="11"/>
      <c r="B135" s="82" t="str">
        <f>IFERROR(__xludf.DUMMYFUNCTION("""COMPUTED_VALUE"""),"Saravanan Veerapandian")</f>
        <v>Saravanan Veerapandian</v>
      </c>
      <c r="C135" s="87">
        <f>IFERROR(__xludf.DUMMYFUNCTION("""COMPUTED_VALUE"""),111.0)</f>
        <v>111</v>
      </c>
      <c r="D135" s="87">
        <f>IFERROR(__xludf.DUMMYFUNCTION("""COMPUTED_VALUE"""),6.0)</f>
        <v>6</v>
      </c>
      <c r="E135" s="86">
        <f>IFERROR(__xludf.DUMMYFUNCTION("""COMPUTED_VALUE"""),1.0)</f>
        <v>1</v>
      </c>
      <c r="F135" s="88">
        <f>IFERROR(__xludf.DUMMYFUNCTION("""COMPUTED_VALUE"""),5.0)</f>
        <v>5</v>
      </c>
      <c r="G135" s="88">
        <f>IFERROR(__xludf.DUMMYFUNCTION("""COMPUTED_VALUE"""),0.0)</f>
        <v>0</v>
      </c>
      <c r="H135" s="88">
        <f>IFERROR(__xludf.DUMMYFUNCTION("""COMPUTED_VALUE"""),3.0)</f>
        <v>3</v>
      </c>
      <c r="I135" s="88">
        <f>IFERROR(__xludf.DUMMYFUNCTION("""COMPUTED_VALUE"""),6.0)</f>
        <v>6</v>
      </c>
      <c r="J135" s="88">
        <f>IFERROR(__xludf.DUMMYFUNCTION("""COMPUTED_VALUE"""),1.0)</f>
        <v>1</v>
      </c>
      <c r="K135" s="88">
        <f>IFERROR(__xludf.DUMMYFUNCTION("""COMPUTED_VALUE"""),10.0)</f>
        <v>10</v>
      </c>
      <c r="L135" s="88">
        <f>IFERROR(__xludf.DUMMYFUNCTION("""COMPUTED_VALUE"""),1.0)</f>
        <v>1</v>
      </c>
      <c r="M135" s="89">
        <f>IFERROR(__xludf.DUMMYFUNCTION("""COMPUTED_VALUE"""),121.0)</f>
        <v>121</v>
      </c>
      <c r="N135" s="89">
        <f>IFERROR(__xludf.DUMMYFUNCTION("""COMPUTED_VALUE"""),7.0)</f>
        <v>7</v>
      </c>
    </row>
    <row r="136">
      <c r="A136" s="11"/>
      <c r="B136" s="84" t="str">
        <f>IFERROR(__xludf.DUMMYFUNCTION("""COMPUTED_VALUE"""),"Jimmy Awolesi")</f>
        <v>Jimmy Awolesi</v>
      </c>
      <c r="C136" s="95">
        <f>IFERROR(__xludf.DUMMYFUNCTION("""COMPUTED_VALUE"""),110.0)</f>
        <v>110</v>
      </c>
      <c r="D136" s="95">
        <f>IFERROR(__xludf.DUMMYFUNCTION("""COMPUTED_VALUE"""),6.0)</f>
        <v>6</v>
      </c>
      <c r="E136" s="96">
        <f>IFERROR(__xludf.DUMMYFUNCTION("""COMPUTED_VALUE"""),1.0)</f>
        <v>1</v>
      </c>
      <c r="F136" s="97">
        <f>IFERROR(__xludf.DUMMYFUNCTION("""COMPUTED_VALUE"""),6.0)</f>
        <v>6</v>
      </c>
      <c r="G136" s="97">
        <f>IFERROR(__xludf.DUMMYFUNCTION("""COMPUTED_VALUE"""),0.0)</f>
        <v>0</v>
      </c>
      <c r="H136" s="97">
        <f>IFERROR(__xludf.DUMMYFUNCTION("""COMPUTED_VALUE"""),6.0)</f>
        <v>6</v>
      </c>
      <c r="I136" s="97">
        <f>IFERROR(__xludf.DUMMYFUNCTION("""COMPUTED_VALUE"""),6.0)</f>
        <v>6</v>
      </c>
      <c r="J136" s="97">
        <f>IFERROR(__xludf.DUMMYFUNCTION("""COMPUTED_VALUE"""),3.0)</f>
        <v>3</v>
      </c>
      <c r="K136" s="97">
        <f>IFERROR(__xludf.DUMMYFUNCTION("""COMPUTED_VALUE"""),15.0)</f>
        <v>15</v>
      </c>
      <c r="L136" s="97">
        <f>IFERROR(__xludf.DUMMYFUNCTION("""COMPUTED_VALUE"""),2.0)</f>
        <v>2</v>
      </c>
      <c r="M136" s="98">
        <f>IFERROR(__xludf.DUMMYFUNCTION("""COMPUTED_VALUE"""),125.0)</f>
        <v>125</v>
      </c>
      <c r="N136" s="98">
        <f>IFERROR(__xludf.DUMMYFUNCTION("""COMPUTED_VALUE"""),8.0)</f>
        <v>8</v>
      </c>
    </row>
    <row r="137">
      <c r="A137" s="11"/>
      <c r="B137" s="84" t="str">
        <f>IFERROR(__xludf.DUMMYFUNCTION("""COMPUTED_VALUE"""),"Chinna Ponnaganti")</f>
        <v>Chinna Ponnaganti</v>
      </c>
      <c r="C137" s="95">
        <f>IFERROR(__xludf.DUMMYFUNCTION("""COMPUTED_VALUE"""),108.0)</f>
        <v>108</v>
      </c>
      <c r="D137" s="95">
        <f>IFERROR(__xludf.DUMMYFUNCTION("""COMPUTED_VALUE"""),8.0)</f>
        <v>8</v>
      </c>
      <c r="E137" s="96">
        <f>IFERROR(__xludf.DUMMYFUNCTION("""COMPUTED_VALUE"""),1.0)</f>
        <v>1</v>
      </c>
      <c r="F137" s="97">
        <f>IFERROR(__xludf.DUMMYFUNCTION("""COMPUTED_VALUE"""),6.0)</f>
        <v>6</v>
      </c>
      <c r="G137" s="97">
        <f>IFERROR(__xludf.DUMMYFUNCTION("""COMPUTED_VALUE"""),0.0)</f>
        <v>0</v>
      </c>
      <c r="H137" s="97">
        <f>IFERROR(__xludf.DUMMYFUNCTION("""COMPUTED_VALUE"""),6.0)</f>
        <v>6</v>
      </c>
      <c r="I137" s="97">
        <f>IFERROR(__xludf.DUMMYFUNCTION("""COMPUTED_VALUE"""),0.0)</f>
        <v>0</v>
      </c>
      <c r="J137" s="97">
        <f>IFERROR(__xludf.DUMMYFUNCTION("""COMPUTED_VALUE"""),6.0)</f>
        <v>6</v>
      </c>
      <c r="K137" s="97">
        <f>IFERROR(__xludf.DUMMYFUNCTION("""COMPUTED_VALUE"""),12.0)</f>
        <v>12</v>
      </c>
      <c r="L137" s="97">
        <f>IFERROR(__xludf.DUMMYFUNCTION("""COMPUTED_VALUE"""),2.0)</f>
        <v>2</v>
      </c>
      <c r="M137" s="98">
        <f>IFERROR(__xludf.DUMMYFUNCTION("""COMPUTED_VALUE"""),120.0)</f>
        <v>120</v>
      </c>
      <c r="N137" s="98">
        <f>IFERROR(__xludf.DUMMYFUNCTION("""COMPUTED_VALUE"""),10.0)</f>
        <v>10</v>
      </c>
    </row>
    <row r="138">
      <c r="A138" s="11"/>
      <c r="B138" s="84" t="str">
        <f>IFERROR(__xludf.DUMMYFUNCTION("""COMPUTED_VALUE"""),"Sanjaye Elayattu")</f>
        <v>Sanjaye Elayattu</v>
      </c>
      <c r="C138" s="95">
        <f>IFERROR(__xludf.DUMMYFUNCTION("""COMPUTED_VALUE"""),108.0)</f>
        <v>108</v>
      </c>
      <c r="D138" s="95">
        <f>IFERROR(__xludf.DUMMYFUNCTION("""COMPUTED_VALUE"""),4.0)</f>
        <v>4</v>
      </c>
      <c r="E138" s="96">
        <f>IFERROR(__xludf.DUMMYFUNCTION("""COMPUTED_VALUE"""),1.0)</f>
        <v>1</v>
      </c>
      <c r="F138" s="97">
        <f>IFERROR(__xludf.DUMMYFUNCTION("""COMPUTED_VALUE"""),6.0)</f>
        <v>6</v>
      </c>
      <c r="G138" s="97">
        <f>IFERROR(__xludf.DUMMYFUNCTION("""COMPUTED_VALUE"""),0.0)</f>
        <v>0</v>
      </c>
      <c r="H138" s="97">
        <f>IFERROR(__xludf.DUMMYFUNCTION("""COMPUTED_VALUE"""),1.0)</f>
        <v>1</v>
      </c>
      <c r="I138" s="97">
        <f>IFERROR(__xludf.DUMMYFUNCTION("""COMPUTED_VALUE"""),6.0)</f>
        <v>6</v>
      </c>
      <c r="J138" s="97">
        <f>IFERROR(__xludf.DUMMYFUNCTION("""COMPUTED_VALUE"""),6.0)</f>
        <v>6</v>
      </c>
      <c r="K138" s="97">
        <f>IFERROR(__xludf.DUMMYFUNCTION("""COMPUTED_VALUE"""),13.0)</f>
        <v>13</v>
      </c>
      <c r="L138" s="97">
        <f>IFERROR(__xludf.DUMMYFUNCTION("""COMPUTED_VALUE"""),2.0)</f>
        <v>2</v>
      </c>
      <c r="M138" s="98">
        <f>IFERROR(__xludf.DUMMYFUNCTION("""COMPUTED_VALUE"""),121.0)</f>
        <v>121</v>
      </c>
      <c r="N138" s="98">
        <f>IFERROR(__xludf.DUMMYFUNCTION("""COMPUTED_VALUE"""),6.0)</f>
        <v>6</v>
      </c>
    </row>
    <row r="139">
      <c r="A139" s="11"/>
      <c r="B139" s="84" t="str">
        <f>IFERROR(__xludf.DUMMYFUNCTION("""COMPUTED_VALUE"""),"Eric Tan")</f>
        <v>Eric Tan</v>
      </c>
      <c r="C139" s="95">
        <f>IFERROR(__xludf.DUMMYFUNCTION("""COMPUTED_VALUE"""),106.0)</f>
        <v>106</v>
      </c>
      <c r="D139" s="95">
        <f>IFERROR(__xludf.DUMMYFUNCTION("""COMPUTED_VALUE"""),7.0)</f>
        <v>7</v>
      </c>
      <c r="E139" s="96">
        <f>IFERROR(__xludf.DUMMYFUNCTION("""COMPUTED_VALUE"""),1.0)</f>
        <v>1</v>
      </c>
      <c r="F139" s="97">
        <f>IFERROR(__xludf.DUMMYFUNCTION("""COMPUTED_VALUE"""),6.0)</f>
        <v>6</v>
      </c>
      <c r="G139" s="97">
        <f>IFERROR(__xludf.DUMMYFUNCTION("""COMPUTED_VALUE"""),0.0)</f>
        <v>0</v>
      </c>
      <c r="H139" s="97">
        <f>IFERROR(__xludf.DUMMYFUNCTION("""COMPUTED_VALUE"""),1.0)</f>
        <v>1</v>
      </c>
      <c r="I139" s="97">
        <f>IFERROR(__xludf.DUMMYFUNCTION("""COMPUTED_VALUE"""),0.0)</f>
        <v>0</v>
      </c>
      <c r="J139" s="97">
        <f>IFERROR(__xludf.DUMMYFUNCTION("""COMPUTED_VALUE"""),3.0)</f>
        <v>3</v>
      </c>
      <c r="K139" s="97">
        <f>IFERROR(__xludf.DUMMYFUNCTION("""COMPUTED_VALUE"""),4.0)</f>
        <v>4</v>
      </c>
      <c r="L139" s="97">
        <f>IFERROR(__xludf.DUMMYFUNCTION("""COMPUTED_VALUE"""),0.0)</f>
        <v>0</v>
      </c>
      <c r="M139" s="98">
        <f>IFERROR(__xludf.DUMMYFUNCTION("""COMPUTED_VALUE"""),110.0)</f>
        <v>110</v>
      </c>
      <c r="N139" s="98">
        <f>IFERROR(__xludf.DUMMYFUNCTION("""COMPUTED_VALUE"""),7.0)</f>
        <v>7</v>
      </c>
    </row>
    <row r="140">
      <c r="A140" s="11"/>
      <c r="B140" s="82" t="str">
        <f>IFERROR(__xludf.DUMMYFUNCTION("""COMPUTED_VALUE"""),"Mauricio Palacios")</f>
        <v>Mauricio Palacios</v>
      </c>
      <c r="C140" s="87">
        <f>IFERROR(__xludf.DUMMYFUNCTION("""COMPUTED_VALUE"""),105.0)</f>
        <v>105</v>
      </c>
      <c r="D140" s="87">
        <f>IFERROR(__xludf.DUMMYFUNCTION("""COMPUTED_VALUE"""),3.0)</f>
        <v>3</v>
      </c>
      <c r="E140" s="86">
        <f>IFERROR(__xludf.DUMMYFUNCTION("""COMPUTED_VALUE"""),1.0)</f>
        <v>1</v>
      </c>
      <c r="F140" s="88">
        <f>IFERROR(__xludf.DUMMYFUNCTION("""COMPUTED_VALUE"""),7.0)</f>
        <v>7</v>
      </c>
      <c r="G140" s="88">
        <f>IFERROR(__xludf.DUMMYFUNCTION("""COMPUTED_VALUE"""),0.0)</f>
        <v>0</v>
      </c>
      <c r="H140" s="88">
        <f>IFERROR(__xludf.DUMMYFUNCTION("""COMPUTED_VALUE"""),6.0)</f>
        <v>6</v>
      </c>
      <c r="I140" s="88">
        <f>IFERROR(__xludf.DUMMYFUNCTION("""COMPUTED_VALUE"""),1.0)</f>
        <v>1</v>
      </c>
      <c r="J140" s="88">
        <f>IFERROR(__xludf.DUMMYFUNCTION("""COMPUTED_VALUE"""),4.0)</f>
        <v>4</v>
      </c>
      <c r="K140" s="88">
        <f>IFERROR(__xludf.DUMMYFUNCTION("""COMPUTED_VALUE"""),11.0)</f>
        <v>11</v>
      </c>
      <c r="L140" s="88">
        <f>IFERROR(__xludf.DUMMYFUNCTION("""COMPUTED_VALUE"""),1.0)</f>
        <v>1</v>
      </c>
      <c r="M140" s="89">
        <f>IFERROR(__xludf.DUMMYFUNCTION("""COMPUTED_VALUE"""),116.0)</f>
        <v>116</v>
      </c>
      <c r="N140" s="89">
        <f>IFERROR(__xludf.DUMMYFUNCTION("""COMPUTED_VALUE"""),4.0)</f>
        <v>4</v>
      </c>
    </row>
    <row r="141">
      <c r="A141" s="11"/>
      <c r="B141" s="82" t="str">
        <f>IFERROR(__xludf.DUMMYFUNCTION("""COMPUTED_VALUE"""),"Vinaya Kajla")</f>
        <v>Vinaya Kajla</v>
      </c>
      <c r="C141" s="87">
        <f>IFERROR(__xludf.DUMMYFUNCTION("""COMPUTED_VALUE"""),102.0)</f>
        <v>102</v>
      </c>
      <c r="D141" s="87">
        <f>IFERROR(__xludf.DUMMYFUNCTION("""COMPUTED_VALUE"""),6.0)</f>
        <v>6</v>
      </c>
      <c r="E141" s="86">
        <f>IFERROR(__xludf.DUMMYFUNCTION("""COMPUTED_VALUE"""),1.0)</f>
        <v>1</v>
      </c>
      <c r="F141" s="88">
        <f>IFERROR(__xludf.DUMMYFUNCTION("""COMPUTED_VALUE"""),7.0)</f>
        <v>7</v>
      </c>
      <c r="G141" s="88">
        <f>IFERROR(__xludf.DUMMYFUNCTION("""COMPUTED_VALUE"""),0.0)</f>
        <v>0</v>
      </c>
      <c r="H141" s="88">
        <f>IFERROR(__xludf.DUMMYFUNCTION("""COMPUTED_VALUE"""),2.0)</f>
        <v>2</v>
      </c>
      <c r="I141" s="88">
        <f>IFERROR(__xludf.DUMMYFUNCTION("""COMPUTED_VALUE"""),1.0)</f>
        <v>1</v>
      </c>
      <c r="J141" s="88">
        <f>IFERROR(__xludf.DUMMYFUNCTION("""COMPUTED_VALUE"""),6.0)</f>
        <v>6</v>
      </c>
      <c r="K141" s="88">
        <f>IFERROR(__xludf.DUMMYFUNCTION("""COMPUTED_VALUE"""),9.0)</f>
        <v>9</v>
      </c>
      <c r="L141" s="88">
        <f>IFERROR(__xludf.DUMMYFUNCTION("""COMPUTED_VALUE"""),1.0)</f>
        <v>1</v>
      </c>
      <c r="M141" s="89">
        <f>IFERROR(__xludf.DUMMYFUNCTION("""COMPUTED_VALUE"""),111.0)</f>
        <v>111</v>
      </c>
      <c r="N141" s="89">
        <f>IFERROR(__xludf.DUMMYFUNCTION("""COMPUTED_VALUE"""),7.0)</f>
        <v>7</v>
      </c>
    </row>
    <row r="142">
      <c r="A142" s="11"/>
      <c r="B142" s="82" t="str">
        <f>IFERROR(__xludf.DUMMYFUNCTION("""COMPUTED_VALUE"""),"Sai Dilip Ponnaganti")</f>
        <v>Sai Dilip Ponnaganti</v>
      </c>
      <c r="C142" s="87">
        <f>IFERROR(__xludf.DUMMYFUNCTION("""COMPUTED_VALUE"""),102.0)</f>
        <v>102</v>
      </c>
      <c r="D142" s="87">
        <f>IFERROR(__xludf.DUMMYFUNCTION("""COMPUTED_VALUE"""),4.0)</f>
        <v>4</v>
      </c>
      <c r="E142" s="86">
        <f>IFERROR(__xludf.DUMMYFUNCTION("""COMPUTED_VALUE"""),1.0)</f>
        <v>1</v>
      </c>
      <c r="F142" s="88">
        <f>IFERROR(__xludf.DUMMYFUNCTION("""COMPUTED_VALUE"""),7.0)</f>
        <v>7</v>
      </c>
      <c r="G142" s="88">
        <f>IFERROR(__xludf.DUMMYFUNCTION("""COMPUTED_VALUE"""),0.0)</f>
        <v>0</v>
      </c>
      <c r="H142" s="88">
        <f>IFERROR(__xludf.DUMMYFUNCTION("""COMPUTED_VALUE"""),2.0)</f>
        <v>2</v>
      </c>
      <c r="I142" s="88">
        <f>IFERROR(__xludf.DUMMYFUNCTION("""COMPUTED_VALUE"""),6.0)</f>
        <v>6</v>
      </c>
      <c r="J142" s="88">
        <f>IFERROR(__xludf.DUMMYFUNCTION("""COMPUTED_VALUE"""),4.0)</f>
        <v>4</v>
      </c>
      <c r="K142" s="88">
        <f>IFERROR(__xludf.DUMMYFUNCTION("""COMPUTED_VALUE"""),12.0)</f>
        <v>12</v>
      </c>
      <c r="L142" s="88">
        <f>IFERROR(__xludf.DUMMYFUNCTION("""COMPUTED_VALUE"""),1.0)</f>
        <v>1</v>
      </c>
      <c r="M142" s="89">
        <f>IFERROR(__xludf.DUMMYFUNCTION("""COMPUTED_VALUE"""),114.0)</f>
        <v>114</v>
      </c>
      <c r="N142" s="89">
        <f>IFERROR(__xludf.DUMMYFUNCTION("""COMPUTED_VALUE"""),5.0)</f>
        <v>5</v>
      </c>
    </row>
    <row r="143">
      <c r="A143" s="11"/>
      <c r="B143" s="82" t="str">
        <f>IFERROR(__xludf.DUMMYFUNCTION("""COMPUTED_VALUE"""),"Pulkit Mathur")</f>
        <v>Pulkit Mathur</v>
      </c>
      <c r="C143" s="87">
        <f>IFERROR(__xludf.DUMMYFUNCTION("""COMPUTED_VALUE"""),99.0)</f>
        <v>99</v>
      </c>
      <c r="D143" s="87">
        <f>IFERROR(__xludf.DUMMYFUNCTION("""COMPUTED_VALUE"""),3.0)</f>
        <v>3</v>
      </c>
      <c r="E143" s="86">
        <f>IFERROR(__xludf.DUMMYFUNCTION("""COMPUTED_VALUE"""),1.0)</f>
        <v>1</v>
      </c>
      <c r="F143" s="88">
        <f>IFERROR(__xludf.DUMMYFUNCTION("""COMPUTED_VALUE"""),7.0)</f>
        <v>7</v>
      </c>
      <c r="G143" s="88">
        <f>IFERROR(__xludf.DUMMYFUNCTION("""COMPUTED_VALUE"""),0.0)</f>
        <v>0</v>
      </c>
      <c r="H143" s="88">
        <f>IFERROR(__xludf.DUMMYFUNCTION("""COMPUTED_VALUE"""),6.0)</f>
        <v>6</v>
      </c>
      <c r="I143" s="88">
        <f>IFERROR(__xludf.DUMMYFUNCTION("""COMPUTED_VALUE"""),6.0)</f>
        <v>6</v>
      </c>
      <c r="J143" s="88">
        <f>IFERROR(__xludf.DUMMYFUNCTION("""COMPUTED_VALUE"""),6.0)</f>
        <v>6</v>
      </c>
      <c r="K143" s="88">
        <f>IFERROR(__xludf.DUMMYFUNCTION("""COMPUTED_VALUE"""),18.0)</f>
        <v>18</v>
      </c>
      <c r="L143" s="88">
        <f>IFERROR(__xludf.DUMMYFUNCTION("""COMPUTED_VALUE"""),3.0)</f>
        <v>3</v>
      </c>
      <c r="M143" s="89">
        <f>IFERROR(__xludf.DUMMYFUNCTION("""COMPUTED_VALUE"""),117.0)</f>
        <v>117</v>
      </c>
      <c r="N143" s="89">
        <f>IFERROR(__xludf.DUMMYFUNCTION("""COMPUTED_VALUE"""),6.0)</f>
        <v>6</v>
      </c>
    </row>
    <row r="144">
      <c r="A144" s="11"/>
      <c r="B144" s="84" t="str">
        <f>IFERROR(__xludf.DUMMYFUNCTION("""COMPUTED_VALUE"""),"Rajesh Dorairaj")</f>
        <v>Rajesh Dorairaj</v>
      </c>
      <c r="C144" s="95">
        <f>IFERROR(__xludf.DUMMYFUNCTION("""COMPUTED_VALUE"""),96.0)</f>
        <v>96</v>
      </c>
      <c r="D144" s="95">
        <f>IFERROR(__xludf.DUMMYFUNCTION("""COMPUTED_VALUE"""),2.0)</f>
        <v>2</v>
      </c>
      <c r="E144" s="96">
        <f>IFERROR(__xludf.DUMMYFUNCTION("""COMPUTED_VALUE"""),1.0)</f>
        <v>1</v>
      </c>
      <c r="F144" s="97">
        <f>IFERROR(__xludf.DUMMYFUNCTION("""COMPUTED_VALUE"""),8.0)</f>
        <v>8</v>
      </c>
      <c r="G144" s="97">
        <f>IFERROR(__xludf.DUMMYFUNCTION("""COMPUTED_VALUE"""),0.0)</f>
        <v>0</v>
      </c>
      <c r="H144" s="97">
        <f>IFERROR(__xludf.DUMMYFUNCTION("""COMPUTED_VALUE"""),1.0)</f>
        <v>1</v>
      </c>
      <c r="I144" s="97">
        <f>IFERROR(__xludf.DUMMYFUNCTION("""COMPUTED_VALUE"""),6.0)</f>
        <v>6</v>
      </c>
      <c r="J144" s="97">
        <f>IFERROR(__xludf.DUMMYFUNCTION("""COMPUTED_VALUE"""),6.0)</f>
        <v>6</v>
      </c>
      <c r="K144" s="97">
        <f>IFERROR(__xludf.DUMMYFUNCTION("""COMPUTED_VALUE"""),13.0)</f>
        <v>13</v>
      </c>
      <c r="L144" s="97">
        <f>IFERROR(__xludf.DUMMYFUNCTION("""COMPUTED_VALUE"""),2.0)</f>
        <v>2</v>
      </c>
      <c r="M144" s="98">
        <f>IFERROR(__xludf.DUMMYFUNCTION("""COMPUTED_VALUE"""),109.0)</f>
        <v>109</v>
      </c>
      <c r="N144" s="98">
        <f>IFERROR(__xludf.DUMMYFUNCTION("""COMPUTED_VALUE"""),4.0)</f>
        <v>4</v>
      </c>
    </row>
    <row r="145">
      <c r="A145" s="11"/>
      <c r="B145" s="84" t="str">
        <f>IFERROR(__xludf.DUMMYFUNCTION("""COMPUTED_VALUE"""),"Santosh Sundaresan ")</f>
        <v>Santosh Sundaresan </v>
      </c>
      <c r="C145" s="95">
        <f>IFERROR(__xludf.DUMMYFUNCTION("""COMPUTED_VALUE"""),94.0)</f>
        <v>94</v>
      </c>
      <c r="D145" s="95">
        <f>IFERROR(__xludf.DUMMYFUNCTION("""COMPUTED_VALUE"""),0.0)</f>
        <v>0</v>
      </c>
      <c r="E145" s="96">
        <f>IFERROR(__xludf.DUMMYFUNCTION("""COMPUTED_VALUE"""),1.0)</f>
        <v>1</v>
      </c>
      <c r="F145" s="97">
        <f>IFERROR(__xludf.DUMMYFUNCTION("""COMPUTED_VALUE"""),8.0)</f>
        <v>8</v>
      </c>
      <c r="G145" s="97">
        <f>IFERROR(__xludf.DUMMYFUNCTION("""COMPUTED_VALUE"""),0.0)</f>
        <v>0</v>
      </c>
      <c r="H145" s="97">
        <f>IFERROR(__xludf.DUMMYFUNCTION("""COMPUTED_VALUE"""),6.0)</f>
        <v>6</v>
      </c>
      <c r="I145" s="97">
        <f>IFERROR(__xludf.DUMMYFUNCTION("""COMPUTED_VALUE"""),6.0)</f>
        <v>6</v>
      </c>
      <c r="J145" s="97">
        <f>IFERROR(__xludf.DUMMYFUNCTION("""COMPUTED_VALUE"""),4.0)</f>
        <v>4</v>
      </c>
      <c r="K145" s="97">
        <f>IFERROR(__xludf.DUMMYFUNCTION("""COMPUTED_VALUE"""),16.0)</f>
        <v>16</v>
      </c>
      <c r="L145" s="97">
        <f>IFERROR(__xludf.DUMMYFUNCTION("""COMPUTED_VALUE"""),2.0)</f>
        <v>2</v>
      </c>
      <c r="M145" s="98">
        <f>IFERROR(__xludf.DUMMYFUNCTION("""COMPUTED_VALUE"""),110.0)</f>
        <v>110</v>
      </c>
      <c r="N145" s="98">
        <f>IFERROR(__xludf.DUMMYFUNCTION("""COMPUTED_VALUE"""),2.0)</f>
        <v>2</v>
      </c>
    </row>
    <row r="146">
      <c r="A146" s="11"/>
      <c r="B146" s="84" t="str">
        <f>IFERROR(__xludf.DUMMYFUNCTION("""COMPUTED_VALUE"""),"Nicole Ni")</f>
        <v>Nicole Ni</v>
      </c>
      <c r="C146" s="95">
        <f>IFERROR(__xludf.DUMMYFUNCTION("""COMPUTED_VALUE"""),93.0)</f>
        <v>93</v>
      </c>
      <c r="D146" s="95">
        <f>IFERROR(__xludf.DUMMYFUNCTION("""COMPUTED_VALUE"""),6.0)</f>
        <v>6</v>
      </c>
      <c r="E146" s="96">
        <f>IFERROR(__xludf.DUMMYFUNCTION("""COMPUTED_VALUE"""),1.0)</f>
        <v>1</v>
      </c>
      <c r="F146" s="97">
        <f>IFERROR(__xludf.DUMMYFUNCTION("""COMPUTED_VALUE"""),8.0)</f>
        <v>8</v>
      </c>
      <c r="G146" s="97">
        <f>IFERROR(__xludf.DUMMYFUNCTION("""COMPUTED_VALUE"""),0.0)</f>
        <v>0</v>
      </c>
      <c r="H146" s="97">
        <f>IFERROR(__xludf.DUMMYFUNCTION("""COMPUTED_VALUE"""),1.0)</f>
        <v>1</v>
      </c>
      <c r="I146" s="97">
        <f>IFERROR(__xludf.DUMMYFUNCTION("""COMPUTED_VALUE"""),1.0)</f>
        <v>1</v>
      </c>
      <c r="J146" s="97">
        <f>IFERROR(__xludf.DUMMYFUNCTION("""COMPUTED_VALUE"""),4.0)</f>
        <v>4</v>
      </c>
      <c r="K146" s="97">
        <f>IFERROR(__xludf.DUMMYFUNCTION("""COMPUTED_VALUE"""),6.0)</f>
        <v>6</v>
      </c>
      <c r="L146" s="97">
        <f>IFERROR(__xludf.DUMMYFUNCTION("""COMPUTED_VALUE"""),0.0)</f>
        <v>0</v>
      </c>
      <c r="M146" s="98">
        <f>IFERROR(__xludf.DUMMYFUNCTION("""COMPUTED_VALUE"""),99.0)</f>
        <v>99</v>
      </c>
      <c r="N146" s="98">
        <f>IFERROR(__xludf.DUMMYFUNCTION("""COMPUTED_VALUE"""),6.0)</f>
        <v>6</v>
      </c>
    </row>
    <row r="147">
      <c r="A147" s="11"/>
      <c r="B147" s="84" t="str">
        <f>IFERROR(__xludf.DUMMYFUNCTION("""COMPUTED_VALUE"""),"Sandy Weyant")</f>
        <v>Sandy Weyant</v>
      </c>
      <c r="C147" s="95">
        <f>IFERROR(__xludf.DUMMYFUNCTION("""COMPUTED_VALUE"""),91.0)</f>
        <v>91</v>
      </c>
      <c r="D147" s="95">
        <f>IFERROR(__xludf.DUMMYFUNCTION("""COMPUTED_VALUE"""),2.0)</f>
        <v>2</v>
      </c>
      <c r="E147" s="96">
        <f>IFERROR(__xludf.DUMMYFUNCTION("""COMPUTED_VALUE"""),1.0)</f>
        <v>1</v>
      </c>
      <c r="F147" s="97">
        <f>IFERROR(__xludf.DUMMYFUNCTION("""COMPUTED_VALUE"""),8.0)</f>
        <v>8</v>
      </c>
      <c r="G147" s="97">
        <f>IFERROR(__xludf.DUMMYFUNCTION("""COMPUTED_VALUE"""),0.0)</f>
        <v>0</v>
      </c>
      <c r="H147" s="97">
        <f>IFERROR(__xludf.DUMMYFUNCTION("""COMPUTED_VALUE"""),6.0)</f>
        <v>6</v>
      </c>
      <c r="I147" s="97">
        <f>IFERROR(__xludf.DUMMYFUNCTION("""COMPUTED_VALUE"""),1.0)</f>
        <v>1</v>
      </c>
      <c r="J147" s="97">
        <f>IFERROR(__xludf.DUMMYFUNCTION("""COMPUTED_VALUE"""),6.0)</f>
        <v>6</v>
      </c>
      <c r="K147" s="97">
        <f>IFERROR(__xludf.DUMMYFUNCTION("""COMPUTED_VALUE"""),13.0)</f>
        <v>13</v>
      </c>
      <c r="L147" s="97">
        <f>IFERROR(__xludf.DUMMYFUNCTION("""COMPUTED_VALUE"""),2.0)</f>
        <v>2</v>
      </c>
      <c r="M147" s="98">
        <f>IFERROR(__xludf.DUMMYFUNCTION("""COMPUTED_VALUE"""),104.0)</f>
        <v>104</v>
      </c>
      <c r="N147" s="98">
        <f>IFERROR(__xludf.DUMMYFUNCTION("""COMPUTED_VALUE"""),4.0)</f>
        <v>4</v>
      </c>
    </row>
    <row r="148">
      <c r="A148" s="11"/>
      <c r="C148" s="11"/>
      <c r="D148" s="11"/>
      <c r="E148" s="11"/>
    </row>
    <row r="149">
      <c r="A149" s="11"/>
      <c r="C149" s="11"/>
      <c r="D149" s="11"/>
      <c r="E149" s="11"/>
    </row>
    <row r="150">
      <c r="A150" s="11"/>
      <c r="C150" s="11"/>
      <c r="D150" s="11"/>
      <c r="E150" s="11"/>
    </row>
    <row r="151">
      <c r="A151" s="11"/>
      <c r="C151" s="11"/>
      <c r="D151" s="11"/>
      <c r="E151" s="11"/>
    </row>
    <row r="152">
      <c r="A152" s="11"/>
      <c r="C152" s="11"/>
      <c r="D152" s="11"/>
      <c r="E152" s="11"/>
    </row>
    <row r="153">
      <c r="A153" s="11"/>
      <c r="C153" s="11"/>
      <c r="D153" s="11"/>
      <c r="E153" s="11"/>
    </row>
    <row r="154">
      <c r="A154" s="11"/>
      <c r="C154" s="11"/>
      <c r="D154" s="11"/>
      <c r="E154" s="11"/>
    </row>
    <row r="155">
      <c r="A155" s="11"/>
      <c r="C155" s="11"/>
      <c r="D155" s="11"/>
      <c r="E155" s="11"/>
    </row>
    <row r="156">
      <c r="A156" s="11"/>
      <c r="C156" s="11"/>
      <c r="D156" s="11"/>
      <c r="E156" s="11"/>
    </row>
    <row r="157">
      <c r="A157" s="11"/>
      <c r="C157" s="11"/>
      <c r="D157" s="11"/>
      <c r="E157" s="11"/>
    </row>
    <row r="158">
      <c r="A158" s="11"/>
      <c r="B158" s="10" t="s">
        <v>166</v>
      </c>
      <c r="C158" s="11"/>
      <c r="D158" s="11"/>
      <c r="E158" s="11"/>
    </row>
    <row r="159">
      <c r="A159" s="11"/>
      <c r="B159" s="27" t="s">
        <v>31</v>
      </c>
      <c r="C159" s="29" t="s">
        <v>2</v>
      </c>
      <c r="D159" s="29" t="s">
        <v>4</v>
      </c>
      <c r="E159" s="29" t="s">
        <v>33</v>
      </c>
      <c r="F159" s="29" t="s">
        <v>35</v>
      </c>
      <c r="G159" s="29" t="s">
        <v>36</v>
      </c>
      <c r="H159" s="29" t="s">
        <v>6</v>
      </c>
      <c r="I159" s="29" t="s">
        <v>7</v>
      </c>
      <c r="J159" s="29" t="s">
        <v>8</v>
      </c>
      <c r="K159" s="29" t="s">
        <v>2</v>
      </c>
      <c r="L159" s="29" t="s">
        <v>4</v>
      </c>
      <c r="M159" s="28" t="s">
        <v>2</v>
      </c>
      <c r="N159" s="28" t="s">
        <v>4</v>
      </c>
    </row>
    <row r="160">
      <c r="A160" s="11"/>
      <c r="B160" s="82" t="str">
        <f>IFERROR(__xludf.DUMMYFUNCTION("QUERY(B5:N70, ""Select B, C, D, E, F, G, H, I, J, K, L, M, N   where F = 0"")"),"Adrian Tay")</f>
        <v>Adrian Tay</v>
      </c>
      <c r="C160" s="87">
        <f>IFERROR(__xludf.DUMMYFUNCTION("""COMPUTED_VALUE"""),162.0)</f>
        <v>162</v>
      </c>
      <c r="D160" s="87">
        <f>IFERROR(__xludf.DUMMYFUNCTION("""COMPUTED_VALUE"""),20.0)</f>
        <v>20</v>
      </c>
      <c r="E160" s="86">
        <f>IFERROR(__xludf.DUMMYFUNCTION("""COMPUTED_VALUE"""),5.0)</f>
        <v>5</v>
      </c>
      <c r="F160" s="88">
        <f>IFERROR(__xludf.DUMMYFUNCTION("""COMPUTED_VALUE"""),0.0)</f>
        <v>0</v>
      </c>
      <c r="G160" s="88">
        <f>IFERROR(__xludf.DUMMYFUNCTION("""COMPUTED_VALUE"""),13.0)</f>
        <v>13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IFERROR(__xludf.DUMMYFUNCTION("""COMPUTED_VALUE"""),13.0)</f>
        <v>13</v>
      </c>
      <c r="L160" s="88">
        <f>IFERROR(__xludf.DUMMYFUNCTION("""COMPUTED_VALUE"""),0.0)</f>
        <v>0</v>
      </c>
      <c r="M160" s="89">
        <f>IFERROR(__xludf.DUMMYFUNCTION("""COMPUTED_VALUE"""),175.0)</f>
        <v>175</v>
      </c>
      <c r="N160" s="89">
        <f>IFERROR(__xludf.DUMMYFUNCTION("""COMPUTED_VALUE"""),20.0)</f>
        <v>20</v>
      </c>
    </row>
    <row r="161">
      <c r="A161" s="11"/>
      <c r="B161" s="82" t="str">
        <f>IFERROR(__xludf.DUMMYFUNCTION("""COMPUTED_VALUE"""),"Tom Le")</f>
        <v>Tom Le</v>
      </c>
      <c r="C161" s="87">
        <f>IFERROR(__xludf.DUMMYFUNCTION("""COMPUTED_VALUE"""),144.0)</f>
        <v>144</v>
      </c>
      <c r="D161" s="87">
        <f>IFERROR(__xludf.DUMMYFUNCTION("""COMPUTED_VALUE"""),18.0)</f>
        <v>18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IFERROR(__xludf.DUMMYFUNCTION("""COMPUTED_VALUE"""),153.0)</f>
        <v>153</v>
      </c>
      <c r="N161" s="89">
        <f>IFERROR(__xludf.DUMMYFUNCTION("""COMPUTED_VALUE"""),18.0)</f>
        <v>18</v>
      </c>
    </row>
    <row r="162">
      <c r="A162" s="11"/>
      <c r="B162" s="82" t="str">
        <f>IFERROR(__xludf.DUMMYFUNCTION("""COMPUTED_VALUE"""),"Christopher Li")</f>
        <v>Christopher Li</v>
      </c>
      <c r="C162" s="87">
        <f>IFERROR(__xludf.DUMMYFUNCTION("""COMPUTED_VALUE"""),139.0)</f>
        <v>139</v>
      </c>
      <c r="D162" s="87">
        <f>IFERROR(__xludf.DUMMYFUNCTION("""COMPUTED_VALUE"""),15.0)</f>
        <v>15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IFERROR(__xludf.DUMMYFUNCTION("""COMPUTED_VALUE"""),148.0)</f>
        <v>148</v>
      </c>
      <c r="N162" s="89">
        <f>IFERROR(__xludf.DUMMYFUNCTION("""COMPUTED_VALUE"""),15.0)</f>
        <v>15</v>
      </c>
    </row>
    <row r="163">
      <c r="A163" s="11"/>
      <c r="B163" s="82" t="str">
        <f>IFERROR(__xludf.DUMMYFUNCTION("""COMPUTED_VALUE"""),"Luis Hsu")</f>
        <v>Luis Hsu</v>
      </c>
      <c r="C163" s="87">
        <f>IFERROR(__xludf.DUMMYFUNCTION("""COMPUTED_VALUE"""),135.0)</f>
        <v>135</v>
      </c>
      <c r="D163" s="87">
        <f>IFERROR(__xludf.DUMMYFUNCTION("""COMPUTED_VALUE"""),13.0)</f>
        <v>13</v>
      </c>
      <c r="E163" s="86">
        <f>IFERROR(__xludf.DUMMYFUNCTION("""COMPUTED_VALUE"""),5.0)</f>
        <v>5</v>
      </c>
      <c r="F163" s="88">
        <f>IFERROR(__xludf.DUMMYFUNCTION("""COMPUTED_VALUE"""),0.0)</f>
        <v>0</v>
      </c>
      <c r="G163" s="88">
        <f>IFERROR(__xludf.DUMMYFUNCTION("""COMPUTED_VALUE"""),13.0)</f>
        <v>13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IFERROR(__xludf.DUMMYFUNCTION("""COMPUTED_VALUE"""),13.0)</f>
        <v>13</v>
      </c>
      <c r="L163" s="88">
        <f>IFERROR(__xludf.DUMMYFUNCTION("""COMPUTED_VALUE"""),0.0)</f>
        <v>0</v>
      </c>
      <c r="M163" s="89">
        <f>IFERROR(__xludf.DUMMYFUNCTION("""COMPUTED_VALUE"""),148.0)</f>
        <v>148</v>
      </c>
      <c r="N163" s="89">
        <f>IFERROR(__xludf.DUMMYFUNCTION("""COMPUTED_VALUE"""),13.0)</f>
        <v>13</v>
      </c>
    </row>
    <row r="164">
      <c r="A164" s="11"/>
      <c r="B164" s="82" t="str">
        <f>IFERROR(__xludf.DUMMYFUNCTION("""COMPUTED_VALUE"""),"Matthew Huang")</f>
        <v>Matthew Huang</v>
      </c>
      <c r="C164" s="87">
        <f>IFERROR(__xludf.DUMMYFUNCTION("""COMPUTED_VALUE"""),131.0)</f>
        <v>131</v>
      </c>
      <c r="D164" s="87">
        <f>IFERROR(__xludf.DUMMYFUNCTION("""COMPUTED_VALUE"""),13.0)</f>
        <v>13</v>
      </c>
      <c r="E164" s="86">
        <f>IFERROR(__xludf.DUMMYFUNCTION("""COMPUTED_VALUE"""),5.0)</f>
        <v>5</v>
      </c>
      <c r="F164" s="88">
        <f>IFERROR(__xludf.DUMMYFUNCTION("""COMPUTED_VALUE"""),0.0)</f>
        <v>0</v>
      </c>
      <c r="G164" s="88">
        <f>IFERROR(__xludf.DUMMYFUNCTION("""COMPUTED_VALUE"""),13.0)</f>
        <v>13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IFERROR(__xludf.DUMMYFUNCTION("""COMPUTED_VALUE"""),13.0)</f>
        <v>13</v>
      </c>
      <c r="L164" s="88">
        <f>IFERROR(__xludf.DUMMYFUNCTION("""COMPUTED_VALUE"""),0.0)</f>
        <v>0</v>
      </c>
      <c r="M164" s="89">
        <f>IFERROR(__xludf.DUMMYFUNCTION("""COMPUTED_VALUE"""),144.0)</f>
        <v>144</v>
      </c>
      <c r="N164" s="89">
        <f>IFERROR(__xludf.DUMMYFUNCTION("""COMPUTED_VALUE"""),13.0)</f>
        <v>13</v>
      </c>
    </row>
    <row r="165">
      <c r="A165" s="11"/>
      <c r="B165" s="82" t="str">
        <f>IFERROR(__xludf.DUMMYFUNCTION("""COMPUTED_VALUE"""),"Joe Luzzi")</f>
        <v>Joe Luzzi</v>
      </c>
      <c r="C165" s="87">
        <f>IFERROR(__xludf.DUMMYFUNCTION("""COMPUTED_VALUE"""),131.0)</f>
        <v>131</v>
      </c>
      <c r="D165" s="87">
        <f>IFERROR(__xludf.DUMMYFUNCTION("""COMPUTED_VALUE"""),10.0)</f>
        <v>10</v>
      </c>
      <c r="E165" s="86">
        <f>IFERROR(__xludf.DUMMYFUNCTION("""COMPUTED_VALUE"""),5.0)</f>
        <v>5</v>
      </c>
      <c r="F165" s="88">
        <f>IFERROR(__xludf.DUMMYFUNCTION("""COMPUTED_VALUE"""),0.0)</f>
        <v>0</v>
      </c>
      <c r="G165" s="88">
        <f>IFERROR(__xludf.DUMMYFUNCTION("""COMPUTED_VALUE"""),13.0)</f>
        <v>13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IFERROR(__xludf.DUMMYFUNCTION("""COMPUTED_VALUE"""),13.0)</f>
        <v>13</v>
      </c>
      <c r="L165" s="88">
        <f>IFERROR(__xludf.DUMMYFUNCTION("""COMPUTED_VALUE"""),0.0)</f>
        <v>0</v>
      </c>
      <c r="M165" s="89">
        <f>IFERROR(__xludf.DUMMYFUNCTION("""COMPUTED_VALUE"""),144.0)</f>
        <v>144</v>
      </c>
      <c r="N165" s="89">
        <f>IFERROR(__xludf.DUMMYFUNCTION("""COMPUTED_VALUE"""),10.0)</f>
        <v>10</v>
      </c>
    </row>
    <row r="166">
      <c r="A166" s="11"/>
      <c r="B166" s="82" t="str">
        <f>IFERROR(__xludf.DUMMYFUNCTION("""COMPUTED_VALUE"""),"Cid Macaraeg")</f>
        <v>Cid Macaraeg</v>
      </c>
      <c r="C166" s="87">
        <f>IFERROR(__xludf.DUMMYFUNCTION("""COMPUTED_VALUE"""),130.0)</f>
        <v>130</v>
      </c>
      <c r="D166" s="87">
        <f>IFERROR(__xludf.DUMMYFUNCTION("""COMPUTED_VALUE"""),10.0)</f>
        <v>10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IFERROR(__xludf.DUMMYFUNCTION("""COMPUTED_VALUE"""),139.0)</f>
        <v>139</v>
      </c>
      <c r="N166" s="89">
        <f>IFERROR(__xludf.DUMMYFUNCTION("""COMPUTED_VALUE"""),10.0)</f>
        <v>10</v>
      </c>
    </row>
    <row r="167">
      <c r="A167" s="11"/>
      <c r="B167" s="82" t="str">
        <f>IFERROR(__xludf.DUMMYFUNCTION("""COMPUTED_VALUE"""),"Troy Wong")</f>
        <v>Troy Wong</v>
      </c>
      <c r="C167" s="87">
        <f>IFERROR(__xludf.DUMMYFUNCTION("""COMPUTED_VALUE"""),129.0)</f>
        <v>129</v>
      </c>
      <c r="D167" s="87">
        <f>IFERROR(__xludf.DUMMYFUNCTION("""COMPUTED_VALUE"""),9.0)</f>
        <v>9</v>
      </c>
      <c r="E167" s="86">
        <f>IFERROR(__xludf.DUMMYFUNCTION("""COMPUTED_VALUE"""),5.0)</f>
        <v>5</v>
      </c>
      <c r="F167" s="88">
        <f>IFERROR(__xludf.DUMMYFUNCTION("""COMPUTED_VALUE"""),0.0)</f>
        <v>0</v>
      </c>
      <c r="G167" s="88">
        <f>IFERROR(__xludf.DUMMYFUNCTION("""COMPUTED_VALUE"""),13.0)</f>
        <v>13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IFERROR(__xludf.DUMMYFUNCTION("""COMPUTED_VALUE"""),13.0)</f>
        <v>13</v>
      </c>
      <c r="L167" s="88">
        <f>IFERROR(__xludf.DUMMYFUNCTION("""COMPUTED_VALUE"""),0.0)</f>
        <v>0</v>
      </c>
      <c r="M167" s="89">
        <f>IFERROR(__xludf.DUMMYFUNCTION("""COMPUTED_VALUE"""),142.0)</f>
        <v>142</v>
      </c>
      <c r="N167" s="89">
        <f>IFERROR(__xludf.DUMMYFUNCTION("""COMPUTED_VALUE"""),9.0)</f>
        <v>9</v>
      </c>
    </row>
    <row r="168">
      <c r="A168" s="11"/>
      <c r="B168" s="82" t="str">
        <f>IFERROR(__xludf.DUMMYFUNCTION("""COMPUTED_VALUE"""),"Sean Chang")</f>
        <v>Sean Chang</v>
      </c>
      <c r="C168" s="87">
        <f>IFERROR(__xludf.DUMMYFUNCTION("""COMPUTED_VALUE"""),123.0)</f>
        <v>123</v>
      </c>
      <c r="D168" s="87">
        <f>IFERROR(__xludf.DUMMYFUNCTION("""COMPUTED_VALUE"""),11.0)</f>
        <v>11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9">
        <f>IFERROR(__xludf.DUMMYFUNCTION("""COMPUTED_VALUE"""),132.0)</f>
        <v>132</v>
      </c>
      <c r="N168" s="89">
        <f>IFERROR(__xludf.DUMMYFUNCTION("""COMPUTED_VALUE"""),11.0)</f>
        <v>11</v>
      </c>
    </row>
    <row r="169">
      <c r="A169" s="11"/>
      <c r="B169" s="82" t="str">
        <f>IFERROR(__xludf.DUMMYFUNCTION("""COMPUTED_VALUE"""),"Erik Hoeckmann")</f>
        <v>Erik Hoeckmann</v>
      </c>
      <c r="C169" s="87">
        <f>IFERROR(__xludf.DUMMYFUNCTION("""COMPUTED_VALUE"""),120.0)</f>
        <v>120</v>
      </c>
      <c r="D169" s="87">
        <f>IFERROR(__xludf.DUMMYFUNCTION("""COMPUTED_VALUE"""),11.0)</f>
        <v>11</v>
      </c>
      <c r="E169" s="86">
        <f>IFERROR(__xludf.DUMMYFUNCTION("""COMPUTED_VALUE"""),3.0)</f>
        <v>3</v>
      </c>
      <c r="F169" s="88">
        <f>IFERROR(__xludf.DUMMYFUNCTION("""COMPUTED_VALUE"""),0.0)</f>
        <v>0</v>
      </c>
      <c r="G169" s="88">
        <f>IFERROR(__xludf.DUMMYFUNCTION("""COMPUTED_VALUE"""),9.0)</f>
        <v>9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IFERROR(__xludf.DUMMYFUNCTION("""COMPUTED_VALUE"""),9.0)</f>
        <v>9</v>
      </c>
      <c r="L169" s="88">
        <f>IFERROR(__xludf.DUMMYFUNCTION("""COMPUTED_VALUE"""),0.0)</f>
        <v>0</v>
      </c>
      <c r="M169" s="89">
        <f>IFERROR(__xludf.DUMMYFUNCTION("""COMPUTED_VALUE"""),129.0)</f>
        <v>129</v>
      </c>
      <c r="N169" s="89">
        <f>IFERROR(__xludf.DUMMYFUNCTION("""COMPUTED_VALUE"""),11.0)</f>
        <v>11</v>
      </c>
    </row>
    <row r="170">
      <c r="A170" s="11"/>
      <c r="B170" s="82" t="str">
        <f>IFERROR(__xludf.DUMMYFUNCTION("""COMPUTED_VALUE"""),"Trish Newlin")</f>
        <v>Trish Newlin</v>
      </c>
      <c r="C170" s="87">
        <f>IFERROR(__xludf.DUMMYFUNCTION("""COMPUTED_VALUE"""),117.0)</f>
        <v>117</v>
      </c>
      <c r="D170" s="87">
        <f>IFERROR(__xludf.DUMMYFUNCTION("""COMPUTED_VALUE"""),7.0)</f>
        <v>7</v>
      </c>
      <c r="E170" s="86">
        <f>IFERROR(__xludf.DUMMYFUNCTION("""COMPUTED_VALUE"""),3.0)</f>
        <v>3</v>
      </c>
      <c r="F170" s="88">
        <f>IFERROR(__xludf.DUMMYFUNCTION("""COMPUTED_VALUE"""),0.0)</f>
        <v>0</v>
      </c>
      <c r="G170" s="88">
        <f>IFERROR(__xludf.DUMMYFUNCTION("""COMPUTED_VALUE"""),9.0)</f>
        <v>9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IFERROR(__xludf.DUMMYFUNCTION("""COMPUTED_VALUE"""),9.0)</f>
        <v>9</v>
      </c>
      <c r="L170" s="88">
        <f>IFERROR(__xludf.DUMMYFUNCTION("""COMPUTED_VALUE"""),0.0)</f>
        <v>0</v>
      </c>
      <c r="M170" s="89">
        <f>IFERROR(__xludf.DUMMYFUNCTION("""COMPUTED_VALUE"""),126.0)</f>
        <v>126</v>
      </c>
      <c r="N170" s="89">
        <f>IFERROR(__xludf.DUMMYFUNCTION("""COMPUTED_VALUE"""),7.0)</f>
        <v>7</v>
      </c>
    </row>
    <row r="171">
      <c r="A171" s="11"/>
      <c r="B171" s="82" t="str">
        <f>IFERROR(__xludf.DUMMYFUNCTION("""COMPUTED_VALUE"""),"Robert Chang")</f>
        <v>Robert Chang</v>
      </c>
      <c r="C171" s="87">
        <f>IFERROR(__xludf.DUMMYFUNCTION("""COMPUTED_VALUE"""),114.0)</f>
        <v>114</v>
      </c>
      <c r="D171" s="87">
        <f>IFERROR(__xludf.DUMMYFUNCTION("""COMPUTED_VALUE"""),4.0)</f>
        <v>4</v>
      </c>
      <c r="E171" s="86">
        <f>IFERROR(__xludf.DUMMYFUNCTION("""COMPUTED_VALUE"""),5.0)</f>
        <v>5</v>
      </c>
      <c r="F171" s="88">
        <f>IFERROR(__xludf.DUMMYFUNCTION("""COMPUTED_VALUE"""),0.0)</f>
        <v>0</v>
      </c>
      <c r="G171" s="88">
        <f>IFERROR(__xludf.DUMMYFUNCTION("""COMPUTED_VALUE"""),13.0)</f>
        <v>13</v>
      </c>
      <c r="H171" s="88">
        <f>IFERROR(__xludf.DUMMYFUNCTION("""COMPUTED_VALUE"""),0.0)</f>
        <v>0</v>
      </c>
      <c r="I171" s="88">
        <f>IFERROR(__xludf.DUMMYFUNCTION("""COMPUTED_VALUE"""),0.0)</f>
        <v>0</v>
      </c>
      <c r="J171" s="88">
        <f>IFERROR(__xludf.DUMMYFUNCTION("""COMPUTED_VALUE"""),0.0)</f>
        <v>0</v>
      </c>
      <c r="K171" s="88">
        <f>IFERROR(__xludf.DUMMYFUNCTION("""COMPUTED_VALUE"""),13.0)</f>
        <v>13</v>
      </c>
      <c r="L171" s="88">
        <f>IFERROR(__xludf.DUMMYFUNCTION("""COMPUTED_VALUE"""),0.0)</f>
        <v>0</v>
      </c>
      <c r="M171" s="89">
        <f>IFERROR(__xludf.DUMMYFUNCTION("""COMPUTED_VALUE"""),127.0)</f>
        <v>127</v>
      </c>
      <c r="N171" s="89">
        <f>IFERROR(__xludf.DUMMYFUNCTION("""COMPUTED_VALUE"""),4.0)</f>
        <v>4</v>
      </c>
    </row>
    <row r="172">
      <c r="A172" s="11"/>
      <c r="B172" s="82" t="str">
        <f>IFERROR(__xludf.DUMMYFUNCTION("""COMPUTED_VALUE"""),"Manuel Rivera")</f>
        <v>Manuel Rivera</v>
      </c>
      <c r="C172" s="87">
        <f>IFERROR(__xludf.DUMMYFUNCTION("""COMPUTED_VALUE"""),113.0)</f>
        <v>113</v>
      </c>
      <c r="D172" s="87">
        <f>IFERROR(__xludf.DUMMYFUNCTION("""COMPUTED_VALUE"""),6.0)</f>
        <v>6</v>
      </c>
      <c r="E172" s="86">
        <f>IFERROR(__xludf.DUMMYFUNCTION("""COMPUTED_VALUE"""),3.0)</f>
        <v>3</v>
      </c>
      <c r="F172" s="88">
        <f>IFERROR(__xludf.DUMMYFUNCTION("""COMPUTED_VALUE"""),0.0)</f>
        <v>0</v>
      </c>
      <c r="G172" s="88">
        <f>IFERROR(__xludf.DUMMYFUNCTION("""COMPUTED_VALUE"""),9.0)</f>
        <v>9</v>
      </c>
      <c r="H172" s="88">
        <f>IFERROR(__xludf.DUMMYFUNCTION("""COMPUTED_VALUE"""),0.0)</f>
        <v>0</v>
      </c>
      <c r="I172" s="88">
        <f>IFERROR(__xludf.DUMMYFUNCTION("""COMPUTED_VALUE"""),0.0)</f>
        <v>0</v>
      </c>
      <c r="J172" s="88">
        <f>IFERROR(__xludf.DUMMYFUNCTION("""COMPUTED_VALUE"""),0.0)</f>
        <v>0</v>
      </c>
      <c r="K172" s="88">
        <f>IFERROR(__xludf.DUMMYFUNCTION("""COMPUTED_VALUE"""),9.0)</f>
        <v>9</v>
      </c>
      <c r="L172" s="88">
        <f>IFERROR(__xludf.DUMMYFUNCTION("""COMPUTED_VALUE"""),0.0)</f>
        <v>0</v>
      </c>
      <c r="M172" s="89">
        <f>IFERROR(__xludf.DUMMYFUNCTION("""COMPUTED_VALUE"""),122.0)</f>
        <v>122</v>
      </c>
      <c r="N172" s="89">
        <f>IFERROR(__xludf.DUMMYFUNCTION("""COMPUTED_VALUE"""),6.0)</f>
        <v>6</v>
      </c>
    </row>
    <row r="173">
      <c r="A173" s="11"/>
      <c r="B173" s="82" t="str">
        <f>IFERROR(__xludf.DUMMYFUNCTION("""COMPUTED_VALUE"""),"Andrew Wen")</f>
        <v>Andrew Wen</v>
      </c>
      <c r="C173" s="87">
        <f>IFERROR(__xludf.DUMMYFUNCTION("""COMPUTED_VALUE"""),112.0)</f>
        <v>112</v>
      </c>
      <c r="D173" s="87">
        <f>IFERROR(__xludf.DUMMYFUNCTION("""COMPUTED_VALUE"""),5.0)</f>
        <v>5</v>
      </c>
      <c r="E173" s="86">
        <f>IFERROR(__xludf.DUMMYFUNCTION("""COMPUTED_VALUE"""),5.0)</f>
        <v>5</v>
      </c>
      <c r="F173" s="88">
        <f>IFERROR(__xludf.DUMMYFUNCTION("""COMPUTED_VALUE"""),0.0)</f>
        <v>0</v>
      </c>
      <c r="G173" s="88">
        <f>IFERROR(__xludf.DUMMYFUNCTION("""COMPUTED_VALUE"""),13.0)</f>
        <v>13</v>
      </c>
      <c r="H173" s="88">
        <f>IFERROR(__xludf.DUMMYFUNCTION("""COMPUTED_VALUE"""),0.0)</f>
        <v>0</v>
      </c>
      <c r="I173" s="88">
        <f>IFERROR(__xludf.DUMMYFUNCTION("""COMPUTED_VALUE"""),0.0)</f>
        <v>0</v>
      </c>
      <c r="J173" s="88">
        <f>IFERROR(__xludf.DUMMYFUNCTION("""COMPUTED_VALUE"""),0.0)</f>
        <v>0</v>
      </c>
      <c r="K173" s="88">
        <f>IFERROR(__xludf.DUMMYFUNCTION("""COMPUTED_VALUE"""),13.0)</f>
        <v>13</v>
      </c>
      <c r="L173" s="88">
        <f>IFERROR(__xludf.DUMMYFUNCTION("""COMPUTED_VALUE"""),0.0)</f>
        <v>0</v>
      </c>
      <c r="M173" s="89">
        <f>IFERROR(__xludf.DUMMYFUNCTION("""COMPUTED_VALUE"""),125.0)</f>
        <v>125</v>
      </c>
      <c r="N173" s="89">
        <f>IFERROR(__xludf.DUMMYFUNCTION("""COMPUTED_VALUE"""),5.0)</f>
        <v>5</v>
      </c>
    </row>
    <row r="174">
      <c r="A174" s="11"/>
      <c r="B174" s="82" t="str">
        <f>IFERROR(__xludf.DUMMYFUNCTION("""COMPUTED_VALUE"""),"Lloyd Sagar")</f>
        <v>Lloyd Sagar</v>
      </c>
      <c r="C174" s="87">
        <f>IFERROR(__xludf.DUMMYFUNCTION("""COMPUTED_VALUE"""),111.0)</f>
        <v>111</v>
      </c>
      <c r="D174" s="87">
        <f>IFERROR(__xludf.DUMMYFUNCTION("""COMPUTED_VALUE"""),6.0)</f>
        <v>6</v>
      </c>
      <c r="E174" s="86">
        <f>IFERROR(__xludf.DUMMYFUNCTION("""COMPUTED_VALUE"""),3.0)</f>
        <v>3</v>
      </c>
      <c r="F174" s="88">
        <f>IFERROR(__xludf.DUMMYFUNCTION("""COMPUTED_VALUE"""),0.0)</f>
        <v>0</v>
      </c>
      <c r="G174" s="88">
        <f>IFERROR(__xludf.DUMMYFUNCTION("""COMPUTED_VALUE"""),9.0)</f>
        <v>9</v>
      </c>
      <c r="H174" s="88">
        <f>IFERROR(__xludf.DUMMYFUNCTION("""COMPUTED_VALUE"""),0.0)</f>
        <v>0</v>
      </c>
      <c r="I174" s="88">
        <f>IFERROR(__xludf.DUMMYFUNCTION("""COMPUTED_VALUE"""),0.0)</f>
        <v>0</v>
      </c>
      <c r="J174" s="88">
        <f>IFERROR(__xludf.DUMMYFUNCTION("""COMPUTED_VALUE"""),0.0)</f>
        <v>0</v>
      </c>
      <c r="K174" s="88">
        <f>IFERROR(__xludf.DUMMYFUNCTION("""COMPUTED_VALUE"""),9.0)</f>
        <v>9</v>
      </c>
      <c r="L174" s="88">
        <f>IFERROR(__xludf.DUMMYFUNCTION("""COMPUTED_VALUE"""),0.0)</f>
        <v>0</v>
      </c>
      <c r="M174" s="89">
        <f>IFERROR(__xludf.DUMMYFUNCTION("""COMPUTED_VALUE"""),120.0)</f>
        <v>120</v>
      </c>
      <c r="N174" s="89">
        <f>IFERROR(__xludf.DUMMYFUNCTION("""COMPUTED_VALUE"""),6.0)</f>
        <v>6</v>
      </c>
    </row>
    <row r="175">
      <c r="A175" s="11"/>
      <c r="B175" s="82" t="str">
        <f>IFERROR(__xludf.DUMMYFUNCTION("""COMPUTED_VALUE"""),"Coco Yan")</f>
        <v>Coco Yan</v>
      </c>
      <c r="C175" s="87">
        <f>IFERROR(__xludf.DUMMYFUNCTION("""COMPUTED_VALUE"""),110.0)</f>
        <v>110</v>
      </c>
      <c r="D175" s="87">
        <f>IFERROR(__xludf.DUMMYFUNCTION("""COMPUTED_VALUE"""),7.0)</f>
        <v>7</v>
      </c>
      <c r="E175" s="86">
        <f>IFERROR(__xludf.DUMMYFUNCTION("""COMPUTED_VALUE"""),3.0)</f>
        <v>3</v>
      </c>
      <c r="F175" s="88">
        <f>IFERROR(__xludf.DUMMYFUNCTION("""COMPUTED_VALUE"""),0.0)</f>
        <v>0</v>
      </c>
      <c r="G175" s="88">
        <f>IFERROR(__xludf.DUMMYFUNCTION("""COMPUTED_VALUE"""),9.0)</f>
        <v>9</v>
      </c>
      <c r="H175" s="88">
        <f>IFERROR(__xludf.DUMMYFUNCTION("""COMPUTED_VALUE"""),0.0)</f>
        <v>0</v>
      </c>
      <c r="I175" s="88">
        <f>IFERROR(__xludf.DUMMYFUNCTION("""COMPUTED_VALUE"""),0.0)</f>
        <v>0</v>
      </c>
      <c r="J175" s="88">
        <f>IFERROR(__xludf.DUMMYFUNCTION("""COMPUTED_VALUE"""),0.0)</f>
        <v>0</v>
      </c>
      <c r="K175" s="88">
        <f>IFERROR(__xludf.DUMMYFUNCTION("""COMPUTED_VALUE"""),9.0)</f>
        <v>9</v>
      </c>
      <c r="L175" s="88">
        <f>IFERROR(__xludf.DUMMYFUNCTION("""COMPUTED_VALUE"""),0.0)</f>
        <v>0</v>
      </c>
      <c r="M175" s="89">
        <f>IFERROR(__xludf.DUMMYFUNCTION("""COMPUTED_VALUE"""),119.0)</f>
        <v>119</v>
      </c>
      <c r="N175" s="89">
        <f>IFERROR(__xludf.DUMMYFUNCTION("""COMPUTED_VALUE"""),7.0)</f>
        <v>7</v>
      </c>
    </row>
    <row r="176">
      <c r="A176" s="11"/>
      <c r="B176" s="82" t="str">
        <f>IFERROR(__xludf.DUMMYFUNCTION("""COMPUTED_VALUE"""),"Peter Cheng")</f>
        <v>Peter Cheng</v>
      </c>
      <c r="C176" s="87">
        <f>IFERROR(__xludf.DUMMYFUNCTION("""COMPUTED_VALUE"""),107.0)</f>
        <v>107</v>
      </c>
      <c r="D176" s="87">
        <f>IFERROR(__xludf.DUMMYFUNCTION("""COMPUTED_VALUE"""),2.0)</f>
        <v>2</v>
      </c>
      <c r="E176" s="86">
        <f>IFERROR(__xludf.DUMMYFUNCTION("""COMPUTED_VALUE"""),5.0)</f>
        <v>5</v>
      </c>
      <c r="F176" s="88">
        <f>IFERROR(__xludf.DUMMYFUNCTION("""COMPUTED_VALUE"""),0.0)</f>
        <v>0</v>
      </c>
      <c r="G176" s="88">
        <f>IFERROR(__xludf.DUMMYFUNCTION("""COMPUTED_VALUE"""),13.0)</f>
        <v>13</v>
      </c>
      <c r="H176" s="88">
        <f>IFERROR(__xludf.DUMMYFUNCTION("""COMPUTED_VALUE"""),0.0)</f>
        <v>0</v>
      </c>
      <c r="I176" s="88">
        <f>IFERROR(__xludf.DUMMYFUNCTION("""COMPUTED_VALUE"""),0.0)</f>
        <v>0</v>
      </c>
      <c r="J176" s="88">
        <f>IFERROR(__xludf.DUMMYFUNCTION("""COMPUTED_VALUE"""),0.0)</f>
        <v>0</v>
      </c>
      <c r="K176" s="88">
        <f>IFERROR(__xludf.DUMMYFUNCTION("""COMPUTED_VALUE"""),13.0)</f>
        <v>13</v>
      </c>
      <c r="L176" s="88">
        <f>IFERROR(__xludf.DUMMYFUNCTION("""COMPUTED_VALUE"""),0.0)</f>
        <v>0</v>
      </c>
      <c r="M176" s="89">
        <f>IFERROR(__xludf.DUMMYFUNCTION("""COMPUTED_VALUE"""),120.0)</f>
        <v>120</v>
      </c>
      <c r="N176" s="89">
        <f>IFERROR(__xludf.DUMMYFUNCTION("""COMPUTED_VALUE"""),2.0)</f>
        <v>2</v>
      </c>
    </row>
    <row r="177">
      <c r="A177" s="11"/>
      <c r="B177" s="82" t="str">
        <f>IFERROR(__xludf.DUMMYFUNCTION("""COMPUTED_VALUE"""),"Jim Miao")</f>
        <v>Jim Miao</v>
      </c>
      <c r="C177" s="87">
        <f>IFERROR(__xludf.DUMMYFUNCTION("""COMPUTED_VALUE"""),106.0)</f>
        <v>106</v>
      </c>
      <c r="D177" s="87">
        <f>IFERROR(__xludf.DUMMYFUNCTION("""COMPUTED_VALUE"""),5.0)</f>
        <v>5</v>
      </c>
      <c r="E177" s="86">
        <f>IFERROR(__xludf.DUMMYFUNCTION("""COMPUTED_VALUE"""),3.0)</f>
        <v>3</v>
      </c>
      <c r="F177" s="88">
        <f>IFERROR(__xludf.DUMMYFUNCTION("""COMPUTED_VALUE"""),0.0)</f>
        <v>0</v>
      </c>
      <c r="G177" s="88">
        <f>IFERROR(__xludf.DUMMYFUNCTION("""COMPUTED_VALUE"""),9.0)</f>
        <v>9</v>
      </c>
      <c r="H177" s="88">
        <f>IFERROR(__xludf.DUMMYFUNCTION("""COMPUTED_VALUE"""),0.0)</f>
        <v>0</v>
      </c>
      <c r="I177" s="88">
        <f>IFERROR(__xludf.DUMMYFUNCTION("""COMPUTED_VALUE"""),0.0)</f>
        <v>0</v>
      </c>
      <c r="J177" s="88">
        <f>IFERROR(__xludf.DUMMYFUNCTION("""COMPUTED_VALUE"""),0.0)</f>
        <v>0</v>
      </c>
      <c r="K177" s="88">
        <f>IFERROR(__xludf.DUMMYFUNCTION("""COMPUTED_VALUE"""),9.0)</f>
        <v>9</v>
      </c>
      <c r="L177" s="88">
        <f>IFERROR(__xludf.DUMMYFUNCTION("""COMPUTED_VALUE"""),0.0)</f>
        <v>0</v>
      </c>
      <c r="M177" s="89">
        <f>IFERROR(__xludf.DUMMYFUNCTION("""COMPUTED_VALUE"""),115.0)</f>
        <v>115</v>
      </c>
      <c r="N177" s="89">
        <f>IFERROR(__xludf.DUMMYFUNCTION("""COMPUTED_VALUE"""),5.0)</f>
        <v>5</v>
      </c>
    </row>
    <row r="178">
      <c r="A178" s="11"/>
      <c r="B178" s="82" t="str">
        <f>IFERROR(__xludf.DUMMYFUNCTION("""COMPUTED_VALUE"""),"Trinath Goteti")</f>
        <v>Trinath Goteti</v>
      </c>
      <c r="C178" s="87">
        <f>IFERROR(__xludf.DUMMYFUNCTION("""COMPUTED_VALUE"""),103.0)</f>
        <v>103</v>
      </c>
      <c r="D178" s="87">
        <f>IFERROR(__xludf.DUMMYFUNCTION("""COMPUTED_VALUE"""),4.0)</f>
        <v>4</v>
      </c>
      <c r="E178" s="86">
        <f>IFERROR(__xludf.DUMMYFUNCTION("""COMPUTED_VALUE"""),3.0)</f>
        <v>3</v>
      </c>
      <c r="F178" s="88">
        <f>IFERROR(__xludf.DUMMYFUNCTION("""COMPUTED_VALUE"""),0.0)</f>
        <v>0</v>
      </c>
      <c r="G178" s="88">
        <f>IFERROR(__xludf.DUMMYFUNCTION("""COMPUTED_VALUE"""),9.0)</f>
        <v>9</v>
      </c>
      <c r="H178" s="88">
        <f>IFERROR(__xludf.DUMMYFUNCTION("""COMPUTED_VALUE"""),0.0)</f>
        <v>0</v>
      </c>
      <c r="I178" s="88">
        <f>IFERROR(__xludf.DUMMYFUNCTION("""COMPUTED_VALUE"""),0.0)</f>
        <v>0</v>
      </c>
      <c r="J178" s="88">
        <f>IFERROR(__xludf.DUMMYFUNCTION("""COMPUTED_VALUE"""),0.0)</f>
        <v>0</v>
      </c>
      <c r="K178" s="88">
        <f>IFERROR(__xludf.DUMMYFUNCTION("""COMPUTED_VALUE"""),9.0)</f>
        <v>9</v>
      </c>
      <c r="L178" s="88">
        <f>IFERROR(__xludf.DUMMYFUNCTION("""COMPUTED_VALUE"""),0.0)</f>
        <v>0</v>
      </c>
      <c r="M178" s="89">
        <f>IFERROR(__xludf.DUMMYFUNCTION("""COMPUTED_VALUE"""),112.0)</f>
        <v>112</v>
      </c>
      <c r="N178" s="89">
        <f>IFERROR(__xludf.DUMMYFUNCTION("""COMPUTED_VALUE"""),4.0)</f>
        <v>4</v>
      </c>
    </row>
    <row r="179">
      <c r="A179" s="11"/>
      <c r="B179" s="82" t="str">
        <f>IFERROR(__xludf.DUMMYFUNCTION("""COMPUTED_VALUE"""),"Naveen Raj")</f>
        <v>Naveen Raj</v>
      </c>
      <c r="C179" s="87">
        <f>IFERROR(__xludf.DUMMYFUNCTION("""COMPUTED_VALUE"""),103.0)</f>
        <v>103</v>
      </c>
      <c r="D179" s="87">
        <f>IFERROR(__xludf.DUMMYFUNCTION("""COMPUTED_VALUE"""),4.0)</f>
        <v>4</v>
      </c>
      <c r="E179" s="86">
        <f>IFERROR(__xludf.DUMMYFUNCTION("""COMPUTED_VALUE"""),3.0)</f>
        <v>3</v>
      </c>
      <c r="F179" s="88">
        <f>IFERROR(__xludf.DUMMYFUNCTION("""COMPUTED_VALUE"""),0.0)</f>
        <v>0</v>
      </c>
      <c r="G179" s="88">
        <f>IFERROR(__xludf.DUMMYFUNCTION("""COMPUTED_VALUE"""),9.0)</f>
        <v>9</v>
      </c>
      <c r="H179" s="88">
        <f>IFERROR(__xludf.DUMMYFUNCTION("""COMPUTED_VALUE"""),0.0)</f>
        <v>0</v>
      </c>
      <c r="I179" s="88">
        <f>IFERROR(__xludf.DUMMYFUNCTION("""COMPUTED_VALUE"""),0.0)</f>
        <v>0</v>
      </c>
      <c r="J179" s="88">
        <f>IFERROR(__xludf.DUMMYFUNCTION("""COMPUTED_VALUE"""),0.0)</f>
        <v>0</v>
      </c>
      <c r="K179" s="88">
        <f>IFERROR(__xludf.DUMMYFUNCTION("""COMPUTED_VALUE"""),9.0)</f>
        <v>9</v>
      </c>
      <c r="L179" s="88">
        <f>IFERROR(__xludf.DUMMYFUNCTION("""COMPUTED_VALUE"""),0.0)</f>
        <v>0</v>
      </c>
      <c r="M179" s="89">
        <f>IFERROR(__xludf.DUMMYFUNCTION("""COMPUTED_VALUE"""),112.0)</f>
        <v>112</v>
      </c>
      <c r="N179" s="89">
        <f>IFERROR(__xludf.DUMMYFUNCTION("""COMPUTED_VALUE"""),4.0)</f>
        <v>4</v>
      </c>
    </row>
    <row r="180">
      <c r="A180" s="11"/>
      <c r="B180" s="82" t="str">
        <f>IFERROR(__xludf.DUMMYFUNCTION("""COMPUTED_VALUE"""),"Tony Lin")</f>
        <v>Tony Lin</v>
      </c>
      <c r="C180" s="87">
        <f>IFERROR(__xludf.DUMMYFUNCTION("""COMPUTED_VALUE"""),103.0)</f>
        <v>103</v>
      </c>
      <c r="D180" s="87">
        <f>IFERROR(__xludf.DUMMYFUNCTION("""COMPUTED_VALUE"""),3.0)</f>
        <v>3</v>
      </c>
      <c r="E180" s="86">
        <f>IFERROR(__xludf.DUMMYFUNCTION("""COMPUTED_VALUE"""),3.0)</f>
        <v>3</v>
      </c>
      <c r="F180" s="88">
        <f>IFERROR(__xludf.DUMMYFUNCTION("""COMPUTED_VALUE"""),0.0)</f>
        <v>0</v>
      </c>
      <c r="G180" s="88">
        <f>IFERROR(__xludf.DUMMYFUNCTION("""COMPUTED_VALUE"""),9.0)</f>
        <v>9</v>
      </c>
      <c r="H180" s="88">
        <f>IFERROR(__xludf.DUMMYFUNCTION("""COMPUTED_VALUE"""),0.0)</f>
        <v>0</v>
      </c>
      <c r="I180" s="88">
        <f>IFERROR(__xludf.DUMMYFUNCTION("""COMPUTED_VALUE"""),0.0)</f>
        <v>0</v>
      </c>
      <c r="J180" s="88">
        <f>IFERROR(__xludf.DUMMYFUNCTION("""COMPUTED_VALUE"""),0.0)</f>
        <v>0</v>
      </c>
      <c r="K180" s="88">
        <f>IFERROR(__xludf.DUMMYFUNCTION("""COMPUTED_VALUE"""),9.0)</f>
        <v>9</v>
      </c>
      <c r="L180" s="88">
        <f>IFERROR(__xludf.DUMMYFUNCTION("""COMPUTED_VALUE"""),0.0)</f>
        <v>0</v>
      </c>
      <c r="M180" s="89">
        <f>IFERROR(__xludf.DUMMYFUNCTION("""COMPUTED_VALUE"""),112.0)</f>
        <v>112</v>
      </c>
      <c r="N180" s="89">
        <f>IFERROR(__xludf.DUMMYFUNCTION("""COMPUTED_VALUE"""),3.0)</f>
        <v>3</v>
      </c>
    </row>
    <row r="181">
      <c r="A181" s="11"/>
      <c r="B181" s="82" t="str">
        <f>IFERROR(__xludf.DUMMYFUNCTION("""COMPUTED_VALUE"""),"Elayaraja Thangaraj ")</f>
        <v>Elayaraja Thangaraj </v>
      </c>
      <c r="C181" s="87">
        <f>IFERROR(__xludf.DUMMYFUNCTION("""COMPUTED_VALUE"""),103.0)</f>
        <v>103</v>
      </c>
      <c r="D181" s="87">
        <f>IFERROR(__xludf.DUMMYFUNCTION("""COMPUTED_VALUE"""),2.0)</f>
        <v>2</v>
      </c>
      <c r="E181" s="86">
        <f>IFERROR(__xludf.DUMMYFUNCTION("""COMPUTED_VALUE"""),3.0)</f>
        <v>3</v>
      </c>
      <c r="F181" s="88">
        <f>IFERROR(__xludf.DUMMYFUNCTION("""COMPUTED_VALUE"""),0.0)</f>
        <v>0</v>
      </c>
      <c r="G181" s="88">
        <f>IFERROR(__xludf.DUMMYFUNCTION("""COMPUTED_VALUE"""),9.0)</f>
        <v>9</v>
      </c>
      <c r="H181" s="88">
        <f>IFERROR(__xludf.DUMMYFUNCTION("""COMPUTED_VALUE"""),0.0)</f>
        <v>0</v>
      </c>
      <c r="I181" s="88">
        <f>IFERROR(__xludf.DUMMYFUNCTION("""COMPUTED_VALUE"""),0.0)</f>
        <v>0</v>
      </c>
      <c r="J181" s="88">
        <f>IFERROR(__xludf.DUMMYFUNCTION("""COMPUTED_VALUE"""),0.0)</f>
        <v>0</v>
      </c>
      <c r="K181" s="88">
        <f>IFERROR(__xludf.DUMMYFUNCTION("""COMPUTED_VALUE"""),9.0)</f>
        <v>9</v>
      </c>
      <c r="L181" s="88">
        <f>IFERROR(__xludf.DUMMYFUNCTION("""COMPUTED_VALUE"""),0.0)</f>
        <v>0</v>
      </c>
      <c r="M181" s="89">
        <f>IFERROR(__xludf.DUMMYFUNCTION("""COMPUTED_VALUE"""),112.0)</f>
        <v>112</v>
      </c>
      <c r="N181" s="89">
        <f>IFERROR(__xludf.DUMMYFUNCTION("""COMPUTED_VALUE"""),2.0)</f>
        <v>2</v>
      </c>
    </row>
    <row r="182">
      <c r="A182" s="11"/>
      <c r="B182" s="82" t="str">
        <f>IFERROR(__xludf.DUMMYFUNCTION("""COMPUTED_VALUE"""),"Susanta Mishra")</f>
        <v>Susanta Mishra</v>
      </c>
      <c r="C182" s="87">
        <f>IFERROR(__xludf.DUMMYFUNCTION("""COMPUTED_VALUE"""),102.0)</f>
        <v>102</v>
      </c>
      <c r="D182" s="87">
        <f>IFERROR(__xludf.DUMMYFUNCTION("""COMPUTED_VALUE"""),3.0)</f>
        <v>3</v>
      </c>
      <c r="E182" s="86">
        <f>IFERROR(__xludf.DUMMYFUNCTION("""COMPUTED_VALUE"""),5.0)</f>
        <v>5</v>
      </c>
      <c r="F182" s="88">
        <f>IFERROR(__xludf.DUMMYFUNCTION("""COMPUTED_VALUE"""),0.0)</f>
        <v>0</v>
      </c>
      <c r="G182" s="88">
        <f>IFERROR(__xludf.DUMMYFUNCTION("""COMPUTED_VALUE"""),13.0)</f>
        <v>13</v>
      </c>
      <c r="H182" s="88">
        <f>IFERROR(__xludf.DUMMYFUNCTION("""COMPUTED_VALUE"""),0.0)</f>
        <v>0</v>
      </c>
      <c r="I182" s="88">
        <f>IFERROR(__xludf.DUMMYFUNCTION("""COMPUTED_VALUE"""),0.0)</f>
        <v>0</v>
      </c>
      <c r="J182" s="88">
        <f>IFERROR(__xludf.DUMMYFUNCTION("""COMPUTED_VALUE"""),0.0)</f>
        <v>0</v>
      </c>
      <c r="K182" s="88">
        <f>IFERROR(__xludf.DUMMYFUNCTION("""COMPUTED_VALUE"""),13.0)</f>
        <v>13</v>
      </c>
      <c r="L182" s="88">
        <f>IFERROR(__xludf.DUMMYFUNCTION("""COMPUTED_VALUE"""),0.0)</f>
        <v>0</v>
      </c>
      <c r="M182" s="89">
        <f>IFERROR(__xludf.DUMMYFUNCTION("""COMPUTED_VALUE"""),115.0)</f>
        <v>115</v>
      </c>
      <c r="N182" s="89">
        <f>IFERROR(__xludf.DUMMYFUNCTION("""COMPUTED_VALUE"""),3.0)</f>
        <v>3</v>
      </c>
    </row>
    <row r="183">
      <c r="A183" s="11"/>
      <c r="B183" s="82" t="str">
        <f>IFERROR(__xludf.DUMMYFUNCTION("""COMPUTED_VALUE"""),"Nohely Mejia")</f>
        <v>Nohely Mejia</v>
      </c>
      <c r="C183" s="87">
        <f>IFERROR(__xludf.DUMMYFUNCTION("""COMPUTED_VALUE"""),100.0)</f>
        <v>100</v>
      </c>
      <c r="D183" s="87">
        <f>IFERROR(__xludf.DUMMYFUNCTION("""COMPUTED_VALUE"""),3.0)</f>
        <v>3</v>
      </c>
      <c r="E183" s="86">
        <f>IFERROR(__xludf.DUMMYFUNCTION("""COMPUTED_VALUE"""),3.0)</f>
        <v>3</v>
      </c>
      <c r="F183" s="88">
        <f>IFERROR(__xludf.DUMMYFUNCTION("""COMPUTED_VALUE"""),0.0)</f>
        <v>0</v>
      </c>
      <c r="G183" s="88">
        <f>IFERROR(__xludf.DUMMYFUNCTION("""COMPUTED_VALUE"""),9.0)</f>
        <v>9</v>
      </c>
      <c r="H183" s="88">
        <f>IFERROR(__xludf.DUMMYFUNCTION("""COMPUTED_VALUE"""),0.0)</f>
        <v>0</v>
      </c>
      <c r="I183" s="88">
        <f>IFERROR(__xludf.DUMMYFUNCTION("""COMPUTED_VALUE"""),0.0)</f>
        <v>0</v>
      </c>
      <c r="J183" s="88">
        <f>IFERROR(__xludf.DUMMYFUNCTION("""COMPUTED_VALUE"""),0.0)</f>
        <v>0</v>
      </c>
      <c r="K183" s="88">
        <f>IFERROR(__xludf.DUMMYFUNCTION("""COMPUTED_VALUE"""),9.0)</f>
        <v>9</v>
      </c>
      <c r="L183" s="88">
        <f>IFERROR(__xludf.DUMMYFUNCTION("""COMPUTED_VALUE"""),0.0)</f>
        <v>0</v>
      </c>
      <c r="M183" s="89">
        <f>IFERROR(__xludf.DUMMYFUNCTION("""COMPUTED_VALUE"""),109.0)</f>
        <v>109</v>
      </c>
      <c r="N183" s="89">
        <f>IFERROR(__xludf.DUMMYFUNCTION("""COMPUTED_VALUE"""),3.0)</f>
        <v>3</v>
      </c>
    </row>
    <row r="184">
      <c r="A184" s="11"/>
      <c r="B184" s="82" t="str">
        <f>IFERROR(__xludf.DUMMYFUNCTION("""COMPUTED_VALUE"""),"Eric Pan")</f>
        <v>Eric Pan</v>
      </c>
      <c r="C184" s="87">
        <f>IFERROR(__xludf.DUMMYFUNCTION("""COMPUTED_VALUE"""),99.0)</f>
        <v>99</v>
      </c>
      <c r="D184" s="87">
        <f>IFERROR(__xludf.DUMMYFUNCTION("""COMPUTED_VALUE"""),3.0)</f>
        <v>3</v>
      </c>
      <c r="E184" s="86">
        <f>IFERROR(__xludf.DUMMYFUNCTION("""COMPUTED_VALUE"""),3.0)</f>
        <v>3</v>
      </c>
      <c r="F184" s="88">
        <f>IFERROR(__xludf.DUMMYFUNCTION("""COMPUTED_VALUE"""),0.0)</f>
        <v>0</v>
      </c>
      <c r="G184" s="88">
        <f>IFERROR(__xludf.DUMMYFUNCTION("""COMPUTED_VALUE"""),9.0)</f>
        <v>9</v>
      </c>
      <c r="H184" s="88">
        <f>IFERROR(__xludf.DUMMYFUNCTION("""COMPUTED_VALUE"""),0.0)</f>
        <v>0</v>
      </c>
      <c r="I184" s="88">
        <f>IFERROR(__xludf.DUMMYFUNCTION("""COMPUTED_VALUE"""),0.0)</f>
        <v>0</v>
      </c>
      <c r="J184" s="88">
        <f>IFERROR(__xludf.DUMMYFUNCTION("""COMPUTED_VALUE"""),0.0)</f>
        <v>0</v>
      </c>
      <c r="K184" s="88">
        <f>IFERROR(__xludf.DUMMYFUNCTION("""COMPUTED_VALUE"""),9.0)</f>
        <v>9</v>
      </c>
      <c r="L184" s="88">
        <f>IFERROR(__xludf.DUMMYFUNCTION("""COMPUTED_VALUE"""),0.0)</f>
        <v>0</v>
      </c>
      <c r="M184" s="89">
        <f>IFERROR(__xludf.DUMMYFUNCTION("""COMPUTED_VALUE"""),108.0)</f>
        <v>108</v>
      </c>
      <c r="N184" s="89">
        <f>IFERROR(__xludf.DUMMYFUNCTION("""COMPUTED_VALUE"""),3.0)</f>
        <v>3</v>
      </c>
    </row>
    <row r="185">
      <c r="A185" s="11"/>
      <c r="B185" s="82" t="str">
        <f>IFERROR(__xludf.DUMMYFUNCTION("""COMPUTED_VALUE"""),"Vishnu Amarnath")</f>
        <v>Vishnu Amarnath</v>
      </c>
      <c r="C185" s="87">
        <f>IFERROR(__xludf.DUMMYFUNCTION("""COMPUTED_VALUE"""),99.0)</f>
        <v>99</v>
      </c>
      <c r="D185" s="87">
        <f>IFERROR(__xludf.DUMMYFUNCTION("""COMPUTED_VALUE"""),3.0)</f>
        <v>3</v>
      </c>
      <c r="E185" s="86">
        <f>IFERROR(__xludf.DUMMYFUNCTION("""COMPUTED_VALUE"""),3.0)</f>
        <v>3</v>
      </c>
      <c r="F185" s="88">
        <f>IFERROR(__xludf.DUMMYFUNCTION("""COMPUTED_VALUE"""),0.0)</f>
        <v>0</v>
      </c>
      <c r="G185" s="88">
        <f>IFERROR(__xludf.DUMMYFUNCTION("""COMPUTED_VALUE"""),9.0)</f>
        <v>9</v>
      </c>
      <c r="H185" s="88">
        <f>IFERROR(__xludf.DUMMYFUNCTION("""COMPUTED_VALUE"""),0.0)</f>
        <v>0</v>
      </c>
      <c r="I185" s="88">
        <f>IFERROR(__xludf.DUMMYFUNCTION("""COMPUTED_VALUE"""),0.0)</f>
        <v>0</v>
      </c>
      <c r="J185" s="88">
        <f>IFERROR(__xludf.DUMMYFUNCTION("""COMPUTED_VALUE"""),0.0)</f>
        <v>0</v>
      </c>
      <c r="K185" s="88">
        <f>IFERROR(__xludf.DUMMYFUNCTION("""COMPUTED_VALUE"""),9.0)</f>
        <v>9</v>
      </c>
      <c r="L185" s="88">
        <f>IFERROR(__xludf.DUMMYFUNCTION("""COMPUTED_VALUE"""),0.0)</f>
        <v>0</v>
      </c>
      <c r="M185" s="89">
        <f>IFERROR(__xludf.DUMMYFUNCTION("""COMPUTED_VALUE"""),108.0)</f>
        <v>108</v>
      </c>
      <c r="N185" s="89">
        <f>IFERROR(__xludf.DUMMYFUNCTION("""COMPUTED_VALUE"""),3.0)</f>
        <v>3</v>
      </c>
    </row>
    <row r="186">
      <c r="A186" s="11"/>
      <c r="B186" s="82" t="str">
        <f>IFERROR(__xludf.DUMMYFUNCTION("""COMPUTED_VALUE"""),"Manish Anand")</f>
        <v>Manish Anand</v>
      </c>
      <c r="C186" s="87">
        <f>IFERROR(__xludf.DUMMYFUNCTION("""COMPUTED_VALUE"""),99.0)</f>
        <v>99</v>
      </c>
      <c r="D186" s="87">
        <f>IFERROR(__xludf.DUMMYFUNCTION("""COMPUTED_VALUE"""),3.0)</f>
        <v>3</v>
      </c>
      <c r="E186" s="86">
        <f>IFERROR(__xludf.DUMMYFUNCTION("""COMPUTED_VALUE"""),3.0)</f>
        <v>3</v>
      </c>
      <c r="F186" s="88">
        <f>IFERROR(__xludf.DUMMYFUNCTION("""COMPUTED_VALUE"""),0.0)</f>
        <v>0</v>
      </c>
      <c r="G186" s="88">
        <f>IFERROR(__xludf.DUMMYFUNCTION("""COMPUTED_VALUE"""),9.0)</f>
        <v>9</v>
      </c>
      <c r="H186" s="88">
        <f>IFERROR(__xludf.DUMMYFUNCTION("""COMPUTED_VALUE"""),0.0)</f>
        <v>0</v>
      </c>
      <c r="I186" s="88">
        <f>IFERROR(__xludf.DUMMYFUNCTION("""COMPUTED_VALUE"""),0.0)</f>
        <v>0</v>
      </c>
      <c r="J186" s="88">
        <f>IFERROR(__xludf.DUMMYFUNCTION("""COMPUTED_VALUE"""),0.0)</f>
        <v>0</v>
      </c>
      <c r="K186" s="88">
        <f>IFERROR(__xludf.DUMMYFUNCTION("""COMPUTED_VALUE"""),9.0)</f>
        <v>9</v>
      </c>
      <c r="L186" s="88">
        <f>IFERROR(__xludf.DUMMYFUNCTION("""COMPUTED_VALUE"""),0.0)</f>
        <v>0</v>
      </c>
      <c r="M186" s="89">
        <f>IFERROR(__xludf.DUMMYFUNCTION("""COMPUTED_VALUE"""),108.0)</f>
        <v>108</v>
      </c>
      <c r="N186" s="89">
        <f>IFERROR(__xludf.DUMMYFUNCTION("""COMPUTED_VALUE"""),3.0)</f>
        <v>3</v>
      </c>
    </row>
    <row r="187">
      <c r="A187" s="11"/>
      <c r="B187" s="82" t="str">
        <f>IFERROR(__xludf.DUMMYFUNCTION("""COMPUTED_VALUE"""),"Leigh-Anh Nguyen")</f>
        <v>Leigh-Anh Nguyen</v>
      </c>
      <c r="C187" s="87">
        <f>IFERROR(__xludf.DUMMYFUNCTION("""COMPUTED_VALUE"""),95.0)</f>
        <v>95</v>
      </c>
      <c r="D187" s="87">
        <f>IFERROR(__xludf.DUMMYFUNCTION("""COMPUTED_VALUE"""),4.0)</f>
        <v>4</v>
      </c>
      <c r="E187" s="86">
        <f>IFERROR(__xludf.DUMMYFUNCTION("""COMPUTED_VALUE"""),3.0)</f>
        <v>3</v>
      </c>
      <c r="F187" s="88">
        <f>IFERROR(__xludf.DUMMYFUNCTION("""COMPUTED_VALUE"""),0.0)</f>
        <v>0</v>
      </c>
      <c r="G187" s="88">
        <f>IFERROR(__xludf.DUMMYFUNCTION("""COMPUTED_VALUE"""),9.0)</f>
        <v>9</v>
      </c>
      <c r="H187" s="88">
        <f>IFERROR(__xludf.DUMMYFUNCTION("""COMPUTED_VALUE"""),0.0)</f>
        <v>0</v>
      </c>
      <c r="I187" s="88">
        <f>IFERROR(__xludf.DUMMYFUNCTION("""COMPUTED_VALUE"""),0.0)</f>
        <v>0</v>
      </c>
      <c r="J187" s="88">
        <f>IFERROR(__xludf.DUMMYFUNCTION("""COMPUTED_VALUE"""),0.0)</f>
        <v>0</v>
      </c>
      <c r="K187" s="88">
        <f>IFERROR(__xludf.DUMMYFUNCTION("""COMPUTED_VALUE"""),9.0)</f>
        <v>9</v>
      </c>
      <c r="L187" s="88">
        <f>IFERROR(__xludf.DUMMYFUNCTION("""COMPUTED_VALUE"""),0.0)</f>
        <v>0</v>
      </c>
      <c r="M187" s="89">
        <f>IFERROR(__xludf.DUMMYFUNCTION("""COMPUTED_VALUE"""),104.0)</f>
        <v>104</v>
      </c>
      <c r="N187" s="89">
        <f>IFERROR(__xludf.DUMMYFUNCTION("""COMPUTED_VALUE"""),4.0)</f>
        <v>4</v>
      </c>
    </row>
    <row r="188">
      <c r="A188" s="11"/>
      <c r="B188" s="82" t="str">
        <f>IFERROR(__xludf.DUMMYFUNCTION("""COMPUTED_VALUE"""),"Vinz Solano")</f>
        <v>Vinz Solano</v>
      </c>
      <c r="C188" s="87">
        <f>IFERROR(__xludf.DUMMYFUNCTION("""COMPUTED_VALUE"""),94.0)</f>
        <v>94</v>
      </c>
      <c r="D188" s="87">
        <f>IFERROR(__xludf.DUMMYFUNCTION("""COMPUTED_VALUE"""),2.0)</f>
        <v>2</v>
      </c>
      <c r="E188" s="86">
        <f>IFERROR(__xludf.DUMMYFUNCTION("""COMPUTED_VALUE"""),3.0)</f>
        <v>3</v>
      </c>
      <c r="F188" s="88">
        <f>IFERROR(__xludf.DUMMYFUNCTION("""COMPUTED_VALUE"""),0.0)</f>
        <v>0</v>
      </c>
      <c r="G188" s="88">
        <f>IFERROR(__xludf.DUMMYFUNCTION("""COMPUTED_VALUE"""),9.0)</f>
        <v>9</v>
      </c>
      <c r="H188" s="88">
        <f>IFERROR(__xludf.DUMMYFUNCTION("""COMPUTED_VALUE"""),0.0)</f>
        <v>0</v>
      </c>
      <c r="I188" s="88">
        <f>IFERROR(__xludf.DUMMYFUNCTION("""COMPUTED_VALUE"""),0.0)</f>
        <v>0</v>
      </c>
      <c r="J188" s="88">
        <f>IFERROR(__xludf.DUMMYFUNCTION("""COMPUTED_VALUE"""),0.0)</f>
        <v>0</v>
      </c>
      <c r="K188" s="88">
        <f>IFERROR(__xludf.DUMMYFUNCTION("""COMPUTED_VALUE"""),9.0)</f>
        <v>9</v>
      </c>
      <c r="L188" s="88">
        <f>IFERROR(__xludf.DUMMYFUNCTION("""COMPUTED_VALUE"""),0.0)</f>
        <v>0</v>
      </c>
      <c r="M188" s="89">
        <f>IFERROR(__xludf.DUMMYFUNCTION("""COMPUTED_VALUE"""),103.0)</f>
        <v>103</v>
      </c>
      <c r="N188" s="89">
        <f>IFERROR(__xludf.DUMMYFUNCTION("""COMPUTED_VALUE"""),2.0)</f>
        <v>2</v>
      </c>
    </row>
    <row r="189">
      <c r="A189" s="11"/>
      <c r="B189" s="82" t="str">
        <f>IFERROR(__xludf.DUMMYFUNCTION("""COMPUTED_VALUE"""),"Balaji Alahari")</f>
        <v>Balaji Alahari</v>
      </c>
      <c r="C189" s="87">
        <f>IFERROR(__xludf.DUMMYFUNCTION("""COMPUTED_VALUE"""),94.0)</f>
        <v>94</v>
      </c>
      <c r="D189" s="87">
        <f>IFERROR(__xludf.DUMMYFUNCTION("""COMPUTED_VALUE"""),1.0)</f>
        <v>1</v>
      </c>
      <c r="E189" s="86">
        <f>IFERROR(__xludf.DUMMYFUNCTION("""COMPUTED_VALUE"""),3.0)</f>
        <v>3</v>
      </c>
      <c r="F189" s="88">
        <f>IFERROR(__xludf.DUMMYFUNCTION("""COMPUTED_VALUE"""),0.0)</f>
        <v>0</v>
      </c>
      <c r="G189" s="88">
        <f>IFERROR(__xludf.DUMMYFUNCTION("""COMPUTED_VALUE"""),9.0)</f>
        <v>9</v>
      </c>
      <c r="H189" s="88">
        <f>IFERROR(__xludf.DUMMYFUNCTION("""COMPUTED_VALUE"""),0.0)</f>
        <v>0</v>
      </c>
      <c r="I189" s="88">
        <f>IFERROR(__xludf.DUMMYFUNCTION("""COMPUTED_VALUE"""),0.0)</f>
        <v>0</v>
      </c>
      <c r="J189" s="88">
        <f>IFERROR(__xludf.DUMMYFUNCTION("""COMPUTED_VALUE"""),0.0)</f>
        <v>0</v>
      </c>
      <c r="K189" s="88">
        <f>IFERROR(__xludf.DUMMYFUNCTION("""COMPUTED_VALUE"""),9.0)</f>
        <v>9</v>
      </c>
      <c r="L189" s="88">
        <f>IFERROR(__xludf.DUMMYFUNCTION("""COMPUTED_VALUE"""),0.0)</f>
        <v>0</v>
      </c>
      <c r="M189" s="89">
        <f>IFERROR(__xludf.DUMMYFUNCTION("""COMPUTED_VALUE"""),103.0)</f>
        <v>103</v>
      </c>
      <c r="N189" s="89">
        <f>IFERROR(__xludf.DUMMYFUNCTION("""COMPUTED_VALUE"""),1.0)</f>
        <v>1</v>
      </c>
    </row>
    <row r="190">
      <c r="A190" s="11"/>
      <c r="B190" s="82" t="str">
        <f>IFERROR(__xludf.DUMMYFUNCTION("""COMPUTED_VALUE"""),"Peter Homsey")</f>
        <v>Peter Homsey</v>
      </c>
      <c r="C190" s="87">
        <f>IFERROR(__xludf.DUMMYFUNCTION("""COMPUTED_VALUE"""),94.0)</f>
        <v>94</v>
      </c>
      <c r="D190" s="87">
        <f>IFERROR(__xludf.DUMMYFUNCTION("""COMPUTED_VALUE"""),0.0)</f>
        <v>0</v>
      </c>
      <c r="E190" s="86">
        <f>IFERROR(__xludf.DUMMYFUNCTION("""COMPUTED_VALUE"""),3.0)</f>
        <v>3</v>
      </c>
      <c r="F190" s="88">
        <f>IFERROR(__xludf.DUMMYFUNCTION("""COMPUTED_VALUE"""),0.0)</f>
        <v>0</v>
      </c>
      <c r="G190" s="88">
        <f>IFERROR(__xludf.DUMMYFUNCTION("""COMPUTED_VALUE"""),9.0)</f>
        <v>9</v>
      </c>
      <c r="H190" s="88">
        <f>IFERROR(__xludf.DUMMYFUNCTION("""COMPUTED_VALUE"""),0.0)</f>
        <v>0</v>
      </c>
      <c r="I190" s="88">
        <f>IFERROR(__xludf.DUMMYFUNCTION("""COMPUTED_VALUE"""),0.0)</f>
        <v>0</v>
      </c>
      <c r="J190" s="88">
        <f>IFERROR(__xludf.DUMMYFUNCTION("""COMPUTED_VALUE"""),0.0)</f>
        <v>0</v>
      </c>
      <c r="K190" s="88">
        <f>IFERROR(__xludf.DUMMYFUNCTION("""COMPUTED_VALUE"""),9.0)</f>
        <v>9</v>
      </c>
      <c r="L190" s="88">
        <f>IFERROR(__xludf.DUMMYFUNCTION("""COMPUTED_VALUE"""),0.0)</f>
        <v>0</v>
      </c>
      <c r="M190" s="89">
        <f>IFERROR(__xludf.DUMMYFUNCTION("""COMPUTED_VALUE"""),103.0)</f>
        <v>103</v>
      </c>
      <c r="N190" s="89">
        <f>IFERROR(__xludf.DUMMYFUNCTION("""COMPUTED_VALUE"""),0.0)</f>
        <v>0</v>
      </c>
    </row>
    <row r="191">
      <c r="A191" s="11"/>
      <c r="B191" s="82" t="str">
        <f>IFERROR(__xludf.DUMMYFUNCTION("""COMPUTED_VALUE"""),"Amit Patel")</f>
        <v>Amit Patel</v>
      </c>
      <c r="C191" s="86">
        <f>IFERROR(__xludf.DUMMYFUNCTION("""COMPUTED_VALUE"""),94.0)</f>
        <v>94</v>
      </c>
      <c r="D191" s="87">
        <f>IFERROR(__xludf.DUMMYFUNCTION("""COMPUTED_VALUE"""),0.0)</f>
        <v>0</v>
      </c>
      <c r="E191" s="86">
        <f>IFERROR(__xludf.DUMMYFUNCTION("""COMPUTED_VALUE"""),3.0)</f>
        <v>3</v>
      </c>
      <c r="F191" s="88">
        <f>IFERROR(__xludf.DUMMYFUNCTION("""COMPUTED_VALUE"""),0.0)</f>
        <v>0</v>
      </c>
      <c r="G191" s="88">
        <f>IFERROR(__xludf.DUMMYFUNCTION("""COMPUTED_VALUE"""),9.0)</f>
        <v>9</v>
      </c>
      <c r="H191" s="88">
        <f>IFERROR(__xludf.DUMMYFUNCTION("""COMPUTED_VALUE"""),0.0)</f>
        <v>0</v>
      </c>
      <c r="I191" s="88">
        <f>IFERROR(__xludf.DUMMYFUNCTION("""COMPUTED_VALUE"""),0.0)</f>
        <v>0</v>
      </c>
      <c r="J191" s="88">
        <f>IFERROR(__xludf.DUMMYFUNCTION("""COMPUTED_VALUE"""),0.0)</f>
        <v>0</v>
      </c>
      <c r="K191" s="88">
        <f>IFERROR(__xludf.DUMMYFUNCTION("""COMPUTED_VALUE"""),9.0)</f>
        <v>9</v>
      </c>
      <c r="L191" s="88">
        <f>IFERROR(__xludf.DUMMYFUNCTION("""COMPUTED_VALUE"""),0.0)</f>
        <v>0</v>
      </c>
      <c r="M191" s="88">
        <f>IFERROR(__xludf.DUMMYFUNCTION("""COMPUTED_VALUE"""),103.0)</f>
        <v>103</v>
      </c>
      <c r="N191" s="89">
        <f>IFERROR(__xludf.DUMMYFUNCTION("""COMPUTED_VALUE"""),0.0)</f>
        <v>0</v>
      </c>
    </row>
    <row r="192">
      <c r="A192" s="11"/>
      <c r="B192" s="82" t="str">
        <f>IFERROR(__xludf.DUMMYFUNCTION("""COMPUTED_VALUE"""),"Jose Ortiz")</f>
        <v>Jose Ortiz</v>
      </c>
      <c r="C192" s="86">
        <f>IFERROR(__xludf.DUMMYFUNCTION("""COMPUTED_VALUE"""),90.0)</f>
        <v>90</v>
      </c>
      <c r="D192" s="87">
        <f>IFERROR(__xludf.DUMMYFUNCTION("""COMPUTED_VALUE"""),0.0)</f>
        <v>0</v>
      </c>
      <c r="E192" s="86">
        <f>IFERROR(__xludf.DUMMYFUNCTION("""COMPUTED_VALUE"""),3.0)</f>
        <v>3</v>
      </c>
      <c r="F192" s="88">
        <f>IFERROR(__xludf.DUMMYFUNCTION("""COMPUTED_VALUE"""),0.0)</f>
        <v>0</v>
      </c>
      <c r="G192" s="88">
        <f>IFERROR(__xludf.DUMMYFUNCTION("""COMPUTED_VALUE"""),9.0)</f>
        <v>9</v>
      </c>
      <c r="H192" s="88">
        <f>IFERROR(__xludf.DUMMYFUNCTION("""COMPUTED_VALUE"""),0.0)</f>
        <v>0</v>
      </c>
      <c r="I192" s="88">
        <f>IFERROR(__xludf.DUMMYFUNCTION("""COMPUTED_VALUE"""),0.0)</f>
        <v>0</v>
      </c>
      <c r="J192" s="88">
        <f>IFERROR(__xludf.DUMMYFUNCTION("""COMPUTED_VALUE"""),0.0)</f>
        <v>0</v>
      </c>
      <c r="K192" s="88">
        <f>IFERROR(__xludf.DUMMYFUNCTION("""COMPUTED_VALUE"""),9.0)</f>
        <v>9</v>
      </c>
      <c r="L192" s="88">
        <f>IFERROR(__xludf.DUMMYFUNCTION("""COMPUTED_VALUE"""),0.0)</f>
        <v>0</v>
      </c>
      <c r="M192" s="88">
        <f>IFERROR(__xludf.DUMMYFUNCTION("""COMPUTED_VALUE"""),99.0)</f>
        <v>99</v>
      </c>
      <c r="N192" s="89">
        <f>IFERROR(__xludf.DUMMYFUNCTION("""COMPUTED_VALUE"""),0.0)</f>
        <v>0</v>
      </c>
    </row>
    <row r="193">
      <c r="A193" s="11"/>
      <c r="B193" s="82" t="str">
        <f>IFERROR(__xludf.DUMMYFUNCTION("""COMPUTED_VALUE"""),"Joyce Zhu")</f>
        <v>Joyce Zhu</v>
      </c>
      <c r="C193" s="86">
        <f>IFERROR(__xludf.DUMMYFUNCTION("""COMPUTED_VALUE"""),87.0)</f>
        <v>87</v>
      </c>
      <c r="D193" s="87">
        <f>IFERROR(__xludf.DUMMYFUNCTION("""COMPUTED_VALUE"""),6.0)</f>
        <v>6</v>
      </c>
      <c r="E193" s="86">
        <f>IFERROR(__xludf.DUMMYFUNCTION("""COMPUTED_VALUE"""),3.0)</f>
        <v>3</v>
      </c>
      <c r="F193" s="88">
        <f>IFERROR(__xludf.DUMMYFUNCTION("""COMPUTED_VALUE"""),0.0)</f>
        <v>0</v>
      </c>
      <c r="G193" s="88">
        <f>IFERROR(__xludf.DUMMYFUNCTION("""COMPUTED_VALUE"""),9.0)</f>
        <v>9</v>
      </c>
      <c r="H193" s="88">
        <f>IFERROR(__xludf.DUMMYFUNCTION("""COMPUTED_VALUE"""),0.0)</f>
        <v>0</v>
      </c>
      <c r="I193" s="88">
        <f>IFERROR(__xludf.DUMMYFUNCTION("""COMPUTED_VALUE"""),0.0)</f>
        <v>0</v>
      </c>
      <c r="J193" s="88">
        <f>IFERROR(__xludf.DUMMYFUNCTION("""COMPUTED_VALUE"""),0.0)</f>
        <v>0</v>
      </c>
      <c r="K193" s="88">
        <f>IFERROR(__xludf.DUMMYFUNCTION("""COMPUTED_VALUE"""),9.0)</f>
        <v>9</v>
      </c>
      <c r="L193" s="88">
        <f>IFERROR(__xludf.DUMMYFUNCTION("""COMPUTED_VALUE"""),0.0)</f>
        <v>0</v>
      </c>
      <c r="M193" s="88">
        <f>IFERROR(__xludf.DUMMYFUNCTION("""COMPUTED_VALUE"""),96.0)</f>
        <v>96</v>
      </c>
      <c r="N193" s="89">
        <f>IFERROR(__xludf.DUMMYFUNCTION("""COMPUTED_VALUE"""),6.0)</f>
        <v>6</v>
      </c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B201" s="82"/>
      <c r="C201" s="86"/>
      <c r="D201" s="87"/>
      <c r="E201" s="86"/>
      <c r="F201" s="88"/>
      <c r="G201" s="88"/>
      <c r="H201" s="88"/>
      <c r="I201" s="88"/>
      <c r="J201" s="88"/>
      <c r="K201" s="88"/>
      <c r="L201" s="88"/>
      <c r="M201" s="88"/>
      <c r="N201" s="89"/>
    </row>
    <row r="202">
      <c r="A202" s="11"/>
      <c r="B202" s="82"/>
      <c r="C202" s="86"/>
      <c r="D202" s="87"/>
      <c r="E202" s="86"/>
      <c r="F202" s="88"/>
      <c r="G202" s="88"/>
      <c r="H202" s="88"/>
      <c r="I202" s="88"/>
      <c r="J202" s="88"/>
      <c r="K202" s="88"/>
      <c r="L202" s="88"/>
      <c r="M202" s="88"/>
      <c r="N202" s="89"/>
    </row>
    <row r="203">
      <c r="A203" s="11"/>
      <c r="B203" s="82"/>
      <c r="C203" s="86"/>
      <c r="D203" s="87"/>
      <c r="E203" s="86"/>
      <c r="F203" s="88"/>
      <c r="G203" s="88"/>
      <c r="H203" s="88"/>
      <c r="I203" s="88"/>
      <c r="J203" s="88"/>
      <c r="K203" s="88"/>
      <c r="L203" s="88"/>
      <c r="M203" s="88"/>
      <c r="N203" s="89"/>
    </row>
    <row r="204">
      <c r="A204" s="11"/>
      <c r="B204" s="82"/>
      <c r="C204" s="86"/>
      <c r="D204" s="87"/>
      <c r="E204" s="86"/>
      <c r="F204" s="88"/>
      <c r="G204" s="88"/>
      <c r="H204" s="88"/>
      <c r="I204" s="88"/>
      <c r="J204" s="88"/>
      <c r="K204" s="88"/>
      <c r="L204" s="88"/>
      <c r="M204" s="88"/>
      <c r="N204" s="89"/>
    </row>
    <row r="205">
      <c r="A205" s="11"/>
      <c r="B205" s="82"/>
      <c r="C205" s="86"/>
      <c r="D205" s="87"/>
      <c r="E205" s="86"/>
      <c r="F205" s="88"/>
      <c r="G205" s="88"/>
      <c r="H205" s="88"/>
      <c r="I205" s="88"/>
      <c r="J205" s="88"/>
      <c r="K205" s="88"/>
      <c r="L205" s="88"/>
      <c r="M205" s="88"/>
      <c r="N205" s="89"/>
    </row>
    <row r="206">
      <c r="A206" s="11"/>
      <c r="B206" s="82"/>
      <c r="C206" s="86"/>
      <c r="D206" s="87"/>
      <c r="E206" s="86"/>
      <c r="F206" s="88"/>
      <c r="G206" s="88"/>
      <c r="H206" s="88"/>
      <c r="I206" s="88"/>
      <c r="J206" s="88"/>
      <c r="K206" s="88"/>
      <c r="L206" s="88"/>
      <c r="M206" s="88"/>
      <c r="N206" s="89"/>
    </row>
    <row r="207">
      <c r="A207" s="11"/>
      <c r="B207" s="82"/>
      <c r="C207" s="86"/>
      <c r="D207" s="87"/>
      <c r="E207" s="86"/>
      <c r="F207" s="88"/>
      <c r="G207" s="88"/>
      <c r="H207" s="88"/>
      <c r="I207" s="88"/>
      <c r="J207" s="88"/>
      <c r="K207" s="88"/>
      <c r="L207" s="88"/>
      <c r="M207" s="88"/>
      <c r="N207" s="89"/>
    </row>
    <row r="208">
      <c r="A208" s="11"/>
      <c r="B208" s="82"/>
      <c r="C208" s="86"/>
      <c r="D208" s="87"/>
      <c r="E208" s="86"/>
      <c r="F208" s="88"/>
      <c r="G208" s="88"/>
      <c r="H208" s="88"/>
      <c r="I208" s="88"/>
      <c r="J208" s="88"/>
      <c r="K208" s="88"/>
      <c r="L208" s="88"/>
      <c r="M208" s="88"/>
      <c r="N208" s="89"/>
    </row>
    <row r="209">
      <c r="A209" s="11"/>
      <c r="B209" s="82"/>
      <c r="C209" s="86"/>
      <c r="D209" s="87"/>
      <c r="E209" s="86"/>
      <c r="F209" s="88"/>
      <c r="G209" s="88"/>
      <c r="H209" s="88"/>
      <c r="I209" s="88"/>
      <c r="J209" s="88"/>
      <c r="K209" s="88"/>
      <c r="L209" s="88"/>
      <c r="M209" s="88"/>
      <c r="N209" s="89"/>
    </row>
    <row r="210">
      <c r="A210" s="11"/>
      <c r="B210" s="82"/>
      <c r="C210" s="86"/>
      <c r="D210" s="87"/>
      <c r="E210" s="86"/>
      <c r="F210" s="88"/>
      <c r="G210" s="88"/>
      <c r="H210" s="88"/>
      <c r="I210" s="88"/>
      <c r="J210" s="88"/>
      <c r="K210" s="88"/>
      <c r="L210" s="88"/>
      <c r="M210" s="88"/>
      <c r="N210" s="89"/>
    </row>
    <row r="211">
      <c r="A211" s="11"/>
      <c r="B211" s="82"/>
      <c r="C211" s="86"/>
      <c r="D211" s="87"/>
      <c r="E211" s="86"/>
      <c r="F211" s="88"/>
      <c r="G211" s="88"/>
      <c r="H211" s="88"/>
      <c r="I211" s="88"/>
      <c r="J211" s="88"/>
      <c r="K211" s="88"/>
      <c r="L211" s="88"/>
      <c r="M211" s="88"/>
      <c r="N211" s="89"/>
    </row>
    <row r="212">
      <c r="A212" s="11"/>
      <c r="B212" s="82"/>
      <c r="C212" s="86"/>
      <c r="D212" s="87"/>
      <c r="E212" s="86"/>
      <c r="F212" s="88"/>
      <c r="G212" s="88"/>
      <c r="H212" s="88"/>
      <c r="I212" s="88"/>
      <c r="J212" s="88"/>
      <c r="K212" s="88"/>
      <c r="L212" s="88"/>
      <c r="M212" s="88"/>
      <c r="N212" s="89"/>
    </row>
    <row r="213">
      <c r="A213" s="11"/>
      <c r="B213" s="82"/>
      <c r="C213" s="86"/>
      <c r="D213" s="87"/>
      <c r="E213" s="86"/>
      <c r="F213" s="88"/>
      <c r="G213" s="88"/>
      <c r="H213" s="88"/>
      <c r="I213" s="88"/>
      <c r="J213" s="88"/>
      <c r="K213" s="88"/>
      <c r="L213" s="88"/>
      <c r="M213" s="88"/>
      <c r="N213" s="89"/>
    </row>
    <row r="214">
      <c r="A214" s="11"/>
      <c r="B214" s="82"/>
      <c r="C214" s="86"/>
      <c r="D214" s="87"/>
      <c r="E214" s="86"/>
      <c r="F214" s="88"/>
      <c r="G214" s="88"/>
      <c r="H214" s="88"/>
      <c r="I214" s="88"/>
      <c r="J214" s="88"/>
      <c r="K214" s="88"/>
      <c r="L214" s="88"/>
      <c r="M214" s="88"/>
      <c r="N214" s="89"/>
    </row>
    <row r="215">
      <c r="A215" s="11"/>
      <c r="B215" s="82"/>
      <c r="C215" s="86"/>
      <c r="D215" s="87"/>
      <c r="E215" s="86"/>
      <c r="F215" s="88"/>
      <c r="G215" s="88"/>
      <c r="H215" s="88"/>
      <c r="I215" s="88"/>
      <c r="J215" s="88"/>
      <c r="K215" s="88"/>
      <c r="L215" s="88"/>
      <c r="M215" s="88"/>
      <c r="N215" s="89"/>
    </row>
    <row r="216">
      <c r="A216" s="11"/>
      <c r="B216" s="82"/>
      <c r="C216" s="86"/>
      <c r="D216" s="87"/>
      <c r="E216" s="86"/>
      <c r="F216" s="88"/>
      <c r="G216" s="88"/>
      <c r="H216" s="88"/>
      <c r="I216" s="88"/>
      <c r="J216" s="88"/>
      <c r="K216" s="88"/>
      <c r="L216" s="88"/>
      <c r="M216" s="88"/>
      <c r="N216" s="89"/>
    </row>
    <row r="217">
      <c r="A217" s="11"/>
      <c r="B217" s="82"/>
      <c r="C217" s="86"/>
      <c r="D217" s="87"/>
      <c r="E217" s="86"/>
      <c r="F217" s="88"/>
      <c r="G217" s="88"/>
      <c r="H217" s="88"/>
      <c r="I217" s="88"/>
      <c r="J217" s="88"/>
      <c r="K217" s="88"/>
      <c r="L217" s="88"/>
      <c r="M217" s="88"/>
      <c r="N217" s="89"/>
    </row>
    <row r="218">
      <c r="A218" s="11"/>
      <c r="B218" s="82"/>
      <c r="C218" s="86"/>
      <c r="D218" s="87"/>
      <c r="E218" s="86"/>
      <c r="F218" s="88"/>
      <c r="G218" s="88"/>
      <c r="H218" s="88"/>
      <c r="I218" s="88"/>
      <c r="J218" s="88"/>
      <c r="K218" s="88"/>
      <c r="L218" s="88"/>
      <c r="M218" s="88"/>
      <c r="N218" s="89"/>
    </row>
    <row r="219">
      <c r="A219" s="11"/>
      <c r="B219" s="82"/>
      <c r="C219" s="86"/>
      <c r="D219" s="87"/>
      <c r="E219" s="86"/>
      <c r="F219" s="88"/>
      <c r="G219" s="88"/>
      <c r="H219" s="88"/>
      <c r="I219" s="88"/>
      <c r="J219" s="88"/>
      <c r="K219" s="88"/>
      <c r="L219" s="88"/>
      <c r="M219" s="88"/>
      <c r="N219" s="89"/>
    </row>
    <row r="220">
      <c r="A220" s="11"/>
      <c r="B220" s="82"/>
      <c r="C220" s="86"/>
      <c r="D220" s="87"/>
      <c r="E220" s="86"/>
      <c r="F220" s="88"/>
      <c r="G220" s="88"/>
      <c r="H220" s="88"/>
      <c r="I220" s="88"/>
      <c r="J220" s="88"/>
      <c r="K220" s="88"/>
      <c r="L220" s="88"/>
      <c r="M220" s="88"/>
      <c r="N220" s="89"/>
    </row>
    <row r="221">
      <c r="A221" s="11"/>
      <c r="B221" s="82"/>
      <c r="C221" s="86"/>
      <c r="D221" s="87"/>
      <c r="E221" s="86"/>
      <c r="F221" s="88"/>
      <c r="G221" s="88"/>
      <c r="H221" s="88"/>
      <c r="I221" s="88"/>
      <c r="J221" s="88"/>
      <c r="K221" s="88"/>
      <c r="L221" s="88"/>
      <c r="M221" s="88"/>
      <c r="N221" s="89"/>
    </row>
    <row r="222">
      <c r="A222" s="11"/>
      <c r="B222" s="82"/>
      <c r="C222" s="86"/>
      <c r="D222" s="87"/>
      <c r="E222" s="86"/>
      <c r="F222" s="88"/>
      <c r="G222" s="88"/>
      <c r="H222" s="88"/>
      <c r="I222" s="88"/>
      <c r="J222" s="88"/>
      <c r="K222" s="88"/>
      <c r="L222" s="88"/>
      <c r="M222" s="88"/>
      <c r="N222" s="89"/>
    </row>
    <row r="223">
      <c r="A223" s="11"/>
      <c r="B223" s="82"/>
      <c r="C223" s="86"/>
      <c r="D223" s="87"/>
      <c r="E223" s="86"/>
      <c r="F223" s="88"/>
      <c r="G223" s="88"/>
      <c r="H223" s="88"/>
      <c r="I223" s="88"/>
      <c r="J223" s="88"/>
      <c r="K223" s="88"/>
      <c r="L223" s="88"/>
      <c r="M223" s="88"/>
      <c r="N223" s="89"/>
    </row>
    <row r="224">
      <c r="A224" s="11"/>
      <c r="B224" s="82"/>
      <c r="C224" s="86"/>
      <c r="D224" s="87"/>
      <c r="E224" s="86"/>
      <c r="F224" s="88"/>
      <c r="G224" s="88"/>
      <c r="H224" s="88"/>
      <c r="I224" s="88"/>
      <c r="J224" s="88"/>
      <c r="K224" s="88"/>
      <c r="L224" s="88"/>
      <c r="M224" s="88"/>
      <c r="N224" s="89"/>
    </row>
    <row r="225">
      <c r="A225" s="11"/>
      <c r="C225" s="11"/>
      <c r="D225" s="11"/>
      <c r="E225" s="11"/>
    </row>
    <row r="226">
      <c r="A226" s="11"/>
      <c r="C226" s="11"/>
      <c r="D226" s="11"/>
      <c r="E226" s="11"/>
    </row>
    <row r="227">
      <c r="A227" s="11"/>
      <c r="C227" s="11"/>
      <c r="D227" s="11"/>
      <c r="E227" s="11"/>
    </row>
    <row r="228">
      <c r="A228" s="11"/>
      <c r="C228" s="11"/>
      <c r="D228" s="11"/>
      <c r="E228" s="11"/>
    </row>
    <row r="229">
      <c r="A229" s="11"/>
      <c r="C229" s="11"/>
      <c r="D229" s="11"/>
      <c r="E229" s="11"/>
    </row>
    <row r="230">
      <c r="A230" s="11"/>
      <c r="C230" s="11"/>
      <c r="D230" s="11"/>
      <c r="E230" s="11"/>
    </row>
    <row r="231">
      <c r="A231" s="11"/>
      <c r="C231" s="11"/>
      <c r="D231" s="11"/>
      <c r="E231" s="11"/>
    </row>
    <row r="232">
      <c r="A232" s="11"/>
      <c r="C232" s="11"/>
      <c r="D232" s="11"/>
      <c r="E232" s="11"/>
    </row>
    <row r="233">
      <c r="A233" s="11"/>
      <c r="C233" s="11"/>
      <c r="D233" s="11"/>
      <c r="E233" s="11"/>
    </row>
    <row r="234">
      <c r="A234" s="11"/>
      <c r="C234" s="11"/>
      <c r="D234" s="11"/>
      <c r="E234" s="11"/>
    </row>
    <row r="235">
      <c r="A235" s="11"/>
      <c r="C235" s="11"/>
      <c r="D235" s="11"/>
      <c r="E235" s="11"/>
    </row>
    <row r="236">
      <c r="A236" s="11"/>
      <c r="C236" s="11"/>
      <c r="D236" s="11"/>
      <c r="E236" s="11"/>
    </row>
    <row r="237">
      <c r="A237" s="11"/>
      <c r="C237" s="11"/>
      <c r="D237" s="11"/>
      <c r="E237" s="11"/>
    </row>
    <row r="238">
      <c r="A238" s="11"/>
      <c r="C238" s="11"/>
      <c r="D238" s="11"/>
      <c r="E238" s="11"/>
    </row>
    <row r="239">
      <c r="A239" s="11"/>
      <c r="C239" s="11"/>
      <c r="D239" s="11"/>
      <c r="E239" s="11"/>
    </row>
    <row r="240">
      <c r="A240" s="11"/>
      <c r="C240" s="11"/>
      <c r="D240" s="11"/>
      <c r="E240" s="11"/>
    </row>
    <row r="241">
      <c r="A241" s="11"/>
      <c r="C241" s="11"/>
      <c r="D241" s="11"/>
      <c r="E241" s="11"/>
    </row>
    <row r="242">
      <c r="A242" s="11"/>
      <c r="C242" s="11"/>
      <c r="D242" s="11"/>
      <c r="E242" s="11"/>
    </row>
    <row r="243">
      <c r="A243" s="11"/>
      <c r="C243" s="11"/>
      <c r="D243" s="11"/>
      <c r="E243" s="11"/>
    </row>
    <row r="244">
      <c r="A244" s="11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B246" s="90" t="s">
        <v>167</v>
      </c>
      <c r="C246" s="11"/>
      <c r="D246" s="11"/>
      <c r="E246" s="11"/>
      <c r="U246" s="90" t="s">
        <v>168</v>
      </c>
    </row>
    <row r="247">
      <c r="A247" s="49">
        <v>1.0</v>
      </c>
      <c r="B247" s="82" t="str">
        <f>IFERROR(__xludf.DUMMYFUNCTION("QUERY(B5:Q70, ""Select B   where Q is null"")"),"#N/A")</f>
        <v>#N/A</v>
      </c>
      <c r="C247" s="11"/>
      <c r="D247" s="11"/>
      <c r="E247" s="11"/>
      <c r="T247" s="49">
        <v>1.0</v>
      </c>
      <c r="U247" s="17" t="str">
        <f>IFERROR(__xludf.DUMMYFUNCTION("QUERY(B5:Q70, ""Select B   where Q = 'N' "")"),"#N/A")</f>
        <v>#N/A</v>
      </c>
    </row>
    <row r="248">
      <c r="A248" s="11">
        <f t="shared" ref="A248:A268" si="71">A247+1</f>
        <v>2</v>
      </c>
      <c r="B248" s="82"/>
      <c r="C248" s="11"/>
      <c r="D248" s="11"/>
      <c r="E248" s="11"/>
      <c r="T248" s="11">
        <f t="shared" ref="T248:T259" si="72">T247+1</f>
        <v>2</v>
      </c>
    </row>
    <row r="249">
      <c r="A249" s="11">
        <f t="shared" si="71"/>
        <v>3</v>
      </c>
      <c r="B249" s="82"/>
      <c r="C249" s="11"/>
      <c r="D249" s="11"/>
      <c r="E249" s="11"/>
      <c r="T249" s="11">
        <f t="shared" si="72"/>
        <v>3</v>
      </c>
    </row>
    <row r="250">
      <c r="A250" s="11">
        <f t="shared" si="71"/>
        <v>4</v>
      </c>
      <c r="B250" s="82"/>
      <c r="C250" s="11"/>
      <c r="D250" s="11"/>
      <c r="E250" s="11"/>
      <c r="T250" s="11">
        <f t="shared" si="72"/>
        <v>4</v>
      </c>
    </row>
    <row r="251">
      <c r="A251" s="11">
        <f t="shared" si="71"/>
        <v>5</v>
      </c>
      <c r="B251" s="82"/>
      <c r="C251" s="11"/>
      <c r="D251" s="11"/>
      <c r="E251" s="11"/>
      <c r="T251" s="11">
        <f t="shared" si="72"/>
        <v>5</v>
      </c>
    </row>
    <row r="252">
      <c r="A252" s="11">
        <f t="shared" si="71"/>
        <v>6</v>
      </c>
      <c r="B252" s="82"/>
      <c r="C252" s="11"/>
      <c r="D252" s="11"/>
      <c r="E252" s="11"/>
      <c r="T252" s="11">
        <f t="shared" si="72"/>
        <v>6</v>
      </c>
    </row>
    <row r="253">
      <c r="A253" s="11">
        <f t="shared" si="71"/>
        <v>7</v>
      </c>
      <c r="B253" s="82"/>
      <c r="C253" s="11"/>
      <c r="D253" s="11"/>
      <c r="E253" s="11"/>
      <c r="T253" s="11">
        <f t="shared" si="72"/>
        <v>7</v>
      </c>
    </row>
    <row r="254">
      <c r="A254" s="11">
        <f t="shared" si="71"/>
        <v>8</v>
      </c>
      <c r="B254" s="82"/>
      <c r="C254" s="11"/>
      <c r="D254" s="11"/>
      <c r="E254" s="11"/>
      <c r="T254" s="11">
        <f t="shared" si="72"/>
        <v>8</v>
      </c>
    </row>
    <row r="255">
      <c r="A255" s="11">
        <f t="shared" si="71"/>
        <v>9</v>
      </c>
      <c r="B255" s="82"/>
      <c r="C255" s="11"/>
      <c r="D255" s="11"/>
      <c r="E255" s="11"/>
      <c r="T255" s="11">
        <f t="shared" si="72"/>
        <v>9</v>
      </c>
    </row>
    <row r="256">
      <c r="A256" s="11">
        <f t="shared" si="71"/>
        <v>10</v>
      </c>
      <c r="B256" s="82"/>
      <c r="C256" s="11"/>
      <c r="D256" s="11"/>
      <c r="E256" s="11"/>
      <c r="T256" s="11">
        <f t="shared" si="72"/>
        <v>10</v>
      </c>
    </row>
    <row r="257">
      <c r="A257" s="11">
        <f t="shared" si="71"/>
        <v>11</v>
      </c>
      <c r="B257" s="82"/>
      <c r="C257" s="11"/>
      <c r="D257" s="11"/>
      <c r="E257" s="11"/>
      <c r="T257" s="11">
        <f t="shared" si="72"/>
        <v>11</v>
      </c>
    </row>
    <row r="258">
      <c r="A258" s="11">
        <f t="shared" si="71"/>
        <v>12</v>
      </c>
      <c r="B258" s="82"/>
      <c r="C258" s="11"/>
      <c r="D258" s="11"/>
      <c r="E258" s="11"/>
      <c r="T258" s="11">
        <f t="shared" si="72"/>
        <v>12</v>
      </c>
    </row>
    <row r="259">
      <c r="A259" s="11">
        <f t="shared" si="71"/>
        <v>13</v>
      </c>
      <c r="B259" s="82"/>
      <c r="C259" s="11"/>
      <c r="D259" s="11"/>
      <c r="E259" s="11"/>
      <c r="T259" s="11">
        <f t="shared" si="72"/>
        <v>13</v>
      </c>
    </row>
    <row r="260">
      <c r="A260" s="11">
        <f t="shared" si="71"/>
        <v>14</v>
      </c>
      <c r="B260" s="82"/>
      <c r="C260" s="11"/>
      <c r="D260" s="11"/>
      <c r="E260" s="11"/>
    </row>
    <row r="261">
      <c r="A261" s="11">
        <f t="shared" si="71"/>
        <v>15</v>
      </c>
      <c r="B261" s="82"/>
      <c r="C261" s="11"/>
      <c r="D261" s="11"/>
      <c r="E261" s="11"/>
    </row>
    <row r="262">
      <c r="A262" s="11">
        <f t="shared" si="71"/>
        <v>16</v>
      </c>
      <c r="B262" s="82"/>
      <c r="C262" s="11"/>
      <c r="D262" s="11"/>
      <c r="E262" s="11"/>
    </row>
    <row r="263">
      <c r="A263" s="11">
        <f t="shared" si="71"/>
        <v>17</v>
      </c>
      <c r="B263" s="82"/>
      <c r="C263" s="11"/>
      <c r="D263" s="11"/>
      <c r="E263" s="11"/>
    </row>
    <row r="264">
      <c r="A264" s="11">
        <f t="shared" si="71"/>
        <v>18</v>
      </c>
      <c r="B264" s="82"/>
      <c r="C264" s="11"/>
      <c r="D264" s="11"/>
      <c r="E264" s="11"/>
    </row>
    <row r="265">
      <c r="A265" s="11">
        <f t="shared" si="71"/>
        <v>19</v>
      </c>
      <c r="B265" s="82"/>
      <c r="C265" s="11"/>
      <c r="D265" s="11"/>
      <c r="E265" s="11"/>
    </row>
    <row r="266">
      <c r="A266" s="11">
        <f t="shared" si="71"/>
        <v>20</v>
      </c>
      <c r="B266" s="82"/>
      <c r="C266" s="11"/>
      <c r="D266" s="11"/>
      <c r="E266" s="11"/>
    </row>
    <row r="267">
      <c r="A267" s="11">
        <f t="shared" si="71"/>
        <v>21</v>
      </c>
      <c r="B267" s="82"/>
      <c r="C267" s="11"/>
      <c r="D267" s="11"/>
      <c r="E267" s="11"/>
    </row>
    <row r="268">
      <c r="A268" s="11">
        <f t="shared" si="71"/>
        <v>22</v>
      </c>
      <c r="B268" s="82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  <row r="1030">
      <c r="A1030" s="11"/>
      <c r="C1030" s="11"/>
      <c r="D1030" s="11"/>
      <c r="E1030" s="11"/>
    </row>
    <row r="1031">
      <c r="A1031" s="11"/>
      <c r="C1031" s="11"/>
      <c r="D1031" s="11"/>
      <c r="E1031" s="11"/>
    </row>
    <row r="1032">
      <c r="A1032" s="11"/>
      <c r="C1032" s="11"/>
      <c r="D1032" s="11"/>
      <c r="E1032" s="11"/>
    </row>
    <row r="1033">
      <c r="A1033" s="11"/>
      <c r="C1033" s="11"/>
      <c r="D1033" s="11"/>
      <c r="E1033" s="11"/>
    </row>
    <row r="1034">
      <c r="A1034" s="11"/>
      <c r="C1034" s="11"/>
      <c r="D1034" s="11"/>
      <c r="E1034" s="11"/>
    </row>
    <row r="1035">
      <c r="A1035" s="11"/>
      <c r="C1035" s="11"/>
      <c r="D1035" s="11"/>
      <c r="E1035" s="11"/>
    </row>
    <row r="1036">
      <c r="A1036" s="11"/>
      <c r="C1036" s="11"/>
      <c r="D1036" s="11"/>
      <c r="E1036" s="11"/>
    </row>
    <row r="1037">
      <c r="A1037" s="11"/>
      <c r="C1037" s="11"/>
      <c r="D1037" s="11"/>
      <c r="E1037" s="11"/>
    </row>
    <row r="1038">
      <c r="A1038" s="11"/>
      <c r="C1038" s="11"/>
      <c r="D1038" s="11"/>
      <c r="E1038" s="11"/>
    </row>
    <row r="1039">
      <c r="A1039" s="11"/>
      <c r="C1039" s="11"/>
      <c r="D1039" s="11"/>
      <c r="E1039" s="11"/>
    </row>
    <row r="1040">
      <c r="A1040" s="11"/>
      <c r="C1040" s="11"/>
      <c r="D1040" s="11"/>
      <c r="E1040" s="11"/>
    </row>
    <row r="1041">
      <c r="A1041" s="11"/>
      <c r="C1041" s="11"/>
      <c r="D1041" s="11"/>
      <c r="E1041" s="11"/>
    </row>
    <row r="1042">
      <c r="A1042" s="11"/>
      <c r="C1042" s="11"/>
      <c r="D1042" s="11"/>
      <c r="E1042" s="11"/>
    </row>
    <row r="1043">
      <c r="A1043" s="11"/>
      <c r="C1043" s="11"/>
      <c r="D1043" s="11"/>
      <c r="E1043" s="11"/>
    </row>
    <row r="1044">
      <c r="A1044" s="11"/>
      <c r="C1044" s="11"/>
      <c r="D1044" s="11"/>
      <c r="E1044" s="11"/>
    </row>
    <row r="1045">
      <c r="A1045" s="11"/>
      <c r="C1045" s="11"/>
      <c r="D1045" s="11"/>
      <c r="E1045" s="11"/>
    </row>
    <row r="1046">
      <c r="A1046" s="11"/>
      <c r="C1046" s="11"/>
      <c r="D1046" s="11"/>
      <c r="E1046" s="11"/>
    </row>
    <row r="1047">
      <c r="A1047" s="11"/>
      <c r="C1047" s="11"/>
      <c r="D1047" s="11"/>
      <c r="E1047" s="11"/>
    </row>
    <row r="1048">
      <c r="A1048" s="11"/>
      <c r="C1048" s="11"/>
      <c r="D1048" s="11"/>
      <c r="E1048" s="11"/>
    </row>
    <row r="1049">
      <c r="A1049" s="11"/>
      <c r="C1049" s="11"/>
      <c r="D1049" s="11"/>
      <c r="E1049" s="11"/>
    </row>
    <row r="1050">
      <c r="A1050" s="11"/>
      <c r="C1050" s="11"/>
      <c r="D1050" s="11"/>
      <c r="E1050" s="11"/>
    </row>
    <row r="1051">
      <c r="A1051" s="11"/>
      <c r="C1051" s="11"/>
      <c r="D1051" s="11"/>
      <c r="E1051" s="11"/>
    </row>
    <row r="1052">
      <c r="A1052" s="11"/>
      <c r="C1052" s="11"/>
      <c r="D1052" s="11"/>
      <c r="E1052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 B92:C102">
    <cfRule type="expression" dxfId="1" priority="3">
      <formula>E5=1</formula>
    </cfRule>
  </conditionalFormatting>
  <conditionalFormatting sqref="B5:B70 B79:D89 B92:C102">
    <cfRule type="expression" dxfId="3" priority="4">
      <formula>E5=2</formula>
    </cfRule>
  </conditionalFormatting>
  <conditionalFormatting sqref="B5:B70 B79:D89 B92:C102">
    <cfRule type="expression" dxfId="4" priority="5">
      <formula>E5=3</formula>
    </cfRule>
  </conditionalFormatting>
  <conditionalFormatting sqref="B5:B70 B79:D89 B92:C102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45535.0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'083124'!D2+1</f>
        <v>10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  <c r="V4" s="26" t="s">
        <v>30</v>
      </c>
    </row>
    <row r="5">
      <c r="A5" s="30">
        <v>1.0</v>
      </c>
      <c r="B5" s="31" t="s">
        <v>43</v>
      </c>
      <c r="C5" s="32">
        <v>144.0</v>
      </c>
      <c r="D5" s="32">
        <v>17.0</v>
      </c>
      <c r="E5" s="37">
        <v>1.0</v>
      </c>
      <c r="F5" s="39">
        <v>1.0</v>
      </c>
      <c r="G5" s="40">
        <v>0.0</v>
      </c>
      <c r="H5" s="39">
        <v>6.0</v>
      </c>
      <c r="I5" s="39">
        <v>6.0</v>
      </c>
      <c r="J5" s="39">
        <v>6.0</v>
      </c>
      <c r="K5" s="42">
        <v>18.0</v>
      </c>
      <c r="L5" s="39">
        <v>3.0</v>
      </c>
      <c r="M5" s="32">
        <f t="shared" ref="M5:N5" si="1">C5+K5</f>
        <v>162</v>
      </c>
      <c r="N5" s="32">
        <f t="shared" si="1"/>
        <v>20</v>
      </c>
      <c r="O5" s="43" t="s">
        <v>53</v>
      </c>
      <c r="P5" s="43" t="s">
        <v>53</v>
      </c>
      <c r="Q5" s="43" t="s">
        <v>53</v>
      </c>
      <c r="R5" s="39">
        <f>if(G5=13,1,0)+VLOOKUP(B5,'083124'!B:T,17,false)</f>
        <v>1</v>
      </c>
      <c r="S5" s="39"/>
      <c r="T5" s="39">
        <f>if(G5=9,1,0)+VLOOKUP(B5,'083124'!B:T,19,false)</f>
        <v>1</v>
      </c>
      <c r="V5" s="30">
        <v>1.0</v>
      </c>
    </row>
    <row r="6">
      <c r="A6" s="30">
        <f t="shared" ref="A6:A70" si="3">A5+1</f>
        <v>2</v>
      </c>
      <c r="B6" s="31" t="s">
        <v>61</v>
      </c>
      <c r="C6" s="32">
        <v>135.0</v>
      </c>
      <c r="D6" s="32">
        <v>17.0</v>
      </c>
      <c r="E6" s="37">
        <v>1.0</v>
      </c>
      <c r="F6" s="39">
        <v>1.0</v>
      </c>
      <c r="G6" s="40">
        <v>0.0</v>
      </c>
      <c r="H6" s="39">
        <v>2.0</v>
      </c>
      <c r="I6" s="39">
        <v>1.0</v>
      </c>
      <c r="J6" s="39">
        <v>6.0</v>
      </c>
      <c r="K6" s="42">
        <v>9.0</v>
      </c>
      <c r="L6" s="39">
        <v>1.0</v>
      </c>
      <c r="M6" s="32">
        <f t="shared" ref="M6:N6" si="2">C6+K6</f>
        <v>144</v>
      </c>
      <c r="N6" s="32">
        <f t="shared" si="2"/>
        <v>18</v>
      </c>
      <c r="O6" s="43" t="s">
        <v>53</v>
      </c>
      <c r="P6" s="43" t="s">
        <v>53</v>
      </c>
      <c r="Q6" s="43" t="s">
        <v>53</v>
      </c>
      <c r="R6" s="39">
        <f>if(G6=13,1,0)+VLOOKUP(B6,'083124'!B:T,17,false)</f>
        <v>0</v>
      </c>
      <c r="S6" s="39"/>
      <c r="T6" s="39">
        <f>if(G6=9,1,0)+VLOOKUP(B6,'083124'!B:T,19,false)</f>
        <v>1</v>
      </c>
      <c r="V6" s="30">
        <f t="shared" ref="V6:V70" si="5">V5+1</f>
        <v>2</v>
      </c>
    </row>
    <row r="7">
      <c r="A7" s="30">
        <f t="shared" si="3"/>
        <v>3</v>
      </c>
      <c r="B7" s="51" t="s">
        <v>87</v>
      </c>
      <c r="C7" s="32">
        <v>128.0</v>
      </c>
      <c r="D7" s="32">
        <v>12.0</v>
      </c>
      <c r="E7" s="37">
        <v>1.0</v>
      </c>
      <c r="F7" s="39">
        <v>1.0</v>
      </c>
      <c r="G7" s="40">
        <v>0.0</v>
      </c>
      <c r="H7" s="39">
        <v>6.0</v>
      </c>
      <c r="I7" s="39">
        <v>1.0</v>
      </c>
      <c r="J7" s="39">
        <v>2.0</v>
      </c>
      <c r="K7" s="42">
        <v>9.0</v>
      </c>
      <c r="L7" s="39">
        <v>1.0</v>
      </c>
      <c r="M7" s="32">
        <f t="shared" ref="M7:N7" si="4">C7+K7</f>
        <v>137</v>
      </c>
      <c r="N7" s="32">
        <f t="shared" si="4"/>
        <v>13</v>
      </c>
      <c r="O7" s="43" t="s">
        <v>53</v>
      </c>
      <c r="P7" s="43" t="s">
        <v>53</v>
      </c>
      <c r="Q7" s="43" t="s">
        <v>53</v>
      </c>
      <c r="R7" s="39">
        <f>if(G7=13,1,0)+VLOOKUP(B7,'083124'!B:T,17,false)</f>
        <v>2</v>
      </c>
      <c r="S7" s="39"/>
      <c r="T7" s="39">
        <f>if(G7=9,1,0)+VLOOKUP(B7,'083124'!B:T,19,false)</f>
        <v>0</v>
      </c>
      <c r="V7" s="30">
        <f t="shared" si="5"/>
        <v>3</v>
      </c>
    </row>
    <row r="8">
      <c r="A8" s="30">
        <f t="shared" si="3"/>
        <v>4</v>
      </c>
      <c r="B8" s="51" t="s">
        <v>100</v>
      </c>
      <c r="C8" s="32">
        <v>125.0</v>
      </c>
      <c r="D8" s="32">
        <v>12.0</v>
      </c>
      <c r="E8" s="37">
        <v>1.0</v>
      </c>
      <c r="F8" s="39">
        <v>1.0</v>
      </c>
      <c r="G8" s="40">
        <v>0.0</v>
      </c>
      <c r="H8" s="39">
        <v>2.0</v>
      </c>
      <c r="I8" s="39">
        <v>6.0</v>
      </c>
      <c r="J8" s="39">
        <v>2.0</v>
      </c>
      <c r="K8" s="42">
        <v>10.0</v>
      </c>
      <c r="L8" s="39">
        <v>1.0</v>
      </c>
      <c r="M8" s="32">
        <f t="shared" ref="M8:N8" si="6">C8+K8</f>
        <v>135</v>
      </c>
      <c r="N8" s="32">
        <f t="shared" si="6"/>
        <v>13</v>
      </c>
      <c r="O8" s="43" t="s">
        <v>53</v>
      </c>
      <c r="P8" s="43" t="s">
        <v>53</v>
      </c>
      <c r="Q8" s="43" t="s">
        <v>53</v>
      </c>
      <c r="R8" s="39">
        <f>if(G8=13,1,0)+VLOOKUP(B8,'083124'!B:T,17,false)</f>
        <v>0</v>
      </c>
      <c r="S8" s="39"/>
      <c r="T8" s="39">
        <f>if(G8=9,1,0)+VLOOKUP(B8,'083124'!B:T,19,false)</f>
        <v>2</v>
      </c>
      <c r="V8" s="30">
        <f t="shared" si="5"/>
        <v>4</v>
      </c>
    </row>
    <row r="9">
      <c r="A9" s="30">
        <f t="shared" si="3"/>
        <v>5</v>
      </c>
      <c r="B9" s="31" t="s">
        <v>68</v>
      </c>
      <c r="C9" s="32">
        <v>124.0</v>
      </c>
      <c r="D9" s="32">
        <v>11.0</v>
      </c>
      <c r="E9" s="37">
        <v>1.0</v>
      </c>
      <c r="F9" s="39">
        <v>2.0</v>
      </c>
      <c r="G9" s="40">
        <v>0.0</v>
      </c>
      <c r="H9" s="39">
        <v>0.0</v>
      </c>
      <c r="I9" s="39">
        <v>6.0</v>
      </c>
      <c r="J9" s="39">
        <v>0.0</v>
      </c>
      <c r="K9" s="42">
        <v>6.0</v>
      </c>
      <c r="L9" s="39">
        <v>1.0</v>
      </c>
      <c r="M9" s="32">
        <f t="shared" ref="M9:N9" si="7">C9+K9</f>
        <v>130</v>
      </c>
      <c r="N9" s="32">
        <f t="shared" si="7"/>
        <v>12</v>
      </c>
      <c r="O9" s="43" t="s">
        <v>53</v>
      </c>
      <c r="P9" s="43" t="s">
        <v>53</v>
      </c>
      <c r="Q9" s="43" t="s">
        <v>53</v>
      </c>
      <c r="R9" s="39">
        <f>if(G9=13,1,0)+VLOOKUP(B9,'083124'!B:T,17,false)</f>
        <v>1</v>
      </c>
      <c r="S9" s="39"/>
      <c r="T9" s="39">
        <f>if(G9=9,1,0)+VLOOKUP(B9,'083124'!B:T,19,false)</f>
        <v>1</v>
      </c>
      <c r="V9" s="30">
        <f t="shared" si="5"/>
        <v>5</v>
      </c>
    </row>
    <row r="10">
      <c r="A10" s="30">
        <f t="shared" si="3"/>
        <v>6</v>
      </c>
      <c r="B10" s="51" t="s">
        <v>92</v>
      </c>
      <c r="C10" s="32">
        <v>121.0</v>
      </c>
      <c r="D10" s="32">
        <v>12.0</v>
      </c>
      <c r="E10" s="37">
        <v>1.0</v>
      </c>
      <c r="F10" s="39">
        <v>2.0</v>
      </c>
      <c r="G10" s="40">
        <v>0.0</v>
      </c>
      <c r="H10" s="39">
        <v>6.0</v>
      </c>
      <c r="I10" s="39">
        <v>6.0</v>
      </c>
      <c r="J10" s="39">
        <v>6.0</v>
      </c>
      <c r="K10" s="42">
        <v>18.0</v>
      </c>
      <c r="L10" s="39">
        <v>3.0</v>
      </c>
      <c r="M10" s="32">
        <f t="shared" ref="M10:N10" si="8">C10+K10</f>
        <v>139</v>
      </c>
      <c r="N10" s="32">
        <f t="shared" si="8"/>
        <v>15</v>
      </c>
      <c r="O10" s="43" t="s">
        <v>53</v>
      </c>
      <c r="P10" s="43" t="s">
        <v>53</v>
      </c>
      <c r="Q10" s="43" t="s">
        <v>53</v>
      </c>
      <c r="R10" s="39">
        <f>if(G10=13,1,0)+VLOOKUP(B10,'083124'!B:T,17,false)</f>
        <v>1</v>
      </c>
      <c r="S10" s="39"/>
      <c r="T10" s="39">
        <f>if(G10=9,1,0)+VLOOKUP(B10,'083124'!B:T,19,false)</f>
        <v>3</v>
      </c>
      <c r="V10" s="30">
        <f t="shared" si="5"/>
        <v>6</v>
      </c>
    </row>
    <row r="11">
      <c r="A11" s="30">
        <f t="shared" si="3"/>
        <v>7</v>
      </c>
      <c r="B11" s="51" t="s">
        <v>95</v>
      </c>
      <c r="C11" s="32">
        <v>121.0</v>
      </c>
      <c r="D11" s="32">
        <v>10.0</v>
      </c>
      <c r="E11" s="37">
        <v>3.0</v>
      </c>
      <c r="F11" s="39">
        <v>0.0</v>
      </c>
      <c r="G11" s="40">
        <v>9.0</v>
      </c>
      <c r="H11" s="39">
        <v>0.0</v>
      </c>
      <c r="I11" s="39">
        <v>0.0</v>
      </c>
      <c r="J11" s="39">
        <v>0.0</v>
      </c>
      <c r="K11" s="42">
        <v>9.0</v>
      </c>
      <c r="L11" s="39">
        <v>0.0</v>
      </c>
      <c r="M11" s="32">
        <f t="shared" ref="M11:N11" si="9">C11+K11</f>
        <v>130</v>
      </c>
      <c r="N11" s="32">
        <f t="shared" si="9"/>
        <v>10</v>
      </c>
      <c r="O11" s="43" t="s">
        <v>53</v>
      </c>
      <c r="P11" s="43" t="s">
        <v>53</v>
      </c>
      <c r="Q11" s="43" t="s">
        <v>53</v>
      </c>
      <c r="R11" s="39">
        <f>if(G11=13,1,0)+VLOOKUP(B11,'083124'!B:T,17,false)</f>
        <v>1</v>
      </c>
      <c r="S11" s="39"/>
      <c r="T11" s="39">
        <f>if(G11=9,1,0)+VLOOKUP(B11,'083124'!B:T,19,false)</f>
        <v>4</v>
      </c>
      <c r="V11" s="30">
        <f t="shared" si="5"/>
        <v>7</v>
      </c>
    </row>
    <row r="12">
      <c r="A12" s="30">
        <f t="shared" si="3"/>
        <v>8</v>
      </c>
      <c r="B12" s="31" t="s">
        <v>71</v>
      </c>
      <c r="C12" s="32">
        <v>120.0</v>
      </c>
      <c r="D12" s="32">
        <v>11.0</v>
      </c>
      <c r="E12" s="37">
        <v>1.0</v>
      </c>
      <c r="F12" s="39">
        <v>2.0</v>
      </c>
      <c r="G12" s="40">
        <v>0.0</v>
      </c>
      <c r="H12" s="39">
        <v>0.0</v>
      </c>
      <c r="I12" s="39">
        <v>2.0</v>
      </c>
      <c r="J12" s="39">
        <v>6.0</v>
      </c>
      <c r="K12" s="42">
        <v>8.0</v>
      </c>
      <c r="L12" s="39">
        <v>1.0</v>
      </c>
      <c r="M12" s="32">
        <f t="shared" ref="M12:N12" si="10">C12+K12</f>
        <v>128</v>
      </c>
      <c r="N12" s="32">
        <f t="shared" si="10"/>
        <v>12</v>
      </c>
      <c r="O12" s="43" t="s">
        <v>53</v>
      </c>
      <c r="P12" s="43" t="s">
        <v>53</v>
      </c>
      <c r="Q12" s="43" t="s">
        <v>53</v>
      </c>
      <c r="R12" s="39">
        <f>if(G12=13,1,0)+VLOOKUP(B12,'083124'!B:T,17,false)</f>
        <v>1</v>
      </c>
      <c r="S12" s="39"/>
      <c r="T12" s="39">
        <f>if(G12=9,1,0)+VLOOKUP(B12,'083124'!B:T,19,false)</f>
        <v>0</v>
      </c>
      <c r="V12" s="30">
        <f t="shared" si="5"/>
        <v>8</v>
      </c>
    </row>
    <row r="13">
      <c r="A13" s="30">
        <f t="shared" si="3"/>
        <v>9</v>
      </c>
      <c r="B13" s="31" t="s">
        <v>34</v>
      </c>
      <c r="C13" s="32">
        <v>119.0</v>
      </c>
      <c r="D13" s="32">
        <v>13.0</v>
      </c>
      <c r="E13" s="37">
        <v>1.0</v>
      </c>
      <c r="F13" s="39">
        <v>2.0</v>
      </c>
      <c r="G13" s="40">
        <v>0.0</v>
      </c>
      <c r="H13" s="39">
        <v>6.0</v>
      </c>
      <c r="I13" s="39">
        <v>2.0</v>
      </c>
      <c r="J13" s="39">
        <v>0.0</v>
      </c>
      <c r="K13" s="42">
        <v>8.0</v>
      </c>
      <c r="L13" s="39">
        <v>1.0</v>
      </c>
      <c r="M13" s="32">
        <f t="shared" ref="M13:N13" si="11">C13+K13</f>
        <v>127</v>
      </c>
      <c r="N13" s="32">
        <f t="shared" si="11"/>
        <v>14</v>
      </c>
      <c r="O13" s="43" t="s">
        <v>53</v>
      </c>
      <c r="P13" s="43" t="s">
        <v>53</v>
      </c>
      <c r="Q13" s="43" t="s">
        <v>53</v>
      </c>
      <c r="R13" s="39">
        <f>if(G13=13,1,0)+VLOOKUP(B13,'083124'!B:T,17,false)</f>
        <v>0</v>
      </c>
      <c r="S13" s="39"/>
      <c r="T13" s="39">
        <f>if(G13=9,1,0)+VLOOKUP(B13,'083124'!B:T,19,false)</f>
        <v>2</v>
      </c>
      <c r="V13" s="30">
        <f t="shared" si="5"/>
        <v>9</v>
      </c>
    </row>
    <row r="14">
      <c r="A14" s="30">
        <f t="shared" si="3"/>
        <v>10</v>
      </c>
      <c r="B14" s="51" t="s">
        <v>54</v>
      </c>
      <c r="C14" s="32">
        <v>118.0</v>
      </c>
      <c r="D14" s="32">
        <v>12.0</v>
      </c>
      <c r="E14" s="37">
        <v>1.0</v>
      </c>
      <c r="F14" s="39">
        <v>3.0</v>
      </c>
      <c r="G14" s="40">
        <v>0.0</v>
      </c>
      <c r="H14" s="39">
        <v>6.0</v>
      </c>
      <c r="I14" s="39">
        <v>7.0</v>
      </c>
      <c r="J14" s="39">
        <v>6.0</v>
      </c>
      <c r="K14" s="42">
        <v>19.0</v>
      </c>
      <c r="L14" s="39">
        <v>3.0</v>
      </c>
      <c r="M14" s="32">
        <f t="shared" ref="M14:N14" si="12">C14+K14</f>
        <v>137</v>
      </c>
      <c r="N14" s="32">
        <f t="shared" si="12"/>
        <v>15</v>
      </c>
      <c r="O14" s="43" t="s">
        <v>53</v>
      </c>
      <c r="P14" s="43" t="s">
        <v>53</v>
      </c>
      <c r="Q14" s="43" t="s">
        <v>53</v>
      </c>
      <c r="R14" s="39">
        <f>if(G14=13,1,0)+VLOOKUP(B14,'083124'!B:T,17,false)</f>
        <v>0</v>
      </c>
      <c r="S14" s="39"/>
      <c r="T14" s="39">
        <f>if(G14=9,1,0)+VLOOKUP(B14,'083124'!B:T,19,false)</f>
        <v>1</v>
      </c>
      <c r="V14" s="30">
        <f t="shared" si="5"/>
        <v>10</v>
      </c>
    </row>
    <row r="15">
      <c r="A15" s="30">
        <f t="shared" si="3"/>
        <v>11</v>
      </c>
      <c r="B15" s="31" t="s">
        <v>90</v>
      </c>
      <c r="C15" s="32">
        <v>116.0</v>
      </c>
      <c r="D15" s="32">
        <v>12.0</v>
      </c>
      <c r="E15" s="37">
        <v>1.0</v>
      </c>
      <c r="F15" s="39">
        <v>3.0</v>
      </c>
      <c r="G15" s="40">
        <v>0.0</v>
      </c>
      <c r="H15" s="39">
        <v>4.0</v>
      </c>
      <c r="I15" s="39">
        <v>5.0</v>
      </c>
      <c r="J15" s="39">
        <v>6.0</v>
      </c>
      <c r="K15" s="42">
        <v>15.0</v>
      </c>
      <c r="L15" s="39">
        <v>1.0</v>
      </c>
      <c r="M15" s="32">
        <f t="shared" ref="M15:N15" si="13">C15+K15</f>
        <v>131</v>
      </c>
      <c r="N15" s="32">
        <f t="shared" si="13"/>
        <v>13</v>
      </c>
      <c r="O15" s="43" t="s">
        <v>53</v>
      </c>
      <c r="P15" s="43" t="s">
        <v>53</v>
      </c>
      <c r="Q15" s="43" t="s">
        <v>53</v>
      </c>
      <c r="R15" s="39">
        <f>if(G15=13,1,0)+VLOOKUP(B15,'083124'!B:T,17,false)</f>
        <v>1</v>
      </c>
      <c r="S15" s="39"/>
      <c r="T15" s="39">
        <f>if(G15=9,1,0)+VLOOKUP(B15,'083124'!B:T,19,false)</f>
        <v>1</v>
      </c>
      <c r="V15" s="30">
        <f t="shared" si="5"/>
        <v>11</v>
      </c>
    </row>
    <row r="16">
      <c r="A16" s="30">
        <f t="shared" si="3"/>
        <v>12</v>
      </c>
      <c r="B16" s="31" t="s">
        <v>91</v>
      </c>
      <c r="C16" s="32">
        <v>116.0</v>
      </c>
      <c r="D16" s="32">
        <v>9.0</v>
      </c>
      <c r="E16" s="37">
        <v>2.0</v>
      </c>
      <c r="F16" s="39">
        <v>3.0</v>
      </c>
      <c r="G16" s="40">
        <v>0.0</v>
      </c>
      <c r="H16" s="39">
        <v>6.0</v>
      </c>
      <c r="I16" s="39">
        <v>5.0</v>
      </c>
      <c r="J16" s="39">
        <v>2.0</v>
      </c>
      <c r="K16" s="42">
        <v>13.0</v>
      </c>
      <c r="L16" s="39">
        <v>1.0</v>
      </c>
      <c r="M16" s="32">
        <f t="shared" ref="M16:N16" si="14">C16+K16</f>
        <v>129</v>
      </c>
      <c r="N16" s="32">
        <f t="shared" si="14"/>
        <v>10</v>
      </c>
      <c r="O16" s="43" t="s">
        <v>53</v>
      </c>
      <c r="P16" s="43" t="s">
        <v>53</v>
      </c>
      <c r="Q16" s="43" t="s">
        <v>53</v>
      </c>
      <c r="R16" s="39">
        <f>if(G16=13,1,0)+VLOOKUP(B16,'083124'!B:T,17,false)</f>
        <v>1</v>
      </c>
      <c r="S16" s="39"/>
      <c r="T16" s="39">
        <f>if(G16=9,1,0)+VLOOKUP(B16,'083124'!B:T,19,false)</f>
        <v>2</v>
      </c>
      <c r="V16" s="30">
        <f t="shared" si="5"/>
        <v>12</v>
      </c>
    </row>
    <row r="17">
      <c r="A17" s="30">
        <f t="shared" si="3"/>
        <v>13</v>
      </c>
      <c r="B17" s="51" t="s">
        <v>94</v>
      </c>
      <c r="C17" s="32">
        <v>116.0</v>
      </c>
      <c r="D17" s="32">
        <v>8.0</v>
      </c>
      <c r="E17" s="37">
        <v>2.0</v>
      </c>
      <c r="F17" s="39">
        <v>3.0</v>
      </c>
      <c r="G17" s="40">
        <v>0.0</v>
      </c>
      <c r="H17" s="39">
        <v>4.0</v>
      </c>
      <c r="I17" s="39">
        <v>7.0</v>
      </c>
      <c r="J17" s="39">
        <v>2.0</v>
      </c>
      <c r="K17" s="42">
        <v>13.0</v>
      </c>
      <c r="L17" s="39">
        <v>1.0</v>
      </c>
      <c r="M17" s="32">
        <f t="shared" ref="M17:N17" si="15">C17+K17</f>
        <v>129</v>
      </c>
      <c r="N17" s="32">
        <f t="shared" si="15"/>
        <v>9</v>
      </c>
      <c r="O17" s="43" t="s">
        <v>53</v>
      </c>
      <c r="P17" s="43" t="s">
        <v>53</v>
      </c>
      <c r="Q17" s="43" t="s">
        <v>53</v>
      </c>
      <c r="R17" s="39">
        <f>if(G17=13,1,0)+VLOOKUP(B17,'083124'!B:T,17,false)</f>
        <v>1</v>
      </c>
      <c r="S17" s="39"/>
      <c r="T17" s="39">
        <f>if(G17=9,1,0)+VLOOKUP(B17,'083124'!B:T,19,false)</f>
        <v>2</v>
      </c>
      <c r="V17" s="30">
        <f t="shared" si="5"/>
        <v>13</v>
      </c>
    </row>
    <row r="18">
      <c r="A18" s="30">
        <f t="shared" si="3"/>
        <v>14</v>
      </c>
      <c r="B18" s="51" t="s">
        <v>78</v>
      </c>
      <c r="C18" s="32">
        <v>115.0</v>
      </c>
      <c r="D18" s="32">
        <v>11.0</v>
      </c>
      <c r="E18" s="37">
        <v>1.0</v>
      </c>
      <c r="F18" s="39">
        <v>4.0</v>
      </c>
      <c r="G18" s="40">
        <v>0.0</v>
      </c>
      <c r="H18" s="39">
        <v>1.0</v>
      </c>
      <c r="I18" s="39">
        <v>5.0</v>
      </c>
      <c r="J18" s="39">
        <v>5.0</v>
      </c>
      <c r="K18" s="42">
        <v>11.0</v>
      </c>
      <c r="L18" s="39">
        <v>0.0</v>
      </c>
      <c r="M18" s="32">
        <f t="shared" ref="M18:N18" si="16">C18+K18</f>
        <v>126</v>
      </c>
      <c r="N18" s="32">
        <f t="shared" si="16"/>
        <v>11</v>
      </c>
      <c r="O18" s="43" t="s">
        <v>53</v>
      </c>
      <c r="P18" s="43" t="s">
        <v>53</v>
      </c>
      <c r="Q18" s="43" t="s">
        <v>53</v>
      </c>
      <c r="R18" s="39">
        <f>if(G18=13,1,0)+VLOOKUP(B18,'083124'!B:T,17,false)</f>
        <v>0</v>
      </c>
      <c r="S18" s="39"/>
      <c r="T18" s="39">
        <f>if(G18=9,1,0)+VLOOKUP(B18,'083124'!B:T,19,false)</f>
        <v>1</v>
      </c>
      <c r="V18" s="30">
        <f t="shared" si="5"/>
        <v>14</v>
      </c>
    </row>
    <row r="19">
      <c r="A19" s="30">
        <f t="shared" si="3"/>
        <v>15</v>
      </c>
      <c r="B19" s="56" t="s">
        <v>65</v>
      </c>
      <c r="C19" s="32">
        <v>115.0</v>
      </c>
      <c r="D19" s="32">
        <v>11.0</v>
      </c>
      <c r="E19" s="37">
        <v>3.0</v>
      </c>
      <c r="F19" s="39">
        <v>0.0</v>
      </c>
      <c r="G19" s="40">
        <v>9.0</v>
      </c>
      <c r="H19" s="39">
        <v>0.0</v>
      </c>
      <c r="I19" s="39">
        <v>0.0</v>
      </c>
      <c r="J19" s="39">
        <v>0.0</v>
      </c>
      <c r="K19" s="42">
        <v>9.0</v>
      </c>
      <c r="L19" s="39">
        <v>0.0</v>
      </c>
      <c r="M19" s="32">
        <f t="shared" ref="M19:N19" si="17">C19+K19</f>
        <v>124</v>
      </c>
      <c r="N19" s="32">
        <f t="shared" si="17"/>
        <v>11</v>
      </c>
      <c r="O19" s="43" t="s">
        <v>53</v>
      </c>
      <c r="P19" s="43" t="s">
        <v>53</v>
      </c>
      <c r="Q19" s="43" t="s">
        <v>53</v>
      </c>
      <c r="R19" s="39">
        <f>if(G19=13,1,0)+VLOOKUP(B19,'083124'!B:T,17,false)</f>
        <v>0</v>
      </c>
      <c r="S19" s="39"/>
      <c r="T19" s="39">
        <f>if(G19=9,1,0)+VLOOKUP(B19,'083124'!B:T,19,false)</f>
        <v>4</v>
      </c>
      <c r="V19" s="30">
        <f t="shared" si="5"/>
        <v>15</v>
      </c>
    </row>
    <row r="20">
      <c r="A20" s="30">
        <f t="shared" si="3"/>
        <v>16</v>
      </c>
      <c r="B20" s="51" t="s">
        <v>85</v>
      </c>
      <c r="C20" s="32">
        <v>115.0</v>
      </c>
      <c r="D20" s="32">
        <v>10.0</v>
      </c>
      <c r="E20" s="37">
        <v>3.0</v>
      </c>
      <c r="F20" s="39">
        <v>0.0</v>
      </c>
      <c r="G20" s="40">
        <v>9.0</v>
      </c>
      <c r="H20" s="39">
        <v>0.0</v>
      </c>
      <c r="I20" s="39">
        <v>0.0</v>
      </c>
      <c r="J20" s="39">
        <v>0.0</v>
      </c>
      <c r="K20" s="42">
        <v>9.0</v>
      </c>
      <c r="L20" s="39">
        <v>0.0</v>
      </c>
      <c r="M20" s="32">
        <f t="shared" ref="M20:N20" si="18">C20+K20</f>
        <v>124</v>
      </c>
      <c r="N20" s="32">
        <f t="shared" si="18"/>
        <v>10</v>
      </c>
      <c r="O20" s="43" t="s">
        <v>53</v>
      </c>
      <c r="P20" s="43" t="s">
        <v>53</v>
      </c>
      <c r="Q20" s="43" t="s">
        <v>53</v>
      </c>
      <c r="R20" s="39">
        <f>if(G20=13,1,0)+VLOOKUP(B20,'083124'!B:T,17,false)</f>
        <v>0</v>
      </c>
      <c r="S20" s="39"/>
      <c r="T20" s="39">
        <f>if(G20=9,1,0)+VLOOKUP(B20,'083124'!B:T,19,false)</f>
        <v>6</v>
      </c>
      <c r="V20" s="30">
        <f t="shared" si="5"/>
        <v>16</v>
      </c>
    </row>
    <row r="21">
      <c r="A21" s="30">
        <f t="shared" si="3"/>
        <v>17</v>
      </c>
      <c r="B21" s="31" t="s">
        <v>57</v>
      </c>
      <c r="C21" s="32">
        <v>113.0</v>
      </c>
      <c r="D21" s="32">
        <v>10.0</v>
      </c>
      <c r="E21" s="37">
        <v>1.0</v>
      </c>
      <c r="F21" s="39">
        <v>4.0</v>
      </c>
      <c r="G21" s="40">
        <v>0.0</v>
      </c>
      <c r="H21" s="39">
        <v>6.0</v>
      </c>
      <c r="I21" s="39">
        <v>5.0</v>
      </c>
      <c r="J21" s="39">
        <v>7.0</v>
      </c>
      <c r="K21" s="42">
        <v>18.0</v>
      </c>
      <c r="L21" s="39">
        <v>2.0</v>
      </c>
      <c r="M21" s="32">
        <f t="shared" ref="M21:N21" si="19">C21+K21</f>
        <v>131</v>
      </c>
      <c r="N21" s="32">
        <f t="shared" si="19"/>
        <v>12</v>
      </c>
      <c r="O21" s="43" t="s">
        <v>53</v>
      </c>
      <c r="P21" s="43" t="s">
        <v>53</v>
      </c>
      <c r="Q21" s="43" t="s">
        <v>53</v>
      </c>
      <c r="R21" s="39">
        <f>if(G21=13,1,0)+VLOOKUP(B21,'083124'!B:T,17,false)</f>
        <v>1</v>
      </c>
      <c r="S21" s="39"/>
      <c r="T21" s="39">
        <f>if(G21=9,1,0)+VLOOKUP(B21,'083124'!B:T,19,false)</f>
        <v>2</v>
      </c>
      <c r="V21" s="30">
        <f t="shared" si="5"/>
        <v>17</v>
      </c>
    </row>
    <row r="22">
      <c r="A22" s="30">
        <f t="shared" si="3"/>
        <v>18</v>
      </c>
      <c r="B22" s="31" t="s">
        <v>86</v>
      </c>
      <c r="C22" s="32">
        <v>113.0</v>
      </c>
      <c r="D22" s="32">
        <v>8.0</v>
      </c>
      <c r="E22" s="37">
        <v>2.0</v>
      </c>
      <c r="F22" s="39">
        <v>4.0</v>
      </c>
      <c r="G22" s="40">
        <v>0.0</v>
      </c>
      <c r="H22" s="39">
        <v>6.0</v>
      </c>
      <c r="I22" s="39">
        <v>7.0</v>
      </c>
      <c r="J22" s="39">
        <v>5.0</v>
      </c>
      <c r="K22" s="42">
        <v>18.0</v>
      </c>
      <c r="L22" s="39">
        <v>2.0</v>
      </c>
      <c r="M22" s="32">
        <f t="shared" ref="M22:N22" si="20">C22+K22</f>
        <v>131</v>
      </c>
      <c r="N22" s="32">
        <f t="shared" si="20"/>
        <v>10</v>
      </c>
      <c r="O22" s="43" t="s">
        <v>53</v>
      </c>
      <c r="P22" s="43" t="s">
        <v>53</v>
      </c>
      <c r="Q22" s="43" t="s">
        <v>53</v>
      </c>
      <c r="R22" s="39">
        <f>if(G22=13,1,0)+VLOOKUP(B22,'083124'!B:T,17,false)</f>
        <v>3</v>
      </c>
      <c r="S22" s="39"/>
      <c r="T22" s="39">
        <f>if(G22=9,1,0)+VLOOKUP(B22,'083124'!B:T,19,false)</f>
        <v>0</v>
      </c>
      <c r="V22" s="30">
        <f t="shared" si="5"/>
        <v>18</v>
      </c>
    </row>
    <row r="23">
      <c r="A23" s="30">
        <f t="shared" si="3"/>
        <v>19</v>
      </c>
      <c r="B23" s="31" t="s">
        <v>105</v>
      </c>
      <c r="C23" s="32">
        <v>112.0</v>
      </c>
      <c r="D23" s="32">
        <v>7.0</v>
      </c>
      <c r="E23" s="37">
        <v>3.0</v>
      </c>
      <c r="F23" s="39">
        <v>0.0</v>
      </c>
      <c r="G23" s="40">
        <v>9.0</v>
      </c>
      <c r="H23" s="39">
        <v>0.0</v>
      </c>
      <c r="I23" s="39">
        <v>0.0</v>
      </c>
      <c r="J23" s="39">
        <v>0.0</v>
      </c>
      <c r="K23" s="42">
        <v>9.0</v>
      </c>
      <c r="L23" s="39">
        <v>0.0</v>
      </c>
      <c r="M23" s="32">
        <f t="shared" ref="M23:N23" si="21">C23+K23</f>
        <v>121</v>
      </c>
      <c r="N23" s="32">
        <f t="shared" si="21"/>
        <v>7</v>
      </c>
      <c r="O23" s="43" t="s">
        <v>53</v>
      </c>
      <c r="P23" s="43" t="s">
        <v>53</v>
      </c>
      <c r="Q23" s="43" t="s">
        <v>53</v>
      </c>
      <c r="R23" s="39">
        <f>if(G23=13,1,0)+VLOOKUP(B23,'083124'!B:T,17,false)</f>
        <v>0</v>
      </c>
      <c r="S23" s="39"/>
      <c r="T23" s="39">
        <f>if(G23=9,1,0)+VLOOKUP(B23,'083124'!B:T,19,false)</f>
        <v>4</v>
      </c>
      <c r="V23" s="30">
        <f t="shared" si="5"/>
        <v>19</v>
      </c>
    </row>
    <row r="24">
      <c r="A24" s="30">
        <f t="shared" si="3"/>
        <v>20</v>
      </c>
      <c r="B24" s="31" t="s">
        <v>96</v>
      </c>
      <c r="C24" s="32">
        <v>111.0</v>
      </c>
      <c r="D24" s="32">
        <v>11.0</v>
      </c>
      <c r="E24" s="37">
        <v>3.0</v>
      </c>
      <c r="F24" s="39">
        <v>0.0</v>
      </c>
      <c r="G24" s="40">
        <v>9.0</v>
      </c>
      <c r="H24" s="39">
        <v>0.0</v>
      </c>
      <c r="I24" s="39">
        <v>0.0</v>
      </c>
      <c r="J24" s="39">
        <v>0.0</v>
      </c>
      <c r="K24" s="42">
        <v>9.0</v>
      </c>
      <c r="L24" s="39">
        <v>0.0</v>
      </c>
      <c r="M24" s="32">
        <f t="shared" ref="M24:N24" si="22">C24+K24</f>
        <v>120</v>
      </c>
      <c r="N24" s="32">
        <f t="shared" si="22"/>
        <v>11</v>
      </c>
      <c r="O24" s="43" t="s">
        <v>53</v>
      </c>
      <c r="P24" s="43" t="s">
        <v>53</v>
      </c>
      <c r="Q24" s="43" t="s">
        <v>53</v>
      </c>
      <c r="R24" s="39">
        <f>if(G24=13,1,0)+VLOOKUP(B24,'083124'!B:T,17,false)</f>
        <v>1</v>
      </c>
      <c r="S24" s="39"/>
      <c r="T24" s="39">
        <f>if(G24=9,1,0)+VLOOKUP(B24,'083124'!B:T,19,false)</f>
        <v>4</v>
      </c>
      <c r="V24" s="30">
        <f t="shared" si="5"/>
        <v>20</v>
      </c>
    </row>
    <row r="25">
      <c r="A25" s="30">
        <f t="shared" si="3"/>
        <v>21</v>
      </c>
      <c r="B25" s="51" t="s">
        <v>93</v>
      </c>
      <c r="C25" s="32">
        <v>109.0</v>
      </c>
      <c r="D25" s="32">
        <v>9.0</v>
      </c>
      <c r="E25" s="37">
        <v>1.0</v>
      </c>
      <c r="F25" s="39">
        <v>4.0</v>
      </c>
      <c r="G25" s="40">
        <v>0.0</v>
      </c>
      <c r="H25" s="39">
        <v>1.0</v>
      </c>
      <c r="I25" s="39">
        <v>7.0</v>
      </c>
      <c r="J25" s="39">
        <v>7.0</v>
      </c>
      <c r="K25" s="42">
        <v>15.0</v>
      </c>
      <c r="L25" s="39">
        <v>2.0</v>
      </c>
      <c r="M25" s="32">
        <f t="shared" ref="M25:N25" si="23">C25+K25</f>
        <v>124</v>
      </c>
      <c r="N25" s="32">
        <f t="shared" si="23"/>
        <v>11</v>
      </c>
      <c r="O25" s="43" t="s">
        <v>53</v>
      </c>
      <c r="P25" s="43" t="s">
        <v>53</v>
      </c>
      <c r="Q25" s="43" t="s">
        <v>53</v>
      </c>
      <c r="R25" s="39">
        <f>if(G25=13,1,0)+VLOOKUP(B25,'083124'!B:T,17,false)</f>
        <v>0</v>
      </c>
      <c r="S25" s="39"/>
      <c r="T25" s="39">
        <f>if(G25=9,1,0)+VLOOKUP(B25,'083124'!B:T,19,false)</f>
        <v>1</v>
      </c>
      <c r="V25" s="30">
        <f t="shared" si="5"/>
        <v>21</v>
      </c>
    </row>
    <row r="26">
      <c r="A26" s="30">
        <f t="shared" si="3"/>
        <v>22</v>
      </c>
      <c r="B26" s="56" t="s">
        <v>101</v>
      </c>
      <c r="C26" s="32">
        <v>109.0</v>
      </c>
      <c r="D26" s="32">
        <v>8.0</v>
      </c>
      <c r="E26" s="37">
        <v>1.0</v>
      </c>
      <c r="F26" s="39">
        <v>5.0</v>
      </c>
      <c r="G26" s="40">
        <v>0.0</v>
      </c>
      <c r="H26" s="39">
        <v>6.0</v>
      </c>
      <c r="I26" s="39">
        <v>5.0</v>
      </c>
      <c r="J26" s="39">
        <v>3.0</v>
      </c>
      <c r="K26" s="42">
        <v>14.0</v>
      </c>
      <c r="L26" s="39">
        <v>1.0</v>
      </c>
      <c r="M26" s="32">
        <f t="shared" ref="M26:N26" si="24">C26+K26</f>
        <v>123</v>
      </c>
      <c r="N26" s="32">
        <f t="shared" si="24"/>
        <v>9</v>
      </c>
      <c r="O26" s="43" t="s">
        <v>53</v>
      </c>
      <c r="P26" s="43" t="s">
        <v>53</v>
      </c>
      <c r="Q26" s="43" t="s">
        <v>53</v>
      </c>
      <c r="R26" s="39">
        <f>if(G26=13,1,0)+VLOOKUP(B26,'083124'!B:T,17,false)</f>
        <v>0</v>
      </c>
      <c r="S26" s="39"/>
      <c r="T26" s="39">
        <f>if(G26=9,1,0)+VLOOKUP(B26,'083124'!B:T,19,false)</f>
        <v>4</v>
      </c>
      <c r="V26" s="30">
        <f t="shared" si="5"/>
        <v>22</v>
      </c>
    </row>
    <row r="27">
      <c r="A27" s="30">
        <f t="shared" si="3"/>
        <v>23</v>
      </c>
      <c r="B27" s="51" t="s">
        <v>84</v>
      </c>
      <c r="C27" s="32">
        <v>109.0</v>
      </c>
      <c r="D27" s="32">
        <v>7.0</v>
      </c>
      <c r="E27" s="37">
        <v>1.0</v>
      </c>
      <c r="F27" s="39">
        <v>5.0</v>
      </c>
      <c r="G27" s="40">
        <v>0.0</v>
      </c>
      <c r="H27" s="39">
        <v>4.0</v>
      </c>
      <c r="I27" s="39">
        <v>7.0</v>
      </c>
      <c r="J27" s="39">
        <v>3.0</v>
      </c>
      <c r="K27" s="42">
        <v>14.0</v>
      </c>
      <c r="L27" s="39">
        <v>1.0</v>
      </c>
      <c r="M27" s="32">
        <f t="shared" ref="M27:N27" si="25">C27+K27</f>
        <v>123</v>
      </c>
      <c r="N27" s="32">
        <f t="shared" si="25"/>
        <v>8</v>
      </c>
      <c r="O27" s="43" t="s">
        <v>53</v>
      </c>
      <c r="P27" s="43" t="s">
        <v>53</v>
      </c>
      <c r="Q27" s="43" t="s">
        <v>53</v>
      </c>
      <c r="R27" s="39">
        <f>if(G27=13,1,0)+VLOOKUP(B27,'083124'!B:T,17,false)</f>
        <v>1</v>
      </c>
      <c r="S27" s="39"/>
      <c r="T27" s="39">
        <f>if(G27=9,1,0)+VLOOKUP(B27,'083124'!B:T,19,false)</f>
        <v>2</v>
      </c>
      <c r="V27" s="30">
        <f t="shared" si="5"/>
        <v>23</v>
      </c>
    </row>
    <row r="28">
      <c r="A28" s="30">
        <f t="shared" si="3"/>
        <v>24</v>
      </c>
      <c r="B28" s="51" t="s">
        <v>111</v>
      </c>
      <c r="C28" s="32">
        <v>108.0</v>
      </c>
      <c r="D28" s="32">
        <v>7.0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6">C28+K28</f>
        <v>117</v>
      </c>
      <c r="N28" s="32">
        <f t="shared" si="26"/>
        <v>7</v>
      </c>
      <c r="O28" s="43" t="s">
        <v>53</v>
      </c>
      <c r="P28" s="43" t="s">
        <v>53</v>
      </c>
      <c r="Q28" s="43" t="s">
        <v>53</v>
      </c>
      <c r="R28" s="39">
        <f>if(G28=13,1,0)+VLOOKUP(B28,'083124'!B:T,17,false)</f>
        <v>0</v>
      </c>
      <c r="S28" s="39"/>
      <c r="T28" s="39">
        <f>if(G28=9,1,0)+VLOOKUP(B28,'083124'!B:T,19,false)</f>
        <v>5</v>
      </c>
      <c r="V28" s="30">
        <f t="shared" si="5"/>
        <v>24</v>
      </c>
    </row>
    <row r="29">
      <c r="A29" s="30">
        <f t="shared" si="3"/>
        <v>25</v>
      </c>
      <c r="B29" s="31" t="s">
        <v>82</v>
      </c>
      <c r="C29" s="32">
        <v>107.0</v>
      </c>
      <c r="D29" s="32">
        <v>7.0</v>
      </c>
      <c r="E29" s="37">
        <v>3.0</v>
      </c>
      <c r="F29" s="39">
        <v>0.0</v>
      </c>
      <c r="G29" s="40">
        <v>9.0</v>
      </c>
      <c r="H29" s="39">
        <v>0.0</v>
      </c>
      <c r="I29" s="39">
        <v>0.0</v>
      </c>
      <c r="J29" s="39">
        <v>0.0</v>
      </c>
      <c r="K29" s="42">
        <v>9.0</v>
      </c>
      <c r="L29" s="39">
        <v>0.0</v>
      </c>
      <c r="M29" s="32">
        <f t="shared" ref="M29:N29" si="27">C29+K29</f>
        <v>116</v>
      </c>
      <c r="N29" s="32">
        <f t="shared" si="27"/>
        <v>7</v>
      </c>
      <c r="O29" s="43" t="s">
        <v>53</v>
      </c>
      <c r="P29" s="43" t="s">
        <v>53</v>
      </c>
      <c r="Q29" s="43" t="s">
        <v>53</v>
      </c>
      <c r="R29" s="39">
        <f>if(G29=13,1,0)+VLOOKUP(B29,'083124'!B:T,17,false)</f>
        <v>1</v>
      </c>
      <c r="S29" s="39"/>
      <c r="T29" s="39">
        <f>if(G29=9,1,0)+VLOOKUP(B29,'083124'!B:T,19,false)</f>
        <v>6</v>
      </c>
      <c r="V29" s="30">
        <f t="shared" si="5"/>
        <v>25</v>
      </c>
    </row>
    <row r="30">
      <c r="A30" s="30">
        <f t="shared" si="3"/>
        <v>26</v>
      </c>
      <c r="B30" s="31" t="s">
        <v>66</v>
      </c>
      <c r="C30" s="32">
        <v>106.0</v>
      </c>
      <c r="D30" s="32">
        <v>6.0</v>
      </c>
      <c r="E30" s="37">
        <v>2.0</v>
      </c>
      <c r="F30" s="39">
        <v>5.0</v>
      </c>
      <c r="G30" s="40">
        <v>0.0</v>
      </c>
      <c r="H30" s="39">
        <v>4.0</v>
      </c>
      <c r="I30" s="39">
        <v>5.0</v>
      </c>
      <c r="J30" s="39">
        <v>6.0</v>
      </c>
      <c r="K30" s="42">
        <v>15.0</v>
      </c>
      <c r="L30" s="39">
        <v>1.0</v>
      </c>
      <c r="M30" s="32">
        <f t="shared" ref="M30:N30" si="28">C30+K30</f>
        <v>121</v>
      </c>
      <c r="N30" s="32">
        <f t="shared" si="28"/>
        <v>7</v>
      </c>
      <c r="O30" s="43" t="s">
        <v>53</v>
      </c>
      <c r="P30" s="43" t="s">
        <v>53</v>
      </c>
      <c r="Q30" s="43" t="s">
        <v>53</v>
      </c>
      <c r="R30" s="39">
        <f>if(G30=13,1,0)+VLOOKUP(B30,'083124'!B:T,17,false)</f>
        <v>2</v>
      </c>
      <c r="S30" s="39"/>
      <c r="T30" s="39">
        <f>if(G30=9,1,0)+VLOOKUP(B30,'083124'!B:T,19,false)</f>
        <v>3</v>
      </c>
      <c r="V30" s="30">
        <f t="shared" si="5"/>
        <v>26</v>
      </c>
    </row>
    <row r="31">
      <c r="A31" s="30">
        <f t="shared" si="3"/>
        <v>27</v>
      </c>
      <c r="B31" s="31" t="s">
        <v>89</v>
      </c>
      <c r="C31" s="32">
        <v>105.0</v>
      </c>
      <c r="D31" s="32">
        <v>4.0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9">C31+K31</f>
        <v>114</v>
      </c>
      <c r="N31" s="32">
        <f t="shared" si="29"/>
        <v>4</v>
      </c>
      <c r="O31" s="43" t="s">
        <v>53</v>
      </c>
      <c r="P31" s="43" t="s">
        <v>53</v>
      </c>
      <c r="Q31" s="43" t="s">
        <v>53</v>
      </c>
      <c r="R31" s="39">
        <f>if(G31=13,1,0)+VLOOKUP(B31,'083124'!B:T,17,false)</f>
        <v>3</v>
      </c>
      <c r="S31" s="39"/>
      <c r="T31" s="39">
        <f>if(G31=9,1,0)+VLOOKUP(B31,'083124'!B:T,19,false)</f>
        <v>5</v>
      </c>
      <c r="V31" s="30">
        <f t="shared" si="5"/>
        <v>27</v>
      </c>
    </row>
    <row r="32">
      <c r="A32" s="30">
        <f t="shared" si="3"/>
        <v>28</v>
      </c>
      <c r="B32" s="31" t="s">
        <v>98</v>
      </c>
      <c r="C32" s="32">
        <v>104.0</v>
      </c>
      <c r="D32" s="32">
        <v>8.0</v>
      </c>
      <c r="E32" s="37">
        <v>2.0</v>
      </c>
      <c r="F32" s="39">
        <v>5.0</v>
      </c>
      <c r="G32" s="40">
        <v>0.0</v>
      </c>
      <c r="H32" s="39">
        <v>6.0</v>
      </c>
      <c r="I32" s="39">
        <v>7.0</v>
      </c>
      <c r="J32" s="39">
        <v>6.0</v>
      </c>
      <c r="K32" s="42">
        <v>19.0</v>
      </c>
      <c r="L32" s="39">
        <v>3.0</v>
      </c>
      <c r="M32" s="32">
        <f t="shared" ref="M32:N32" si="30">C32+K32</f>
        <v>123</v>
      </c>
      <c r="N32" s="32">
        <f t="shared" si="30"/>
        <v>11</v>
      </c>
      <c r="O32" s="43" t="s">
        <v>53</v>
      </c>
      <c r="P32" s="43" t="s">
        <v>53</v>
      </c>
      <c r="Q32" s="43" t="s">
        <v>53</v>
      </c>
      <c r="R32" s="39">
        <f>if(G32=13,1,0)+VLOOKUP(B32,'083124'!B:T,17,false)</f>
        <v>1</v>
      </c>
      <c r="S32" s="39"/>
      <c r="T32" s="39">
        <f>if(G32=9,1,0)+VLOOKUP(B32,'083124'!B:T,19,false)</f>
        <v>3</v>
      </c>
      <c r="V32" s="30">
        <f t="shared" si="5"/>
        <v>28</v>
      </c>
    </row>
    <row r="33">
      <c r="A33" s="30">
        <f t="shared" si="3"/>
        <v>29</v>
      </c>
      <c r="B33" s="31" t="s">
        <v>73</v>
      </c>
      <c r="C33" s="32">
        <v>104.0</v>
      </c>
      <c r="D33" s="32">
        <v>6.0</v>
      </c>
      <c r="E33" s="37">
        <v>3.0</v>
      </c>
      <c r="F33" s="39">
        <v>0.0</v>
      </c>
      <c r="G33" s="40">
        <v>9.0</v>
      </c>
      <c r="H33" s="39">
        <v>0.0</v>
      </c>
      <c r="I33" s="39">
        <v>0.0</v>
      </c>
      <c r="J33" s="39">
        <v>0.0</v>
      </c>
      <c r="K33" s="42">
        <v>9.0</v>
      </c>
      <c r="L33" s="39">
        <v>0.0</v>
      </c>
      <c r="M33" s="32">
        <f t="shared" ref="M33:N33" si="31">C33+K33</f>
        <v>113</v>
      </c>
      <c r="N33" s="32">
        <f t="shared" si="31"/>
        <v>6</v>
      </c>
      <c r="O33" s="43" t="s">
        <v>53</v>
      </c>
      <c r="P33" s="43" t="s">
        <v>53</v>
      </c>
      <c r="Q33" s="43" t="s">
        <v>53</v>
      </c>
      <c r="R33" s="39">
        <f>if(G33=13,1,0)+VLOOKUP(B33,'083124'!B:T,17,false)</f>
        <v>2</v>
      </c>
      <c r="S33" s="39"/>
      <c r="T33" s="39">
        <f>if(G33=9,1,0)+VLOOKUP(B33,'083124'!B:T,19,false)</f>
        <v>4</v>
      </c>
      <c r="V33" s="30">
        <f t="shared" si="5"/>
        <v>29</v>
      </c>
    </row>
    <row r="34">
      <c r="A34" s="30">
        <f t="shared" si="3"/>
        <v>30</v>
      </c>
      <c r="B34" s="31" t="s">
        <v>83</v>
      </c>
      <c r="C34" s="32">
        <v>103.0</v>
      </c>
      <c r="D34" s="32">
        <v>6.0</v>
      </c>
      <c r="E34" s="37">
        <v>1.0</v>
      </c>
      <c r="F34" s="39">
        <v>6.0</v>
      </c>
      <c r="G34" s="40">
        <v>0.0</v>
      </c>
      <c r="H34" s="39">
        <v>6.0</v>
      </c>
      <c r="I34" s="39">
        <v>6.0</v>
      </c>
      <c r="J34" s="39">
        <v>6.0</v>
      </c>
      <c r="K34" s="42">
        <v>18.0</v>
      </c>
      <c r="L34" s="39">
        <v>3.0</v>
      </c>
      <c r="M34" s="32">
        <f t="shared" ref="M34:N34" si="32">C34+K34</f>
        <v>121</v>
      </c>
      <c r="N34" s="32">
        <f t="shared" si="32"/>
        <v>9</v>
      </c>
      <c r="O34" s="43" t="s">
        <v>53</v>
      </c>
      <c r="P34" s="43" t="s">
        <v>53</v>
      </c>
      <c r="Q34" s="43" t="s">
        <v>53</v>
      </c>
      <c r="R34" s="39">
        <f>if(G34=13,1,0)+VLOOKUP(B34,'083124'!B:T,17,false)</f>
        <v>0</v>
      </c>
      <c r="S34" s="39"/>
      <c r="T34" s="39">
        <f>if(G34=9,1,0)+VLOOKUP(B34,'083124'!B:T,19,false)</f>
        <v>6</v>
      </c>
      <c r="V34" s="30">
        <f t="shared" si="5"/>
        <v>30</v>
      </c>
    </row>
    <row r="35">
      <c r="A35" s="30">
        <f t="shared" si="3"/>
        <v>31</v>
      </c>
      <c r="B35" s="56" t="s">
        <v>110</v>
      </c>
      <c r="C35" s="32">
        <v>103.0</v>
      </c>
      <c r="D35" s="32">
        <v>5.0</v>
      </c>
      <c r="E35" s="37">
        <v>3.0</v>
      </c>
      <c r="F35" s="39">
        <v>0.0</v>
      </c>
      <c r="G35" s="40">
        <v>9.0</v>
      </c>
      <c r="H35" s="39">
        <v>0.0</v>
      </c>
      <c r="I35" s="39">
        <v>0.0</v>
      </c>
      <c r="J35" s="39">
        <v>0.0</v>
      </c>
      <c r="K35" s="42">
        <v>9.0</v>
      </c>
      <c r="L35" s="39">
        <v>0.0</v>
      </c>
      <c r="M35" s="32">
        <f t="shared" ref="M35:N35" si="33">C35+K35</f>
        <v>112</v>
      </c>
      <c r="N35" s="32">
        <f t="shared" si="33"/>
        <v>5</v>
      </c>
      <c r="O35" s="43" t="s">
        <v>53</v>
      </c>
      <c r="P35" s="43" t="s">
        <v>53</v>
      </c>
      <c r="Q35" s="43" t="s">
        <v>53</v>
      </c>
      <c r="R35" s="39">
        <f>if(G35=13,1,0)+VLOOKUP(B35,'083124'!B:T,17,false)</f>
        <v>2</v>
      </c>
      <c r="S35" s="39"/>
      <c r="T35" s="39">
        <f>if(G35=9,1,0)+VLOOKUP(B35,'083124'!B:T,19,false)</f>
        <v>3</v>
      </c>
      <c r="V35" s="30">
        <f t="shared" si="5"/>
        <v>31</v>
      </c>
    </row>
    <row r="36">
      <c r="A36" s="30">
        <f t="shared" si="3"/>
        <v>32</v>
      </c>
      <c r="B36" s="51" t="s">
        <v>104</v>
      </c>
      <c r="C36" s="32">
        <v>102.0</v>
      </c>
      <c r="D36" s="32">
        <v>10.0</v>
      </c>
      <c r="E36" s="37">
        <v>1.0</v>
      </c>
      <c r="F36" s="39">
        <v>6.0</v>
      </c>
      <c r="G36" s="40">
        <v>0.0</v>
      </c>
      <c r="H36" s="39">
        <v>3.0</v>
      </c>
      <c r="I36" s="39">
        <v>6.0</v>
      </c>
      <c r="J36" s="39">
        <v>2.0</v>
      </c>
      <c r="K36" s="42">
        <v>11.0</v>
      </c>
      <c r="L36" s="39">
        <v>1.0</v>
      </c>
      <c r="M36" s="32">
        <f t="shared" ref="M36:N36" si="34">C36+K36</f>
        <v>113</v>
      </c>
      <c r="N36" s="32">
        <f t="shared" si="34"/>
        <v>11</v>
      </c>
      <c r="O36" s="43" t="s">
        <v>53</v>
      </c>
      <c r="P36" s="43" t="s">
        <v>53</v>
      </c>
      <c r="Q36" s="43" t="s">
        <v>53</v>
      </c>
      <c r="R36" s="39">
        <f>if(G36=13,1,0)+VLOOKUP(B36,'083124'!B:T,17,false)</f>
        <v>0</v>
      </c>
      <c r="S36" s="39"/>
      <c r="T36" s="39">
        <f>if(G36=9,1,0)+VLOOKUP(B36,'083124'!B:T,19,false)</f>
        <v>0</v>
      </c>
      <c r="V36" s="30">
        <f t="shared" si="5"/>
        <v>32</v>
      </c>
    </row>
    <row r="37">
      <c r="A37" s="30">
        <f t="shared" si="3"/>
        <v>33</v>
      </c>
      <c r="B37" s="51" t="s">
        <v>103</v>
      </c>
      <c r="C37" s="32">
        <v>102.0</v>
      </c>
      <c r="D37" s="32">
        <v>6.0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5">C37+K37</f>
        <v>111</v>
      </c>
      <c r="N37" s="32">
        <f t="shared" si="35"/>
        <v>6</v>
      </c>
      <c r="O37" s="43" t="s">
        <v>53</v>
      </c>
      <c r="P37" s="43" t="s">
        <v>53</v>
      </c>
      <c r="Q37" s="43" t="s">
        <v>53</v>
      </c>
      <c r="R37" s="39">
        <f>if(G37=13,1,0)+VLOOKUP(B37,'083124'!B:T,17,false)</f>
        <v>1</v>
      </c>
      <c r="S37" s="39"/>
      <c r="T37" s="39">
        <f>if(G37=9,1,0)+VLOOKUP(B37,'083124'!B:T,19,false)</f>
        <v>5</v>
      </c>
      <c r="V37" s="30">
        <f t="shared" si="5"/>
        <v>33</v>
      </c>
    </row>
    <row r="38">
      <c r="A38" s="30">
        <f t="shared" si="3"/>
        <v>34</v>
      </c>
      <c r="B38" s="51" t="s">
        <v>114</v>
      </c>
      <c r="C38" s="32">
        <v>101.0</v>
      </c>
      <c r="D38" s="32">
        <v>7.0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6">C38+K38</f>
        <v>110</v>
      </c>
      <c r="N38" s="32">
        <f t="shared" si="36"/>
        <v>7</v>
      </c>
      <c r="O38" s="43" t="s">
        <v>53</v>
      </c>
      <c r="P38" s="43" t="s">
        <v>53</v>
      </c>
      <c r="Q38" s="43" t="s">
        <v>53</v>
      </c>
      <c r="R38" s="39">
        <f>if(G38=13,1,0)+VLOOKUP(B38,'083124'!B:T,17,false)</f>
        <v>2</v>
      </c>
      <c r="S38" s="39"/>
      <c r="T38" s="39">
        <f>if(G38=9,1,0)+VLOOKUP(B38,'083124'!B:T,19,false)</f>
        <v>2</v>
      </c>
      <c r="V38" s="30">
        <f t="shared" si="5"/>
        <v>34</v>
      </c>
    </row>
    <row r="39">
      <c r="A39" s="30">
        <f t="shared" si="3"/>
        <v>35</v>
      </c>
      <c r="B39" s="31" t="s">
        <v>97</v>
      </c>
      <c r="C39" s="32">
        <v>98.0</v>
      </c>
      <c r="D39" s="32">
        <v>3.0</v>
      </c>
      <c r="E39" s="37">
        <v>1.0</v>
      </c>
      <c r="F39" s="39">
        <v>6.0</v>
      </c>
      <c r="G39" s="40">
        <v>0.0</v>
      </c>
      <c r="H39" s="39">
        <v>6.0</v>
      </c>
      <c r="I39" s="39">
        <v>2.0</v>
      </c>
      <c r="J39" s="39">
        <v>2.0</v>
      </c>
      <c r="K39" s="42">
        <v>10.0</v>
      </c>
      <c r="L39" s="39">
        <v>1.0</v>
      </c>
      <c r="M39" s="32">
        <f t="shared" ref="M39:N39" si="37">C39+K39</f>
        <v>108</v>
      </c>
      <c r="N39" s="32">
        <f t="shared" si="37"/>
        <v>4</v>
      </c>
      <c r="O39" s="43" t="s">
        <v>53</v>
      </c>
      <c r="P39" s="43" t="s">
        <v>53</v>
      </c>
      <c r="Q39" s="43" t="s">
        <v>53</v>
      </c>
      <c r="R39" s="39">
        <f>if(G39=13,1,0)+VLOOKUP(B39,'083124'!B:T,17,false)</f>
        <v>1</v>
      </c>
      <c r="S39" s="39"/>
      <c r="T39" s="39">
        <f>if(G39=9,1,0)+VLOOKUP(B39,'083124'!B:T,19,false)</f>
        <v>6</v>
      </c>
      <c r="V39" s="30">
        <f t="shared" si="5"/>
        <v>35</v>
      </c>
    </row>
    <row r="40">
      <c r="A40" s="30">
        <f t="shared" si="3"/>
        <v>36</v>
      </c>
      <c r="B40" s="51" t="s">
        <v>76</v>
      </c>
      <c r="C40" s="32">
        <v>97.0</v>
      </c>
      <c r="D40" s="32">
        <v>7.0</v>
      </c>
      <c r="E40" s="37">
        <v>1.0</v>
      </c>
      <c r="F40" s="39">
        <v>6.0</v>
      </c>
      <c r="G40" s="40">
        <v>0.0</v>
      </c>
      <c r="H40" s="39">
        <v>3.0</v>
      </c>
      <c r="I40" s="39">
        <v>2.0</v>
      </c>
      <c r="J40" s="39">
        <v>6.0</v>
      </c>
      <c r="K40" s="42">
        <v>11.0</v>
      </c>
      <c r="L40" s="39">
        <v>1.0</v>
      </c>
      <c r="M40" s="32">
        <f t="shared" ref="M40:N40" si="38">C40+K40</f>
        <v>108</v>
      </c>
      <c r="N40" s="32">
        <f t="shared" si="38"/>
        <v>8</v>
      </c>
      <c r="O40" s="43" t="s">
        <v>53</v>
      </c>
      <c r="P40" s="43" t="s">
        <v>53</v>
      </c>
      <c r="Q40" s="43" t="s">
        <v>53</v>
      </c>
      <c r="R40" s="39">
        <f>if(G40=13,1,0)+VLOOKUP(B40,'083124'!B:T,17,false)</f>
        <v>0</v>
      </c>
      <c r="S40" s="39"/>
      <c r="T40" s="39">
        <f>if(G40=9,1,0)+VLOOKUP(B40,'083124'!B:T,19,false)</f>
        <v>4</v>
      </c>
      <c r="V40" s="30">
        <f t="shared" si="5"/>
        <v>36</v>
      </c>
    </row>
    <row r="41">
      <c r="A41" s="30">
        <f t="shared" si="3"/>
        <v>37</v>
      </c>
      <c r="B41" s="51" t="s">
        <v>99</v>
      </c>
      <c r="C41" s="32">
        <v>97.0</v>
      </c>
      <c r="D41" s="32">
        <v>5.0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9">C41+K41</f>
        <v>106</v>
      </c>
      <c r="N41" s="32">
        <f t="shared" si="39"/>
        <v>5</v>
      </c>
      <c r="O41" s="43" t="s">
        <v>53</v>
      </c>
      <c r="P41" s="43"/>
      <c r="Q41" s="43" t="s">
        <v>53</v>
      </c>
      <c r="R41" s="39">
        <f>if(G41=13,1,0)+VLOOKUP(B41,'083124'!B:T,17,false)</f>
        <v>0</v>
      </c>
      <c r="S41" s="39"/>
      <c r="T41" s="39">
        <f>if(G41=9,1,0)+VLOOKUP(B41,'083124'!B:T,19,false)</f>
        <v>2</v>
      </c>
      <c r="V41" s="30">
        <f t="shared" si="5"/>
        <v>37</v>
      </c>
    </row>
    <row r="42">
      <c r="A42" s="30">
        <f t="shared" si="3"/>
        <v>38</v>
      </c>
      <c r="B42" s="31" t="s">
        <v>79</v>
      </c>
      <c r="C42" s="32">
        <v>96.0</v>
      </c>
      <c r="D42" s="32">
        <v>3.0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40">C42+K42</f>
        <v>105</v>
      </c>
      <c r="N42" s="32">
        <f t="shared" si="40"/>
        <v>3</v>
      </c>
      <c r="O42" s="43" t="s">
        <v>53</v>
      </c>
      <c r="P42" s="43" t="s">
        <v>53</v>
      </c>
      <c r="Q42" s="43" t="s">
        <v>53</v>
      </c>
      <c r="R42" s="39">
        <f>if(G42=13,1,0)+VLOOKUP(B42,'083124'!B:T,17,false)</f>
        <v>2</v>
      </c>
      <c r="S42" s="39"/>
      <c r="T42" s="39">
        <f>if(G42=9,1,0)+VLOOKUP(B42,'083124'!B:T,19,false)</f>
        <v>6</v>
      </c>
      <c r="V42" s="30">
        <f t="shared" si="5"/>
        <v>38</v>
      </c>
    </row>
    <row r="43">
      <c r="A43" s="30">
        <f t="shared" si="3"/>
        <v>39</v>
      </c>
      <c r="B43" s="31" t="s">
        <v>119</v>
      </c>
      <c r="C43" s="32">
        <v>94.0</v>
      </c>
      <c r="D43" s="32">
        <v>4.0</v>
      </c>
      <c r="E43" s="37">
        <v>3.0</v>
      </c>
      <c r="F43" s="39">
        <v>0.0</v>
      </c>
      <c r="G43" s="40">
        <v>9.0</v>
      </c>
      <c r="H43" s="39">
        <v>0.0</v>
      </c>
      <c r="I43" s="39">
        <v>0.0</v>
      </c>
      <c r="J43" s="39">
        <v>0.0</v>
      </c>
      <c r="K43" s="42">
        <v>9.0</v>
      </c>
      <c r="L43" s="39">
        <v>0.0</v>
      </c>
      <c r="M43" s="32">
        <f t="shared" ref="M43:N43" si="41">C43+K43</f>
        <v>103</v>
      </c>
      <c r="N43" s="32">
        <f t="shared" si="41"/>
        <v>4</v>
      </c>
      <c r="O43" s="43" t="s">
        <v>53</v>
      </c>
      <c r="P43" s="43" t="s">
        <v>53</v>
      </c>
      <c r="Q43" s="43" t="s">
        <v>53</v>
      </c>
      <c r="R43" s="39">
        <f>if(G43=13,1,0)+VLOOKUP(B43,'083124'!B:T,17,false)</f>
        <v>0</v>
      </c>
      <c r="S43" s="39"/>
      <c r="T43" s="39">
        <f>if(G43=9,1,0)+VLOOKUP(B43,'083124'!B:T,19,false)</f>
        <v>8</v>
      </c>
      <c r="V43" s="30">
        <f t="shared" si="5"/>
        <v>39</v>
      </c>
    </row>
    <row r="44">
      <c r="A44" s="30">
        <f t="shared" si="3"/>
        <v>40</v>
      </c>
      <c r="B44" s="51" t="s">
        <v>75</v>
      </c>
      <c r="C44" s="32">
        <v>94.0</v>
      </c>
      <c r="D44" s="32">
        <v>3.0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2">C44+K44</f>
        <v>103</v>
      </c>
      <c r="N44" s="32">
        <f t="shared" si="42"/>
        <v>3</v>
      </c>
      <c r="O44" s="43" t="s">
        <v>53</v>
      </c>
      <c r="P44" s="43" t="s">
        <v>53</v>
      </c>
      <c r="Q44" s="43" t="s">
        <v>53</v>
      </c>
      <c r="R44" s="39">
        <f>if(G44=13,1,0)+VLOOKUP(B44,'083124'!B:T,17,false)</f>
        <v>1</v>
      </c>
      <c r="S44" s="39"/>
      <c r="T44" s="39">
        <f>if(G44=9,1,0)+VLOOKUP(B44,'083124'!B:T,19,false)</f>
        <v>8</v>
      </c>
      <c r="V44" s="30">
        <f t="shared" si="5"/>
        <v>40</v>
      </c>
    </row>
    <row r="45">
      <c r="A45" s="30">
        <f t="shared" si="3"/>
        <v>41</v>
      </c>
      <c r="B45" s="51" t="s">
        <v>102</v>
      </c>
      <c r="C45" s="32">
        <v>94.0</v>
      </c>
      <c r="D45" s="32">
        <v>2.0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3">C45+K45</f>
        <v>103</v>
      </c>
      <c r="N45" s="32">
        <f t="shared" si="43"/>
        <v>2</v>
      </c>
      <c r="O45" s="43" t="s">
        <v>53</v>
      </c>
      <c r="P45" s="43" t="s">
        <v>53</v>
      </c>
      <c r="Q45" s="43" t="s">
        <v>53</v>
      </c>
      <c r="R45" s="39">
        <f>if(G45=13,1,0)+VLOOKUP(B45,'083124'!B:T,17,false)</f>
        <v>2</v>
      </c>
      <c r="S45" s="39"/>
      <c r="T45" s="39">
        <f>if(G45=9,1,0)+VLOOKUP(B45,'083124'!B:T,19,false)</f>
        <v>6</v>
      </c>
      <c r="V45" s="30">
        <f t="shared" si="5"/>
        <v>41</v>
      </c>
    </row>
    <row r="46">
      <c r="A46" s="30">
        <f t="shared" si="3"/>
        <v>42</v>
      </c>
      <c r="B46" s="77" t="s">
        <v>51</v>
      </c>
      <c r="C46" s="32">
        <v>93.0</v>
      </c>
      <c r="D46" s="32">
        <v>6.0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4">C46+K46</f>
        <v>102</v>
      </c>
      <c r="N46" s="32">
        <f t="shared" si="44"/>
        <v>6</v>
      </c>
      <c r="O46" s="43" t="s">
        <v>53</v>
      </c>
      <c r="P46" s="43" t="s">
        <v>53</v>
      </c>
      <c r="Q46" s="43" t="s">
        <v>53</v>
      </c>
      <c r="R46" s="39">
        <f>if(G46=13,1,0)+VLOOKUP(B46,'083124'!B:T,17,false)</f>
        <v>1</v>
      </c>
      <c r="S46" s="39"/>
      <c r="T46" s="39">
        <f>if(G46=9,1,0)+VLOOKUP(B46,'083124'!B:T,19,false)</f>
        <v>4</v>
      </c>
      <c r="V46" s="30">
        <f t="shared" si="5"/>
        <v>42</v>
      </c>
    </row>
    <row r="47">
      <c r="A47" s="30">
        <f t="shared" si="3"/>
        <v>43</v>
      </c>
      <c r="B47" s="31" t="s">
        <v>46</v>
      </c>
      <c r="C47" s="32">
        <v>93.0</v>
      </c>
      <c r="D47" s="32">
        <v>4.0</v>
      </c>
      <c r="E47" s="37">
        <v>1.0</v>
      </c>
      <c r="F47" s="39">
        <v>7.0</v>
      </c>
      <c r="G47" s="40">
        <v>0.0</v>
      </c>
      <c r="H47" s="39">
        <v>7.0</v>
      </c>
      <c r="I47" s="39">
        <v>7.0</v>
      </c>
      <c r="J47" s="39">
        <v>3.0</v>
      </c>
      <c r="K47" s="42">
        <v>17.0</v>
      </c>
      <c r="L47" s="39">
        <v>2.0</v>
      </c>
      <c r="M47" s="32">
        <f t="shared" ref="M47:N47" si="45">C47+K47</f>
        <v>110</v>
      </c>
      <c r="N47" s="32">
        <f t="shared" si="45"/>
        <v>6</v>
      </c>
      <c r="O47" s="43" t="s">
        <v>53</v>
      </c>
      <c r="P47" s="43" t="s">
        <v>53</v>
      </c>
      <c r="Q47" s="43" t="s">
        <v>53</v>
      </c>
      <c r="R47" s="39">
        <f>if(G47=13,1,0)+VLOOKUP(B47,'083124'!B:T,17,false)</f>
        <v>0</v>
      </c>
      <c r="S47" s="39"/>
      <c r="T47" s="39">
        <f>if(G47=9,1,0)+VLOOKUP(B47,'083124'!B:T,19,false)</f>
        <v>5</v>
      </c>
      <c r="V47" s="30">
        <f t="shared" si="5"/>
        <v>43</v>
      </c>
    </row>
    <row r="48">
      <c r="A48" s="30">
        <f t="shared" si="3"/>
        <v>44</v>
      </c>
      <c r="B48" s="31" t="s">
        <v>56</v>
      </c>
      <c r="C48" s="32">
        <v>93.0</v>
      </c>
      <c r="D48" s="32">
        <v>3.0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6">C48+K48</f>
        <v>102</v>
      </c>
      <c r="N48" s="32">
        <f t="shared" si="46"/>
        <v>3</v>
      </c>
      <c r="O48" s="43" t="s">
        <v>53</v>
      </c>
      <c r="P48" s="43" t="s">
        <v>53</v>
      </c>
      <c r="Q48" s="43" t="s">
        <v>53</v>
      </c>
      <c r="R48" s="39">
        <f>if(G48=13,1,0)+VLOOKUP(B48,'083124'!B:T,17,false)</f>
        <v>0</v>
      </c>
      <c r="S48" s="39"/>
      <c r="T48" s="39">
        <f>if(G48=9,1,0)+VLOOKUP(B48,'083124'!B:T,19,false)</f>
        <v>8</v>
      </c>
      <c r="V48" s="30">
        <f t="shared" si="5"/>
        <v>44</v>
      </c>
    </row>
    <row r="49">
      <c r="A49" s="30">
        <f t="shared" si="3"/>
        <v>45</v>
      </c>
      <c r="B49" s="56" t="s">
        <v>107</v>
      </c>
      <c r="C49" s="32">
        <v>92.0</v>
      </c>
      <c r="D49" s="32">
        <v>8.0</v>
      </c>
      <c r="E49" s="37">
        <v>1.0</v>
      </c>
      <c r="F49" s="39">
        <v>7.0</v>
      </c>
      <c r="G49" s="40">
        <v>0.0</v>
      </c>
      <c r="H49" s="39">
        <v>7.0</v>
      </c>
      <c r="I49" s="39">
        <v>6.0</v>
      </c>
      <c r="J49" s="39">
        <v>6.0</v>
      </c>
      <c r="K49" s="42">
        <v>19.0</v>
      </c>
      <c r="L49" s="39">
        <v>2.0</v>
      </c>
      <c r="M49" s="32">
        <f t="shared" ref="M49:N49" si="47">C49+K49</f>
        <v>111</v>
      </c>
      <c r="N49" s="32">
        <f t="shared" si="47"/>
        <v>10</v>
      </c>
      <c r="O49" s="43" t="s">
        <v>53</v>
      </c>
      <c r="P49" s="43" t="s">
        <v>53</v>
      </c>
      <c r="Q49" s="43" t="s">
        <v>53</v>
      </c>
      <c r="R49" s="39">
        <f>if(G49=13,1,0)+VLOOKUP(B49,'083124'!B:T,17,false)</f>
        <v>0</v>
      </c>
      <c r="S49" s="39"/>
      <c r="T49" s="39">
        <f>if(G49=9,1,0)+VLOOKUP(B49,'083124'!B:T,19,false)</f>
        <v>3</v>
      </c>
      <c r="V49" s="30">
        <f t="shared" si="5"/>
        <v>45</v>
      </c>
    </row>
    <row r="50">
      <c r="A50" s="30">
        <f t="shared" si="3"/>
        <v>46</v>
      </c>
      <c r="B50" s="51" t="s">
        <v>116</v>
      </c>
      <c r="C50" s="32">
        <v>92.0</v>
      </c>
      <c r="D50" s="32">
        <v>4.0</v>
      </c>
      <c r="E50" s="37">
        <v>1.0</v>
      </c>
      <c r="F50" s="39">
        <v>7.0</v>
      </c>
      <c r="G50" s="40">
        <v>0.0</v>
      </c>
      <c r="H50" s="39">
        <v>6.0</v>
      </c>
      <c r="I50" s="39">
        <v>7.0</v>
      </c>
      <c r="J50" s="39">
        <v>6.0</v>
      </c>
      <c r="K50" s="42">
        <v>19.0</v>
      </c>
      <c r="L50" s="39">
        <v>2.0</v>
      </c>
      <c r="M50" s="32">
        <f t="shared" ref="M50:N50" si="48">C50+K50</f>
        <v>111</v>
      </c>
      <c r="N50" s="32">
        <f t="shared" si="48"/>
        <v>6</v>
      </c>
      <c r="O50" s="43" t="s">
        <v>53</v>
      </c>
      <c r="P50" s="43" t="s">
        <v>53</v>
      </c>
      <c r="Q50" s="43" t="s">
        <v>53</v>
      </c>
      <c r="R50" s="39">
        <f>if(G50=13,1,0)+VLOOKUP(B50,'083124'!B:T,17,false)</f>
        <v>1</v>
      </c>
      <c r="S50" s="39"/>
      <c r="T50" s="39">
        <f>if(G50=9,1,0)+VLOOKUP(B50,'083124'!B:T,19,false)</f>
        <v>3</v>
      </c>
      <c r="V50" s="30">
        <f t="shared" si="5"/>
        <v>46</v>
      </c>
    </row>
    <row r="51">
      <c r="A51" s="30">
        <f t="shared" si="3"/>
        <v>47</v>
      </c>
      <c r="B51" s="56" t="s">
        <v>115</v>
      </c>
      <c r="C51" s="32">
        <v>91.0</v>
      </c>
      <c r="D51" s="32">
        <v>7.0</v>
      </c>
      <c r="E51" s="37">
        <v>1.0</v>
      </c>
      <c r="F51" s="39">
        <v>7.0</v>
      </c>
      <c r="G51" s="40">
        <v>0.0</v>
      </c>
      <c r="H51" s="39">
        <v>6.0</v>
      </c>
      <c r="I51" s="39">
        <v>6.0</v>
      </c>
      <c r="J51" s="39">
        <v>3.0</v>
      </c>
      <c r="K51" s="42">
        <v>15.0</v>
      </c>
      <c r="L51" s="39">
        <v>0.0</v>
      </c>
      <c r="M51" s="32">
        <f t="shared" ref="M51:N51" si="49">C51+K51</f>
        <v>106</v>
      </c>
      <c r="N51" s="32">
        <f t="shared" si="49"/>
        <v>7</v>
      </c>
      <c r="O51" s="43" t="s">
        <v>53</v>
      </c>
      <c r="P51" s="43" t="s">
        <v>53</v>
      </c>
      <c r="Q51" s="43" t="s">
        <v>53</v>
      </c>
      <c r="R51" s="39">
        <f>if(G51=13,1,0)+VLOOKUP(B51,'083124'!B:T,17,false)</f>
        <v>0</v>
      </c>
      <c r="S51" s="39"/>
      <c r="T51" s="39">
        <f>if(G51=9,1,0)+VLOOKUP(B51,'083124'!B:T,19,false)</f>
        <v>1</v>
      </c>
      <c r="V51" s="30">
        <f t="shared" si="5"/>
        <v>47</v>
      </c>
    </row>
    <row r="52">
      <c r="A52" s="30">
        <f t="shared" si="3"/>
        <v>48</v>
      </c>
      <c r="B52" s="31" t="s">
        <v>120</v>
      </c>
      <c r="C52" s="32">
        <v>90.0</v>
      </c>
      <c r="D52" s="32">
        <v>4.0</v>
      </c>
      <c r="E52" s="37">
        <v>5.0</v>
      </c>
      <c r="F52" s="39">
        <v>0.0</v>
      </c>
      <c r="G52" s="40">
        <v>13.0</v>
      </c>
      <c r="H52" s="39">
        <v>0.0</v>
      </c>
      <c r="I52" s="39">
        <v>0.0</v>
      </c>
      <c r="J52" s="39">
        <v>0.0</v>
      </c>
      <c r="K52" s="42">
        <v>13.0</v>
      </c>
      <c r="L52" s="39">
        <v>0.0</v>
      </c>
      <c r="M52" s="32">
        <f t="shared" ref="M52:N52" si="50">C52+K52</f>
        <v>103</v>
      </c>
      <c r="N52" s="32">
        <f t="shared" si="50"/>
        <v>4</v>
      </c>
      <c r="O52" s="43" t="s">
        <v>53</v>
      </c>
      <c r="P52" s="43" t="s">
        <v>53</v>
      </c>
      <c r="Q52" s="43" t="s">
        <v>53</v>
      </c>
      <c r="R52" s="39">
        <f>if(G52=13,1,0)+VLOOKUP(B52,'083124'!B:T,17,false)</f>
        <v>1</v>
      </c>
      <c r="S52" s="39"/>
      <c r="T52" s="39">
        <f>if(G52=9,1,0)+VLOOKUP(B52,'083124'!B:T,19,false)</f>
        <v>7</v>
      </c>
      <c r="V52" s="30">
        <f t="shared" si="5"/>
        <v>48</v>
      </c>
    </row>
    <row r="53">
      <c r="A53" s="30">
        <f t="shared" si="3"/>
        <v>49</v>
      </c>
      <c r="B53" s="31" t="s">
        <v>125</v>
      </c>
      <c r="C53" s="32">
        <v>90.0</v>
      </c>
      <c r="D53" s="32">
        <v>3.0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1">C53+K53</f>
        <v>99</v>
      </c>
      <c r="N53" s="32">
        <f t="shared" si="51"/>
        <v>3</v>
      </c>
      <c r="O53" s="43" t="s">
        <v>53</v>
      </c>
      <c r="P53" s="43" t="s">
        <v>53</v>
      </c>
      <c r="Q53" s="43" t="s">
        <v>53</v>
      </c>
      <c r="R53" s="39">
        <f>if(G53=13,1,0)+VLOOKUP(B53,'083124'!B:T,17,false)</f>
        <v>0</v>
      </c>
      <c r="S53" s="39"/>
      <c r="T53" s="39">
        <f>if(G53=9,1,0)+VLOOKUP(B53,'083124'!B:T,19,false)</f>
        <v>9</v>
      </c>
      <c r="V53" s="30">
        <f t="shared" si="5"/>
        <v>49</v>
      </c>
    </row>
    <row r="54">
      <c r="A54" s="30">
        <f t="shared" si="3"/>
        <v>50</v>
      </c>
      <c r="B54" s="56" t="s">
        <v>122</v>
      </c>
      <c r="C54" s="32">
        <v>90.0</v>
      </c>
      <c r="D54" s="32">
        <v>3.0</v>
      </c>
      <c r="E54" s="37">
        <v>3.0</v>
      </c>
      <c r="F54" s="39">
        <v>0.0</v>
      </c>
      <c r="G54" s="40">
        <v>9.0</v>
      </c>
      <c r="H54" s="39">
        <v>0.0</v>
      </c>
      <c r="I54" s="39">
        <v>0.0</v>
      </c>
      <c r="J54" s="39">
        <v>0.0</v>
      </c>
      <c r="K54" s="42">
        <v>9.0</v>
      </c>
      <c r="L54" s="39">
        <v>0.0</v>
      </c>
      <c r="M54" s="32">
        <f t="shared" ref="M54:N54" si="52">C54+K54</f>
        <v>99</v>
      </c>
      <c r="N54" s="32">
        <f t="shared" si="52"/>
        <v>3</v>
      </c>
      <c r="O54" s="43" t="s">
        <v>53</v>
      </c>
      <c r="P54" s="43" t="s">
        <v>53</v>
      </c>
      <c r="Q54" s="43" t="s">
        <v>53</v>
      </c>
      <c r="R54" s="39">
        <f>if(G54=13,1,0)+VLOOKUP(B54,'083124'!B:T,17,false)</f>
        <v>1</v>
      </c>
      <c r="S54" s="39"/>
      <c r="T54" s="39">
        <f>if(G54=9,1,0)+VLOOKUP(B54,'083124'!B:T,19,false)</f>
        <v>6</v>
      </c>
      <c r="V54" s="30">
        <f t="shared" si="5"/>
        <v>50</v>
      </c>
    </row>
    <row r="55">
      <c r="A55" s="30">
        <f t="shared" si="3"/>
        <v>51</v>
      </c>
      <c r="B55" s="31" t="s">
        <v>63</v>
      </c>
      <c r="C55" s="32">
        <v>90.0</v>
      </c>
      <c r="D55" s="32">
        <v>3.0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3">C55+K55</f>
        <v>99</v>
      </c>
      <c r="N55" s="32">
        <f t="shared" si="53"/>
        <v>3</v>
      </c>
      <c r="O55" s="43" t="s">
        <v>53</v>
      </c>
      <c r="P55" s="43" t="s">
        <v>53</v>
      </c>
      <c r="Q55" s="43" t="s">
        <v>53</v>
      </c>
      <c r="R55" s="39">
        <f>if(G55=13,1,0)+VLOOKUP(B55,'083124'!B:T,17,false)</f>
        <v>0</v>
      </c>
      <c r="S55" s="39"/>
      <c r="T55" s="39">
        <f>if(G55=9,1,0)+VLOOKUP(B55,'083124'!B:T,19,false)</f>
        <v>9</v>
      </c>
      <c r="V55" s="30">
        <f t="shared" si="5"/>
        <v>51</v>
      </c>
    </row>
    <row r="56">
      <c r="A56" s="30">
        <f t="shared" si="3"/>
        <v>52</v>
      </c>
      <c r="B56" s="31" t="s">
        <v>123</v>
      </c>
      <c r="C56" s="32">
        <v>90.0</v>
      </c>
      <c r="D56" s="32">
        <v>3.0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4">C56+K56</f>
        <v>99</v>
      </c>
      <c r="N56" s="32">
        <f t="shared" si="54"/>
        <v>3</v>
      </c>
      <c r="O56" s="43" t="s">
        <v>53</v>
      </c>
      <c r="P56" s="43" t="s">
        <v>53</v>
      </c>
      <c r="Q56" s="43" t="s">
        <v>53</v>
      </c>
      <c r="R56" s="39">
        <f>if(G56=13,1,0)+VLOOKUP(B56,'083124'!B:T,17,false)</f>
        <v>0</v>
      </c>
      <c r="S56" s="39"/>
      <c r="T56" s="39">
        <f>if(G56=9,1,0)+VLOOKUP(B56,'083124'!B:T,19,false)</f>
        <v>9</v>
      </c>
      <c r="V56" s="30">
        <f t="shared" si="5"/>
        <v>52</v>
      </c>
    </row>
    <row r="57">
      <c r="A57" s="30">
        <f t="shared" si="3"/>
        <v>53</v>
      </c>
      <c r="B57" s="31" t="s">
        <v>109</v>
      </c>
      <c r="C57" s="32">
        <v>89.0</v>
      </c>
      <c r="D57" s="32">
        <v>0.0</v>
      </c>
      <c r="E57" s="37">
        <v>2.0</v>
      </c>
      <c r="F57" s="39">
        <v>8.0</v>
      </c>
      <c r="G57" s="40">
        <v>0.0</v>
      </c>
      <c r="H57" s="39">
        <v>6.0</v>
      </c>
      <c r="I57" s="39">
        <v>6.0</v>
      </c>
      <c r="J57" s="39">
        <v>6.0</v>
      </c>
      <c r="K57" s="42">
        <v>18.0</v>
      </c>
      <c r="L57" s="39">
        <v>2.0</v>
      </c>
      <c r="M57" s="32">
        <f t="shared" ref="M57:N57" si="55">C57+K57</f>
        <v>107</v>
      </c>
      <c r="N57" s="32">
        <f t="shared" si="55"/>
        <v>2</v>
      </c>
      <c r="O57" s="43" t="s">
        <v>53</v>
      </c>
      <c r="P57" s="43" t="s">
        <v>53</v>
      </c>
      <c r="Q57" s="43" t="s">
        <v>53</v>
      </c>
      <c r="R57" s="39">
        <f>if(G57=13,1,0)+VLOOKUP(B57,'083124'!B:T,17,false)</f>
        <v>2</v>
      </c>
      <c r="S57" s="39"/>
      <c r="T57" s="39">
        <f>if(G57=9,1,0)+VLOOKUP(B57,'083124'!B:T,19,false)</f>
        <v>7</v>
      </c>
      <c r="V57" s="30">
        <f t="shared" si="5"/>
        <v>53</v>
      </c>
    </row>
    <row r="58">
      <c r="A58" s="30">
        <f t="shared" si="3"/>
        <v>54</v>
      </c>
      <c r="B58" s="31" t="s">
        <v>106</v>
      </c>
      <c r="C58" s="32">
        <v>88.0</v>
      </c>
      <c r="D58" s="32">
        <v>2.0</v>
      </c>
      <c r="E58" s="37">
        <v>1.0</v>
      </c>
      <c r="F58" s="39">
        <v>8.0</v>
      </c>
      <c r="G58" s="40">
        <v>0.0</v>
      </c>
      <c r="H58" s="39">
        <v>7.0</v>
      </c>
      <c r="I58" s="39">
        <v>6.0</v>
      </c>
      <c r="J58" s="39">
        <v>1.0</v>
      </c>
      <c r="K58" s="42">
        <v>14.0</v>
      </c>
      <c r="L58" s="39">
        <v>2.0</v>
      </c>
      <c r="M58" s="32">
        <f t="shared" ref="M58:N58" si="56">C58+K58</f>
        <v>102</v>
      </c>
      <c r="N58" s="32">
        <f t="shared" si="56"/>
        <v>4</v>
      </c>
      <c r="O58" s="43" t="s">
        <v>53</v>
      </c>
      <c r="P58" s="43" t="s">
        <v>53</v>
      </c>
      <c r="Q58" s="43" t="s">
        <v>53</v>
      </c>
      <c r="R58" s="39">
        <f>if(G58=13,1,0)+VLOOKUP(B58,'083124'!B:T,17,false)</f>
        <v>0</v>
      </c>
      <c r="S58" s="39"/>
      <c r="T58" s="39">
        <f>if(G58=9,1,0)+VLOOKUP(B58,'083124'!B:T,19,false)</f>
        <v>8</v>
      </c>
      <c r="V58" s="30">
        <f t="shared" si="5"/>
        <v>54</v>
      </c>
    </row>
    <row r="59">
      <c r="A59" s="30">
        <f t="shared" si="3"/>
        <v>55</v>
      </c>
      <c r="B59" s="51" t="s">
        <v>118</v>
      </c>
      <c r="C59" s="32">
        <v>87.0</v>
      </c>
      <c r="D59" s="32">
        <v>2.0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7">C59+K59</f>
        <v>96</v>
      </c>
      <c r="N59" s="32">
        <f t="shared" si="57"/>
        <v>2</v>
      </c>
      <c r="O59" s="43" t="s">
        <v>53</v>
      </c>
      <c r="P59" s="43" t="s">
        <v>53</v>
      </c>
      <c r="Q59" s="43" t="s">
        <v>53</v>
      </c>
      <c r="R59" s="39">
        <f>if(G59=13,1,0)+VLOOKUP(B59,'083124'!B:T,17,false)</f>
        <v>0</v>
      </c>
      <c r="S59" s="39"/>
      <c r="T59" s="39">
        <f>if(G59=9,1,0)+VLOOKUP(B59,'083124'!B:T,19,false)</f>
        <v>7</v>
      </c>
      <c r="V59" s="30">
        <f t="shared" si="5"/>
        <v>55</v>
      </c>
    </row>
    <row r="60">
      <c r="A60" s="30">
        <f t="shared" si="3"/>
        <v>56</v>
      </c>
      <c r="B60" s="51" t="s">
        <v>121</v>
      </c>
      <c r="C60" s="32">
        <v>86.0</v>
      </c>
      <c r="D60" s="32">
        <v>4.0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8">C60+K60</f>
        <v>95</v>
      </c>
      <c r="N60" s="32">
        <f t="shared" si="58"/>
        <v>4</v>
      </c>
      <c r="O60" s="43" t="s">
        <v>53</v>
      </c>
      <c r="P60" s="43" t="s">
        <v>53</v>
      </c>
      <c r="Q60" s="43" t="s">
        <v>53</v>
      </c>
      <c r="R60" s="39">
        <f>if(G60=13,1,0)+VLOOKUP(B60,'083124'!B:T,17,false)</f>
        <v>0</v>
      </c>
      <c r="S60" s="39"/>
      <c r="T60" s="39">
        <f>if(G60=9,1,0)+VLOOKUP(B60,'083124'!B:T,19,false)</f>
        <v>7</v>
      </c>
      <c r="V60" s="30">
        <f t="shared" si="5"/>
        <v>56</v>
      </c>
    </row>
    <row r="61">
      <c r="A61" s="30">
        <f t="shared" si="3"/>
        <v>57</v>
      </c>
      <c r="B61" s="31" t="s">
        <v>124</v>
      </c>
      <c r="C61" s="32">
        <v>86.0</v>
      </c>
      <c r="D61" s="32">
        <v>1.0</v>
      </c>
      <c r="E61" s="37">
        <v>1.0</v>
      </c>
      <c r="F61" s="39">
        <v>8.0</v>
      </c>
      <c r="G61" s="40">
        <v>0.0</v>
      </c>
      <c r="H61" s="39">
        <v>7.0</v>
      </c>
      <c r="I61" s="39">
        <v>1.0</v>
      </c>
      <c r="J61" s="39">
        <v>6.0</v>
      </c>
      <c r="K61" s="42">
        <v>14.0</v>
      </c>
      <c r="L61" s="39">
        <v>2.0</v>
      </c>
      <c r="M61" s="32">
        <f t="shared" ref="M61:N61" si="59">C61+K61</f>
        <v>100</v>
      </c>
      <c r="N61" s="32">
        <f t="shared" si="59"/>
        <v>3</v>
      </c>
      <c r="O61" s="43" t="s">
        <v>53</v>
      </c>
      <c r="P61" s="43" t="s">
        <v>53</v>
      </c>
      <c r="Q61" s="43" t="s">
        <v>53</v>
      </c>
      <c r="R61" s="39">
        <f>if(G61=13,1,0)+VLOOKUP(B61,'083124'!B:T,17,false)</f>
        <v>1</v>
      </c>
      <c r="S61" s="39"/>
      <c r="T61" s="39">
        <f>if(G61=9,1,0)+VLOOKUP(B61,'083124'!B:T,19,false)</f>
        <v>7</v>
      </c>
      <c r="V61" s="30">
        <f t="shared" si="5"/>
        <v>57</v>
      </c>
    </row>
    <row r="62">
      <c r="A62" s="30">
        <f t="shared" si="3"/>
        <v>58</v>
      </c>
      <c r="B62" s="51" t="s">
        <v>108</v>
      </c>
      <c r="C62" s="32">
        <v>85.0</v>
      </c>
      <c r="D62" s="32">
        <v>2.0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60">C62+K62</f>
        <v>94</v>
      </c>
      <c r="N62" s="32">
        <f t="shared" si="60"/>
        <v>2</v>
      </c>
      <c r="O62" s="43" t="s">
        <v>53</v>
      </c>
      <c r="P62" s="43" t="s">
        <v>53</v>
      </c>
      <c r="Q62" s="43" t="s">
        <v>53</v>
      </c>
      <c r="R62" s="39">
        <f>if(G62=13,1,0)+VLOOKUP(B62,'083124'!B:T,17,false)</f>
        <v>0</v>
      </c>
      <c r="S62" s="39"/>
      <c r="T62" s="39">
        <f>if(G62=9,1,0)+VLOOKUP(B62,'083124'!B:T,19,false)</f>
        <v>8</v>
      </c>
      <c r="V62" s="30">
        <f t="shared" si="5"/>
        <v>58</v>
      </c>
    </row>
    <row r="63">
      <c r="A63" s="30">
        <f t="shared" si="3"/>
        <v>59</v>
      </c>
      <c r="B63" s="31" t="s">
        <v>81</v>
      </c>
      <c r="C63" s="32">
        <v>85.0</v>
      </c>
      <c r="D63" s="32">
        <v>1.0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1">C63+K63</f>
        <v>94</v>
      </c>
      <c r="N63" s="32">
        <f t="shared" si="61"/>
        <v>1</v>
      </c>
      <c r="O63" s="43" t="s">
        <v>53</v>
      </c>
      <c r="P63" s="43" t="s">
        <v>53</v>
      </c>
      <c r="Q63" s="43" t="s">
        <v>53</v>
      </c>
      <c r="R63" s="39">
        <f>if(G63=13,1,0)+VLOOKUP(B63,'083124'!B:T,17,false)</f>
        <v>1</v>
      </c>
      <c r="S63" s="39"/>
      <c r="T63" s="39">
        <f>if(G63=9,1,0)+VLOOKUP(B63,'083124'!B:T,19,false)</f>
        <v>8</v>
      </c>
      <c r="V63" s="30">
        <f t="shared" si="5"/>
        <v>59</v>
      </c>
    </row>
    <row r="64">
      <c r="A64" s="30">
        <f t="shared" si="3"/>
        <v>60</v>
      </c>
      <c r="B64" s="31" t="s">
        <v>72</v>
      </c>
      <c r="C64" s="32">
        <v>85.0</v>
      </c>
      <c r="D64" s="32">
        <v>0.0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2">C64+K64</f>
        <v>94</v>
      </c>
      <c r="N64" s="32">
        <f t="shared" si="62"/>
        <v>0</v>
      </c>
      <c r="O64" s="43" t="s">
        <v>53</v>
      </c>
      <c r="P64" s="43" t="s">
        <v>53</v>
      </c>
      <c r="Q64" s="43" t="s">
        <v>53</v>
      </c>
      <c r="R64" s="39">
        <f>if(G64=13,1,0)+VLOOKUP(B64,'083124'!B:T,17,false)</f>
        <v>1</v>
      </c>
      <c r="S64" s="39"/>
      <c r="T64" s="39">
        <f>if(G64=9,1,0)+VLOOKUP(B64,'083124'!B:T,19,false)</f>
        <v>9</v>
      </c>
      <c r="V64" s="30">
        <f t="shared" si="5"/>
        <v>60</v>
      </c>
    </row>
    <row r="65">
      <c r="A65" s="30">
        <f t="shared" si="3"/>
        <v>61</v>
      </c>
      <c r="B65" s="31" t="s">
        <v>126</v>
      </c>
      <c r="C65" s="32">
        <v>85.0</v>
      </c>
      <c r="D65" s="32">
        <v>0.0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3">C65+K65</f>
        <v>94</v>
      </c>
      <c r="N65" s="32">
        <f t="shared" si="63"/>
        <v>0</v>
      </c>
      <c r="O65" s="43" t="s">
        <v>53</v>
      </c>
      <c r="P65" s="43" t="s">
        <v>53</v>
      </c>
      <c r="Q65" s="43" t="s">
        <v>53</v>
      </c>
      <c r="R65" s="39">
        <f>if(G65=13,1,0)+VLOOKUP(B65,'083124'!B:T,17,false)</f>
        <v>1</v>
      </c>
      <c r="S65" s="39"/>
      <c r="T65" s="39">
        <f>if(G65=9,1,0)+VLOOKUP(B65,'083124'!B:T,19,false)</f>
        <v>8</v>
      </c>
      <c r="V65" s="30">
        <f t="shared" si="5"/>
        <v>61</v>
      </c>
    </row>
    <row r="66">
      <c r="A66" s="30">
        <f t="shared" si="3"/>
        <v>62</v>
      </c>
      <c r="B66" s="31" t="s">
        <v>117</v>
      </c>
      <c r="C66" s="32">
        <v>85.0</v>
      </c>
      <c r="D66" s="32">
        <v>0.0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4">C66+K66</f>
        <v>94</v>
      </c>
      <c r="N66" s="32">
        <f t="shared" si="64"/>
        <v>0</v>
      </c>
      <c r="O66" s="43" t="s">
        <v>53</v>
      </c>
      <c r="P66" s="43" t="s">
        <v>53</v>
      </c>
      <c r="Q66" s="43" t="s">
        <v>53</v>
      </c>
      <c r="R66" s="39">
        <f>if(G66=13,1,0)+VLOOKUP(B66,'083124'!B:T,17,false)</f>
        <v>1</v>
      </c>
      <c r="S66" s="39"/>
      <c r="T66" s="39">
        <f>if(G66=9,1,0)+VLOOKUP(B66,'083124'!B:T,19,false)</f>
        <v>9</v>
      </c>
      <c r="V66" s="30">
        <f t="shared" si="5"/>
        <v>62</v>
      </c>
    </row>
    <row r="67">
      <c r="A67" s="30">
        <f t="shared" si="3"/>
        <v>63</v>
      </c>
      <c r="B67" s="51" t="s">
        <v>113</v>
      </c>
      <c r="C67" s="32">
        <v>84.0</v>
      </c>
      <c r="D67" s="32">
        <v>6.0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5">C67+K67</f>
        <v>93</v>
      </c>
      <c r="N67" s="32">
        <f t="shared" si="65"/>
        <v>6</v>
      </c>
      <c r="O67" s="43" t="s">
        <v>53</v>
      </c>
      <c r="P67" s="43" t="s">
        <v>53</v>
      </c>
      <c r="Q67" s="43" t="s">
        <v>53</v>
      </c>
      <c r="R67" s="39">
        <f>if(G67=13,1,0)+VLOOKUP(B67,'083124'!B:T,17,false)</f>
        <v>0</v>
      </c>
      <c r="S67" s="39"/>
      <c r="T67" s="39">
        <f>if(G67=9,1,0)+VLOOKUP(B67,'083124'!B:T,19,false)</f>
        <v>2</v>
      </c>
      <c r="V67" s="30">
        <f t="shared" si="5"/>
        <v>63</v>
      </c>
    </row>
    <row r="68">
      <c r="A68" s="30">
        <f t="shared" si="3"/>
        <v>64</v>
      </c>
      <c r="B68" s="51" t="s">
        <v>112</v>
      </c>
      <c r="C68" s="32">
        <v>82.0</v>
      </c>
      <c r="D68" s="32">
        <v>2.0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6">C68+K68</f>
        <v>91</v>
      </c>
      <c r="N68" s="32">
        <f t="shared" si="66"/>
        <v>2</v>
      </c>
      <c r="O68" s="43" t="s">
        <v>53</v>
      </c>
      <c r="P68" s="43" t="s">
        <v>53</v>
      </c>
      <c r="Q68" s="43" t="s">
        <v>53</v>
      </c>
      <c r="R68" s="39">
        <f>if(G68=13,1,0)+VLOOKUP(B68,'083124'!B:T,17,false)</f>
        <v>0</v>
      </c>
      <c r="S68" s="39"/>
      <c r="T68" s="39">
        <f>if(G68=9,1,0)+VLOOKUP(B68,'083124'!B:T,19,false)</f>
        <v>5</v>
      </c>
      <c r="V68" s="30">
        <f t="shared" si="5"/>
        <v>64</v>
      </c>
    </row>
    <row r="69">
      <c r="A69" s="30">
        <f t="shared" si="3"/>
        <v>65</v>
      </c>
      <c r="B69" s="51" t="s">
        <v>74</v>
      </c>
      <c r="C69" s="32">
        <v>81.0</v>
      </c>
      <c r="D69" s="32">
        <v>0.0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7">C69+K69</f>
        <v>90</v>
      </c>
      <c r="N69" s="32">
        <f t="shared" si="67"/>
        <v>0</v>
      </c>
      <c r="O69" s="43" t="s">
        <v>53</v>
      </c>
      <c r="P69" s="43" t="s">
        <v>53</v>
      </c>
      <c r="Q69" s="43" t="s">
        <v>53</v>
      </c>
      <c r="R69" s="39">
        <f>if(G69=13,1,0)+VLOOKUP(B69,'083124'!B:T,17,false)</f>
        <v>0</v>
      </c>
      <c r="S69" s="39"/>
      <c r="T69" s="39">
        <f>if(G69=9,1,0)+VLOOKUP(B69,'083124'!B:T,19,false)</f>
        <v>10</v>
      </c>
      <c r="V69" s="30">
        <f t="shared" si="5"/>
        <v>65</v>
      </c>
    </row>
    <row r="70">
      <c r="A70" s="30">
        <f t="shared" si="3"/>
        <v>66</v>
      </c>
      <c r="B70" s="51" t="s">
        <v>80</v>
      </c>
      <c r="C70" s="32">
        <v>79.0</v>
      </c>
      <c r="D70" s="32">
        <v>6.0</v>
      </c>
      <c r="E70" s="37">
        <v>1.0</v>
      </c>
      <c r="F70" s="39">
        <v>8.0</v>
      </c>
      <c r="G70" s="40">
        <v>0.0</v>
      </c>
      <c r="H70" s="39">
        <v>6.0</v>
      </c>
      <c r="I70" s="39">
        <v>1.0</v>
      </c>
      <c r="J70" s="39">
        <v>1.0</v>
      </c>
      <c r="K70" s="42">
        <v>8.0</v>
      </c>
      <c r="L70" s="39">
        <v>0.0</v>
      </c>
      <c r="M70" s="32">
        <f t="shared" ref="M70:N70" si="68">C70+K70</f>
        <v>87</v>
      </c>
      <c r="N70" s="32">
        <f t="shared" si="68"/>
        <v>6</v>
      </c>
      <c r="O70" s="43" t="s">
        <v>53</v>
      </c>
      <c r="P70" s="43" t="s">
        <v>53</v>
      </c>
      <c r="Q70" s="43" t="s">
        <v>53</v>
      </c>
      <c r="R70" s="39">
        <f>if(G70=13,1,0)+VLOOKUP(B70,'083124'!B:T,17,false)</f>
        <v>0</v>
      </c>
      <c r="S70" s="39"/>
      <c r="T70" s="39">
        <f>if(G70=9,1,0)+VLOOKUP(B70,'083124'!B:T,19,false)</f>
        <v>3</v>
      </c>
      <c r="V70" s="30">
        <f t="shared" si="5"/>
        <v>66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9">COUNTA(P5:P70)</f>
        <v>65</v>
      </c>
      <c r="Q73" s="8">
        <f t="shared" si="69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70">P75-P73</f>
        <v>1</v>
      </c>
      <c r="Q74" s="8">
        <f t="shared" si="70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desc"",0)"),"Suleman Alidina")</f>
        <v>Suleman Alidina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IFERROR(__xludf.DUMMYFUNCTION("""COMPUTED_VALUE"""),"Sean Chang")</f>
        <v>Sean Chang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IFERROR(__xludf.DUMMYFUNCTION("""COMPUTED_VALUE"""),"Kumar Palakeel")</f>
        <v>Kumar Palakeel</v>
      </c>
      <c r="C82" s="71">
        <f>IFERROR(__xludf.DUMMYFUNCTION("""COMPUTED_VALUE"""),19.0)</f>
        <v>19</v>
      </c>
      <c r="D82" s="71">
        <f>IFERROR(__xludf.DUMMYFUNCTION("""COMPUTED_VALUE"""),2.0)</f>
        <v>2</v>
      </c>
      <c r="E82" s="11"/>
    </row>
    <row r="83">
      <c r="A83" s="11"/>
      <c r="B83" s="51" t="str">
        <f>IFERROR(__xludf.DUMMYFUNCTION("""COMPUTED_VALUE"""),"Saravanan Veerapandian")</f>
        <v>Saravanan Veerapandian</v>
      </c>
      <c r="C83" s="71">
        <f>IFERROR(__xludf.DUMMYFUNCTION("""COMPUTED_VALUE"""),19.0)</f>
        <v>19</v>
      </c>
      <c r="D83" s="71">
        <f>IFERROR(__xludf.DUMMYFUNCTION("""COMPUTED_VALUE"""),2.0)</f>
        <v>2</v>
      </c>
      <c r="E83" s="11"/>
    </row>
    <row r="84">
      <c r="A84" s="11"/>
      <c r="B84" s="51" t="str">
        <f>IFERROR(__xludf.DUMMYFUNCTION("""COMPUTED_VALUE"""),"Adrian Tay")</f>
        <v>Adrian Tay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K84" s="10"/>
    </row>
    <row r="85">
      <c r="A85" s="11"/>
      <c r="B85" s="51" t="str">
        <f>IFERROR(__xludf.DUMMYFUNCTION("""COMPUTED_VALUE"""),"Christopher Li")</f>
        <v>Christopher Li</v>
      </c>
      <c r="C85" s="71">
        <f>IFERROR(__xludf.DUMMYFUNCTION("""COMPUTED_VALUE"""),18.0)</f>
        <v>18</v>
      </c>
      <c r="D85" s="71">
        <f>IFERROR(__xludf.DUMMYFUNCTION("""COMPUTED_VALUE"""),3.0)</f>
        <v>3</v>
      </c>
      <c r="E85" s="11"/>
      <c r="K85" s="10"/>
    </row>
    <row r="86">
      <c r="A86" s="11"/>
      <c r="B86" s="51" t="str">
        <f>IFERROR(__xludf.DUMMYFUNCTION("""COMPUTED_VALUE"""),"Pavan Akkimsetty")</f>
        <v>Pavan Akkimsetty</v>
      </c>
      <c r="C86" s="71">
        <f>IFERROR(__xludf.DUMMYFUNCTION("""COMPUTED_VALUE"""),18.0)</f>
        <v>18</v>
      </c>
      <c r="D86" s="71">
        <f>IFERROR(__xludf.DUMMYFUNCTION("""COMPUTED_VALUE"""),3.0)</f>
        <v>3</v>
      </c>
      <c r="E86" s="11"/>
      <c r="K86" s="10"/>
    </row>
    <row r="87">
      <c r="A87" s="11"/>
      <c r="B87" s="51" t="str">
        <f>IFERROR(__xludf.DUMMYFUNCTION("""COMPUTED_VALUE"""),"David Shin")</f>
        <v>David Shin</v>
      </c>
      <c r="C87" s="71">
        <f>IFERROR(__xludf.DUMMYFUNCTION("""COMPUTED_VALUE"""),18.0)</f>
        <v>18</v>
      </c>
      <c r="D87" s="71">
        <f>IFERROR(__xludf.DUMMYFUNCTION("""COMPUTED_VALUE"""),2.0)</f>
        <v>2</v>
      </c>
      <c r="E87" s="11"/>
      <c r="K87" s="10"/>
    </row>
    <row r="88">
      <c r="A88" s="11"/>
      <c r="B88" s="51" t="str">
        <f>IFERROR(__xludf.DUMMYFUNCTION("""COMPUTED_VALUE"""),"Joe Luzzi")</f>
        <v>Joe Luzzi</v>
      </c>
      <c r="C88" s="71">
        <f>IFERROR(__xludf.DUMMYFUNCTION("""COMPUTED_VALUE"""),18.0)</f>
        <v>18</v>
      </c>
      <c r="D88" s="71">
        <f>IFERROR(__xludf.DUMMYFUNCTION("""COMPUTED_VALUE"""),2.0)</f>
        <v>2</v>
      </c>
      <c r="E88" s="11"/>
    </row>
    <row r="89">
      <c r="A89" s="11"/>
      <c r="B89" s="51" t="str">
        <f>IFERROR(__xludf.DUMMYFUNCTION("""COMPUTED_VALUE"""),"Peter Cheng")</f>
        <v>Peter Cheng</v>
      </c>
      <c r="C89" s="71">
        <f>IFERROR(__xludf.DUMMYFUNCTION("""COMPUTED_VALUE"""),18.0)</f>
        <v>18</v>
      </c>
      <c r="D89" s="71">
        <f>IFERROR(__xludf.DUMMYFUNCTION("""COMPUTED_VALUE"""),2.0)</f>
        <v>2</v>
      </c>
      <c r="E89" s="11"/>
    </row>
    <row r="90">
      <c r="A90" s="11"/>
      <c r="C90" s="11"/>
      <c r="D90" s="11"/>
      <c r="E90" s="11"/>
    </row>
    <row r="91">
      <c r="A91" s="11"/>
      <c r="B91" s="10" t="s">
        <v>165</v>
      </c>
      <c r="C91" s="11"/>
      <c r="D91" s="11"/>
      <c r="E91" s="11"/>
    </row>
    <row r="92">
      <c r="A92" s="11"/>
      <c r="B92" s="27" t="s">
        <v>31</v>
      </c>
      <c r="C92" s="29" t="s">
        <v>2</v>
      </c>
      <c r="D92" s="29" t="s">
        <v>4</v>
      </c>
      <c r="E92" s="29" t="s">
        <v>33</v>
      </c>
      <c r="F92" s="29" t="s">
        <v>35</v>
      </c>
      <c r="G92" s="29" t="s">
        <v>36</v>
      </c>
      <c r="H92" s="29" t="s">
        <v>6</v>
      </c>
      <c r="I92" s="29" t="s">
        <v>7</v>
      </c>
      <c r="J92" s="29" t="s">
        <v>8</v>
      </c>
      <c r="K92" s="29" t="s">
        <v>2</v>
      </c>
      <c r="L92" s="29" t="s">
        <v>4</v>
      </c>
      <c r="M92" s="28" t="s">
        <v>2</v>
      </c>
      <c r="N92" s="28" t="s">
        <v>4</v>
      </c>
    </row>
    <row r="93">
      <c r="A93" s="11"/>
      <c r="B93" s="82" t="str">
        <f>IFERROR(__xludf.DUMMYFUNCTION("QUERY(B5:N70, ""Select B, C, D, E, F, G, H, I, J, K, L, M, N   where F &gt;= 1"")"),"Adrian Tay")</f>
        <v>Adrian Tay</v>
      </c>
      <c r="C93" s="87">
        <f>IFERROR(__xludf.DUMMYFUNCTION("""COMPUTED_VALUE"""),144.0)</f>
        <v>144</v>
      </c>
      <c r="D93" s="87">
        <f>IFERROR(__xludf.DUMMYFUNCTION("""COMPUTED_VALUE"""),17.0)</f>
        <v>17</v>
      </c>
      <c r="E93" s="86">
        <f>IFERROR(__xludf.DUMMYFUNCTION("""COMPUTED_VALUE"""),1.0)</f>
        <v>1</v>
      </c>
      <c r="F93" s="88">
        <f>IFERROR(__xludf.DUMMYFUNCTION("""COMPUTED_VALUE"""),1.0)</f>
        <v>1</v>
      </c>
      <c r="G93" s="88">
        <f>IFERROR(__xludf.DUMMYFUNCTION("""COMPUTED_VALUE"""),0.0)</f>
        <v>0</v>
      </c>
      <c r="H93" s="88">
        <f>IFERROR(__xludf.DUMMYFUNCTION("""COMPUTED_VALUE"""),6.0)</f>
        <v>6</v>
      </c>
      <c r="I93" s="88">
        <f>IFERROR(__xludf.DUMMYFUNCTION("""COMPUTED_VALUE"""),6.0)</f>
        <v>6</v>
      </c>
      <c r="J93" s="88">
        <f>IFERROR(__xludf.DUMMYFUNCTION("""COMPUTED_VALUE"""),6.0)</f>
        <v>6</v>
      </c>
      <c r="K93" s="88">
        <f>IFERROR(__xludf.DUMMYFUNCTION("""COMPUTED_VALUE"""),18.0)</f>
        <v>18</v>
      </c>
      <c r="L93" s="88">
        <f>IFERROR(__xludf.DUMMYFUNCTION("""COMPUTED_VALUE"""),3.0)</f>
        <v>3</v>
      </c>
      <c r="M93" s="89">
        <f>IFERROR(__xludf.DUMMYFUNCTION("""COMPUTED_VALUE"""),162.0)</f>
        <v>162</v>
      </c>
      <c r="N93" s="89">
        <f>IFERROR(__xludf.DUMMYFUNCTION("""COMPUTED_VALUE"""),20.0)</f>
        <v>20</v>
      </c>
    </row>
    <row r="94">
      <c r="A94" s="11"/>
      <c r="B94" s="82" t="str">
        <f>IFERROR(__xludf.DUMMYFUNCTION("""COMPUTED_VALUE"""),"Tom Le")</f>
        <v>Tom Le</v>
      </c>
      <c r="C94" s="87">
        <f>IFERROR(__xludf.DUMMYFUNCTION("""COMPUTED_VALUE"""),135.0)</f>
        <v>135</v>
      </c>
      <c r="D94" s="87">
        <f>IFERROR(__xludf.DUMMYFUNCTION("""COMPUTED_VALUE"""),17.0)</f>
        <v>17</v>
      </c>
      <c r="E94" s="86">
        <f>IFERROR(__xludf.DUMMYFUNCTION("""COMPUTED_VALUE"""),1.0)</f>
        <v>1</v>
      </c>
      <c r="F94" s="88">
        <f>IFERROR(__xludf.DUMMYFUNCTION("""COMPUTED_VALUE"""),1.0)</f>
        <v>1</v>
      </c>
      <c r="G94" s="88">
        <f>IFERROR(__xludf.DUMMYFUNCTION("""COMPUTED_VALUE"""),0.0)</f>
        <v>0</v>
      </c>
      <c r="H94" s="88">
        <f>IFERROR(__xludf.DUMMYFUNCTION("""COMPUTED_VALUE"""),2.0)</f>
        <v>2</v>
      </c>
      <c r="I94" s="88">
        <f>IFERROR(__xludf.DUMMYFUNCTION("""COMPUTED_VALUE"""),1.0)</f>
        <v>1</v>
      </c>
      <c r="J94" s="88">
        <f>IFERROR(__xludf.DUMMYFUNCTION("""COMPUTED_VALUE"""),6.0)</f>
        <v>6</v>
      </c>
      <c r="K94" s="88">
        <f>IFERROR(__xludf.DUMMYFUNCTION("""COMPUTED_VALUE"""),9.0)</f>
        <v>9</v>
      </c>
      <c r="L94" s="88">
        <f>IFERROR(__xludf.DUMMYFUNCTION("""COMPUTED_VALUE"""),1.0)</f>
        <v>1</v>
      </c>
      <c r="M94" s="89">
        <f>IFERROR(__xludf.DUMMYFUNCTION("""COMPUTED_VALUE"""),144.0)</f>
        <v>144</v>
      </c>
      <c r="N94" s="89">
        <f>IFERROR(__xludf.DUMMYFUNCTION("""COMPUTED_VALUE"""),18.0)</f>
        <v>18</v>
      </c>
    </row>
    <row r="95">
      <c r="A95" s="11"/>
      <c r="B95" s="82" t="str">
        <f>IFERROR(__xludf.DUMMYFUNCTION("""COMPUTED_VALUE"""),"Arun Mallikarjuna")</f>
        <v>Arun Mallikarjuna</v>
      </c>
      <c r="C95" s="87">
        <f>IFERROR(__xludf.DUMMYFUNCTION("""COMPUTED_VALUE"""),128.0)</f>
        <v>128</v>
      </c>
      <c r="D95" s="87">
        <f>IFERROR(__xludf.DUMMYFUNCTION("""COMPUTED_VALUE"""),12.0)</f>
        <v>12</v>
      </c>
      <c r="E95" s="86">
        <f>IFERROR(__xludf.DUMMYFUNCTION("""COMPUTED_VALUE"""),1.0)</f>
        <v>1</v>
      </c>
      <c r="F95" s="88">
        <f>IFERROR(__xludf.DUMMYFUNCTION("""COMPUTED_VALUE"""),1.0)</f>
        <v>1</v>
      </c>
      <c r="G95" s="88">
        <f>IFERROR(__xludf.DUMMYFUNCTION("""COMPUTED_VALUE"""),0.0)</f>
        <v>0</v>
      </c>
      <c r="H95" s="88">
        <f>IFERROR(__xludf.DUMMYFUNCTION("""COMPUTED_VALUE"""),6.0)</f>
        <v>6</v>
      </c>
      <c r="I95" s="88">
        <f>IFERROR(__xludf.DUMMYFUNCTION("""COMPUTED_VALUE"""),1.0)</f>
        <v>1</v>
      </c>
      <c r="J95" s="88">
        <f>IFERROR(__xludf.DUMMYFUNCTION("""COMPUTED_VALUE"""),2.0)</f>
        <v>2</v>
      </c>
      <c r="K95" s="88">
        <f>IFERROR(__xludf.DUMMYFUNCTION("""COMPUTED_VALUE"""),9.0)</f>
        <v>9</v>
      </c>
      <c r="L95" s="88">
        <f>IFERROR(__xludf.DUMMYFUNCTION("""COMPUTED_VALUE"""),1.0)</f>
        <v>1</v>
      </c>
      <c r="M95" s="89">
        <f>IFERROR(__xludf.DUMMYFUNCTION("""COMPUTED_VALUE"""),137.0)</f>
        <v>137</v>
      </c>
      <c r="N95" s="89">
        <f>IFERROR(__xludf.DUMMYFUNCTION("""COMPUTED_VALUE"""),13.0)</f>
        <v>13</v>
      </c>
    </row>
    <row r="96">
      <c r="A96" s="11"/>
      <c r="B96" s="82" t="str">
        <f>IFERROR(__xludf.DUMMYFUNCTION("""COMPUTED_VALUE"""),"Luis Hsu")</f>
        <v>Luis Hsu</v>
      </c>
      <c r="C96" s="87">
        <f>IFERROR(__xludf.DUMMYFUNCTION("""COMPUTED_VALUE"""),125.0)</f>
        <v>125</v>
      </c>
      <c r="D96" s="87">
        <f>IFERROR(__xludf.DUMMYFUNCTION("""COMPUTED_VALUE"""),12.0)</f>
        <v>12</v>
      </c>
      <c r="E96" s="86">
        <f>IFERROR(__xludf.DUMMYFUNCTION("""COMPUTED_VALUE"""),1.0)</f>
        <v>1</v>
      </c>
      <c r="F96" s="88">
        <f>IFERROR(__xludf.DUMMYFUNCTION("""COMPUTED_VALUE"""),1.0)</f>
        <v>1</v>
      </c>
      <c r="G96" s="88">
        <f>IFERROR(__xludf.DUMMYFUNCTION("""COMPUTED_VALUE"""),0.0)</f>
        <v>0</v>
      </c>
      <c r="H96" s="88">
        <f>IFERROR(__xludf.DUMMYFUNCTION("""COMPUTED_VALUE"""),2.0)</f>
        <v>2</v>
      </c>
      <c r="I96" s="88">
        <f>IFERROR(__xludf.DUMMYFUNCTION("""COMPUTED_VALUE"""),6.0)</f>
        <v>6</v>
      </c>
      <c r="J96" s="88">
        <f>IFERROR(__xludf.DUMMYFUNCTION("""COMPUTED_VALUE"""),2.0)</f>
        <v>2</v>
      </c>
      <c r="K96" s="88">
        <f>IFERROR(__xludf.DUMMYFUNCTION("""COMPUTED_VALUE"""),10.0)</f>
        <v>10</v>
      </c>
      <c r="L96" s="88">
        <f>IFERROR(__xludf.DUMMYFUNCTION("""COMPUTED_VALUE"""),1.0)</f>
        <v>1</v>
      </c>
      <c r="M96" s="89">
        <f>IFERROR(__xludf.DUMMYFUNCTION("""COMPUTED_VALUE"""),135.0)</f>
        <v>135</v>
      </c>
      <c r="N96" s="89">
        <f>IFERROR(__xludf.DUMMYFUNCTION("""COMPUTED_VALUE"""),13.0)</f>
        <v>13</v>
      </c>
    </row>
    <row r="97">
      <c r="A97" s="11"/>
      <c r="B97" s="84" t="str">
        <f>IFERROR(__xludf.DUMMYFUNCTION("""COMPUTED_VALUE"""),"Rajasekar Ramasamy")</f>
        <v>Rajasekar Ramasamy</v>
      </c>
      <c r="C97" s="95">
        <f>IFERROR(__xludf.DUMMYFUNCTION("""COMPUTED_VALUE"""),124.0)</f>
        <v>124</v>
      </c>
      <c r="D97" s="95">
        <f>IFERROR(__xludf.DUMMYFUNCTION("""COMPUTED_VALUE"""),11.0)</f>
        <v>11</v>
      </c>
      <c r="E97" s="96">
        <f>IFERROR(__xludf.DUMMYFUNCTION("""COMPUTED_VALUE"""),1.0)</f>
        <v>1</v>
      </c>
      <c r="F97" s="97">
        <f>IFERROR(__xludf.DUMMYFUNCTION("""COMPUTED_VALUE"""),2.0)</f>
        <v>2</v>
      </c>
      <c r="G97" s="97">
        <f>IFERROR(__xludf.DUMMYFUNCTION("""COMPUTED_VALUE"""),0.0)</f>
        <v>0</v>
      </c>
      <c r="H97" s="97">
        <f>IFERROR(__xludf.DUMMYFUNCTION("""COMPUTED_VALUE"""),0.0)</f>
        <v>0</v>
      </c>
      <c r="I97" s="97">
        <f>IFERROR(__xludf.DUMMYFUNCTION("""COMPUTED_VALUE"""),6.0)</f>
        <v>6</v>
      </c>
      <c r="J97" s="97">
        <f>IFERROR(__xludf.DUMMYFUNCTION("""COMPUTED_VALUE"""),0.0)</f>
        <v>0</v>
      </c>
      <c r="K97" s="97">
        <f>IFERROR(__xludf.DUMMYFUNCTION("""COMPUTED_VALUE"""),6.0)</f>
        <v>6</v>
      </c>
      <c r="L97" s="97">
        <f>IFERROR(__xludf.DUMMYFUNCTION("""COMPUTED_VALUE"""),1.0)</f>
        <v>1</v>
      </c>
      <c r="M97" s="98">
        <f>IFERROR(__xludf.DUMMYFUNCTION("""COMPUTED_VALUE"""),130.0)</f>
        <v>130</v>
      </c>
      <c r="N97" s="98">
        <f>IFERROR(__xludf.DUMMYFUNCTION("""COMPUTED_VALUE"""),12.0)</f>
        <v>12</v>
      </c>
    </row>
    <row r="98">
      <c r="A98" s="11"/>
      <c r="B98" s="84" t="str">
        <f>IFERROR(__xludf.DUMMYFUNCTION("""COMPUTED_VALUE"""),"Christopher Li")</f>
        <v>Christopher Li</v>
      </c>
      <c r="C98" s="95">
        <f>IFERROR(__xludf.DUMMYFUNCTION("""COMPUTED_VALUE"""),121.0)</f>
        <v>121</v>
      </c>
      <c r="D98" s="95">
        <f>IFERROR(__xludf.DUMMYFUNCTION("""COMPUTED_VALUE"""),12.0)</f>
        <v>12</v>
      </c>
      <c r="E98" s="96">
        <f>IFERROR(__xludf.DUMMYFUNCTION("""COMPUTED_VALUE"""),1.0)</f>
        <v>1</v>
      </c>
      <c r="F98" s="97">
        <f>IFERROR(__xludf.DUMMYFUNCTION("""COMPUTED_VALUE"""),2.0)</f>
        <v>2</v>
      </c>
      <c r="G98" s="97">
        <f>IFERROR(__xludf.DUMMYFUNCTION("""COMPUTED_VALUE"""),0.0)</f>
        <v>0</v>
      </c>
      <c r="H98" s="97">
        <f>IFERROR(__xludf.DUMMYFUNCTION("""COMPUTED_VALUE"""),6.0)</f>
        <v>6</v>
      </c>
      <c r="I98" s="97">
        <f>IFERROR(__xludf.DUMMYFUNCTION("""COMPUTED_VALUE"""),6.0)</f>
        <v>6</v>
      </c>
      <c r="J98" s="97">
        <f>IFERROR(__xludf.DUMMYFUNCTION("""COMPUTED_VALUE"""),6.0)</f>
        <v>6</v>
      </c>
      <c r="K98" s="97">
        <f>IFERROR(__xludf.DUMMYFUNCTION("""COMPUTED_VALUE"""),18.0)</f>
        <v>18</v>
      </c>
      <c r="L98" s="97">
        <f>IFERROR(__xludf.DUMMYFUNCTION("""COMPUTED_VALUE"""),3.0)</f>
        <v>3</v>
      </c>
      <c r="M98" s="98">
        <f>IFERROR(__xludf.DUMMYFUNCTION("""COMPUTED_VALUE"""),139.0)</f>
        <v>139</v>
      </c>
      <c r="N98" s="98">
        <f>IFERROR(__xludf.DUMMYFUNCTION("""COMPUTED_VALUE"""),15.0)</f>
        <v>15</v>
      </c>
    </row>
    <row r="99">
      <c r="A99" s="11"/>
      <c r="B99" s="84" t="str">
        <f>IFERROR(__xludf.DUMMYFUNCTION("""COMPUTED_VALUE"""),"Ted Shen")</f>
        <v>Ted Shen</v>
      </c>
      <c r="C99" s="95">
        <f>IFERROR(__xludf.DUMMYFUNCTION("""COMPUTED_VALUE"""),120.0)</f>
        <v>120</v>
      </c>
      <c r="D99" s="95">
        <f>IFERROR(__xludf.DUMMYFUNCTION("""COMPUTED_VALUE"""),11.0)</f>
        <v>11</v>
      </c>
      <c r="E99" s="96">
        <f>IFERROR(__xludf.DUMMYFUNCTION("""COMPUTED_VALUE"""),1.0)</f>
        <v>1</v>
      </c>
      <c r="F99" s="97">
        <f>IFERROR(__xludf.DUMMYFUNCTION("""COMPUTED_VALUE"""),2.0)</f>
        <v>2</v>
      </c>
      <c r="G99" s="97">
        <f>IFERROR(__xludf.DUMMYFUNCTION("""COMPUTED_VALUE"""),0.0)</f>
        <v>0</v>
      </c>
      <c r="H99" s="97">
        <f>IFERROR(__xludf.DUMMYFUNCTION("""COMPUTED_VALUE"""),0.0)</f>
        <v>0</v>
      </c>
      <c r="I99" s="97">
        <f>IFERROR(__xludf.DUMMYFUNCTION("""COMPUTED_VALUE"""),2.0)</f>
        <v>2</v>
      </c>
      <c r="J99" s="97">
        <f>IFERROR(__xludf.DUMMYFUNCTION("""COMPUTED_VALUE"""),6.0)</f>
        <v>6</v>
      </c>
      <c r="K99" s="97">
        <f>IFERROR(__xludf.DUMMYFUNCTION("""COMPUTED_VALUE"""),8.0)</f>
        <v>8</v>
      </c>
      <c r="L99" s="97">
        <f>IFERROR(__xludf.DUMMYFUNCTION("""COMPUTED_VALUE"""),1.0)</f>
        <v>1</v>
      </c>
      <c r="M99" s="98">
        <f>IFERROR(__xludf.DUMMYFUNCTION("""COMPUTED_VALUE"""),128.0)</f>
        <v>128</v>
      </c>
      <c r="N99" s="98">
        <f>IFERROR(__xludf.DUMMYFUNCTION("""COMPUTED_VALUE"""),12.0)</f>
        <v>12</v>
      </c>
    </row>
    <row r="100">
      <c r="A100" s="11"/>
      <c r="B100" s="84" t="str">
        <f>IFERROR(__xludf.DUMMYFUNCTION("""COMPUTED_VALUE"""),"Alejandro Mejia")</f>
        <v>Alejandro Mejia</v>
      </c>
      <c r="C100" s="95">
        <f>IFERROR(__xludf.DUMMYFUNCTION("""COMPUTED_VALUE"""),119.0)</f>
        <v>119</v>
      </c>
      <c r="D100" s="95">
        <f>IFERROR(__xludf.DUMMYFUNCTION("""COMPUTED_VALUE"""),13.0)</f>
        <v>13</v>
      </c>
      <c r="E100" s="96">
        <f>IFERROR(__xludf.DUMMYFUNCTION("""COMPUTED_VALUE"""),1.0)</f>
        <v>1</v>
      </c>
      <c r="F100" s="97">
        <f>IFERROR(__xludf.DUMMYFUNCTION("""COMPUTED_VALUE"""),2.0)</f>
        <v>2</v>
      </c>
      <c r="G100" s="97">
        <f>IFERROR(__xludf.DUMMYFUNCTION("""COMPUTED_VALUE"""),0.0)</f>
        <v>0</v>
      </c>
      <c r="H100" s="97">
        <f>IFERROR(__xludf.DUMMYFUNCTION("""COMPUTED_VALUE"""),6.0)</f>
        <v>6</v>
      </c>
      <c r="I100" s="97">
        <f>IFERROR(__xludf.DUMMYFUNCTION("""COMPUTED_VALUE"""),2.0)</f>
        <v>2</v>
      </c>
      <c r="J100" s="97">
        <f>IFERROR(__xludf.DUMMYFUNCTION("""COMPUTED_VALUE"""),0.0)</f>
        <v>0</v>
      </c>
      <c r="K100" s="97">
        <f>IFERROR(__xludf.DUMMYFUNCTION("""COMPUTED_VALUE"""),8.0)</f>
        <v>8</v>
      </c>
      <c r="L100" s="97">
        <f>IFERROR(__xludf.DUMMYFUNCTION("""COMPUTED_VALUE"""),1.0)</f>
        <v>1</v>
      </c>
      <c r="M100" s="98">
        <f>IFERROR(__xludf.DUMMYFUNCTION("""COMPUTED_VALUE"""),127.0)</f>
        <v>127</v>
      </c>
      <c r="N100" s="98">
        <f>IFERROR(__xludf.DUMMYFUNCTION("""COMPUTED_VALUE"""),14.0)</f>
        <v>14</v>
      </c>
    </row>
    <row r="101">
      <c r="A101" s="11"/>
      <c r="B101" s="84" t="str">
        <f>IFERROR(__xludf.DUMMYFUNCTION("""COMPUTED_VALUE"""),"Suleman Alidina")</f>
        <v>Suleman Alidina</v>
      </c>
      <c r="C101" s="87">
        <f>IFERROR(__xludf.DUMMYFUNCTION("""COMPUTED_VALUE"""),118.0)</f>
        <v>118</v>
      </c>
      <c r="D101" s="87">
        <f>IFERROR(__xludf.DUMMYFUNCTION("""COMPUTED_VALUE"""),12.0)</f>
        <v>12</v>
      </c>
      <c r="E101" s="86">
        <f>IFERROR(__xludf.DUMMYFUNCTION("""COMPUTED_VALUE"""),1.0)</f>
        <v>1</v>
      </c>
      <c r="F101" s="88">
        <f>IFERROR(__xludf.DUMMYFUNCTION("""COMPUTED_VALUE"""),3.0)</f>
        <v>3</v>
      </c>
      <c r="G101" s="88">
        <f>IFERROR(__xludf.DUMMYFUNCTION("""COMPUTED_VALUE"""),0.0)</f>
        <v>0</v>
      </c>
      <c r="H101" s="88">
        <f>IFERROR(__xludf.DUMMYFUNCTION("""COMPUTED_VALUE"""),6.0)</f>
        <v>6</v>
      </c>
      <c r="I101" s="88">
        <f>IFERROR(__xludf.DUMMYFUNCTION("""COMPUTED_VALUE"""),7.0)</f>
        <v>7</v>
      </c>
      <c r="J101" s="88">
        <f>IFERROR(__xludf.DUMMYFUNCTION("""COMPUTED_VALUE"""),6.0)</f>
        <v>6</v>
      </c>
      <c r="K101" s="88">
        <f>IFERROR(__xludf.DUMMYFUNCTION("""COMPUTED_VALUE"""),19.0)</f>
        <v>19</v>
      </c>
      <c r="L101" s="88">
        <f>IFERROR(__xludf.DUMMYFUNCTION("""COMPUTED_VALUE"""),3.0)</f>
        <v>3</v>
      </c>
      <c r="M101" s="89">
        <f>IFERROR(__xludf.DUMMYFUNCTION("""COMPUTED_VALUE"""),137.0)</f>
        <v>137</v>
      </c>
      <c r="N101" s="89">
        <f>IFERROR(__xludf.DUMMYFUNCTION("""COMPUTED_VALUE"""),15.0)</f>
        <v>15</v>
      </c>
    </row>
    <row r="102">
      <c r="A102" s="11"/>
      <c r="B102" s="84" t="str">
        <f>IFERROR(__xludf.DUMMYFUNCTION("""COMPUTED_VALUE"""),"Matthew Huang")</f>
        <v>Matthew Huang</v>
      </c>
      <c r="C102" s="87">
        <f>IFERROR(__xludf.DUMMYFUNCTION("""COMPUTED_VALUE"""),116.0)</f>
        <v>116</v>
      </c>
      <c r="D102" s="87">
        <f>IFERROR(__xludf.DUMMYFUNCTION("""COMPUTED_VALUE"""),12.0)</f>
        <v>12</v>
      </c>
      <c r="E102" s="86">
        <f>IFERROR(__xludf.DUMMYFUNCTION("""COMPUTED_VALUE"""),1.0)</f>
        <v>1</v>
      </c>
      <c r="F102" s="88">
        <f>IFERROR(__xludf.DUMMYFUNCTION("""COMPUTED_VALUE"""),3.0)</f>
        <v>3</v>
      </c>
      <c r="G102" s="88">
        <f>IFERROR(__xludf.DUMMYFUNCTION("""COMPUTED_VALUE"""),0.0)</f>
        <v>0</v>
      </c>
      <c r="H102" s="88">
        <f>IFERROR(__xludf.DUMMYFUNCTION("""COMPUTED_VALUE"""),4.0)</f>
        <v>4</v>
      </c>
      <c r="I102" s="88">
        <f>IFERROR(__xludf.DUMMYFUNCTION("""COMPUTED_VALUE"""),5.0)</f>
        <v>5</v>
      </c>
      <c r="J102" s="88">
        <f>IFERROR(__xludf.DUMMYFUNCTION("""COMPUTED_VALUE"""),6.0)</f>
        <v>6</v>
      </c>
      <c r="K102" s="88">
        <f>IFERROR(__xludf.DUMMYFUNCTION("""COMPUTED_VALUE"""),15.0)</f>
        <v>15</v>
      </c>
      <c r="L102" s="88">
        <f>IFERROR(__xludf.DUMMYFUNCTION("""COMPUTED_VALUE"""),1.0)</f>
        <v>1</v>
      </c>
      <c r="M102" s="89">
        <f>IFERROR(__xludf.DUMMYFUNCTION("""COMPUTED_VALUE"""),131.0)</f>
        <v>131</v>
      </c>
      <c r="N102" s="89">
        <f>IFERROR(__xludf.DUMMYFUNCTION("""COMPUTED_VALUE"""),13.0)</f>
        <v>13</v>
      </c>
    </row>
    <row r="103">
      <c r="A103" s="11"/>
      <c r="B103" s="82" t="str">
        <f>IFERROR(__xludf.DUMMYFUNCTION("""COMPUTED_VALUE"""),"Jonathan Phan")</f>
        <v>Jonathan Phan</v>
      </c>
      <c r="C103" s="87">
        <f>IFERROR(__xludf.DUMMYFUNCTION("""COMPUTED_VALUE"""),116.0)</f>
        <v>116</v>
      </c>
      <c r="D103" s="87">
        <f>IFERROR(__xludf.DUMMYFUNCTION("""COMPUTED_VALUE"""),9.0)</f>
        <v>9</v>
      </c>
      <c r="E103" s="86">
        <f>IFERROR(__xludf.DUMMYFUNCTION("""COMPUTED_VALUE"""),2.0)</f>
        <v>2</v>
      </c>
      <c r="F103" s="88">
        <f>IFERROR(__xludf.DUMMYFUNCTION("""COMPUTED_VALUE"""),3.0)</f>
        <v>3</v>
      </c>
      <c r="G103" s="88">
        <f>IFERROR(__xludf.DUMMYFUNCTION("""COMPUTED_VALUE"""),0.0)</f>
        <v>0</v>
      </c>
      <c r="H103" s="88">
        <f>IFERROR(__xludf.DUMMYFUNCTION("""COMPUTED_VALUE"""),6.0)</f>
        <v>6</v>
      </c>
      <c r="I103" s="88">
        <f>IFERROR(__xludf.DUMMYFUNCTION("""COMPUTED_VALUE"""),5.0)</f>
        <v>5</v>
      </c>
      <c r="J103" s="88">
        <f>IFERROR(__xludf.DUMMYFUNCTION("""COMPUTED_VALUE"""),2.0)</f>
        <v>2</v>
      </c>
      <c r="K103" s="88">
        <f>IFERROR(__xludf.DUMMYFUNCTION("""COMPUTED_VALUE"""),13.0)</f>
        <v>13</v>
      </c>
      <c r="L103" s="88">
        <f>IFERROR(__xludf.DUMMYFUNCTION("""COMPUTED_VALUE"""),1.0)</f>
        <v>1</v>
      </c>
      <c r="M103" s="89">
        <f>IFERROR(__xludf.DUMMYFUNCTION("""COMPUTED_VALUE"""),129.0)</f>
        <v>129</v>
      </c>
      <c r="N103" s="89">
        <f>IFERROR(__xludf.DUMMYFUNCTION("""COMPUTED_VALUE"""),10.0)</f>
        <v>10</v>
      </c>
    </row>
    <row r="104">
      <c r="A104" s="11"/>
      <c r="B104" s="82" t="str">
        <f>IFERROR(__xludf.DUMMYFUNCTION("""COMPUTED_VALUE"""),"Troy Wong")</f>
        <v>Troy Wong</v>
      </c>
      <c r="C104" s="87">
        <f>IFERROR(__xludf.DUMMYFUNCTION("""COMPUTED_VALUE"""),116.0)</f>
        <v>116</v>
      </c>
      <c r="D104" s="87">
        <f>IFERROR(__xludf.DUMMYFUNCTION("""COMPUTED_VALUE"""),8.0)</f>
        <v>8</v>
      </c>
      <c r="E104" s="86">
        <f>IFERROR(__xludf.DUMMYFUNCTION("""COMPUTED_VALUE"""),2.0)</f>
        <v>2</v>
      </c>
      <c r="F104" s="88">
        <f>IFERROR(__xludf.DUMMYFUNCTION("""COMPUTED_VALUE"""),3.0)</f>
        <v>3</v>
      </c>
      <c r="G104" s="88">
        <f>IFERROR(__xludf.DUMMYFUNCTION("""COMPUTED_VALUE"""),0.0)</f>
        <v>0</v>
      </c>
      <c r="H104" s="88">
        <f>IFERROR(__xludf.DUMMYFUNCTION("""COMPUTED_VALUE"""),4.0)</f>
        <v>4</v>
      </c>
      <c r="I104" s="88">
        <f>IFERROR(__xludf.DUMMYFUNCTION("""COMPUTED_VALUE"""),7.0)</f>
        <v>7</v>
      </c>
      <c r="J104" s="88">
        <f>IFERROR(__xludf.DUMMYFUNCTION("""COMPUTED_VALUE"""),2.0)</f>
        <v>2</v>
      </c>
      <c r="K104" s="88">
        <f>IFERROR(__xludf.DUMMYFUNCTION("""COMPUTED_VALUE"""),13.0)</f>
        <v>13</v>
      </c>
      <c r="L104" s="88">
        <f>IFERROR(__xludf.DUMMYFUNCTION("""COMPUTED_VALUE"""),1.0)</f>
        <v>1</v>
      </c>
      <c r="M104" s="89">
        <f>IFERROR(__xludf.DUMMYFUNCTION("""COMPUTED_VALUE"""),129.0)</f>
        <v>129</v>
      </c>
      <c r="N104" s="89">
        <f>IFERROR(__xludf.DUMMYFUNCTION("""COMPUTED_VALUE"""),9.0)</f>
        <v>9</v>
      </c>
    </row>
    <row r="105">
      <c r="A105" s="11"/>
      <c r="B105" s="84" t="str">
        <f>IFERROR(__xludf.DUMMYFUNCTION("""COMPUTED_VALUE"""),"Frank Moon")</f>
        <v>Frank Moon</v>
      </c>
      <c r="C105" s="95">
        <f>IFERROR(__xludf.DUMMYFUNCTION("""COMPUTED_VALUE"""),115.0)</f>
        <v>115</v>
      </c>
      <c r="D105" s="95">
        <f>IFERROR(__xludf.DUMMYFUNCTION("""COMPUTED_VALUE"""),11.0)</f>
        <v>11</v>
      </c>
      <c r="E105" s="96">
        <f>IFERROR(__xludf.DUMMYFUNCTION("""COMPUTED_VALUE"""),1.0)</f>
        <v>1</v>
      </c>
      <c r="F105" s="97">
        <f>IFERROR(__xludf.DUMMYFUNCTION("""COMPUTED_VALUE"""),4.0)</f>
        <v>4</v>
      </c>
      <c r="G105" s="97">
        <f>IFERROR(__xludf.DUMMYFUNCTION("""COMPUTED_VALUE"""),0.0)</f>
        <v>0</v>
      </c>
      <c r="H105" s="97">
        <f>IFERROR(__xludf.DUMMYFUNCTION("""COMPUTED_VALUE"""),1.0)</f>
        <v>1</v>
      </c>
      <c r="I105" s="97">
        <f>IFERROR(__xludf.DUMMYFUNCTION("""COMPUTED_VALUE"""),5.0)</f>
        <v>5</v>
      </c>
      <c r="J105" s="97">
        <f>IFERROR(__xludf.DUMMYFUNCTION("""COMPUTED_VALUE"""),5.0)</f>
        <v>5</v>
      </c>
      <c r="K105" s="97">
        <f>IFERROR(__xludf.DUMMYFUNCTION("""COMPUTED_VALUE"""),11.0)</f>
        <v>11</v>
      </c>
      <c r="L105" s="97">
        <f>IFERROR(__xludf.DUMMYFUNCTION("""COMPUTED_VALUE"""),0.0)</f>
        <v>0</v>
      </c>
      <c r="M105" s="98">
        <f>IFERROR(__xludf.DUMMYFUNCTION("""COMPUTED_VALUE"""),126.0)</f>
        <v>126</v>
      </c>
      <c r="N105" s="98">
        <f>IFERROR(__xludf.DUMMYFUNCTION("""COMPUTED_VALUE"""),11.0)</f>
        <v>11</v>
      </c>
    </row>
    <row r="106">
      <c r="A106" s="11"/>
      <c r="B106" s="84" t="str">
        <f>IFERROR(__xludf.DUMMYFUNCTION("""COMPUTED_VALUE"""),"David Shin")</f>
        <v>David Shin</v>
      </c>
      <c r="C106" s="95">
        <f>IFERROR(__xludf.DUMMYFUNCTION("""COMPUTED_VALUE"""),113.0)</f>
        <v>113</v>
      </c>
      <c r="D106" s="95">
        <f>IFERROR(__xludf.DUMMYFUNCTION("""COMPUTED_VALUE"""),10.0)</f>
        <v>10</v>
      </c>
      <c r="E106" s="96">
        <f>IFERROR(__xludf.DUMMYFUNCTION("""COMPUTED_VALUE"""),1.0)</f>
        <v>1</v>
      </c>
      <c r="F106" s="97">
        <f>IFERROR(__xludf.DUMMYFUNCTION("""COMPUTED_VALUE"""),4.0)</f>
        <v>4</v>
      </c>
      <c r="G106" s="97">
        <f>IFERROR(__xludf.DUMMYFUNCTION("""COMPUTED_VALUE"""),0.0)</f>
        <v>0</v>
      </c>
      <c r="H106" s="97">
        <f>IFERROR(__xludf.DUMMYFUNCTION("""COMPUTED_VALUE"""),6.0)</f>
        <v>6</v>
      </c>
      <c r="I106" s="97">
        <f>IFERROR(__xludf.DUMMYFUNCTION("""COMPUTED_VALUE"""),5.0)</f>
        <v>5</v>
      </c>
      <c r="J106" s="97">
        <f>IFERROR(__xludf.DUMMYFUNCTION("""COMPUTED_VALUE"""),7.0)</f>
        <v>7</v>
      </c>
      <c r="K106" s="97">
        <f>IFERROR(__xludf.DUMMYFUNCTION("""COMPUTED_VALUE"""),18.0)</f>
        <v>18</v>
      </c>
      <c r="L106" s="97">
        <f>IFERROR(__xludf.DUMMYFUNCTION("""COMPUTED_VALUE"""),2.0)</f>
        <v>2</v>
      </c>
      <c r="M106" s="98">
        <f>IFERROR(__xludf.DUMMYFUNCTION("""COMPUTED_VALUE"""),131.0)</f>
        <v>131</v>
      </c>
      <c r="N106" s="98">
        <f>IFERROR(__xludf.DUMMYFUNCTION("""COMPUTED_VALUE"""),12.0)</f>
        <v>12</v>
      </c>
    </row>
    <row r="107">
      <c r="A107" s="11"/>
      <c r="B107" s="84" t="str">
        <f>IFERROR(__xludf.DUMMYFUNCTION("""COMPUTED_VALUE"""),"Joe Luzzi")</f>
        <v>Joe Luzzi</v>
      </c>
      <c r="C107" s="95">
        <f>IFERROR(__xludf.DUMMYFUNCTION("""COMPUTED_VALUE"""),113.0)</f>
        <v>113</v>
      </c>
      <c r="D107" s="95">
        <f>IFERROR(__xludf.DUMMYFUNCTION("""COMPUTED_VALUE"""),8.0)</f>
        <v>8</v>
      </c>
      <c r="E107" s="96">
        <f>IFERROR(__xludf.DUMMYFUNCTION("""COMPUTED_VALUE"""),2.0)</f>
        <v>2</v>
      </c>
      <c r="F107" s="97">
        <f>IFERROR(__xludf.DUMMYFUNCTION("""COMPUTED_VALUE"""),4.0)</f>
        <v>4</v>
      </c>
      <c r="G107" s="97">
        <f>IFERROR(__xludf.DUMMYFUNCTION("""COMPUTED_VALUE"""),0.0)</f>
        <v>0</v>
      </c>
      <c r="H107" s="97">
        <f>IFERROR(__xludf.DUMMYFUNCTION("""COMPUTED_VALUE"""),6.0)</f>
        <v>6</v>
      </c>
      <c r="I107" s="97">
        <f>IFERROR(__xludf.DUMMYFUNCTION("""COMPUTED_VALUE"""),7.0)</f>
        <v>7</v>
      </c>
      <c r="J107" s="97">
        <f>IFERROR(__xludf.DUMMYFUNCTION("""COMPUTED_VALUE"""),5.0)</f>
        <v>5</v>
      </c>
      <c r="K107" s="97">
        <f>IFERROR(__xludf.DUMMYFUNCTION("""COMPUTED_VALUE"""),18.0)</f>
        <v>18</v>
      </c>
      <c r="L107" s="97">
        <f>IFERROR(__xludf.DUMMYFUNCTION("""COMPUTED_VALUE"""),2.0)</f>
        <v>2</v>
      </c>
      <c r="M107" s="98">
        <f>IFERROR(__xludf.DUMMYFUNCTION("""COMPUTED_VALUE"""),131.0)</f>
        <v>131</v>
      </c>
      <c r="N107" s="98">
        <f>IFERROR(__xludf.DUMMYFUNCTION("""COMPUTED_VALUE"""),10.0)</f>
        <v>10</v>
      </c>
    </row>
    <row r="108">
      <c r="A108" s="11"/>
      <c r="B108" s="84" t="str">
        <f>IFERROR(__xludf.DUMMYFUNCTION("""COMPUTED_VALUE"""),"Alex Hou")</f>
        <v>Alex Hou</v>
      </c>
      <c r="C108" s="95">
        <f>IFERROR(__xludf.DUMMYFUNCTION("""COMPUTED_VALUE"""),109.0)</f>
        <v>109</v>
      </c>
      <c r="D108" s="95">
        <f>IFERROR(__xludf.DUMMYFUNCTION("""COMPUTED_VALUE"""),9.0)</f>
        <v>9</v>
      </c>
      <c r="E108" s="96">
        <f>IFERROR(__xludf.DUMMYFUNCTION("""COMPUTED_VALUE"""),1.0)</f>
        <v>1</v>
      </c>
      <c r="F108" s="97">
        <f>IFERROR(__xludf.DUMMYFUNCTION("""COMPUTED_VALUE"""),4.0)</f>
        <v>4</v>
      </c>
      <c r="G108" s="97">
        <f>IFERROR(__xludf.DUMMYFUNCTION("""COMPUTED_VALUE"""),0.0)</f>
        <v>0</v>
      </c>
      <c r="H108" s="97">
        <f>IFERROR(__xludf.DUMMYFUNCTION("""COMPUTED_VALUE"""),1.0)</f>
        <v>1</v>
      </c>
      <c r="I108" s="97">
        <f>IFERROR(__xludf.DUMMYFUNCTION("""COMPUTED_VALUE"""),7.0)</f>
        <v>7</v>
      </c>
      <c r="J108" s="97">
        <f>IFERROR(__xludf.DUMMYFUNCTION("""COMPUTED_VALUE"""),7.0)</f>
        <v>7</v>
      </c>
      <c r="K108" s="97">
        <f>IFERROR(__xludf.DUMMYFUNCTION("""COMPUTED_VALUE"""),15.0)</f>
        <v>15</v>
      </c>
      <c r="L108" s="97">
        <f>IFERROR(__xludf.DUMMYFUNCTION("""COMPUTED_VALUE"""),2.0)</f>
        <v>2</v>
      </c>
      <c r="M108" s="98">
        <f>IFERROR(__xludf.DUMMYFUNCTION("""COMPUTED_VALUE"""),124.0)</f>
        <v>124</v>
      </c>
      <c r="N108" s="98">
        <f>IFERROR(__xludf.DUMMYFUNCTION("""COMPUTED_VALUE"""),11.0)</f>
        <v>11</v>
      </c>
    </row>
    <row r="109">
      <c r="A109" s="11"/>
      <c r="B109" s="82" t="str">
        <f>IFERROR(__xludf.DUMMYFUNCTION("""COMPUTED_VALUE"""),"Ramesh Bandaru")</f>
        <v>Ramesh Bandaru</v>
      </c>
      <c r="C109" s="87">
        <f>IFERROR(__xludf.DUMMYFUNCTION("""COMPUTED_VALUE"""),109.0)</f>
        <v>109</v>
      </c>
      <c r="D109" s="87">
        <f>IFERROR(__xludf.DUMMYFUNCTION("""COMPUTED_VALUE"""),8.0)</f>
        <v>8</v>
      </c>
      <c r="E109" s="86">
        <f>IFERROR(__xludf.DUMMYFUNCTION("""COMPUTED_VALUE"""),1.0)</f>
        <v>1</v>
      </c>
      <c r="F109" s="88">
        <f>IFERROR(__xludf.DUMMYFUNCTION("""COMPUTED_VALUE"""),5.0)</f>
        <v>5</v>
      </c>
      <c r="G109" s="88">
        <f>IFERROR(__xludf.DUMMYFUNCTION("""COMPUTED_VALUE"""),0.0)</f>
        <v>0</v>
      </c>
      <c r="H109" s="88">
        <f>IFERROR(__xludf.DUMMYFUNCTION("""COMPUTED_VALUE"""),6.0)</f>
        <v>6</v>
      </c>
      <c r="I109" s="88">
        <f>IFERROR(__xludf.DUMMYFUNCTION("""COMPUTED_VALUE"""),5.0)</f>
        <v>5</v>
      </c>
      <c r="J109" s="88">
        <f>IFERROR(__xludf.DUMMYFUNCTION("""COMPUTED_VALUE"""),3.0)</f>
        <v>3</v>
      </c>
      <c r="K109" s="88">
        <f>IFERROR(__xludf.DUMMYFUNCTION("""COMPUTED_VALUE"""),14.0)</f>
        <v>14</v>
      </c>
      <c r="L109" s="88">
        <f>IFERROR(__xludf.DUMMYFUNCTION("""COMPUTED_VALUE"""),1.0)</f>
        <v>1</v>
      </c>
      <c r="M109" s="89">
        <f>IFERROR(__xludf.DUMMYFUNCTION("""COMPUTED_VALUE"""),123.0)</f>
        <v>123</v>
      </c>
      <c r="N109" s="89">
        <f>IFERROR(__xludf.DUMMYFUNCTION("""COMPUTED_VALUE"""),9.0)</f>
        <v>9</v>
      </c>
    </row>
    <row r="110">
      <c r="A110" s="11"/>
      <c r="B110" s="82" t="str">
        <f>IFERROR(__xludf.DUMMYFUNCTION("""COMPUTED_VALUE"""),"Herman Au")</f>
        <v>Herman Au</v>
      </c>
      <c r="C110" s="87">
        <f>IFERROR(__xludf.DUMMYFUNCTION("""COMPUTED_VALUE"""),109.0)</f>
        <v>109</v>
      </c>
      <c r="D110" s="87">
        <f>IFERROR(__xludf.DUMMYFUNCTION("""COMPUTED_VALUE"""),7.0)</f>
        <v>7</v>
      </c>
      <c r="E110" s="86">
        <f>IFERROR(__xludf.DUMMYFUNCTION("""COMPUTED_VALUE"""),1.0)</f>
        <v>1</v>
      </c>
      <c r="F110" s="88">
        <f>IFERROR(__xludf.DUMMYFUNCTION("""COMPUTED_VALUE"""),5.0)</f>
        <v>5</v>
      </c>
      <c r="G110" s="88">
        <f>IFERROR(__xludf.DUMMYFUNCTION("""COMPUTED_VALUE"""),0.0)</f>
        <v>0</v>
      </c>
      <c r="H110" s="88">
        <f>IFERROR(__xludf.DUMMYFUNCTION("""COMPUTED_VALUE"""),4.0)</f>
        <v>4</v>
      </c>
      <c r="I110" s="88">
        <f>IFERROR(__xludf.DUMMYFUNCTION("""COMPUTED_VALUE"""),7.0)</f>
        <v>7</v>
      </c>
      <c r="J110" s="88">
        <f>IFERROR(__xludf.DUMMYFUNCTION("""COMPUTED_VALUE"""),3.0)</f>
        <v>3</v>
      </c>
      <c r="K110" s="88">
        <f>IFERROR(__xludf.DUMMYFUNCTION("""COMPUTED_VALUE"""),14.0)</f>
        <v>14</v>
      </c>
      <c r="L110" s="88">
        <f>IFERROR(__xludf.DUMMYFUNCTION("""COMPUTED_VALUE"""),1.0)</f>
        <v>1</v>
      </c>
      <c r="M110" s="89">
        <f>IFERROR(__xludf.DUMMYFUNCTION("""COMPUTED_VALUE"""),123.0)</f>
        <v>123</v>
      </c>
      <c r="N110" s="89">
        <f>IFERROR(__xludf.DUMMYFUNCTION("""COMPUTED_VALUE"""),8.0)</f>
        <v>8</v>
      </c>
    </row>
    <row r="111">
      <c r="A111" s="11"/>
      <c r="B111" s="82" t="str">
        <f>IFERROR(__xludf.DUMMYFUNCTION("""COMPUTED_VALUE"""),"Vamsi Lolla ")</f>
        <v>Vamsi Lolla </v>
      </c>
      <c r="C111" s="87">
        <f>IFERROR(__xludf.DUMMYFUNCTION("""COMPUTED_VALUE"""),106.0)</f>
        <v>106</v>
      </c>
      <c r="D111" s="87">
        <f>IFERROR(__xludf.DUMMYFUNCTION("""COMPUTED_VALUE"""),6.0)</f>
        <v>6</v>
      </c>
      <c r="E111" s="86">
        <f>IFERROR(__xludf.DUMMYFUNCTION("""COMPUTED_VALUE"""),2.0)</f>
        <v>2</v>
      </c>
      <c r="F111" s="88">
        <f>IFERROR(__xludf.DUMMYFUNCTION("""COMPUTED_VALUE"""),5.0)</f>
        <v>5</v>
      </c>
      <c r="G111" s="88">
        <f>IFERROR(__xludf.DUMMYFUNCTION("""COMPUTED_VALUE"""),0.0)</f>
        <v>0</v>
      </c>
      <c r="H111" s="88">
        <f>IFERROR(__xludf.DUMMYFUNCTION("""COMPUTED_VALUE"""),4.0)</f>
        <v>4</v>
      </c>
      <c r="I111" s="88">
        <f>IFERROR(__xludf.DUMMYFUNCTION("""COMPUTED_VALUE"""),5.0)</f>
        <v>5</v>
      </c>
      <c r="J111" s="88">
        <f>IFERROR(__xludf.DUMMYFUNCTION("""COMPUTED_VALUE"""),6.0)</f>
        <v>6</v>
      </c>
      <c r="K111" s="88">
        <f>IFERROR(__xludf.DUMMYFUNCTION("""COMPUTED_VALUE"""),15.0)</f>
        <v>15</v>
      </c>
      <c r="L111" s="88">
        <f>IFERROR(__xludf.DUMMYFUNCTION("""COMPUTED_VALUE"""),1.0)</f>
        <v>1</v>
      </c>
      <c r="M111" s="89">
        <f>IFERROR(__xludf.DUMMYFUNCTION("""COMPUTED_VALUE"""),121.0)</f>
        <v>121</v>
      </c>
      <c r="N111" s="89">
        <f>IFERROR(__xludf.DUMMYFUNCTION("""COMPUTED_VALUE"""),7.0)</f>
        <v>7</v>
      </c>
    </row>
    <row r="112">
      <c r="A112" s="11"/>
      <c r="B112" s="82" t="str">
        <f>IFERROR(__xludf.DUMMYFUNCTION("""COMPUTED_VALUE"""),"Sean Chang")</f>
        <v>Sean Chang</v>
      </c>
      <c r="C112" s="87">
        <f>IFERROR(__xludf.DUMMYFUNCTION("""COMPUTED_VALUE"""),104.0)</f>
        <v>104</v>
      </c>
      <c r="D112" s="87">
        <f>IFERROR(__xludf.DUMMYFUNCTION("""COMPUTED_VALUE"""),8.0)</f>
        <v>8</v>
      </c>
      <c r="E112" s="86">
        <f>IFERROR(__xludf.DUMMYFUNCTION("""COMPUTED_VALUE"""),2.0)</f>
        <v>2</v>
      </c>
      <c r="F112" s="88">
        <f>IFERROR(__xludf.DUMMYFUNCTION("""COMPUTED_VALUE"""),5.0)</f>
        <v>5</v>
      </c>
      <c r="G112" s="88">
        <f>IFERROR(__xludf.DUMMYFUNCTION("""COMPUTED_VALUE"""),0.0)</f>
        <v>0</v>
      </c>
      <c r="H112" s="88">
        <f>IFERROR(__xludf.DUMMYFUNCTION("""COMPUTED_VALUE"""),6.0)</f>
        <v>6</v>
      </c>
      <c r="I112" s="88">
        <f>IFERROR(__xludf.DUMMYFUNCTION("""COMPUTED_VALUE"""),7.0)</f>
        <v>7</v>
      </c>
      <c r="J112" s="88">
        <f>IFERROR(__xludf.DUMMYFUNCTION("""COMPUTED_VALUE"""),6.0)</f>
        <v>6</v>
      </c>
      <c r="K112" s="88">
        <f>IFERROR(__xludf.DUMMYFUNCTION("""COMPUTED_VALUE"""),19.0)</f>
        <v>19</v>
      </c>
      <c r="L112" s="88">
        <f>IFERROR(__xludf.DUMMYFUNCTION("""COMPUTED_VALUE"""),3.0)</f>
        <v>3</v>
      </c>
      <c r="M112" s="89">
        <f>IFERROR(__xludf.DUMMYFUNCTION("""COMPUTED_VALUE"""),123.0)</f>
        <v>123</v>
      </c>
      <c r="N112" s="89">
        <f>IFERROR(__xludf.DUMMYFUNCTION("""COMPUTED_VALUE"""),11.0)</f>
        <v>11</v>
      </c>
    </row>
    <row r="113">
      <c r="A113" s="11"/>
      <c r="B113" s="84" t="str">
        <f>IFERROR(__xludf.DUMMYFUNCTION("""COMPUTED_VALUE"""),"Pavan Akkimsetty")</f>
        <v>Pavan Akkimsetty</v>
      </c>
      <c r="C113" s="95">
        <f>IFERROR(__xludf.DUMMYFUNCTION("""COMPUTED_VALUE"""),103.0)</f>
        <v>103</v>
      </c>
      <c r="D113" s="95">
        <f>IFERROR(__xludf.DUMMYFUNCTION("""COMPUTED_VALUE"""),6.0)</f>
        <v>6</v>
      </c>
      <c r="E113" s="96">
        <f>IFERROR(__xludf.DUMMYFUNCTION("""COMPUTED_VALUE"""),1.0)</f>
        <v>1</v>
      </c>
      <c r="F113" s="97">
        <f>IFERROR(__xludf.DUMMYFUNCTION("""COMPUTED_VALUE"""),6.0)</f>
        <v>6</v>
      </c>
      <c r="G113" s="97">
        <f>IFERROR(__xludf.DUMMYFUNCTION("""COMPUTED_VALUE"""),0.0)</f>
        <v>0</v>
      </c>
      <c r="H113" s="97">
        <f>IFERROR(__xludf.DUMMYFUNCTION("""COMPUTED_VALUE"""),6.0)</f>
        <v>6</v>
      </c>
      <c r="I113" s="97">
        <f>IFERROR(__xludf.DUMMYFUNCTION("""COMPUTED_VALUE"""),6.0)</f>
        <v>6</v>
      </c>
      <c r="J113" s="97">
        <f>IFERROR(__xludf.DUMMYFUNCTION("""COMPUTED_VALUE"""),6.0)</f>
        <v>6</v>
      </c>
      <c r="K113" s="97">
        <f>IFERROR(__xludf.DUMMYFUNCTION("""COMPUTED_VALUE"""),18.0)</f>
        <v>18</v>
      </c>
      <c r="L113" s="97">
        <f>IFERROR(__xludf.DUMMYFUNCTION("""COMPUTED_VALUE"""),3.0)</f>
        <v>3</v>
      </c>
      <c r="M113" s="98">
        <f>IFERROR(__xludf.DUMMYFUNCTION("""COMPUTED_VALUE"""),121.0)</f>
        <v>121</v>
      </c>
      <c r="N113" s="98">
        <f>IFERROR(__xludf.DUMMYFUNCTION("""COMPUTED_VALUE"""),9.0)</f>
        <v>9</v>
      </c>
    </row>
    <row r="114">
      <c r="A114" s="11"/>
      <c r="B114" s="84" t="str">
        <f>IFERROR(__xludf.DUMMYFUNCTION("""COMPUTED_VALUE"""),"Wayne Liu")</f>
        <v>Wayne Liu</v>
      </c>
      <c r="C114" s="95">
        <f>IFERROR(__xludf.DUMMYFUNCTION("""COMPUTED_VALUE"""),102.0)</f>
        <v>102</v>
      </c>
      <c r="D114" s="95">
        <f>IFERROR(__xludf.DUMMYFUNCTION("""COMPUTED_VALUE"""),10.0)</f>
        <v>10</v>
      </c>
      <c r="E114" s="96">
        <f>IFERROR(__xludf.DUMMYFUNCTION("""COMPUTED_VALUE"""),1.0)</f>
        <v>1</v>
      </c>
      <c r="F114" s="97">
        <f>IFERROR(__xludf.DUMMYFUNCTION("""COMPUTED_VALUE"""),6.0)</f>
        <v>6</v>
      </c>
      <c r="G114" s="97">
        <f>IFERROR(__xludf.DUMMYFUNCTION("""COMPUTED_VALUE"""),0.0)</f>
        <v>0</v>
      </c>
      <c r="H114" s="97">
        <f>IFERROR(__xludf.DUMMYFUNCTION("""COMPUTED_VALUE"""),3.0)</f>
        <v>3</v>
      </c>
      <c r="I114" s="97">
        <f>IFERROR(__xludf.DUMMYFUNCTION("""COMPUTED_VALUE"""),6.0)</f>
        <v>6</v>
      </c>
      <c r="J114" s="97">
        <f>IFERROR(__xludf.DUMMYFUNCTION("""COMPUTED_VALUE"""),2.0)</f>
        <v>2</v>
      </c>
      <c r="K114" s="97">
        <f>IFERROR(__xludf.DUMMYFUNCTION("""COMPUTED_VALUE"""),11.0)</f>
        <v>11</v>
      </c>
      <c r="L114" s="97">
        <f>IFERROR(__xludf.DUMMYFUNCTION("""COMPUTED_VALUE"""),1.0)</f>
        <v>1</v>
      </c>
      <c r="M114" s="98">
        <f>IFERROR(__xludf.DUMMYFUNCTION("""COMPUTED_VALUE"""),113.0)</f>
        <v>113</v>
      </c>
      <c r="N114" s="98">
        <f>IFERROR(__xludf.DUMMYFUNCTION("""COMPUTED_VALUE"""),11.0)</f>
        <v>11</v>
      </c>
    </row>
    <row r="115">
      <c r="A115" s="11"/>
      <c r="B115" s="84" t="str">
        <f>IFERROR(__xludf.DUMMYFUNCTION("""COMPUTED_VALUE"""),"Sanjaye Elayattu")</f>
        <v>Sanjaye Elayattu</v>
      </c>
      <c r="C115" s="95">
        <f>IFERROR(__xludf.DUMMYFUNCTION("""COMPUTED_VALUE"""),98.0)</f>
        <v>98</v>
      </c>
      <c r="D115" s="95">
        <f>IFERROR(__xludf.DUMMYFUNCTION("""COMPUTED_VALUE"""),3.0)</f>
        <v>3</v>
      </c>
      <c r="E115" s="96">
        <f>IFERROR(__xludf.DUMMYFUNCTION("""COMPUTED_VALUE"""),1.0)</f>
        <v>1</v>
      </c>
      <c r="F115" s="97">
        <f>IFERROR(__xludf.DUMMYFUNCTION("""COMPUTED_VALUE"""),6.0)</f>
        <v>6</v>
      </c>
      <c r="G115" s="97">
        <f>IFERROR(__xludf.DUMMYFUNCTION("""COMPUTED_VALUE"""),0.0)</f>
        <v>0</v>
      </c>
      <c r="H115" s="97">
        <f>IFERROR(__xludf.DUMMYFUNCTION("""COMPUTED_VALUE"""),6.0)</f>
        <v>6</v>
      </c>
      <c r="I115" s="97">
        <f>IFERROR(__xludf.DUMMYFUNCTION("""COMPUTED_VALUE"""),2.0)</f>
        <v>2</v>
      </c>
      <c r="J115" s="97">
        <f>IFERROR(__xludf.DUMMYFUNCTION("""COMPUTED_VALUE"""),2.0)</f>
        <v>2</v>
      </c>
      <c r="K115" s="97">
        <f>IFERROR(__xludf.DUMMYFUNCTION("""COMPUTED_VALUE"""),10.0)</f>
        <v>10</v>
      </c>
      <c r="L115" s="97">
        <f>IFERROR(__xludf.DUMMYFUNCTION("""COMPUTED_VALUE"""),1.0)</f>
        <v>1</v>
      </c>
      <c r="M115" s="98">
        <f>IFERROR(__xludf.DUMMYFUNCTION("""COMPUTED_VALUE"""),108.0)</f>
        <v>108</v>
      </c>
      <c r="N115" s="98">
        <f>IFERROR(__xludf.DUMMYFUNCTION("""COMPUTED_VALUE"""),4.0)</f>
        <v>4</v>
      </c>
    </row>
    <row r="116">
      <c r="A116" s="11"/>
      <c r="B116" s="84" t="str">
        <f>IFERROR(__xludf.DUMMYFUNCTION("""COMPUTED_VALUE"""),"Chinna Ponnaganti")</f>
        <v>Chinna Ponnaganti</v>
      </c>
      <c r="C116" s="95">
        <f>IFERROR(__xludf.DUMMYFUNCTION("""COMPUTED_VALUE"""),97.0)</f>
        <v>97</v>
      </c>
      <c r="D116" s="95">
        <f>IFERROR(__xludf.DUMMYFUNCTION("""COMPUTED_VALUE"""),7.0)</f>
        <v>7</v>
      </c>
      <c r="E116" s="96">
        <f>IFERROR(__xludf.DUMMYFUNCTION("""COMPUTED_VALUE"""),1.0)</f>
        <v>1</v>
      </c>
      <c r="F116" s="97">
        <f>IFERROR(__xludf.DUMMYFUNCTION("""COMPUTED_VALUE"""),6.0)</f>
        <v>6</v>
      </c>
      <c r="G116" s="97">
        <f>IFERROR(__xludf.DUMMYFUNCTION("""COMPUTED_VALUE"""),0.0)</f>
        <v>0</v>
      </c>
      <c r="H116" s="97">
        <f>IFERROR(__xludf.DUMMYFUNCTION("""COMPUTED_VALUE"""),3.0)</f>
        <v>3</v>
      </c>
      <c r="I116" s="97">
        <f>IFERROR(__xludf.DUMMYFUNCTION("""COMPUTED_VALUE"""),2.0)</f>
        <v>2</v>
      </c>
      <c r="J116" s="97">
        <f>IFERROR(__xludf.DUMMYFUNCTION("""COMPUTED_VALUE"""),6.0)</f>
        <v>6</v>
      </c>
      <c r="K116" s="97">
        <f>IFERROR(__xludf.DUMMYFUNCTION("""COMPUTED_VALUE"""),11.0)</f>
        <v>11</v>
      </c>
      <c r="L116" s="97">
        <f>IFERROR(__xludf.DUMMYFUNCTION("""COMPUTED_VALUE"""),1.0)</f>
        <v>1</v>
      </c>
      <c r="M116" s="98">
        <f>IFERROR(__xludf.DUMMYFUNCTION("""COMPUTED_VALUE"""),108.0)</f>
        <v>108</v>
      </c>
      <c r="N116" s="98">
        <f>IFERROR(__xludf.DUMMYFUNCTION("""COMPUTED_VALUE"""),8.0)</f>
        <v>8</v>
      </c>
    </row>
    <row r="117">
      <c r="A117" s="11"/>
      <c r="B117" s="82" t="str">
        <f>IFERROR(__xludf.DUMMYFUNCTION("""COMPUTED_VALUE"""),"Jimmy Awolesi")</f>
        <v>Jimmy Awolesi</v>
      </c>
      <c r="C117" s="87">
        <f>IFERROR(__xludf.DUMMYFUNCTION("""COMPUTED_VALUE"""),93.0)</f>
        <v>93</v>
      </c>
      <c r="D117" s="87">
        <f>IFERROR(__xludf.DUMMYFUNCTION("""COMPUTED_VALUE"""),4.0)</f>
        <v>4</v>
      </c>
      <c r="E117" s="86">
        <f>IFERROR(__xludf.DUMMYFUNCTION("""COMPUTED_VALUE"""),1.0)</f>
        <v>1</v>
      </c>
      <c r="F117" s="88">
        <f>IFERROR(__xludf.DUMMYFUNCTION("""COMPUTED_VALUE"""),7.0)</f>
        <v>7</v>
      </c>
      <c r="G117" s="88">
        <f>IFERROR(__xludf.DUMMYFUNCTION("""COMPUTED_VALUE"""),0.0)</f>
        <v>0</v>
      </c>
      <c r="H117" s="88">
        <f>IFERROR(__xludf.DUMMYFUNCTION("""COMPUTED_VALUE"""),7.0)</f>
        <v>7</v>
      </c>
      <c r="I117" s="88">
        <f>IFERROR(__xludf.DUMMYFUNCTION("""COMPUTED_VALUE"""),7.0)</f>
        <v>7</v>
      </c>
      <c r="J117" s="88">
        <f>IFERROR(__xludf.DUMMYFUNCTION("""COMPUTED_VALUE"""),3.0)</f>
        <v>3</v>
      </c>
      <c r="K117" s="88">
        <f>IFERROR(__xludf.DUMMYFUNCTION("""COMPUTED_VALUE"""),17.0)</f>
        <v>17</v>
      </c>
      <c r="L117" s="88">
        <f>IFERROR(__xludf.DUMMYFUNCTION("""COMPUTED_VALUE"""),2.0)</f>
        <v>2</v>
      </c>
      <c r="M117" s="89">
        <f>IFERROR(__xludf.DUMMYFUNCTION("""COMPUTED_VALUE"""),110.0)</f>
        <v>110</v>
      </c>
      <c r="N117" s="89">
        <f>IFERROR(__xludf.DUMMYFUNCTION("""COMPUTED_VALUE"""),6.0)</f>
        <v>6</v>
      </c>
    </row>
    <row r="118">
      <c r="A118" s="11"/>
      <c r="B118" s="82" t="str">
        <f>IFERROR(__xludf.DUMMYFUNCTION("""COMPUTED_VALUE"""),"Kumar Palakeel")</f>
        <v>Kumar Palakeel</v>
      </c>
      <c r="C118" s="87">
        <f>IFERROR(__xludf.DUMMYFUNCTION("""COMPUTED_VALUE"""),92.0)</f>
        <v>92</v>
      </c>
      <c r="D118" s="87">
        <f>IFERROR(__xludf.DUMMYFUNCTION("""COMPUTED_VALUE"""),8.0)</f>
        <v>8</v>
      </c>
      <c r="E118" s="86">
        <f>IFERROR(__xludf.DUMMYFUNCTION("""COMPUTED_VALUE"""),1.0)</f>
        <v>1</v>
      </c>
      <c r="F118" s="88">
        <f>IFERROR(__xludf.DUMMYFUNCTION("""COMPUTED_VALUE"""),7.0)</f>
        <v>7</v>
      </c>
      <c r="G118" s="88">
        <f>IFERROR(__xludf.DUMMYFUNCTION("""COMPUTED_VALUE"""),0.0)</f>
        <v>0</v>
      </c>
      <c r="H118" s="88">
        <f>IFERROR(__xludf.DUMMYFUNCTION("""COMPUTED_VALUE"""),7.0)</f>
        <v>7</v>
      </c>
      <c r="I118" s="88">
        <f>IFERROR(__xludf.DUMMYFUNCTION("""COMPUTED_VALUE"""),6.0)</f>
        <v>6</v>
      </c>
      <c r="J118" s="88">
        <f>IFERROR(__xludf.DUMMYFUNCTION("""COMPUTED_VALUE"""),6.0)</f>
        <v>6</v>
      </c>
      <c r="K118" s="88">
        <f>IFERROR(__xludf.DUMMYFUNCTION("""COMPUTED_VALUE"""),19.0)</f>
        <v>19</v>
      </c>
      <c r="L118" s="88">
        <f>IFERROR(__xludf.DUMMYFUNCTION("""COMPUTED_VALUE"""),2.0)</f>
        <v>2</v>
      </c>
      <c r="M118" s="89">
        <f>IFERROR(__xludf.DUMMYFUNCTION("""COMPUTED_VALUE"""),111.0)</f>
        <v>111</v>
      </c>
      <c r="N118" s="89">
        <f>IFERROR(__xludf.DUMMYFUNCTION("""COMPUTED_VALUE"""),10.0)</f>
        <v>10</v>
      </c>
    </row>
    <row r="119">
      <c r="A119" s="11"/>
      <c r="B119" s="82" t="str">
        <f>IFERROR(__xludf.DUMMYFUNCTION("""COMPUTED_VALUE"""),"Saravanan Veerapandian")</f>
        <v>Saravanan Veerapandian</v>
      </c>
      <c r="C119" s="87">
        <f>IFERROR(__xludf.DUMMYFUNCTION("""COMPUTED_VALUE"""),92.0)</f>
        <v>92</v>
      </c>
      <c r="D119" s="87">
        <f>IFERROR(__xludf.DUMMYFUNCTION("""COMPUTED_VALUE"""),4.0)</f>
        <v>4</v>
      </c>
      <c r="E119" s="86">
        <f>IFERROR(__xludf.DUMMYFUNCTION("""COMPUTED_VALUE"""),1.0)</f>
        <v>1</v>
      </c>
      <c r="F119" s="88">
        <f>IFERROR(__xludf.DUMMYFUNCTION("""COMPUTED_VALUE"""),7.0)</f>
        <v>7</v>
      </c>
      <c r="G119" s="88">
        <f>IFERROR(__xludf.DUMMYFUNCTION("""COMPUTED_VALUE"""),0.0)</f>
        <v>0</v>
      </c>
      <c r="H119" s="88">
        <f>IFERROR(__xludf.DUMMYFUNCTION("""COMPUTED_VALUE"""),6.0)</f>
        <v>6</v>
      </c>
      <c r="I119" s="88">
        <f>IFERROR(__xludf.DUMMYFUNCTION("""COMPUTED_VALUE"""),7.0)</f>
        <v>7</v>
      </c>
      <c r="J119" s="88">
        <f>IFERROR(__xludf.DUMMYFUNCTION("""COMPUTED_VALUE"""),6.0)</f>
        <v>6</v>
      </c>
      <c r="K119" s="88">
        <f>IFERROR(__xludf.DUMMYFUNCTION("""COMPUTED_VALUE"""),19.0)</f>
        <v>19</v>
      </c>
      <c r="L119" s="88">
        <f>IFERROR(__xludf.DUMMYFUNCTION("""COMPUTED_VALUE"""),2.0)</f>
        <v>2</v>
      </c>
      <c r="M119" s="89">
        <f>IFERROR(__xludf.DUMMYFUNCTION("""COMPUTED_VALUE"""),111.0)</f>
        <v>111</v>
      </c>
      <c r="N119" s="89">
        <f>IFERROR(__xludf.DUMMYFUNCTION("""COMPUTED_VALUE"""),6.0)</f>
        <v>6</v>
      </c>
    </row>
    <row r="120">
      <c r="A120" s="11"/>
      <c r="B120" s="82" t="str">
        <f>IFERROR(__xludf.DUMMYFUNCTION("""COMPUTED_VALUE"""),"Eric Tan")</f>
        <v>Eric Tan</v>
      </c>
      <c r="C120" s="87">
        <f>IFERROR(__xludf.DUMMYFUNCTION("""COMPUTED_VALUE"""),91.0)</f>
        <v>91</v>
      </c>
      <c r="D120" s="87">
        <f>IFERROR(__xludf.DUMMYFUNCTION("""COMPUTED_VALUE"""),7.0)</f>
        <v>7</v>
      </c>
      <c r="E120" s="86">
        <f>IFERROR(__xludf.DUMMYFUNCTION("""COMPUTED_VALUE"""),1.0)</f>
        <v>1</v>
      </c>
      <c r="F120" s="88">
        <f>IFERROR(__xludf.DUMMYFUNCTION("""COMPUTED_VALUE"""),7.0)</f>
        <v>7</v>
      </c>
      <c r="G120" s="88">
        <f>IFERROR(__xludf.DUMMYFUNCTION("""COMPUTED_VALUE"""),0.0)</f>
        <v>0</v>
      </c>
      <c r="H120" s="88">
        <f>IFERROR(__xludf.DUMMYFUNCTION("""COMPUTED_VALUE"""),6.0)</f>
        <v>6</v>
      </c>
      <c r="I120" s="88">
        <f>IFERROR(__xludf.DUMMYFUNCTION("""COMPUTED_VALUE"""),6.0)</f>
        <v>6</v>
      </c>
      <c r="J120" s="88">
        <f>IFERROR(__xludf.DUMMYFUNCTION("""COMPUTED_VALUE"""),3.0)</f>
        <v>3</v>
      </c>
      <c r="K120" s="88">
        <f>IFERROR(__xludf.DUMMYFUNCTION("""COMPUTED_VALUE"""),15.0)</f>
        <v>15</v>
      </c>
      <c r="L120" s="88">
        <f>IFERROR(__xludf.DUMMYFUNCTION("""COMPUTED_VALUE"""),0.0)</f>
        <v>0</v>
      </c>
      <c r="M120" s="89">
        <f>IFERROR(__xludf.DUMMYFUNCTION("""COMPUTED_VALUE"""),106.0)</f>
        <v>106</v>
      </c>
      <c r="N120" s="89">
        <f>IFERROR(__xludf.DUMMYFUNCTION("""COMPUTED_VALUE"""),7.0)</f>
        <v>7</v>
      </c>
    </row>
    <row r="121">
      <c r="A121" s="11"/>
      <c r="B121" s="84" t="str">
        <f>IFERROR(__xludf.DUMMYFUNCTION("""COMPUTED_VALUE"""),"Peter Cheng")</f>
        <v>Peter Cheng</v>
      </c>
      <c r="C121" s="95">
        <f>IFERROR(__xludf.DUMMYFUNCTION("""COMPUTED_VALUE"""),89.0)</f>
        <v>89</v>
      </c>
      <c r="D121" s="95">
        <f>IFERROR(__xludf.DUMMYFUNCTION("""COMPUTED_VALUE"""),0.0)</f>
        <v>0</v>
      </c>
      <c r="E121" s="96">
        <f>IFERROR(__xludf.DUMMYFUNCTION("""COMPUTED_VALUE"""),2.0)</f>
        <v>2</v>
      </c>
      <c r="F121" s="97">
        <f>IFERROR(__xludf.DUMMYFUNCTION("""COMPUTED_VALUE"""),8.0)</f>
        <v>8</v>
      </c>
      <c r="G121" s="97">
        <f>IFERROR(__xludf.DUMMYFUNCTION("""COMPUTED_VALUE"""),0.0)</f>
        <v>0</v>
      </c>
      <c r="H121" s="97">
        <f>IFERROR(__xludf.DUMMYFUNCTION("""COMPUTED_VALUE"""),6.0)</f>
        <v>6</v>
      </c>
      <c r="I121" s="97">
        <f>IFERROR(__xludf.DUMMYFUNCTION("""COMPUTED_VALUE"""),6.0)</f>
        <v>6</v>
      </c>
      <c r="J121" s="97">
        <f>IFERROR(__xludf.DUMMYFUNCTION("""COMPUTED_VALUE"""),6.0)</f>
        <v>6</v>
      </c>
      <c r="K121" s="97">
        <f>IFERROR(__xludf.DUMMYFUNCTION("""COMPUTED_VALUE"""),18.0)</f>
        <v>18</v>
      </c>
      <c r="L121" s="97">
        <f>IFERROR(__xludf.DUMMYFUNCTION("""COMPUTED_VALUE"""),2.0)</f>
        <v>2</v>
      </c>
      <c r="M121" s="98">
        <f>IFERROR(__xludf.DUMMYFUNCTION("""COMPUTED_VALUE"""),107.0)</f>
        <v>107</v>
      </c>
      <c r="N121" s="98">
        <f>IFERROR(__xludf.DUMMYFUNCTION("""COMPUTED_VALUE"""),2.0)</f>
        <v>2</v>
      </c>
    </row>
    <row r="122">
      <c r="A122" s="11"/>
      <c r="B122" s="84" t="str">
        <f>IFERROR(__xludf.DUMMYFUNCTION("""COMPUTED_VALUE"""),"Sai Dilip Ponnaganti")</f>
        <v>Sai Dilip Ponnaganti</v>
      </c>
      <c r="C122" s="95">
        <f>IFERROR(__xludf.DUMMYFUNCTION("""COMPUTED_VALUE"""),88.0)</f>
        <v>88</v>
      </c>
      <c r="D122" s="95">
        <f>IFERROR(__xludf.DUMMYFUNCTION("""COMPUTED_VALUE"""),2.0)</f>
        <v>2</v>
      </c>
      <c r="E122" s="96">
        <f>IFERROR(__xludf.DUMMYFUNCTION("""COMPUTED_VALUE"""),1.0)</f>
        <v>1</v>
      </c>
      <c r="F122" s="97">
        <f>IFERROR(__xludf.DUMMYFUNCTION("""COMPUTED_VALUE"""),8.0)</f>
        <v>8</v>
      </c>
      <c r="G122" s="97">
        <f>IFERROR(__xludf.DUMMYFUNCTION("""COMPUTED_VALUE"""),0.0)</f>
        <v>0</v>
      </c>
      <c r="H122" s="97">
        <f>IFERROR(__xludf.DUMMYFUNCTION("""COMPUTED_VALUE"""),7.0)</f>
        <v>7</v>
      </c>
      <c r="I122" s="97">
        <f>IFERROR(__xludf.DUMMYFUNCTION("""COMPUTED_VALUE"""),6.0)</f>
        <v>6</v>
      </c>
      <c r="J122" s="97">
        <f>IFERROR(__xludf.DUMMYFUNCTION("""COMPUTED_VALUE"""),1.0)</f>
        <v>1</v>
      </c>
      <c r="K122" s="97">
        <f>IFERROR(__xludf.DUMMYFUNCTION("""COMPUTED_VALUE"""),14.0)</f>
        <v>14</v>
      </c>
      <c r="L122" s="97">
        <f>IFERROR(__xludf.DUMMYFUNCTION("""COMPUTED_VALUE"""),2.0)</f>
        <v>2</v>
      </c>
      <c r="M122" s="98">
        <f>IFERROR(__xludf.DUMMYFUNCTION("""COMPUTED_VALUE"""),102.0)</f>
        <v>102</v>
      </c>
      <c r="N122" s="98">
        <f>IFERROR(__xludf.DUMMYFUNCTION("""COMPUTED_VALUE"""),4.0)</f>
        <v>4</v>
      </c>
    </row>
    <row r="123">
      <c r="A123" s="11"/>
      <c r="B123" s="84" t="str">
        <f>IFERROR(__xludf.DUMMYFUNCTION("""COMPUTED_VALUE"""),"Nohely Mejia")</f>
        <v>Nohely Mejia</v>
      </c>
      <c r="C123" s="95">
        <f>IFERROR(__xludf.DUMMYFUNCTION("""COMPUTED_VALUE"""),86.0)</f>
        <v>86</v>
      </c>
      <c r="D123" s="95">
        <f>IFERROR(__xludf.DUMMYFUNCTION("""COMPUTED_VALUE"""),1.0)</f>
        <v>1</v>
      </c>
      <c r="E123" s="96">
        <f>IFERROR(__xludf.DUMMYFUNCTION("""COMPUTED_VALUE"""),1.0)</f>
        <v>1</v>
      </c>
      <c r="F123" s="97">
        <f>IFERROR(__xludf.DUMMYFUNCTION("""COMPUTED_VALUE"""),8.0)</f>
        <v>8</v>
      </c>
      <c r="G123" s="97">
        <f>IFERROR(__xludf.DUMMYFUNCTION("""COMPUTED_VALUE"""),0.0)</f>
        <v>0</v>
      </c>
      <c r="H123" s="97">
        <f>IFERROR(__xludf.DUMMYFUNCTION("""COMPUTED_VALUE"""),7.0)</f>
        <v>7</v>
      </c>
      <c r="I123" s="97">
        <f>IFERROR(__xludf.DUMMYFUNCTION("""COMPUTED_VALUE"""),1.0)</f>
        <v>1</v>
      </c>
      <c r="J123" s="97">
        <f>IFERROR(__xludf.DUMMYFUNCTION("""COMPUTED_VALUE"""),6.0)</f>
        <v>6</v>
      </c>
      <c r="K123" s="97">
        <f>IFERROR(__xludf.DUMMYFUNCTION("""COMPUTED_VALUE"""),14.0)</f>
        <v>14</v>
      </c>
      <c r="L123" s="97">
        <f>IFERROR(__xludf.DUMMYFUNCTION("""COMPUTED_VALUE"""),2.0)</f>
        <v>2</v>
      </c>
      <c r="M123" s="98">
        <f>IFERROR(__xludf.DUMMYFUNCTION("""COMPUTED_VALUE"""),100.0)</f>
        <v>100</v>
      </c>
      <c r="N123" s="98">
        <f>IFERROR(__xludf.DUMMYFUNCTION("""COMPUTED_VALUE"""),3.0)</f>
        <v>3</v>
      </c>
    </row>
    <row r="124">
      <c r="A124" s="11"/>
      <c r="B124" s="84" t="str">
        <f>IFERROR(__xludf.DUMMYFUNCTION("""COMPUTED_VALUE"""),"Joyce Zhu")</f>
        <v>Joyce Zhu</v>
      </c>
      <c r="C124" s="95">
        <f>IFERROR(__xludf.DUMMYFUNCTION("""COMPUTED_VALUE"""),79.0)</f>
        <v>79</v>
      </c>
      <c r="D124" s="95">
        <f>IFERROR(__xludf.DUMMYFUNCTION("""COMPUTED_VALUE"""),6.0)</f>
        <v>6</v>
      </c>
      <c r="E124" s="96">
        <f>IFERROR(__xludf.DUMMYFUNCTION("""COMPUTED_VALUE"""),1.0)</f>
        <v>1</v>
      </c>
      <c r="F124" s="97">
        <f>IFERROR(__xludf.DUMMYFUNCTION("""COMPUTED_VALUE"""),8.0)</f>
        <v>8</v>
      </c>
      <c r="G124" s="97">
        <f>IFERROR(__xludf.DUMMYFUNCTION("""COMPUTED_VALUE"""),0.0)</f>
        <v>0</v>
      </c>
      <c r="H124" s="97">
        <f>IFERROR(__xludf.DUMMYFUNCTION("""COMPUTED_VALUE"""),6.0)</f>
        <v>6</v>
      </c>
      <c r="I124" s="97">
        <f>IFERROR(__xludf.DUMMYFUNCTION("""COMPUTED_VALUE"""),1.0)</f>
        <v>1</v>
      </c>
      <c r="J124" s="97">
        <f>IFERROR(__xludf.DUMMYFUNCTION("""COMPUTED_VALUE"""),1.0)</f>
        <v>1</v>
      </c>
      <c r="K124" s="97">
        <f>IFERROR(__xludf.DUMMYFUNCTION("""COMPUTED_VALUE"""),8.0)</f>
        <v>8</v>
      </c>
      <c r="L124" s="97">
        <f>IFERROR(__xludf.DUMMYFUNCTION("""COMPUTED_VALUE"""),0.0)</f>
        <v>0</v>
      </c>
      <c r="M124" s="98">
        <f>IFERROR(__xludf.DUMMYFUNCTION("""COMPUTED_VALUE"""),87.0)</f>
        <v>87</v>
      </c>
      <c r="N124" s="98">
        <f>IFERROR(__xludf.DUMMYFUNCTION("""COMPUTED_VALUE"""),6.0)</f>
        <v>6</v>
      </c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C134" s="11"/>
      <c r="D134" s="11"/>
      <c r="E134" s="11"/>
    </row>
    <row r="135">
      <c r="A135" s="11"/>
      <c r="B135" s="10" t="s">
        <v>166</v>
      </c>
      <c r="C135" s="11"/>
      <c r="D135" s="11"/>
      <c r="E135" s="11"/>
    </row>
    <row r="136">
      <c r="A136" s="11"/>
      <c r="B136" s="27" t="s">
        <v>31</v>
      </c>
      <c r="C136" s="29" t="s">
        <v>2</v>
      </c>
      <c r="D136" s="29" t="s">
        <v>4</v>
      </c>
      <c r="E136" s="29" t="s">
        <v>33</v>
      </c>
      <c r="F136" s="29" t="s">
        <v>35</v>
      </c>
      <c r="G136" s="29" t="s">
        <v>36</v>
      </c>
      <c r="H136" s="29" t="s">
        <v>6</v>
      </c>
      <c r="I136" s="29" t="s">
        <v>7</v>
      </c>
      <c r="J136" s="29" t="s">
        <v>8</v>
      </c>
      <c r="K136" s="29" t="s">
        <v>2</v>
      </c>
      <c r="L136" s="29" t="s">
        <v>4</v>
      </c>
      <c r="M136" s="28" t="s">
        <v>2</v>
      </c>
      <c r="N136" s="28" t="s">
        <v>4</v>
      </c>
    </row>
    <row r="137">
      <c r="A137" s="11"/>
      <c r="B137" s="82" t="str">
        <f>IFERROR(__xludf.DUMMYFUNCTION("QUERY(B5:N70, ""Select B, C, D, E, F, G, H, I, J, K, L, M, N   where F = 0"")"),"Cid Macaraeg")</f>
        <v>Cid Macaraeg</v>
      </c>
      <c r="C137" s="87">
        <f>IFERROR(__xludf.DUMMYFUNCTION("""COMPUTED_VALUE"""),121.0)</f>
        <v>121</v>
      </c>
      <c r="D137" s="87">
        <f>IFERROR(__xludf.DUMMYFUNCTION("""COMPUTED_VALUE"""),10.0)</f>
        <v>10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IFERROR(__xludf.DUMMYFUNCTION("""COMPUTED_VALUE"""),130.0)</f>
        <v>130</v>
      </c>
      <c r="N137" s="89">
        <f>IFERROR(__xludf.DUMMYFUNCTION("""COMPUTED_VALUE"""),10.0)</f>
        <v>10</v>
      </c>
    </row>
    <row r="138">
      <c r="A138" s="11"/>
      <c r="B138" s="82" t="str">
        <f>IFERROR(__xludf.DUMMYFUNCTION("""COMPUTED_VALUE"""),"Scott Li")</f>
        <v>Scott Li</v>
      </c>
      <c r="C138" s="87">
        <f>IFERROR(__xludf.DUMMYFUNCTION("""COMPUTED_VALUE"""),115.0)</f>
        <v>115</v>
      </c>
      <c r="D138" s="87">
        <f>IFERROR(__xludf.DUMMYFUNCTION("""COMPUTED_VALUE"""),11.0)</f>
        <v>11</v>
      </c>
      <c r="E138" s="86">
        <f>IFERROR(__xludf.DUMMYFUNCTION("""COMPUTED_VALUE"""),3.0)</f>
        <v>3</v>
      </c>
      <c r="F138" s="88">
        <f>IFERROR(__xludf.DUMMYFUNCTION("""COMPUTED_VALUE"""),0.0)</f>
        <v>0</v>
      </c>
      <c r="G138" s="88">
        <f>IFERROR(__xludf.DUMMYFUNCTION("""COMPUTED_VALUE"""),9.0)</f>
        <v>9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IFERROR(__xludf.DUMMYFUNCTION("""COMPUTED_VALUE"""),9.0)</f>
        <v>9</v>
      </c>
      <c r="L138" s="88">
        <f>IFERROR(__xludf.DUMMYFUNCTION("""COMPUTED_VALUE"""),0.0)</f>
        <v>0</v>
      </c>
      <c r="M138" s="89">
        <f>IFERROR(__xludf.DUMMYFUNCTION("""COMPUTED_VALUE"""),124.0)</f>
        <v>124</v>
      </c>
      <c r="N138" s="89">
        <f>IFERROR(__xludf.DUMMYFUNCTION("""COMPUTED_VALUE"""),11.0)</f>
        <v>11</v>
      </c>
    </row>
    <row r="139">
      <c r="A139" s="11"/>
      <c r="B139" s="82" t="str">
        <f>IFERROR(__xludf.DUMMYFUNCTION("""COMPUTED_VALUE"""),"James Phan")</f>
        <v>James Phan</v>
      </c>
      <c r="C139" s="87">
        <f>IFERROR(__xludf.DUMMYFUNCTION("""COMPUTED_VALUE"""),115.0)</f>
        <v>115</v>
      </c>
      <c r="D139" s="87">
        <f>IFERROR(__xludf.DUMMYFUNCTION("""COMPUTED_VALUE"""),10.0)</f>
        <v>10</v>
      </c>
      <c r="E139" s="86">
        <f>IFERROR(__xludf.DUMMYFUNCTION("""COMPUTED_VALUE"""),3.0)</f>
        <v>3</v>
      </c>
      <c r="F139" s="88">
        <f>IFERROR(__xludf.DUMMYFUNCTION("""COMPUTED_VALUE"""),0.0)</f>
        <v>0</v>
      </c>
      <c r="G139" s="88">
        <f>IFERROR(__xludf.DUMMYFUNCTION("""COMPUTED_VALUE"""),9.0)</f>
        <v>9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IFERROR(__xludf.DUMMYFUNCTION("""COMPUTED_VALUE"""),9.0)</f>
        <v>9</v>
      </c>
      <c r="L139" s="88">
        <f>IFERROR(__xludf.DUMMYFUNCTION("""COMPUTED_VALUE"""),0.0)</f>
        <v>0</v>
      </c>
      <c r="M139" s="89">
        <f>IFERROR(__xludf.DUMMYFUNCTION("""COMPUTED_VALUE"""),124.0)</f>
        <v>124</v>
      </c>
      <c r="N139" s="89">
        <f>IFERROR(__xludf.DUMMYFUNCTION("""COMPUTED_VALUE"""),10.0)</f>
        <v>10</v>
      </c>
    </row>
    <row r="140">
      <c r="A140" s="11"/>
      <c r="B140" s="82" t="str">
        <f>IFERROR(__xludf.DUMMYFUNCTION("""COMPUTED_VALUE"""),"Oscar Bonilla")</f>
        <v>Oscar Bonilla</v>
      </c>
      <c r="C140" s="87">
        <f>IFERROR(__xludf.DUMMYFUNCTION("""COMPUTED_VALUE"""),112.0)</f>
        <v>112</v>
      </c>
      <c r="D140" s="87">
        <f>IFERROR(__xludf.DUMMYFUNCTION("""COMPUTED_VALUE"""),7.0)</f>
        <v>7</v>
      </c>
      <c r="E140" s="86">
        <f>IFERROR(__xludf.DUMMYFUNCTION("""COMPUTED_VALUE"""),3.0)</f>
        <v>3</v>
      </c>
      <c r="F140" s="88">
        <f>IFERROR(__xludf.DUMMYFUNCTION("""COMPUTED_VALUE"""),0.0)</f>
        <v>0</v>
      </c>
      <c r="G140" s="88">
        <f>IFERROR(__xludf.DUMMYFUNCTION("""COMPUTED_VALUE"""),9.0)</f>
        <v>9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IFERROR(__xludf.DUMMYFUNCTION("""COMPUTED_VALUE"""),9.0)</f>
        <v>9</v>
      </c>
      <c r="L140" s="88">
        <f>IFERROR(__xludf.DUMMYFUNCTION("""COMPUTED_VALUE"""),0.0)</f>
        <v>0</v>
      </c>
      <c r="M140" s="89">
        <f>IFERROR(__xludf.DUMMYFUNCTION("""COMPUTED_VALUE"""),121.0)</f>
        <v>121</v>
      </c>
      <c r="N140" s="89">
        <f>IFERROR(__xludf.DUMMYFUNCTION("""COMPUTED_VALUE"""),7.0)</f>
        <v>7</v>
      </c>
    </row>
    <row r="141">
      <c r="A141" s="11"/>
      <c r="B141" s="82" t="str">
        <f>IFERROR(__xludf.DUMMYFUNCTION("""COMPUTED_VALUE"""),"Erik Hoeckmann")</f>
        <v>Erik Hoeckmann</v>
      </c>
      <c r="C141" s="87">
        <f>IFERROR(__xludf.DUMMYFUNCTION("""COMPUTED_VALUE"""),111.0)</f>
        <v>111</v>
      </c>
      <c r="D141" s="87">
        <f>IFERROR(__xludf.DUMMYFUNCTION("""COMPUTED_VALUE"""),11.0)</f>
        <v>11</v>
      </c>
      <c r="E141" s="86">
        <f>IFERROR(__xludf.DUMMYFUNCTION("""COMPUTED_VALUE"""),3.0)</f>
        <v>3</v>
      </c>
      <c r="F141" s="88">
        <f>IFERROR(__xludf.DUMMYFUNCTION("""COMPUTED_VALUE"""),0.0)</f>
        <v>0</v>
      </c>
      <c r="G141" s="88">
        <f>IFERROR(__xludf.DUMMYFUNCTION("""COMPUTED_VALUE"""),9.0)</f>
        <v>9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IFERROR(__xludf.DUMMYFUNCTION("""COMPUTED_VALUE"""),9.0)</f>
        <v>9</v>
      </c>
      <c r="L141" s="88">
        <f>IFERROR(__xludf.DUMMYFUNCTION("""COMPUTED_VALUE"""),0.0)</f>
        <v>0</v>
      </c>
      <c r="M141" s="89">
        <f>IFERROR(__xludf.DUMMYFUNCTION("""COMPUTED_VALUE"""),120.0)</f>
        <v>120</v>
      </c>
      <c r="N141" s="89">
        <f>IFERROR(__xludf.DUMMYFUNCTION("""COMPUTED_VALUE"""),11.0)</f>
        <v>11</v>
      </c>
    </row>
    <row r="142">
      <c r="A142" s="11"/>
      <c r="B142" s="82" t="str">
        <f>IFERROR(__xludf.DUMMYFUNCTION("""COMPUTED_VALUE"""),"Trish Newlin")</f>
        <v>Trish Newlin</v>
      </c>
      <c r="C142" s="87">
        <f>IFERROR(__xludf.DUMMYFUNCTION("""COMPUTED_VALUE"""),108.0)</f>
        <v>108</v>
      </c>
      <c r="D142" s="87">
        <f>IFERROR(__xludf.DUMMYFUNCTION("""COMPUTED_VALUE"""),7.0)</f>
        <v>7</v>
      </c>
      <c r="E142" s="86">
        <f>IFERROR(__xludf.DUMMYFUNCTION("""COMPUTED_VALUE"""),3.0)</f>
        <v>3</v>
      </c>
      <c r="F142" s="88">
        <f>IFERROR(__xludf.DUMMYFUNCTION("""COMPUTED_VALUE"""),0.0)</f>
        <v>0</v>
      </c>
      <c r="G142" s="88">
        <f>IFERROR(__xludf.DUMMYFUNCTION("""COMPUTED_VALUE"""),9.0)</f>
        <v>9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IFERROR(__xludf.DUMMYFUNCTION("""COMPUTED_VALUE"""),9.0)</f>
        <v>9</v>
      </c>
      <c r="L142" s="88">
        <f>IFERROR(__xludf.DUMMYFUNCTION("""COMPUTED_VALUE"""),0.0)</f>
        <v>0</v>
      </c>
      <c r="M142" s="89">
        <f>IFERROR(__xludf.DUMMYFUNCTION("""COMPUTED_VALUE"""),117.0)</f>
        <v>117</v>
      </c>
      <c r="N142" s="89">
        <f>IFERROR(__xludf.DUMMYFUNCTION("""COMPUTED_VALUE"""),7.0)</f>
        <v>7</v>
      </c>
    </row>
    <row r="143">
      <c r="A143" s="11"/>
      <c r="B143" s="82" t="str">
        <f>IFERROR(__xludf.DUMMYFUNCTION("""COMPUTED_VALUE"""),"Lam Bui")</f>
        <v>Lam Bui</v>
      </c>
      <c r="C143" s="87">
        <f>IFERROR(__xludf.DUMMYFUNCTION("""COMPUTED_VALUE"""),107.0)</f>
        <v>107</v>
      </c>
      <c r="D143" s="87">
        <f>IFERROR(__xludf.DUMMYFUNCTION("""COMPUTED_VALUE"""),7.0)</f>
        <v>7</v>
      </c>
      <c r="E143" s="86">
        <f>IFERROR(__xludf.DUMMYFUNCTION("""COMPUTED_VALUE"""),3.0)</f>
        <v>3</v>
      </c>
      <c r="F143" s="88">
        <f>IFERROR(__xludf.DUMMYFUNCTION("""COMPUTED_VALUE"""),0.0)</f>
        <v>0</v>
      </c>
      <c r="G143" s="88">
        <f>IFERROR(__xludf.DUMMYFUNCTION("""COMPUTED_VALUE"""),9.0)</f>
        <v>9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IFERROR(__xludf.DUMMYFUNCTION("""COMPUTED_VALUE"""),9.0)</f>
        <v>9</v>
      </c>
      <c r="L143" s="88">
        <f>IFERROR(__xludf.DUMMYFUNCTION("""COMPUTED_VALUE"""),0.0)</f>
        <v>0</v>
      </c>
      <c r="M143" s="89">
        <f>IFERROR(__xludf.DUMMYFUNCTION("""COMPUTED_VALUE"""),116.0)</f>
        <v>116</v>
      </c>
      <c r="N143" s="89">
        <f>IFERROR(__xludf.DUMMYFUNCTION("""COMPUTED_VALUE"""),7.0)</f>
        <v>7</v>
      </c>
    </row>
    <row r="144">
      <c r="A144" s="11"/>
      <c r="B144" s="82" t="str">
        <f>IFERROR(__xludf.DUMMYFUNCTION("""COMPUTED_VALUE"""),"Robert Chang")</f>
        <v>Robert Chang</v>
      </c>
      <c r="C144" s="87">
        <f>IFERROR(__xludf.DUMMYFUNCTION("""COMPUTED_VALUE"""),105.0)</f>
        <v>105</v>
      </c>
      <c r="D144" s="87">
        <f>IFERROR(__xludf.DUMMYFUNCTION("""COMPUTED_VALUE"""),4.0)</f>
        <v>4</v>
      </c>
      <c r="E144" s="86">
        <f>IFERROR(__xludf.DUMMYFUNCTION("""COMPUTED_VALUE"""),3.0)</f>
        <v>3</v>
      </c>
      <c r="F144" s="88">
        <f>IFERROR(__xludf.DUMMYFUNCTION("""COMPUTED_VALUE"""),0.0)</f>
        <v>0</v>
      </c>
      <c r="G144" s="88">
        <f>IFERROR(__xludf.DUMMYFUNCTION("""COMPUTED_VALUE"""),9.0)</f>
        <v>9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IFERROR(__xludf.DUMMYFUNCTION("""COMPUTED_VALUE"""),9.0)</f>
        <v>9</v>
      </c>
      <c r="L144" s="88">
        <f>IFERROR(__xludf.DUMMYFUNCTION("""COMPUTED_VALUE"""),0.0)</f>
        <v>0</v>
      </c>
      <c r="M144" s="89">
        <f>IFERROR(__xludf.DUMMYFUNCTION("""COMPUTED_VALUE"""),114.0)</f>
        <v>114</v>
      </c>
      <c r="N144" s="89">
        <f>IFERROR(__xludf.DUMMYFUNCTION("""COMPUTED_VALUE"""),4.0)</f>
        <v>4</v>
      </c>
    </row>
    <row r="145">
      <c r="A145" s="11"/>
      <c r="B145" s="82" t="str">
        <f>IFERROR(__xludf.DUMMYFUNCTION("""COMPUTED_VALUE"""),"Manuel Rivera")</f>
        <v>Manuel Rivera</v>
      </c>
      <c r="C145" s="87">
        <f>IFERROR(__xludf.DUMMYFUNCTION("""COMPUTED_VALUE"""),104.0)</f>
        <v>104</v>
      </c>
      <c r="D145" s="87">
        <f>IFERROR(__xludf.DUMMYFUNCTION("""COMPUTED_VALUE"""),6.0)</f>
        <v>6</v>
      </c>
      <c r="E145" s="86">
        <f>IFERROR(__xludf.DUMMYFUNCTION("""COMPUTED_VALUE"""),3.0)</f>
        <v>3</v>
      </c>
      <c r="F145" s="88">
        <f>IFERROR(__xludf.DUMMYFUNCTION("""COMPUTED_VALUE"""),0.0)</f>
        <v>0</v>
      </c>
      <c r="G145" s="88">
        <f>IFERROR(__xludf.DUMMYFUNCTION("""COMPUTED_VALUE"""),9.0)</f>
        <v>9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IFERROR(__xludf.DUMMYFUNCTION("""COMPUTED_VALUE"""),9.0)</f>
        <v>9</v>
      </c>
      <c r="L145" s="88">
        <f>IFERROR(__xludf.DUMMYFUNCTION("""COMPUTED_VALUE"""),0.0)</f>
        <v>0</v>
      </c>
      <c r="M145" s="89">
        <f>IFERROR(__xludf.DUMMYFUNCTION("""COMPUTED_VALUE"""),113.0)</f>
        <v>113</v>
      </c>
      <c r="N145" s="89">
        <f>IFERROR(__xludf.DUMMYFUNCTION("""COMPUTED_VALUE"""),6.0)</f>
        <v>6</v>
      </c>
    </row>
    <row r="146">
      <c r="A146" s="11"/>
      <c r="B146" s="82" t="str">
        <f>IFERROR(__xludf.DUMMYFUNCTION("""COMPUTED_VALUE"""),"Andrew Wen")</f>
        <v>Andrew Wen</v>
      </c>
      <c r="C146" s="87">
        <f>IFERROR(__xludf.DUMMYFUNCTION("""COMPUTED_VALUE"""),103.0)</f>
        <v>103</v>
      </c>
      <c r="D146" s="87">
        <f>IFERROR(__xludf.DUMMYFUNCTION("""COMPUTED_VALUE"""),5.0)</f>
        <v>5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IFERROR(__xludf.DUMMYFUNCTION("""COMPUTED_VALUE"""),112.0)</f>
        <v>112</v>
      </c>
      <c r="N146" s="89">
        <f>IFERROR(__xludf.DUMMYFUNCTION("""COMPUTED_VALUE"""),5.0)</f>
        <v>5</v>
      </c>
    </row>
    <row r="147">
      <c r="A147" s="11"/>
      <c r="B147" s="82" t="str">
        <f>IFERROR(__xludf.DUMMYFUNCTION("""COMPUTED_VALUE"""),"Lloyd Sagar")</f>
        <v>Lloyd Sagar</v>
      </c>
      <c r="C147" s="87">
        <f>IFERROR(__xludf.DUMMYFUNCTION("""COMPUTED_VALUE"""),102.0)</f>
        <v>102</v>
      </c>
      <c r="D147" s="87">
        <f>IFERROR(__xludf.DUMMYFUNCTION("""COMPUTED_VALUE"""),6.0)</f>
        <v>6</v>
      </c>
      <c r="E147" s="86">
        <f>IFERROR(__xludf.DUMMYFUNCTION("""COMPUTED_VALUE"""),3.0)</f>
        <v>3</v>
      </c>
      <c r="F147" s="88">
        <f>IFERROR(__xludf.DUMMYFUNCTION("""COMPUTED_VALUE"""),0.0)</f>
        <v>0</v>
      </c>
      <c r="G147" s="88">
        <f>IFERROR(__xludf.DUMMYFUNCTION("""COMPUTED_VALUE"""),9.0)</f>
        <v>9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IFERROR(__xludf.DUMMYFUNCTION("""COMPUTED_VALUE"""),9.0)</f>
        <v>9</v>
      </c>
      <c r="L147" s="88">
        <f>IFERROR(__xludf.DUMMYFUNCTION("""COMPUTED_VALUE"""),0.0)</f>
        <v>0</v>
      </c>
      <c r="M147" s="89">
        <f>IFERROR(__xludf.DUMMYFUNCTION("""COMPUTED_VALUE"""),111.0)</f>
        <v>111</v>
      </c>
      <c r="N147" s="89">
        <f>IFERROR(__xludf.DUMMYFUNCTION("""COMPUTED_VALUE"""),6.0)</f>
        <v>6</v>
      </c>
    </row>
    <row r="148">
      <c r="A148" s="11"/>
      <c r="B148" s="82" t="str">
        <f>IFERROR(__xludf.DUMMYFUNCTION("""COMPUTED_VALUE"""),"Coco Yan")</f>
        <v>Coco Yan</v>
      </c>
      <c r="C148" s="87">
        <f>IFERROR(__xludf.DUMMYFUNCTION("""COMPUTED_VALUE"""),101.0)</f>
        <v>101</v>
      </c>
      <c r="D148" s="87">
        <f>IFERROR(__xludf.DUMMYFUNCTION("""COMPUTED_VALUE"""),7.0)</f>
        <v>7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IFERROR(__xludf.DUMMYFUNCTION("""COMPUTED_VALUE"""),110.0)</f>
        <v>110</v>
      </c>
      <c r="N148" s="89">
        <f>IFERROR(__xludf.DUMMYFUNCTION("""COMPUTED_VALUE"""),7.0)</f>
        <v>7</v>
      </c>
    </row>
    <row r="149">
      <c r="A149" s="11"/>
      <c r="B149" s="82" t="str">
        <f>IFERROR(__xludf.DUMMYFUNCTION("""COMPUTED_VALUE"""),"Jim Miao")</f>
        <v>Jim Miao</v>
      </c>
      <c r="C149" s="87">
        <f>IFERROR(__xludf.DUMMYFUNCTION("""COMPUTED_VALUE"""),97.0)</f>
        <v>97</v>
      </c>
      <c r="D149" s="87">
        <f>IFERROR(__xludf.DUMMYFUNCTION("""COMPUTED_VALUE"""),5.0)</f>
        <v>5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IFERROR(__xludf.DUMMYFUNCTION("""COMPUTED_VALUE"""),106.0)</f>
        <v>106</v>
      </c>
      <c r="N149" s="89">
        <f>IFERROR(__xludf.DUMMYFUNCTION("""COMPUTED_VALUE"""),5.0)</f>
        <v>5</v>
      </c>
    </row>
    <row r="150">
      <c r="A150" s="11"/>
      <c r="B150" s="82" t="str">
        <f>IFERROR(__xludf.DUMMYFUNCTION("""COMPUTED_VALUE"""),"Mauricio Palacios")</f>
        <v>Mauricio Palacios</v>
      </c>
      <c r="C150" s="87">
        <f>IFERROR(__xludf.DUMMYFUNCTION("""COMPUTED_VALUE"""),96.0)</f>
        <v>96</v>
      </c>
      <c r="D150" s="87">
        <f>IFERROR(__xludf.DUMMYFUNCTION("""COMPUTED_VALUE"""),3.0)</f>
        <v>3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IFERROR(__xludf.DUMMYFUNCTION("""COMPUTED_VALUE"""),105.0)</f>
        <v>105</v>
      </c>
      <c r="N150" s="89">
        <f>IFERROR(__xludf.DUMMYFUNCTION("""COMPUTED_VALUE"""),3.0)</f>
        <v>3</v>
      </c>
    </row>
    <row r="151">
      <c r="A151" s="11"/>
      <c r="B151" s="82" t="str">
        <f>IFERROR(__xludf.DUMMYFUNCTION("""COMPUTED_VALUE"""),"Trinath Goteti")</f>
        <v>Trinath Goteti</v>
      </c>
      <c r="C151" s="87">
        <f>IFERROR(__xludf.DUMMYFUNCTION("""COMPUTED_VALUE"""),94.0)</f>
        <v>94</v>
      </c>
      <c r="D151" s="87">
        <f>IFERROR(__xludf.DUMMYFUNCTION("""COMPUTED_VALUE"""),4.0)</f>
        <v>4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IFERROR(__xludf.DUMMYFUNCTION("""COMPUTED_VALUE"""),103.0)</f>
        <v>103</v>
      </c>
      <c r="N151" s="89">
        <f>IFERROR(__xludf.DUMMYFUNCTION("""COMPUTED_VALUE"""),4.0)</f>
        <v>4</v>
      </c>
    </row>
    <row r="152">
      <c r="A152" s="11"/>
      <c r="B152" s="82" t="str">
        <f>IFERROR(__xludf.DUMMYFUNCTION("""COMPUTED_VALUE"""),"Tony Lin")</f>
        <v>Tony Lin</v>
      </c>
      <c r="C152" s="87">
        <f>IFERROR(__xludf.DUMMYFUNCTION("""COMPUTED_VALUE"""),94.0)</f>
        <v>94</v>
      </c>
      <c r="D152" s="87">
        <f>IFERROR(__xludf.DUMMYFUNCTION("""COMPUTED_VALUE"""),3.0)</f>
        <v>3</v>
      </c>
      <c r="E152" s="86">
        <f>IFERROR(__xludf.DUMMYFUNCTION("""COMPUTED_VALUE"""),3.0)</f>
        <v>3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IFERROR(__xludf.DUMMYFUNCTION("""COMPUTED_VALUE"""),103.0)</f>
        <v>103</v>
      </c>
      <c r="N152" s="89">
        <f>IFERROR(__xludf.DUMMYFUNCTION("""COMPUTED_VALUE"""),3.0)</f>
        <v>3</v>
      </c>
    </row>
    <row r="153">
      <c r="A153" s="11"/>
      <c r="B153" s="82" t="str">
        <f>IFERROR(__xludf.DUMMYFUNCTION("""COMPUTED_VALUE"""),"Elayaraja Thangaraj ")</f>
        <v>Elayaraja Thangaraj </v>
      </c>
      <c r="C153" s="87">
        <f>IFERROR(__xludf.DUMMYFUNCTION("""COMPUTED_VALUE"""),94.0)</f>
        <v>94</v>
      </c>
      <c r="D153" s="87">
        <f>IFERROR(__xludf.DUMMYFUNCTION("""COMPUTED_VALUE"""),2.0)</f>
        <v>2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IFERROR(__xludf.DUMMYFUNCTION("""COMPUTED_VALUE"""),103.0)</f>
        <v>103</v>
      </c>
      <c r="N153" s="89">
        <f>IFERROR(__xludf.DUMMYFUNCTION("""COMPUTED_VALUE"""),2.0)</f>
        <v>2</v>
      </c>
    </row>
    <row r="154">
      <c r="A154" s="11"/>
      <c r="B154" s="82" t="str">
        <f>IFERROR(__xludf.DUMMYFUNCTION("""COMPUTED_VALUE"""),"Vinaya Kajla")</f>
        <v>Vinaya Kajla</v>
      </c>
      <c r="C154" s="87">
        <f>IFERROR(__xludf.DUMMYFUNCTION("""COMPUTED_VALUE"""),93.0)</f>
        <v>93</v>
      </c>
      <c r="D154" s="87">
        <f>IFERROR(__xludf.DUMMYFUNCTION("""COMPUTED_VALUE"""),6.0)</f>
        <v>6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IFERROR(__xludf.DUMMYFUNCTION("""COMPUTED_VALUE"""),102.0)</f>
        <v>102</v>
      </c>
      <c r="N154" s="89">
        <f>IFERROR(__xludf.DUMMYFUNCTION("""COMPUTED_VALUE"""),6.0)</f>
        <v>6</v>
      </c>
    </row>
    <row r="155">
      <c r="A155" s="11"/>
      <c r="B155" s="82" t="str">
        <f>IFERROR(__xludf.DUMMYFUNCTION("""COMPUTED_VALUE"""),"Susanta Mishra")</f>
        <v>Susanta Mishra</v>
      </c>
      <c r="C155" s="87">
        <f>IFERROR(__xludf.DUMMYFUNCTION("""COMPUTED_VALUE"""),93.0)</f>
        <v>93</v>
      </c>
      <c r="D155" s="87">
        <f>IFERROR(__xludf.DUMMYFUNCTION("""COMPUTED_VALUE"""),3.0)</f>
        <v>3</v>
      </c>
      <c r="E155" s="86">
        <f>IFERROR(__xludf.DUMMYFUNCTION("""COMPUTED_VALUE"""),3.0)</f>
        <v>3</v>
      </c>
      <c r="F155" s="88">
        <f>IFERROR(__xludf.DUMMYFUNCTION("""COMPUTED_VALUE"""),0.0)</f>
        <v>0</v>
      </c>
      <c r="G155" s="88">
        <f>IFERROR(__xludf.DUMMYFUNCTION("""COMPUTED_VALUE"""),9.0)</f>
        <v>9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IFERROR(__xludf.DUMMYFUNCTION("""COMPUTED_VALUE"""),9.0)</f>
        <v>9</v>
      </c>
      <c r="L155" s="88">
        <f>IFERROR(__xludf.DUMMYFUNCTION("""COMPUTED_VALUE"""),0.0)</f>
        <v>0</v>
      </c>
      <c r="M155" s="89">
        <f>IFERROR(__xludf.DUMMYFUNCTION("""COMPUTED_VALUE"""),102.0)</f>
        <v>102</v>
      </c>
      <c r="N155" s="89">
        <f>IFERROR(__xludf.DUMMYFUNCTION("""COMPUTED_VALUE"""),3.0)</f>
        <v>3</v>
      </c>
    </row>
    <row r="156">
      <c r="A156" s="11"/>
      <c r="B156" s="82" t="str">
        <f>IFERROR(__xludf.DUMMYFUNCTION("""COMPUTED_VALUE"""),"Naveen Raj")</f>
        <v>Naveen Raj</v>
      </c>
      <c r="C156" s="87">
        <f>IFERROR(__xludf.DUMMYFUNCTION("""COMPUTED_VALUE"""),90.0)</f>
        <v>90</v>
      </c>
      <c r="D156" s="87">
        <f>IFERROR(__xludf.DUMMYFUNCTION("""COMPUTED_VALUE"""),4.0)</f>
        <v>4</v>
      </c>
      <c r="E156" s="86">
        <f>IFERROR(__xludf.DUMMYFUNCTION("""COMPUTED_VALUE"""),5.0)</f>
        <v>5</v>
      </c>
      <c r="F156" s="88">
        <f>IFERROR(__xludf.DUMMYFUNCTION("""COMPUTED_VALUE"""),0.0)</f>
        <v>0</v>
      </c>
      <c r="G156" s="88">
        <f>IFERROR(__xludf.DUMMYFUNCTION("""COMPUTED_VALUE"""),13.0)</f>
        <v>13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IFERROR(__xludf.DUMMYFUNCTION("""COMPUTED_VALUE"""),13.0)</f>
        <v>13</v>
      </c>
      <c r="L156" s="88">
        <f>IFERROR(__xludf.DUMMYFUNCTION("""COMPUTED_VALUE"""),0.0)</f>
        <v>0</v>
      </c>
      <c r="M156" s="89">
        <f>IFERROR(__xludf.DUMMYFUNCTION("""COMPUTED_VALUE"""),103.0)</f>
        <v>103</v>
      </c>
      <c r="N156" s="89">
        <f>IFERROR(__xludf.DUMMYFUNCTION("""COMPUTED_VALUE"""),4.0)</f>
        <v>4</v>
      </c>
    </row>
    <row r="157">
      <c r="A157" s="11"/>
      <c r="B157" s="82" t="str">
        <f>IFERROR(__xludf.DUMMYFUNCTION("""COMPUTED_VALUE"""),"Eric Pan")</f>
        <v>Eric Pan</v>
      </c>
      <c r="C157" s="87">
        <f>IFERROR(__xludf.DUMMYFUNCTION("""COMPUTED_VALUE"""),90.0)</f>
        <v>90</v>
      </c>
      <c r="D157" s="87">
        <f>IFERROR(__xludf.DUMMYFUNCTION("""COMPUTED_VALUE"""),3.0)</f>
        <v>3</v>
      </c>
      <c r="E157" s="86">
        <f>IFERROR(__xludf.DUMMYFUNCTION("""COMPUTED_VALUE"""),3.0)</f>
        <v>3</v>
      </c>
      <c r="F157" s="88">
        <f>IFERROR(__xludf.DUMMYFUNCTION("""COMPUTED_VALUE"""),0.0)</f>
        <v>0</v>
      </c>
      <c r="G157" s="88">
        <f>IFERROR(__xludf.DUMMYFUNCTION("""COMPUTED_VALUE"""),9.0)</f>
        <v>9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IFERROR(__xludf.DUMMYFUNCTION("""COMPUTED_VALUE"""),0.0)</f>
        <v>0</v>
      </c>
      <c r="M157" s="89">
        <f>IFERROR(__xludf.DUMMYFUNCTION("""COMPUTED_VALUE"""),99.0)</f>
        <v>99</v>
      </c>
      <c r="N157" s="89">
        <f>IFERROR(__xludf.DUMMYFUNCTION("""COMPUTED_VALUE"""),3.0)</f>
        <v>3</v>
      </c>
    </row>
    <row r="158">
      <c r="A158" s="11"/>
      <c r="B158" s="82" t="str">
        <f>IFERROR(__xludf.DUMMYFUNCTION("""COMPUTED_VALUE"""),"Vishnu Amarnath")</f>
        <v>Vishnu Amarnath</v>
      </c>
      <c r="C158" s="87">
        <f>IFERROR(__xludf.DUMMYFUNCTION("""COMPUTED_VALUE"""),90.0)</f>
        <v>90</v>
      </c>
      <c r="D158" s="87">
        <f>IFERROR(__xludf.DUMMYFUNCTION("""COMPUTED_VALUE"""),3.0)</f>
        <v>3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IFERROR(__xludf.DUMMYFUNCTION("""COMPUTED_VALUE"""),99.0)</f>
        <v>99</v>
      </c>
      <c r="N158" s="89">
        <f>IFERROR(__xludf.DUMMYFUNCTION("""COMPUTED_VALUE"""),3.0)</f>
        <v>3</v>
      </c>
    </row>
    <row r="159">
      <c r="A159" s="11"/>
      <c r="B159" s="82" t="str">
        <f>IFERROR(__xludf.DUMMYFUNCTION("""COMPUTED_VALUE"""),"Pulkit Mathur")</f>
        <v>Pulkit Mathur</v>
      </c>
      <c r="C159" s="87">
        <f>IFERROR(__xludf.DUMMYFUNCTION("""COMPUTED_VALUE"""),90.0)</f>
        <v>90</v>
      </c>
      <c r="D159" s="87">
        <f>IFERROR(__xludf.DUMMYFUNCTION("""COMPUTED_VALUE"""),3.0)</f>
        <v>3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IFERROR(__xludf.DUMMYFUNCTION("""COMPUTED_VALUE"""),99.0)</f>
        <v>99</v>
      </c>
      <c r="N159" s="89">
        <f>IFERROR(__xludf.DUMMYFUNCTION("""COMPUTED_VALUE"""),3.0)</f>
        <v>3</v>
      </c>
    </row>
    <row r="160">
      <c r="A160" s="11"/>
      <c r="B160" s="82" t="str">
        <f>IFERROR(__xludf.DUMMYFUNCTION("""COMPUTED_VALUE"""),"Manish Anand")</f>
        <v>Manish Anand</v>
      </c>
      <c r="C160" s="87">
        <f>IFERROR(__xludf.DUMMYFUNCTION("""COMPUTED_VALUE"""),90.0)</f>
        <v>90</v>
      </c>
      <c r="D160" s="87">
        <f>IFERROR(__xludf.DUMMYFUNCTION("""COMPUTED_VALUE"""),3.0)</f>
        <v>3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IFERROR(__xludf.DUMMYFUNCTION("""COMPUTED_VALUE"""),99.0)</f>
        <v>99</v>
      </c>
      <c r="N160" s="89">
        <f>IFERROR(__xludf.DUMMYFUNCTION("""COMPUTED_VALUE"""),3.0)</f>
        <v>3</v>
      </c>
    </row>
    <row r="161">
      <c r="A161" s="11"/>
      <c r="B161" s="82" t="str">
        <f>IFERROR(__xludf.DUMMYFUNCTION("""COMPUTED_VALUE"""),"Rajesh Dorairaj")</f>
        <v>Rajesh Dorairaj</v>
      </c>
      <c r="C161" s="87">
        <f>IFERROR(__xludf.DUMMYFUNCTION("""COMPUTED_VALUE"""),87.0)</f>
        <v>87</v>
      </c>
      <c r="D161" s="87">
        <f>IFERROR(__xludf.DUMMYFUNCTION("""COMPUTED_VALUE"""),2.0)</f>
        <v>2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IFERROR(__xludf.DUMMYFUNCTION("""COMPUTED_VALUE"""),96.0)</f>
        <v>96</v>
      </c>
      <c r="N161" s="89">
        <f>IFERROR(__xludf.DUMMYFUNCTION("""COMPUTED_VALUE"""),2.0)</f>
        <v>2</v>
      </c>
    </row>
    <row r="162">
      <c r="A162" s="11"/>
      <c r="B162" s="82" t="str">
        <f>IFERROR(__xludf.DUMMYFUNCTION("""COMPUTED_VALUE"""),"Leigh-Anh Nguyen")</f>
        <v>Leigh-Anh Nguyen</v>
      </c>
      <c r="C162" s="87">
        <f>IFERROR(__xludf.DUMMYFUNCTION("""COMPUTED_VALUE"""),86.0)</f>
        <v>86</v>
      </c>
      <c r="D162" s="87">
        <f>IFERROR(__xludf.DUMMYFUNCTION("""COMPUTED_VALUE"""),4.0)</f>
        <v>4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IFERROR(__xludf.DUMMYFUNCTION("""COMPUTED_VALUE"""),95.0)</f>
        <v>95</v>
      </c>
      <c r="N162" s="89">
        <f>IFERROR(__xludf.DUMMYFUNCTION("""COMPUTED_VALUE"""),4.0)</f>
        <v>4</v>
      </c>
    </row>
    <row r="163">
      <c r="A163" s="11"/>
      <c r="B163" s="82" t="str">
        <f>IFERROR(__xludf.DUMMYFUNCTION("""COMPUTED_VALUE"""),"Vinz Solano")</f>
        <v>Vinz Solano</v>
      </c>
      <c r="C163" s="87">
        <f>IFERROR(__xludf.DUMMYFUNCTION("""COMPUTED_VALUE"""),85.0)</f>
        <v>85</v>
      </c>
      <c r="D163" s="87">
        <f>IFERROR(__xludf.DUMMYFUNCTION("""COMPUTED_VALUE"""),2.0)</f>
        <v>2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IFERROR(__xludf.DUMMYFUNCTION("""COMPUTED_VALUE"""),94.0)</f>
        <v>94</v>
      </c>
      <c r="N163" s="89">
        <f>IFERROR(__xludf.DUMMYFUNCTION("""COMPUTED_VALUE"""),2.0)</f>
        <v>2</v>
      </c>
    </row>
    <row r="164">
      <c r="A164" s="11"/>
      <c r="B164" s="82" t="str">
        <f>IFERROR(__xludf.DUMMYFUNCTION("""COMPUTED_VALUE"""),"Balaji Alahari")</f>
        <v>Balaji Alahari</v>
      </c>
      <c r="C164" s="87">
        <f>IFERROR(__xludf.DUMMYFUNCTION("""COMPUTED_VALUE"""),85.0)</f>
        <v>85</v>
      </c>
      <c r="D164" s="87">
        <f>IFERROR(__xludf.DUMMYFUNCTION("""COMPUTED_VALUE"""),1.0)</f>
        <v>1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IFERROR(__xludf.DUMMYFUNCTION("""COMPUTED_VALUE"""),94.0)</f>
        <v>94</v>
      </c>
      <c r="N164" s="89">
        <f>IFERROR(__xludf.DUMMYFUNCTION("""COMPUTED_VALUE"""),1.0)</f>
        <v>1</v>
      </c>
    </row>
    <row r="165">
      <c r="A165" s="11"/>
      <c r="B165" s="82" t="str">
        <f>IFERROR(__xludf.DUMMYFUNCTION("""COMPUTED_VALUE"""),"Peter Homsey")</f>
        <v>Peter Homsey</v>
      </c>
      <c r="C165" s="87">
        <f>IFERROR(__xludf.DUMMYFUNCTION("""COMPUTED_VALUE"""),85.0)</f>
        <v>85</v>
      </c>
      <c r="D165" s="87">
        <f>IFERROR(__xludf.DUMMYFUNCTION("""COMPUTED_VALUE"""),0.0)</f>
        <v>0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IFERROR(__xludf.DUMMYFUNCTION("""COMPUTED_VALUE"""),94.0)</f>
        <v>94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IFERROR(__xludf.DUMMYFUNCTION("""COMPUTED_VALUE"""),"Amit Patel")</f>
        <v>Amit Patel</v>
      </c>
      <c r="C166" s="87">
        <f>IFERROR(__xludf.DUMMYFUNCTION("""COMPUTED_VALUE"""),85.0)</f>
        <v>85</v>
      </c>
      <c r="D166" s="87">
        <f>IFERROR(__xludf.DUMMYFUNCTION("""COMPUTED_VALUE"""),0.0)</f>
        <v>0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IFERROR(__xludf.DUMMYFUNCTION("""COMPUTED_VALUE"""),94.0)</f>
        <v>94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IFERROR(__xludf.DUMMYFUNCTION("""COMPUTED_VALUE"""),"Santosh Sundaresan ")</f>
        <v>Santosh Sundaresan </v>
      </c>
      <c r="C167" s="87">
        <f>IFERROR(__xludf.DUMMYFUNCTION("""COMPUTED_VALUE"""),85.0)</f>
        <v>85</v>
      </c>
      <c r="D167" s="87">
        <f>IFERROR(__xludf.DUMMYFUNCTION("""COMPUTED_VALUE"""),0.0)</f>
        <v>0</v>
      </c>
      <c r="E167" s="86">
        <f>IFERROR(__xludf.DUMMYFUNCTION("""COMPUTED_VALUE"""),3.0)</f>
        <v>3</v>
      </c>
      <c r="F167" s="88">
        <f>IFERROR(__xludf.DUMMYFUNCTION("""COMPUTED_VALUE"""),0.0)</f>
        <v>0</v>
      </c>
      <c r="G167" s="88">
        <f>IFERROR(__xludf.DUMMYFUNCTION("""COMPUTED_VALUE"""),9.0)</f>
        <v>9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IFERROR(__xludf.DUMMYFUNCTION("""COMPUTED_VALUE"""),9.0)</f>
        <v>9</v>
      </c>
      <c r="L167" s="88">
        <f>IFERROR(__xludf.DUMMYFUNCTION("""COMPUTED_VALUE"""),0.0)</f>
        <v>0</v>
      </c>
      <c r="M167" s="89">
        <f>IFERROR(__xludf.DUMMYFUNCTION("""COMPUTED_VALUE"""),94.0)</f>
        <v>94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IFERROR(__xludf.DUMMYFUNCTION("""COMPUTED_VALUE"""),"Nicole Ni")</f>
        <v>Nicole Ni</v>
      </c>
      <c r="C168" s="86">
        <f>IFERROR(__xludf.DUMMYFUNCTION("""COMPUTED_VALUE"""),84.0)</f>
        <v>84</v>
      </c>
      <c r="D168" s="87">
        <f>IFERROR(__xludf.DUMMYFUNCTION("""COMPUTED_VALUE"""),6.0)</f>
        <v>6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8">
        <f>IFERROR(__xludf.DUMMYFUNCTION("""COMPUTED_VALUE"""),93.0)</f>
        <v>93</v>
      </c>
      <c r="N168" s="89">
        <f>IFERROR(__xludf.DUMMYFUNCTION("""COMPUTED_VALUE"""),6.0)</f>
        <v>6</v>
      </c>
    </row>
    <row r="169">
      <c r="A169" s="11"/>
      <c r="B169" s="82" t="str">
        <f>IFERROR(__xludf.DUMMYFUNCTION("""COMPUTED_VALUE"""),"Sandy Weyant")</f>
        <v>Sandy Weyant</v>
      </c>
      <c r="C169" s="86">
        <f>IFERROR(__xludf.DUMMYFUNCTION("""COMPUTED_VALUE"""),82.0)</f>
        <v>82</v>
      </c>
      <c r="D169" s="87">
        <f>IFERROR(__xludf.DUMMYFUNCTION("""COMPUTED_VALUE"""),2.0)</f>
        <v>2</v>
      </c>
      <c r="E169" s="86">
        <f>IFERROR(__xludf.DUMMYFUNCTION("""COMPUTED_VALUE"""),3.0)</f>
        <v>3</v>
      </c>
      <c r="F169" s="88">
        <f>IFERROR(__xludf.DUMMYFUNCTION("""COMPUTED_VALUE"""),0.0)</f>
        <v>0</v>
      </c>
      <c r="G169" s="88">
        <f>IFERROR(__xludf.DUMMYFUNCTION("""COMPUTED_VALUE"""),9.0)</f>
        <v>9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IFERROR(__xludf.DUMMYFUNCTION("""COMPUTED_VALUE"""),9.0)</f>
        <v>9</v>
      </c>
      <c r="L169" s="88">
        <f>IFERROR(__xludf.DUMMYFUNCTION("""COMPUTED_VALUE"""),0.0)</f>
        <v>0</v>
      </c>
      <c r="M169" s="88">
        <f>IFERROR(__xludf.DUMMYFUNCTION("""COMPUTED_VALUE"""),91.0)</f>
        <v>91</v>
      </c>
      <c r="N169" s="89">
        <f>IFERROR(__xludf.DUMMYFUNCTION("""COMPUTED_VALUE"""),2.0)</f>
        <v>2</v>
      </c>
    </row>
    <row r="170">
      <c r="A170" s="11"/>
      <c r="B170" s="82" t="str">
        <f>IFERROR(__xludf.DUMMYFUNCTION("""COMPUTED_VALUE"""),"Jose Ortiz")</f>
        <v>Jose Ortiz</v>
      </c>
      <c r="C170" s="86">
        <f>IFERROR(__xludf.DUMMYFUNCTION("""COMPUTED_VALUE"""),81.0)</f>
        <v>81</v>
      </c>
      <c r="D170" s="87">
        <f>IFERROR(__xludf.DUMMYFUNCTION("""COMPUTED_VALUE"""),0.0)</f>
        <v>0</v>
      </c>
      <c r="E170" s="86">
        <f>IFERROR(__xludf.DUMMYFUNCTION("""COMPUTED_VALUE"""),3.0)</f>
        <v>3</v>
      </c>
      <c r="F170" s="88">
        <f>IFERROR(__xludf.DUMMYFUNCTION("""COMPUTED_VALUE"""),0.0)</f>
        <v>0</v>
      </c>
      <c r="G170" s="88">
        <f>IFERROR(__xludf.DUMMYFUNCTION("""COMPUTED_VALUE"""),9.0)</f>
        <v>9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IFERROR(__xludf.DUMMYFUNCTION("""COMPUTED_VALUE"""),9.0)</f>
        <v>9</v>
      </c>
      <c r="L170" s="88">
        <f>IFERROR(__xludf.DUMMYFUNCTION("""COMPUTED_VALUE"""),0.0)</f>
        <v>0</v>
      </c>
      <c r="M170" s="88">
        <f>IFERROR(__xludf.DUMMYFUNCTION("""COMPUTED_VALUE"""),90.0)</f>
        <v>90</v>
      </c>
      <c r="N170" s="89">
        <f>IFERROR(__xludf.DUMMYFUNCTION("""COMPUTED_VALUE"""),0.0)</f>
        <v>0</v>
      </c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B201" s="82"/>
      <c r="C201" s="86"/>
      <c r="D201" s="87"/>
      <c r="E201" s="86"/>
      <c r="F201" s="88"/>
      <c r="G201" s="88"/>
      <c r="H201" s="88"/>
      <c r="I201" s="88"/>
      <c r="J201" s="88"/>
      <c r="K201" s="88"/>
      <c r="L201" s="88"/>
      <c r="M201" s="88"/>
      <c r="N201" s="89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C222" s="11"/>
      <c r="D222" s="11"/>
      <c r="E222" s="11"/>
    </row>
    <row r="223">
      <c r="A223" s="11"/>
      <c r="B223" s="90" t="s">
        <v>167</v>
      </c>
      <c r="C223" s="11"/>
      <c r="D223" s="11"/>
      <c r="E223" s="11"/>
      <c r="U223" s="90" t="s">
        <v>168</v>
      </c>
    </row>
    <row r="224">
      <c r="A224" s="49">
        <v>1.0</v>
      </c>
      <c r="B224" s="82" t="str">
        <f>IFERROR(__xludf.DUMMYFUNCTION("QUERY(B5:Q70, ""Select B   where Q is null"")"),"#N/A")</f>
        <v>#N/A</v>
      </c>
      <c r="C224" s="11"/>
      <c r="D224" s="11"/>
      <c r="E224" s="11"/>
      <c r="T224" s="49">
        <v>1.0</v>
      </c>
      <c r="U224" s="17" t="str">
        <f>IFERROR(__xludf.DUMMYFUNCTION("QUERY(B5:Q70, ""Select B   where Q = 'N' "")"),"#N/A")</f>
        <v>#N/A</v>
      </c>
    </row>
    <row r="225">
      <c r="A225" s="11">
        <f t="shared" ref="A225:A245" si="71">A224+1</f>
        <v>2</v>
      </c>
      <c r="B225" s="82"/>
      <c r="C225" s="11"/>
      <c r="D225" s="11"/>
      <c r="E225" s="11"/>
      <c r="T225" s="11">
        <f t="shared" ref="T225:T236" si="72">T224+1</f>
        <v>2</v>
      </c>
    </row>
    <row r="226">
      <c r="A226" s="11">
        <f t="shared" si="71"/>
        <v>3</v>
      </c>
      <c r="B226" s="82"/>
      <c r="C226" s="11"/>
      <c r="D226" s="11"/>
      <c r="E226" s="11"/>
      <c r="T226" s="11">
        <f t="shared" si="72"/>
        <v>3</v>
      </c>
    </row>
    <row r="227">
      <c r="A227" s="11">
        <f t="shared" si="71"/>
        <v>4</v>
      </c>
      <c r="B227" s="82"/>
      <c r="C227" s="11"/>
      <c r="D227" s="11"/>
      <c r="E227" s="11"/>
      <c r="T227" s="11">
        <f t="shared" si="72"/>
        <v>4</v>
      </c>
    </row>
    <row r="228">
      <c r="A228" s="11">
        <f t="shared" si="71"/>
        <v>5</v>
      </c>
      <c r="B228" s="82"/>
      <c r="C228" s="11"/>
      <c r="D228" s="11"/>
      <c r="E228" s="11"/>
      <c r="T228" s="11">
        <f t="shared" si="72"/>
        <v>5</v>
      </c>
    </row>
    <row r="229">
      <c r="A229" s="11">
        <f t="shared" si="71"/>
        <v>6</v>
      </c>
      <c r="B229" s="82"/>
      <c r="C229" s="11"/>
      <c r="D229" s="11"/>
      <c r="E229" s="11"/>
      <c r="T229" s="11">
        <f t="shared" si="72"/>
        <v>6</v>
      </c>
    </row>
    <row r="230">
      <c r="A230" s="11">
        <f t="shared" si="71"/>
        <v>7</v>
      </c>
      <c r="B230" s="82"/>
      <c r="C230" s="11"/>
      <c r="D230" s="11"/>
      <c r="E230" s="11"/>
      <c r="T230" s="11">
        <f t="shared" si="72"/>
        <v>7</v>
      </c>
    </row>
    <row r="231">
      <c r="A231" s="11">
        <f t="shared" si="71"/>
        <v>8</v>
      </c>
      <c r="B231" s="82"/>
      <c r="C231" s="11"/>
      <c r="D231" s="11"/>
      <c r="E231" s="11"/>
      <c r="T231" s="11">
        <f t="shared" si="72"/>
        <v>8</v>
      </c>
    </row>
    <row r="232">
      <c r="A232" s="11">
        <f t="shared" si="71"/>
        <v>9</v>
      </c>
      <c r="B232" s="82"/>
      <c r="C232" s="11"/>
      <c r="D232" s="11"/>
      <c r="E232" s="11"/>
      <c r="T232" s="11">
        <f t="shared" si="72"/>
        <v>9</v>
      </c>
    </row>
    <row r="233">
      <c r="A233" s="11">
        <f t="shared" si="71"/>
        <v>10</v>
      </c>
      <c r="B233" s="82"/>
      <c r="C233" s="11"/>
      <c r="D233" s="11"/>
      <c r="E233" s="11"/>
      <c r="T233" s="11">
        <f t="shared" si="72"/>
        <v>10</v>
      </c>
    </row>
    <row r="234">
      <c r="A234" s="11">
        <f t="shared" si="71"/>
        <v>11</v>
      </c>
      <c r="B234" s="82"/>
      <c r="C234" s="11"/>
      <c r="D234" s="11"/>
      <c r="E234" s="11"/>
      <c r="T234" s="11">
        <f t="shared" si="72"/>
        <v>11</v>
      </c>
    </row>
    <row r="235">
      <c r="A235" s="11">
        <f t="shared" si="71"/>
        <v>12</v>
      </c>
      <c r="B235" s="82"/>
      <c r="C235" s="11"/>
      <c r="D235" s="11"/>
      <c r="E235" s="11"/>
      <c r="T235" s="11">
        <f t="shared" si="72"/>
        <v>12</v>
      </c>
    </row>
    <row r="236">
      <c r="A236" s="11">
        <f t="shared" si="71"/>
        <v>13</v>
      </c>
      <c r="B236" s="82"/>
      <c r="C236" s="11"/>
      <c r="D236" s="11"/>
      <c r="E236" s="11"/>
      <c r="T236" s="11">
        <f t="shared" si="72"/>
        <v>13</v>
      </c>
    </row>
    <row r="237">
      <c r="A237" s="11">
        <f t="shared" si="71"/>
        <v>14</v>
      </c>
      <c r="B237" s="82"/>
      <c r="C237" s="11"/>
      <c r="D237" s="11"/>
      <c r="E237" s="11"/>
    </row>
    <row r="238">
      <c r="A238" s="11">
        <f t="shared" si="71"/>
        <v>15</v>
      </c>
      <c r="B238" s="82"/>
      <c r="C238" s="11"/>
      <c r="D238" s="11"/>
      <c r="E238" s="11"/>
    </row>
    <row r="239">
      <c r="A239" s="11">
        <f t="shared" si="71"/>
        <v>16</v>
      </c>
      <c r="B239" s="82"/>
      <c r="C239" s="11"/>
      <c r="D239" s="11"/>
      <c r="E239" s="11"/>
    </row>
    <row r="240">
      <c r="A240" s="11">
        <f t="shared" si="71"/>
        <v>17</v>
      </c>
      <c r="B240" s="82"/>
      <c r="C240" s="11"/>
      <c r="D240" s="11"/>
      <c r="E240" s="11"/>
    </row>
    <row r="241">
      <c r="A241" s="11">
        <f t="shared" si="71"/>
        <v>18</v>
      </c>
      <c r="B241" s="82"/>
      <c r="C241" s="11"/>
      <c r="D241" s="11"/>
      <c r="E241" s="11"/>
    </row>
    <row r="242">
      <c r="A242" s="11">
        <f t="shared" si="71"/>
        <v>19</v>
      </c>
      <c r="B242" s="82"/>
      <c r="C242" s="11"/>
      <c r="D242" s="11"/>
      <c r="E242" s="11"/>
    </row>
    <row r="243">
      <c r="A243" s="11">
        <f t="shared" si="71"/>
        <v>20</v>
      </c>
      <c r="B243" s="82"/>
      <c r="C243" s="11"/>
      <c r="D243" s="11"/>
      <c r="E243" s="11"/>
    </row>
    <row r="244">
      <c r="A244" s="11">
        <f t="shared" si="71"/>
        <v>21</v>
      </c>
      <c r="B244" s="82"/>
      <c r="C244" s="11"/>
      <c r="D244" s="11"/>
      <c r="E244" s="11"/>
    </row>
    <row r="245">
      <c r="A245" s="11">
        <f t="shared" si="71"/>
        <v>22</v>
      </c>
      <c r="B245" s="82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1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45535.0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'082424'!D2+1</f>
        <v>9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43</v>
      </c>
      <c r="C5" s="32">
        <v>128.0</v>
      </c>
      <c r="D5" s="32">
        <v>16.0</v>
      </c>
      <c r="E5" s="37">
        <v>1.0</v>
      </c>
      <c r="F5" s="39">
        <v>1.0</v>
      </c>
      <c r="G5" s="40">
        <v>0.0</v>
      </c>
      <c r="H5" s="39">
        <v>6.0</v>
      </c>
      <c r="I5" s="39">
        <v>6.0</v>
      </c>
      <c r="J5" s="39">
        <v>4.0</v>
      </c>
      <c r="K5" s="42">
        <v>16.0</v>
      </c>
      <c r="L5" s="39">
        <v>1.0</v>
      </c>
      <c r="M5" s="32">
        <f t="shared" ref="M5:N5" si="1">C5+K5</f>
        <v>144</v>
      </c>
      <c r="N5" s="32">
        <f t="shared" si="1"/>
        <v>17</v>
      </c>
      <c r="O5" s="43" t="s">
        <v>53</v>
      </c>
      <c r="P5" s="43" t="s">
        <v>53</v>
      </c>
      <c r="Q5" s="43" t="s">
        <v>53</v>
      </c>
      <c r="R5" s="39">
        <f>if(G5=13,1,0)+VLOOKUP(B5,'082424'!B:T,17,false)</f>
        <v>1</v>
      </c>
      <c r="S5" s="39"/>
      <c r="T5" s="39">
        <f>if(G5=9,1,0)+VLOOKUP(B5,'082424'!B:T,19,false)</f>
        <v>1</v>
      </c>
    </row>
    <row r="6">
      <c r="A6" s="30">
        <f t="shared" ref="A6:A70" si="3">A5+1</f>
        <v>2</v>
      </c>
      <c r="B6" s="31" t="s">
        <v>61</v>
      </c>
      <c r="C6" s="32">
        <v>116.0</v>
      </c>
      <c r="D6" s="32">
        <v>14.0</v>
      </c>
      <c r="E6" s="37">
        <v>1.0</v>
      </c>
      <c r="F6" s="39">
        <v>1.0</v>
      </c>
      <c r="G6" s="40">
        <v>0.0</v>
      </c>
      <c r="H6" s="39">
        <v>6.0</v>
      </c>
      <c r="I6" s="39">
        <v>7.0</v>
      </c>
      <c r="J6" s="39">
        <v>6.0</v>
      </c>
      <c r="K6" s="42">
        <v>19.0</v>
      </c>
      <c r="L6" s="39">
        <v>3.0</v>
      </c>
      <c r="M6" s="32">
        <f t="shared" ref="M6:N6" si="2">C6+K6</f>
        <v>135</v>
      </c>
      <c r="N6" s="32">
        <f t="shared" si="2"/>
        <v>17</v>
      </c>
      <c r="O6" s="43" t="s">
        <v>53</v>
      </c>
      <c r="P6" s="43" t="s">
        <v>53</v>
      </c>
      <c r="Q6" s="43" t="s">
        <v>53</v>
      </c>
      <c r="R6" s="39">
        <f>if(G6=13,1,0)+VLOOKUP(B6,'082424'!B:T,17,false)</f>
        <v>0</v>
      </c>
      <c r="S6" s="39"/>
      <c r="T6" s="39">
        <f>if(G6=9,1,0)+VLOOKUP(B6,'082424'!B:T,19,false)</f>
        <v>1</v>
      </c>
    </row>
    <row r="7">
      <c r="A7" s="30">
        <f t="shared" si="3"/>
        <v>3</v>
      </c>
      <c r="B7" s="51" t="s">
        <v>100</v>
      </c>
      <c r="C7" s="32">
        <v>116.0</v>
      </c>
      <c r="D7" s="32">
        <v>12.0</v>
      </c>
      <c r="E7" s="37">
        <v>3.0</v>
      </c>
      <c r="F7" s="39">
        <v>0.0</v>
      </c>
      <c r="G7" s="40">
        <v>9.0</v>
      </c>
      <c r="H7" s="39">
        <v>0.0</v>
      </c>
      <c r="I7" s="39">
        <v>0.0</v>
      </c>
      <c r="J7" s="39">
        <v>0.0</v>
      </c>
      <c r="K7" s="42">
        <v>9.0</v>
      </c>
      <c r="L7" s="39">
        <v>0.0</v>
      </c>
      <c r="M7" s="32">
        <f t="shared" ref="M7:N7" si="4">C7+K7</f>
        <v>125</v>
      </c>
      <c r="N7" s="32">
        <f t="shared" si="4"/>
        <v>12</v>
      </c>
      <c r="O7" s="43" t="s">
        <v>53</v>
      </c>
      <c r="P7" s="43" t="s">
        <v>53</v>
      </c>
      <c r="Q7" s="43" t="s">
        <v>53</v>
      </c>
      <c r="R7" s="39">
        <f>if(G7=13,1,0)+VLOOKUP(B7,'082424'!B:T,17,false)</f>
        <v>0</v>
      </c>
      <c r="S7" s="39"/>
      <c r="T7" s="39">
        <f>if(G7=9,1,0)+VLOOKUP(B7,'082424'!B:T,19,false)</f>
        <v>2</v>
      </c>
    </row>
    <row r="8">
      <c r="A8" s="30">
        <f t="shared" si="3"/>
        <v>4</v>
      </c>
      <c r="B8" s="51" t="s">
        <v>87</v>
      </c>
      <c r="C8" s="32">
        <v>115.0</v>
      </c>
      <c r="D8" s="32">
        <v>12.0</v>
      </c>
      <c r="E8" s="37">
        <v>5.0</v>
      </c>
      <c r="F8" s="39">
        <v>0.0</v>
      </c>
      <c r="G8" s="40">
        <v>13.0</v>
      </c>
      <c r="H8" s="39">
        <v>0.0</v>
      </c>
      <c r="I8" s="39">
        <v>0.0</v>
      </c>
      <c r="J8" s="39">
        <v>0.0</v>
      </c>
      <c r="K8" s="42">
        <v>13.0</v>
      </c>
      <c r="L8" s="39">
        <v>0.0</v>
      </c>
      <c r="M8" s="32">
        <f t="shared" ref="M8:N8" si="5">C8+K8</f>
        <v>128</v>
      </c>
      <c r="N8" s="32">
        <f t="shared" si="5"/>
        <v>12</v>
      </c>
      <c r="O8" s="43" t="s">
        <v>53</v>
      </c>
      <c r="P8" s="43" t="s">
        <v>53</v>
      </c>
      <c r="Q8" s="43" t="s">
        <v>53</v>
      </c>
      <c r="R8" s="39">
        <f>if(G8=13,1,0)+VLOOKUP(B8,'082424'!B:T,17,false)</f>
        <v>2</v>
      </c>
      <c r="S8" s="39"/>
      <c r="T8" s="39">
        <f>if(G8=9,1,0)+VLOOKUP(B8,'082424'!B:T,19,false)</f>
        <v>0</v>
      </c>
    </row>
    <row r="9">
      <c r="A9" s="30">
        <f t="shared" si="3"/>
        <v>5</v>
      </c>
      <c r="B9" s="51" t="s">
        <v>92</v>
      </c>
      <c r="C9" s="32">
        <v>112.0</v>
      </c>
      <c r="D9" s="32">
        <v>12.0</v>
      </c>
      <c r="E9" s="37">
        <v>3.0</v>
      </c>
      <c r="F9" s="39">
        <v>0.0</v>
      </c>
      <c r="G9" s="40">
        <v>9.0</v>
      </c>
      <c r="H9" s="39">
        <v>0.0</v>
      </c>
      <c r="I9" s="39">
        <v>0.0</v>
      </c>
      <c r="J9" s="39">
        <v>0.0</v>
      </c>
      <c r="K9" s="42">
        <v>9.0</v>
      </c>
      <c r="L9" s="39">
        <v>0.0</v>
      </c>
      <c r="M9" s="32">
        <f t="shared" ref="M9:N9" si="6">C9+K9</f>
        <v>121</v>
      </c>
      <c r="N9" s="32">
        <f t="shared" si="6"/>
        <v>12</v>
      </c>
      <c r="O9" s="43" t="s">
        <v>53</v>
      </c>
      <c r="P9" s="43" t="s">
        <v>53</v>
      </c>
      <c r="Q9" s="43" t="s">
        <v>53</v>
      </c>
      <c r="R9" s="39">
        <f>if(G9=13,1,0)+VLOOKUP(B9,'082424'!B:T,17,false)</f>
        <v>1</v>
      </c>
      <c r="S9" s="39"/>
      <c r="T9" s="39">
        <f>if(G9=9,1,0)+VLOOKUP(B9,'082424'!B:T,19,false)</f>
        <v>3</v>
      </c>
    </row>
    <row r="10">
      <c r="A10" s="30">
        <f t="shared" si="3"/>
        <v>6</v>
      </c>
      <c r="B10" s="31" t="s">
        <v>68</v>
      </c>
      <c r="C10" s="32">
        <v>111.0</v>
      </c>
      <c r="D10" s="32">
        <v>11.0</v>
      </c>
      <c r="E10" s="37">
        <v>5.0</v>
      </c>
      <c r="F10" s="39">
        <v>0.0</v>
      </c>
      <c r="G10" s="40">
        <v>13.0</v>
      </c>
      <c r="H10" s="39">
        <v>0.0</v>
      </c>
      <c r="I10" s="39">
        <v>0.0</v>
      </c>
      <c r="J10" s="39">
        <v>0.0</v>
      </c>
      <c r="K10" s="42">
        <v>13.0</v>
      </c>
      <c r="L10" s="39">
        <v>0.0</v>
      </c>
      <c r="M10" s="32">
        <f t="shared" ref="M10:N10" si="7">C10+K10</f>
        <v>124</v>
      </c>
      <c r="N10" s="32">
        <f t="shared" si="7"/>
        <v>11</v>
      </c>
      <c r="O10" s="43" t="s">
        <v>53</v>
      </c>
      <c r="P10" s="43" t="s">
        <v>53</v>
      </c>
      <c r="Q10" s="43" t="s">
        <v>53</v>
      </c>
      <c r="R10" s="39">
        <f>if(G10=13,1,0)+VLOOKUP(B10,'082424'!B:T,17,false)</f>
        <v>1</v>
      </c>
      <c r="S10" s="39"/>
      <c r="T10" s="39">
        <f>if(G10=9,1,0)+VLOOKUP(B10,'082424'!B:T,19,false)</f>
        <v>1</v>
      </c>
    </row>
    <row r="11">
      <c r="A11" s="30">
        <f t="shared" si="3"/>
        <v>7</v>
      </c>
      <c r="B11" s="51" t="s">
        <v>54</v>
      </c>
      <c r="C11" s="32">
        <v>109.0</v>
      </c>
      <c r="D11" s="32">
        <v>12.0</v>
      </c>
      <c r="E11" s="37">
        <v>3.0</v>
      </c>
      <c r="F11" s="39">
        <v>0.0</v>
      </c>
      <c r="G11" s="40">
        <v>9.0</v>
      </c>
      <c r="H11" s="39">
        <v>0.0</v>
      </c>
      <c r="I11" s="39">
        <v>0.0</v>
      </c>
      <c r="J11" s="39">
        <v>0.0</v>
      </c>
      <c r="K11" s="42">
        <v>9.0</v>
      </c>
      <c r="L11" s="39">
        <v>0.0</v>
      </c>
      <c r="M11" s="32">
        <f t="shared" ref="M11:N11" si="8">C11+K11</f>
        <v>118</v>
      </c>
      <c r="N11" s="32">
        <f t="shared" si="8"/>
        <v>12</v>
      </c>
      <c r="O11" s="43" t="s">
        <v>53</v>
      </c>
      <c r="P11" s="43" t="s">
        <v>53</v>
      </c>
      <c r="Q11" s="43" t="s">
        <v>53</v>
      </c>
      <c r="R11" s="39">
        <f>if(G11=13,1,0)+VLOOKUP(B11,'082424'!B:T,17,false)</f>
        <v>0</v>
      </c>
      <c r="S11" s="39"/>
      <c r="T11" s="39">
        <f>if(G11=9,1,0)+VLOOKUP(B11,'082424'!B:T,19,false)</f>
        <v>1</v>
      </c>
    </row>
    <row r="12">
      <c r="A12" s="30">
        <f t="shared" si="3"/>
        <v>8</v>
      </c>
      <c r="B12" s="31" t="s">
        <v>71</v>
      </c>
      <c r="C12" s="32">
        <v>109.0</v>
      </c>
      <c r="D12" s="32">
        <v>10.0</v>
      </c>
      <c r="E12" s="37">
        <v>1.0</v>
      </c>
      <c r="F12" s="39">
        <v>1.0</v>
      </c>
      <c r="G12" s="40">
        <v>0.0</v>
      </c>
      <c r="H12" s="39">
        <v>0.0</v>
      </c>
      <c r="I12" s="39">
        <v>7.0</v>
      </c>
      <c r="J12" s="39">
        <v>4.0</v>
      </c>
      <c r="K12" s="42">
        <v>11.0</v>
      </c>
      <c r="L12" s="39">
        <v>1.0</v>
      </c>
      <c r="M12" s="32">
        <f t="shared" ref="M12:N12" si="9">C12+K12</f>
        <v>120</v>
      </c>
      <c r="N12" s="32">
        <f t="shared" si="9"/>
        <v>11</v>
      </c>
      <c r="O12" s="43" t="s">
        <v>53</v>
      </c>
      <c r="P12" s="43" t="s">
        <v>53</v>
      </c>
      <c r="Q12" s="43" t="s">
        <v>53</v>
      </c>
      <c r="R12" s="39">
        <f>if(G12=13,1,0)+VLOOKUP(B12,'082424'!B:T,17,false)</f>
        <v>1</v>
      </c>
      <c r="S12" s="39"/>
      <c r="T12" s="39">
        <f>if(G12=9,1,0)+VLOOKUP(B12,'082424'!B:T,19,false)</f>
        <v>0</v>
      </c>
    </row>
    <row r="13">
      <c r="A13" s="30">
        <f t="shared" si="3"/>
        <v>9</v>
      </c>
      <c r="B13" s="31" t="s">
        <v>34</v>
      </c>
      <c r="C13" s="32">
        <v>107.0</v>
      </c>
      <c r="D13" s="32">
        <v>12.0</v>
      </c>
      <c r="E13" s="37">
        <v>1.0</v>
      </c>
      <c r="F13" s="39">
        <v>1.0</v>
      </c>
      <c r="G13" s="40">
        <v>0.0</v>
      </c>
      <c r="H13" s="39">
        <v>0.0</v>
      </c>
      <c r="I13" s="39">
        <v>6.0</v>
      </c>
      <c r="J13" s="39">
        <v>6.0</v>
      </c>
      <c r="K13" s="42">
        <v>12.0</v>
      </c>
      <c r="L13" s="39">
        <v>1.0</v>
      </c>
      <c r="M13" s="32">
        <f t="shared" ref="M13:N13" si="10">C13+K13</f>
        <v>119</v>
      </c>
      <c r="N13" s="32">
        <f t="shared" si="10"/>
        <v>13</v>
      </c>
      <c r="O13" s="43" t="s">
        <v>53</v>
      </c>
      <c r="P13" s="43" t="s">
        <v>53</v>
      </c>
      <c r="Q13" s="43" t="s">
        <v>53</v>
      </c>
      <c r="R13" s="39">
        <f>if(G13=13,1,0)+VLOOKUP(B13,'082424'!B:T,17,false)</f>
        <v>0</v>
      </c>
      <c r="S13" s="39"/>
      <c r="T13" s="39">
        <f>if(G13=9,1,0)+VLOOKUP(B13,'082424'!B:T,19,false)</f>
        <v>2</v>
      </c>
    </row>
    <row r="14">
      <c r="A14" s="30">
        <f t="shared" si="3"/>
        <v>10</v>
      </c>
      <c r="B14" s="51" t="s">
        <v>78</v>
      </c>
      <c r="C14" s="32">
        <v>106.0</v>
      </c>
      <c r="D14" s="32">
        <v>11.0</v>
      </c>
      <c r="E14" s="37">
        <v>3.0</v>
      </c>
      <c r="F14" s="39">
        <v>0.0</v>
      </c>
      <c r="G14" s="40">
        <v>9.0</v>
      </c>
      <c r="H14" s="39">
        <v>0.0</v>
      </c>
      <c r="I14" s="39">
        <v>0.0</v>
      </c>
      <c r="J14" s="39">
        <v>0.0</v>
      </c>
      <c r="K14" s="42">
        <v>9.0</v>
      </c>
      <c r="L14" s="39">
        <v>0.0</v>
      </c>
      <c r="M14" s="32">
        <f t="shared" ref="M14:N14" si="11">C14+K14</f>
        <v>115</v>
      </c>
      <c r="N14" s="32">
        <f t="shared" si="11"/>
        <v>11</v>
      </c>
      <c r="O14" s="43" t="s">
        <v>53</v>
      </c>
      <c r="P14" s="43" t="s">
        <v>53</v>
      </c>
      <c r="Q14" s="43" t="s">
        <v>53</v>
      </c>
      <c r="R14" s="39">
        <f>if(G14=13,1,0)+VLOOKUP(B14,'082424'!B:T,17,false)</f>
        <v>0</v>
      </c>
      <c r="S14" s="39"/>
      <c r="T14" s="39">
        <f>if(G14=9,1,0)+VLOOKUP(B14,'082424'!B:T,19,false)</f>
        <v>1</v>
      </c>
    </row>
    <row r="15">
      <c r="A15" s="30">
        <f t="shared" si="3"/>
        <v>11</v>
      </c>
      <c r="B15" s="31" t="s">
        <v>105</v>
      </c>
      <c r="C15" s="32">
        <v>103.0</v>
      </c>
      <c r="D15" s="32">
        <v>7.0</v>
      </c>
      <c r="E15" s="37">
        <v>3.0</v>
      </c>
      <c r="F15" s="39">
        <v>0.0</v>
      </c>
      <c r="G15" s="40">
        <v>9.0</v>
      </c>
      <c r="H15" s="39">
        <v>0.0</v>
      </c>
      <c r="I15" s="39">
        <v>0.0</v>
      </c>
      <c r="J15" s="39">
        <v>0.0</v>
      </c>
      <c r="K15" s="42">
        <v>9.0</v>
      </c>
      <c r="L15" s="39">
        <v>0.0</v>
      </c>
      <c r="M15" s="32">
        <f t="shared" ref="M15:N15" si="12">C15+K15</f>
        <v>112</v>
      </c>
      <c r="N15" s="32">
        <f t="shared" si="12"/>
        <v>7</v>
      </c>
      <c r="O15" s="43" t="s">
        <v>53</v>
      </c>
      <c r="P15" s="43" t="s">
        <v>53</v>
      </c>
      <c r="Q15" s="43" t="s">
        <v>53</v>
      </c>
      <c r="R15" s="39">
        <f>if(G15=13,1,0)+VLOOKUP(B15,'082424'!B:T,17,false)</f>
        <v>0</v>
      </c>
      <c r="S15" s="39"/>
      <c r="T15" s="39">
        <f>if(G15=9,1,0)+VLOOKUP(B15,'082424'!B:T,19,false)</f>
        <v>3</v>
      </c>
    </row>
    <row r="16">
      <c r="A16" s="30">
        <f t="shared" si="3"/>
        <v>12</v>
      </c>
      <c r="B16" s="31" t="s">
        <v>91</v>
      </c>
      <c r="C16" s="32">
        <v>102.0</v>
      </c>
      <c r="D16" s="32">
        <v>8.0</v>
      </c>
      <c r="E16" s="37">
        <v>1.0</v>
      </c>
      <c r="F16" s="39">
        <v>2.0</v>
      </c>
      <c r="G16" s="40">
        <v>0.0</v>
      </c>
      <c r="H16" s="39">
        <v>3.0</v>
      </c>
      <c r="I16" s="39">
        <v>6.0</v>
      </c>
      <c r="J16" s="39">
        <v>5.0</v>
      </c>
      <c r="K16" s="42">
        <v>14.0</v>
      </c>
      <c r="L16" s="39">
        <v>1.0</v>
      </c>
      <c r="M16" s="32">
        <f t="shared" ref="M16:N16" si="13">C16+K16</f>
        <v>116</v>
      </c>
      <c r="N16" s="32">
        <f t="shared" si="13"/>
        <v>9</v>
      </c>
      <c r="O16" s="43" t="s">
        <v>53</v>
      </c>
      <c r="P16" s="43" t="s">
        <v>53</v>
      </c>
      <c r="Q16" s="43" t="s">
        <v>53</v>
      </c>
      <c r="R16" s="39">
        <f>if(G16=13,1,0)+VLOOKUP(B16,'082424'!B:T,17,false)</f>
        <v>1</v>
      </c>
      <c r="S16" s="39"/>
      <c r="T16" s="39">
        <f>if(G16=9,1,0)+VLOOKUP(B16,'082424'!B:T,19,false)</f>
        <v>2</v>
      </c>
    </row>
    <row r="17">
      <c r="A17" s="30">
        <f t="shared" si="3"/>
        <v>13</v>
      </c>
      <c r="B17" s="51" t="s">
        <v>95</v>
      </c>
      <c r="C17" s="32">
        <v>102.0</v>
      </c>
      <c r="D17" s="32">
        <v>7.0</v>
      </c>
      <c r="E17" s="37">
        <v>1.0</v>
      </c>
      <c r="F17" s="39">
        <v>2.0</v>
      </c>
      <c r="G17" s="40">
        <v>0.0</v>
      </c>
      <c r="H17" s="39">
        <v>6.0</v>
      </c>
      <c r="I17" s="39">
        <v>6.0</v>
      </c>
      <c r="J17" s="39">
        <v>7.0</v>
      </c>
      <c r="K17" s="42">
        <v>19.0</v>
      </c>
      <c r="L17" s="39">
        <v>3.0</v>
      </c>
      <c r="M17" s="32">
        <f t="shared" ref="M17:N17" si="14">C17+K17</f>
        <v>121</v>
      </c>
      <c r="N17" s="32">
        <f t="shared" si="14"/>
        <v>10</v>
      </c>
      <c r="O17" s="43" t="s">
        <v>53</v>
      </c>
      <c r="P17" s="43" t="s">
        <v>53</v>
      </c>
      <c r="Q17" s="43" t="s">
        <v>53</v>
      </c>
      <c r="R17" s="39">
        <f>if(G17=13,1,0)+VLOOKUP(B17,'082424'!B:T,17,false)</f>
        <v>1</v>
      </c>
      <c r="S17" s="39"/>
      <c r="T17" s="39">
        <f>if(G17=9,1,0)+VLOOKUP(B17,'082424'!B:T,19,false)</f>
        <v>3</v>
      </c>
    </row>
    <row r="18">
      <c r="A18" s="30">
        <f t="shared" si="3"/>
        <v>14</v>
      </c>
      <c r="B18" s="56" t="s">
        <v>65</v>
      </c>
      <c r="C18" s="32">
        <v>101.0</v>
      </c>
      <c r="D18" s="32">
        <v>10.0</v>
      </c>
      <c r="E18" s="37">
        <v>1.0</v>
      </c>
      <c r="F18" s="39">
        <v>2.0</v>
      </c>
      <c r="G18" s="40">
        <v>0.0</v>
      </c>
      <c r="H18" s="39">
        <v>3.0</v>
      </c>
      <c r="I18" s="39">
        <v>4.0</v>
      </c>
      <c r="J18" s="39">
        <v>7.0</v>
      </c>
      <c r="K18" s="42">
        <v>14.0</v>
      </c>
      <c r="L18" s="39">
        <v>1.0</v>
      </c>
      <c r="M18" s="32">
        <f t="shared" ref="M18:N18" si="15">C18+K18</f>
        <v>115</v>
      </c>
      <c r="N18" s="32">
        <f t="shared" si="15"/>
        <v>11</v>
      </c>
      <c r="O18" s="43" t="s">
        <v>53</v>
      </c>
      <c r="P18" s="43" t="s">
        <v>53</v>
      </c>
      <c r="Q18" s="43" t="s">
        <v>53</v>
      </c>
      <c r="R18" s="39">
        <f>if(G18=13,1,0)+VLOOKUP(B18,'082424'!B:T,17,false)</f>
        <v>0</v>
      </c>
      <c r="S18" s="39"/>
      <c r="T18" s="39">
        <f>if(G18=9,1,0)+VLOOKUP(B18,'082424'!B:T,19,false)</f>
        <v>3</v>
      </c>
    </row>
    <row r="19">
      <c r="A19" s="30">
        <f t="shared" si="3"/>
        <v>15</v>
      </c>
      <c r="B19" s="51" t="s">
        <v>94</v>
      </c>
      <c r="C19" s="32">
        <v>101.0</v>
      </c>
      <c r="D19" s="32">
        <v>7.0</v>
      </c>
      <c r="E19" s="37">
        <v>1.0</v>
      </c>
      <c r="F19" s="39">
        <v>2.0</v>
      </c>
      <c r="G19" s="40">
        <v>0.0</v>
      </c>
      <c r="H19" s="39">
        <v>6.0</v>
      </c>
      <c r="I19" s="39">
        <v>4.0</v>
      </c>
      <c r="J19" s="39">
        <v>5.0</v>
      </c>
      <c r="K19" s="42">
        <v>15.0</v>
      </c>
      <c r="L19" s="39">
        <v>1.0</v>
      </c>
      <c r="M19" s="32">
        <f t="shared" ref="M19:N19" si="16">C19+K19</f>
        <v>116</v>
      </c>
      <c r="N19" s="32">
        <f t="shared" si="16"/>
        <v>8</v>
      </c>
      <c r="O19" s="43" t="s">
        <v>53</v>
      </c>
      <c r="P19" s="43" t="s">
        <v>53</v>
      </c>
      <c r="Q19" s="43" t="s">
        <v>53</v>
      </c>
      <c r="R19" s="39">
        <f>if(G19=13,1,0)+VLOOKUP(B19,'082424'!B:T,17,false)</f>
        <v>1</v>
      </c>
      <c r="S19" s="39"/>
      <c r="T19" s="39">
        <f>if(G19=9,1,0)+VLOOKUP(B19,'082424'!B:T,19,false)</f>
        <v>2</v>
      </c>
    </row>
    <row r="20">
      <c r="A20" s="30">
        <f t="shared" si="3"/>
        <v>16</v>
      </c>
      <c r="B20" s="31" t="s">
        <v>90</v>
      </c>
      <c r="C20" s="32">
        <v>100.0</v>
      </c>
      <c r="D20" s="32">
        <v>10.0</v>
      </c>
      <c r="E20" s="37">
        <v>1.0</v>
      </c>
      <c r="F20" s="39">
        <v>3.0</v>
      </c>
      <c r="G20" s="40">
        <v>0.0</v>
      </c>
      <c r="H20" s="39">
        <v>6.0</v>
      </c>
      <c r="I20" s="39">
        <v>4.0</v>
      </c>
      <c r="J20" s="39">
        <v>6.0</v>
      </c>
      <c r="K20" s="42">
        <v>16.0</v>
      </c>
      <c r="L20" s="39">
        <v>2.0</v>
      </c>
      <c r="M20" s="32">
        <f t="shared" ref="M20:N20" si="17">C20+K20</f>
        <v>116</v>
      </c>
      <c r="N20" s="32">
        <f t="shared" si="17"/>
        <v>12</v>
      </c>
      <c r="O20" s="43" t="s">
        <v>53</v>
      </c>
      <c r="P20" s="43" t="s">
        <v>53</v>
      </c>
      <c r="Q20" s="43" t="s">
        <v>53</v>
      </c>
      <c r="R20" s="39">
        <f>if(G20=13,1,0)+VLOOKUP(B20,'082424'!B:T,17,false)</f>
        <v>1</v>
      </c>
      <c r="S20" s="39"/>
      <c r="T20" s="39">
        <f>if(G20=9,1,0)+VLOOKUP(B20,'082424'!B:T,19,false)</f>
        <v>1</v>
      </c>
    </row>
    <row r="21">
      <c r="A21" s="30">
        <f t="shared" si="3"/>
        <v>17</v>
      </c>
      <c r="B21" s="31" t="s">
        <v>86</v>
      </c>
      <c r="C21" s="32">
        <v>100.0</v>
      </c>
      <c r="D21" s="32">
        <v>8.0</v>
      </c>
      <c r="E21" s="37">
        <v>5.0</v>
      </c>
      <c r="F21" s="39">
        <v>0.0</v>
      </c>
      <c r="G21" s="40">
        <v>13.0</v>
      </c>
      <c r="H21" s="39">
        <v>0.0</v>
      </c>
      <c r="I21" s="39">
        <v>0.0</v>
      </c>
      <c r="J21" s="39">
        <v>0.0</v>
      </c>
      <c r="K21" s="42">
        <v>13.0</v>
      </c>
      <c r="L21" s="39">
        <v>0.0</v>
      </c>
      <c r="M21" s="32">
        <f t="shared" ref="M21:N21" si="18">C21+K21</f>
        <v>113</v>
      </c>
      <c r="N21" s="32">
        <f t="shared" si="18"/>
        <v>8</v>
      </c>
      <c r="O21" s="43" t="s">
        <v>53</v>
      </c>
      <c r="P21" s="43" t="s">
        <v>53</v>
      </c>
      <c r="Q21" s="43" t="s">
        <v>53</v>
      </c>
      <c r="R21" s="39">
        <f>if(G21=13,1,0)+VLOOKUP(B21,'082424'!B:T,17,false)</f>
        <v>3</v>
      </c>
      <c r="S21" s="39"/>
      <c r="T21" s="39">
        <f>if(G21=9,1,0)+VLOOKUP(B21,'082424'!B:T,19,false)</f>
        <v>0</v>
      </c>
    </row>
    <row r="22">
      <c r="A22" s="30">
        <f t="shared" si="3"/>
        <v>18</v>
      </c>
      <c r="B22" s="51" t="s">
        <v>84</v>
      </c>
      <c r="C22" s="32">
        <v>100.0</v>
      </c>
      <c r="D22" s="32">
        <v>7.0</v>
      </c>
      <c r="E22" s="37">
        <v>1.0</v>
      </c>
      <c r="F22" s="39">
        <v>3.0</v>
      </c>
      <c r="G22" s="40">
        <v>0.0</v>
      </c>
      <c r="H22" s="39">
        <v>1.0</v>
      </c>
      <c r="I22" s="39">
        <v>4.0</v>
      </c>
      <c r="J22" s="39">
        <v>4.0</v>
      </c>
      <c r="K22" s="42">
        <v>9.0</v>
      </c>
      <c r="L22" s="39">
        <v>0.0</v>
      </c>
      <c r="M22" s="32">
        <f t="shared" ref="M22:N22" si="19">C22+K22</f>
        <v>109</v>
      </c>
      <c r="N22" s="32">
        <f t="shared" si="19"/>
        <v>7</v>
      </c>
      <c r="O22" s="43" t="s">
        <v>53</v>
      </c>
      <c r="P22" s="43" t="s">
        <v>53</v>
      </c>
      <c r="Q22" s="43" t="s">
        <v>53</v>
      </c>
      <c r="R22" s="39">
        <f>if(G22=13,1,0)+VLOOKUP(B22,'082424'!B:T,17,false)</f>
        <v>1</v>
      </c>
      <c r="S22" s="39"/>
      <c r="T22" s="39">
        <f>if(G22=9,1,0)+VLOOKUP(B22,'082424'!B:T,19,false)</f>
        <v>2</v>
      </c>
    </row>
    <row r="23">
      <c r="A23" s="30">
        <f t="shared" si="3"/>
        <v>19</v>
      </c>
      <c r="B23" s="51" t="s">
        <v>85</v>
      </c>
      <c r="C23" s="32">
        <v>99.0</v>
      </c>
      <c r="D23" s="32">
        <v>8.0</v>
      </c>
      <c r="E23" s="37">
        <v>1.0</v>
      </c>
      <c r="F23" s="39">
        <v>3.0</v>
      </c>
      <c r="G23" s="40">
        <v>0.0</v>
      </c>
      <c r="H23" s="39">
        <v>6.0</v>
      </c>
      <c r="I23" s="39">
        <v>6.0</v>
      </c>
      <c r="J23" s="39">
        <v>4.0</v>
      </c>
      <c r="K23" s="42">
        <v>16.0</v>
      </c>
      <c r="L23" s="39">
        <v>2.0</v>
      </c>
      <c r="M23" s="32">
        <f t="shared" ref="M23:N23" si="20">C23+K23</f>
        <v>115</v>
      </c>
      <c r="N23" s="32">
        <f t="shared" si="20"/>
        <v>10</v>
      </c>
      <c r="O23" s="43" t="s">
        <v>53</v>
      </c>
      <c r="P23" s="43" t="s">
        <v>53</v>
      </c>
      <c r="Q23" s="43" t="s">
        <v>53</v>
      </c>
      <c r="R23" s="39">
        <f>if(G23=13,1,0)+VLOOKUP(B23,'082424'!B:T,17,false)</f>
        <v>0</v>
      </c>
      <c r="S23" s="39"/>
      <c r="T23" s="39">
        <f>if(G23=9,1,0)+VLOOKUP(B23,'082424'!B:T,19,false)</f>
        <v>5</v>
      </c>
    </row>
    <row r="24">
      <c r="A24" s="30">
        <f t="shared" si="3"/>
        <v>20</v>
      </c>
      <c r="B24" s="31" t="s">
        <v>96</v>
      </c>
      <c r="C24" s="32">
        <v>98.0</v>
      </c>
      <c r="D24" s="32">
        <v>9.0</v>
      </c>
      <c r="E24" s="37">
        <v>1.0</v>
      </c>
      <c r="F24" s="39">
        <v>3.0</v>
      </c>
      <c r="G24" s="40">
        <v>0.0</v>
      </c>
      <c r="H24" s="39">
        <v>1.0</v>
      </c>
      <c r="I24" s="39">
        <v>6.0</v>
      </c>
      <c r="J24" s="39">
        <v>6.0</v>
      </c>
      <c r="K24" s="42">
        <v>13.0</v>
      </c>
      <c r="L24" s="39">
        <v>2.0</v>
      </c>
      <c r="M24" s="32">
        <f t="shared" ref="M24:N24" si="21">C24+K24</f>
        <v>111</v>
      </c>
      <c r="N24" s="32">
        <f t="shared" si="21"/>
        <v>11</v>
      </c>
      <c r="O24" s="43" t="s">
        <v>53</v>
      </c>
      <c r="P24" s="43" t="s">
        <v>53</v>
      </c>
      <c r="Q24" s="43" t="s">
        <v>53</v>
      </c>
      <c r="R24" s="39">
        <f>if(G24=13,1,0)+VLOOKUP(B24,'082424'!B:T,17,false)</f>
        <v>1</v>
      </c>
      <c r="S24" s="39"/>
      <c r="T24" s="39">
        <f>if(G24=9,1,0)+VLOOKUP(B24,'082424'!B:T,19,false)</f>
        <v>3</v>
      </c>
    </row>
    <row r="25">
      <c r="A25" s="30">
        <f t="shared" si="3"/>
        <v>21</v>
      </c>
      <c r="B25" s="31" t="s">
        <v>82</v>
      </c>
      <c r="C25" s="32">
        <v>98.0</v>
      </c>
      <c r="D25" s="32">
        <v>7.0</v>
      </c>
      <c r="E25" s="37">
        <v>3.0</v>
      </c>
      <c r="F25" s="39">
        <v>0.0</v>
      </c>
      <c r="G25" s="40">
        <v>9.0</v>
      </c>
      <c r="H25" s="39">
        <v>0.0</v>
      </c>
      <c r="I25" s="39">
        <v>0.0</v>
      </c>
      <c r="J25" s="39">
        <v>0.0</v>
      </c>
      <c r="K25" s="42">
        <v>9.0</v>
      </c>
      <c r="L25" s="39">
        <v>0.0</v>
      </c>
      <c r="M25" s="32">
        <f t="shared" ref="M25:N25" si="22">C25+K25</f>
        <v>107</v>
      </c>
      <c r="N25" s="32">
        <f t="shared" si="22"/>
        <v>7</v>
      </c>
      <c r="O25" s="43" t="s">
        <v>53</v>
      </c>
      <c r="P25" s="43" t="s">
        <v>53</v>
      </c>
      <c r="Q25" s="43" t="s">
        <v>53</v>
      </c>
      <c r="R25" s="39">
        <f>if(G25=13,1,0)+VLOOKUP(B25,'082424'!B:T,17,false)</f>
        <v>1</v>
      </c>
      <c r="S25" s="39"/>
      <c r="T25" s="39">
        <f>if(G25=9,1,0)+VLOOKUP(B25,'082424'!B:T,19,false)</f>
        <v>5</v>
      </c>
    </row>
    <row r="26">
      <c r="A26" s="30">
        <f t="shared" si="3"/>
        <v>22</v>
      </c>
      <c r="B26" s="56" t="s">
        <v>110</v>
      </c>
      <c r="C26" s="32">
        <v>96.0</v>
      </c>
      <c r="D26" s="32">
        <v>4.0</v>
      </c>
      <c r="E26" s="37">
        <v>2.0</v>
      </c>
      <c r="F26" s="39">
        <v>4.0</v>
      </c>
      <c r="G26" s="40">
        <v>0.0</v>
      </c>
      <c r="H26" s="39">
        <v>1.0</v>
      </c>
      <c r="I26" s="39">
        <v>6.0</v>
      </c>
      <c r="J26" s="39">
        <v>0.0</v>
      </c>
      <c r="K26" s="42">
        <v>7.0</v>
      </c>
      <c r="L26" s="39">
        <v>1.0</v>
      </c>
      <c r="M26" s="32">
        <f t="shared" ref="M26:N26" si="23">C26+K26</f>
        <v>103</v>
      </c>
      <c r="N26" s="32">
        <f t="shared" si="23"/>
        <v>5</v>
      </c>
      <c r="O26" s="43" t="s">
        <v>53</v>
      </c>
      <c r="P26" s="43" t="s">
        <v>53</v>
      </c>
      <c r="Q26" s="43" t="s">
        <v>53</v>
      </c>
      <c r="R26" s="39">
        <f>if(G26=13,1,0)+VLOOKUP(B26,'082424'!B:T,17,false)</f>
        <v>2</v>
      </c>
      <c r="S26" s="39"/>
      <c r="T26" s="39">
        <f>if(G26=9,1,0)+VLOOKUP(B26,'082424'!B:T,19,false)</f>
        <v>2</v>
      </c>
    </row>
    <row r="27">
      <c r="A27" s="30">
        <f t="shared" si="3"/>
        <v>23</v>
      </c>
      <c r="B27" s="31" t="s">
        <v>57</v>
      </c>
      <c r="C27" s="32">
        <v>95.0</v>
      </c>
      <c r="D27" s="32">
        <v>7.0</v>
      </c>
      <c r="E27" s="37">
        <v>1.0</v>
      </c>
      <c r="F27" s="39">
        <v>4.0</v>
      </c>
      <c r="G27" s="40">
        <v>0.0</v>
      </c>
      <c r="H27" s="39">
        <v>6.0</v>
      </c>
      <c r="I27" s="39">
        <v>6.0</v>
      </c>
      <c r="J27" s="39">
        <v>6.0</v>
      </c>
      <c r="K27" s="42">
        <v>18.0</v>
      </c>
      <c r="L27" s="39">
        <v>3.0</v>
      </c>
      <c r="M27" s="32">
        <f t="shared" ref="M27:N27" si="24">C27+K27</f>
        <v>113</v>
      </c>
      <c r="N27" s="32">
        <f t="shared" si="24"/>
        <v>10</v>
      </c>
      <c r="O27" s="43" t="s">
        <v>53</v>
      </c>
      <c r="P27" s="43" t="s">
        <v>53</v>
      </c>
      <c r="Q27" s="43" t="s">
        <v>53</v>
      </c>
      <c r="R27" s="39">
        <f>if(G27=13,1,0)+VLOOKUP(B27,'082424'!B:T,17,false)</f>
        <v>1</v>
      </c>
      <c r="S27" s="39"/>
      <c r="T27" s="39">
        <f>if(G27=9,1,0)+VLOOKUP(B27,'082424'!B:T,19,false)</f>
        <v>2</v>
      </c>
    </row>
    <row r="28">
      <c r="A28" s="30">
        <f t="shared" si="3"/>
        <v>24</v>
      </c>
      <c r="B28" s="31" t="s">
        <v>83</v>
      </c>
      <c r="C28" s="32">
        <v>94.0</v>
      </c>
      <c r="D28" s="32">
        <v>6.0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5">C28+K28</f>
        <v>103</v>
      </c>
      <c r="N28" s="32">
        <f t="shared" si="25"/>
        <v>6</v>
      </c>
      <c r="O28" s="43" t="s">
        <v>53</v>
      </c>
      <c r="P28" s="43" t="s">
        <v>53</v>
      </c>
      <c r="Q28" s="43" t="s">
        <v>53</v>
      </c>
      <c r="R28" s="39">
        <f>if(G28=13,1,0)+VLOOKUP(B28,'082424'!B:T,17,false)</f>
        <v>0</v>
      </c>
      <c r="S28" s="39"/>
      <c r="T28" s="39">
        <f>if(G28=9,1,0)+VLOOKUP(B28,'082424'!B:T,19,false)</f>
        <v>6</v>
      </c>
    </row>
    <row r="29">
      <c r="A29" s="30">
        <f t="shared" si="3"/>
        <v>25</v>
      </c>
      <c r="B29" s="51" t="s">
        <v>103</v>
      </c>
      <c r="C29" s="32">
        <v>94.0</v>
      </c>
      <c r="D29" s="32">
        <v>5.0</v>
      </c>
      <c r="E29" s="37">
        <v>1.0</v>
      </c>
      <c r="F29" s="39">
        <v>4.0</v>
      </c>
      <c r="G29" s="40">
        <v>0.0</v>
      </c>
      <c r="H29" s="39">
        <v>6.0</v>
      </c>
      <c r="I29" s="39">
        <v>2.0</v>
      </c>
      <c r="J29" s="39">
        <v>0.0</v>
      </c>
      <c r="K29" s="42">
        <v>8.0</v>
      </c>
      <c r="L29" s="39">
        <v>1.0</v>
      </c>
      <c r="M29" s="32">
        <f t="shared" ref="M29:N29" si="26">C29+K29</f>
        <v>102</v>
      </c>
      <c r="N29" s="32">
        <f t="shared" si="26"/>
        <v>6</v>
      </c>
      <c r="O29" s="43" t="s">
        <v>53</v>
      </c>
      <c r="P29" s="43" t="s">
        <v>53</v>
      </c>
      <c r="Q29" s="43" t="s">
        <v>53</v>
      </c>
      <c r="R29" s="39">
        <f>if(G29=13,1,0)+VLOOKUP(B29,'082424'!B:T,17,false)</f>
        <v>1</v>
      </c>
      <c r="S29" s="39"/>
      <c r="T29" s="39">
        <f>if(G29=9,1,0)+VLOOKUP(B29,'082424'!B:T,19,false)</f>
        <v>4</v>
      </c>
    </row>
    <row r="30">
      <c r="A30" s="30">
        <f t="shared" si="3"/>
        <v>26</v>
      </c>
      <c r="B30" s="51" t="s">
        <v>104</v>
      </c>
      <c r="C30" s="32">
        <v>93.0</v>
      </c>
      <c r="D30" s="32">
        <v>9.0</v>
      </c>
      <c r="E30" s="37">
        <v>1.0</v>
      </c>
      <c r="F30" s="39">
        <v>4.0</v>
      </c>
      <c r="G30" s="40">
        <v>0.0</v>
      </c>
      <c r="H30" s="39">
        <v>1.0</v>
      </c>
      <c r="I30" s="39">
        <v>2.0</v>
      </c>
      <c r="J30" s="39">
        <v>6.0</v>
      </c>
      <c r="K30" s="42">
        <v>9.0</v>
      </c>
      <c r="L30" s="39">
        <v>1.0</v>
      </c>
      <c r="M30" s="32">
        <f t="shared" ref="M30:N30" si="27">C30+K30</f>
        <v>102</v>
      </c>
      <c r="N30" s="32">
        <f t="shared" si="27"/>
        <v>10</v>
      </c>
      <c r="O30" s="43" t="s">
        <v>53</v>
      </c>
      <c r="P30" s="43" t="s">
        <v>53</v>
      </c>
      <c r="Q30" s="43" t="s">
        <v>53</v>
      </c>
      <c r="R30" s="39">
        <f>if(G30=13,1,0)+VLOOKUP(B30,'082424'!B:T,17,false)</f>
        <v>0</v>
      </c>
      <c r="S30" s="39"/>
      <c r="T30" s="39">
        <f>if(G30=9,1,0)+VLOOKUP(B30,'082424'!B:T,19,false)</f>
        <v>0</v>
      </c>
    </row>
    <row r="31">
      <c r="A31" s="30">
        <f t="shared" si="3"/>
        <v>27</v>
      </c>
      <c r="B31" s="51" t="s">
        <v>93</v>
      </c>
      <c r="C31" s="32">
        <v>93.0</v>
      </c>
      <c r="D31" s="32">
        <v>8.0</v>
      </c>
      <c r="E31" s="37">
        <v>1.0</v>
      </c>
      <c r="F31" s="39">
        <v>5.0</v>
      </c>
      <c r="G31" s="40">
        <v>0.0</v>
      </c>
      <c r="H31" s="39">
        <v>6.0</v>
      </c>
      <c r="I31" s="39">
        <v>4.0</v>
      </c>
      <c r="J31" s="39">
        <v>6.0</v>
      </c>
      <c r="K31" s="42">
        <v>16.0</v>
      </c>
      <c r="L31" s="39">
        <v>1.0</v>
      </c>
      <c r="M31" s="32">
        <f t="shared" ref="M31:N31" si="28">C31+K31</f>
        <v>109</v>
      </c>
      <c r="N31" s="32">
        <f t="shared" si="28"/>
        <v>9</v>
      </c>
      <c r="O31" s="43" t="s">
        <v>53</v>
      </c>
      <c r="P31" s="43" t="s">
        <v>53</v>
      </c>
      <c r="Q31" s="43" t="s">
        <v>53</v>
      </c>
      <c r="R31" s="39">
        <f>if(G31=13,1,0)+VLOOKUP(B31,'082424'!B:T,17,false)</f>
        <v>0</v>
      </c>
      <c r="S31" s="39"/>
      <c r="T31" s="39">
        <f>if(G31=9,1,0)+VLOOKUP(B31,'082424'!B:T,19,false)</f>
        <v>1</v>
      </c>
    </row>
    <row r="32">
      <c r="A32" s="30">
        <f t="shared" si="3"/>
        <v>28</v>
      </c>
      <c r="B32" s="51" t="s">
        <v>111</v>
      </c>
      <c r="C32" s="32">
        <v>93.0</v>
      </c>
      <c r="D32" s="32">
        <v>6.0</v>
      </c>
      <c r="E32" s="37">
        <v>1.0</v>
      </c>
      <c r="F32" s="39">
        <v>5.0</v>
      </c>
      <c r="G32" s="40">
        <v>0.0</v>
      </c>
      <c r="H32" s="39">
        <v>4.0</v>
      </c>
      <c r="I32" s="39">
        <v>4.0</v>
      </c>
      <c r="J32" s="39">
        <v>7.0</v>
      </c>
      <c r="K32" s="42">
        <v>15.0</v>
      </c>
      <c r="L32" s="39">
        <v>1.0</v>
      </c>
      <c r="M32" s="32">
        <f t="shared" ref="M32:N32" si="29">C32+K32</f>
        <v>108</v>
      </c>
      <c r="N32" s="32">
        <f t="shared" si="29"/>
        <v>7</v>
      </c>
      <c r="O32" s="43" t="s">
        <v>53</v>
      </c>
      <c r="P32" s="43" t="s">
        <v>53</v>
      </c>
      <c r="Q32" s="43" t="s">
        <v>53</v>
      </c>
      <c r="R32" s="39">
        <f>if(G32=13,1,0)+VLOOKUP(B32,'082424'!B:T,17,false)</f>
        <v>0</v>
      </c>
      <c r="S32" s="39"/>
      <c r="T32" s="39">
        <f>if(G32=9,1,0)+VLOOKUP(B32,'082424'!B:T,19,false)</f>
        <v>4</v>
      </c>
    </row>
    <row r="33">
      <c r="A33" s="30">
        <f t="shared" si="3"/>
        <v>29</v>
      </c>
      <c r="B33" s="31" t="s">
        <v>89</v>
      </c>
      <c r="C33" s="32">
        <v>92.0</v>
      </c>
      <c r="D33" s="32">
        <v>4.0</v>
      </c>
      <c r="E33" s="37">
        <v>5.0</v>
      </c>
      <c r="F33" s="39">
        <v>0.0</v>
      </c>
      <c r="G33" s="40">
        <v>13.0</v>
      </c>
      <c r="H33" s="39">
        <v>0.0</v>
      </c>
      <c r="I33" s="39">
        <v>0.0</v>
      </c>
      <c r="J33" s="39">
        <v>0.0</v>
      </c>
      <c r="K33" s="42">
        <v>13.0</v>
      </c>
      <c r="L33" s="39">
        <v>0.0</v>
      </c>
      <c r="M33" s="32">
        <f t="shared" ref="M33:N33" si="30">C33+K33</f>
        <v>105</v>
      </c>
      <c r="N33" s="32">
        <f t="shared" si="30"/>
        <v>4</v>
      </c>
      <c r="O33" s="43" t="s">
        <v>53</v>
      </c>
      <c r="P33" s="43" t="s">
        <v>53</v>
      </c>
      <c r="Q33" s="43" t="s">
        <v>53</v>
      </c>
      <c r="R33" s="39">
        <f>if(G33=13,1,0)+VLOOKUP(B33,'082424'!B:T,17,false)</f>
        <v>3</v>
      </c>
      <c r="S33" s="39"/>
      <c r="T33" s="39">
        <f>if(G33=9,1,0)+VLOOKUP(B33,'082424'!B:T,19,false)</f>
        <v>4</v>
      </c>
    </row>
    <row r="34">
      <c r="A34" s="30">
        <f t="shared" si="3"/>
        <v>30</v>
      </c>
      <c r="B34" s="31" t="s">
        <v>73</v>
      </c>
      <c r="C34" s="32">
        <v>91.0</v>
      </c>
      <c r="D34" s="32">
        <v>6.0</v>
      </c>
      <c r="E34" s="37">
        <v>5.0</v>
      </c>
      <c r="F34" s="39">
        <v>0.0</v>
      </c>
      <c r="G34" s="40">
        <v>13.0</v>
      </c>
      <c r="H34" s="39">
        <v>0.0</v>
      </c>
      <c r="I34" s="39">
        <v>0.0</v>
      </c>
      <c r="J34" s="39">
        <v>0.0</v>
      </c>
      <c r="K34" s="42">
        <v>13.0</v>
      </c>
      <c r="L34" s="39">
        <v>0.0</v>
      </c>
      <c r="M34" s="32">
        <f t="shared" ref="M34:N34" si="31">C34+K34</f>
        <v>104</v>
      </c>
      <c r="N34" s="32">
        <f t="shared" si="31"/>
        <v>6</v>
      </c>
      <c r="O34" s="43" t="s">
        <v>53</v>
      </c>
      <c r="P34" s="43" t="s">
        <v>53</v>
      </c>
      <c r="Q34" s="43" t="s">
        <v>53</v>
      </c>
      <c r="R34" s="39">
        <f>if(G34=13,1,0)+VLOOKUP(B34,'082424'!B:T,17,false)</f>
        <v>2</v>
      </c>
      <c r="S34" s="39"/>
      <c r="T34" s="39">
        <f>if(G34=9,1,0)+VLOOKUP(B34,'082424'!B:T,19,false)</f>
        <v>3</v>
      </c>
    </row>
    <row r="35">
      <c r="A35" s="30">
        <f t="shared" si="3"/>
        <v>31</v>
      </c>
      <c r="B35" s="31" t="s">
        <v>66</v>
      </c>
      <c r="C35" s="32">
        <v>90.0</v>
      </c>
      <c r="D35" s="32">
        <v>5.0</v>
      </c>
      <c r="E35" s="37">
        <v>2.0</v>
      </c>
      <c r="F35" s="39">
        <v>5.0</v>
      </c>
      <c r="G35" s="40">
        <v>0.0</v>
      </c>
      <c r="H35" s="39">
        <v>4.0</v>
      </c>
      <c r="I35" s="39">
        <v>6.0</v>
      </c>
      <c r="J35" s="39">
        <v>6.0</v>
      </c>
      <c r="K35" s="42">
        <v>16.0</v>
      </c>
      <c r="L35" s="39">
        <v>1.0</v>
      </c>
      <c r="M35" s="32">
        <f t="shared" ref="M35:N35" si="32">C35+K35</f>
        <v>106</v>
      </c>
      <c r="N35" s="32">
        <f t="shared" si="32"/>
        <v>6</v>
      </c>
      <c r="O35" s="43" t="s">
        <v>53</v>
      </c>
      <c r="P35" s="43" t="s">
        <v>53</v>
      </c>
      <c r="Q35" s="43" t="s">
        <v>53</v>
      </c>
      <c r="R35" s="39">
        <f>if(G35=13,1,0)+VLOOKUP(B35,'082424'!B:T,17,false)</f>
        <v>2</v>
      </c>
      <c r="S35" s="39"/>
      <c r="T35" s="39">
        <f>if(G35=9,1,0)+VLOOKUP(B35,'082424'!B:T,19,false)</f>
        <v>3</v>
      </c>
    </row>
    <row r="36">
      <c r="A36" s="30">
        <f t="shared" si="3"/>
        <v>32</v>
      </c>
      <c r="B36" s="56" t="s">
        <v>101</v>
      </c>
      <c r="C36" s="32">
        <v>90.0</v>
      </c>
      <c r="D36" s="32">
        <v>5.0</v>
      </c>
      <c r="E36" s="37">
        <v>1.0</v>
      </c>
      <c r="F36" s="39">
        <v>5.0</v>
      </c>
      <c r="G36" s="40">
        <v>0.0</v>
      </c>
      <c r="H36" s="39">
        <v>6.0</v>
      </c>
      <c r="I36" s="39">
        <v>6.0</v>
      </c>
      <c r="J36" s="39">
        <v>7.0</v>
      </c>
      <c r="K36" s="42">
        <v>19.0</v>
      </c>
      <c r="L36" s="39">
        <v>3.0</v>
      </c>
      <c r="M36" s="32">
        <f t="shared" ref="M36:N36" si="33">C36+K36</f>
        <v>109</v>
      </c>
      <c r="N36" s="32">
        <f t="shared" si="33"/>
        <v>8</v>
      </c>
      <c r="O36" s="43" t="s">
        <v>53</v>
      </c>
      <c r="P36" s="43" t="s">
        <v>53</v>
      </c>
      <c r="Q36" s="43" t="s">
        <v>53</v>
      </c>
      <c r="R36" s="39">
        <f>if(G36=13,1,0)+VLOOKUP(B36,'082424'!B:T,17,false)</f>
        <v>0</v>
      </c>
      <c r="S36" s="39"/>
      <c r="T36" s="39">
        <f>if(G36=9,1,0)+VLOOKUP(B36,'082424'!B:T,19,false)</f>
        <v>4</v>
      </c>
    </row>
    <row r="37">
      <c r="A37" s="30">
        <f t="shared" si="3"/>
        <v>33</v>
      </c>
      <c r="B37" s="51" t="s">
        <v>114</v>
      </c>
      <c r="C37" s="32">
        <v>88.0</v>
      </c>
      <c r="D37" s="32">
        <v>6.0</v>
      </c>
      <c r="E37" s="37">
        <v>1.0</v>
      </c>
      <c r="F37" s="39">
        <v>6.0</v>
      </c>
      <c r="G37" s="40">
        <v>0.0</v>
      </c>
      <c r="H37" s="39">
        <v>3.0</v>
      </c>
      <c r="I37" s="39">
        <v>4.0</v>
      </c>
      <c r="J37" s="39">
        <v>6.0</v>
      </c>
      <c r="K37" s="42">
        <v>13.0</v>
      </c>
      <c r="L37" s="39">
        <v>1.0</v>
      </c>
      <c r="M37" s="32">
        <f t="shared" ref="M37:N37" si="34">C37+K37</f>
        <v>101</v>
      </c>
      <c r="N37" s="32">
        <f t="shared" si="34"/>
        <v>7</v>
      </c>
      <c r="O37" s="43" t="s">
        <v>53</v>
      </c>
      <c r="P37" s="43" t="s">
        <v>53</v>
      </c>
      <c r="Q37" s="43" t="s">
        <v>53</v>
      </c>
      <c r="R37" s="39">
        <f>if(G37=13,1,0)+VLOOKUP(B37,'082424'!B:T,17,false)</f>
        <v>2</v>
      </c>
      <c r="S37" s="39"/>
      <c r="T37" s="39">
        <f>if(G37=9,1,0)+VLOOKUP(B37,'082424'!B:T,19,false)</f>
        <v>1</v>
      </c>
    </row>
    <row r="38">
      <c r="A38" s="30">
        <f t="shared" si="3"/>
        <v>34</v>
      </c>
      <c r="B38" s="31" t="s">
        <v>98</v>
      </c>
      <c r="C38" s="32">
        <v>86.0</v>
      </c>
      <c r="D38" s="32">
        <v>5.0</v>
      </c>
      <c r="E38" s="37">
        <v>1.0</v>
      </c>
      <c r="F38" s="39">
        <v>6.0</v>
      </c>
      <c r="G38" s="40">
        <v>0.0</v>
      </c>
      <c r="H38" s="39">
        <v>6.0</v>
      </c>
      <c r="I38" s="39">
        <v>6.0</v>
      </c>
      <c r="J38" s="39">
        <v>6.0</v>
      </c>
      <c r="K38" s="42">
        <v>18.0</v>
      </c>
      <c r="L38" s="39">
        <v>3.0</v>
      </c>
      <c r="M38" s="32">
        <f t="shared" ref="M38:N38" si="35">C38+K38</f>
        <v>104</v>
      </c>
      <c r="N38" s="32">
        <f t="shared" si="35"/>
        <v>8</v>
      </c>
      <c r="O38" s="43" t="s">
        <v>53</v>
      </c>
      <c r="P38" s="43" t="s">
        <v>53</v>
      </c>
      <c r="Q38" s="43" t="s">
        <v>53</v>
      </c>
      <c r="R38" s="39">
        <f>if(G38=13,1,0)+VLOOKUP(B38,'082424'!B:T,17,false)</f>
        <v>1</v>
      </c>
      <c r="S38" s="39"/>
      <c r="T38" s="39">
        <f>if(G38=9,1,0)+VLOOKUP(B38,'082424'!B:T,19,false)</f>
        <v>3</v>
      </c>
    </row>
    <row r="39">
      <c r="A39" s="30">
        <f t="shared" si="3"/>
        <v>35</v>
      </c>
      <c r="B39" s="31" t="s">
        <v>119</v>
      </c>
      <c r="C39" s="32">
        <v>85.0</v>
      </c>
      <c r="D39" s="32">
        <v>4.0</v>
      </c>
      <c r="E39" s="37">
        <v>3.0</v>
      </c>
      <c r="F39" s="39">
        <v>0.0</v>
      </c>
      <c r="G39" s="40">
        <v>9.0</v>
      </c>
      <c r="H39" s="39">
        <v>0.0</v>
      </c>
      <c r="I39" s="39">
        <v>0.0</v>
      </c>
      <c r="J39" s="39">
        <v>0.0</v>
      </c>
      <c r="K39" s="42">
        <v>9.0</v>
      </c>
      <c r="L39" s="39">
        <v>0.0</v>
      </c>
      <c r="M39" s="32">
        <f t="shared" ref="M39:N39" si="36">C39+K39</f>
        <v>94</v>
      </c>
      <c r="N39" s="32">
        <f t="shared" si="36"/>
        <v>4</v>
      </c>
      <c r="O39" s="43" t="s">
        <v>53</v>
      </c>
      <c r="P39" s="43" t="s">
        <v>53</v>
      </c>
      <c r="Q39" s="43" t="s">
        <v>53</v>
      </c>
      <c r="R39" s="39">
        <f>if(G39=13,1,0)+VLOOKUP(B39,'082424'!B:T,17,false)</f>
        <v>0</v>
      </c>
      <c r="S39" s="39"/>
      <c r="T39" s="39">
        <f>if(G39=9,1,0)+VLOOKUP(B39,'082424'!B:T,19,false)</f>
        <v>7</v>
      </c>
    </row>
    <row r="40">
      <c r="A40" s="30">
        <f t="shared" si="3"/>
        <v>36</v>
      </c>
      <c r="B40" s="51" t="s">
        <v>75</v>
      </c>
      <c r="C40" s="32">
        <v>85.0</v>
      </c>
      <c r="D40" s="32">
        <v>3.0</v>
      </c>
      <c r="E40" s="37">
        <v>3.0</v>
      </c>
      <c r="F40" s="39">
        <v>0.0</v>
      </c>
      <c r="G40" s="40">
        <v>9.0</v>
      </c>
      <c r="H40" s="39">
        <v>0.0</v>
      </c>
      <c r="I40" s="39">
        <v>0.0</v>
      </c>
      <c r="J40" s="39">
        <v>0.0</v>
      </c>
      <c r="K40" s="42">
        <v>9.0</v>
      </c>
      <c r="L40" s="39">
        <v>0.0</v>
      </c>
      <c r="M40" s="32">
        <f t="shared" ref="M40:N40" si="37">C40+K40</f>
        <v>94</v>
      </c>
      <c r="N40" s="32">
        <f t="shared" si="37"/>
        <v>3</v>
      </c>
      <c r="O40" s="43" t="s">
        <v>53</v>
      </c>
      <c r="P40" s="43" t="s">
        <v>53</v>
      </c>
      <c r="Q40" s="43" t="s">
        <v>53</v>
      </c>
      <c r="R40" s="39">
        <f>if(G40=13,1,0)+VLOOKUP(B40,'082424'!B:T,17,false)</f>
        <v>1</v>
      </c>
      <c r="S40" s="39"/>
      <c r="T40" s="39">
        <f>if(G40=9,1,0)+VLOOKUP(B40,'082424'!B:T,19,false)</f>
        <v>7</v>
      </c>
    </row>
    <row r="41">
      <c r="A41" s="30">
        <f t="shared" si="3"/>
        <v>37</v>
      </c>
      <c r="B41" s="51" t="s">
        <v>102</v>
      </c>
      <c r="C41" s="32">
        <v>85.0</v>
      </c>
      <c r="D41" s="32">
        <v>2.0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8">C41+K41</f>
        <v>94</v>
      </c>
      <c r="N41" s="32">
        <f t="shared" si="38"/>
        <v>2</v>
      </c>
      <c r="O41" s="43" t="s">
        <v>53</v>
      </c>
      <c r="P41" s="43" t="s">
        <v>53</v>
      </c>
      <c r="Q41" s="43" t="s">
        <v>53</v>
      </c>
      <c r="R41" s="39">
        <f>if(G41=13,1,0)+VLOOKUP(B41,'082424'!B:T,17,false)</f>
        <v>2</v>
      </c>
      <c r="S41" s="39"/>
      <c r="T41" s="39">
        <f>if(G41=9,1,0)+VLOOKUP(B41,'082424'!B:T,19,false)</f>
        <v>5</v>
      </c>
    </row>
    <row r="42">
      <c r="A42" s="30">
        <f t="shared" si="3"/>
        <v>38</v>
      </c>
      <c r="B42" s="56" t="s">
        <v>51</v>
      </c>
      <c r="C42" s="32">
        <v>84.0</v>
      </c>
      <c r="D42" s="32">
        <v>6.0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39">C42+K42</f>
        <v>93</v>
      </c>
      <c r="N42" s="32">
        <f t="shared" si="39"/>
        <v>6</v>
      </c>
      <c r="O42" s="43" t="s">
        <v>53</v>
      </c>
      <c r="P42" s="43" t="s">
        <v>53</v>
      </c>
      <c r="Q42" s="43" t="s">
        <v>53</v>
      </c>
      <c r="R42" s="39">
        <f>if(G42=13,1,0)+VLOOKUP(B42,'082424'!B:T,17,false)</f>
        <v>1</v>
      </c>
      <c r="S42" s="39"/>
      <c r="T42" s="39">
        <f>if(G42=9,1,0)+VLOOKUP(B42,'082424'!B:T,19,false)</f>
        <v>3</v>
      </c>
    </row>
    <row r="43">
      <c r="A43" s="30">
        <f t="shared" si="3"/>
        <v>39</v>
      </c>
      <c r="B43" s="51" t="s">
        <v>76</v>
      </c>
      <c r="C43" s="32">
        <v>84.0</v>
      </c>
      <c r="D43" s="32">
        <v>6.0</v>
      </c>
      <c r="E43" s="37">
        <v>1.0</v>
      </c>
      <c r="F43" s="39">
        <v>6.0</v>
      </c>
      <c r="G43" s="40">
        <v>0.0</v>
      </c>
      <c r="H43" s="39">
        <v>3.0</v>
      </c>
      <c r="I43" s="39">
        <v>6.0</v>
      </c>
      <c r="J43" s="39">
        <v>4.0</v>
      </c>
      <c r="K43" s="42">
        <v>13.0</v>
      </c>
      <c r="L43" s="39">
        <v>1.0</v>
      </c>
      <c r="M43" s="32">
        <f t="shared" ref="M43:N43" si="40">C43+K43</f>
        <v>97</v>
      </c>
      <c r="N43" s="32">
        <f t="shared" si="40"/>
        <v>7</v>
      </c>
      <c r="O43" s="43" t="s">
        <v>53</v>
      </c>
      <c r="P43" s="43" t="s">
        <v>53</v>
      </c>
      <c r="Q43" s="43" t="s">
        <v>53</v>
      </c>
      <c r="R43" s="39">
        <f>if(G43=13,1,0)+VLOOKUP(B43,'082424'!B:T,17,false)</f>
        <v>0</v>
      </c>
      <c r="S43" s="39"/>
      <c r="T43" s="39">
        <f>if(G43=9,1,0)+VLOOKUP(B43,'082424'!B:T,19,false)</f>
        <v>4</v>
      </c>
    </row>
    <row r="44">
      <c r="A44" s="30">
        <f t="shared" si="3"/>
        <v>40</v>
      </c>
      <c r="B44" s="31" t="s">
        <v>46</v>
      </c>
      <c r="C44" s="32">
        <v>84.0</v>
      </c>
      <c r="D44" s="32">
        <v>4.0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1">C44+K44</f>
        <v>93</v>
      </c>
      <c r="N44" s="32">
        <f t="shared" si="41"/>
        <v>4</v>
      </c>
      <c r="O44" s="43" t="s">
        <v>53</v>
      </c>
      <c r="P44" s="43" t="s">
        <v>53</v>
      </c>
      <c r="Q44" s="43" t="s">
        <v>53</v>
      </c>
      <c r="R44" s="39">
        <f>if(G44=13,1,0)+VLOOKUP(B44,'082424'!B:T,17,false)</f>
        <v>0</v>
      </c>
      <c r="S44" s="39"/>
      <c r="T44" s="39">
        <f>if(G44=9,1,0)+VLOOKUP(B44,'082424'!B:T,19,false)</f>
        <v>5</v>
      </c>
    </row>
    <row r="45">
      <c r="A45" s="30">
        <f t="shared" si="3"/>
        <v>41</v>
      </c>
      <c r="B45" s="31" t="s">
        <v>56</v>
      </c>
      <c r="C45" s="32">
        <v>84.0</v>
      </c>
      <c r="D45" s="32">
        <v>3.0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2">C45+K45</f>
        <v>93</v>
      </c>
      <c r="N45" s="32">
        <f t="shared" si="42"/>
        <v>3</v>
      </c>
      <c r="O45" s="43" t="s">
        <v>53</v>
      </c>
      <c r="P45" s="43" t="s">
        <v>53</v>
      </c>
      <c r="Q45" s="43" t="s">
        <v>53</v>
      </c>
      <c r="R45" s="39">
        <f>if(G45=13,1,0)+VLOOKUP(B45,'082424'!B:T,17,false)</f>
        <v>0</v>
      </c>
      <c r="S45" s="39"/>
      <c r="T45" s="39">
        <f>if(G45=9,1,0)+VLOOKUP(B45,'082424'!B:T,19,false)</f>
        <v>7</v>
      </c>
    </row>
    <row r="46">
      <c r="A46" s="30">
        <f t="shared" si="3"/>
        <v>42</v>
      </c>
      <c r="B46" s="57" t="s">
        <v>97</v>
      </c>
      <c r="C46" s="32">
        <v>84.0</v>
      </c>
      <c r="D46" s="32">
        <v>2.0</v>
      </c>
      <c r="E46" s="37">
        <v>2.0</v>
      </c>
      <c r="F46" s="39">
        <v>6.0</v>
      </c>
      <c r="G46" s="40">
        <v>0.0</v>
      </c>
      <c r="H46" s="39">
        <v>6.0</v>
      </c>
      <c r="I46" s="39">
        <v>4.0</v>
      </c>
      <c r="J46" s="39">
        <v>4.0</v>
      </c>
      <c r="K46" s="42">
        <v>14.0</v>
      </c>
      <c r="L46" s="39">
        <v>1.0</v>
      </c>
      <c r="M46" s="32">
        <f t="shared" ref="M46:N46" si="43">C46+K46</f>
        <v>98</v>
      </c>
      <c r="N46" s="32">
        <f t="shared" si="43"/>
        <v>3</v>
      </c>
      <c r="O46" s="43" t="s">
        <v>53</v>
      </c>
      <c r="P46" s="43" t="s">
        <v>53</v>
      </c>
      <c r="Q46" s="43" t="s">
        <v>53</v>
      </c>
      <c r="R46" s="39">
        <f>if(G46=13,1,0)+VLOOKUP(B46,'082424'!B:T,17,false)</f>
        <v>1</v>
      </c>
      <c r="S46" s="39"/>
      <c r="T46" s="39">
        <f>if(G46=9,1,0)+VLOOKUP(B46,'082424'!B:T,19,false)</f>
        <v>6</v>
      </c>
    </row>
    <row r="47">
      <c r="A47" s="30">
        <f t="shared" si="3"/>
        <v>43</v>
      </c>
      <c r="B47" s="31" t="s">
        <v>79</v>
      </c>
      <c r="C47" s="32">
        <v>83.0</v>
      </c>
      <c r="D47" s="32">
        <v>3.0</v>
      </c>
      <c r="E47" s="37">
        <v>5.0</v>
      </c>
      <c r="F47" s="39">
        <v>0.0</v>
      </c>
      <c r="G47" s="40">
        <v>13.0</v>
      </c>
      <c r="H47" s="39">
        <v>0.0</v>
      </c>
      <c r="I47" s="39">
        <v>0.0</v>
      </c>
      <c r="J47" s="39">
        <v>0.0</v>
      </c>
      <c r="K47" s="42">
        <v>13.0</v>
      </c>
      <c r="L47" s="39">
        <v>0.0</v>
      </c>
      <c r="M47" s="32">
        <f t="shared" ref="M47:N47" si="44">C47+K47</f>
        <v>96</v>
      </c>
      <c r="N47" s="32">
        <f t="shared" si="44"/>
        <v>3</v>
      </c>
      <c r="O47" s="43" t="s">
        <v>53</v>
      </c>
      <c r="P47" s="43" t="s">
        <v>53</v>
      </c>
      <c r="Q47" s="43" t="s">
        <v>53</v>
      </c>
      <c r="R47" s="39">
        <f>if(G47=13,1,0)+VLOOKUP(B47,'082424'!B:T,17,false)</f>
        <v>2</v>
      </c>
      <c r="S47" s="39"/>
      <c r="T47" s="39">
        <f>if(G47=9,1,0)+VLOOKUP(B47,'082424'!B:T,19,false)</f>
        <v>5</v>
      </c>
    </row>
    <row r="48">
      <c r="A48" s="30">
        <f t="shared" si="3"/>
        <v>44</v>
      </c>
      <c r="B48" s="31" t="s">
        <v>125</v>
      </c>
      <c r="C48" s="32">
        <v>81.0</v>
      </c>
      <c r="D48" s="32">
        <v>3.0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5">C48+K48</f>
        <v>90</v>
      </c>
      <c r="N48" s="32">
        <f t="shared" si="45"/>
        <v>3</v>
      </c>
      <c r="O48" s="43" t="s">
        <v>53</v>
      </c>
      <c r="P48" s="43" t="s">
        <v>53</v>
      </c>
      <c r="Q48" s="43" t="s">
        <v>53</v>
      </c>
      <c r="R48" s="39">
        <f>if(G48=13,1,0)+VLOOKUP(B48,'082424'!B:T,17,false)</f>
        <v>0</v>
      </c>
      <c r="S48" s="39"/>
      <c r="T48" s="39">
        <f>if(G48=9,1,0)+VLOOKUP(B48,'082424'!B:T,19,false)</f>
        <v>8</v>
      </c>
    </row>
    <row r="49">
      <c r="A49" s="30">
        <f t="shared" si="3"/>
        <v>45</v>
      </c>
      <c r="B49" s="56" t="s">
        <v>122</v>
      </c>
      <c r="C49" s="32">
        <v>81.0</v>
      </c>
      <c r="D49" s="32">
        <v>3.0</v>
      </c>
      <c r="E49" s="37">
        <v>3.0</v>
      </c>
      <c r="F49" s="39">
        <v>0.0</v>
      </c>
      <c r="G49" s="40">
        <v>9.0</v>
      </c>
      <c r="H49" s="39">
        <v>0.0</v>
      </c>
      <c r="I49" s="39">
        <v>0.0</v>
      </c>
      <c r="J49" s="39">
        <v>0.0</v>
      </c>
      <c r="K49" s="42">
        <v>9.0</v>
      </c>
      <c r="L49" s="39">
        <v>0.0</v>
      </c>
      <c r="M49" s="32">
        <f t="shared" ref="M49:N49" si="46">C49+K49</f>
        <v>90</v>
      </c>
      <c r="N49" s="32">
        <f t="shared" si="46"/>
        <v>3</v>
      </c>
      <c r="O49" s="43" t="s">
        <v>53</v>
      </c>
      <c r="P49" s="43" t="s">
        <v>53</v>
      </c>
      <c r="Q49" s="43" t="s">
        <v>53</v>
      </c>
      <c r="R49" s="39">
        <f>if(G49=13,1,0)+VLOOKUP(B49,'082424'!B:T,17,false)</f>
        <v>1</v>
      </c>
      <c r="S49" s="39"/>
      <c r="T49" s="39">
        <f>if(G49=9,1,0)+VLOOKUP(B49,'082424'!B:T,19,false)</f>
        <v>5</v>
      </c>
    </row>
    <row r="50">
      <c r="A50" s="30">
        <f t="shared" si="3"/>
        <v>46</v>
      </c>
      <c r="B50" s="31" t="s">
        <v>63</v>
      </c>
      <c r="C50" s="32">
        <v>81.0</v>
      </c>
      <c r="D50" s="32">
        <v>3.0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7">C50+K50</f>
        <v>90</v>
      </c>
      <c r="N50" s="32">
        <f t="shared" si="47"/>
        <v>3</v>
      </c>
      <c r="O50" s="43" t="s">
        <v>53</v>
      </c>
      <c r="P50" s="43" t="s">
        <v>53</v>
      </c>
      <c r="Q50" s="43" t="s">
        <v>53</v>
      </c>
      <c r="R50" s="39">
        <f>if(G50=13,1,0)+VLOOKUP(B50,'082424'!B:T,17,false)</f>
        <v>0</v>
      </c>
      <c r="S50" s="39"/>
      <c r="T50" s="39">
        <f>if(G50=9,1,0)+VLOOKUP(B50,'082424'!B:T,19,false)</f>
        <v>8</v>
      </c>
    </row>
    <row r="51">
      <c r="A51" s="30">
        <f t="shared" si="3"/>
        <v>47</v>
      </c>
      <c r="B51" s="51" t="s">
        <v>116</v>
      </c>
      <c r="C51" s="32">
        <v>81.0</v>
      </c>
      <c r="D51" s="32">
        <v>3.0</v>
      </c>
      <c r="E51" s="37">
        <v>1.0</v>
      </c>
      <c r="F51" s="39">
        <v>7.0</v>
      </c>
      <c r="G51" s="40">
        <v>0.0</v>
      </c>
      <c r="H51" s="39">
        <v>3.0</v>
      </c>
      <c r="I51" s="39">
        <v>6.0</v>
      </c>
      <c r="J51" s="39">
        <v>2.0</v>
      </c>
      <c r="K51" s="42">
        <v>11.0</v>
      </c>
      <c r="L51" s="39">
        <v>1.0</v>
      </c>
      <c r="M51" s="32">
        <f t="shared" ref="M51:N51" si="48">C51+K51</f>
        <v>92</v>
      </c>
      <c r="N51" s="32">
        <f t="shared" si="48"/>
        <v>4</v>
      </c>
      <c r="O51" s="43" t="s">
        <v>53</v>
      </c>
      <c r="P51" s="43" t="s">
        <v>53</v>
      </c>
      <c r="Q51" s="43" t="s">
        <v>53</v>
      </c>
      <c r="R51" s="39">
        <f>if(G51=13,1,0)+VLOOKUP(B51,'082424'!B:T,17,false)</f>
        <v>1</v>
      </c>
      <c r="S51" s="39"/>
      <c r="T51" s="39">
        <f>if(G51=9,1,0)+VLOOKUP(B51,'082424'!B:T,19,false)</f>
        <v>3</v>
      </c>
    </row>
    <row r="52">
      <c r="A52" s="30">
        <f t="shared" si="3"/>
        <v>48</v>
      </c>
      <c r="B52" s="31" t="s">
        <v>123</v>
      </c>
      <c r="C52" s="32">
        <v>81.0</v>
      </c>
      <c r="D52" s="32">
        <v>3.0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49">C52+K52</f>
        <v>90</v>
      </c>
      <c r="N52" s="32">
        <f t="shared" si="49"/>
        <v>3</v>
      </c>
      <c r="O52" s="43" t="s">
        <v>53</v>
      </c>
      <c r="P52" s="43" t="s">
        <v>53</v>
      </c>
      <c r="Q52" s="43" t="s">
        <v>53</v>
      </c>
      <c r="R52" s="39">
        <f>if(G52=13,1,0)+VLOOKUP(B52,'082424'!B:T,17,false)</f>
        <v>0</v>
      </c>
      <c r="S52" s="39"/>
      <c r="T52" s="39">
        <f>if(G52=9,1,0)+VLOOKUP(B52,'082424'!B:T,19,false)</f>
        <v>8</v>
      </c>
    </row>
    <row r="53">
      <c r="A53" s="30">
        <f t="shared" si="3"/>
        <v>49</v>
      </c>
      <c r="B53" s="56" t="s">
        <v>107</v>
      </c>
      <c r="C53" s="32">
        <v>80.0</v>
      </c>
      <c r="D53" s="32">
        <v>7.0</v>
      </c>
      <c r="E53" s="37">
        <v>1.0</v>
      </c>
      <c r="F53" s="39">
        <v>7.0</v>
      </c>
      <c r="G53" s="40">
        <v>0.0</v>
      </c>
      <c r="H53" s="39">
        <v>6.0</v>
      </c>
      <c r="I53" s="39">
        <v>4.0</v>
      </c>
      <c r="J53" s="39">
        <v>2.0</v>
      </c>
      <c r="K53" s="42">
        <v>12.0</v>
      </c>
      <c r="L53" s="39">
        <v>1.0</v>
      </c>
      <c r="M53" s="32">
        <f t="shared" ref="M53:N53" si="50">C53+K53</f>
        <v>92</v>
      </c>
      <c r="N53" s="32">
        <f t="shared" si="50"/>
        <v>8</v>
      </c>
      <c r="O53" s="43" t="s">
        <v>53</v>
      </c>
      <c r="P53" s="43" t="s">
        <v>53</v>
      </c>
      <c r="Q53" s="43" t="s">
        <v>53</v>
      </c>
      <c r="R53" s="39">
        <f>if(G53=13,1,0)+VLOOKUP(B53,'082424'!B:T,17,false)</f>
        <v>0</v>
      </c>
      <c r="S53" s="39"/>
      <c r="T53" s="39">
        <f>if(G53=9,1,0)+VLOOKUP(B53,'082424'!B:T,19,false)</f>
        <v>3</v>
      </c>
    </row>
    <row r="54">
      <c r="A54" s="30">
        <f t="shared" si="3"/>
        <v>50</v>
      </c>
      <c r="B54" s="51" t="s">
        <v>99</v>
      </c>
      <c r="C54" s="32">
        <v>79.0</v>
      </c>
      <c r="D54" s="32">
        <v>2.0</v>
      </c>
      <c r="E54" s="37">
        <v>1.0</v>
      </c>
      <c r="F54" s="39">
        <v>7.0</v>
      </c>
      <c r="G54" s="40">
        <v>0.0</v>
      </c>
      <c r="H54" s="39">
        <v>6.0</v>
      </c>
      <c r="I54" s="39">
        <v>6.0</v>
      </c>
      <c r="J54" s="39">
        <v>6.0</v>
      </c>
      <c r="K54" s="42">
        <v>18.0</v>
      </c>
      <c r="L54" s="39">
        <v>3.0</v>
      </c>
      <c r="M54" s="32">
        <f t="shared" ref="M54:N54" si="51">C54+K54</f>
        <v>97</v>
      </c>
      <c r="N54" s="32">
        <f t="shared" si="51"/>
        <v>5</v>
      </c>
      <c r="O54" s="43" t="s">
        <v>53</v>
      </c>
      <c r="P54" s="43"/>
      <c r="Q54" s="43" t="s">
        <v>53</v>
      </c>
      <c r="R54" s="39">
        <f>if(G54=13,1,0)+VLOOKUP(B54,'082424'!B:T,17,false)</f>
        <v>0</v>
      </c>
      <c r="S54" s="39"/>
      <c r="T54" s="39">
        <f>if(G54=9,1,0)+VLOOKUP(B54,'082424'!B:T,19,false)</f>
        <v>1</v>
      </c>
    </row>
    <row r="55">
      <c r="A55" s="30">
        <f t="shared" si="3"/>
        <v>51</v>
      </c>
      <c r="B55" s="56" t="s">
        <v>115</v>
      </c>
      <c r="C55" s="32">
        <v>78.0</v>
      </c>
      <c r="D55" s="32">
        <v>6.0</v>
      </c>
      <c r="E55" s="37">
        <v>1.0</v>
      </c>
      <c r="F55" s="39">
        <v>7.0</v>
      </c>
      <c r="G55" s="40">
        <v>0.0</v>
      </c>
      <c r="H55" s="39">
        <v>3.0</v>
      </c>
      <c r="I55" s="39">
        <v>4.0</v>
      </c>
      <c r="J55" s="39">
        <v>6.0</v>
      </c>
      <c r="K55" s="42">
        <v>13.0</v>
      </c>
      <c r="L55" s="39">
        <v>1.0</v>
      </c>
      <c r="M55" s="32">
        <f t="shared" ref="M55:N55" si="52">C55+K55</f>
        <v>91</v>
      </c>
      <c r="N55" s="32">
        <f t="shared" si="52"/>
        <v>7</v>
      </c>
      <c r="O55" s="43" t="s">
        <v>53</v>
      </c>
      <c r="P55" s="43" t="s">
        <v>53</v>
      </c>
      <c r="Q55" s="43" t="s">
        <v>53</v>
      </c>
      <c r="R55" s="39">
        <f>if(G55=13,1,0)+VLOOKUP(B55,'082424'!B:T,17,false)</f>
        <v>0</v>
      </c>
      <c r="S55" s="39"/>
      <c r="T55" s="39">
        <f>if(G55=9,1,0)+VLOOKUP(B55,'082424'!B:T,19,false)</f>
        <v>1</v>
      </c>
    </row>
    <row r="56">
      <c r="A56" s="30">
        <f t="shared" si="3"/>
        <v>52</v>
      </c>
      <c r="B56" s="51" t="s">
        <v>118</v>
      </c>
      <c r="C56" s="32">
        <v>78.0</v>
      </c>
      <c r="D56" s="32">
        <v>2.0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3">C56+K56</f>
        <v>87</v>
      </c>
      <c r="N56" s="32">
        <f t="shared" si="53"/>
        <v>2</v>
      </c>
      <c r="O56" s="43" t="s">
        <v>53</v>
      </c>
      <c r="P56" s="43" t="s">
        <v>53</v>
      </c>
      <c r="Q56" s="43" t="s">
        <v>53</v>
      </c>
      <c r="R56" s="39">
        <f>if(G56=13,1,0)+VLOOKUP(B56,'082424'!B:T,17,false)</f>
        <v>0</v>
      </c>
      <c r="S56" s="39"/>
      <c r="T56" s="39">
        <f>if(G56=9,1,0)+VLOOKUP(B56,'082424'!B:T,19,false)</f>
        <v>6</v>
      </c>
    </row>
    <row r="57">
      <c r="A57" s="30">
        <f t="shared" si="3"/>
        <v>53</v>
      </c>
      <c r="B57" s="51" t="s">
        <v>113</v>
      </c>
      <c r="C57" s="32">
        <v>77.0</v>
      </c>
      <c r="D57" s="32">
        <v>6.0</v>
      </c>
      <c r="E57" s="37">
        <v>1.0</v>
      </c>
      <c r="F57" s="39">
        <v>8.0</v>
      </c>
      <c r="G57" s="40">
        <v>0.0</v>
      </c>
      <c r="H57" s="39">
        <v>3.0</v>
      </c>
      <c r="I57" s="39">
        <v>4.0</v>
      </c>
      <c r="J57" s="39">
        <v>0.0</v>
      </c>
      <c r="K57" s="42">
        <v>7.0</v>
      </c>
      <c r="L57" s="39">
        <v>0.0</v>
      </c>
      <c r="M57" s="32">
        <f t="shared" ref="M57:N57" si="54">C57+K57</f>
        <v>84</v>
      </c>
      <c r="N57" s="32">
        <f t="shared" si="54"/>
        <v>6</v>
      </c>
      <c r="O57" s="43" t="s">
        <v>53</v>
      </c>
      <c r="P57" s="43" t="s">
        <v>53</v>
      </c>
      <c r="Q57" s="43" t="s">
        <v>53</v>
      </c>
      <c r="R57" s="39">
        <f>if(G57=13,1,0)+VLOOKUP(B57,'082424'!B:T,17,false)</f>
        <v>0</v>
      </c>
      <c r="S57" s="39"/>
      <c r="T57" s="39">
        <f>if(G57=9,1,0)+VLOOKUP(B57,'082424'!B:T,19,false)</f>
        <v>1</v>
      </c>
    </row>
    <row r="58">
      <c r="A58" s="30">
        <f t="shared" si="3"/>
        <v>54</v>
      </c>
      <c r="B58" s="51" t="s">
        <v>121</v>
      </c>
      <c r="C58" s="32">
        <v>77.0</v>
      </c>
      <c r="D58" s="32">
        <v>4.0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5">C58+K58</f>
        <v>86</v>
      </c>
      <c r="N58" s="32">
        <f t="shared" si="55"/>
        <v>4</v>
      </c>
      <c r="O58" s="43" t="s">
        <v>53</v>
      </c>
      <c r="P58" s="43" t="s">
        <v>53</v>
      </c>
      <c r="Q58" s="43" t="s">
        <v>53</v>
      </c>
      <c r="R58" s="39">
        <f>if(G58=13,1,0)+VLOOKUP(B58,'082424'!B:T,17,false)</f>
        <v>0</v>
      </c>
      <c r="S58" s="39"/>
      <c r="T58" s="39">
        <f>if(G58=9,1,0)+VLOOKUP(B58,'082424'!B:T,19,false)</f>
        <v>6</v>
      </c>
    </row>
    <row r="59">
      <c r="A59" s="30">
        <f t="shared" si="3"/>
        <v>55</v>
      </c>
      <c r="B59" s="51" t="s">
        <v>108</v>
      </c>
      <c r="C59" s="32">
        <v>76.0</v>
      </c>
      <c r="D59" s="32">
        <v>2.0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6">C59+K59</f>
        <v>85</v>
      </c>
      <c r="N59" s="32">
        <f t="shared" si="56"/>
        <v>2</v>
      </c>
      <c r="O59" s="43" t="s">
        <v>53</v>
      </c>
      <c r="P59" s="43" t="s">
        <v>53</v>
      </c>
      <c r="Q59" s="43" t="s">
        <v>53</v>
      </c>
      <c r="R59" s="39">
        <f>if(G59=13,1,0)+VLOOKUP(B59,'082424'!B:T,17,false)</f>
        <v>0</v>
      </c>
      <c r="S59" s="39"/>
      <c r="T59" s="39">
        <f>if(G59=9,1,0)+VLOOKUP(B59,'082424'!B:T,19,false)</f>
        <v>7</v>
      </c>
    </row>
    <row r="60">
      <c r="A60" s="30">
        <f t="shared" si="3"/>
        <v>56</v>
      </c>
      <c r="B60" s="31" t="s">
        <v>72</v>
      </c>
      <c r="C60" s="32">
        <v>76.0</v>
      </c>
      <c r="D60" s="32">
        <v>0.0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7">C60+K60</f>
        <v>85</v>
      </c>
      <c r="N60" s="32">
        <f t="shared" si="57"/>
        <v>0</v>
      </c>
      <c r="O60" s="43" t="s">
        <v>53</v>
      </c>
      <c r="P60" s="43" t="s">
        <v>53</v>
      </c>
      <c r="Q60" s="43" t="s">
        <v>53</v>
      </c>
      <c r="R60" s="39">
        <f>if(G60=13,1,0)+VLOOKUP(B60,'082424'!B:T,17,false)</f>
        <v>1</v>
      </c>
      <c r="S60" s="39"/>
      <c r="T60" s="39">
        <f>if(G60=9,1,0)+VLOOKUP(B60,'082424'!B:T,19,false)</f>
        <v>8</v>
      </c>
    </row>
    <row r="61">
      <c r="A61" s="30">
        <f t="shared" si="3"/>
        <v>57</v>
      </c>
      <c r="B61" s="31" t="s">
        <v>126</v>
      </c>
      <c r="C61" s="32">
        <v>76.0</v>
      </c>
      <c r="D61" s="32">
        <v>0.0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8">C61+K61</f>
        <v>85</v>
      </c>
      <c r="N61" s="32">
        <f t="shared" si="58"/>
        <v>0</v>
      </c>
      <c r="O61" s="43" t="s">
        <v>53</v>
      </c>
      <c r="P61" s="43" t="s">
        <v>53</v>
      </c>
      <c r="Q61" s="43" t="s">
        <v>53</v>
      </c>
      <c r="R61" s="39">
        <f>if(G61=13,1,0)+VLOOKUP(B61,'082424'!B:T,17,false)</f>
        <v>1</v>
      </c>
      <c r="S61" s="39"/>
      <c r="T61" s="39">
        <f>if(G61=9,1,0)+VLOOKUP(B61,'082424'!B:T,19,false)</f>
        <v>7</v>
      </c>
    </row>
    <row r="62">
      <c r="A62" s="30">
        <f t="shared" si="3"/>
        <v>58</v>
      </c>
      <c r="B62" s="31" t="s">
        <v>117</v>
      </c>
      <c r="C62" s="32">
        <v>76.0</v>
      </c>
      <c r="D62" s="32">
        <v>0.0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59">C62+K62</f>
        <v>85</v>
      </c>
      <c r="N62" s="32">
        <f t="shared" si="59"/>
        <v>0</v>
      </c>
      <c r="O62" s="43" t="s">
        <v>53</v>
      </c>
      <c r="P62" s="43" t="s">
        <v>53</v>
      </c>
      <c r="Q62" s="43" t="s">
        <v>53</v>
      </c>
      <c r="R62" s="39">
        <f>if(G62=13,1,0)+VLOOKUP(B62,'082424'!B:T,17,false)</f>
        <v>1</v>
      </c>
      <c r="S62" s="39"/>
      <c r="T62" s="39">
        <f>if(G62=9,1,0)+VLOOKUP(B62,'082424'!B:T,19,false)</f>
        <v>8</v>
      </c>
    </row>
    <row r="63">
      <c r="A63" s="30">
        <f t="shared" si="3"/>
        <v>59</v>
      </c>
      <c r="B63" s="31" t="s">
        <v>109</v>
      </c>
      <c r="C63" s="32">
        <v>76.0</v>
      </c>
      <c r="D63" s="32">
        <v>0.0</v>
      </c>
      <c r="E63" s="37">
        <v>5.0</v>
      </c>
      <c r="F63" s="39">
        <v>0.0</v>
      </c>
      <c r="G63" s="40">
        <v>13.0</v>
      </c>
      <c r="H63" s="39">
        <v>0.0</v>
      </c>
      <c r="I63" s="39">
        <v>0.0</v>
      </c>
      <c r="J63" s="39">
        <v>0.0</v>
      </c>
      <c r="K63" s="42">
        <v>13.0</v>
      </c>
      <c r="L63" s="39">
        <v>0.0</v>
      </c>
      <c r="M63" s="32">
        <f t="shared" ref="M63:N63" si="60">C63+K63</f>
        <v>89</v>
      </c>
      <c r="N63" s="32">
        <f t="shared" si="60"/>
        <v>0</v>
      </c>
      <c r="O63" s="43" t="s">
        <v>53</v>
      </c>
      <c r="P63" s="43" t="s">
        <v>53</v>
      </c>
      <c r="Q63" s="43" t="s">
        <v>53</v>
      </c>
      <c r="R63" s="39">
        <f>if(G63=13,1,0)+VLOOKUP(B63,'082424'!B:T,17,false)</f>
        <v>2</v>
      </c>
      <c r="S63" s="39"/>
      <c r="T63" s="39">
        <f>if(G63=9,1,0)+VLOOKUP(B63,'082424'!B:T,19,false)</f>
        <v>7</v>
      </c>
    </row>
    <row r="64">
      <c r="A64" s="30">
        <f t="shared" si="3"/>
        <v>60</v>
      </c>
      <c r="B64" s="31" t="s">
        <v>120</v>
      </c>
      <c r="C64" s="32">
        <v>75.0</v>
      </c>
      <c r="D64" s="32">
        <v>2.0</v>
      </c>
      <c r="E64" s="37">
        <v>1.0</v>
      </c>
      <c r="F64" s="39">
        <v>8.0</v>
      </c>
      <c r="G64" s="40">
        <v>0.0</v>
      </c>
      <c r="H64" s="39">
        <v>3.0</v>
      </c>
      <c r="I64" s="39">
        <v>6.0</v>
      </c>
      <c r="J64" s="39">
        <v>6.0</v>
      </c>
      <c r="K64" s="42">
        <v>15.0</v>
      </c>
      <c r="L64" s="39">
        <v>2.0</v>
      </c>
      <c r="M64" s="32">
        <f t="shared" ref="M64:N64" si="61">C64+K64</f>
        <v>90</v>
      </c>
      <c r="N64" s="32">
        <f t="shared" si="61"/>
        <v>4</v>
      </c>
      <c r="O64" s="43" t="s">
        <v>53</v>
      </c>
      <c r="P64" s="43" t="s">
        <v>53</v>
      </c>
      <c r="Q64" s="43" t="s">
        <v>53</v>
      </c>
      <c r="R64" s="39">
        <f>if(G64=13,1,0)+VLOOKUP(B64,'082424'!B:T,17,false)</f>
        <v>0</v>
      </c>
      <c r="S64" s="39"/>
      <c r="T64" s="39">
        <f>if(G64=9,1,0)+VLOOKUP(B64,'082424'!B:T,19,false)</f>
        <v>7</v>
      </c>
    </row>
    <row r="65">
      <c r="A65" s="30">
        <f t="shared" si="3"/>
        <v>61</v>
      </c>
      <c r="B65" s="51" t="s">
        <v>112</v>
      </c>
      <c r="C65" s="32">
        <v>73.0</v>
      </c>
      <c r="D65" s="32">
        <v>2.0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2">C65+K65</f>
        <v>82</v>
      </c>
      <c r="N65" s="32">
        <f t="shared" si="62"/>
        <v>2</v>
      </c>
      <c r="O65" s="43" t="s">
        <v>53</v>
      </c>
      <c r="P65" s="43" t="s">
        <v>53</v>
      </c>
      <c r="Q65" s="43" t="s">
        <v>53</v>
      </c>
      <c r="R65" s="39">
        <f>if(G65=13,1,0)+VLOOKUP(B65,'082424'!B:T,17,false)</f>
        <v>0</v>
      </c>
      <c r="S65" s="39"/>
      <c r="T65" s="39">
        <f>if(G65=9,1,0)+VLOOKUP(B65,'082424'!B:T,19,false)</f>
        <v>4</v>
      </c>
    </row>
    <row r="66">
      <c r="A66" s="30">
        <f t="shared" si="3"/>
        <v>62</v>
      </c>
      <c r="B66" s="31" t="s">
        <v>124</v>
      </c>
      <c r="C66" s="32">
        <v>73.0</v>
      </c>
      <c r="D66" s="32">
        <v>1.0</v>
      </c>
      <c r="E66" s="37">
        <v>5.0</v>
      </c>
      <c r="F66" s="39">
        <v>0.0</v>
      </c>
      <c r="G66" s="40">
        <v>13.0</v>
      </c>
      <c r="H66" s="39">
        <v>0.0</v>
      </c>
      <c r="I66" s="39">
        <v>0.0</v>
      </c>
      <c r="J66" s="39">
        <v>0.0</v>
      </c>
      <c r="K66" s="42">
        <v>13.0</v>
      </c>
      <c r="L66" s="39">
        <v>0.0</v>
      </c>
      <c r="M66" s="32">
        <f t="shared" ref="M66:N66" si="63">C66+K66</f>
        <v>86</v>
      </c>
      <c r="N66" s="32">
        <f t="shared" si="63"/>
        <v>1</v>
      </c>
      <c r="O66" s="43" t="s">
        <v>53</v>
      </c>
      <c r="P66" s="43" t="s">
        <v>53</v>
      </c>
      <c r="Q66" s="43" t="s">
        <v>53</v>
      </c>
      <c r="R66" s="39">
        <f>if(G66=13,1,0)+VLOOKUP(B66,'082424'!B:T,17,false)</f>
        <v>1</v>
      </c>
      <c r="S66" s="39"/>
      <c r="T66" s="39">
        <f>if(G66=9,1,0)+VLOOKUP(B66,'082424'!B:T,19,false)</f>
        <v>7</v>
      </c>
    </row>
    <row r="67">
      <c r="A67" s="30">
        <f t="shared" si="3"/>
        <v>63</v>
      </c>
      <c r="B67" s="31" t="s">
        <v>81</v>
      </c>
      <c r="C67" s="32">
        <v>72.0</v>
      </c>
      <c r="D67" s="32">
        <v>1.0</v>
      </c>
      <c r="E67" s="37">
        <v>5.0</v>
      </c>
      <c r="F67" s="39">
        <v>0.0</v>
      </c>
      <c r="G67" s="40">
        <v>13.0</v>
      </c>
      <c r="H67" s="39">
        <v>0.0</v>
      </c>
      <c r="I67" s="39">
        <v>0.0</v>
      </c>
      <c r="J67" s="39">
        <v>0.0</v>
      </c>
      <c r="K67" s="42">
        <v>13.0</v>
      </c>
      <c r="L67" s="39">
        <v>0.0</v>
      </c>
      <c r="M67" s="32">
        <f t="shared" ref="M67:N67" si="64">C67+K67</f>
        <v>85</v>
      </c>
      <c r="N67" s="32">
        <f t="shared" si="64"/>
        <v>1</v>
      </c>
      <c r="O67" s="43" t="s">
        <v>53</v>
      </c>
      <c r="P67" s="43" t="s">
        <v>53</v>
      </c>
      <c r="Q67" s="43" t="s">
        <v>53</v>
      </c>
      <c r="R67" s="39">
        <f>if(G67=13,1,0)+VLOOKUP(B67,'082424'!B:T,17,false)</f>
        <v>1</v>
      </c>
      <c r="S67" s="39"/>
      <c r="T67" s="39">
        <f>if(G67=9,1,0)+VLOOKUP(B67,'082424'!B:T,19,false)</f>
        <v>7</v>
      </c>
    </row>
    <row r="68">
      <c r="A68" s="30">
        <f t="shared" si="3"/>
        <v>64</v>
      </c>
      <c r="B68" s="31" t="s">
        <v>106</v>
      </c>
      <c r="C68" s="32">
        <v>72.0</v>
      </c>
      <c r="D68" s="32">
        <v>0.0</v>
      </c>
      <c r="E68" s="37">
        <v>1.0</v>
      </c>
      <c r="F68" s="39">
        <v>8.0</v>
      </c>
      <c r="G68" s="40">
        <v>0.0</v>
      </c>
      <c r="H68" s="39">
        <v>6.0</v>
      </c>
      <c r="I68" s="39">
        <v>4.0</v>
      </c>
      <c r="J68" s="39">
        <v>6.0</v>
      </c>
      <c r="K68" s="42">
        <v>16.0</v>
      </c>
      <c r="L68" s="39">
        <v>2.0</v>
      </c>
      <c r="M68" s="32">
        <f t="shared" ref="M68:N68" si="65">C68+K68</f>
        <v>88</v>
      </c>
      <c r="N68" s="32">
        <f t="shared" si="65"/>
        <v>2</v>
      </c>
      <c r="O68" s="43" t="s">
        <v>53</v>
      </c>
      <c r="P68" s="43" t="s">
        <v>53</v>
      </c>
      <c r="Q68" s="43" t="s">
        <v>53</v>
      </c>
      <c r="R68" s="39">
        <f>if(G68=13,1,0)+VLOOKUP(B68,'082424'!B:T,17,false)</f>
        <v>0</v>
      </c>
      <c r="S68" s="39"/>
      <c r="T68" s="39">
        <f>if(G68=9,1,0)+VLOOKUP(B68,'082424'!B:T,19,false)</f>
        <v>8</v>
      </c>
    </row>
    <row r="69">
      <c r="A69" s="30">
        <f t="shared" si="3"/>
        <v>65</v>
      </c>
      <c r="B69" s="51" t="s">
        <v>74</v>
      </c>
      <c r="C69" s="32">
        <v>72.0</v>
      </c>
      <c r="D69" s="32">
        <v>0.0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6">C69+K69</f>
        <v>81</v>
      </c>
      <c r="N69" s="32">
        <f t="shared" si="66"/>
        <v>0</v>
      </c>
      <c r="O69" s="43" t="s">
        <v>53</v>
      </c>
      <c r="P69" s="43" t="s">
        <v>53</v>
      </c>
      <c r="Q69" s="43" t="s">
        <v>53</v>
      </c>
      <c r="R69" s="39">
        <f>if(G69=13,1,0)+VLOOKUP(B69,'082424'!B:T,17,false)</f>
        <v>0</v>
      </c>
      <c r="S69" s="39"/>
      <c r="T69" s="39">
        <f>if(G69=9,1,0)+VLOOKUP(B69,'082424'!B:T,19,false)</f>
        <v>9</v>
      </c>
    </row>
    <row r="70">
      <c r="A70" s="30">
        <f t="shared" si="3"/>
        <v>66</v>
      </c>
      <c r="B70" s="51" t="s">
        <v>80</v>
      </c>
      <c r="C70" s="32">
        <v>67.0</v>
      </c>
      <c r="D70" s="32">
        <v>4.0</v>
      </c>
      <c r="E70" s="37">
        <v>1.0</v>
      </c>
      <c r="F70" s="39">
        <v>8.0</v>
      </c>
      <c r="G70" s="40">
        <v>0.0</v>
      </c>
      <c r="H70" s="39">
        <v>6.0</v>
      </c>
      <c r="I70" s="39">
        <v>6.0</v>
      </c>
      <c r="J70" s="39">
        <v>0.0</v>
      </c>
      <c r="K70" s="42">
        <v>12.0</v>
      </c>
      <c r="L70" s="39">
        <v>2.0</v>
      </c>
      <c r="M70" s="32">
        <f t="shared" ref="M70:N70" si="67">C70+K70</f>
        <v>79</v>
      </c>
      <c r="N70" s="32">
        <f t="shared" si="67"/>
        <v>6</v>
      </c>
      <c r="O70" s="43" t="s">
        <v>53</v>
      </c>
      <c r="P70" s="43" t="s">
        <v>53</v>
      </c>
      <c r="Q70" s="43" t="s">
        <v>53</v>
      </c>
      <c r="R70" s="39">
        <f>if(G70=13,1,0)+VLOOKUP(B70,'082424'!B:T,17,false)</f>
        <v>0</v>
      </c>
      <c r="S70" s="39"/>
      <c r="T70" s="39">
        <f>if(G70=9,1,0)+VLOOKUP(B70,'082424'!B:T,19,false)</f>
        <v>3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8">COUNTA(P5:P70)</f>
        <v>65</v>
      </c>
      <c r="Q73" s="8">
        <f t="shared" si="68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69">P75-P73</f>
        <v>1</v>
      </c>
      <c r="Q74" s="8">
        <f t="shared" si="69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desc"",0)"),"Tom Le")</f>
        <v>Tom Le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IFERROR(__xludf.DUMMYFUNCTION("""COMPUTED_VALUE"""),"Cid Macaraeg")</f>
        <v>Cid Macaraeg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IFERROR(__xludf.DUMMYFUNCTION("""COMPUTED_VALUE"""),"Ramesh Bandaru")</f>
        <v>Ramesh Bandaru</v>
      </c>
      <c r="C82" s="71">
        <f>IFERROR(__xludf.DUMMYFUNCTION("""COMPUTED_VALUE"""),19.0)</f>
        <v>19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IFERROR(__xludf.DUMMYFUNCTION("""COMPUTED_VALUE"""),"David Shin")</f>
        <v>David Shin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</row>
    <row r="84">
      <c r="A84" s="11"/>
      <c r="B84" s="51" t="str">
        <f>IFERROR(__xludf.DUMMYFUNCTION("""COMPUTED_VALUE"""),"Sean Chang")</f>
        <v>Sean Chang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K84" s="10"/>
    </row>
    <row r="85">
      <c r="A85" s="11"/>
      <c r="B85" s="51" t="str">
        <f>IFERROR(__xludf.DUMMYFUNCTION("""COMPUTED_VALUE"""),"Jim Miao")</f>
        <v>Jim Miao</v>
      </c>
      <c r="C85" s="71">
        <f>IFERROR(__xludf.DUMMYFUNCTION("""COMPUTED_VALUE"""),18.0)</f>
        <v>18</v>
      </c>
      <c r="D85" s="71">
        <f>IFERROR(__xludf.DUMMYFUNCTION("""COMPUTED_VALUE"""),3.0)</f>
        <v>3</v>
      </c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 t="s">
        <v>165</v>
      </c>
      <c r="C91" s="11"/>
      <c r="D91" s="11"/>
      <c r="E91" s="11"/>
    </row>
    <row r="92">
      <c r="A92" s="11"/>
      <c r="B92" s="27" t="s">
        <v>31</v>
      </c>
      <c r="C92" s="29" t="s">
        <v>2</v>
      </c>
      <c r="D92" s="29" t="s">
        <v>4</v>
      </c>
      <c r="E92" s="29" t="s">
        <v>33</v>
      </c>
      <c r="F92" s="29" t="s">
        <v>35</v>
      </c>
      <c r="G92" s="29" t="s">
        <v>36</v>
      </c>
      <c r="H92" s="29" t="s">
        <v>6</v>
      </c>
      <c r="I92" s="29" t="s">
        <v>7</v>
      </c>
      <c r="J92" s="29" t="s">
        <v>8</v>
      </c>
      <c r="K92" s="29" t="s">
        <v>2</v>
      </c>
      <c r="L92" s="29" t="s">
        <v>4</v>
      </c>
      <c r="M92" s="28" t="s">
        <v>2</v>
      </c>
      <c r="N92" s="28" t="s">
        <v>4</v>
      </c>
    </row>
    <row r="93">
      <c r="A93" s="11"/>
      <c r="B93" s="82" t="str">
        <f>IFERROR(__xludf.DUMMYFUNCTION("QUERY(B5:N70, ""Select B, C, D, E, F, G, H, I, J, K, L, M, N   where F &gt;= 1"")"),"Adrian Tay")</f>
        <v>Adrian Tay</v>
      </c>
      <c r="C93" s="87">
        <f>IFERROR(__xludf.DUMMYFUNCTION("""COMPUTED_VALUE"""),128.0)</f>
        <v>128</v>
      </c>
      <c r="D93" s="87">
        <f>IFERROR(__xludf.DUMMYFUNCTION("""COMPUTED_VALUE"""),16.0)</f>
        <v>16</v>
      </c>
      <c r="E93" s="86">
        <f>IFERROR(__xludf.DUMMYFUNCTION("""COMPUTED_VALUE"""),1.0)</f>
        <v>1</v>
      </c>
      <c r="F93" s="88">
        <f>IFERROR(__xludf.DUMMYFUNCTION("""COMPUTED_VALUE"""),1.0)</f>
        <v>1</v>
      </c>
      <c r="G93" s="88">
        <f>IFERROR(__xludf.DUMMYFUNCTION("""COMPUTED_VALUE"""),0.0)</f>
        <v>0</v>
      </c>
      <c r="H93" s="88">
        <f>IFERROR(__xludf.DUMMYFUNCTION("""COMPUTED_VALUE"""),6.0)</f>
        <v>6</v>
      </c>
      <c r="I93" s="88">
        <f>IFERROR(__xludf.DUMMYFUNCTION("""COMPUTED_VALUE"""),6.0)</f>
        <v>6</v>
      </c>
      <c r="J93" s="88">
        <f>IFERROR(__xludf.DUMMYFUNCTION("""COMPUTED_VALUE"""),4.0)</f>
        <v>4</v>
      </c>
      <c r="K93" s="88">
        <f>IFERROR(__xludf.DUMMYFUNCTION("""COMPUTED_VALUE"""),16.0)</f>
        <v>16</v>
      </c>
      <c r="L93" s="88">
        <f>IFERROR(__xludf.DUMMYFUNCTION("""COMPUTED_VALUE"""),1.0)</f>
        <v>1</v>
      </c>
      <c r="M93" s="89">
        <f>IFERROR(__xludf.DUMMYFUNCTION("""COMPUTED_VALUE"""),144.0)</f>
        <v>144</v>
      </c>
      <c r="N93" s="89">
        <f>IFERROR(__xludf.DUMMYFUNCTION("""COMPUTED_VALUE"""),17.0)</f>
        <v>17</v>
      </c>
    </row>
    <row r="94">
      <c r="A94" s="11"/>
      <c r="B94" s="82" t="str">
        <f>IFERROR(__xludf.DUMMYFUNCTION("""COMPUTED_VALUE"""),"Tom Le")</f>
        <v>Tom Le</v>
      </c>
      <c r="C94" s="87">
        <f>IFERROR(__xludf.DUMMYFUNCTION("""COMPUTED_VALUE"""),116.0)</f>
        <v>116</v>
      </c>
      <c r="D94" s="87">
        <f>IFERROR(__xludf.DUMMYFUNCTION("""COMPUTED_VALUE"""),14.0)</f>
        <v>14</v>
      </c>
      <c r="E94" s="86">
        <f>IFERROR(__xludf.DUMMYFUNCTION("""COMPUTED_VALUE"""),1.0)</f>
        <v>1</v>
      </c>
      <c r="F94" s="88">
        <f>IFERROR(__xludf.DUMMYFUNCTION("""COMPUTED_VALUE"""),1.0)</f>
        <v>1</v>
      </c>
      <c r="G94" s="88">
        <f>IFERROR(__xludf.DUMMYFUNCTION("""COMPUTED_VALUE"""),0.0)</f>
        <v>0</v>
      </c>
      <c r="H94" s="88">
        <f>IFERROR(__xludf.DUMMYFUNCTION("""COMPUTED_VALUE"""),6.0)</f>
        <v>6</v>
      </c>
      <c r="I94" s="88">
        <f>IFERROR(__xludf.DUMMYFUNCTION("""COMPUTED_VALUE"""),7.0)</f>
        <v>7</v>
      </c>
      <c r="J94" s="88">
        <f>IFERROR(__xludf.DUMMYFUNCTION("""COMPUTED_VALUE"""),6.0)</f>
        <v>6</v>
      </c>
      <c r="K94" s="88">
        <f>IFERROR(__xludf.DUMMYFUNCTION("""COMPUTED_VALUE"""),19.0)</f>
        <v>19</v>
      </c>
      <c r="L94" s="88">
        <f>IFERROR(__xludf.DUMMYFUNCTION("""COMPUTED_VALUE"""),3.0)</f>
        <v>3</v>
      </c>
      <c r="M94" s="89">
        <f>IFERROR(__xludf.DUMMYFUNCTION("""COMPUTED_VALUE"""),135.0)</f>
        <v>135</v>
      </c>
      <c r="N94" s="89">
        <f>IFERROR(__xludf.DUMMYFUNCTION("""COMPUTED_VALUE"""),17.0)</f>
        <v>17</v>
      </c>
    </row>
    <row r="95">
      <c r="A95" s="11"/>
      <c r="B95" s="82" t="str">
        <f>IFERROR(__xludf.DUMMYFUNCTION("""COMPUTED_VALUE"""),"Ted Shen")</f>
        <v>Ted Shen</v>
      </c>
      <c r="C95" s="87">
        <f>IFERROR(__xludf.DUMMYFUNCTION("""COMPUTED_VALUE"""),109.0)</f>
        <v>109</v>
      </c>
      <c r="D95" s="87">
        <f>IFERROR(__xludf.DUMMYFUNCTION("""COMPUTED_VALUE"""),10.0)</f>
        <v>10</v>
      </c>
      <c r="E95" s="86">
        <f>IFERROR(__xludf.DUMMYFUNCTION("""COMPUTED_VALUE"""),1.0)</f>
        <v>1</v>
      </c>
      <c r="F95" s="88">
        <f>IFERROR(__xludf.DUMMYFUNCTION("""COMPUTED_VALUE"""),1.0)</f>
        <v>1</v>
      </c>
      <c r="G95" s="88">
        <f>IFERROR(__xludf.DUMMYFUNCTION("""COMPUTED_VALUE"""),0.0)</f>
        <v>0</v>
      </c>
      <c r="H95" s="88">
        <f>IFERROR(__xludf.DUMMYFUNCTION("""COMPUTED_VALUE"""),0.0)</f>
        <v>0</v>
      </c>
      <c r="I95" s="88">
        <f>IFERROR(__xludf.DUMMYFUNCTION("""COMPUTED_VALUE"""),7.0)</f>
        <v>7</v>
      </c>
      <c r="J95" s="88">
        <f>IFERROR(__xludf.DUMMYFUNCTION("""COMPUTED_VALUE"""),4.0)</f>
        <v>4</v>
      </c>
      <c r="K95" s="88">
        <f>IFERROR(__xludf.DUMMYFUNCTION("""COMPUTED_VALUE"""),11.0)</f>
        <v>11</v>
      </c>
      <c r="L95" s="88">
        <f>IFERROR(__xludf.DUMMYFUNCTION("""COMPUTED_VALUE"""),1.0)</f>
        <v>1</v>
      </c>
      <c r="M95" s="89">
        <f>IFERROR(__xludf.DUMMYFUNCTION("""COMPUTED_VALUE"""),120.0)</f>
        <v>120</v>
      </c>
      <c r="N95" s="89">
        <f>IFERROR(__xludf.DUMMYFUNCTION("""COMPUTED_VALUE"""),11.0)</f>
        <v>11</v>
      </c>
    </row>
    <row r="96">
      <c r="A96" s="11"/>
      <c r="B96" s="82" t="str">
        <f>IFERROR(__xludf.DUMMYFUNCTION("""COMPUTED_VALUE"""),"Alejandro Mejia")</f>
        <v>Alejandro Mejia</v>
      </c>
      <c r="C96" s="87">
        <f>IFERROR(__xludf.DUMMYFUNCTION("""COMPUTED_VALUE"""),107.0)</f>
        <v>107</v>
      </c>
      <c r="D96" s="87">
        <f>IFERROR(__xludf.DUMMYFUNCTION("""COMPUTED_VALUE"""),12.0)</f>
        <v>12</v>
      </c>
      <c r="E96" s="86">
        <f>IFERROR(__xludf.DUMMYFUNCTION("""COMPUTED_VALUE"""),1.0)</f>
        <v>1</v>
      </c>
      <c r="F96" s="88">
        <f>IFERROR(__xludf.DUMMYFUNCTION("""COMPUTED_VALUE"""),1.0)</f>
        <v>1</v>
      </c>
      <c r="G96" s="88">
        <f>IFERROR(__xludf.DUMMYFUNCTION("""COMPUTED_VALUE"""),0.0)</f>
        <v>0</v>
      </c>
      <c r="H96" s="88">
        <f>IFERROR(__xludf.DUMMYFUNCTION("""COMPUTED_VALUE"""),0.0)</f>
        <v>0</v>
      </c>
      <c r="I96" s="88">
        <f>IFERROR(__xludf.DUMMYFUNCTION("""COMPUTED_VALUE"""),6.0)</f>
        <v>6</v>
      </c>
      <c r="J96" s="88">
        <f>IFERROR(__xludf.DUMMYFUNCTION("""COMPUTED_VALUE"""),6.0)</f>
        <v>6</v>
      </c>
      <c r="K96" s="88">
        <f>IFERROR(__xludf.DUMMYFUNCTION("""COMPUTED_VALUE"""),12.0)</f>
        <v>12</v>
      </c>
      <c r="L96" s="88">
        <f>IFERROR(__xludf.DUMMYFUNCTION("""COMPUTED_VALUE"""),1.0)</f>
        <v>1</v>
      </c>
      <c r="M96" s="89">
        <f>IFERROR(__xludf.DUMMYFUNCTION("""COMPUTED_VALUE"""),119.0)</f>
        <v>119</v>
      </c>
      <c r="N96" s="89">
        <f>IFERROR(__xludf.DUMMYFUNCTION("""COMPUTED_VALUE"""),13.0)</f>
        <v>13</v>
      </c>
    </row>
    <row r="97">
      <c r="A97" s="11"/>
      <c r="B97" s="84" t="str">
        <f>IFERROR(__xludf.DUMMYFUNCTION("""COMPUTED_VALUE"""),"Jonathan Phan")</f>
        <v>Jonathan Phan</v>
      </c>
      <c r="C97" s="95">
        <f>IFERROR(__xludf.DUMMYFUNCTION("""COMPUTED_VALUE"""),102.0)</f>
        <v>102</v>
      </c>
      <c r="D97" s="95">
        <f>IFERROR(__xludf.DUMMYFUNCTION("""COMPUTED_VALUE"""),8.0)</f>
        <v>8</v>
      </c>
      <c r="E97" s="96">
        <f>IFERROR(__xludf.DUMMYFUNCTION("""COMPUTED_VALUE"""),1.0)</f>
        <v>1</v>
      </c>
      <c r="F97" s="97">
        <f>IFERROR(__xludf.DUMMYFUNCTION("""COMPUTED_VALUE"""),2.0)</f>
        <v>2</v>
      </c>
      <c r="G97" s="97">
        <f>IFERROR(__xludf.DUMMYFUNCTION("""COMPUTED_VALUE"""),0.0)</f>
        <v>0</v>
      </c>
      <c r="H97" s="97">
        <f>IFERROR(__xludf.DUMMYFUNCTION("""COMPUTED_VALUE"""),3.0)</f>
        <v>3</v>
      </c>
      <c r="I97" s="97">
        <f>IFERROR(__xludf.DUMMYFUNCTION("""COMPUTED_VALUE"""),6.0)</f>
        <v>6</v>
      </c>
      <c r="J97" s="97">
        <f>IFERROR(__xludf.DUMMYFUNCTION("""COMPUTED_VALUE"""),5.0)</f>
        <v>5</v>
      </c>
      <c r="K97" s="97">
        <f>IFERROR(__xludf.DUMMYFUNCTION("""COMPUTED_VALUE"""),14.0)</f>
        <v>14</v>
      </c>
      <c r="L97" s="97">
        <f>IFERROR(__xludf.DUMMYFUNCTION("""COMPUTED_VALUE"""),1.0)</f>
        <v>1</v>
      </c>
      <c r="M97" s="98">
        <f>IFERROR(__xludf.DUMMYFUNCTION("""COMPUTED_VALUE"""),116.0)</f>
        <v>116</v>
      </c>
      <c r="N97" s="98">
        <f>IFERROR(__xludf.DUMMYFUNCTION("""COMPUTED_VALUE"""),9.0)</f>
        <v>9</v>
      </c>
    </row>
    <row r="98">
      <c r="A98" s="11"/>
      <c r="B98" s="84" t="str">
        <f>IFERROR(__xludf.DUMMYFUNCTION("""COMPUTED_VALUE"""),"Cid Macaraeg")</f>
        <v>Cid Macaraeg</v>
      </c>
      <c r="C98" s="95">
        <f>IFERROR(__xludf.DUMMYFUNCTION("""COMPUTED_VALUE"""),102.0)</f>
        <v>102</v>
      </c>
      <c r="D98" s="95">
        <f>IFERROR(__xludf.DUMMYFUNCTION("""COMPUTED_VALUE"""),7.0)</f>
        <v>7</v>
      </c>
      <c r="E98" s="96">
        <f>IFERROR(__xludf.DUMMYFUNCTION("""COMPUTED_VALUE"""),1.0)</f>
        <v>1</v>
      </c>
      <c r="F98" s="97">
        <f>IFERROR(__xludf.DUMMYFUNCTION("""COMPUTED_VALUE"""),2.0)</f>
        <v>2</v>
      </c>
      <c r="G98" s="97">
        <f>IFERROR(__xludf.DUMMYFUNCTION("""COMPUTED_VALUE"""),0.0)</f>
        <v>0</v>
      </c>
      <c r="H98" s="97">
        <f>IFERROR(__xludf.DUMMYFUNCTION("""COMPUTED_VALUE"""),6.0)</f>
        <v>6</v>
      </c>
      <c r="I98" s="97">
        <f>IFERROR(__xludf.DUMMYFUNCTION("""COMPUTED_VALUE"""),6.0)</f>
        <v>6</v>
      </c>
      <c r="J98" s="97">
        <f>IFERROR(__xludf.DUMMYFUNCTION("""COMPUTED_VALUE"""),7.0)</f>
        <v>7</v>
      </c>
      <c r="K98" s="97">
        <f>IFERROR(__xludf.DUMMYFUNCTION("""COMPUTED_VALUE"""),19.0)</f>
        <v>19</v>
      </c>
      <c r="L98" s="97">
        <f>IFERROR(__xludf.DUMMYFUNCTION("""COMPUTED_VALUE"""),3.0)</f>
        <v>3</v>
      </c>
      <c r="M98" s="98">
        <f>IFERROR(__xludf.DUMMYFUNCTION("""COMPUTED_VALUE"""),121.0)</f>
        <v>121</v>
      </c>
      <c r="N98" s="98">
        <f>IFERROR(__xludf.DUMMYFUNCTION("""COMPUTED_VALUE"""),10.0)</f>
        <v>10</v>
      </c>
    </row>
    <row r="99">
      <c r="A99" s="11"/>
      <c r="B99" s="84" t="str">
        <f>IFERROR(__xludf.DUMMYFUNCTION("""COMPUTED_VALUE"""),"Scott Li")</f>
        <v>Scott Li</v>
      </c>
      <c r="C99" s="95">
        <f>IFERROR(__xludf.DUMMYFUNCTION("""COMPUTED_VALUE"""),101.0)</f>
        <v>101</v>
      </c>
      <c r="D99" s="95">
        <f>IFERROR(__xludf.DUMMYFUNCTION("""COMPUTED_VALUE"""),10.0)</f>
        <v>10</v>
      </c>
      <c r="E99" s="96">
        <f>IFERROR(__xludf.DUMMYFUNCTION("""COMPUTED_VALUE"""),1.0)</f>
        <v>1</v>
      </c>
      <c r="F99" s="97">
        <f>IFERROR(__xludf.DUMMYFUNCTION("""COMPUTED_VALUE"""),2.0)</f>
        <v>2</v>
      </c>
      <c r="G99" s="97">
        <f>IFERROR(__xludf.DUMMYFUNCTION("""COMPUTED_VALUE"""),0.0)</f>
        <v>0</v>
      </c>
      <c r="H99" s="97">
        <f>IFERROR(__xludf.DUMMYFUNCTION("""COMPUTED_VALUE"""),3.0)</f>
        <v>3</v>
      </c>
      <c r="I99" s="97">
        <f>IFERROR(__xludf.DUMMYFUNCTION("""COMPUTED_VALUE"""),4.0)</f>
        <v>4</v>
      </c>
      <c r="J99" s="97">
        <f>IFERROR(__xludf.DUMMYFUNCTION("""COMPUTED_VALUE"""),7.0)</f>
        <v>7</v>
      </c>
      <c r="K99" s="97">
        <f>IFERROR(__xludf.DUMMYFUNCTION("""COMPUTED_VALUE"""),14.0)</f>
        <v>14</v>
      </c>
      <c r="L99" s="97">
        <f>IFERROR(__xludf.DUMMYFUNCTION("""COMPUTED_VALUE"""),1.0)</f>
        <v>1</v>
      </c>
      <c r="M99" s="98">
        <f>IFERROR(__xludf.DUMMYFUNCTION("""COMPUTED_VALUE"""),115.0)</f>
        <v>115</v>
      </c>
      <c r="N99" s="98">
        <f>IFERROR(__xludf.DUMMYFUNCTION("""COMPUTED_VALUE"""),11.0)</f>
        <v>11</v>
      </c>
    </row>
    <row r="100">
      <c r="A100" s="11"/>
      <c r="B100" s="84" t="str">
        <f>IFERROR(__xludf.DUMMYFUNCTION("""COMPUTED_VALUE"""),"Troy Wong")</f>
        <v>Troy Wong</v>
      </c>
      <c r="C100" s="95">
        <f>IFERROR(__xludf.DUMMYFUNCTION("""COMPUTED_VALUE"""),101.0)</f>
        <v>101</v>
      </c>
      <c r="D100" s="95">
        <f>IFERROR(__xludf.DUMMYFUNCTION("""COMPUTED_VALUE"""),7.0)</f>
        <v>7</v>
      </c>
      <c r="E100" s="96">
        <f>IFERROR(__xludf.DUMMYFUNCTION("""COMPUTED_VALUE"""),1.0)</f>
        <v>1</v>
      </c>
      <c r="F100" s="97">
        <f>IFERROR(__xludf.DUMMYFUNCTION("""COMPUTED_VALUE"""),2.0)</f>
        <v>2</v>
      </c>
      <c r="G100" s="97">
        <f>IFERROR(__xludf.DUMMYFUNCTION("""COMPUTED_VALUE"""),0.0)</f>
        <v>0</v>
      </c>
      <c r="H100" s="97">
        <f>IFERROR(__xludf.DUMMYFUNCTION("""COMPUTED_VALUE"""),6.0)</f>
        <v>6</v>
      </c>
      <c r="I100" s="97">
        <f>IFERROR(__xludf.DUMMYFUNCTION("""COMPUTED_VALUE"""),4.0)</f>
        <v>4</v>
      </c>
      <c r="J100" s="97">
        <f>IFERROR(__xludf.DUMMYFUNCTION("""COMPUTED_VALUE"""),5.0)</f>
        <v>5</v>
      </c>
      <c r="K100" s="97">
        <f>IFERROR(__xludf.DUMMYFUNCTION("""COMPUTED_VALUE"""),15.0)</f>
        <v>15</v>
      </c>
      <c r="L100" s="97">
        <f>IFERROR(__xludf.DUMMYFUNCTION("""COMPUTED_VALUE"""),1.0)</f>
        <v>1</v>
      </c>
      <c r="M100" s="98">
        <f>IFERROR(__xludf.DUMMYFUNCTION("""COMPUTED_VALUE"""),116.0)</f>
        <v>116</v>
      </c>
      <c r="N100" s="98">
        <f>IFERROR(__xludf.DUMMYFUNCTION("""COMPUTED_VALUE"""),8.0)</f>
        <v>8</v>
      </c>
    </row>
    <row r="101">
      <c r="A101" s="11"/>
      <c r="B101" s="84" t="str">
        <f>IFERROR(__xludf.DUMMYFUNCTION("""COMPUTED_VALUE"""),"Matthew Huang")</f>
        <v>Matthew Huang</v>
      </c>
      <c r="C101" s="87">
        <f>IFERROR(__xludf.DUMMYFUNCTION("""COMPUTED_VALUE"""),100.0)</f>
        <v>100</v>
      </c>
      <c r="D101" s="87">
        <f>IFERROR(__xludf.DUMMYFUNCTION("""COMPUTED_VALUE"""),10.0)</f>
        <v>10</v>
      </c>
      <c r="E101" s="86">
        <f>IFERROR(__xludf.DUMMYFUNCTION("""COMPUTED_VALUE"""),1.0)</f>
        <v>1</v>
      </c>
      <c r="F101" s="88">
        <f>IFERROR(__xludf.DUMMYFUNCTION("""COMPUTED_VALUE"""),3.0)</f>
        <v>3</v>
      </c>
      <c r="G101" s="88">
        <f>IFERROR(__xludf.DUMMYFUNCTION("""COMPUTED_VALUE"""),0.0)</f>
        <v>0</v>
      </c>
      <c r="H101" s="88">
        <f>IFERROR(__xludf.DUMMYFUNCTION("""COMPUTED_VALUE"""),6.0)</f>
        <v>6</v>
      </c>
      <c r="I101" s="88">
        <f>IFERROR(__xludf.DUMMYFUNCTION("""COMPUTED_VALUE"""),4.0)</f>
        <v>4</v>
      </c>
      <c r="J101" s="88">
        <f>IFERROR(__xludf.DUMMYFUNCTION("""COMPUTED_VALUE"""),6.0)</f>
        <v>6</v>
      </c>
      <c r="K101" s="88">
        <f>IFERROR(__xludf.DUMMYFUNCTION("""COMPUTED_VALUE"""),16.0)</f>
        <v>16</v>
      </c>
      <c r="L101" s="88">
        <f>IFERROR(__xludf.DUMMYFUNCTION("""COMPUTED_VALUE"""),2.0)</f>
        <v>2</v>
      </c>
      <c r="M101" s="89">
        <f>IFERROR(__xludf.DUMMYFUNCTION("""COMPUTED_VALUE"""),116.0)</f>
        <v>116</v>
      </c>
      <c r="N101" s="89">
        <f>IFERROR(__xludf.DUMMYFUNCTION("""COMPUTED_VALUE"""),12.0)</f>
        <v>12</v>
      </c>
    </row>
    <row r="102">
      <c r="A102" s="11"/>
      <c r="B102" s="84" t="str">
        <f>IFERROR(__xludf.DUMMYFUNCTION("""COMPUTED_VALUE"""),"Herman Au")</f>
        <v>Herman Au</v>
      </c>
      <c r="C102" s="87">
        <f>IFERROR(__xludf.DUMMYFUNCTION("""COMPUTED_VALUE"""),100.0)</f>
        <v>100</v>
      </c>
      <c r="D102" s="87">
        <f>IFERROR(__xludf.DUMMYFUNCTION("""COMPUTED_VALUE"""),7.0)</f>
        <v>7</v>
      </c>
      <c r="E102" s="86">
        <f>IFERROR(__xludf.DUMMYFUNCTION("""COMPUTED_VALUE"""),1.0)</f>
        <v>1</v>
      </c>
      <c r="F102" s="88">
        <f>IFERROR(__xludf.DUMMYFUNCTION("""COMPUTED_VALUE"""),3.0)</f>
        <v>3</v>
      </c>
      <c r="G102" s="88">
        <f>IFERROR(__xludf.DUMMYFUNCTION("""COMPUTED_VALUE"""),0.0)</f>
        <v>0</v>
      </c>
      <c r="H102" s="88">
        <f>IFERROR(__xludf.DUMMYFUNCTION("""COMPUTED_VALUE"""),1.0)</f>
        <v>1</v>
      </c>
      <c r="I102" s="88">
        <f>IFERROR(__xludf.DUMMYFUNCTION("""COMPUTED_VALUE"""),4.0)</f>
        <v>4</v>
      </c>
      <c r="J102" s="88">
        <f>IFERROR(__xludf.DUMMYFUNCTION("""COMPUTED_VALUE"""),4.0)</f>
        <v>4</v>
      </c>
      <c r="K102" s="88">
        <f>IFERROR(__xludf.DUMMYFUNCTION("""COMPUTED_VALUE"""),9.0)</f>
        <v>9</v>
      </c>
      <c r="L102" s="88">
        <f>IFERROR(__xludf.DUMMYFUNCTION("""COMPUTED_VALUE"""),0.0)</f>
        <v>0</v>
      </c>
      <c r="M102" s="89">
        <f>IFERROR(__xludf.DUMMYFUNCTION("""COMPUTED_VALUE"""),109.0)</f>
        <v>109</v>
      </c>
      <c r="N102" s="89">
        <f>IFERROR(__xludf.DUMMYFUNCTION("""COMPUTED_VALUE"""),7.0)</f>
        <v>7</v>
      </c>
    </row>
    <row r="103">
      <c r="A103" s="11"/>
      <c r="B103" s="82" t="str">
        <f>IFERROR(__xludf.DUMMYFUNCTION("""COMPUTED_VALUE"""),"James Phan")</f>
        <v>James Phan</v>
      </c>
      <c r="C103" s="87">
        <f>IFERROR(__xludf.DUMMYFUNCTION("""COMPUTED_VALUE"""),99.0)</f>
        <v>99</v>
      </c>
      <c r="D103" s="87">
        <f>IFERROR(__xludf.DUMMYFUNCTION("""COMPUTED_VALUE"""),8.0)</f>
        <v>8</v>
      </c>
      <c r="E103" s="86">
        <f>IFERROR(__xludf.DUMMYFUNCTION("""COMPUTED_VALUE"""),1.0)</f>
        <v>1</v>
      </c>
      <c r="F103" s="88">
        <f>IFERROR(__xludf.DUMMYFUNCTION("""COMPUTED_VALUE"""),3.0)</f>
        <v>3</v>
      </c>
      <c r="G103" s="88">
        <f>IFERROR(__xludf.DUMMYFUNCTION("""COMPUTED_VALUE"""),0.0)</f>
        <v>0</v>
      </c>
      <c r="H103" s="88">
        <f>IFERROR(__xludf.DUMMYFUNCTION("""COMPUTED_VALUE"""),6.0)</f>
        <v>6</v>
      </c>
      <c r="I103" s="88">
        <f>IFERROR(__xludf.DUMMYFUNCTION("""COMPUTED_VALUE"""),6.0)</f>
        <v>6</v>
      </c>
      <c r="J103" s="88">
        <f>IFERROR(__xludf.DUMMYFUNCTION("""COMPUTED_VALUE"""),4.0)</f>
        <v>4</v>
      </c>
      <c r="K103" s="88">
        <f>IFERROR(__xludf.DUMMYFUNCTION("""COMPUTED_VALUE"""),16.0)</f>
        <v>16</v>
      </c>
      <c r="L103" s="88">
        <f>IFERROR(__xludf.DUMMYFUNCTION("""COMPUTED_VALUE"""),2.0)</f>
        <v>2</v>
      </c>
      <c r="M103" s="89">
        <f>IFERROR(__xludf.DUMMYFUNCTION("""COMPUTED_VALUE"""),115.0)</f>
        <v>115</v>
      </c>
      <c r="N103" s="89">
        <f>IFERROR(__xludf.DUMMYFUNCTION("""COMPUTED_VALUE"""),10.0)</f>
        <v>10</v>
      </c>
    </row>
    <row r="104">
      <c r="A104" s="11"/>
      <c r="B104" s="82" t="str">
        <f>IFERROR(__xludf.DUMMYFUNCTION("""COMPUTED_VALUE"""),"Erik Hoeckmann")</f>
        <v>Erik Hoeckmann</v>
      </c>
      <c r="C104" s="87">
        <f>IFERROR(__xludf.DUMMYFUNCTION("""COMPUTED_VALUE"""),98.0)</f>
        <v>98</v>
      </c>
      <c r="D104" s="87">
        <f>IFERROR(__xludf.DUMMYFUNCTION("""COMPUTED_VALUE"""),9.0)</f>
        <v>9</v>
      </c>
      <c r="E104" s="86">
        <f>IFERROR(__xludf.DUMMYFUNCTION("""COMPUTED_VALUE"""),1.0)</f>
        <v>1</v>
      </c>
      <c r="F104" s="88">
        <f>IFERROR(__xludf.DUMMYFUNCTION("""COMPUTED_VALUE"""),3.0)</f>
        <v>3</v>
      </c>
      <c r="G104" s="88">
        <f>IFERROR(__xludf.DUMMYFUNCTION("""COMPUTED_VALUE"""),0.0)</f>
        <v>0</v>
      </c>
      <c r="H104" s="88">
        <f>IFERROR(__xludf.DUMMYFUNCTION("""COMPUTED_VALUE"""),1.0)</f>
        <v>1</v>
      </c>
      <c r="I104" s="88">
        <f>IFERROR(__xludf.DUMMYFUNCTION("""COMPUTED_VALUE"""),6.0)</f>
        <v>6</v>
      </c>
      <c r="J104" s="88">
        <f>IFERROR(__xludf.DUMMYFUNCTION("""COMPUTED_VALUE"""),6.0)</f>
        <v>6</v>
      </c>
      <c r="K104" s="88">
        <f>IFERROR(__xludf.DUMMYFUNCTION("""COMPUTED_VALUE"""),13.0)</f>
        <v>13</v>
      </c>
      <c r="L104" s="88">
        <f>IFERROR(__xludf.DUMMYFUNCTION("""COMPUTED_VALUE"""),2.0)</f>
        <v>2</v>
      </c>
      <c r="M104" s="89">
        <f>IFERROR(__xludf.DUMMYFUNCTION("""COMPUTED_VALUE"""),111.0)</f>
        <v>111</v>
      </c>
      <c r="N104" s="89">
        <f>IFERROR(__xludf.DUMMYFUNCTION("""COMPUTED_VALUE"""),11.0)</f>
        <v>11</v>
      </c>
    </row>
    <row r="105">
      <c r="A105" s="11"/>
      <c r="B105" s="84" t="str">
        <f>IFERROR(__xludf.DUMMYFUNCTION("""COMPUTED_VALUE"""),"Andrew Wen")</f>
        <v>Andrew Wen</v>
      </c>
      <c r="C105" s="95">
        <f>IFERROR(__xludf.DUMMYFUNCTION("""COMPUTED_VALUE"""),96.0)</f>
        <v>96</v>
      </c>
      <c r="D105" s="95">
        <f>IFERROR(__xludf.DUMMYFUNCTION("""COMPUTED_VALUE"""),4.0)</f>
        <v>4</v>
      </c>
      <c r="E105" s="96">
        <f>IFERROR(__xludf.DUMMYFUNCTION("""COMPUTED_VALUE"""),2.0)</f>
        <v>2</v>
      </c>
      <c r="F105" s="97">
        <f>IFERROR(__xludf.DUMMYFUNCTION("""COMPUTED_VALUE"""),4.0)</f>
        <v>4</v>
      </c>
      <c r="G105" s="97">
        <f>IFERROR(__xludf.DUMMYFUNCTION("""COMPUTED_VALUE"""),0.0)</f>
        <v>0</v>
      </c>
      <c r="H105" s="97">
        <f>IFERROR(__xludf.DUMMYFUNCTION("""COMPUTED_VALUE"""),1.0)</f>
        <v>1</v>
      </c>
      <c r="I105" s="97">
        <f>IFERROR(__xludf.DUMMYFUNCTION("""COMPUTED_VALUE"""),6.0)</f>
        <v>6</v>
      </c>
      <c r="J105" s="97">
        <f>IFERROR(__xludf.DUMMYFUNCTION("""COMPUTED_VALUE"""),0.0)</f>
        <v>0</v>
      </c>
      <c r="K105" s="97">
        <f>IFERROR(__xludf.DUMMYFUNCTION("""COMPUTED_VALUE"""),7.0)</f>
        <v>7</v>
      </c>
      <c r="L105" s="97">
        <f>IFERROR(__xludf.DUMMYFUNCTION("""COMPUTED_VALUE"""),1.0)</f>
        <v>1</v>
      </c>
      <c r="M105" s="98">
        <f>IFERROR(__xludf.DUMMYFUNCTION("""COMPUTED_VALUE"""),103.0)</f>
        <v>103</v>
      </c>
      <c r="N105" s="98">
        <f>IFERROR(__xludf.DUMMYFUNCTION("""COMPUTED_VALUE"""),5.0)</f>
        <v>5</v>
      </c>
    </row>
    <row r="106">
      <c r="A106" s="11"/>
      <c r="B106" s="84" t="str">
        <f>IFERROR(__xludf.DUMMYFUNCTION("""COMPUTED_VALUE"""),"David Shin")</f>
        <v>David Shin</v>
      </c>
      <c r="C106" s="95">
        <f>IFERROR(__xludf.DUMMYFUNCTION("""COMPUTED_VALUE"""),95.0)</f>
        <v>95</v>
      </c>
      <c r="D106" s="95">
        <f>IFERROR(__xludf.DUMMYFUNCTION("""COMPUTED_VALUE"""),7.0)</f>
        <v>7</v>
      </c>
      <c r="E106" s="96">
        <f>IFERROR(__xludf.DUMMYFUNCTION("""COMPUTED_VALUE"""),1.0)</f>
        <v>1</v>
      </c>
      <c r="F106" s="97">
        <f>IFERROR(__xludf.DUMMYFUNCTION("""COMPUTED_VALUE"""),4.0)</f>
        <v>4</v>
      </c>
      <c r="G106" s="97">
        <f>IFERROR(__xludf.DUMMYFUNCTION("""COMPUTED_VALUE"""),0.0)</f>
        <v>0</v>
      </c>
      <c r="H106" s="97">
        <f>IFERROR(__xludf.DUMMYFUNCTION("""COMPUTED_VALUE"""),6.0)</f>
        <v>6</v>
      </c>
      <c r="I106" s="97">
        <f>IFERROR(__xludf.DUMMYFUNCTION("""COMPUTED_VALUE"""),6.0)</f>
        <v>6</v>
      </c>
      <c r="J106" s="97">
        <f>IFERROR(__xludf.DUMMYFUNCTION("""COMPUTED_VALUE"""),6.0)</f>
        <v>6</v>
      </c>
      <c r="K106" s="97">
        <f>IFERROR(__xludf.DUMMYFUNCTION("""COMPUTED_VALUE"""),18.0)</f>
        <v>18</v>
      </c>
      <c r="L106" s="97">
        <f>IFERROR(__xludf.DUMMYFUNCTION("""COMPUTED_VALUE"""),3.0)</f>
        <v>3</v>
      </c>
      <c r="M106" s="98">
        <f>IFERROR(__xludf.DUMMYFUNCTION("""COMPUTED_VALUE"""),113.0)</f>
        <v>113</v>
      </c>
      <c r="N106" s="98">
        <f>IFERROR(__xludf.DUMMYFUNCTION("""COMPUTED_VALUE"""),10.0)</f>
        <v>10</v>
      </c>
    </row>
    <row r="107">
      <c r="A107" s="11"/>
      <c r="B107" s="84" t="str">
        <f>IFERROR(__xludf.DUMMYFUNCTION("""COMPUTED_VALUE"""),"Lloyd Sagar")</f>
        <v>Lloyd Sagar</v>
      </c>
      <c r="C107" s="95">
        <f>IFERROR(__xludf.DUMMYFUNCTION("""COMPUTED_VALUE"""),94.0)</f>
        <v>94</v>
      </c>
      <c r="D107" s="95">
        <f>IFERROR(__xludf.DUMMYFUNCTION("""COMPUTED_VALUE"""),5.0)</f>
        <v>5</v>
      </c>
      <c r="E107" s="96">
        <f>IFERROR(__xludf.DUMMYFUNCTION("""COMPUTED_VALUE"""),1.0)</f>
        <v>1</v>
      </c>
      <c r="F107" s="97">
        <f>IFERROR(__xludf.DUMMYFUNCTION("""COMPUTED_VALUE"""),4.0)</f>
        <v>4</v>
      </c>
      <c r="G107" s="97">
        <f>IFERROR(__xludf.DUMMYFUNCTION("""COMPUTED_VALUE"""),0.0)</f>
        <v>0</v>
      </c>
      <c r="H107" s="97">
        <f>IFERROR(__xludf.DUMMYFUNCTION("""COMPUTED_VALUE"""),6.0)</f>
        <v>6</v>
      </c>
      <c r="I107" s="97">
        <f>IFERROR(__xludf.DUMMYFUNCTION("""COMPUTED_VALUE"""),2.0)</f>
        <v>2</v>
      </c>
      <c r="J107" s="97">
        <f>IFERROR(__xludf.DUMMYFUNCTION("""COMPUTED_VALUE"""),0.0)</f>
        <v>0</v>
      </c>
      <c r="K107" s="97">
        <f>IFERROR(__xludf.DUMMYFUNCTION("""COMPUTED_VALUE"""),8.0)</f>
        <v>8</v>
      </c>
      <c r="L107" s="97">
        <f>IFERROR(__xludf.DUMMYFUNCTION("""COMPUTED_VALUE"""),1.0)</f>
        <v>1</v>
      </c>
      <c r="M107" s="98">
        <f>IFERROR(__xludf.DUMMYFUNCTION("""COMPUTED_VALUE"""),102.0)</f>
        <v>102</v>
      </c>
      <c r="N107" s="98">
        <f>IFERROR(__xludf.DUMMYFUNCTION("""COMPUTED_VALUE"""),6.0)</f>
        <v>6</v>
      </c>
    </row>
    <row r="108">
      <c r="A108" s="11"/>
      <c r="B108" s="84" t="str">
        <f>IFERROR(__xludf.DUMMYFUNCTION("""COMPUTED_VALUE"""),"Wayne Liu")</f>
        <v>Wayne Liu</v>
      </c>
      <c r="C108" s="95">
        <f>IFERROR(__xludf.DUMMYFUNCTION("""COMPUTED_VALUE"""),93.0)</f>
        <v>93</v>
      </c>
      <c r="D108" s="95">
        <f>IFERROR(__xludf.DUMMYFUNCTION("""COMPUTED_VALUE"""),9.0)</f>
        <v>9</v>
      </c>
      <c r="E108" s="96">
        <f>IFERROR(__xludf.DUMMYFUNCTION("""COMPUTED_VALUE"""),1.0)</f>
        <v>1</v>
      </c>
      <c r="F108" s="97">
        <f>IFERROR(__xludf.DUMMYFUNCTION("""COMPUTED_VALUE"""),4.0)</f>
        <v>4</v>
      </c>
      <c r="G108" s="97">
        <f>IFERROR(__xludf.DUMMYFUNCTION("""COMPUTED_VALUE"""),0.0)</f>
        <v>0</v>
      </c>
      <c r="H108" s="97">
        <f>IFERROR(__xludf.DUMMYFUNCTION("""COMPUTED_VALUE"""),1.0)</f>
        <v>1</v>
      </c>
      <c r="I108" s="97">
        <f>IFERROR(__xludf.DUMMYFUNCTION("""COMPUTED_VALUE"""),2.0)</f>
        <v>2</v>
      </c>
      <c r="J108" s="97">
        <f>IFERROR(__xludf.DUMMYFUNCTION("""COMPUTED_VALUE"""),6.0)</f>
        <v>6</v>
      </c>
      <c r="K108" s="97">
        <f>IFERROR(__xludf.DUMMYFUNCTION("""COMPUTED_VALUE"""),9.0)</f>
        <v>9</v>
      </c>
      <c r="L108" s="97">
        <f>IFERROR(__xludf.DUMMYFUNCTION("""COMPUTED_VALUE"""),1.0)</f>
        <v>1</v>
      </c>
      <c r="M108" s="98">
        <f>IFERROR(__xludf.DUMMYFUNCTION("""COMPUTED_VALUE"""),102.0)</f>
        <v>102</v>
      </c>
      <c r="N108" s="98">
        <f>IFERROR(__xludf.DUMMYFUNCTION("""COMPUTED_VALUE"""),10.0)</f>
        <v>10</v>
      </c>
    </row>
    <row r="109">
      <c r="A109" s="11"/>
      <c r="B109" s="82" t="str">
        <f>IFERROR(__xludf.DUMMYFUNCTION("""COMPUTED_VALUE"""),"Alex Hou")</f>
        <v>Alex Hou</v>
      </c>
      <c r="C109" s="87">
        <f>IFERROR(__xludf.DUMMYFUNCTION("""COMPUTED_VALUE"""),93.0)</f>
        <v>93</v>
      </c>
      <c r="D109" s="87">
        <f>IFERROR(__xludf.DUMMYFUNCTION("""COMPUTED_VALUE"""),8.0)</f>
        <v>8</v>
      </c>
      <c r="E109" s="86">
        <f>IFERROR(__xludf.DUMMYFUNCTION("""COMPUTED_VALUE"""),1.0)</f>
        <v>1</v>
      </c>
      <c r="F109" s="88">
        <f>IFERROR(__xludf.DUMMYFUNCTION("""COMPUTED_VALUE"""),5.0)</f>
        <v>5</v>
      </c>
      <c r="G109" s="88">
        <f>IFERROR(__xludf.DUMMYFUNCTION("""COMPUTED_VALUE"""),0.0)</f>
        <v>0</v>
      </c>
      <c r="H109" s="88">
        <f>IFERROR(__xludf.DUMMYFUNCTION("""COMPUTED_VALUE"""),6.0)</f>
        <v>6</v>
      </c>
      <c r="I109" s="88">
        <f>IFERROR(__xludf.DUMMYFUNCTION("""COMPUTED_VALUE"""),4.0)</f>
        <v>4</v>
      </c>
      <c r="J109" s="88">
        <f>IFERROR(__xludf.DUMMYFUNCTION("""COMPUTED_VALUE"""),6.0)</f>
        <v>6</v>
      </c>
      <c r="K109" s="88">
        <f>IFERROR(__xludf.DUMMYFUNCTION("""COMPUTED_VALUE"""),16.0)</f>
        <v>16</v>
      </c>
      <c r="L109" s="88">
        <f>IFERROR(__xludf.DUMMYFUNCTION("""COMPUTED_VALUE"""),1.0)</f>
        <v>1</v>
      </c>
      <c r="M109" s="89">
        <f>IFERROR(__xludf.DUMMYFUNCTION("""COMPUTED_VALUE"""),109.0)</f>
        <v>109</v>
      </c>
      <c r="N109" s="89">
        <f>IFERROR(__xludf.DUMMYFUNCTION("""COMPUTED_VALUE"""),9.0)</f>
        <v>9</v>
      </c>
    </row>
    <row r="110">
      <c r="A110" s="11"/>
      <c r="B110" s="82" t="str">
        <f>IFERROR(__xludf.DUMMYFUNCTION("""COMPUTED_VALUE"""),"Trish Newlin")</f>
        <v>Trish Newlin</v>
      </c>
      <c r="C110" s="87">
        <f>IFERROR(__xludf.DUMMYFUNCTION("""COMPUTED_VALUE"""),93.0)</f>
        <v>93</v>
      </c>
      <c r="D110" s="87">
        <f>IFERROR(__xludf.DUMMYFUNCTION("""COMPUTED_VALUE"""),6.0)</f>
        <v>6</v>
      </c>
      <c r="E110" s="86">
        <f>IFERROR(__xludf.DUMMYFUNCTION("""COMPUTED_VALUE"""),1.0)</f>
        <v>1</v>
      </c>
      <c r="F110" s="88">
        <f>IFERROR(__xludf.DUMMYFUNCTION("""COMPUTED_VALUE"""),5.0)</f>
        <v>5</v>
      </c>
      <c r="G110" s="88">
        <f>IFERROR(__xludf.DUMMYFUNCTION("""COMPUTED_VALUE"""),0.0)</f>
        <v>0</v>
      </c>
      <c r="H110" s="88">
        <f>IFERROR(__xludf.DUMMYFUNCTION("""COMPUTED_VALUE"""),4.0)</f>
        <v>4</v>
      </c>
      <c r="I110" s="88">
        <f>IFERROR(__xludf.DUMMYFUNCTION("""COMPUTED_VALUE"""),4.0)</f>
        <v>4</v>
      </c>
      <c r="J110" s="88">
        <f>IFERROR(__xludf.DUMMYFUNCTION("""COMPUTED_VALUE"""),7.0)</f>
        <v>7</v>
      </c>
      <c r="K110" s="88">
        <f>IFERROR(__xludf.DUMMYFUNCTION("""COMPUTED_VALUE"""),15.0)</f>
        <v>15</v>
      </c>
      <c r="L110" s="88">
        <f>IFERROR(__xludf.DUMMYFUNCTION("""COMPUTED_VALUE"""),1.0)</f>
        <v>1</v>
      </c>
      <c r="M110" s="89">
        <f>IFERROR(__xludf.DUMMYFUNCTION("""COMPUTED_VALUE"""),108.0)</f>
        <v>108</v>
      </c>
      <c r="N110" s="89">
        <f>IFERROR(__xludf.DUMMYFUNCTION("""COMPUTED_VALUE"""),7.0)</f>
        <v>7</v>
      </c>
    </row>
    <row r="111">
      <c r="A111" s="11"/>
      <c r="B111" s="82" t="str">
        <f>IFERROR(__xludf.DUMMYFUNCTION("""COMPUTED_VALUE"""),"Vamsi Lolla ")</f>
        <v>Vamsi Lolla </v>
      </c>
      <c r="C111" s="87">
        <f>IFERROR(__xludf.DUMMYFUNCTION("""COMPUTED_VALUE"""),90.0)</f>
        <v>90</v>
      </c>
      <c r="D111" s="87">
        <f>IFERROR(__xludf.DUMMYFUNCTION("""COMPUTED_VALUE"""),5.0)</f>
        <v>5</v>
      </c>
      <c r="E111" s="86">
        <f>IFERROR(__xludf.DUMMYFUNCTION("""COMPUTED_VALUE"""),2.0)</f>
        <v>2</v>
      </c>
      <c r="F111" s="88">
        <f>IFERROR(__xludf.DUMMYFUNCTION("""COMPUTED_VALUE"""),5.0)</f>
        <v>5</v>
      </c>
      <c r="G111" s="88">
        <f>IFERROR(__xludf.DUMMYFUNCTION("""COMPUTED_VALUE"""),0.0)</f>
        <v>0</v>
      </c>
      <c r="H111" s="88">
        <f>IFERROR(__xludf.DUMMYFUNCTION("""COMPUTED_VALUE"""),4.0)</f>
        <v>4</v>
      </c>
      <c r="I111" s="88">
        <f>IFERROR(__xludf.DUMMYFUNCTION("""COMPUTED_VALUE"""),6.0)</f>
        <v>6</v>
      </c>
      <c r="J111" s="88">
        <f>IFERROR(__xludf.DUMMYFUNCTION("""COMPUTED_VALUE"""),6.0)</f>
        <v>6</v>
      </c>
      <c r="K111" s="88">
        <f>IFERROR(__xludf.DUMMYFUNCTION("""COMPUTED_VALUE"""),16.0)</f>
        <v>16</v>
      </c>
      <c r="L111" s="88">
        <f>IFERROR(__xludf.DUMMYFUNCTION("""COMPUTED_VALUE"""),1.0)</f>
        <v>1</v>
      </c>
      <c r="M111" s="89">
        <f>IFERROR(__xludf.DUMMYFUNCTION("""COMPUTED_VALUE"""),106.0)</f>
        <v>106</v>
      </c>
      <c r="N111" s="89">
        <f>IFERROR(__xludf.DUMMYFUNCTION("""COMPUTED_VALUE"""),6.0)</f>
        <v>6</v>
      </c>
    </row>
    <row r="112">
      <c r="A112" s="11"/>
      <c r="B112" s="82" t="str">
        <f>IFERROR(__xludf.DUMMYFUNCTION("""COMPUTED_VALUE"""),"Ramesh Bandaru")</f>
        <v>Ramesh Bandaru</v>
      </c>
      <c r="C112" s="87">
        <f>IFERROR(__xludf.DUMMYFUNCTION("""COMPUTED_VALUE"""),90.0)</f>
        <v>90</v>
      </c>
      <c r="D112" s="87">
        <f>IFERROR(__xludf.DUMMYFUNCTION("""COMPUTED_VALUE"""),5.0)</f>
        <v>5</v>
      </c>
      <c r="E112" s="86">
        <f>IFERROR(__xludf.DUMMYFUNCTION("""COMPUTED_VALUE"""),1.0)</f>
        <v>1</v>
      </c>
      <c r="F112" s="88">
        <f>IFERROR(__xludf.DUMMYFUNCTION("""COMPUTED_VALUE"""),5.0)</f>
        <v>5</v>
      </c>
      <c r="G112" s="88">
        <f>IFERROR(__xludf.DUMMYFUNCTION("""COMPUTED_VALUE"""),0.0)</f>
        <v>0</v>
      </c>
      <c r="H112" s="88">
        <f>IFERROR(__xludf.DUMMYFUNCTION("""COMPUTED_VALUE"""),6.0)</f>
        <v>6</v>
      </c>
      <c r="I112" s="88">
        <f>IFERROR(__xludf.DUMMYFUNCTION("""COMPUTED_VALUE"""),6.0)</f>
        <v>6</v>
      </c>
      <c r="J112" s="88">
        <f>IFERROR(__xludf.DUMMYFUNCTION("""COMPUTED_VALUE"""),7.0)</f>
        <v>7</v>
      </c>
      <c r="K112" s="88">
        <f>IFERROR(__xludf.DUMMYFUNCTION("""COMPUTED_VALUE"""),19.0)</f>
        <v>19</v>
      </c>
      <c r="L112" s="88">
        <f>IFERROR(__xludf.DUMMYFUNCTION("""COMPUTED_VALUE"""),3.0)</f>
        <v>3</v>
      </c>
      <c r="M112" s="89">
        <f>IFERROR(__xludf.DUMMYFUNCTION("""COMPUTED_VALUE"""),109.0)</f>
        <v>109</v>
      </c>
      <c r="N112" s="89">
        <f>IFERROR(__xludf.DUMMYFUNCTION("""COMPUTED_VALUE"""),8.0)</f>
        <v>8</v>
      </c>
    </row>
    <row r="113">
      <c r="A113" s="11"/>
      <c r="B113" s="84" t="str">
        <f>IFERROR(__xludf.DUMMYFUNCTION("""COMPUTED_VALUE"""),"Coco Yan")</f>
        <v>Coco Yan</v>
      </c>
      <c r="C113" s="95">
        <f>IFERROR(__xludf.DUMMYFUNCTION("""COMPUTED_VALUE"""),88.0)</f>
        <v>88</v>
      </c>
      <c r="D113" s="95">
        <f>IFERROR(__xludf.DUMMYFUNCTION("""COMPUTED_VALUE"""),6.0)</f>
        <v>6</v>
      </c>
      <c r="E113" s="96">
        <f>IFERROR(__xludf.DUMMYFUNCTION("""COMPUTED_VALUE"""),1.0)</f>
        <v>1</v>
      </c>
      <c r="F113" s="97">
        <f>IFERROR(__xludf.DUMMYFUNCTION("""COMPUTED_VALUE"""),6.0)</f>
        <v>6</v>
      </c>
      <c r="G113" s="97">
        <f>IFERROR(__xludf.DUMMYFUNCTION("""COMPUTED_VALUE"""),0.0)</f>
        <v>0</v>
      </c>
      <c r="H113" s="97">
        <f>IFERROR(__xludf.DUMMYFUNCTION("""COMPUTED_VALUE"""),3.0)</f>
        <v>3</v>
      </c>
      <c r="I113" s="97">
        <f>IFERROR(__xludf.DUMMYFUNCTION("""COMPUTED_VALUE"""),4.0)</f>
        <v>4</v>
      </c>
      <c r="J113" s="97">
        <f>IFERROR(__xludf.DUMMYFUNCTION("""COMPUTED_VALUE"""),6.0)</f>
        <v>6</v>
      </c>
      <c r="K113" s="97">
        <f>IFERROR(__xludf.DUMMYFUNCTION("""COMPUTED_VALUE"""),13.0)</f>
        <v>13</v>
      </c>
      <c r="L113" s="97">
        <f>IFERROR(__xludf.DUMMYFUNCTION("""COMPUTED_VALUE"""),1.0)</f>
        <v>1</v>
      </c>
      <c r="M113" s="98">
        <f>IFERROR(__xludf.DUMMYFUNCTION("""COMPUTED_VALUE"""),101.0)</f>
        <v>101</v>
      </c>
      <c r="N113" s="98">
        <f>IFERROR(__xludf.DUMMYFUNCTION("""COMPUTED_VALUE"""),7.0)</f>
        <v>7</v>
      </c>
    </row>
    <row r="114">
      <c r="A114" s="11"/>
      <c r="B114" s="84" t="str">
        <f>IFERROR(__xludf.DUMMYFUNCTION("""COMPUTED_VALUE"""),"Sean Chang")</f>
        <v>Sean Chang</v>
      </c>
      <c r="C114" s="95">
        <f>IFERROR(__xludf.DUMMYFUNCTION("""COMPUTED_VALUE"""),86.0)</f>
        <v>86</v>
      </c>
      <c r="D114" s="95">
        <f>IFERROR(__xludf.DUMMYFUNCTION("""COMPUTED_VALUE"""),5.0)</f>
        <v>5</v>
      </c>
      <c r="E114" s="96">
        <f>IFERROR(__xludf.DUMMYFUNCTION("""COMPUTED_VALUE"""),1.0)</f>
        <v>1</v>
      </c>
      <c r="F114" s="97">
        <f>IFERROR(__xludf.DUMMYFUNCTION("""COMPUTED_VALUE"""),6.0)</f>
        <v>6</v>
      </c>
      <c r="G114" s="97">
        <f>IFERROR(__xludf.DUMMYFUNCTION("""COMPUTED_VALUE"""),0.0)</f>
        <v>0</v>
      </c>
      <c r="H114" s="97">
        <f>IFERROR(__xludf.DUMMYFUNCTION("""COMPUTED_VALUE"""),6.0)</f>
        <v>6</v>
      </c>
      <c r="I114" s="97">
        <f>IFERROR(__xludf.DUMMYFUNCTION("""COMPUTED_VALUE"""),6.0)</f>
        <v>6</v>
      </c>
      <c r="J114" s="97">
        <f>IFERROR(__xludf.DUMMYFUNCTION("""COMPUTED_VALUE"""),6.0)</f>
        <v>6</v>
      </c>
      <c r="K114" s="97">
        <f>IFERROR(__xludf.DUMMYFUNCTION("""COMPUTED_VALUE"""),18.0)</f>
        <v>18</v>
      </c>
      <c r="L114" s="97">
        <f>IFERROR(__xludf.DUMMYFUNCTION("""COMPUTED_VALUE"""),3.0)</f>
        <v>3</v>
      </c>
      <c r="M114" s="98">
        <f>IFERROR(__xludf.DUMMYFUNCTION("""COMPUTED_VALUE"""),104.0)</f>
        <v>104</v>
      </c>
      <c r="N114" s="98">
        <f>IFERROR(__xludf.DUMMYFUNCTION("""COMPUTED_VALUE"""),8.0)</f>
        <v>8</v>
      </c>
    </row>
    <row r="115">
      <c r="A115" s="11"/>
      <c r="B115" s="84" t="str">
        <f>IFERROR(__xludf.DUMMYFUNCTION("""COMPUTED_VALUE"""),"Chinna Ponnaganti")</f>
        <v>Chinna Ponnaganti</v>
      </c>
      <c r="C115" s="95">
        <f>IFERROR(__xludf.DUMMYFUNCTION("""COMPUTED_VALUE"""),84.0)</f>
        <v>84</v>
      </c>
      <c r="D115" s="95">
        <f>IFERROR(__xludf.DUMMYFUNCTION("""COMPUTED_VALUE"""),6.0)</f>
        <v>6</v>
      </c>
      <c r="E115" s="96">
        <f>IFERROR(__xludf.DUMMYFUNCTION("""COMPUTED_VALUE"""),1.0)</f>
        <v>1</v>
      </c>
      <c r="F115" s="97">
        <f>IFERROR(__xludf.DUMMYFUNCTION("""COMPUTED_VALUE"""),6.0)</f>
        <v>6</v>
      </c>
      <c r="G115" s="97">
        <f>IFERROR(__xludf.DUMMYFUNCTION("""COMPUTED_VALUE"""),0.0)</f>
        <v>0</v>
      </c>
      <c r="H115" s="97">
        <f>IFERROR(__xludf.DUMMYFUNCTION("""COMPUTED_VALUE"""),3.0)</f>
        <v>3</v>
      </c>
      <c r="I115" s="97">
        <f>IFERROR(__xludf.DUMMYFUNCTION("""COMPUTED_VALUE"""),6.0)</f>
        <v>6</v>
      </c>
      <c r="J115" s="97">
        <f>IFERROR(__xludf.DUMMYFUNCTION("""COMPUTED_VALUE"""),4.0)</f>
        <v>4</v>
      </c>
      <c r="K115" s="97">
        <f>IFERROR(__xludf.DUMMYFUNCTION("""COMPUTED_VALUE"""),13.0)</f>
        <v>13</v>
      </c>
      <c r="L115" s="97">
        <f>IFERROR(__xludf.DUMMYFUNCTION("""COMPUTED_VALUE"""),1.0)</f>
        <v>1</v>
      </c>
      <c r="M115" s="98">
        <f>IFERROR(__xludf.DUMMYFUNCTION("""COMPUTED_VALUE"""),97.0)</f>
        <v>97</v>
      </c>
      <c r="N115" s="98">
        <f>IFERROR(__xludf.DUMMYFUNCTION("""COMPUTED_VALUE"""),7.0)</f>
        <v>7</v>
      </c>
    </row>
    <row r="116">
      <c r="A116" s="11"/>
      <c r="B116" s="84" t="str">
        <f>IFERROR(__xludf.DUMMYFUNCTION("""COMPUTED_VALUE"""),"Sanjaye Elayattu")</f>
        <v>Sanjaye Elayattu</v>
      </c>
      <c r="C116" s="95">
        <f>IFERROR(__xludf.DUMMYFUNCTION("""COMPUTED_VALUE"""),84.0)</f>
        <v>84</v>
      </c>
      <c r="D116" s="95">
        <f>IFERROR(__xludf.DUMMYFUNCTION("""COMPUTED_VALUE"""),2.0)</f>
        <v>2</v>
      </c>
      <c r="E116" s="96">
        <f>IFERROR(__xludf.DUMMYFUNCTION("""COMPUTED_VALUE"""),2.0)</f>
        <v>2</v>
      </c>
      <c r="F116" s="97">
        <f>IFERROR(__xludf.DUMMYFUNCTION("""COMPUTED_VALUE"""),6.0)</f>
        <v>6</v>
      </c>
      <c r="G116" s="97">
        <f>IFERROR(__xludf.DUMMYFUNCTION("""COMPUTED_VALUE"""),0.0)</f>
        <v>0</v>
      </c>
      <c r="H116" s="97">
        <f>IFERROR(__xludf.DUMMYFUNCTION("""COMPUTED_VALUE"""),6.0)</f>
        <v>6</v>
      </c>
      <c r="I116" s="97">
        <f>IFERROR(__xludf.DUMMYFUNCTION("""COMPUTED_VALUE"""),4.0)</f>
        <v>4</v>
      </c>
      <c r="J116" s="97">
        <f>IFERROR(__xludf.DUMMYFUNCTION("""COMPUTED_VALUE"""),4.0)</f>
        <v>4</v>
      </c>
      <c r="K116" s="97">
        <f>IFERROR(__xludf.DUMMYFUNCTION("""COMPUTED_VALUE"""),14.0)</f>
        <v>14</v>
      </c>
      <c r="L116" s="97">
        <f>IFERROR(__xludf.DUMMYFUNCTION("""COMPUTED_VALUE"""),1.0)</f>
        <v>1</v>
      </c>
      <c r="M116" s="98">
        <f>IFERROR(__xludf.DUMMYFUNCTION("""COMPUTED_VALUE"""),98.0)</f>
        <v>98</v>
      </c>
      <c r="N116" s="98">
        <f>IFERROR(__xludf.DUMMYFUNCTION("""COMPUTED_VALUE"""),3.0)</f>
        <v>3</v>
      </c>
    </row>
    <row r="117">
      <c r="A117" s="11"/>
      <c r="B117" s="82" t="str">
        <f>IFERROR(__xludf.DUMMYFUNCTION("""COMPUTED_VALUE"""),"Saravanan Veerapandian")</f>
        <v>Saravanan Veerapandian</v>
      </c>
      <c r="C117" s="87">
        <f>IFERROR(__xludf.DUMMYFUNCTION("""COMPUTED_VALUE"""),81.0)</f>
        <v>81</v>
      </c>
      <c r="D117" s="87">
        <f>IFERROR(__xludf.DUMMYFUNCTION("""COMPUTED_VALUE"""),3.0)</f>
        <v>3</v>
      </c>
      <c r="E117" s="86">
        <f>IFERROR(__xludf.DUMMYFUNCTION("""COMPUTED_VALUE"""),1.0)</f>
        <v>1</v>
      </c>
      <c r="F117" s="88">
        <f>IFERROR(__xludf.DUMMYFUNCTION("""COMPUTED_VALUE"""),7.0)</f>
        <v>7</v>
      </c>
      <c r="G117" s="88">
        <f>IFERROR(__xludf.DUMMYFUNCTION("""COMPUTED_VALUE"""),0.0)</f>
        <v>0</v>
      </c>
      <c r="H117" s="88">
        <f>IFERROR(__xludf.DUMMYFUNCTION("""COMPUTED_VALUE"""),3.0)</f>
        <v>3</v>
      </c>
      <c r="I117" s="88">
        <f>IFERROR(__xludf.DUMMYFUNCTION("""COMPUTED_VALUE"""),6.0)</f>
        <v>6</v>
      </c>
      <c r="J117" s="88">
        <f>IFERROR(__xludf.DUMMYFUNCTION("""COMPUTED_VALUE"""),2.0)</f>
        <v>2</v>
      </c>
      <c r="K117" s="88">
        <f>IFERROR(__xludf.DUMMYFUNCTION("""COMPUTED_VALUE"""),11.0)</f>
        <v>11</v>
      </c>
      <c r="L117" s="88">
        <f>IFERROR(__xludf.DUMMYFUNCTION("""COMPUTED_VALUE"""),1.0)</f>
        <v>1</v>
      </c>
      <c r="M117" s="89">
        <f>IFERROR(__xludf.DUMMYFUNCTION("""COMPUTED_VALUE"""),92.0)</f>
        <v>92</v>
      </c>
      <c r="N117" s="89">
        <f>IFERROR(__xludf.DUMMYFUNCTION("""COMPUTED_VALUE"""),4.0)</f>
        <v>4</v>
      </c>
    </row>
    <row r="118">
      <c r="A118" s="11"/>
      <c r="B118" s="82" t="str">
        <f>IFERROR(__xludf.DUMMYFUNCTION("""COMPUTED_VALUE"""),"Kumar Palakeel")</f>
        <v>Kumar Palakeel</v>
      </c>
      <c r="C118" s="87">
        <f>IFERROR(__xludf.DUMMYFUNCTION("""COMPUTED_VALUE"""),80.0)</f>
        <v>80</v>
      </c>
      <c r="D118" s="87">
        <f>IFERROR(__xludf.DUMMYFUNCTION("""COMPUTED_VALUE"""),7.0)</f>
        <v>7</v>
      </c>
      <c r="E118" s="86">
        <f>IFERROR(__xludf.DUMMYFUNCTION("""COMPUTED_VALUE"""),1.0)</f>
        <v>1</v>
      </c>
      <c r="F118" s="88">
        <f>IFERROR(__xludf.DUMMYFUNCTION("""COMPUTED_VALUE"""),7.0)</f>
        <v>7</v>
      </c>
      <c r="G118" s="88">
        <f>IFERROR(__xludf.DUMMYFUNCTION("""COMPUTED_VALUE"""),0.0)</f>
        <v>0</v>
      </c>
      <c r="H118" s="88">
        <f>IFERROR(__xludf.DUMMYFUNCTION("""COMPUTED_VALUE"""),6.0)</f>
        <v>6</v>
      </c>
      <c r="I118" s="88">
        <f>IFERROR(__xludf.DUMMYFUNCTION("""COMPUTED_VALUE"""),4.0)</f>
        <v>4</v>
      </c>
      <c r="J118" s="88">
        <f>IFERROR(__xludf.DUMMYFUNCTION("""COMPUTED_VALUE"""),2.0)</f>
        <v>2</v>
      </c>
      <c r="K118" s="88">
        <f>IFERROR(__xludf.DUMMYFUNCTION("""COMPUTED_VALUE"""),12.0)</f>
        <v>12</v>
      </c>
      <c r="L118" s="88">
        <f>IFERROR(__xludf.DUMMYFUNCTION("""COMPUTED_VALUE"""),1.0)</f>
        <v>1</v>
      </c>
      <c r="M118" s="89">
        <f>IFERROR(__xludf.DUMMYFUNCTION("""COMPUTED_VALUE"""),92.0)</f>
        <v>92</v>
      </c>
      <c r="N118" s="89">
        <f>IFERROR(__xludf.DUMMYFUNCTION("""COMPUTED_VALUE"""),8.0)</f>
        <v>8</v>
      </c>
    </row>
    <row r="119">
      <c r="A119" s="11"/>
      <c r="B119" s="82" t="str">
        <f>IFERROR(__xludf.DUMMYFUNCTION("""COMPUTED_VALUE"""),"Jim Miao")</f>
        <v>Jim Miao</v>
      </c>
      <c r="C119" s="87">
        <f>IFERROR(__xludf.DUMMYFUNCTION("""COMPUTED_VALUE"""),79.0)</f>
        <v>79</v>
      </c>
      <c r="D119" s="87">
        <f>IFERROR(__xludf.DUMMYFUNCTION("""COMPUTED_VALUE"""),2.0)</f>
        <v>2</v>
      </c>
      <c r="E119" s="86">
        <f>IFERROR(__xludf.DUMMYFUNCTION("""COMPUTED_VALUE"""),1.0)</f>
        <v>1</v>
      </c>
      <c r="F119" s="88">
        <f>IFERROR(__xludf.DUMMYFUNCTION("""COMPUTED_VALUE"""),7.0)</f>
        <v>7</v>
      </c>
      <c r="G119" s="88">
        <f>IFERROR(__xludf.DUMMYFUNCTION("""COMPUTED_VALUE"""),0.0)</f>
        <v>0</v>
      </c>
      <c r="H119" s="88">
        <f>IFERROR(__xludf.DUMMYFUNCTION("""COMPUTED_VALUE"""),6.0)</f>
        <v>6</v>
      </c>
      <c r="I119" s="88">
        <f>IFERROR(__xludf.DUMMYFUNCTION("""COMPUTED_VALUE"""),6.0)</f>
        <v>6</v>
      </c>
      <c r="J119" s="88">
        <f>IFERROR(__xludf.DUMMYFUNCTION("""COMPUTED_VALUE"""),6.0)</f>
        <v>6</v>
      </c>
      <c r="K119" s="88">
        <f>IFERROR(__xludf.DUMMYFUNCTION("""COMPUTED_VALUE"""),18.0)</f>
        <v>18</v>
      </c>
      <c r="L119" s="88">
        <f>IFERROR(__xludf.DUMMYFUNCTION("""COMPUTED_VALUE"""),3.0)</f>
        <v>3</v>
      </c>
      <c r="M119" s="89">
        <f>IFERROR(__xludf.DUMMYFUNCTION("""COMPUTED_VALUE"""),97.0)</f>
        <v>97</v>
      </c>
      <c r="N119" s="89">
        <f>IFERROR(__xludf.DUMMYFUNCTION("""COMPUTED_VALUE"""),5.0)</f>
        <v>5</v>
      </c>
    </row>
    <row r="120">
      <c r="A120" s="11"/>
      <c r="B120" s="82" t="str">
        <f>IFERROR(__xludf.DUMMYFUNCTION("""COMPUTED_VALUE"""),"Eric Tan")</f>
        <v>Eric Tan</v>
      </c>
      <c r="C120" s="87">
        <f>IFERROR(__xludf.DUMMYFUNCTION("""COMPUTED_VALUE"""),78.0)</f>
        <v>78</v>
      </c>
      <c r="D120" s="87">
        <f>IFERROR(__xludf.DUMMYFUNCTION("""COMPUTED_VALUE"""),6.0)</f>
        <v>6</v>
      </c>
      <c r="E120" s="86">
        <f>IFERROR(__xludf.DUMMYFUNCTION("""COMPUTED_VALUE"""),1.0)</f>
        <v>1</v>
      </c>
      <c r="F120" s="88">
        <f>IFERROR(__xludf.DUMMYFUNCTION("""COMPUTED_VALUE"""),7.0)</f>
        <v>7</v>
      </c>
      <c r="G120" s="88">
        <f>IFERROR(__xludf.DUMMYFUNCTION("""COMPUTED_VALUE"""),0.0)</f>
        <v>0</v>
      </c>
      <c r="H120" s="88">
        <f>IFERROR(__xludf.DUMMYFUNCTION("""COMPUTED_VALUE"""),3.0)</f>
        <v>3</v>
      </c>
      <c r="I120" s="88">
        <f>IFERROR(__xludf.DUMMYFUNCTION("""COMPUTED_VALUE"""),4.0)</f>
        <v>4</v>
      </c>
      <c r="J120" s="88">
        <f>IFERROR(__xludf.DUMMYFUNCTION("""COMPUTED_VALUE"""),6.0)</f>
        <v>6</v>
      </c>
      <c r="K120" s="88">
        <f>IFERROR(__xludf.DUMMYFUNCTION("""COMPUTED_VALUE"""),13.0)</f>
        <v>13</v>
      </c>
      <c r="L120" s="88">
        <f>IFERROR(__xludf.DUMMYFUNCTION("""COMPUTED_VALUE"""),1.0)</f>
        <v>1</v>
      </c>
      <c r="M120" s="89">
        <f>IFERROR(__xludf.DUMMYFUNCTION("""COMPUTED_VALUE"""),91.0)</f>
        <v>91</v>
      </c>
      <c r="N120" s="89">
        <f>IFERROR(__xludf.DUMMYFUNCTION("""COMPUTED_VALUE"""),7.0)</f>
        <v>7</v>
      </c>
    </row>
    <row r="121">
      <c r="A121" s="11"/>
      <c r="B121" s="84" t="str">
        <f>IFERROR(__xludf.DUMMYFUNCTION("""COMPUTED_VALUE"""),"Nicole Ni")</f>
        <v>Nicole Ni</v>
      </c>
      <c r="C121" s="95">
        <f>IFERROR(__xludf.DUMMYFUNCTION("""COMPUTED_VALUE"""),77.0)</f>
        <v>77</v>
      </c>
      <c r="D121" s="95">
        <f>IFERROR(__xludf.DUMMYFUNCTION("""COMPUTED_VALUE"""),6.0)</f>
        <v>6</v>
      </c>
      <c r="E121" s="96">
        <f>IFERROR(__xludf.DUMMYFUNCTION("""COMPUTED_VALUE"""),1.0)</f>
        <v>1</v>
      </c>
      <c r="F121" s="97">
        <f>IFERROR(__xludf.DUMMYFUNCTION("""COMPUTED_VALUE"""),8.0)</f>
        <v>8</v>
      </c>
      <c r="G121" s="97">
        <f>IFERROR(__xludf.DUMMYFUNCTION("""COMPUTED_VALUE"""),0.0)</f>
        <v>0</v>
      </c>
      <c r="H121" s="97">
        <f>IFERROR(__xludf.DUMMYFUNCTION("""COMPUTED_VALUE"""),3.0)</f>
        <v>3</v>
      </c>
      <c r="I121" s="97">
        <f>IFERROR(__xludf.DUMMYFUNCTION("""COMPUTED_VALUE"""),4.0)</f>
        <v>4</v>
      </c>
      <c r="J121" s="97">
        <f>IFERROR(__xludf.DUMMYFUNCTION("""COMPUTED_VALUE"""),0.0)</f>
        <v>0</v>
      </c>
      <c r="K121" s="97">
        <f>IFERROR(__xludf.DUMMYFUNCTION("""COMPUTED_VALUE"""),7.0)</f>
        <v>7</v>
      </c>
      <c r="L121" s="97">
        <f>IFERROR(__xludf.DUMMYFUNCTION("""COMPUTED_VALUE"""),0.0)</f>
        <v>0</v>
      </c>
      <c r="M121" s="98">
        <f>IFERROR(__xludf.DUMMYFUNCTION("""COMPUTED_VALUE"""),84.0)</f>
        <v>84</v>
      </c>
      <c r="N121" s="98">
        <f>IFERROR(__xludf.DUMMYFUNCTION("""COMPUTED_VALUE"""),6.0)</f>
        <v>6</v>
      </c>
    </row>
    <row r="122">
      <c r="A122" s="11"/>
      <c r="B122" s="84" t="str">
        <f>IFERROR(__xludf.DUMMYFUNCTION("""COMPUTED_VALUE"""),"Naveen Raj")</f>
        <v>Naveen Raj</v>
      </c>
      <c r="C122" s="95">
        <f>IFERROR(__xludf.DUMMYFUNCTION("""COMPUTED_VALUE"""),75.0)</f>
        <v>75</v>
      </c>
      <c r="D122" s="95">
        <f>IFERROR(__xludf.DUMMYFUNCTION("""COMPUTED_VALUE"""),2.0)</f>
        <v>2</v>
      </c>
      <c r="E122" s="96">
        <f>IFERROR(__xludf.DUMMYFUNCTION("""COMPUTED_VALUE"""),1.0)</f>
        <v>1</v>
      </c>
      <c r="F122" s="97">
        <f>IFERROR(__xludf.DUMMYFUNCTION("""COMPUTED_VALUE"""),8.0)</f>
        <v>8</v>
      </c>
      <c r="G122" s="97">
        <f>IFERROR(__xludf.DUMMYFUNCTION("""COMPUTED_VALUE"""),0.0)</f>
        <v>0</v>
      </c>
      <c r="H122" s="97">
        <f>IFERROR(__xludf.DUMMYFUNCTION("""COMPUTED_VALUE"""),3.0)</f>
        <v>3</v>
      </c>
      <c r="I122" s="97">
        <f>IFERROR(__xludf.DUMMYFUNCTION("""COMPUTED_VALUE"""),6.0)</f>
        <v>6</v>
      </c>
      <c r="J122" s="97">
        <f>IFERROR(__xludf.DUMMYFUNCTION("""COMPUTED_VALUE"""),6.0)</f>
        <v>6</v>
      </c>
      <c r="K122" s="97">
        <f>IFERROR(__xludf.DUMMYFUNCTION("""COMPUTED_VALUE"""),15.0)</f>
        <v>15</v>
      </c>
      <c r="L122" s="97">
        <f>IFERROR(__xludf.DUMMYFUNCTION("""COMPUTED_VALUE"""),2.0)</f>
        <v>2</v>
      </c>
      <c r="M122" s="98">
        <f>IFERROR(__xludf.DUMMYFUNCTION("""COMPUTED_VALUE"""),90.0)</f>
        <v>90</v>
      </c>
      <c r="N122" s="98">
        <f>IFERROR(__xludf.DUMMYFUNCTION("""COMPUTED_VALUE"""),4.0)</f>
        <v>4</v>
      </c>
    </row>
    <row r="123">
      <c r="A123" s="11"/>
      <c r="B123" s="84" t="str">
        <f>IFERROR(__xludf.DUMMYFUNCTION("""COMPUTED_VALUE"""),"Sai Dilip Ponnaganti")</f>
        <v>Sai Dilip Ponnaganti</v>
      </c>
      <c r="C123" s="95">
        <f>IFERROR(__xludf.DUMMYFUNCTION("""COMPUTED_VALUE"""),72.0)</f>
        <v>72</v>
      </c>
      <c r="D123" s="95">
        <f>IFERROR(__xludf.DUMMYFUNCTION("""COMPUTED_VALUE"""),0.0)</f>
        <v>0</v>
      </c>
      <c r="E123" s="96">
        <f>IFERROR(__xludf.DUMMYFUNCTION("""COMPUTED_VALUE"""),1.0)</f>
        <v>1</v>
      </c>
      <c r="F123" s="97">
        <f>IFERROR(__xludf.DUMMYFUNCTION("""COMPUTED_VALUE"""),8.0)</f>
        <v>8</v>
      </c>
      <c r="G123" s="97">
        <f>IFERROR(__xludf.DUMMYFUNCTION("""COMPUTED_VALUE"""),0.0)</f>
        <v>0</v>
      </c>
      <c r="H123" s="97">
        <f>IFERROR(__xludf.DUMMYFUNCTION("""COMPUTED_VALUE"""),6.0)</f>
        <v>6</v>
      </c>
      <c r="I123" s="97">
        <f>IFERROR(__xludf.DUMMYFUNCTION("""COMPUTED_VALUE"""),4.0)</f>
        <v>4</v>
      </c>
      <c r="J123" s="97">
        <f>IFERROR(__xludf.DUMMYFUNCTION("""COMPUTED_VALUE"""),6.0)</f>
        <v>6</v>
      </c>
      <c r="K123" s="97">
        <f>IFERROR(__xludf.DUMMYFUNCTION("""COMPUTED_VALUE"""),16.0)</f>
        <v>16</v>
      </c>
      <c r="L123" s="97">
        <f>IFERROR(__xludf.DUMMYFUNCTION("""COMPUTED_VALUE"""),2.0)</f>
        <v>2</v>
      </c>
      <c r="M123" s="98">
        <f>IFERROR(__xludf.DUMMYFUNCTION("""COMPUTED_VALUE"""),88.0)</f>
        <v>88</v>
      </c>
      <c r="N123" s="98">
        <f>IFERROR(__xludf.DUMMYFUNCTION("""COMPUTED_VALUE"""),2.0)</f>
        <v>2</v>
      </c>
    </row>
    <row r="124">
      <c r="A124" s="11"/>
      <c r="B124" s="84" t="str">
        <f>IFERROR(__xludf.DUMMYFUNCTION("""COMPUTED_VALUE"""),"Joyce Zhu")</f>
        <v>Joyce Zhu</v>
      </c>
      <c r="C124" s="95">
        <f>IFERROR(__xludf.DUMMYFUNCTION("""COMPUTED_VALUE"""),67.0)</f>
        <v>67</v>
      </c>
      <c r="D124" s="95">
        <f>IFERROR(__xludf.DUMMYFUNCTION("""COMPUTED_VALUE"""),4.0)</f>
        <v>4</v>
      </c>
      <c r="E124" s="96">
        <f>IFERROR(__xludf.DUMMYFUNCTION("""COMPUTED_VALUE"""),1.0)</f>
        <v>1</v>
      </c>
      <c r="F124" s="97">
        <f>IFERROR(__xludf.DUMMYFUNCTION("""COMPUTED_VALUE"""),8.0)</f>
        <v>8</v>
      </c>
      <c r="G124" s="97">
        <f>IFERROR(__xludf.DUMMYFUNCTION("""COMPUTED_VALUE"""),0.0)</f>
        <v>0</v>
      </c>
      <c r="H124" s="97">
        <f>IFERROR(__xludf.DUMMYFUNCTION("""COMPUTED_VALUE"""),6.0)</f>
        <v>6</v>
      </c>
      <c r="I124" s="97">
        <f>IFERROR(__xludf.DUMMYFUNCTION("""COMPUTED_VALUE"""),6.0)</f>
        <v>6</v>
      </c>
      <c r="J124" s="97">
        <f>IFERROR(__xludf.DUMMYFUNCTION("""COMPUTED_VALUE"""),0.0)</f>
        <v>0</v>
      </c>
      <c r="K124" s="97">
        <f>IFERROR(__xludf.DUMMYFUNCTION("""COMPUTED_VALUE"""),12.0)</f>
        <v>12</v>
      </c>
      <c r="L124" s="97">
        <f>IFERROR(__xludf.DUMMYFUNCTION("""COMPUTED_VALUE"""),2.0)</f>
        <v>2</v>
      </c>
      <c r="M124" s="98">
        <f>IFERROR(__xludf.DUMMYFUNCTION("""COMPUTED_VALUE"""),79.0)</f>
        <v>79</v>
      </c>
      <c r="N124" s="98">
        <f>IFERROR(__xludf.DUMMYFUNCTION("""COMPUTED_VALUE"""),6.0)</f>
        <v>6</v>
      </c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C134" s="11"/>
      <c r="D134" s="11"/>
      <c r="E134" s="11"/>
    </row>
    <row r="135">
      <c r="A135" s="11"/>
      <c r="B135" s="10" t="s">
        <v>166</v>
      </c>
      <c r="C135" s="11"/>
      <c r="D135" s="11"/>
      <c r="E135" s="11"/>
    </row>
    <row r="136">
      <c r="A136" s="11"/>
      <c r="B136" s="27" t="s">
        <v>31</v>
      </c>
      <c r="C136" s="29" t="s">
        <v>2</v>
      </c>
      <c r="D136" s="29" t="s">
        <v>4</v>
      </c>
      <c r="E136" s="29" t="s">
        <v>33</v>
      </c>
      <c r="F136" s="29" t="s">
        <v>35</v>
      </c>
      <c r="G136" s="29" t="s">
        <v>36</v>
      </c>
      <c r="H136" s="29" t="s">
        <v>6</v>
      </c>
      <c r="I136" s="29" t="s">
        <v>7</v>
      </c>
      <c r="J136" s="29" t="s">
        <v>8</v>
      </c>
      <c r="K136" s="29" t="s">
        <v>2</v>
      </c>
      <c r="L136" s="29" t="s">
        <v>4</v>
      </c>
      <c r="M136" s="28" t="s">
        <v>2</v>
      </c>
      <c r="N136" s="28" t="s">
        <v>4</v>
      </c>
    </row>
    <row r="137">
      <c r="A137" s="11"/>
      <c r="B137" s="82" t="str">
        <f>IFERROR(__xludf.DUMMYFUNCTION("QUERY(B5:N70, ""Select B, C, D, E, F, G, H, I, J, K, L, M, N   where F = 0"")"),"Luis Hsu")</f>
        <v>Luis Hsu</v>
      </c>
      <c r="C137" s="87">
        <f>IFERROR(__xludf.DUMMYFUNCTION("""COMPUTED_VALUE"""),116.0)</f>
        <v>116</v>
      </c>
      <c r="D137" s="87">
        <f>IFERROR(__xludf.DUMMYFUNCTION("""COMPUTED_VALUE"""),12.0)</f>
        <v>12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IFERROR(__xludf.DUMMYFUNCTION("""COMPUTED_VALUE"""),125.0)</f>
        <v>125</v>
      </c>
      <c r="N137" s="89">
        <f>IFERROR(__xludf.DUMMYFUNCTION("""COMPUTED_VALUE"""),12.0)</f>
        <v>12</v>
      </c>
    </row>
    <row r="138">
      <c r="A138" s="11"/>
      <c r="B138" s="82" t="str">
        <f>IFERROR(__xludf.DUMMYFUNCTION("""COMPUTED_VALUE"""),"Arun Mallikarjuna")</f>
        <v>Arun Mallikarjuna</v>
      </c>
      <c r="C138" s="87">
        <f>IFERROR(__xludf.DUMMYFUNCTION("""COMPUTED_VALUE"""),115.0)</f>
        <v>115</v>
      </c>
      <c r="D138" s="87">
        <f>IFERROR(__xludf.DUMMYFUNCTION("""COMPUTED_VALUE"""),12.0)</f>
        <v>12</v>
      </c>
      <c r="E138" s="86">
        <f>IFERROR(__xludf.DUMMYFUNCTION("""COMPUTED_VALUE"""),5.0)</f>
        <v>5</v>
      </c>
      <c r="F138" s="88">
        <f>IFERROR(__xludf.DUMMYFUNCTION("""COMPUTED_VALUE"""),0.0)</f>
        <v>0</v>
      </c>
      <c r="G138" s="88">
        <f>IFERROR(__xludf.DUMMYFUNCTION("""COMPUTED_VALUE"""),13.0)</f>
        <v>13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IFERROR(__xludf.DUMMYFUNCTION("""COMPUTED_VALUE"""),13.0)</f>
        <v>13</v>
      </c>
      <c r="L138" s="88">
        <f>IFERROR(__xludf.DUMMYFUNCTION("""COMPUTED_VALUE"""),0.0)</f>
        <v>0</v>
      </c>
      <c r="M138" s="89">
        <f>IFERROR(__xludf.DUMMYFUNCTION("""COMPUTED_VALUE"""),128.0)</f>
        <v>128</v>
      </c>
      <c r="N138" s="89">
        <f>IFERROR(__xludf.DUMMYFUNCTION("""COMPUTED_VALUE"""),12.0)</f>
        <v>12</v>
      </c>
    </row>
    <row r="139">
      <c r="A139" s="11"/>
      <c r="B139" s="82" t="str">
        <f>IFERROR(__xludf.DUMMYFUNCTION("""COMPUTED_VALUE"""),"Christopher Li")</f>
        <v>Christopher Li</v>
      </c>
      <c r="C139" s="87">
        <f>IFERROR(__xludf.DUMMYFUNCTION("""COMPUTED_VALUE"""),112.0)</f>
        <v>112</v>
      </c>
      <c r="D139" s="87">
        <f>IFERROR(__xludf.DUMMYFUNCTION("""COMPUTED_VALUE"""),12.0)</f>
        <v>12</v>
      </c>
      <c r="E139" s="86">
        <f>IFERROR(__xludf.DUMMYFUNCTION("""COMPUTED_VALUE"""),3.0)</f>
        <v>3</v>
      </c>
      <c r="F139" s="88">
        <f>IFERROR(__xludf.DUMMYFUNCTION("""COMPUTED_VALUE"""),0.0)</f>
        <v>0</v>
      </c>
      <c r="G139" s="88">
        <f>IFERROR(__xludf.DUMMYFUNCTION("""COMPUTED_VALUE"""),9.0)</f>
        <v>9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IFERROR(__xludf.DUMMYFUNCTION("""COMPUTED_VALUE"""),9.0)</f>
        <v>9</v>
      </c>
      <c r="L139" s="88">
        <f>IFERROR(__xludf.DUMMYFUNCTION("""COMPUTED_VALUE"""),0.0)</f>
        <v>0</v>
      </c>
      <c r="M139" s="89">
        <f>IFERROR(__xludf.DUMMYFUNCTION("""COMPUTED_VALUE"""),121.0)</f>
        <v>121</v>
      </c>
      <c r="N139" s="89">
        <f>IFERROR(__xludf.DUMMYFUNCTION("""COMPUTED_VALUE"""),12.0)</f>
        <v>12</v>
      </c>
    </row>
    <row r="140">
      <c r="A140" s="11"/>
      <c r="B140" s="82" t="str">
        <f>IFERROR(__xludf.DUMMYFUNCTION("""COMPUTED_VALUE"""),"Rajasekar Ramasamy")</f>
        <v>Rajasekar Ramasamy</v>
      </c>
      <c r="C140" s="87">
        <f>IFERROR(__xludf.DUMMYFUNCTION("""COMPUTED_VALUE"""),111.0)</f>
        <v>111</v>
      </c>
      <c r="D140" s="87">
        <f>IFERROR(__xludf.DUMMYFUNCTION("""COMPUTED_VALUE"""),11.0)</f>
        <v>11</v>
      </c>
      <c r="E140" s="86">
        <f>IFERROR(__xludf.DUMMYFUNCTION("""COMPUTED_VALUE"""),5.0)</f>
        <v>5</v>
      </c>
      <c r="F140" s="88">
        <f>IFERROR(__xludf.DUMMYFUNCTION("""COMPUTED_VALUE"""),0.0)</f>
        <v>0</v>
      </c>
      <c r="G140" s="88">
        <f>IFERROR(__xludf.DUMMYFUNCTION("""COMPUTED_VALUE"""),13.0)</f>
        <v>13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IFERROR(__xludf.DUMMYFUNCTION("""COMPUTED_VALUE"""),13.0)</f>
        <v>13</v>
      </c>
      <c r="L140" s="88">
        <f>IFERROR(__xludf.DUMMYFUNCTION("""COMPUTED_VALUE"""),0.0)</f>
        <v>0</v>
      </c>
      <c r="M140" s="89">
        <f>IFERROR(__xludf.DUMMYFUNCTION("""COMPUTED_VALUE"""),124.0)</f>
        <v>124</v>
      </c>
      <c r="N140" s="89">
        <f>IFERROR(__xludf.DUMMYFUNCTION("""COMPUTED_VALUE"""),11.0)</f>
        <v>11</v>
      </c>
    </row>
    <row r="141">
      <c r="A141" s="11"/>
      <c r="B141" s="82" t="str">
        <f>IFERROR(__xludf.DUMMYFUNCTION("""COMPUTED_VALUE"""),"Suleman Alidina")</f>
        <v>Suleman Alidina</v>
      </c>
      <c r="C141" s="87">
        <f>IFERROR(__xludf.DUMMYFUNCTION("""COMPUTED_VALUE"""),109.0)</f>
        <v>109</v>
      </c>
      <c r="D141" s="87">
        <f>IFERROR(__xludf.DUMMYFUNCTION("""COMPUTED_VALUE"""),12.0)</f>
        <v>12</v>
      </c>
      <c r="E141" s="86">
        <f>IFERROR(__xludf.DUMMYFUNCTION("""COMPUTED_VALUE"""),3.0)</f>
        <v>3</v>
      </c>
      <c r="F141" s="88">
        <f>IFERROR(__xludf.DUMMYFUNCTION("""COMPUTED_VALUE"""),0.0)</f>
        <v>0</v>
      </c>
      <c r="G141" s="88">
        <f>IFERROR(__xludf.DUMMYFUNCTION("""COMPUTED_VALUE"""),9.0)</f>
        <v>9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IFERROR(__xludf.DUMMYFUNCTION("""COMPUTED_VALUE"""),9.0)</f>
        <v>9</v>
      </c>
      <c r="L141" s="88">
        <f>IFERROR(__xludf.DUMMYFUNCTION("""COMPUTED_VALUE"""),0.0)</f>
        <v>0</v>
      </c>
      <c r="M141" s="89">
        <f>IFERROR(__xludf.DUMMYFUNCTION("""COMPUTED_VALUE"""),118.0)</f>
        <v>118</v>
      </c>
      <c r="N141" s="89">
        <f>IFERROR(__xludf.DUMMYFUNCTION("""COMPUTED_VALUE"""),12.0)</f>
        <v>12</v>
      </c>
    </row>
    <row r="142">
      <c r="A142" s="11"/>
      <c r="B142" s="82" t="str">
        <f>IFERROR(__xludf.DUMMYFUNCTION("""COMPUTED_VALUE"""),"Frank Moon")</f>
        <v>Frank Moon</v>
      </c>
      <c r="C142" s="87">
        <f>IFERROR(__xludf.DUMMYFUNCTION("""COMPUTED_VALUE"""),106.0)</f>
        <v>106</v>
      </c>
      <c r="D142" s="87">
        <f>IFERROR(__xludf.DUMMYFUNCTION("""COMPUTED_VALUE"""),11.0)</f>
        <v>11</v>
      </c>
      <c r="E142" s="86">
        <f>IFERROR(__xludf.DUMMYFUNCTION("""COMPUTED_VALUE"""),3.0)</f>
        <v>3</v>
      </c>
      <c r="F142" s="88">
        <f>IFERROR(__xludf.DUMMYFUNCTION("""COMPUTED_VALUE"""),0.0)</f>
        <v>0</v>
      </c>
      <c r="G142" s="88">
        <f>IFERROR(__xludf.DUMMYFUNCTION("""COMPUTED_VALUE"""),9.0)</f>
        <v>9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IFERROR(__xludf.DUMMYFUNCTION("""COMPUTED_VALUE"""),9.0)</f>
        <v>9</v>
      </c>
      <c r="L142" s="88">
        <f>IFERROR(__xludf.DUMMYFUNCTION("""COMPUTED_VALUE"""),0.0)</f>
        <v>0</v>
      </c>
      <c r="M142" s="89">
        <f>IFERROR(__xludf.DUMMYFUNCTION("""COMPUTED_VALUE"""),115.0)</f>
        <v>115</v>
      </c>
      <c r="N142" s="89">
        <f>IFERROR(__xludf.DUMMYFUNCTION("""COMPUTED_VALUE"""),11.0)</f>
        <v>11</v>
      </c>
    </row>
    <row r="143">
      <c r="A143" s="11"/>
      <c r="B143" s="82" t="str">
        <f>IFERROR(__xludf.DUMMYFUNCTION("""COMPUTED_VALUE"""),"Oscar Bonilla")</f>
        <v>Oscar Bonilla</v>
      </c>
      <c r="C143" s="87">
        <f>IFERROR(__xludf.DUMMYFUNCTION("""COMPUTED_VALUE"""),103.0)</f>
        <v>103</v>
      </c>
      <c r="D143" s="87">
        <f>IFERROR(__xludf.DUMMYFUNCTION("""COMPUTED_VALUE"""),7.0)</f>
        <v>7</v>
      </c>
      <c r="E143" s="86">
        <f>IFERROR(__xludf.DUMMYFUNCTION("""COMPUTED_VALUE"""),3.0)</f>
        <v>3</v>
      </c>
      <c r="F143" s="88">
        <f>IFERROR(__xludf.DUMMYFUNCTION("""COMPUTED_VALUE"""),0.0)</f>
        <v>0</v>
      </c>
      <c r="G143" s="88">
        <f>IFERROR(__xludf.DUMMYFUNCTION("""COMPUTED_VALUE"""),9.0)</f>
        <v>9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IFERROR(__xludf.DUMMYFUNCTION("""COMPUTED_VALUE"""),9.0)</f>
        <v>9</v>
      </c>
      <c r="L143" s="88">
        <f>IFERROR(__xludf.DUMMYFUNCTION("""COMPUTED_VALUE"""),0.0)</f>
        <v>0</v>
      </c>
      <c r="M143" s="89">
        <f>IFERROR(__xludf.DUMMYFUNCTION("""COMPUTED_VALUE"""),112.0)</f>
        <v>112</v>
      </c>
      <c r="N143" s="89">
        <f>IFERROR(__xludf.DUMMYFUNCTION("""COMPUTED_VALUE"""),7.0)</f>
        <v>7</v>
      </c>
    </row>
    <row r="144">
      <c r="A144" s="11"/>
      <c r="B144" s="82" t="str">
        <f>IFERROR(__xludf.DUMMYFUNCTION("""COMPUTED_VALUE"""),"Joe Luzzi")</f>
        <v>Joe Luzzi</v>
      </c>
      <c r="C144" s="87">
        <f>IFERROR(__xludf.DUMMYFUNCTION("""COMPUTED_VALUE"""),100.0)</f>
        <v>100</v>
      </c>
      <c r="D144" s="87">
        <f>IFERROR(__xludf.DUMMYFUNCTION("""COMPUTED_VALUE"""),8.0)</f>
        <v>8</v>
      </c>
      <c r="E144" s="86">
        <f>IFERROR(__xludf.DUMMYFUNCTION("""COMPUTED_VALUE"""),5.0)</f>
        <v>5</v>
      </c>
      <c r="F144" s="88">
        <f>IFERROR(__xludf.DUMMYFUNCTION("""COMPUTED_VALUE"""),0.0)</f>
        <v>0</v>
      </c>
      <c r="G144" s="88">
        <f>IFERROR(__xludf.DUMMYFUNCTION("""COMPUTED_VALUE"""),13.0)</f>
        <v>13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IFERROR(__xludf.DUMMYFUNCTION("""COMPUTED_VALUE"""),13.0)</f>
        <v>13</v>
      </c>
      <c r="L144" s="88">
        <f>IFERROR(__xludf.DUMMYFUNCTION("""COMPUTED_VALUE"""),0.0)</f>
        <v>0</v>
      </c>
      <c r="M144" s="89">
        <f>IFERROR(__xludf.DUMMYFUNCTION("""COMPUTED_VALUE"""),113.0)</f>
        <v>113</v>
      </c>
      <c r="N144" s="89">
        <f>IFERROR(__xludf.DUMMYFUNCTION("""COMPUTED_VALUE"""),8.0)</f>
        <v>8</v>
      </c>
    </row>
    <row r="145">
      <c r="A145" s="11"/>
      <c r="B145" s="82" t="str">
        <f>IFERROR(__xludf.DUMMYFUNCTION("""COMPUTED_VALUE"""),"Lam Bui")</f>
        <v>Lam Bui</v>
      </c>
      <c r="C145" s="87">
        <f>IFERROR(__xludf.DUMMYFUNCTION("""COMPUTED_VALUE"""),98.0)</f>
        <v>98</v>
      </c>
      <c r="D145" s="87">
        <f>IFERROR(__xludf.DUMMYFUNCTION("""COMPUTED_VALUE"""),7.0)</f>
        <v>7</v>
      </c>
      <c r="E145" s="86">
        <f>IFERROR(__xludf.DUMMYFUNCTION("""COMPUTED_VALUE"""),3.0)</f>
        <v>3</v>
      </c>
      <c r="F145" s="88">
        <f>IFERROR(__xludf.DUMMYFUNCTION("""COMPUTED_VALUE"""),0.0)</f>
        <v>0</v>
      </c>
      <c r="G145" s="88">
        <f>IFERROR(__xludf.DUMMYFUNCTION("""COMPUTED_VALUE"""),9.0)</f>
        <v>9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IFERROR(__xludf.DUMMYFUNCTION("""COMPUTED_VALUE"""),9.0)</f>
        <v>9</v>
      </c>
      <c r="L145" s="88">
        <f>IFERROR(__xludf.DUMMYFUNCTION("""COMPUTED_VALUE"""),0.0)</f>
        <v>0</v>
      </c>
      <c r="M145" s="89">
        <f>IFERROR(__xludf.DUMMYFUNCTION("""COMPUTED_VALUE"""),107.0)</f>
        <v>107</v>
      </c>
      <c r="N145" s="89">
        <f>IFERROR(__xludf.DUMMYFUNCTION("""COMPUTED_VALUE"""),7.0)</f>
        <v>7</v>
      </c>
    </row>
    <row r="146">
      <c r="A146" s="11"/>
      <c r="B146" s="82" t="str">
        <f>IFERROR(__xludf.DUMMYFUNCTION("""COMPUTED_VALUE"""),"Pavan Akkimsetty")</f>
        <v>Pavan Akkimsetty</v>
      </c>
      <c r="C146" s="87">
        <f>IFERROR(__xludf.DUMMYFUNCTION("""COMPUTED_VALUE"""),94.0)</f>
        <v>94</v>
      </c>
      <c r="D146" s="87">
        <f>IFERROR(__xludf.DUMMYFUNCTION("""COMPUTED_VALUE"""),6.0)</f>
        <v>6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IFERROR(__xludf.DUMMYFUNCTION("""COMPUTED_VALUE"""),103.0)</f>
        <v>103</v>
      </c>
      <c r="N146" s="89">
        <f>IFERROR(__xludf.DUMMYFUNCTION("""COMPUTED_VALUE"""),6.0)</f>
        <v>6</v>
      </c>
    </row>
    <row r="147">
      <c r="A147" s="11"/>
      <c r="B147" s="82" t="str">
        <f>IFERROR(__xludf.DUMMYFUNCTION("""COMPUTED_VALUE"""),"Robert Chang")</f>
        <v>Robert Chang</v>
      </c>
      <c r="C147" s="87">
        <f>IFERROR(__xludf.DUMMYFUNCTION("""COMPUTED_VALUE"""),92.0)</f>
        <v>92</v>
      </c>
      <c r="D147" s="87">
        <f>IFERROR(__xludf.DUMMYFUNCTION("""COMPUTED_VALUE"""),4.0)</f>
        <v>4</v>
      </c>
      <c r="E147" s="86">
        <f>IFERROR(__xludf.DUMMYFUNCTION("""COMPUTED_VALUE"""),5.0)</f>
        <v>5</v>
      </c>
      <c r="F147" s="88">
        <f>IFERROR(__xludf.DUMMYFUNCTION("""COMPUTED_VALUE"""),0.0)</f>
        <v>0</v>
      </c>
      <c r="G147" s="88">
        <f>IFERROR(__xludf.DUMMYFUNCTION("""COMPUTED_VALUE"""),13.0)</f>
        <v>13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IFERROR(__xludf.DUMMYFUNCTION("""COMPUTED_VALUE"""),13.0)</f>
        <v>13</v>
      </c>
      <c r="L147" s="88">
        <f>IFERROR(__xludf.DUMMYFUNCTION("""COMPUTED_VALUE"""),0.0)</f>
        <v>0</v>
      </c>
      <c r="M147" s="89">
        <f>IFERROR(__xludf.DUMMYFUNCTION("""COMPUTED_VALUE"""),105.0)</f>
        <v>105</v>
      </c>
      <c r="N147" s="89">
        <f>IFERROR(__xludf.DUMMYFUNCTION("""COMPUTED_VALUE"""),4.0)</f>
        <v>4</v>
      </c>
    </row>
    <row r="148">
      <c r="A148" s="11"/>
      <c r="B148" s="82" t="str">
        <f>IFERROR(__xludf.DUMMYFUNCTION("""COMPUTED_VALUE"""),"Manuel Rivera")</f>
        <v>Manuel Rivera</v>
      </c>
      <c r="C148" s="87">
        <f>IFERROR(__xludf.DUMMYFUNCTION("""COMPUTED_VALUE"""),91.0)</f>
        <v>91</v>
      </c>
      <c r="D148" s="87">
        <f>IFERROR(__xludf.DUMMYFUNCTION("""COMPUTED_VALUE"""),6.0)</f>
        <v>6</v>
      </c>
      <c r="E148" s="86">
        <f>IFERROR(__xludf.DUMMYFUNCTION("""COMPUTED_VALUE"""),5.0)</f>
        <v>5</v>
      </c>
      <c r="F148" s="88">
        <f>IFERROR(__xludf.DUMMYFUNCTION("""COMPUTED_VALUE"""),0.0)</f>
        <v>0</v>
      </c>
      <c r="G148" s="88">
        <f>IFERROR(__xludf.DUMMYFUNCTION("""COMPUTED_VALUE"""),13.0)</f>
        <v>13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IFERROR(__xludf.DUMMYFUNCTION("""COMPUTED_VALUE"""),13.0)</f>
        <v>13</v>
      </c>
      <c r="L148" s="88">
        <f>IFERROR(__xludf.DUMMYFUNCTION("""COMPUTED_VALUE"""),0.0)</f>
        <v>0</v>
      </c>
      <c r="M148" s="89">
        <f>IFERROR(__xludf.DUMMYFUNCTION("""COMPUTED_VALUE"""),104.0)</f>
        <v>104</v>
      </c>
      <c r="N148" s="89">
        <f>IFERROR(__xludf.DUMMYFUNCTION("""COMPUTED_VALUE"""),6.0)</f>
        <v>6</v>
      </c>
    </row>
    <row r="149">
      <c r="A149" s="11"/>
      <c r="B149" s="82" t="str">
        <f>IFERROR(__xludf.DUMMYFUNCTION("""COMPUTED_VALUE"""),"Trinath Goteti")</f>
        <v>Trinath Goteti</v>
      </c>
      <c r="C149" s="87">
        <f>IFERROR(__xludf.DUMMYFUNCTION("""COMPUTED_VALUE"""),85.0)</f>
        <v>85</v>
      </c>
      <c r="D149" s="87">
        <f>IFERROR(__xludf.DUMMYFUNCTION("""COMPUTED_VALUE"""),4.0)</f>
        <v>4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IFERROR(__xludf.DUMMYFUNCTION("""COMPUTED_VALUE"""),94.0)</f>
        <v>94</v>
      </c>
      <c r="N149" s="89">
        <f>IFERROR(__xludf.DUMMYFUNCTION("""COMPUTED_VALUE"""),4.0)</f>
        <v>4</v>
      </c>
    </row>
    <row r="150">
      <c r="A150" s="11"/>
      <c r="B150" s="82" t="str">
        <f>IFERROR(__xludf.DUMMYFUNCTION("""COMPUTED_VALUE"""),"Tony Lin")</f>
        <v>Tony Lin</v>
      </c>
      <c r="C150" s="87">
        <f>IFERROR(__xludf.DUMMYFUNCTION("""COMPUTED_VALUE"""),85.0)</f>
        <v>85</v>
      </c>
      <c r="D150" s="87">
        <f>IFERROR(__xludf.DUMMYFUNCTION("""COMPUTED_VALUE"""),3.0)</f>
        <v>3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IFERROR(__xludf.DUMMYFUNCTION("""COMPUTED_VALUE"""),94.0)</f>
        <v>94</v>
      </c>
      <c r="N150" s="89">
        <f>IFERROR(__xludf.DUMMYFUNCTION("""COMPUTED_VALUE"""),3.0)</f>
        <v>3</v>
      </c>
    </row>
    <row r="151">
      <c r="A151" s="11"/>
      <c r="B151" s="82" t="str">
        <f>IFERROR(__xludf.DUMMYFUNCTION("""COMPUTED_VALUE"""),"Elayaraja Thangaraj ")</f>
        <v>Elayaraja Thangaraj </v>
      </c>
      <c r="C151" s="87">
        <f>IFERROR(__xludf.DUMMYFUNCTION("""COMPUTED_VALUE"""),85.0)</f>
        <v>85</v>
      </c>
      <c r="D151" s="87">
        <f>IFERROR(__xludf.DUMMYFUNCTION("""COMPUTED_VALUE"""),2.0)</f>
        <v>2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IFERROR(__xludf.DUMMYFUNCTION("""COMPUTED_VALUE"""),94.0)</f>
        <v>94</v>
      </c>
      <c r="N151" s="89">
        <f>IFERROR(__xludf.DUMMYFUNCTION("""COMPUTED_VALUE"""),2.0)</f>
        <v>2</v>
      </c>
    </row>
    <row r="152">
      <c r="A152" s="11"/>
      <c r="B152" s="82" t="str">
        <f>IFERROR(__xludf.DUMMYFUNCTION("""COMPUTED_VALUE"""),"Vinaya Kajla")</f>
        <v>Vinaya Kajla</v>
      </c>
      <c r="C152" s="87">
        <f>IFERROR(__xludf.DUMMYFUNCTION("""COMPUTED_VALUE"""),84.0)</f>
        <v>84</v>
      </c>
      <c r="D152" s="87">
        <f>IFERROR(__xludf.DUMMYFUNCTION("""COMPUTED_VALUE"""),6.0)</f>
        <v>6</v>
      </c>
      <c r="E152" s="86">
        <f>IFERROR(__xludf.DUMMYFUNCTION("""COMPUTED_VALUE"""),3.0)</f>
        <v>3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IFERROR(__xludf.DUMMYFUNCTION("""COMPUTED_VALUE"""),93.0)</f>
        <v>93</v>
      </c>
      <c r="N152" s="89">
        <f>IFERROR(__xludf.DUMMYFUNCTION("""COMPUTED_VALUE"""),6.0)</f>
        <v>6</v>
      </c>
    </row>
    <row r="153">
      <c r="A153" s="11"/>
      <c r="B153" s="82" t="str">
        <f>IFERROR(__xludf.DUMMYFUNCTION("""COMPUTED_VALUE"""),"Jimmy Awolesi")</f>
        <v>Jimmy Awolesi</v>
      </c>
      <c r="C153" s="87">
        <f>IFERROR(__xludf.DUMMYFUNCTION("""COMPUTED_VALUE"""),84.0)</f>
        <v>84</v>
      </c>
      <c r="D153" s="87">
        <f>IFERROR(__xludf.DUMMYFUNCTION("""COMPUTED_VALUE"""),4.0)</f>
        <v>4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IFERROR(__xludf.DUMMYFUNCTION("""COMPUTED_VALUE"""),93.0)</f>
        <v>93</v>
      </c>
      <c r="N153" s="89">
        <f>IFERROR(__xludf.DUMMYFUNCTION("""COMPUTED_VALUE"""),4.0)</f>
        <v>4</v>
      </c>
    </row>
    <row r="154">
      <c r="A154" s="11"/>
      <c r="B154" s="82" t="str">
        <f>IFERROR(__xludf.DUMMYFUNCTION("""COMPUTED_VALUE"""),"Susanta Mishra")</f>
        <v>Susanta Mishra</v>
      </c>
      <c r="C154" s="87">
        <f>IFERROR(__xludf.DUMMYFUNCTION("""COMPUTED_VALUE"""),84.0)</f>
        <v>84</v>
      </c>
      <c r="D154" s="87">
        <f>IFERROR(__xludf.DUMMYFUNCTION("""COMPUTED_VALUE"""),3.0)</f>
        <v>3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IFERROR(__xludf.DUMMYFUNCTION("""COMPUTED_VALUE"""),93.0)</f>
        <v>93</v>
      </c>
      <c r="N154" s="89">
        <f>IFERROR(__xludf.DUMMYFUNCTION("""COMPUTED_VALUE"""),3.0)</f>
        <v>3</v>
      </c>
    </row>
    <row r="155">
      <c r="A155" s="11"/>
      <c r="B155" s="82" t="str">
        <f>IFERROR(__xludf.DUMMYFUNCTION("""COMPUTED_VALUE"""),"Mauricio Palacios")</f>
        <v>Mauricio Palacios</v>
      </c>
      <c r="C155" s="87">
        <f>IFERROR(__xludf.DUMMYFUNCTION("""COMPUTED_VALUE"""),83.0)</f>
        <v>83</v>
      </c>
      <c r="D155" s="87">
        <f>IFERROR(__xludf.DUMMYFUNCTION("""COMPUTED_VALUE"""),3.0)</f>
        <v>3</v>
      </c>
      <c r="E155" s="86">
        <f>IFERROR(__xludf.DUMMYFUNCTION("""COMPUTED_VALUE"""),5.0)</f>
        <v>5</v>
      </c>
      <c r="F155" s="88">
        <f>IFERROR(__xludf.DUMMYFUNCTION("""COMPUTED_VALUE"""),0.0)</f>
        <v>0</v>
      </c>
      <c r="G155" s="88">
        <f>IFERROR(__xludf.DUMMYFUNCTION("""COMPUTED_VALUE"""),13.0)</f>
        <v>13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IFERROR(__xludf.DUMMYFUNCTION("""COMPUTED_VALUE"""),13.0)</f>
        <v>13</v>
      </c>
      <c r="L155" s="88">
        <f>IFERROR(__xludf.DUMMYFUNCTION("""COMPUTED_VALUE"""),0.0)</f>
        <v>0</v>
      </c>
      <c r="M155" s="89">
        <f>IFERROR(__xludf.DUMMYFUNCTION("""COMPUTED_VALUE"""),96.0)</f>
        <v>96</v>
      </c>
      <c r="N155" s="89">
        <f>IFERROR(__xludf.DUMMYFUNCTION("""COMPUTED_VALUE"""),3.0)</f>
        <v>3</v>
      </c>
    </row>
    <row r="156">
      <c r="A156" s="11"/>
      <c r="B156" s="82" t="str">
        <f>IFERROR(__xludf.DUMMYFUNCTION("""COMPUTED_VALUE"""),"Eric Pan")</f>
        <v>Eric Pan</v>
      </c>
      <c r="C156" s="87">
        <f>IFERROR(__xludf.DUMMYFUNCTION("""COMPUTED_VALUE"""),81.0)</f>
        <v>81</v>
      </c>
      <c r="D156" s="87">
        <f>IFERROR(__xludf.DUMMYFUNCTION("""COMPUTED_VALUE"""),3.0)</f>
        <v>3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IFERROR(__xludf.DUMMYFUNCTION("""COMPUTED_VALUE"""),90.0)</f>
        <v>90</v>
      </c>
      <c r="N156" s="89">
        <f>IFERROR(__xludf.DUMMYFUNCTION("""COMPUTED_VALUE"""),3.0)</f>
        <v>3</v>
      </c>
    </row>
    <row r="157">
      <c r="A157" s="11"/>
      <c r="B157" s="82" t="str">
        <f>IFERROR(__xludf.DUMMYFUNCTION("""COMPUTED_VALUE"""),"Vishnu Amarnath")</f>
        <v>Vishnu Amarnath</v>
      </c>
      <c r="C157" s="87">
        <f>IFERROR(__xludf.DUMMYFUNCTION("""COMPUTED_VALUE"""),81.0)</f>
        <v>81</v>
      </c>
      <c r="D157" s="87">
        <f>IFERROR(__xludf.DUMMYFUNCTION("""COMPUTED_VALUE"""),3.0)</f>
        <v>3</v>
      </c>
      <c r="E157" s="86">
        <f>IFERROR(__xludf.DUMMYFUNCTION("""COMPUTED_VALUE"""),3.0)</f>
        <v>3</v>
      </c>
      <c r="F157" s="88">
        <f>IFERROR(__xludf.DUMMYFUNCTION("""COMPUTED_VALUE"""),0.0)</f>
        <v>0</v>
      </c>
      <c r="G157" s="88">
        <f>IFERROR(__xludf.DUMMYFUNCTION("""COMPUTED_VALUE"""),9.0)</f>
        <v>9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IFERROR(__xludf.DUMMYFUNCTION("""COMPUTED_VALUE"""),0.0)</f>
        <v>0</v>
      </c>
      <c r="M157" s="89">
        <f>IFERROR(__xludf.DUMMYFUNCTION("""COMPUTED_VALUE"""),90.0)</f>
        <v>90</v>
      </c>
      <c r="N157" s="89">
        <f>IFERROR(__xludf.DUMMYFUNCTION("""COMPUTED_VALUE"""),3.0)</f>
        <v>3</v>
      </c>
    </row>
    <row r="158">
      <c r="A158" s="11"/>
      <c r="B158" s="82" t="str">
        <f>IFERROR(__xludf.DUMMYFUNCTION("""COMPUTED_VALUE"""),"Pulkit Mathur")</f>
        <v>Pulkit Mathur</v>
      </c>
      <c r="C158" s="87">
        <f>IFERROR(__xludf.DUMMYFUNCTION("""COMPUTED_VALUE"""),81.0)</f>
        <v>81</v>
      </c>
      <c r="D158" s="87">
        <f>IFERROR(__xludf.DUMMYFUNCTION("""COMPUTED_VALUE"""),3.0)</f>
        <v>3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IFERROR(__xludf.DUMMYFUNCTION("""COMPUTED_VALUE"""),90.0)</f>
        <v>90</v>
      </c>
      <c r="N158" s="89">
        <f>IFERROR(__xludf.DUMMYFUNCTION("""COMPUTED_VALUE"""),3.0)</f>
        <v>3</v>
      </c>
    </row>
    <row r="159">
      <c r="A159" s="11"/>
      <c r="B159" s="82" t="str">
        <f>IFERROR(__xludf.DUMMYFUNCTION("""COMPUTED_VALUE"""),"Manish Anand")</f>
        <v>Manish Anand</v>
      </c>
      <c r="C159" s="87">
        <f>IFERROR(__xludf.DUMMYFUNCTION("""COMPUTED_VALUE"""),81.0)</f>
        <v>81</v>
      </c>
      <c r="D159" s="87">
        <f>IFERROR(__xludf.DUMMYFUNCTION("""COMPUTED_VALUE"""),3.0)</f>
        <v>3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IFERROR(__xludf.DUMMYFUNCTION("""COMPUTED_VALUE"""),90.0)</f>
        <v>90</v>
      </c>
      <c r="N159" s="89">
        <f>IFERROR(__xludf.DUMMYFUNCTION("""COMPUTED_VALUE"""),3.0)</f>
        <v>3</v>
      </c>
    </row>
    <row r="160">
      <c r="A160" s="11"/>
      <c r="B160" s="82" t="str">
        <f>IFERROR(__xludf.DUMMYFUNCTION("""COMPUTED_VALUE"""),"Rajesh Dorairaj")</f>
        <v>Rajesh Dorairaj</v>
      </c>
      <c r="C160" s="87">
        <f>IFERROR(__xludf.DUMMYFUNCTION("""COMPUTED_VALUE"""),78.0)</f>
        <v>78</v>
      </c>
      <c r="D160" s="87">
        <f>IFERROR(__xludf.DUMMYFUNCTION("""COMPUTED_VALUE"""),2.0)</f>
        <v>2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IFERROR(__xludf.DUMMYFUNCTION("""COMPUTED_VALUE"""),87.0)</f>
        <v>87</v>
      </c>
      <c r="N160" s="89">
        <f>IFERROR(__xludf.DUMMYFUNCTION("""COMPUTED_VALUE"""),2.0)</f>
        <v>2</v>
      </c>
    </row>
    <row r="161">
      <c r="A161" s="11"/>
      <c r="B161" s="82" t="str">
        <f>IFERROR(__xludf.DUMMYFUNCTION("""COMPUTED_VALUE"""),"Leigh-Anh Nguyen")</f>
        <v>Leigh-Anh Nguyen</v>
      </c>
      <c r="C161" s="87">
        <f>IFERROR(__xludf.DUMMYFUNCTION("""COMPUTED_VALUE"""),77.0)</f>
        <v>77</v>
      </c>
      <c r="D161" s="87">
        <f>IFERROR(__xludf.DUMMYFUNCTION("""COMPUTED_VALUE"""),4.0)</f>
        <v>4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IFERROR(__xludf.DUMMYFUNCTION("""COMPUTED_VALUE"""),86.0)</f>
        <v>86</v>
      </c>
      <c r="N161" s="89">
        <f>IFERROR(__xludf.DUMMYFUNCTION("""COMPUTED_VALUE"""),4.0)</f>
        <v>4</v>
      </c>
    </row>
    <row r="162">
      <c r="A162" s="11"/>
      <c r="B162" s="82" t="str">
        <f>IFERROR(__xludf.DUMMYFUNCTION("""COMPUTED_VALUE"""),"Vinz Solano")</f>
        <v>Vinz Solano</v>
      </c>
      <c r="C162" s="87">
        <f>IFERROR(__xludf.DUMMYFUNCTION("""COMPUTED_VALUE"""),76.0)</f>
        <v>76</v>
      </c>
      <c r="D162" s="87">
        <f>IFERROR(__xludf.DUMMYFUNCTION("""COMPUTED_VALUE"""),2.0)</f>
        <v>2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IFERROR(__xludf.DUMMYFUNCTION("""COMPUTED_VALUE"""),85.0)</f>
        <v>85</v>
      </c>
      <c r="N162" s="89">
        <f>IFERROR(__xludf.DUMMYFUNCTION("""COMPUTED_VALUE"""),2.0)</f>
        <v>2</v>
      </c>
    </row>
    <row r="163">
      <c r="A163" s="11"/>
      <c r="B163" s="82" t="str">
        <f>IFERROR(__xludf.DUMMYFUNCTION("""COMPUTED_VALUE"""),"Peter Homsey")</f>
        <v>Peter Homsey</v>
      </c>
      <c r="C163" s="87">
        <f>IFERROR(__xludf.DUMMYFUNCTION("""COMPUTED_VALUE"""),76.0)</f>
        <v>76</v>
      </c>
      <c r="D163" s="87">
        <f>IFERROR(__xludf.DUMMYFUNCTION("""COMPUTED_VALUE"""),0.0)</f>
        <v>0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IFERROR(__xludf.DUMMYFUNCTION("""COMPUTED_VALUE"""),85.0)</f>
        <v>85</v>
      </c>
      <c r="N163" s="89">
        <f>IFERROR(__xludf.DUMMYFUNCTION("""COMPUTED_VALUE"""),0.0)</f>
        <v>0</v>
      </c>
    </row>
    <row r="164">
      <c r="A164" s="11"/>
      <c r="B164" s="82" t="str">
        <f>IFERROR(__xludf.DUMMYFUNCTION("""COMPUTED_VALUE"""),"Amit Patel")</f>
        <v>Amit Patel</v>
      </c>
      <c r="C164" s="87">
        <f>IFERROR(__xludf.DUMMYFUNCTION("""COMPUTED_VALUE"""),76.0)</f>
        <v>76</v>
      </c>
      <c r="D164" s="87">
        <f>IFERROR(__xludf.DUMMYFUNCTION("""COMPUTED_VALUE"""),0.0)</f>
        <v>0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IFERROR(__xludf.DUMMYFUNCTION("""COMPUTED_VALUE"""),85.0)</f>
        <v>85</v>
      </c>
      <c r="N164" s="89">
        <f>IFERROR(__xludf.DUMMYFUNCTION("""COMPUTED_VALUE"""),0.0)</f>
        <v>0</v>
      </c>
    </row>
    <row r="165">
      <c r="A165" s="11"/>
      <c r="B165" s="82" t="str">
        <f>IFERROR(__xludf.DUMMYFUNCTION("""COMPUTED_VALUE"""),"Santosh Sundaresan ")</f>
        <v>Santosh Sundaresan </v>
      </c>
      <c r="C165" s="87">
        <f>IFERROR(__xludf.DUMMYFUNCTION("""COMPUTED_VALUE"""),76.0)</f>
        <v>76</v>
      </c>
      <c r="D165" s="87">
        <f>IFERROR(__xludf.DUMMYFUNCTION("""COMPUTED_VALUE"""),0.0)</f>
        <v>0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IFERROR(__xludf.DUMMYFUNCTION("""COMPUTED_VALUE"""),85.0)</f>
        <v>85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IFERROR(__xludf.DUMMYFUNCTION("""COMPUTED_VALUE"""),"Peter Cheng")</f>
        <v>Peter Cheng</v>
      </c>
      <c r="C166" s="87">
        <f>IFERROR(__xludf.DUMMYFUNCTION("""COMPUTED_VALUE"""),76.0)</f>
        <v>76</v>
      </c>
      <c r="D166" s="87">
        <f>IFERROR(__xludf.DUMMYFUNCTION("""COMPUTED_VALUE"""),0.0)</f>
        <v>0</v>
      </c>
      <c r="E166" s="86">
        <f>IFERROR(__xludf.DUMMYFUNCTION("""COMPUTED_VALUE"""),5.0)</f>
        <v>5</v>
      </c>
      <c r="F166" s="88">
        <f>IFERROR(__xludf.DUMMYFUNCTION("""COMPUTED_VALUE"""),0.0)</f>
        <v>0</v>
      </c>
      <c r="G166" s="88">
        <f>IFERROR(__xludf.DUMMYFUNCTION("""COMPUTED_VALUE"""),13.0)</f>
        <v>13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IFERROR(__xludf.DUMMYFUNCTION("""COMPUTED_VALUE"""),13.0)</f>
        <v>13</v>
      </c>
      <c r="L166" s="88">
        <f>IFERROR(__xludf.DUMMYFUNCTION("""COMPUTED_VALUE"""),0.0)</f>
        <v>0</v>
      </c>
      <c r="M166" s="89">
        <f>IFERROR(__xludf.DUMMYFUNCTION("""COMPUTED_VALUE"""),89.0)</f>
        <v>89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IFERROR(__xludf.DUMMYFUNCTION("""COMPUTED_VALUE"""),"Sandy Weyant")</f>
        <v>Sandy Weyant</v>
      </c>
      <c r="C167" s="87">
        <f>IFERROR(__xludf.DUMMYFUNCTION("""COMPUTED_VALUE"""),73.0)</f>
        <v>73</v>
      </c>
      <c r="D167" s="87">
        <f>IFERROR(__xludf.DUMMYFUNCTION("""COMPUTED_VALUE"""),2.0)</f>
        <v>2</v>
      </c>
      <c r="E167" s="86">
        <f>IFERROR(__xludf.DUMMYFUNCTION("""COMPUTED_VALUE"""),3.0)</f>
        <v>3</v>
      </c>
      <c r="F167" s="88">
        <f>IFERROR(__xludf.DUMMYFUNCTION("""COMPUTED_VALUE"""),0.0)</f>
        <v>0</v>
      </c>
      <c r="G167" s="88">
        <f>IFERROR(__xludf.DUMMYFUNCTION("""COMPUTED_VALUE"""),9.0)</f>
        <v>9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IFERROR(__xludf.DUMMYFUNCTION("""COMPUTED_VALUE"""),9.0)</f>
        <v>9</v>
      </c>
      <c r="L167" s="88">
        <f>IFERROR(__xludf.DUMMYFUNCTION("""COMPUTED_VALUE"""),0.0)</f>
        <v>0</v>
      </c>
      <c r="M167" s="89">
        <f>IFERROR(__xludf.DUMMYFUNCTION("""COMPUTED_VALUE"""),82.0)</f>
        <v>82</v>
      </c>
      <c r="N167" s="89">
        <f>IFERROR(__xludf.DUMMYFUNCTION("""COMPUTED_VALUE"""),2.0)</f>
        <v>2</v>
      </c>
    </row>
    <row r="168">
      <c r="A168" s="11"/>
      <c r="B168" s="82" t="str">
        <f>IFERROR(__xludf.DUMMYFUNCTION("""COMPUTED_VALUE"""),"Nohely Mejia")</f>
        <v>Nohely Mejia</v>
      </c>
      <c r="C168" s="86">
        <f>IFERROR(__xludf.DUMMYFUNCTION("""COMPUTED_VALUE"""),73.0)</f>
        <v>73</v>
      </c>
      <c r="D168" s="87">
        <f>IFERROR(__xludf.DUMMYFUNCTION("""COMPUTED_VALUE"""),1.0)</f>
        <v>1</v>
      </c>
      <c r="E168" s="86">
        <f>IFERROR(__xludf.DUMMYFUNCTION("""COMPUTED_VALUE"""),5.0)</f>
        <v>5</v>
      </c>
      <c r="F168" s="88">
        <f>IFERROR(__xludf.DUMMYFUNCTION("""COMPUTED_VALUE"""),0.0)</f>
        <v>0</v>
      </c>
      <c r="G168" s="88">
        <f>IFERROR(__xludf.DUMMYFUNCTION("""COMPUTED_VALUE"""),13.0)</f>
        <v>13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IFERROR(__xludf.DUMMYFUNCTION("""COMPUTED_VALUE"""),13.0)</f>
        <v>13</v>
      </c>
      <c r="L168" s="88">
        <f>IFERROR(__xludf.DUMMYFUNCTION("""COMPUTED_VALUE"""),0.0)</f>
        <v>0</v>
      </c>
      <c r="M168" s="88">
        <f>IFERROR(__xludf.DUMMYFUNCTION("""COMPUTED_VALUE"""),86.0)</f>
        <v>86</v>
      </c>
      <c r="N168" s="89">
        <f>IFERROR(__xludf.DUMMYFUNCTION("""COMPUTED_VALUE"""),1.0)</f>
        <v>1</v>
      </c>
    </row>
    <row r="169">
      <c r="A169" s="11"/>
      <c r="B169" s="82" t="str">
        <f>IFERROR(__xludf.DUMMYFUNCTION("""COMPUTED_VALUE"""),"Balaji Alahari")</f>
        <v>Balaji Alahari</v>
      </c>
      <c r="C169" s="86">
        <f>IFERROR(__xludf.DUMMYFUNCTION("""COMPUTED_VALUE"""),72.0)</f>
        <v>72</v>
      </c>
      <c r="D169" s="87">
        <f>IFERROR(__xludf.DUMMYFUNCTION("""COMPUTED_VALUE"""),1.0)</f>
        <v>1</v>
      </c>
      <c r="E169" s="86">
        <f>IFERROR(__xludf.DUMMYFUNCTION("""COMPUTED_VALUE"""),5.0)</f>
        <v>5</v>
      </c>
      <c r="F169" s="88">
        <f>IFERROR(__xludf.DUMMYFUNCTION("""COMPUTED_VALUE"""),0.0)</f>
        <v>0</v>
      </c>
      <c r="G169" s="88">
        <f>IFERROR(__xludf.DUMMYFUNCTION("""COMPUTED_VALUE"""),13.0)</f>
        <v>13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IFERROR(__xludf.DUMMYFUNCTION("""COMPUTED_VALUE"""),13.0)</f>
        <v>13</v>
      </c>
      <c r="L169" s="88">
        <f>IFERROR(__xludf.DUMMYFUNCTION("""COMPUTED_VALUE"""),0.0)</f>
        <v>0</v>
      </c>
      <c r="M169" s="88">
        <f>IFERROR(__xludf.DUMMYFUNCTION("""COMPUTED_VALUE"""),85.0)</f>
        <v>85</v>
      </c>
      <c r="N169" s="89">
        <f>IFERROR(__xludf.DUMMYFUNCTION("""COMPUTED_VALUE"""),1.0)</f>
        <v>1</v>
      </c>
    </row>
    <row r="170">
      <c r="A170" s="11"/>
      <c r="B170" s="82" t="str">
        <f>IFERROR(__xludf.DUMMYFUNCTION("""COMPUTED_VALUE"""),"Jose Ortiz")</f>
        <v>Jose Ortiz</v>
      </c>
      <c r="C170" s="86">
        <f>IFERROR(__xludf.DUMMYFUNCTION("""COMPUTED_VALUE"""),72.0)</f>
        <v>72</v>
      </c>
      <c r="D170" s="87">
        <f>IFERROR(__xludf.DUMMYFUNCTION("""COMPUTED_VALUE"""),0.0)</f>
        <v>0</v>
      </c>
      <c r="E170" s="86">
        <f>IFERROR(__xludf.DUMMYFUNCTION("""COMPUTED_VALUE"""),3.0)</f>
        <v>3</v>
      </c>
      <c r="F170" s="88">
        <f>IFERROR(__xludf.DUMMYFUNCTION("""COMPUTED_VALUE"""),0.0)</f>
        <v>0</v>
      </c>
      <c r="G170" s="88">
        <f>IFERROR(__xludf.DUMMYFUNCTION("""COMPUTED_VALUE"""),9.0)</f>
        <v>9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IFERROR(__xludf.DUMMYFUNCTION("""COMPUTED_VALUE"""),9.0)</f>
        <v>9</v>
      </c>
      <c r="L170" s="88">
        <f>IFERROR(__xludf.DUMMYFUNCTION("""COMPUTED_VALUE"""),0.0)</f>
        <v>0</v>
      </c>
      <c r="M170" s="88">
        <f>IFERROR(__xludf.DUMMYFUNCTION("""COMPUTED_VALUE"""),81.0)</f>
        <v>81</v>
      </c>
      <c r="N170" s="89">
        <f>IFERROR(__xludf.DUMMYFUNCTION("""COMPUTED_VALUE"""),0.0)</f>
        <v>0</v>
      </c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B201" s="82"/>
      <c r="C201" s="86"/>
      <c r="D201" s="87"/>
      <c r="E201" s="86"/>
      <c r="F201" s="88"/>
      <c r="G201" s="88"/>
      <c r="H201" s="88"/>
      <c r="I201" s="88"/>
      <c r="J201" s="88"/>
      <c r="K201" s="88"/>
      <c r="L201" s="88"/>
      <c r="M201" s="88"/>
      <c r="N201" s="89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C222" s="11"/>
      <c r="D222" s="11"/>
      <c r="E222" s="11"/>
    </row>
    <row r="223">
      <c r="A223" s="11"/>
      <c r="B223" s="90" t="s">
        <v>167</v>
      </c>
      <c r="C223" s="11"/>
      <c r="D223" s="11"/>
      <c r="E223" s="11"/>
      <c r="U223" s="90" t="s">
        <v>168</v>
      </c>
    </row>
    <row r="224">
      <c r="A224" s="49">
        <v>1.0</v>
      </c>
      <c r="B224" s="82" t="str">
        <f>IFERROR(__xludf.DUMMYFUNCTION("QUERY(B5:Q70, ""Select B   where Q is null"")"),"#N/A")</f>
        <v>#N/A</v>
      </c>
      <c r="C224" s="11"/>
      <c r="D224" s="11"/>
      <c r="E224" s="11"/>
      <c r="T224" s="49">
        <v>1.0</v>
      </c>
      <c r="U224" s="17" t="str">
        <f>IFERROR(__xludf.DUMMYFUNCTION("QUERY(B5:Q70, ""Select B   where Q = 'N' "")"),"#N/A")</f>
        <v>#N/A</v>
      </c>
    </row>
    <row r="225">
      <c r="A225" s="11">
        <f t="shared" ref="A225:A245" si="70">A224+1</f>
        <v>2</v>
      </c>
      <c r="B225" s="82"/>
      <c r="C225" s="11"/>
      <c r="D225" s="11"/>
      <c r="E225" s="11"/>
      <c r="T225" s="11">
        <f t="shared" ref="T225:T236" si="71">T224+1</f>
        <v>2</v>
      </c>
    </row>
    <row r="226">
      <c r="A226" s="11">
        <f t="shared" si="70"/>
        <v>3</v>
      </c>
      <c r="B226" s="82"/>
      <c r="C226" s="11"/>
      <c r="D226" s="11"/>
      <c r="E226" s="11"/>
      <c r="T226" s="11">
        <f t="shared" si="71"/>
        <v>3</v>
      </c>
    </row>
    <row r="227">
      <c r="A227" s="11">
        <f t="shared" si="70"/>
        <v>4</v>
      </c>
      <c r="B227" s="82"/>
      <c r="C227" s="11"/>
      <c r="D227" s="11"/>
      <c r="E227" s="11"/>
      <c r="T227" s="11">
        <f t="shared" si="71"/>
        <v>4</v>
      </c>
    </row>
    <row r="228">
      <c r="A228" s="11">
        <f t="shared" si="70"/>
        <v>5</v>
      </c>
      <c r="B228" s="82"/>
      <c r="C228" s="11"/>
      <c r="D228" s="11"/>
      <c r="E228" s="11"/>
      <c r="T228" s="11">
        <f t="shared" si="71"/>
        <v>5</v>
      </c>
    </row>
    <row r="229">
      <c r="A229" s="11">
        <f t="shared" si="70"/>
        <v>6</v>
      </c>
      <c r="B229" s="82"/>
      <c r="C229" s="11"/>
      <c r="D229" s="11"/>
      <c r="E229" s="11"/>
      <c r="T229" s="11">
        <f t="shared" si="71"/>
        <v>6</v>
      </c>
    </row>
    <row r="230">
      <c r="A230" s="11">
        <f t="shared" si="70"/>
        <v>7</v>
      </c>
      <c r="B230" s="82"/>
      <c r="C230" s="11"/>
      <c r="D230" s="11"/>
      <c r="E230" s="11"/>
      <c r="T230" s="11">
        <f t="shared" si="71"/>
        <v>7</v>
      </c>
    </row>
    <row r="231">
      <c r="A231" s="11">
        <f t="shared" si="70"/>
        <v>8</v>
      </c>
      <c r="B231" s="82"/>
      <c r="C231" s="11"/>
      <c r="D231" s="11"/>
      <c r="E231" s="11"/>
      <c r="T231" s="11">
        <f t="shared" si="71"/>
        <v>8</v>
      </c>
    </row>
    <row r="232">
      <c r="A232" s="11">
        <f t="shared" si="70"/>
        <v>9</v>
      </c>
      <c r="B232" s="82"/>
      <c r="C232" s="11"/>
      <c r="D232" s="11"/>
      <c r="E232" s="11"/>
      <c r="T232" s="11">
        <f t="shared" si="71"/>
        <v>9</v>
      </c>
    </row>
    <row r="233">
      <c r="A233" s="11">
        <f t="shared" si="70"/>
        <v>10</v>
      </c>
      <c r="B233" s="82"/>
      <c r="C233" s="11"/>
      <c r="D233" s="11"/>
      <c r="E233" s="11"/>
      <c r="T233" s="11">
        <f t="shared" si="71"/>
        <v>10</v>
      </c>
    </row>
    <row r="234">
      <c r="A234" s="11">
        <f t="shared" si="70"/>
        <v>11</v>
      </c>
      <c r="B234" s="82"/>
      <c r="C234" s="11"/>
      <c r="D234" s="11"/>
      <c r="E234" s="11"/>
      <c r="T234" s="11">
        <f t="shared" si="71"/>
        <v>11</v>
      </c>
    </row>
    <row r="235">
      <c r="A235" s="11">
        <f t="shared" si="70"/>
        <v>12</v>
      </c>
      <c r="B235" s="82"/>
      <c r="C235" s="11"/>
      <c r="D235" s="11"/>
      <c r="E235" s="11"/>
      <c r="T235" s="11">
        <f t="shared" si="71"/>
        <v>12</v>
      </c>
    </row>
    <row r="236">
      <c r="A236" s="11">
        <f t="shared" si="70"/>
        <v>13</v>
      </c>
      <c r="B236" s="82"/>
      <c r="C236" s="11"/>
      <c r="D236" s="11"/>
      <c r="E236" s="11"/>
      <c r="T236" s="11">
        <f t="shared" si="71"/>
        <v>13</v>
      </c>
    </row>
    <row r="237">
      <c r="A237" s="11">
        <f t="shared" si="70"/>
        <v>14</v>
      </c>
      <c r="B237" s="82"/>
      <c r="C237" s="11"/>
      <c r="D237" s="11"/>
      <c r="E237" s="11"/>
    </row>
    <row r="238">
      <c r="A238" s="11">
        <f t="shared" si="70"/>
        <v>15</v>
      </c>
      <c r="B238" s="82"/>
      <c r="C238" s="11"/>
      <c r="D238" s="11"/>
      <c r="E238" s="11"/>
    </row>
    <row r="239">
      <c r="A239" s="11">
        <f t="shared" si="70"/>
        <v>16</v>
      </c>
      <c r="B239" s="82"/>
      <c r="C239" s="11"/>
      <c r="D239" s="11"/>
      <c r="E239" s="11"/>
    </row>
    <row r="240">
      <c r="A240" s="11">
        <f t="shared" si="70"/>
        <v>17</v>
      </c>
      <c r="B240" s="82"/>
      <c r="C240" s="11"/>
      <c r="D240" s="11"/>
      <c r="E240" s="11"/>
    </row>
    <row r="241">
      <c r="A241" s="11">
        <f t="shared" si="70"/>
        <v>18</v>
      </c>
      <c r="B241" s="82"/>
      <c r="C241" s="11"/>
      <c r="D241" s="11"/>
      <c r="E241" s="11"/>
    </row>
    <row r="242">
      <c r="A242" s="11">
        <f t="shared" si="70"/>
        <v>19</v>
      </c>
      <c r="B242" s="82"/>
      <c r="C242" s="11"/>
      <c r="D242" s="11"/>
      <c r="E242" s="11"/>
    </row>
    <row r="243">
      <c r="A243" s="11">
        <f t="shared" si="70"/>
        <v>20</v>
      </c>
      <c r="B243" s="82"/>
      <c r="C243" s="11"/>
      <c r="D243" s="11"/>
      <c r="E243" s="11"/>
    </row>
    <row r="244">
      <c r="A244" s="11">
        <f t="shared" si="70"/>
        <v>21</v>
      </c>
      <c r="B244" s="82"/>
      <c r="C244" s="11"/>
      <c r="D244" s="11"/>
      <c r="E244" s="11"/>
    </row>
    <row r="245">
      <c r="A245" s="11">
        <f t="shared" si="70"/>
        <v>22</v>
      </c>
      <c r="B245" s="82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1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45528.0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'081724'!D2+1</f>
        <v>8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43</v>
      </c>
      <c r="C5" s="32">
        <v>111.0</v>
      </c>
      <c r="D5" s="32">
        <v>14.0</v>
      </c>
      <c r="E5" s="37">
        <v>1.0</v>
      </c>
      <c r="F5" s="39">
        <v>1.0</v>
      </c>
      <c r="G5" s="40">
        <v>0.0</v>
      </c>
      <c r="H5" s="39">
        <v>6.0</v>
      </c>
      <c r="I5" s="39">
        <v>6.0</v>
      </c>
      <c r="J5" s="39">
        <v>5.0</v>
      </c>
      <c r="K5" s="42">
        <v>17.0</v>
      </c>
      <c r="L5" s="39">
        <v>2.0</v>
      </c>
      <c r="M5" s="32">
        <f t="shared" ref="M5:N5" si="1">C5+K5</f>
        <v>128</v>
      </c>
      <c r="N5" s="32">
        <f t="shared" si="1"/>
        <v>16</v>
      </c>
      <c r="O5" s="43" t="s">
        <v>53</v>
      </c>
      <c r="P5" s="43" t="s">
        <v>53</v>
      </c>
      <c r="Q5" s="43" t="s">
        <v>53</v>
      </c>
      <c r="R5" s="39">
        <f>if(G5=13,1,0)+VLOOKUP(B5,'081724'!B:T,17,false)</f>
        <v>1</v>
      </c>
      <c r="S5" s="39"/>
      <c r="T5" s="39">
        <f>if(G5=9,1,0)+VLOOKUP(B5,'081724'!B:T,19,false)</f>
        <v>1</v>
      </c>
    </row>
    <row r="6">
      <c r="A6" s="30">
        <f t="shared" ref="A6:A70" si="3">A5+1</f>
        <v>2</v>
      </c>
      <c r="B6" s="51" t="s">
        <v>100</v>
      </c>
      <c r="C6" s="32">
        <v>107.0</v>
      </c>
      <c r="D6" s="32">
        <v>12.0</v>
      </c>
      <c r="E6" s="37">
        <v>3.0</v>
      </c>
      <c r="F6" s="39">
        <v>0.0</v>
      </c>
      <c r="G6" s="40">
        <v>9.0</v>
      </c>
      <c r="H6" s="39">
        <v>0.0</v>
      </c>
      <c r="I6" s="39">
        <v>0.0</v>
      </c>
      <c r="J6" s="39">
        <v>0.0</v>
      </c>
      <c r="K6" s="42">
        <v>9.0</v>
      </c>
      <c r="L6" s="39">
        <v>0.0</v>
      </c>
      <c r="M6" s="32">
        <f t="shared" ref="M6:N6" si="2">C6+K6</f>
        <v>116</v>
      </c>
      <c r="N6" s="32">
        <f t="shared" si="2"/>
        <v>12</v>
      </c>
      <c r="O6" s="43" t="s">
        <v>53</v>
      </c>
      <c r="P6" s="43" t="s">
        <v>53</v>
      </c>
      <c r="Q6" s="43" t="s">
        <v>53</v>
      </c>
      <c r="R6" s="39">
        <f>if(G6=13,1,0)+VLOOKUP(B6,'081724'!B:T,17,false)</f>
        <v>0</v>
      </c>
      <c r="S6" s="39"/>
      <c r="T6" s="39">
        <f>if(G6=9,1,0)+VLOOKUP(B6,'081724'!B:T,19,false)</f>
        <v>1</v>
      </c>
    </row>
    <row r="7">
      <c r="A7" s="30">
        <f t="shared" si="3"/>
        <v>3</v>
      </c>
      <c r="B7" s="31" t="s">
        <v>61</v>
      </c>
      <c r="C7" s="32">
        <v>101.0</v>
      </c>
      <c r="D7" s="32">
        <v>12.0</v>
      </c>
      <c r="E7" s="37">
        <v>1.0</v>
      </c>
      <c r="F7" s="39">
        <v>1.0</v>
      </c>
      <c r="G7" s="40">
        <v>0.0</v>
      </c>
      <c r="H7" s="39">
        <v>6.0</v>
      </c>
      <c r="I7" s="39">
        <v>2.0</v>
      </c>
      <c r="J7" s="39">
        <v>7.0</v>
      </c>
      <c r="K7" s="42">
        <v>15.0</v>
      </c>
      <c r="L7" s="39">
        <v>2.0</v>
      </c>
      <c r="M7" s="32">
        <f t="shared" ref="M7:N7" si="4">C7+K7</f>
        <v>116</v>
      </c>
      <c r="N7" s="32">
        <f t="shared" si="4"/>
        <v>14</v>
      </c>
      <c r="O7" s="43" t="s">
        <v>53</v>
      </c>
      <c r="P7" s="43" t="s">
        <v>53</v>
      </c>
      <c r="Q7" s="43" t="s">
        <v>53</v>
      </c>
      <c r="R7" s="39">
        <f>if(G7=13,1,0)+VLOOKUP(B7,'081724'!B:T,17,false)</f>
        <v>0</v>
      </c>
      <c r="S7" s="39"/>
      <c r="T7" s="39">
        <f>if(G7=9,1,0)+VLOOKUP(B7,'081724'!B:T,19,false)</f>
        <v>1</v>
      </c>
    </row>
    <row r="8">
      <c r="A8" s="30">
        <f t="shared" si="3"/>
        <v>4</v>
      </c>
      <c r="B8" s="31" t="s">
        <v>71</v>
      </c>
      <c r="C8" s="32">
        <v>100.0</v>
      </c>
      <c r="D8" s="32">
        <v>10.0</v>
      </c>
      <c r="E8" s="37">
        <v>1.0</v>
      </c>
      <c r="F8" s="39">
        <v>1.0</v>
      </c>
      <c r="G8" s="40">
        <v>0.0</v>
      </c>
      <c r="H8" s="39">
        <v>2.0</v>
      </c>
      <c r="I8" s="39">
        <v>2.0</v>
      </c>
      <c r="J8" s="39">
        <v>5.0</v>
      </c>
      <c r="K8" s="42">
        <v>9.0</v>
      </c>
      <c r="L8" s="39">
        <v>0.0</v>
      </c>
      <c r="M8" s="32">
        <f t="shared" ref="M8:N8" si="5">C8+K8</f>
        <v>109</v>
      </c>
      <c r="N8" s="32">
        <f t="shared" si="5"/>
        <v>10</v>
      </c>
      <c r="O8" s="43" t="s">
        <v>53</v>
      </c>
      <c r="P8" s="43" t="s">
        <v>53</v>
      </c>
      <c r="Q8" s="43" t="s">
        <v>53</v>
      </c>
      <c r="R8" s="39">
        <f>if(G8=13,1,0)+VLOOKUP(B8,'081724'!B:T,17,false)</f>
        <v>1</v>
      </c>
      <c r="S8" s="39"/>
      <c r="T8" s="39">
        <f>if(G8=9,1,0)+VLOOKUP(B8,'081724'!B:T,19,false)</f>
        <v>0</v>
      </c>
    </row>
    <row r="9">
      <c r="A9" s="30">
        <f t="shared" si="3"/>
        <v>5</v>
      </c>
      <c r="B9" s="51" t="s">
        <v>87</v>
      </c>
      <c r="C9" s="32">
        <v>100.0</v>
      </c>
      <c r="D9" s="32">
        <v>10.0</v>
      </c>
      <c r="E9" s="37">
        <v>1.0</v>
      </c>
      <c r="F9" s="39">
        <v>1.0</v>
      </c>
      <c r="G9" s="40">
        <v>0.0</v>
      </c>
      <c r="H9" s="39">
        <v>2.0</v>
      </c>
      <c r="I9" s="39">
        <v>6.0</v>
      </c>
      <c r="J9" s="39">
        <v>7.0</v>
      </c>
      <c r="K9" s="42">
        <v>15.0</v>
      </c>
      <c r="L9" s="39">
        <v>2.0</v>
      </c>
      <c r="M9" s="32">
        <f t="shared" ref="M9:N9" si="6">C9+K9</f>
        <v>115</v>
      </c>
      <c r="N9" s="32">
        <f t="shared" si="6"/>
        <v>12</v>
      </c>
      <c r="O9" s="43" t="s">
        <v>53</v>
      </c>
      <c r="P9" s="43" t="s">
        <v>53</v>
      </c>
      <c r="Q9" s="43" t="s">
        <v>53</v>
      </c>
      <c r="R9" s="39">
        <f>if(G9=13,1,0)+VLOOKUP(B9,'081724'!B:T,17,false)</f>
        <v>1</v>
      </c>
      <c r="S9" s="39"/>
      <c r="T9" s="39">
        <f>if(G9=9,1,0)+VLOOKUP(B9,'081724'!B:T,19,false)</f>
        <v>0</v>
      </c>
    </row>
    <row r="10">
      <c r="A10" s="30">
        <f t="shared" si="3"/>
        <v>6</v>
      </c>
      <c r="B10" s="31" t="s">
        <v>34</v>
      </c>
      <c r="C10" s="32">
        <v>98.0</v>
      </c>
      <c r="D10" s="32">
        <v>12.0</v>
      </c>
      <c r="E10" s="37">
        <v>3.0</v>
      </c>
      <c r="F10" s="39">
        <v>0.0</v>
      </c>
      <c r="G10" s="40">
        <v>9.0</v>
      </c>
      <c r="H10" s="39">
        <v>0.0</v>
      </c>
      <c r="I10" s="39">
        <v>0.0</v>
      </c>
      <c r="J10" s="39">
        <v>0.0</v>
      </c>
      <c r="K10" s="42">
        <v>9.0</v>
      </c>
      <c r="L10" s="39">
        <v>0.0</v>
      </c>
      <c r="M10" s="32">
        <f t="shared" ref="M10:N10" si="7">C10+K10</f>
        <v>107</v>
      </c>
      <c r="N10" s="32">
        <f t="shared" si="7"/>
        <v>12</v>
      </c>
      <c r="O10" s="43" t="s">
        <v>53</v>
      </c>
      <c r="P10" s="43" t="s">
        <v>53</v>
      </c>
      <c r="Q10" s="43" t="s">
        <v>53</v>
      </c>
      <c r="R10" s="39">
        <f>if(G10=13,1,0)+VLOOKUP(B10,'081724'!B:T,17,false)</f>
        <v>0</v>
      </c>
      <c r="S10" s="39"/>
      <c r="T10" s="39">
        <f>if(G10=9,1,0)+VLOOKUP(B10,'081724'!B:T,19,false)</f>
        <v>2</v>
      </c>
    </row>
    <row r="11">
      <c r="A11" s="30">
        <f t="shared" si="3"/>
        <v>7</v>
      </c>
      <c r="B11" s="31" t="s">
        <v>68</v>
      </c>
      <c r="C11" s="32">
        <v>98.0</v>
      </c>
      <c r="D11" s="32">
        <v>10.0</v>
      </c>
      <c r="E11" s="37">
        <v>1.0</v>
      </c>
      <c r="F11" s="39">
        <v>2.0</v>
      </c>
      <c r="G11" s="40">
        <v>0.0</v>
      </c>
      <c r="H11" s="39">
        <v>6.0</v>
      </c>
      <c r="I11" s="39">
        <v>1.0</v>
      </c>
      <c r="J11" s="39">
        <v>6.0</v>
      </c>
      <c r="K11" s="42">
        <v>13.0</v>
      </c>
      <c r="L11" s="39">
        <v>1.0</v>
      </c>
      <c r="M11" s="32">
        <f t="shared" ref="M11:N11" si="8">C11+K11</f>
        <v>111</v>
      </c>
      <c r="N11" s="32">
        <f t="shared" si="8"/>
        <v>11</v>
      </c>
      <c r="O11" s="43" t="s">
        <v>53</v>
      </c>
      <c r="P11" s="43" t="s">
        <v>53</v>
      </c>
      <c r="Q11" s="43" t="s">
        <v>53</v>
      </c>
      <c r="R11" s="39">
        <f>if(G11=13,1,0)+VLOOKUP(B11,'081724'!B:T,17,false)</f>
        <v>0</v>
      </c>
      <c r="S11" s="39"/>
      <c r="T11" s="39">
        <f>if(G11=9,1,0)+VLOOKUP(B11,'081724'!B:T,19,false)</f>
        <v>1</v>
      </c>
    </row>
    <row r="12">
      <c r="A12" s="30">
        <f t="shared" si="3"/>
        <v>8</v>
      </c>
      <c r="B12" s="51" t="s">
        <v>54</v>
      </c>
      <c r="C12" s="32">
        <v>94.0</v>
      </c>
      <c r="D12" s="32">
        <v>11.0</v>
      </c>
      <c r="E12" s="37">
        <v>1.0</v>
      </c>
      <c r="F12" s="39">
        <v>2.0</v>
      </c>
      <c r="G12" s="40">
        <v>0.0</v>
      </c>
      <c r="H12" s="39">
        <v>3.0</v>
      </c>
      <c r="I12" s="39">
        <v>6.0</v>
      </c>
      <c r="J12" s="39">
        <v>6.0</v>
      </c>
      <c r="K12" s="42">
        <v>15.0</v>
      </c>
      <c r="L12" s="39">
        <v>1.0</v>
      </c>
      <c r="M12" s="32">
        <f t="shared" ref="M12:N12" si="9">C12+K12</f>
        <v>109</v>
      </c>
      <c r="N12" s="32">
        <f t="shared" si="9"/>
        <v>12</v>
      </c>
      <c r="O12" s="43" t="s">
        <v>53</v>
      </c>
      <c r="P12" s="43" t="s">
        <v>53</v>
      </c>
      <c r="Q12" s="43" t="s">
        <v>53</v>
      </c>
      <c r="R12" s="39">
        <f>if(G12=13,1,0)+VLOOKUP(B12,'081724'!B:T,17,false)</f>
        <v>0</v>
      </c>
      <c r="S12" s="39"/>
      <c r="T12" s="39">
        <f>if(G12=9,1,0)+VLOOKUP(B12,'081724'!B:T,19,false)</f>
        <v>0</v>
      </c>
    </row>
    <row r="13">
      <c r="A13" s="30">
        <f t="shared" si="3"/>
        <v>9</v>
      </c>
      <c r="B13" s="51" t="s">
        <v>92</v>
      </c>
      <c r="C13" s="32">
        <v>93.0</v>
      </c>
      <c r="D13" s="32">
        <v>9.0</v>
      </c>
      <c r="E13" s="37">
        <v>1.0</v>
      </c>
      <c r="F13" s="39">
        <v>2.0</v>
      </c>
      <c r="G13" s="40">
        <v>0.0</v>
      </c>
      <c r="H13" s="39">
        <v>6.0</v>
      </c>
      <c r="I13" s="39">
        <v>6.0</v>
      </c>
      <c r="J13" s="39">
        <v>7.0</v>
      </c>
      <c r="K13" s="42">
        <v>19.0</v>
      </c>
      <c r="L13" s="39">
        <v>3.0</v>
      </c>
      <c r="M13" s="32">
        <f t="shared" ref="M13:N13" si="10">C13+K13</f>
        <v>112</v>
      </c>
      <c r="N13" s="32">
        <f t="shared" si="10"/>
        <v>12</v>
      </c>
      <c r="O13" s="43" t="s">
        <v>53</v>
      </c>
      <c r="P13" s="43" t="s">
        <v>53</v>
      </c>
      <c r="Q13" s="43" t="s">
        <v>53</v>
      </c>
      <c r="R13" s="39">
        <f>if(G13=13,1,0)+VLOOKUP(B13,'081724'!B:T,17,false)</f>
        <v>1</v>
      </c>
      <c r="S13" s="39"/>
      <c r="T13" s="39">
        <f>if(G13=9,1,0)+VLOOKUP(B13,'081724'!B:T,19,false)</f>
        <v>2</v>
      </c>
    </row>
    <row r="14">
      <c r="A14" s="30">
        <f t="shared" si="3"/>
        <v>10</v>
      </c>
      <c r="B14" s="56" t="s">
        <v>65</v>
      </c>
      <c r="C14" s="32">
        <v>90.0</v>
      </c>
      <c r="D14" s="32">
        <v>9.0</v>
      </c>
      <c r="E14" s="37">
        <v>1.0</v>
      </c>
      <c r="F14" s="39">
        <v>2.0</v>
      </c>
      <c r="G14" s="40">
        <v>0.0</v>
      </c>
      <c r="H14" s="39">
        <v>3.0</v>
      </c>
      <c r="I14" s="39">
        <v>1.0</v>
      </c>
      <c r="J14" s="39">
        <v>7.0</v>
      </c>
      <c r="K14" s="42">
        <v>11.0</v>
      </c>
      <c r="L14" s="39">
        <v>1.0</v>
      </c>
      <c r="M14" s="32">
        <f t="shared" ref="M14:N14" si="11">C14+K14</f>
        <v>101</v>
      </c>
      <c r="N14" s="32">
        <f t="shared" si="11"/>
        <v>10</v>
      </c>
      <c r="O14" s="43" t="s">
        <v>53</v>
      </c>
      <c r="P14" s="43" t="s">
        <v>53</v>
      </c>
      <c r="Q14" s="43" t="s">
        <v>53</v>
      </c>
      <c r="R14" s="39">
        <f>if(G14=13,1,0)+VLOOKUP(B14,'081724'!B:T,17,false)</f>
        <v>0</v>
      </c>
      <c r="S14" s="39"/>
      <c r="T14" s="39">
        <f>if(G14=9,1,0)+VLOOKUP(B14,'081724'!B:T,19,false)</f>
        <v>3</v>
      </c>
    </row>
    <row r="15">
      <c r="A15" s="30">
        <f t="shared" si="3"/>
        <v>11</v>
      </c>
      <c r="B15" s="31" t="s">
        <v>105</v>
      </c>
      <c r="C15" s="32">
        <v>90.0</v>
      </c>
      <c r="D15" s="32">
        <v>6.0</v>
      </c>
      <c r="E15" s="37">
        <v>1.0</v>
      </c>
      <c r="F15" s="39">
        <v>3.0</v>
      </c>
      <c r="G15" s="40">
        <v>0.0</v>
      </c>
      <c r="H15" s="39">
        <v>6.0</v>
      </c>
      <c r="I15" s="39">
        <v>4.0</v>
      </c>
      <c r="J15" s="39">
        <v>3.0</v>
      </c>
      <c r="K15" s="42">
        <v>13.0</v>
      </c>
      <c r="L15" s="39">
        <v>1.0</v>
      </c>
      <c r="M15" s="32">
        <f t="shared" ref="M15:N15" si="12">C15+K15</f>
        <v>103</v>
      </c>
      <c r="N15" s="32">
        <f t="shared" si="12"/>
        <v>7</v>
      </c>
      <c r="O15" s="43" t="s">
        <v>53</v>
      </c>
      <c r="P15" s="43" t="s">
        <v>53</v>
      </c>
      <c r="Q15" s="43" t="s">
        <v>53</v>
      </c>
      <c r="R15" s="39">
        <f>if(G15=13,1,0)+VLOOKUP(B15,'081724'!B:T,17,false)</f>
        <v>0</v>
      </c>
      <c r="S15" s="39"/>
      <c r="T15" s="39">
        <f>if(G15=9,1,0)+VLOOKUP(B15,'081724'!B:T,19,false)</f>
        <v>2</v>
      </c>
    </row>
    <row r="16">
      <c r="A16" s="30">
        <f t="shared" si="3"/>
        <v>12</v>
      </c>
      <c r="B16" s="31" t="s">
        <v>91</v>
      </c>
      <c r="C16" s="32">
        <v>89.0</v>
      </c>
      <c r="D16" s="32">
        <v>8.0</v>
      </c>
      <c r="E16" s="37">
        <v>5.0</v>
      </c>
      <c r="F16" s="39">
        <v>0.0</v>
      </c>
      <c r="G16" s="40">
        <v>13.0</v>
      </c>
      <c r="H16" s="39">
        <v>0.0</v>
      </c>
      <c r="I16" s="39">
        <v>0.0</v>
      </c>
      <c r="J16" s="39">
        <v>0.0</v>
      </c>
      <c r="K16" s="42">
        <v>13.0</v>
      </c>
      <c r="L16" s="39">
        <v>0.0</v>
      </c>
      <c r="M16" s="32">
        <f t="shared" ref="M16:N16" si="13">C16+K16</f>
        <v>102</v>
      </c>
      <c r="N16" s="32">
        <f t="shared" si="13"/>
        <v>8</v>
      </c>
      <c r="O16" s="43" t="s">
        <v>53</v>
      </c>
      <c r="P16" s="43" t="s">
        <v>53</v>
      </c>
      <c r="Q16" s="43" t="s">
        <v>53</v>
      </c>
      <c r="R16" s="39">
        <f>if(G16=13,1,0)+VLOOKUP(B16,'081724'!B:T,17,false)</f>
        <v>1</v>
      </c>
      <c r="S16" s="39"/>
      <c r="T16" s="39">
        <f>if(G16=9,1,0)+VLOOKUP(B16,'081724'!B:T,19,false)</f>
        <v>2</v>
      </c>
    </row>
    <row r="17">
      <c r="A17" s="30">
        <f t="shared" si="3"/>
        <v>13</v>
      </c>
      <c r="B17" s="31" t="s">
        <v>82</v>
      </c>
      <c r="C17" s="32">
        <v>89.0</v>
      </c>
      <c r="D17" s="32">
        <v>7.0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4">C17+K17</f>
        <v>98</v>
      </c>
      <c r="N17" s="32">
        <f t="shared" si="14"/>
        <v>7</v>
      </c>
      <c r="O17" s="43" t="s">
        <v>53</v>
      </c>
      <c r="P17" s="43" t="s">
        <v>53</v>
      </c>
      <c r="Q17" s="43" t="s">
        <v>53</v>
      </c>
      <c r="R17" s="39">
        <f>if(G17=13,1,0)+VLOOKUP(B17,'081724'!B:T,17,false)</f>
        <v>1</v>
      </c>
      <c r="S17" s="39"/>
      <c r="T17" s="39">
        <f>if(G17=9,1,0)+VLOOKUP(B17,'081724'!B:T,19,false)</f>
        <v>4</v>
      </c>
    </row>
    <row r="18">
      <c r="A18" s="30">
        <f t="shared" si="3"/>
        <v>14</v>
      </c>
      <c r="B18" s="51" t="s">
        <v>95</v>
      </c>
      <c r="C18" s="32">
        <v>89.0</v>
      </c>
      <c r="D18" s="32">
        <v>7.0</v>
      </c>
      <c r="E18" s="37">
        <v>5.0</v>
      </c>
      <c r="F18" s="39">
        <v>0.0</v>
      </c>
      <c r="G18" s="40">
        <v>13.0</v>
      </c>
      <c r="H18" s="39">
        <v>0.0</v>
      </c>
      <c r="I18" s="39">
        <v>0.0</v>
      </c>
      <c r="J18" s="39">
        <v>0.0</v>
      </c>
      <c r="K18" s="42">
        <v>13.0</v>
      </c>
      <c r="L18" s="39">
        <v>0.0</v>
      </c>
      <c r="M18" s="32">
        <f t="shared" ref="M18:N18" si="15">C18+K18</f>
        <v>102</v>
      </c>
      <c r="N18" s="32">
        <f t="shared" si="15"/>
        <v>7</v>
      </c>
      <c r="O18" s="43" t="s">
        <v>53</v>
      </c>
      <c r="P18" s="43" t="s">
        <v>53</v>
      </c>
      <c r="Q18" s="43" t="s">
        <v>53</v>
      </c>
      <c r="R18" s="39">
        <f>if(G18=13,1,0)+VLOOKUP(B18,'081724'!B:T,17,false)</f>
        <v>1</v>
      </c>
      <c r="S18" s="39"/>
      <c r="T18" s="39">
        <f>if(G18=9,1,0)+VLOOKUP(B18,'081724'!B:T,19,false)</f>
        <v>3</v>
      </c>
    </row>
    <row r="19">
      <c r="A19" s="30">
        <f t="shared" si="3"/>
        <v>15</v>
      </c>
      <c r="B19" s="51" t="s">
        <v>78</v>
      </c>
      <c r="C19" s="32">
        <v>88.0</v>
      </c>
      <c r="D19" s="32">
        <v>8.0</v>
      </c>
      <c r="E19" s="37">
        <v>1.0</v>
      </c>
      <c r="F19" s="39">
        <v>3.0</v>
      </c>
      <c r="G19" s="40">
        <v>0.0</v>
      </c>
      <c r="H19" s="39">
        <v>6.0</v>
      </c>
      <c r="I19" s="39">
        <v>6.0</v>
      </c>
      <c r="J19" s="39">
        <v>6.0</v>
      </c>
      <c r="K19" s="42">
        <v>18.0</v>
      </c>
      <c r="L19" s="39">
        <v>3.0</v>
      </c>
      <c r="M19" s="32">
        <f t="shared" ref="M19:N19" si="16">C19+K19</f>
        <v>106</v>
      </c>
      <c r="N19" s="32">
        <f t="shared" si="16"/>
        <v>11</v>
      </c>
      <c r="O19" s="43" t="s">
        <v>53</v>
      </c>
      <c r="P19" s="43" t="s">
        <v>53</v>
      </c>
      <c r="Q19" s="43" t="s">
        <v>53</v>
      </c>
      <c r="R19" s="39">
        <f>if(G19=13,1,0)+VLOOKUP(B19,'081724'!B:T,17,false)</f>
        <v>0</v>
      </c>
      <c r="S19" s="39"/>
      <c r="T19" s="39">
        <f>if(G19=9,1,0)+VLOOKUP(B19,'081724'!B:T,19,false)</f>
        <v>0</v>
      </c>
    </row>
    <row r="20">
      <c r="A20" s="30">
        <f t="shared" si="3"/>
        <v>16</v>
      </c>
      <c r="B20" s="31" t="s">
        <v>86</v>
      </c>
      <c r="C20" s="32">
        <v>88.0</v>
      </c>
      <c r="D20" s="32">
        <v>7.0</v>
      </c>
      <c r="E20" s="37">
        <v>2.0</v>
      </c>
      <c r="F20" s="39">
        <v>3.0</v>
      </c>
      <c r="G20" s="40">
        <v>0.0</v>
      </c>
      <c r="H20" s="39">
        <v>3.0</v>
      </c>
      <c r="I20" s="39">
        <v>6.0</v>
      </c>
      <c r="J20" s="39">
        <v>3.0</v>
      </c>
      <c r="K20" s="42">
        <v>12.0</v>
      </c>
      <c r="L20" s="39">
        <v>1.0</v>
      </c>
      <c r="M20" s="32">
        <f t="shared" ref="M20:N20" si="17">C20+K20</f>
        <v>100</v>
      </c>
      <c r="N20" s="32">
        <f t="shared" si="17"/>
        <v>8</v>
      </c>
      <c r="O20" s="43" t="s">
        <v>53</v>
      </c>
      <c r="P20" s="43" t="s">
        <v>53</v>
      </c>
      <c r="Q20" s="43" t="s">
        <v>53</v>
      </c>
      <c r="R20" s="39">
        <f>if(G20=13,1,0)+VLOOKUP(B20,'081724'!B:T,17,false)</f>
        <v>2</v>
      </c>
      <c r="S20" s="39"/>
      <c r="T20" s="39">
        <f>if(G20=9,1,0)+VLOOKUP(B20,'081724'!B:T,19,false)</f>
        <v>0</v>
      </c>
    </row>
    <row r="21">
      <c r="A21" s="30">
        <f t="shared" si="3"/>
        <v>17</v>
      </c>
      <c r="B21" s="51" t="s">
        <v>94</v>
      </c>
      <c r="C21" s="32">
        <v>88.0</v>
      </c>
      <c r="D21" s="32">
        <v>6.0</v>
      </c>
      <c r="E21" s="37">
        <v>1.0</v>
      </c>
      <c r="F21" s="39">
        <v>3.0</v>
      </c>
      <c r="G21" s="40">
        <v>0.0</v>
      </c>
      <c r="H21" s="39">
        <v>3.0</v>
      </c>
      <c r="I21" s="39">
        <v>4.0</v>
      </c>
      <c r="J21" s="39">
        <v>6.0</v>
      </c>
      <c r="K21" s="42">
        <v>13.0</v>
      </c>
      <c r="L21" s="39">
        <v>1.0</v>
      </c>
      <c r="M21" s="32">
        <f t="shared" ref="M21:N21" si="18">C21+K21</f>
        <v>101</v>
      </c>
      <c r="N21" s="32">
        <f t="shared" si="18"/>
        <v>7</v>
      </c>
      <c r="O21" s="43" t="s">
        <v>53</v>
      </c>
      <c r="P21" s="43" t="s">
        <v>53</v>
      </c>
      <c r="Q21" s="43" t="s">
        <v>53</v>
      </c>
      <c r="R21" s="39">
        <f>if(G21=13,1,0)+VLOOKUP(B21,'081724'!B:T,17,false)</f>
        <v>1</v>
      </c>
      <c r="S21" s="39"/>
      <c r="T21" s="39">
        <f>if(G21=9,1,0)+VLOOKUP(B21,'081724'!B:T,19,false)</f>
        <v>2</v>
      </c>
    </row>
    <row r="22">
      <c r="A22" s="30">
        <f t="shared" si="3"/>
        <v>18</v>
      </c>
      <c r="B22" s="31" t="s">
        <v>90</v>
      </c>
      <c r="C22" s="32">
        <v>87.0</v>
      </c>
      <c r="D22" s="32">
        <v>10.0</v>
      </c>
      <c r="E22" s="37">
        <v>5.0</v>
      </c>
      <c r="F22" s="39">
        <v>0.0</v>
      </c>
      <c r="G22" s="40">
        <v>13.0</v>
      </c>
      <c r="H22" s="39">
        <v>0.0</v>
      </c>
      <c r="I22" s="39">
        <v>0.0</v>
      </c>
      <c r="J22" s="39">
        <v>0.0</v>
      </c>
      <c r="K22" s="42">
        <v>13.0</v>
      </c>
      <c r="L22" s="39">
        <v>0.0</v>
      </c>
      <c r="M22" s="32">
        <f t="shared" ref="M22:N22" si="19">C22+K22</f>
        <v>100</v>
      </c>
      <c r="N22" s="32">
        <f t="shared" si="19"/>
        <v>10</v>
      </c>
      <c r="O22" s="43" t="s">
        <v>53</v>
      </c>
      <c r="P22" s="43" t="s">
        <v>53</v>
      </c>
      <c r="Q22" s="43" t="s">
        <v>53</v>
      </c>
      <c r="R22" s="39">
        <f>if(G22=13,1,0)+VLOOKUP(B22,'081724'!B:T,17,false)</f>
        <v>1</v>
      </c>
      <c r="S22" s="39"/>
      <c r="T22" s="39">
        <f>if(G22=9,1,0)+VLOOKUP(B22,'081724'!B:T,19,false)</f>
        <v>1</v>
      </c>
    </row>
    <row r="23">
      <c r="A23" s="30">
        <f t="shared" si="3"/>
        <v>19</v>
      </c>
      <c r="B23" s="51" t="s">
        <v>84</v>
      </c>
      <c r="C23" s="32">
        <v>87.0</v>
      </c>
      <c r="D23" s="32">
        <v>7.0</v>
      </c>
      <c r="E23" s="37">
        <v>5.0</v>
      </c>
      <c r="F23" s="39">
        <v>0.0</v>
      </c>
      <c r="G23" s="40">
        <v>13.0</v>
      </c>
      <c r="H23" s="39">
        <v>0.0</v>
      </c>
      <c r="I23" s="39">
        <v>0.0</v>
      </c>
      <c r="J23" s="39">
        <v>0.0</v>
      </c>
      <c r="K23" s="42">
        <v>13.0</v>
      </c>
      <c r="L23" s="39">
        <v>0.0</v>
      </c>
      <c r="M23" s="32">
        <f t="shared" ref="M23:N23" si="20">C23+K23</f>
        <v>100</v>
      </c>
      <c r="N23" s="32">
        <f t="shared" si="20"/>
        <v>7</v>
      </c>
      <c r="O23" s="43" t="s">
        <v>53</v>
      </c>
      <c r="P23" s="43" t="s">
        <v>53</v>
      </c>
      <c r="Q23" s="43" t="s">
        <v>53</v>
      </c>
      <c r="R23" s="39">
        <f>if(G23=13,1,0)+VLOOKUP(B23,'081724'!B:T,17,false)</f>
        <v>1</v>
      </c>
      <c r="S23" s="39"/>
      <c r="T23" s="39">
        <f>if(G23=9,1,0)+VLOOKUP(B23,'081724'!B:T,19,false)</f>
        <v>2</v>
      </c>
    </row>
    <row r="24">
      <c r="A24" s="30">
        <f t="shared" si="3"/>
        <v>20</v>
      </c>
      <c r="B24" s="51" t="s">
        <v>104</v>
      </c>
      <c r="C24" s="32">
        <v>86.0</v>
      </c>
      <c r="D24" s="32">
        <v>8.0</v>
      </c>
      <c r="E24" s="37">
        <v>1.0</v>
      </c>
      <c r="F24" s="39">
        <v>4.0</v>
      </c>
      <c r="G24" s="40">
        <v>0.0</v>
      </c>
      <c r="H24" s="39">
        <v>6.0</v>
      </c>
      <c r="I24" s="39">
        <v>0.0</v>
      </c>
      <c r="J24" s="39">
        <v>1.0</v>
      </c>
      <c r="K24" s="42">
        <v>7.0</v>
      </c>
      <c r="L24" s="39">
        <v>1.0</v>
      </c>
      <c r="M24" s="32">
        <f t="shared" ref="M24:N24" si="21">C24+K24</f>
        <v>93</v>
      </c>
      <c r="N24" s="32">
        <f t="shared" si="21"/>
        <v>9</v>
      </c>
      <c r="O24" s="43" t="s">
        <v>53</v>
      </c>
      <c r="P24" s="43" t="s">
        <v>53</v>
      </c>
      <c r="Q24" s="43" t="s">
        <v>53</v>
      </c>
      <c r="R24" s="39">
        <f>if(G24=13,1,0)+VLOOKUP(B24,'081724'!B:T,17,false)</f>
        <v>0</v>
      </c>
      <c r="S24" s="39"/>
      <c r="T24" s="39">
        <f>if(G24=9,1,0)+VLOOKUP(B24,'081724'!B:T,19,false)</f>
        <v>0</v>
      </c>
    </row>
    <row r="25">
      <c r="A25" s="30">
        <f t="shared" si="3"/>
        <v>21</v>
      </c>
      <c r="B25" s="31" t="s">
        <v>57</v>
      </c>
      <c r="C25" s="32">
        <v>86.0</v>
      </c>
      <c r="D25" s="32">
        <v>6.0</v>
      </c>
      <c r="E25" s="37">
        <v>1.0</v>
      </c>
      <c r="F25" s="39">
        <v>4.0</v>
      </c>
      <c r="G25" s="40">
        <v>0.0</v>
      </c>
      <c r="H25" s="39">
        <v>2.0</v>
      </c>
      <c r="I25" s="39">
        <v>6.0</v>
      </c>
      <c r="J25" s="39">
        <v>1.0</v>
      </c>
      <c r="K25" s="42">
        <v>9.0</v>
      </c>
      <c r="L25" s="39">
        <v>1.0</v>
      </c>
      <c r="M25" s="32">
        <f t="shared" ref="M25:N25" si="22">C25+K25</f>
        <v>95</v>
      </c>
      <c r="N25" s="32">
        <f t="shared" si="22"/>
        <v>7</v>
      </c>
      <c r="O25" s="43" t="s">
        <v>53</v>
      </c>
      <c r="P25" s="43" t="s">
        <v>53</v>
      </c>
      <c r="Q25" s="43" t="s">
        <v>53</v>
      </c>
      <c r="R25" s="39">
        <f>if(G25=13,1,0)+VLOOKUP(B25,'081724'!B:T,17,false)</f>
        <v>1</v>
      </c>
      <c r="S25" s="39"/>
      <c r="T25" s="39">
        <f>if(G25=9,1,0)+VLOOKUP(B25,'081724'!B:T,19,false)</f>
        <v>2</v>
      </c>
    </row>
    <row r="26">
      <c r="A26" s="30">
        <f t="shared" si="3"/>
        <v>22</v>
      </c>
      <c r="B26" s="31" t="s">
        <v>96</v>
      </c>
      <c r="C26" s="32">
        <v>85.0</v>
      </c>
      <c r="D26" s="32">
        <v>9.0</v>
      </c>
      <c r="E26" s="37">
        <v>5.0</v>
      </c>
      <c r="F26" s="39">
        <v>0.0</v>
      </c>
      <c r="G26" s="40">
        <v>13.0</v>
      </c>
      <c r="H26" s="39">
        <v>0.0</v>
      </c>
      <c r="I26" s="39">
        <v>0.0</v>
      </c>
      <c r="J26" s="39">
        <v>0.0</v>
      </c>
      <c r="K26" s="42">
        <v>13.0</v>
      </c>
      <c r="L26" s="39">
        <v>0.0</v>
      </c>
      <c r="M26" s="32">
        <f t="shared" ref="M26:N26" si="23">C26+K26</f>
        <v>98</v>
      </c>
      <c r="N26" s="32">
        <f t="shared" si="23"/>
        <v>9</v>
      </c>
      <c r="O26" s="43" t="s">
        <v>53</v>
      </c>
      <c r="P26" s="43" t="s">
        <v>53</v>
      </c>
      <c r="Q26" s="43" t="s">
        <v>53</v>
      </c>
      <c r="R26" s="39">
        <f>if(G26=13,1,0)+VLOOKUP(B26,'081724'!B:T,17,false)</f>
        <v>1</v>
      </c>
      <c r="S26" s="39"/>
      <c r="T26" s="39">
        <f>if(G26=9,1,0)+VLOOKUP(B26,'081724'!B:T,19,false)</f>
        <v>3</v>
      </c>
    </row>
    <row r="27">
      <c r="A27" s="30">
        <f t="shared" si="3"/>
        <v>23</v>
      </c>
      <c r="B27" s="51" t="s">
        <v>93</v>
      </c>
      <c r="C27" s="32">
        <v>85.0</v>
      </c>
      <c r="D27" s="32">
        <v>7.0</v>
      </c>
      <c r="E27" s="37">
        <v>1.0</v>
      </c>
      <c r="F27" s="39">
        <v>4.0</v>
      </c>
      <c r="G27" s="40">
        <v>0.0</v>
      </c>
      <c r="H27" s="39">
        <v>2.0</v>
      </c>
      <c r="I27" s="39">
        <v>0.0</v>
      </c>
      <c r="J27" s="39">
        <v>6.0</v>
      </c>
      <c r="K27" s="42">
        <v>8.0</v>
      </c>
      <c r="L27" s="39">
        <v>1.0</v>
      </c>
      <c r="M27" s="32">
        <f t="shared" ref="M27:N27" si="24">C27+K27</f>
        <v>93</v>
      </c>
      <c r="N27" s="32">
        <f t="shared" si="24"/>
        <v>8</v>
      </c>
      <c r="O27" s="43" t="s">
        <v>53</v>
      </c>
      <c r="P27" s="43" t="s">
        <v>53</v>
      </c>
      <c r="Q27" s="43" t="s">
        <v>53</v>
      </c>
      <c r="R27" s="39">
        <f>if(G27=13,1,0)+VLOOKUP(B27,'081724'!B:T,17,false)</f>
        <v>0</v>
      </c>
      <c r="S27" s="39"/>
      <c r="T27" s="39">
        <f>if(G27=9,1,0)+VLOOKUP(B27,'081724'!B:T,19,false)</f>
        <v>1</v>
      </c>
    </row>
    <row r="28">
      <c r="A28" s="30">
        <f t="shared" si="3"/>
        <v>24</v>
      </c>
      <c r="B28" s="51" t="s">
        <v>111</v>
      </c>
      <c r="C28" s="32">
        <v>84.0</v>
      </c>
      <c r="D28" s="32">
        <v>6.0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5">C28+K28</f>
        <v>93</v>
      </c>
      <c r="N28" s="32">
        <f t="shared" si="25"/>
        <v>6</v>
      </c>
      <c r="O28" s="43" t="s">
        <v>53</v>
      </c>
      <c r="P28" s="43" t="s">
        <v>53</v>
      </c>
      <c r="Q28" s="43" t="s">
        <v>53</v>
      </c>
      <c r="R28" s="39">
        <f>if(G28=13,1,0)+VLOOKUP(B28,'081724'!B:T,17,false)</f>
        <v>0</v>
      </c>
      <c r="S28" s="39"/>
      <c r="T28" s="39">
        <f>if(G28=9,1,0)+VLOOKUP(B28,'081724'!B:T,19,false)</f>
        <v>4</v>
      </c>
    </row>
    <row r="29">
      <c r="A29" s="30">
        <f t="shared" si="3"/>
        <v>25</v>
      </c>
      <c r="B29" s="56" t="s">
        <v>110</v>
      </c>
      <c r="C29" s="32">
        <v>83.0</v>
      </c>
      <c r="D29" s="32">
        <v>4.0</v>
      </c>
      <c r="E29" s="37">
        <v>5.0</v>
      </c>
      <c r="F29" s="39">
        <v>0.0</v>
      </c>
      <c r="G29" s="40">
        <v>13.0</v>
      </c>
      <c r="H29" s="39">
        <v>0.0</v>
      </c>
      <c r="I29" s="39">
        <v>0.0</v>
      </c>
      <c r="J29" s="39">
        <v>0.0</v>
      </c>
      <c r="K29" s="42">
        <v>13.0</v>
      </c>
      <c r="L29" s="39">
        <v>0.0</v>
      </c>
      <c r="M29" s="32">
        <f t="shared" ref="M29:N29" si="26">C29+K29</f>
        <v>96</v>
      </c>
      <c r="N29" s="32">
        <f t="shared" si="26"/>
        <v>4</v>
      </c>
      <c r="O29" s="43" t="s">
        <v>53</v>
      </c>
      <c r="P29" s="43" t="s">
        <v>53</v>
      </c>
      <c r="Q29" s="43" t="s">
        <v>53</v>
      </c>
      <c r="R29" s="39">
        <f>if(G29=13,1,0)+VLOOKUP(B29,'081724'!B:T,17,false)</f>
        <v>2</v>
      </c>
      <c r="S29" s="39"/>
      <c r="T29" s="39">
        <f>if(G29=9,1,0)+VLOOKUP(B29,'081724'!B:T,19,false)</f>
        <v>2</v>
      </c>
    </row>
    <row r="30">
      <c r="A30" s="30">
        <f t="shared" si="3"/>
        <v>26</v>
      </c>
      <c r="B30" s="51" t="s">
        <v>103</v>
      </c>
      <c r="C30" s="32">
        <v>81.0</v>
      </c>
      <c r="D30" s="32">
        <v>5.0</v>
      </c>
      <c r="E30" s="37">
        <v>5.0</v>
      </c>
      <c r="F30" s="39">
        <v>0.0</v>
      </c>
      <c r="G30" s="40">
        <v>13.0</v>
      </c>
      <c r="H30" s="39">
        <v>0.0</v>
      </c>
      <c r="I30" s="39">
        <v>0.0</v>
      </c>
      <c r="J30" s="39">
        <v>0.0</v>
      </c>
      <c r="K30" s="42">
        <v>13.0</v>
      </c>
      <c r="L30" s="39">
        <v>0.0</v>
      </c>
      <c r="M30" s="32">
        <f t="shared" ref="M30:N30" si="27">C30+K30</f>
        <v>94</v>
      </c>
      <c r="N30" s="32">
        <f t="shared" si="27"/>
        <v>5</v>
      </c>
      <c r="O30" s="43" t="s">
        <v>53</v>
      </c>
      <c r="P30" s="43" t="s">
        <v>53</v>
      </c>
      <c r="Q30" s="43" t="s">
        <v>53</v>
      </c>
      <c r="R30" s="39">
        <f>if(G30=13,1,0)+VLOOKUP(B30,'081724'!B:T,17,false)</f>
        <v>1</v>
      </c>
      <c r="S30" s="39"/>
      <c r="T30" s="39">
        <f>if(G30=9,1,0)+VLOOKUP(B30,'081724'!B:T,19,false)</f>
        <v>4</v>
      </c>
    </row>
    <row r="31">
      <c r="A31" s="30">
        <f t="shared" si="3"/>
        <v>27</v>
      </c>
      <c r="B31" s="31" t="s">
        <v>66</v>
      </c>
      <c r="C31" s="32">
        <v>81.0</v>
      </c>
      <c r="D31" s="32">
        <v>5.0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8">C31+K31</f>
        <v>90</v>
      </c>
      <c r="N31" s="32">
        <f t="shared" si="28"/>
        <v>5</v>
      </c>
      <c r="O31" s="43" t="s">
        <v>53</v>
      </c>
      <c r="P31" s="43" t="s">
        <v>53</v>
      </c>
      <c r="Q31" s="43" t="s">
        <v>53</v>
      </c>
      <c r="R31" s="39">
        <f>if(G31=13,1,0)+VLOOKUP(B31,'081724'!B:T,17,false)</f>
        <v>2</v>
      </c>
      <c r="S31" s="39"/>
      <c r="T31" s="39">
        <f>if(G31=9,1,0)+VLOOKUP(B31,'081724'!B:T,19,false)</f>
        <v>3</v>
      </c>
    </row>
    <row r="32">
      <c r="A32" s="30">
        <f t="shared" si="3"/>
        <v>28</v>
      </c>
      <c r="B32" s="51" t="s">
        <v>85</v>
      </c>
      <c r="C32" s="32">
        <v>81.0</v>
      </c>
      <c r="D32" s="32">
        <v>5.0</v>
      </c>
      <c r="E32" s="37">
        <v>1.0</v>
      </c>
      <c r="F32" s="39">
        <v>4.0</v>
      </c>
      <c r="G32" s="40">
        <v>0.0</v>
      </c>
      <c r="H32" s="39">
        <v>6.0</v>
      </c>
      <c r="I32" s="39">
        <v>6.0</v>
      </c>
      <c r="J32" s="39">
        <v>6.0</v>
      </c>
      <c r="K32" s="42">
        <v>18.0</v>
      </c>
      <c r="L32" s="39">
        <v>3.0</v>
      </c>
      <c r="M32" s="32">
        <f t="shared" ref="M32:N32" si="29">C32+K32</f>
        <v>99</v>
      </c>
      <c r="N32" s="32">
        <f t="shared" si="29"/>
        <v>8</v>
      </c>
      <c r="O32" s="43" t="s">
        <v>53</v>
      </c>
      <c r="P32" s="43" t="s">
        <v>53</v>
      </c>
      <c r="Q32" s="43" t="s">
        <v>53</v>
      </c>
      <c r="R32" s="39">
        <f>if(G32=13,1,0)+VLOOKUP(B32,'081724'!B:T,17,false)</f>
        <v>0</v>
      </c>
      <c r="S32" s="39"/>
      <c r="T32" s="39">
        <f>if(G32=9,1,0)+VLOOKUP(B32,'081724'!B:T,19,false)</f>
        <v>5</v>
      </c>
    </row>
    <row r="33">
      <c r="A33" s="30">
        <f t="shared" si="3"/>
        <v>29</v>
      </c>
      <c r="B33" s="31" t="s">
        <v>73</v>
      </c>
      <c r="C33" s="32">
        <v>78.0</v>
      </c>
      <c r="D33" s="32">
        <v>5.0</v>
      </c>
      <c r="E33" s="37">
        <v>1.0</v>
      </c>
      <c r="F33" s="39">
        <v>5.0</v>
      </c>
      <c r="G33" s="40">
        <v>0.0</v>
      </c>
      <c r="H33" s="39">
        <v>3.0</v>
      </c>
      <c r="I33" s="39">
        <v>4.0</v>
      </c>
      <c r="J33" s="39">
        <v>6.0</v>
      </c>
      <c r="K33" s="42">
        <v>13.0</v>
      </c>
      <c r="L33" s="39">
        <v>1.0</v>
      </c>
      <c r="M33" s="32">
        <f t="shared" ref="M33:N33" si="30">C33+K33</f>
        <v>91</v>
      </c>
      <c r="N33" s="32">
        <f t="shared" si="30"/>
        <v>6</v>
      </c>
      <c r="O33" s="43" t="s">
        <v>53</v>
      </c>
      <c r="P33" s="43" t="s">
        <v>53</v>
      </c>
      <c r="Q33" s="43" t="s">
        <v>53</v>
      </c>
      <c r="R33" s="39">
        <f>if(G33=13,1,0)+VLOOKUP(B33,'081724'!B:T,17,false)</f>
        <v>1</v>
      </c>
      <c r="S33" s="39"/>
      <c r="T33" s="39">
        <f>if(G33=9,1,0)+VLOOKUP(B33,'081724'!B:T,19,false)</f>
        <v>3</v>
      </c>
    </row>
    <row r="34">
      <c r="A34" s="30">
        <f t="shared" si="3"/>
        <v>30</v>
      </c>
      <c r="B34" s="56" t="s">
        <v>101</v>
      </c>
      <c r="C34" s="32">
        <v>78.0</v>
      </c>
      <c r="D34" s="32">
        <v>4.0</v>
      </c>
      <c r="E34" s="37">
        <v>1.0</v>
      </c>
      <c r="F34" s="39">
        <v>5.0</v>
      </c>
      <c r="G34" s="40">
        <v>0.0</v>
      </c>
      <c r="H34" s="39">
        <v>6.0</v>
      </c>
      <c r="I34" s="39">
        <v>4.0</v>
      </c>
      <c r="J34" s="39">
        <v>2.0</v>
      </c>
      <c r="K34" s="42">
        <v>12.0</v>
      </c>
      <c r="L34" s="39">
        <v>1.0</v>
      </c>
      <c r="M34" s="32">
        <f t="shared" ref="M34:N34" si="31">C34+K34</f>
        <v>90</v>
      </c>
      <c r="N34" s="32">
        <f t="shared" si="31"/>
        <v>5</v>
      </c>
      <c r="O34" s="43" t="s">
        <v>53</v>
      </c>
      <c r="P34" s="43" t="s">
        <v>53</v>
      </c>
      <c r="Q34" s="43" t="s">
        <v>53</v>
      </c>
      <c r="R34" s="39">
        <f>if(G34=13,1,0)+VLOOKUP(B34,'081724'!B:T,17,false)</f>
        <v>0</v>
      </c>
      <c r="S34" s="39"/>
      <c r="T34" s="39">
        <f>if(G34=9,1,0)+VLOOKUP(B34,'081724'!B:T,19,false)</f>
        <v>4</v>
      </c>
    </row>
    <row r="35">
      <c r="A35" s="30">
        <f t="shared" si="3"/>
        <v>31</v>
      </c>
      <c r="B35" s="31" t="s">
        <v>119</v>
      </c>
      <c r="C35" s="32">
        <v>76.0</v>
      </c>
      <c r="D35" s="32">
        <v>4.0</v>
      </c>
      <c r="E35" s="37">
        <v>3.0</v>
      </c>
      <c r="F35" s="39">
        <v>0.0</v>
      </c>
      <c r="G35" s="40">
        <v>9.0</v>
      </c>
      <c r="H35" s="39">
        <v>0.0</v>
      </c>
      <c r="I35" s="39">
        <v>0.0</v>
      </c>
      <c r="J35" s="39">
        <v>0.0</v>
      </c>
      <c r="K35" s="42">
        <v>9.0</v>
      </c>
      <c r="L35" s="39">
        <v>0.0</v>
      </c>
      <c r="M35" s="32">
        <f t="shared" ref="M35:N35" si="32">C35+K35</f>
        <v>85</v>
      </c>
      <c r="N35" s="32">
        <f t="shared" si="32"/>
        <v>4</v>
      </c>
      <c r="O35" s="43" t="s">
        <v>53</v>
      </c>
      <c r="P35" s="43" t="s">
        <v>53</v>
      </c>
      <c r="Q35" s="43" t="s">
        <v>53</v>
      </c>
      <c r="R35" s="39">
        <f>if(G35=13,1,0)+VLOOKUP(B35,'081724'!B:T,17,false)</f>
        <v>0</v>
      </c>
      <c r="S35" s="39"/>
      <c r="T35" s="39">
        <f>if(G35=9,1,0)+VLOOKUP(B35,'081724'!B:T,19,false)</f>
        <v>6</v>
      </c>
    </row>
    <row r="36">
      <c r="A36" s="30">
        <f t="shared" si="3"/>
        <v>32</v>
      </c>
      <c r="B36" s="31" t="s">
        <v>83</v>
      </c>
      <c r="C36" s="32">
        <v>76.0</v>
      </c>
      <c r="D36" s="32">
        <v>3.0</v>
      </c>
      <c r="E36" s="37">
        <v>1.0</v>
      </c>
      <c r="F36" s="39">
        <v>5.0</v>
      </c>
      <c r="G36" s="40">
        <v>0.0</v>
      </c>
      <c r="H36" s="39">
        <v>6.0</v>
      </c>
      <c r="I36" s="39">
        <v>6.0</v>
      </c>
      <c r="J36" s="39">
        <v>6.0</v>
      </c>
      <c r="K36" s="42">
        <v>18.0</v>
      </c>
      <c r="L36" s="39">
        <v>3.0</v>
      </c>
      <c r="M36" s="32">
        <f t="shared" ref="M36:N36" si="33">C36+K36</f>
        <v>94</v>
      </c>
      <c r="N36" s="32">
        <f t="shared" si="33"/>
        <v>6</v>
      </c>
      <c r="O36" s="43" t="s">
        <v>53</v>
      </c>
      <c r="P36" s="43" t="s">
        <v>53</v>
      </c>
      <c r="Q36" s="43" t="s">
        <v>53</v>
      </c>
      <c r="R36" s="39">
        <f>if(G36=13,1,0)+VLOOKUP(B36,'081724'!B:T,17,false)</f>
        <v>0</v>
      </c>
      <c r="S36" s="39"/>
      <c r="T36" s="39">
        <f>if(G36=9,1,0)+VLOOKUP(B36,'081724'!B:T,19,false)</f>
        <v>5</v>
      </c>
    </row>
    <row r="37">
      <c r="A37" s="30">
        <f t="shared" si="3"/>
        <v>33</v>
      </c>
      <c r="B37" s="51" t="s">
        <v>75</v>
      </c>
      <c r="C37" s="32">
        <v>76.0</v>
      </c>
      <c r="D37" s="32">
        <v>3.0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4">C37+K37</f>
        <v>85</v>
      </c>
      <c r="N37" s="32">
        <f t="shared" si="34"/>
        <v>3</v>
      </c>
      <c r="O37" s="43" t="s">
        <v>53</v>
      </c>
      <c r="P37" s="43" t="s">
        <v>53</v>
      </c>
      <c r="Q37" s="43" t="s">
        <v>53</v>
      </c>
      <c r="R37" s="39">
        <f>if(G37=13,1,0)+VLOOKUP(B37,'081724'!B:T,17,false)</f>
        <v>1</v>
      </c>
      <c r="S37" s="39"/>
      <c r="T37" s="39">
        <f>if(G37=9,1,0)+VLOOKUP(B37,'081724'!B:T,19,false)</f>
        <v>6</v>
      </c>
    </row>
    <row r="38">
      <c r="A38" s="30">
        <f t="shared" si="3"/>
        <v>34</v>
      </c>
      <c r="B38" s="51" t="s">
        <v>102</v>
      </c>
      <c r="C38" s="32">
        <v>76.0</v>
      </c>
      <c r="D38" s="32">
        <v>2.0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5">C38+K38</f>
        <v>85</v>
      </c>
      <c r="N38" s="32">
        <f t="shared" si="35"/>
        <v>2</v>
      </c>
      <c r="O38" s="43" t="s">
        <v>53</v>
      </c>
      <c r="P38" s="43" t="s">
        <v>53</v>
      </c>
      <c r="Q38" s="43" t="s">
        <v>53</v>
      </c>
      <c r="R38" s="39">
        <f>if(G38=13,1,0)+VLOOKUP(B38,'081724'!B:T,17,false)</f>
        <v>2</v>
      </c>
      <c r="S38" s="39"/>
      <c r="T38" s="39">
        <f>if(G38=9,1,0)+VLOOKUP(B38,'081724'!B:T,19,false)</f>
        <v>4</v>
      </c>
    </row>
    <row r="39">
      <c r="A39" s="30">
        <f t="shared" si="3"/>
        <v>35</v>
      </c>
      <c r="B39" s="51" t="s">
        <v>114</v>
      </c>
      <c r="C39" s="32">
        <v>75.0</v>
      </c>
      <c r="D39" s="32">
        <v>6.0</v>
      </c>
      <c r="E39" s="37">
        <v>5.0</v>
      </c>
      <c r="F39" s="39">
        <v>0.0</v>
      </c>
      <c r="G39" s="40">
        <v>13.0</v>
      </c>
      <c r="H39" s="39">
        <v>0.0</v>
      </c>
      <c r="I39" s="39">
        <v>0.0</v>
      </c>
      <c r="J39" s="39">
        <v>0.0</v>
      </c>
      <c r="K39" s="42">
        <v>13.0</v>
      </c>
      <c r="L39" s="39">
        <v>0.0</v>
      </c>
      <c r="M39" s="32">
        <f t="shared" ref="M39:N39" si="36">C39+K39</f>
        <v>88</v>
      </c>
      <c r="N39" s="32">
        <f t="shared" si="36"/>
        <v>6</v>
      </c>
      <c r="O39" s="43" t="s">
        <v>53</v>
      </c>
      <c r="P39" s="43" t="s">
        <v>53</v>
      </c>
      <c r="Q39" s="43" t="s">
        <v>53</v>
      </c>
      <c r="R39" s="39">
        <f>if(G39=13,1,0)+VLOOKUP(B39,'081724'!B:T,17,false)</f>
        <v>2</v>
      </c>
      <c r="S39" s="39"/>
      <c r="T39" s="39">
        <f>if(G39=9,1,0)+VLOOKUP(B39,'081724'!B:T,19,false)</f>
        <v>1</v>
      </c>
    </row>
    <row r="40">
      <c r="A40" s="30">
        <f t="shared" si="3"/>
        <v>36</v>
      </c>
      <c r="B40" s="31" t="s">
        <v>98</v>
      </c>
      <c r="C40" s="32">
        <v>75.0</v>
      </c>
      <c r="D40" s="32">
        <v>4.0</v>
      </c>
      <c r="E40" s="37">
        <v>2.0</v>
      </c>
      <c r="F40" s="39">
        <v>5.0</v>
      </c>
      <c r="G40" s="40">
        <v>0.0</v>
      </c>
      <c r="H40" s="39">
        <v>3.0</v>
      </c>
      <c r="I40" s="39">
        <v>6.0</v>
      </c>
      <c r="J40" s="39">
        <v>2.0</v>
      </c>
      <c r="K40" s="42">
        <v>11.0</v>
      </c>
      <c r="L40" s="39">
        <v>1.0</v>
      </c>
      <c r="M40" s="32">
        <f t="shared" ref="M40:N40" si="37">C40+K40</f>
        <v>86</v>
      </c>
      <c r="N40" s="32">
        <f t="shared" si="37"/>
        <v>5</v>
      </c>
      <c r="O40" s="43" t="s">
        <v>53</v>
      </c>
      <c r="P40" s="43" t="s">
        <v>53</v>
      </c>
      <c r="Q40" s="43" t="s">
        <v>53</v>
      </c>
      <c r="R40" s="39">
        <f>if(G40=13,1,0)+VLOOKUP(B40,'081724'!B:T,17,false)</f>
        <v>1</v>
      </c>
      <c r="S40" s="39"/>
      <c r="T40" s="39">
        <f>if(G40=9,1,0)+VLOOKUP(B40,'081724'!B:T,19,false)</f>
        <v>3</v>
      </c>
    </row>
    <row r="41">
      <c r="A41" s="30">
        <f t="shared" si="3"/>
        <v>37</v>
      </c>
      <c r="B41" s="31" t="s">
        <v>56</v>
      </c>
      <c r="C41" s="32">
        <v>75.0</v>
      </c>
      <c r="D41" s="32">
        <v>3.0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8">C41+K41</f>
        <v>84</v>
      </c>
      <c r="N41" s="32">
        <f t="shared" si="38"/>
        <v>3</v>
      </c>
      <c r="O41" s="43" t="s">
        <v>53</v>
      </c>
      <c r="P41" s="43" t="s">
        <v>53</v>
      </c>
      <c r="Q41" s="43" t="s">
        <v>53</v>
      </c>
      <c r="R41" s="39">
        <f>if(G41=13,1,0)+VLOOKUP(B41,'081724'!B:T,17,false)</f>
        <v>0</v>
      </c>
      <c r="S41" s="39"/>
      <c r="T41" s="39">
        <f>if(G41=9,1,0)+VLOOKUP(B41,'081724'!B:T,19,false)</f>
        <v>6</v>
      </c>
    </row>
    <row r="42">
      <c r="A42" s="30">
        <f t="shared" si="3"/>
        <v>38</v>
      </c>
      <c r="B42" s="31" t="s">
        <v>89</v>
      </c>
      <c r="C42" s="32">
        <v>74.0</v>
      </c>
      <c r="D42" s="32">
        <v>2.0</v>
      </c>
      <c r="E42" s="37">
        <v>2.0</v>
      </c>
      <c r="F42" s="39">
        <v>6.0</v>
      </c>
      <c r="G42" s="40">
        <v>0.0</v>
      </c>
      <c r="H42" s="39">
        <v>6.0</v>
      </c>
      <c r="I42" s="39">
        <v>6.0</v>
      </c>
      <c r="J42" s="39">
        <v>6.0</v>
      </c>
      <c r="K42" s="42">
        <v>18.0</v>
      </c>
      <c r="L42" s="39">
        <v>2.0</v>
      </c>
      <c r="M42" s="32">
        <f t="shared" ref="M42:N42" si="39">C42+K42</f>
        <v>92</v>
      </c>
      <c r="N42" s="32">
        <f t="shared" si="39"/>
        <v>4</v>
      </c>
      <c r="O42" s="43" t="s">
        <v>53</v>
      </c>
      <c r="P42" s="43" t="s">
        <v>53</v>
      </c>
      <c r="Q42" s="43" t="s">
        <v>53</v>
      </c>
      <c r="R42" s="39">
        <f>if(G42=13,1,0)+VLOOKUP(B42,'081724'!B:T,17,false)</f>
        <v>2</v>
      </c>
      <c r="S42" s="39"/>
      <c r="T42" s="39">
        <f>if(G42=9,1,0)+VLOOKUP(B42,'081724'!B:T,19,false)</f>
        <v>4</v>
      </c>
    </row>
    <row r="43">
      <c r="A43" s="30">
        <f t="shared" si="3"/>
        <v>39</v>
      </c>
      <c r="B43" s="56" t="s">
        <v>115</v>
      </c>
      <c r="C43" s="32">
        <v>72.0</v>
      </c>
      <c r="D43" s="32">
        <v>6.0</v>
      </c>
      <c r="E43" s="37">
        <v>1.0</v>
      </c>
      <c r="F43" s="39">
        <v>6.0</v>
      </c>
      <c r="G43" s="40">
        <v>0.0</v>
      </c>
      <c r="H43" s="39">
        <v>6.0</v>
      </c>
      <c r="I43" s="39">
        <v>0.0</v>
      </c>
      <c r="J43" s="39">
        <v>0.0</v>
      </c>
      <c r="K43" s="42">
        <v>6.0</v>
      </c>
      <c r="L43" s="39">
        <v>0.0</v>
      </c>
      <c r="M43" s="32">
        <f t="shared" ref="M43:N43" si="40">C43+K43</f>
        <v>78</v>
      </c>
      <c r="N43" s="32">
        <f t="shared" si="40"/>
        <v>6</v>
      </c>
      <c r="O43" s="43" t="s">
        <v>53</v>
      </c>
      <c r="P43" s="43" t="s">
        <v>53</v>
      </c>
      <c r="Q43" s="43" t="s">
        <v>53</v>
      </c>
      <c r="R43" s="39">
        <f>if(G43=13,1,0)+VLOOKUP(B43,'081724'!B:T,17,false)</f>
        <v>0</v>
      </c>
      <c r="S43" s="39"/>
      <c r="T43" s="39">
        <f>if(G43=9,1,0)+VLOOKUP(B43,'081724'!B:T,19,false)</f>
        <v>1</v>
      </c>
    </row>
    <row r="44">
      <c r="A44" s="30">
        <f t="shared" si="3"/>
        <v>40</v>
      </c>
      <c r="B44" s="31" t="s">
        <v>125</v>
      </c>
      <c r="C44" s="32">
        <v>72.0</v>
      </c>
      <c r="D44" s="32">
        <v>3.0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1">C44+K44</f>
        <v>81</v>
      </c>
      <c r="N44" s="32">
        <f t="shared" si="41"/>
        <v>3</v>
      </c>
      <c r="O44" s="43" t="s">
        <v>53</v>
      </c>
      <c r="P44" s="43" t="s">
        <v>53</v>
      </c>
      <c r="Q44" s="43" t="s">
        <v>53</v>
      </c>
      <c r="R44" s="39">
        <f>if(G44=13,1,0)+VLOOKUP(B44,'081724'!B:T,17,false)</f>
        <v>0</v>
      </c>
      <c r="S44" s="39"/>
      <c r="T44" s="39">
        <f>if(G44=9,1,0)+VLOOKUP(B44,'081724'!B:T,19,false)</f>
        <v>7</v>
      </c>
    </row>
    <row r="45">
      <c r="A45" s="30">
        <f t="shared" si="3"/>
        <v>41</v>
      </c>
      <c r="B45" s="56" t="s">
        <v>122</v>
      </c>
      <c r="C45" s="32">
        <v>72.0</v>
      </c>
      <c r="D45" s="32">
        <v>3.0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2">C45+K45</f>
        <v>81</v>
      </c>
      <c r="N45" s="32">
        <f t="shared" si="42"/>
        <v>3</v>
      </c>
      <c r="O45" s="43" t="s">
        <v>53</v>
      </c>
      <c r="P45" s="43" t="s">
        <v>53</v>
      </c>
      <c r="Q45" s="43" t="s">
        <v>53</v>
      </c>
      <c r="R45" s="39">
        <f>if(G45=13,1,0)+VLOOKUP(B45,'081724'!B:T,17,false)</f>
        <v>1</v>
      </c>
      <c r="S45" s="39"/>
      <c r="T45" s="39">
        <f>if(G45=9,1,0)+VLOOKUP(B45,'081724'!B:T,19,false)</f>
        <v>4</v>
      </c>
    </row>
    <row r="46">
      <c r="A46" s="30">
        <f t="shared" si="3"/>
        <v>42</v>
      </c>
      <c r="B46" s="57" t="s">
        <v>63</v>
      </c>
      <c r="C46" s="32">
        <v>72.0</v>
      </c>
      <c r="D46" s="32">
        <v>3.0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3">C46+K46</f>
        <v>81</v>
      </c>
      <c r="N46" s="32">
        <f t="shared" si="43"/>
        <v>3</v>
      </c>
      <c r="O46" s="43" t="s">
        <v>53</v>
      </c>
      <c r="P46" s="43" t="s">
        <v>53</v>
      </c>
      <c r="Q46" s="43" t="s">
        <v>53</v>
      </c>
      <c r="R46" s="39">
        <f>if(G46=13,1,0)+VLOOKUP(B46,'081724'!B:T,17,false)</f>
        <v>0</v>
      </c>
      <c r="S46" s="39"/>
      <c r="T46" s="39">
        <f>if(G46=9,1,0)+VLOOKUP(B46,'081724'!B:T,19,false)</f>
        <v>7</v>
      </c>
    </row>
    <row r="47">
      <c r="A47" s="30">
        <f t="shared" si="3"/>
        <v>43</v>
      </c>
      <c r="B47" s="56" t="s">
        <v>51</v>
      </c>
      <c r="C47" s="32">
        <v>71.0</v>
      </c>
      <c r="D47" s="32">
        <v>4.0</v>
      </c>
      <c r="E47" s="37">
        <v>1.0</v>
      </c>
      <c r="F47" s="39">
        <v>6.0</v>
      </c>
      <c r="G47" s="40">
        <v>0.0</v>
      </c>
      <c r="H47" s="39">
        <v>7.0</v>
      </c>
      <c r="I47" s="39">
        <v>6.0</v>
      </c>
      <c r="J47" s="39">
        <v>0.0</v>
      </c>
      <c r="K47" s="42">
        <v>13.0</v>
      </c>
      <c r="L47" s="39">
        <v>2.0</v>
      </c>
      <c r="M47" s="32">
        <f t="shared" ref="M47:N47" si="44">C47+K47</f>
        <v>84</v>
      </c>
      <c r="N47" s="32">
        <f t="shared" si="44"/>
        <v>6</v>
      </c>
      <c r="O47" s="43" t="s">
        <v>53</v>
      </c>
      <c r="P47" s="43" t="s">
        <v>53</v>
      </c>
      <c r="Q47" s="43" t="s">
        <v>53</v>
      </c>
      <c r="R47" s="39">
        <f>if(G47=13,1,0)+VLOOKUP(B47,'081724'!B:T,17,false)</f>
        <v>1</v>
      </c>
      <c r="S47" s="39"/>
      <c r="T47" s="39">
        <f>if(G47=9,1,0)+VLOOKUP(B47,'081724'!B:T,19,false)</f>
        <v>2</v>
      </c>
    </row>
    <row r="48">
      <c r="A48" s="30">
        <f t="shared" si="3"/>
        <v>44</v>
      </c>
      <c r="B48" s="51" t="s">
        <v>76</v>
      </c>
      <c r="C48" s="32">
        <v>71.0</v>
      </c>
      <c r="D48" s="32">
        <v>4.0</v>
      </c>
      <c r="E48" s="37">
        <v>1.0</v>
      </c>
      <c r="F48" s="39">
        <v>6.0</v>
      </c>
      <c r="G48" s="40">
        <v>0.0</v>
      </c>
      <c r="H48" s="39">
        <v>7.0</v>
      </c>
      <c r="I48" s="39">
        <v>0.0</v>
      </c>
      <c r="J48" s="39">
        <v>6.0</v>
      </c>
      <c r="K48" s="42">
        <v>13.0</v>
      </c>
      <c r="L48" s="39">
        <v>2.0</v>
      </c>
      <c r="M48" s="32">
        <f t="shared" ref="M48:N48" si="45">C48+K48</f>
        <v>84</v>
      </c>
      <c r="N48" s="32">
        <f t="shared" si="45"/>
        <v>6</v>
      </c>
      <c r="O48" s="43" t="s">
        <v>53</v>
      </c>
      <c r="P48" s="43" t="s">
        <v>53</v>
      </c>
      <c r="Q48" s="43" t="s">
        <v>53</v>
      </c>
      <c r="R48" s="39">
        <f>if(G48=13,1,0)+VLOOKUP(B48,'081724'!B:T,17,false)</f>
        <v>0</v>
      </c>
      <c r="S48" s="39"/>
      <c r="T48" s="39">
        <f>if(G48=9,1,0)+VLOOKUP(B48,'081724'!B:T,19,false)</f>
        <v>4</v>
      </c>
    </row>
    <row r="49">
      <c r="A49" s="30">
        <f t="shared" si="3"/>
        <v>45</v>
      </c>
      <c r="B49" s="31" t="s">
        <v>97</v>
      </c>
      <c r="C49" s="32">
        <v>71.0</v>
      </c>
      <c r="D49" s="32">
        <v>2.0</v>
      </c>
      <c r="E49" s="37">
        <v>5.0</v>
      </c>
      <c r="F49" s="39">
        <v>0.0</v>
      </c>
      <c r="G49" s="40">
        <v>13.0</v>
      </c>
      <c r="H49" s="39">
        <v>0.0</v>
      </c>
      <c r="I49" s="39">
        <v>0.0</v>
      </c>
      <c r="J49" s="39">
        <v>0.0</v>
      </c>
      <c r="K49" s="42">
        <v>13.0</v>
      </c>
      <c r="L49" s="39">
        <v>0.0</v>
      </c>
      <c r="M49" s="32">
        <f t="shared" ref="M49:N49" si="46">C49+K49</f>
        <v>84</v>
      </c>
      <c r="N49" s="32">
        <f t="shared" si="46"/>
        <v>2</v>
      </c>
      <c r="O49" s="43" t="s">
        <v>53</v>
      </c>
      <c r="P49" s="43" t="s">
        <v>53</v>
      </c>
      <c r="Q49" s="43" t="s">
        <v>53</v>
      </c>
      <c r="R49" s="39">
        <f>if(G49=13,1,0)+VLOOKUP(B49,'081724'!B:T,17,false)</f>
        <v>1</v>
      </c>
      <c r="S49" s="39"/>
      <c r="T49" s="39">
        <f>if(G49=9,1,0)+VLOOKUP(B49,'081724'!B:T,19,false)</f>
        <v>6</v>
      </c>
    </row>
    <row r="50">
      <c r="A50" s="30">
        <f t="shared" si="3"/>
        <v>46</v>
      </c>
      <c r="B50" s="51" t="s">
        <v>113</v>
      </c>
      <c r="C50" s="32">
        <v>70.0</v>
      </c>
      <c r="D50" s="32">
        <v>6.0</v>
      </c>
      <c r="E50" s="37">
        <v>1.0</v>
      </c>
      <c r="F50" s="39">
        <v>7.0</v>
      </c>
      <c r="G50" s="40">
        <v>0.0</v>
      </c>
      <c r="H50" s="39">
        <v>3.0</v>
      </c>
      <c r="I50" s="39">
        <v>1.0</v>
      </c>
      <c r="J50" s="39">
        <v>3.0</v>
      </c>
      <c r="K50" s="42">
        <v>7.0</v>
      </c>
      <c r="L50" s="39">
        <v>0.0</v>
      </c>
      <c r="M50" s="32">
        <f t="shared" ref="M50:N50" si="47">C50+K50</f>
        <v>77</v>
      </c>
      <c r="N50" s="32">
        <f t="shared" si="47"/>
        <v>6</v>
      </c>
      <c r="O50" s="43" t="s">
        <v>53</v>
      </c>
      <c r="P50" s="43" t="s">
        <v>53</v>
      </c>
      <c r="Q50" s="43" t="s">
        <v>53</v>
      </c>
      <c r="R50" s="39">
        <f>if(G50=13,1,0)+VLOOKUP(B50,'081724'!B:T,17,false)</f>
        <v>0</v>
      </c>
      <c r="S50" s="39"/>
      <c r="T50" s="39">
        <f>if(G50=9,1,0)+VLOOKUP(B50,'081724'!B:T,19,false)</f>
        <v>1</v>
      </c>
    </row>
    <row r="51">
      <c r="A51" s="30">
        <f t="shared" si="3"/>
        <v>47</v>
      </c>
      <c r="B51" s="31" t="s">
        <v>46</v>
      </c>
      <c r="C51" s="32">
        <v>69.0</v>
      </c>
      <c r="D51" s="32">
        <v>2.0</v>
      </c>
      <c r="E51" s="37">
        <v>1.0</v>
      </c>
      <c r="F51" s="39">
        <v>7.0</v>
      </c>
      <c r="G51" s="40">
        <v>0.0</v>
      </c>
      <c r="H51" s="39">
        <v>3.0</v>
      </c>
      <c r="I51" s="39">
        <v>6.0</v>
      </c>
      <c r="J51" s="39">
        <v>6.0</v>
      </c>
      <c r="K51" s="42">
        <v>15.0</v>
      </c>
      <c r="L51" s="39">
        <v>2.0</v>
      </c>
      <c r="M51" s="32">
        <f t="shared" ref="M51:N51" si="48">C51+K51</f>
        <v>84</v>
      </c>
      <c r="N51" s="32">
        <f t="shared" si="48"/>
        <v>4</v>
      </c>
      <c r="O51" s="43" t="s">
        <v>53</v>
      </c>
      <c r="P51" s="43" t="s">
        <v>53</v>
      </c>
      <c r="Q51" s="43" t="s">
        <v>53</v>
      </c>
      <c r="R51" s="39">
        <f>if(G51=13,1,0)+VLOOKUP(B51,'081724'!B:T,17,false)</f>
        <v>0</v>
      </c>
      <c r="S51" s="39"/>
      <c r="T51" s="39">
        <f>if(G51=9,1,0)+VLOOKUP(B51,'081724'!B:T,19,false)</f>
        <v>4</v>
      </c>
    </row>
    <row r="52">
      <c r="A52" s="30">
        <f t="shared" si="3"/>
        <v>48</v>
      </c>
      <c r="B52" s="51" t="s">
        <v>121</v>
      </c>
      <c r="C52" s="32">
        <v>68.0</v>
      </c>
      <c r="D52" s="32">
        <v>4.0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49">C52+K52</f>
        <v>77</v>
      </c>
      <c r="N52" s="32">
        <f t="shared" si="49"/>
        <v>4</v>
      </c>
      <c r="O52" s="43" t="s">
        <v>53</v>
      </c>
      <c r="P52" s="43" t="s">
        <v>53</v>
      </c>
      <c r="Q52" s="43" t="s">
        <v>53</v>
      </c>
      <c r="R52" s="39">
        <f>if(G52=13,1,0)+VLOOKUP(B52,'081724'!B:T,17,false)</f>
        <v>0</v>
      </c>
      <c r="S52" s="39"/>
      <c r="T52" s="39">
        <f>if(G52=9,1,0)+VLOOKUP(B52,'081724'!B:T,19,false)</f>
        <v>5</v>
      </c>
    </row>
    <row r="53">
      <c r="A53" s="30">
        <f t="shared" si="3"/>
        <v>49</v>
      </c>
      <c r="B53" s="51" t="s">
        <v>116</v>
      </c>
      <c r="C53" s="32">
        <v>68.0</v>
      </c>
      <c r="D53" s="32">
        <v>3.0</v>
      </c>
      <c r="E53" s="37">
        <v>5.0</v>
      </c>
      <c r="F53" s="39">
        <v>0.0</v>
      </c>
      <c r="G53" s="40">
        <v>13.0</v>
      </c>
      <c r="H53" s="39">
        <v>0.0</v>
      </c>
      <c r="I53" s="39">
        <v>0.0</v>
      </c>
      <c r="J53" s="39">
        <v>0.0</v>
      </c>
      <c r="K53" s="42">
        <v>13.0</v>
      </c>
      <c r="L53" s="39">
        <v>0.0</v>
      </c>
      <c r="M53" s="32">
        <f t="shared" ref="M53:N53" si="50">C53+K53</f>
        <v>81</v>
      </c>
      <c r="N53" s="32">
        <f t="shared" si="50"/>
        <v>3</v>
      </c>
      <c r="O53" s="43" t="s">
        <v>53</v>
      </c>
      <c r="P53" s="43" t="s">
        <v>53</v>
      </c>
      <c r="Q53" s="43" t="s">
        <v>53</v>
      </c>
      <c r="R53" s="39">
        <f>if(G53=13,1,0)+VLOOKUP(B53,'081724'!B:T,17,false)</f>
        <v>1</v>
      </c>
      <c r="S53" s="39"/>
      <c r="T53" s="39">
        <f>if(G53=9,1,0)+VLOOKUP(B53,'081724'!B:T,19,false)</f>
        <v>3</v>
      </c>
    </row>
    <row r="54">
      <c r="A54" s="30">
        <f t="shared" si="3"/>
        <v>50</v>
      </c>
      <c r="B54" s="31" t="s">
        <v>79</v>
      </c>
      <c r="C54" s="32">
        <v>68.0</v>
      </c>
      <c r="D54" s="32">
        <v>1.0</v>
      </c>
      <c r="E54" s="37">
        <v>1.0</v>
      </c>
      <c r="F54" s="39">
        <v>7.0</v>
      </c>
      <c r="G54" s="40">
        <v>0.0</v>
      </c>
      <c r="H54" s="39">
        <v>6.0</v>
      </c>
      <c r="I54" s="39">
        <v>6.0</v>
      </c>
      <c r="J54" s="39">
        <v>3.0</v>
      </c>
      <c r="K54" s="42">
        <v>15.0</v>
      </c>
      <c r="L54" s="39">
        <v>2.0</v>
      </c>
      <c r="M54" s="32">
        <f t="shared" ref="M54:N54" si="51">C54+K54</f>
        <v>83</v>
      </c>
      <c r="N54" s="32">
        <f t="shared" si="51"/>
        <v>3</v>
      </c>
      <c r="O54" s="43" t="s">
        <v>53</v>
      </c>
      <c r="P54" s="43" t="s">
        <v>53</v>
      </c>
      <c r="Q54" s="43" t="s">
        <v>53</v>
      </c>
      <c r="R54" s="39">
        <f>if(G54=13,1,0)+VLOOKUP(B54,'081724'!B:T,17,false)</f>
        <v>1</v>
      </c>
      <c r="S54" s="39"/>
      <c r="T54" s="39">
        <f>if(G54=9,1,0)+VLOOKUP(B54,'081724'!B:T,19,false)</f>
        <v>5</v>
      </c>
    </row>
    <row r="55">
      <c r="A55" s="30">
        <f t="shared" si="3"/>
        <v>51</v>
      </c>
      <c r="B55" s="56" t="s">
        <v>107</v>
      </c>
      <c r="C55" s="32">
        <v>67.0</v>
      </c>
      <c r="D55" s="32">
        <v>5.0</v>
      </c>
      <c r="E55" s="37">
        <v>1.0</v>
      </c>
      <c r="F55" s="39">
        <v>7.0</v>
      </c>
      <c r="G55" s="40">
        <v>0.0</v>
      </c>
      <c r="H55" s="39">
        <v>6.0</v>
      </c>
      <c r="I55" s="39">
        <v>1.0</v>
      </c>
      <c r="J55" s="39">
        <v>6.0</v>
      </c>
      <c r="K55" s="42">
        <v>13.0</v>
      </c>
      <c r="L55" s="39">
        <v>2.0</v>
      </c>
      <c r="M55" s="32">
        <f t="shared" ref="M55:N55" si="52">C55+K55</f>
        <v>80</v>
      </c>
      <c r="N55" s="32">
        <f t="shared" si="52"/>
        <v>7</v>
      </c>
      <c r="O55" s="43" t="s">
        <v>53</v>
      </c>
      <c r="P55" s="43" t="s">
        <v>53</v>
      </c>
      <c r="Q55" s="43" t="s">
        <v>53</v>
      </c>
      <c r="R55" s="39">
        <f>if(G55=13,1,0)+VLOOKUP(B55,'081724'!B:T,17,false)</f>
        <v>0</v>
      </c>
      <c r="S55" s="39"/>
      <c r="T55" s="39">
        <f>if(G55=9,1,0)+VLOOKUP(B55,'081724'!B:T,19,false)</f>
        <v>3</v>
      </c>
    </row>
    <row r="56">
      <c r="A56" s="30">
        <f t="shared" si="3"/>
        <v>52</v>
      </c>
      <c r="B56" s="51" t="s">
        <v>108</v>
      </c>
      <c r="C56" s="32">
        <v>67.0</v>
      </c>
      <c r="D56" s="32">
        <v>2.0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3">C56+K56</f>
        <v>76</v>
      </c>
      <c r="N56" s="32">
        <f t="shared" si="53"/>
        <v>2</v>
      </c>
      <c r="O56" s="43" t="s">
        <v>53</v>
      </c>
      <c r="P56" s="43" t="s">
        <v>53</v>
      </c>
      <c r="Q56" s="43" t="s">
        <v>53</v>
      </c>
      <c r="R56" s="39">
        <f>if(G56=13,1,0)+VLOOKUP(B56,'081724'!B:T,17,false)</f>
        <v>0</v>
      </c>
      <c r="S56" s="39"/>
      <c r="T56" s="39">
        <f>if(G56=9,1,0)+VLOOKUP(B56,'081724'!B:T,19,false)</f>
        <v>6</v>
      </c>
    </row>
    <row r="57">
      <c r="A57" s="30">
        <f t="shared" si="3"/>
        <v>53</v>
      </c>
      <c r="B57" s="51" t="s">
        <v>99</v>
      </c>
      <c r="C57" s="32">
        <v>67.0</v>
      </c>
      <c r="D57" s="32">
        <v>1.0</v>
      </c>
      <c r="E57" s="37">
        <v>1.0</v>
      </c>
      <c r="F57" s="39">
        <v>8.0</v>
      </c>
      <c r="G57" s="40">
        <v>0.0</v>
      </c>
      <c r="H57" s="39">
        <v>6.0</v>
      </c>
      <c r="I57" s="39">
        <v>2.0</v>
      </c>
      <c r="J57" s="39">
        <v>4.0</v>
      </c>
      <c r="K57" s="42">
        <v>12.0</v>
      </c>
      <c r="L57" s="39">
        <v>1.0</v>
      </c>
      <c r="M57" s="32">
        <f t="shared" ref="M57:N57" si="54">C57+K57</f>
        <v>79</v>
      </c>
      <c r="N57" s="32">
        <f t="shared" si="54"/>
        <v>2</v>
      </c>
      <c r="O57" s="43" t="s">
        <v>53</v>
      </c>
      <c r="P57" s="43"/>
      <c r="Q57" s="43" t="s">
        <v>53</v>
      </c>
      <c r="R57" s="39">
        <f>if(G57=13,1,0)+VLOOKUP(B57,'081724'!B:T,17,false)</f>
        <v>0</v>
      </c>
      <c r="S57" s="39"/>
      <c r="T57" s="39">
        <f>if(G57=9,1,0)+VLOOKUP(B57,'081724'!B:T,19,false)</f>
        <v>1</v>
      </c>
    </row>
    <row r="58">
      <c r="A58" s="30">
        <f t="shared" si="3"/>
        <v>54</v>
      </c>
      <c r="B58" s="31" t="s">
        <v>72</v>
      </c>
      <c r="C58" s="32">
        <v>67.0</v>
      </c>
      <c r="D58" s="32">
        <v>0.0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5">C58+K58</f>
        <v>76</v>
      </c>
      <c r="N58" s="32">
        <f t="shared" si="55"/>
        <v>0</v>
      </c>
      <c r="O58" s="43" t="s">
        <v>53</v>
      </c>
      <c r="P58" s="43" t="s">
        <v>53</v>
      </c>
      <c r="Q58" s="43" t="s">
        <v>53</v>
      </c>
      <c r="R58" s="39">
        <f>if(G58=13,1,0)+VLOOKUP(B58,'081724'!B:T,17,false)</f>
        <v>1</v>
      </c>
      <c r="S58" s="39"/>
      <c r="T58" s="39">
        <f>if(G58=9,1,0)+VLOOKUP(B58,'081724'!B:T,19,false)</f>
        <v>7</v>
      </c>
    </row>
    <row r="59">
      <c r="A59" s="30">
        <f t="shared" si="3"/>
        <v>55</v>
      </c>
      <c r="B59" s="31" t="s">
        <v>126</v>
      </c>
      <c r="C59" s="32">
        <v>67.0</v>
      </c>
      <c r="D59" s="32">
        <v>0.0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6">C59+K59</f>
        <v>76</v>
      </c>
      <c r="N59" s="32">
        <f t="shared" si="56"/>
        <v>0</v>
      </c>
      <c r="O59" s="43" t="s">
        <v>53</v>
      </c>
      <c r="P59" s="43" t="s">
        <v>53</v>
      </c>
      <c r="Q59" s="43" t="s">
        <v>53</v>
      </c>
      <c r="R59" s="39">
        <f>if(G59=13,1,0)+VLOOKUP(B59,'081724'!B:T,17,false)</f>
        <v>1</v>
      </c>
      <c r="S59" s="39"/>
      <c r="T59" s="39">
        <f>if(G59=9,1,0)+VLOOKUP(B59,'081724'!B:T,19,false)</f>
        <v>6</v>
      </c>
    </row>
    <row r="60">
      <c r="A60" s="30">
        <f t="shared" si="3"/>
        <v>56</v>
      </c>
      <c r="B60" s="31" t="s">
        <v>120</v>
      </c>
      <c r="C60" s="32">
        <v>66.0</v>
      </c>
      <c r="D60" s="32">
        <v>2.0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7">C60+K60</f>
        <v>75</v>
      </c>
      <c r="N60" s="32">
        <f t="shared" si="57"/>
        <v>2</v>
      </c>
      <c r="O60" s="43" t="s">
        <v>53</v>
      </c>
      <c r="P60" s="43" t="s">
        <v>53</v>
      </c>
      <c r="Q60" s="43" t="s">
        <v>53</v>
      </c>
      <c r="R60" s="39">
        <f>if(G60=13,1,0)+VLOOKUP(B60,'081724'!B:T,17,false)</f>
        <v>0</v>
      </c>
      <c r="S60" s="39"/>
      <c r="T60" s="39">
        <f>if(G60=9,1,0)+VLOOKUP(B60,'081724'!B:T,19,false)</f>
        <v>7</v>
      </c>
    </row>
    <row r="61">
      <c r="A61" s="30">
        <f t="shared" si="3"/>
        <v>57</v>
      </c>
      <c r="B61" s="51" t="s">
        <v>118</v>
      </c>
      <c r="C61" s="32">
        <v>66.0</v>
      </c>
      <c r="D61" s="32">
        <v>1.0</v>
      </c>
      <c r="E61" s="37">
        <v>1.0</v>
      </c>
      <c r="F61" s="39">
        <v>8.0</v>
      </c>
      <c r="G61" s="40">
        <v>0.0</v>
      </c>
      <c r="H61" s="39">
        <v>0.0</v>
      </c>
      <c r="I61" s="39">
        <v>6.0</v>
      </c>
      <c r="J61" s="39">
        <v>6.0</v>
      </c>
      <c r="K61" s="42">
        <v>12.0</v>
      </c>
      <c r="L61" s="39">
        <v>1.0</v>
      </c>
      <c r="M61" s="32">
        <f t="shared" ref="M61:N61" si="58">C61+K61</f>
        <v>78</v>
      </c>
      <c r="N61" s="32">
        <f t="shared" si="58"/>
        <v>2</v>
      </c>
      <c r="O61" s="43" t="s">
        <v>53</v>
      </c>
      <c r="P61" s="43" t="s">
        <v>53</v>
      </c>
      <c r="Q61" s="43" t="s">
        <v>53</v>
      </c>
      <c r="R61" s="39">
        <f>if(G61=13,1,0)+VLOOKUP(B61,'081724'!B:T,17,false)</f>
        <v>0</v>
      </c>
      <c r="S61" s="39"/>
      <c r="T61" s="39">
        <f>if(G61=9,1,0)+VLOOKUP(B61,'081724'!B:T,19,false)</f>
        <v>5</v>
      </c>
    </row>
    <row r="62">
      <c r="A62" s="30">
        <f t="shared" si="3"/>
        <v>58</v>
      </c>
      <c r="B62" s="51" t="s">
        <v>112</v>
      </c>
      <c r="C62" s="32">
        <v>64.0</v>
      </c>
      <c r="D62" s="32">
        <v>2.0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59">C62+K62</f>
        <v>73</v>
      </c>
      <c r="N62" s="32">
        <f t="shared" si="59"/>
        <v>2</v>
      </c>
      <c r="O62" s="43" t="s">
        <v>53</v>
      </c>
      <c r="P62" s="43" t="s">
        <v>53</v>
      </c>
      <c r="Q62" s="43" t="s">
        <v>53</v>
      </c>
      <c r="R62" s="39">
        <f>if(G62=13,1,0)+VLOOKUP(B62,'081724'!B:T,17,false)</f>
        <v>0</v>
      </c>
      <c r="S62" s="39"/>
      <c r="T62" s="39">
        <f>if(G62=9,1,0)+VLOOKUP(B62,'081724'!B:T,19,false)</f>
        <v>3</v>
      </c>
    </row>
    <row r="63">
      <c r="A63" s="30">
        <f t="shared" si="3"/>
        <v>59</v>
      </c>
      <c r="B63" s="31" t="s">
        <v>124</v>
      </c>
      <c r="C63" s="32">
        <v>64.0</v>
      </c>
      <c r="D63" s="32">
        <v>1.0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0">C63+K63</f>
        <v>73</v>
      </c>
      <c r="N63" s="32">
        <f t="shared" si="60"/>
        <v>1</v>
      </c>
      <c r="O63" s="43" t="s">
        <v>53</v>
      </c>
      <c r="P63" s="43" t="s">
        <v>53</v>
      </c>
      <c r="Q63" s="43" t="s">
        <v>53</v>
      </c>
      <c r="R63" s="39">
        <f>if(G63=13,1,0)+VLOOKUP(B63,'081724'!B:T,17,false)</f>
        <v>0</v>
      </c>
      <c r="S63" s="39"/>
      <c r="T63" s="39">
        <f>if(G63=9,1,0)+VLOOKUP(B63,'081724'!B:T,19,false)</f>
        <v>7</v>
      </c>
    </row>
    <row r="64">
      <c r="A64" s="30">
        <f t="shared" si="3"/>
        <v>60</v>
      </c>
      <c r="B64" s="31" t="s">
        <v>81</v>
      </c>
      <c r="C64" s="32">
        <v>63.0</v>
      </c>
      <c r="D64" s="32">
        <v>1.0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1">C64+K64</f>
        <v>72</v>
      </c>
      <c r="N64" s="32">
        <f t="shared" si="61"/>
        <v>1</v>
      </c>
      <c r="O64" s="43" t="s">
        <v>53</v>
      </c>
      <c r="P64" s="43" t="s">
        <v>53</v>
      </c>
      <c r="Q64" s="43" t="s">
        <v>53</v>
      </c>
      <c r="R64" s="39">
        <f>if(G64=13,1,0)+VLOOKUP(B64,'081724'!B:T,17,false)</f>
        <v>0</v>
      </c>
      <c r="S64" s="39"/>
      <c r="T64" s="39">
        <f>if(G64=9,1,0)+VLOOKUP(B64,'081724'!B:T,19,false)</f>
        <v>7</v>
      </c>
    </row>
    <row r="65">
      <c r="A65" s="30">
        <f t="shared" si="3"/>
        <v>61</v>
      </c>
      <c r="B65" s="31" t="s">
        <v>117</v>
      </c>
      <c r="C65" s="32">
        <v>63.0</v>
      </c>
      <c r="D65" s="32">
        <v>0.0</v>
      </c>
      <c r="E65" s="37">
        <v>5.0</v>
      </c>
      <c r="F65" s="39">
        <v>0.0</v>
      </c>
      <c r="G65" s="40">
        <v>13.0</v>
      </c>
      <c r="H65" s="39">
        <v>0.0</v>
      </c>
      <c r="I65" s="39">
        <v>0.0</v>
      </c>
      <c r="J65" s="39">
        <v>0.0</v>
      </c>
      <c r="K65" s="42">
        <v>13.0</v>
      </c>
      <c r="L65" s="39">
        <v>0.0</v>
      </c>
      <c r="M65" s="32">
        <f t="shared" ref="M65:N65" si="62">C65+K65</f>
        <v>76</v>
      </c>
      <c r="N65" s="32">
        <f t="shared" si="62"/>
        <v>0</v>
      </c>
      <c r="O65" s="43" t="s">
        <v>53</v>
      </c>
      <c r="P65" s="43" t="s">
        <v>53</v>
      </c>
      <c r="Q65" s="43" t="s">
        <v>53</v>
      </c>
      <c r="R65" s="39">
        <f>if(G65=13,1,0)+VLOOKUP(B65,'081724'!B:T,17,false)</f>
        <v>1</v>
      </c>
      <c r="S65" s="39"/>
      <c r="T65" s="39">
        <f>if(G65=9,1,0)+VLOOKUP(B65,'081724'!B:T,19,false)</f>
        <v>7</v>
      </c>
    </row>
    <row r="66">
      <c r="A66" s="30">
        <f t="shared" si="3"/>
        <v>62</v>
      </c>
      <c r="B66" s="31" t="s">
        <v>109</v>
      </c>
      <c r="C66" s="32">
        <v>63.0</v>
      </c>
      <c r="D66" s="32">
        <v>0.0</v>
      </c>
      <c r="E66" s="37">
        <v>5.0</v>
      </c>
      <c r="F66" s="39">
        <v>0.0</v>
      </c>
      <c r="G66" s="40">
        <v>13.0</v>
      </c>
      <c r="H66" s="39">
        <v>0.0</v>
      </c>
      <c r="I66" s="39">
        <v>0.0</v>
      </c>
      <c r="J66" s="39">
        <v>0.0</v>
      </c>
      <c r="K66" s="42">
        <v>13.0</v>
      </c>
      <c r="L66" s="39">
        <v>0.0</v>
      </c>
      <c r="M66" s="32">
        <f t="shared" ref="M66:N66" si="63">C66+K66</f>
        <v>76</v>
      </c>
      <c r="N66" s="32">
        <f t="shared" si="63"/>
        <v>0</v>
      </c>
      <c r="O66" s="43" t="s">
        <v>53</v>
      </c>
      <c r="P66" s="43" t="s">
        <v>53</v>
      </c>
      <c r="Q66" s="43" t="s">
        <v>53</v>
      </c>
      <c r="R66" s="39">
        <f>if(G66=13,1,0)+VLOOKUP(B66,'081724'!B:T,17,false)</f>
        <v>1</v>
      </c>
      <c r="S66" s="39"/>
      <c r="T66" s="39">
        <f>if(G66=9,1,0)+VLOOKUP(B66,'081724'!B:T,19,false)</f>
        <v>7</v>
      </c>
    </row>
    <row r="67">
      <c r="A67" s="30">
        <f t="shared" si="3"/>
        <v>63</v>
      </c>
      <c r="B67" s="31" t="s">
        <v>106</v>
      </c>
      <c r="C67" s="32">
        <v>63.0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4">C67+K67</f>
        <v>72</v>
      </c>
      <c r="N67" s="32">
        <f t="shared" si="64"/>
        <v>0</v>
      </c>
      <c r="O67" s="43" t="s">
        <v>53</v>
      </c>
      <c r="P67" s="43" t="s">
        <v>53</v>
      </c>
      <c r="Q67" s="43" t="s">
        <v>53</v>
      </c>
      <c r="R67" s="39">
        <f>if(G67=13,1,0)+VLOOKUP(B67,'081724'!B:T,17,false)</f>
        <v>0</v>
      </c>
      <c r="S67" s="39"/>
      <c r="T67" s="39">
        <f>if(G67=9,1,0)+VLOOKUP(B67,'081724'!B:T,19,false)</f>
        <v>8</v>
      </c>
    </row>
    <row r="68">
      <c r="A68" s="30">
        <f t="shared" si="3"/>
        <v>64</v>
      </c>
      <c r="B68" s="31" t="s">
        <v>123</v>
      </c>
      <c r="C68" s="32">
        <v>63.0</v>
      </c>
      <c r="D68" s="32">
        <v>0.0</v>
      </c>
      <c r="E68" s="37">
        <v>1.0</v>
      </c>
      <c r="F68" s="39">
        <v>8.0</v>
      </c>
      <c r="G68" s="40">
        <v>0.0</v>
      </c>
      <c r="H68" s="39">
        <v>6.0</v>
      </c>
      <c r="I68" s="39">
        <v>6.0</v>
      </c>
      <c r="J68" s="39">
        <v>6.0</v>
      </c>
      <c r="K68" s="42">
        <v>18.0</v>
      </c>
      <c r="L68" s="39">
        <v>3.0</v>
      </c>
      <c r="M68" s="32">
        <f t="shared" ref="M68:N68" si="65">C68+K68</f>
        <v>81</v>
      </c>
      <c r="N68" s="32">
        <f t="shared" si="65"/>
        <v>3</v>
      </c>
      <c r="O68" s="43" t="s">
        <v>53</v>
      </c>
      <c r="P68" s="43" t="s">
        <v>53</v>
      </c>
      <c r="Q68" s="43" t="s">
        <v>53</v>
      </c>
      <c r="R68" s="39">
        <f>if(G68=13,1,0)+VLOOKUP(B68,'081724'!B:T,17,false)</f>
        <v>0</v>
      </c>
      <c r="S68" s="39"/>
      <c r="T68" s="39">
        <f>if(G68=9,1,0)+VLOOKUP(B68,'081724'!B:T,19,false)</f>
        <v>7</v>
      </c>
    </row>
    <row r="69">
      <c r="A69" s="30">
        <f t="shared" si="3"/>
        <v>65</v>
      </c>
      <c r="B69" s="51" t="s">
        <v>74</v>
      </c>
      <c r="C69" s="32">
        <v>63.0</v>
      </c>
      <c r="D69" s="32">
        <v>0.0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6">C69+K69</f>
        <v>72</v>
      </c>
      <c r="N69" s="32">
        <f t="shared" si="66"/>
        <v>0</v>
      </c>
      <c r="O69" s="43" t="s">
        <v>53</v>
      </c>
      <c r="P69" s="43" t="s">
        <v>53</v>
      </c>
      <c r="Q69" s="43" t="s">
        <v>53</v>
      </c>
      <c r="R69" s="39">
        <f>if(G69=13,1,0)+VLOOKUP(B69,'081724'!B:T,17,false)</f>
        <v>0</v>
      </c>
      <c r="S69" s="39"/>
      <c r="T69" s="39">
        <f>if(G69=9,1,0)+VLOOKUP(B69,'081724'!B:T,19,false)</f>
        <v>8</v>
      </c>
    </row>
    <row r="70">
      <c r="A70" s="30">
        <f t="shared" si="3"/>
        <v>66</v>
      </c>
      <c r="B70" s="51" t="s">
        <v>80</v>
      </c>
      <c r="C70" s="32">
        <v>59.0</v>
      </c>
      <c r="D70" s="32">
        <v>3.0</v>
      </c>
      <c r="E70" s="37">
        <v>1.0</v>
      </c>
      <c r="F70" s="39">
        <v>8.0</v>
      </c>
      <c r="G70" s="40">
        <v>0.0</v>
      </c>
      <c r="H70" s="39">
        <v>0.0</v>
      </c>
      <c r="I70" s="39">
        <v>2.0</v>
      </c>
      <c r="J70" s="39">
        <v>6.0</v>
      </c>
      <c r="K70" s="42">
        <v>8.0</v>
      </c>
      <c r="L70" s="39">
        <v>1.0</v>
      </c>
      <c r="M70" s="32">
        <f t="shared" ref="M70:N70" si="67">C70+K70</f>
        <v>67</v>
      </c>
      <c r="N70" s="32">
        <f t="shared" si="67"/>
        <v>4</v>
      </c>
      <c r="O70" s="43" t="s">
        <v>53</v>
      </c>
      <c r="P70" s="43" t="s">
        <v>53</v>
      </c>
      <c r="Q70" s="43" t="s">
        <v>53</v>
      </c>
      <c r="R70" s="39">
        <f>if(G70=13,1,0)+VLOOKUP(B70,'081724'!B:T,17,false)</f>
        <v>0</v>
      </c>
      <c r="S70" s="39"/>
      <c r="T70" s="39">
        <f>if(G70=9,1,0)+VLOOKUP(B70,'081724'!B:T,19,false)</f>
        <v>3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8">COUNTA(P5:P70)</f>
        <v>65</v>
      </c>
      <c r="Q73" s="8">
        <f t="shared" si="68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69">P75-P73</f>
        <v>1</v>
      </c>
      <c r="Q74" s="8">
        <f t="shared" si="69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desc"",0)"),"Christopher Li")</f>
        <v>Christopher Li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IFERROR(__xludf.DUMMYFUNCTION("""COMPUTED_VALUE"""),"Frank Moon")</f>
        <v>Frank Moon</v>
      </c>
      <c r="C81" s="71">
        <f>IFERROR(__xludf.DUMMYFUNCTION("""COMPUTED_VALUE"""),18.0)</f>
        <v>18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IFERROR(__xludf.DUMMYFUNCTION("""COMPUTED_VALUE"""),"James Phan")</f>
        <v>James Phan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IFERROR(__xludf.DUMMYFUNCTION("""COMPUTED_VALUE"""),"Pavan Akkimsetty")</f>
        <v>Pavan Akkimsetty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</row>
    <row r="84">
      <c r="A84" s="11"/>
      <c r="B84" s="51" t="str">
        <f>IFERROR(__xludf.DUMMYFUNCTION("""COMPUTED_VALUE"""),"Manish Anand")</f>
        <v>Manish Anand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K84" s="10"/>
    </row>
    <row r="85">
      <c r="A85" s="11"/>
      <c r="B85" s="51" t="str">
        <f>IFERROR(__xludf.DUMMYFUNCTION("""COMPUTED_VALUE"""),"Robert Chang")</f>
        <v>Robert Chang</v>
      </c>
      <c r="C85" s="71">
        <f>IFERROR(__xludf.DUMMYFUNCTION("""COMPUTED_VALUE"""),18.0)</f>
        <v>18</v>
      </c>
      <c r="D85" s="71">
        <f>IFERROR(__xludf.DUMMYFUNCTION("""COMPUTED_VALUE"""),2.0)</f>
        <v>2</v>
      </c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 t="s">
        <v>165</v>
      </c>
      <c r="C91" s="11"/>
      <c r="D91" s="11"/>
      <c r="E91" s="11"/>
    </row>
    <row r="92">
      <c r="A92" s="11"/>
      <c r="B92" s="27" t="s">
        <v>31</v>
      </c>
      <c r="C92" s="29" t="s">
        <v>2</v>
      </c>
      <c r="D92" s="29" t="s">
        <v>4</v>
      </c>
      <c r="E92" s="29" t="s">
        <v>33</v>
      </c>
      <c r="F92" s="29" t="s">
        <v>35</v>
      </c>
      <c r="G92" s="29" t="s">
        <v>36</v>
      </c>
      <c r="H92" s="29" t="s">
        <v>6</v>
      </c>
      <c r="I92" s="29" t="s">
        <v>7</v>
      </c>
      <c r="J92" s="29" t="s">
        <v>8</v>
      </c>
      <c r="K92" s="29" t="s">
        <v>2</v>
      </c>
      <c r="L92" s="29" t="s">
        <v>4</v>
      </c>
      <c r="M92" s="28" t="s">
        <v>2</v>
      </c>
      <c r="N92" s="28" t="s">
        <v>4</v>
      </c>
    </row>
    <row r="93">
      <c r="A93" s="11"/>
      <c r="B93" s="82" t="str">
        <f>IFERROR(__xludf.DUMMYFUNCTION("QUERY(B5:N70, ""Select B, C, D, E, F, G, H, I, J, K, L, M, N   where F &gt;= 1"")"),"Adrian Tay")</f>
        <v>Adrian Tay</v>
      </c>
      <c r="C93" s="87">
        <f>IFERROR(__xludf.DUMMYFUNCTION("""COMPUTED_VALUE"""),111.0)</f>
        <v>111</v>
      </c>
      <c r="D93" s="87">
        <f>IFERROR(__xludf.DUMMYFUNCTION("""COMPUTED_VALUE"""),14.0)</f>
        <v>14</v>
      </c>
      <c r="E93" s="86">
        <f>IFERROR(__xludf.DUMMYFUNCTION("""COMPUTED_VALUE"""),1.0)</f>
        <v>1</v>
      </c>
      <c r="F93" s="88">
        <f>IFERROR(__xludf.DUMMYFUNCTION("""COMPUTED_VALUE"""),1.0)</f>
        <v>1</v>
      </c>
      <c r="G93" s="88">
        <f>IFERROR(__xludf.DUMMYFUNCTION("""COMPUTED_VALUE"""),0.0)</f>
        <v>0</v>
      </c>
      <c r="H93" s="88">
        <f>IFERROR(__xludf.DUMMYFUNCTION("""COMPUTED_VALUE"""),6.0)</f>
        <v>6</v>
      </c>
      <c r="I93" s="88">
        <f>IFERROR(__xludf.DUMMYFUNCTION("""COMPUTED_VALUE"""),6.0)</f>
        <v>6</v>
      </c>
      <c r="J93" s="88">
        <f>IFERROR(__xludf.DUMMYFUNCTION("""COMPUTED_VALUE"""),5.0)</f>
        <v>5</v>
      </c>
      <c r="K93" s="88">
        <f>IFERROR(__xludf.DUMMYFUNCTION("""COMPUTED_VALUE"""),17.0)</f>
        <v>17</v>
      </c>
      <c r="L93" s="88">
        <f>IFERROR(__xludf.DUMMYFUNCTION("""COMPUTED_VALUE"""),2.0)</f>
        <v>2</v>
      </c>
      <c r="M93" s="89">
        <f>IFERROR(__xludf.DUMMYFUNCTION("""COMPUTED_VALUE"""),128.0)</f>
        <v>128</v>
      </c>
      <c r="N93" s="89">
        <f>IFERROR(__xludf.DUMMYFUNCTION("""COMPUTED_VALUE"""),16.0)</f>
        <v>16</v>
      </c>
    </row>
    <row r="94">
      <c r="A94" s="11"/>
      <c r="B94" s="82" t="str">
        <f>IFERROR(__xludf.DUMMYFUNCTION("""COMPUTED_VALUE"""),"Tom Le")</f>
        <v>Tom Le</v>
      </c>
      <c r="C94" s="87">
        <f>IFERROR(__xludf.DUMMYFUNCTION("""COMPUTED_VALUE"""),101.0)</f>
        <v>101</v>
      </c>
      <c r="D94" s="87">
        <f>IFERROR(__xludf.DUMMYFUNCTION("""COMPUTED_VALUE"""),12.0)</f>
        <v>12</v>
      </c>
      <c r="E94" s="86">
        <f>IFERROR(__xludf.DUMMYFUNCTION("""COMPUTED_VALUE"""),1.0)</f>
        <v>1</v>
      </c>
      <c r="F94" s="88">
        <f>IFERROR(__xludf.DUMMYFUNCTION("""COMPUTED_VALUE"""),1.0)</f>
        <v>1</v>
      </c>
      <c r="G94" s="88">
        <f>IFERROR(__xludf.DUMMYFUNCTION("""COMPUTED_VALUE"""),0.0)</f>
        <v>0</v>
      </c>
      <c r="H94" s="88">
        <f>IFERROR(__xludf.DUMMYFUNCTION("""COMPUTED_VALUE"""),6.0)</f>
        <v>6</v>
      </c>
      <c r="I94" s="88">
        <f>IFERROR(__xludf.DUMMYFUNCTION("""COMPUTED_VALUE"""),2.0)</f>
        <v>2</v>
      </c>
      <c r="J94" s="88">
        <f>IFERROR(__xludf.DUMMYFUNCTION("""COMPUTED_VALUE"""),7.0)</f>
        <v>7</v>
      </c>
      <c r="K94" s="88">
        <f>IFERROR(__xludf.DUMMYFUNCTION("""COMPUTED_VALUE"""),15.0)</f>
        <v>15</v>
      </c>
      <c r="L94" s="88">
        <f>IFERROR(__xludf.DUMMYFUNCTION("""COMPUTED_VALUE"""),2.0)</f>
        <v>2</v>
      </c>
      <c r="M94" s="89">
        <f>IFERROR(__xludf.DUMMYFUNCTION("""COMPUTED_VALUE"""),116.0)</f>
        <v>116</v>
      </c>
      <c r="N94" s="89">
        <f>IFERROR(__xludf.DUMMYFUNCTION("""COMPUTED_VALUE"""),14.0)</f>
        <v>14</v>
      </c>
    </row>
    <row r="95">
      <c r="A95" s="11"/>
      <c r="B95" s="82" t="str">
        <f>IFERROR(__xludf.DUMMYFUNCTION("""COMPUTED_VALUE"""),"Ted Shen")</f>
        <v>Ted Shen</v>
      </c>
      <c r="C95" s="87">
        <f>IFERROR(__xludf.DUMMYFUNCTION("""COMPUTED_VALUE"""),100.0)</f>
        <v>100</v>
      </c>
      <c r="D95" s="87">
        <f>IFERROR(__xludf.DUMMYFUNCTION("""COMPUTED_VALUE"""),10.0)</f>
        <v>10</v>
      </c>
      <c r="E95" s="86">
        <f>IFERROR(__xludf.DUMMYFUNCTION("""COMPUTED_VALUE"""),1.0)</f>
        <v>1</v>
      </c>
      <c r="F95" s="88">
        <f>IFERROR(__xludf.DUMMYFUNCTION("""COMPUTED_VALUE"""),1.0)</f>
        <v>1</v>
      </c>
      <c r="G95" s="88">
        <f>IFERROR(__xludf.DUMMYFUNCTION("""COMPUTED_VALUE"""),0.0)</f>
        <v>0</v>
      </c>
      <c r="H95" s="88">
        <f>IFERROR(__xludf.DUMMYFUNCTION("""COMPUTED_VALUE"""),2.0)</f>
        <v>2</v>
      </c>
      <c r="I95" s="88">
        <f>IFERROR(__xludf.DUMMYFUNCTION("""COMPUTED_VALUE"""),2.0)</f>
        <v>2</v>
      </c>
      <c r="J95" s="88">
        <f>IFERROR(__xludf.DUMMYFUNCTION("""COMPUTED_VALUE"""),5.0)</f>
        <v>5</v>
      </c>
      <c r="K95" s="88">
        <f>IFERROR(__xludf.DUMMYFUNCTION("""COMPUTED_VALUE"""),9.0)</f>
        <v>9</v>
      </c>
      <c r="L95" s="88">
        <f>IFERROR(__xludf.DUMMYFUNCTION("""COMPUTED_VALUE"""),0.0)</f>
        <v>0</v>
      </c>
      <c r="M95" s="89">
        <f>IFERROR(__xludf.DUMMYFUNCTION("""COMPUTED_VALUE"""),109.0)</f>
        <v>109</v>
      </c>
      <c r="N95" s="89">
        <f>IFERROR(__xludf.DUMMYFUNCTION("""COMPUTED_VALUE"""),10.0)</f>
        <v>10</v>
      </c>
    </row>
    <row r="96">
      <c r="A96" s="11"/>
      <c r="B96" s="82" t="str">
        <f>IFERROR(__xludf.DUMMYFUNCTION("""COMPUTED_VALUE"""),"Arun Mallikarjuna")</f>
        <v>Arun Mallikarjuna</v>
      </c>
      <c r="C96" s="87">
        <f>IFERROR(__xludf.DUMMYFUNCTION("""COMPUTED_VALUE"""),100.0)</f>
        <v>100</v>
      </c>
      <c r="D96" s="87">
        <f>IFERROR(__xludf.DUMMYFUNCTION("""COMPUTED_VALUE"""),10.0)</f>
        <v>10</v>
      </c>
      <c r="E96" s="86">
        <f>IFERROR(__xludf.DUMMYFUNCTION("""COMPUTED_VALUE"""),1.0)</f>
        <v>1</v>
      </c>
      <c r="F96" s="88">
        <f>IFERROR(__xludf.DUMMYFUNCTION("""COMPUTED_VALUE"""),1.0)</f>
        <v>1</v>
      </c>
      <c r="G96" s="88">
        <f>IFERROR(__xludf.DUMMYFUNCTION("""COMPUTED_VALUE"""),0.0)</f>
        <v>0</v>
      </c>
      <c r="H96" s="88">
        <f>IFERROR(__xludf.DUMMYFUNCTION("""COMPUTED_VALUE"""),2.0)</f>
        <v>2</v>
      </c>
      <c r="I96" s="88">
        <f>IFERROR(__xludf.DUMMYFUNCTION("""COMPUTED_VALUE"""),6.0)</f>
        <v>6</v>
      </c>
      <c r="J96" s="88">
        <f>IFERROR(__xludf.DUMMYFUNCTION("""COMPUTED_VALUE"""),7.0)</f>
        <v>7</v>
      </c>
      <c r="K96" s="88">
        <f>IFERROR(__xludf.DUMMYFUNCTION("""COMPUTED_VALUE"""),15.0)</f>
        <v>15</v>
      </c>
      <c r="L96" s="88">
        <f>IFERROR(__xludf.DUMMYFUNCTION("""COMPUTED_VALUE"""),2.0)</f>
        <v>2</v>
      </c>
      <c r="M96" s="89">
        <f>IFERROR(__xludf.DUMMYFUNCTION("""COMPUTED_VALUE"""),115.0)</f>
        <v>115</v>
      </c>
      <c r="N96" s="89">
        <f>IFERROR(__xludf.DUMMYFUNCTION("""COMPUTED_VALUE"""),12.0)</f>
        <v>12</v>
      </c>
    </row>
    <row r="97">
      <c r="A97" s="11"/>
      <c r="B97" s="84" t="str">
        <f>IFERROR(__xludf.DUMMYFUNCTION("""COMPUTED_VALUE"""),"Rajasekar Ramasamy")</f>
        <v>Rajasekar Ramasamy</v>
      </c>
      <c r="C97" s="95">
        <f>IFERROR(__xludf.DUMMYFUNCTION("""COMPUTED_VALUE"""),98.0)</f>
        <v>98</v>
      </c>
      <c r="D97" s="95">
        <f>IFERROR(__xludf.DUMMYFUNCTION("""COMPUTED_VALUE"""),10.0)</f>
        <v>10</v>
      </c>
      <c r="E97" s="96">
        <f>IFERROR(__xludf.DUMMYFUNCTION("""COMPUTED_VALUE"""),1.0)</f>
        <v>1</v>
      </c>
      <c r="F97" s="97">
        <f>IFERROR(__xludf.DUMMYFUNCTION("""COMPUTED_VALUE"""),2.0)</f>
        <v>2</v>
      </c>
      <c r="G97" s="97">
        <f>IFERROR(__xludf.DUMMYFUNCTION("""COMPUTED_VALUE"""),0.0)</f>
        <v>0</v>
      </c>
      <c r="H97" s="97">
        <f>IFERROR(__xludf.DUMMYFUNCTION("""COMPUTED_VALUE"""),6.0)</f>
        <v>6</v>
      </c>
      <c r="I97" s="97">
        <f>IFERROR(__xludf.DUMMYFUNCTION("""COMPUTED_VALUE"""),1.0)</f>
        <v>1</v>
      </c>
      <c r="J97" s="97">
        <f>IFERROR(__xludf.DUMMYFUNCTION("""COMPUTED_VALUE"""),6.0)</f>
        <v>6</v>
      </c>
      <c r="K97" s="97">
        <f>IFERROR(__xludf.DUMMYFUNCTION("""COMPUTED_VALUE"""),13.0)</f>
        <v>13</v>
      </c>
      <c r="L97" s="97">
        <f>IFERROR(__xludf.DUMMYFUNCTION("""COMPUTED_VALUE"""),1.0)</f>
        <v>1</v>
      </c>
      <c r="M97" s="98">
        <f>IFERROR(__xludf.DUMMYFUNCTION("""COMPUTED_VALUE"""),111.0)</f>
        <v>111</v>
      </c>
      <c r="N97" s="98">
        <f>IFERROR(__xludf.DUMMYFUNCTION("""COMPUTED_VALUE"""),11.0)</f>
        <v>11</v>
      </c>
    </row>
    <row r="98">
      <c r="A98" s="11"/>
      <c r="B98" s="84" t="str">
        <f>IFERROR(__xludf.DUMMYFUNCTION("""COMPUTED_VALUE"""),"Suleman Alidina")</f>
        <v>Suleman Alidina</v>
      </c>
      <c r="C98" s="95">
        <f>IFERROR(__xludf.DUMMYFUNCTION("""COMPUTED_VALUE"""),94.0)</f>
        <v>94</v>
      </c>
      <c r="D98" s="95">
        <f>IFERROR(__xludf.DUMMYFUNCTION("""COMPUTED_VALUE"""),11.0)</f>
        <v>11</v>
      </c>
      <c r="E98" s="96">
        <f>IFERROR(__xludf.DUMMYFUNCTION("""COMPUTED_VALUE"""),1.0)</f>
        <v>1</v>
      </c>
      <c r="F98" s="97">
        <f>IFERROR(__xludf.DUMMYFUNCTION("""COMPUTED_VALUE"""),2.0)</f>
        <v>2</v>
      </c>
      <c r="G98" s="97">
        <f>IFERROR(__xludf.DUMMYFUNCTION("""COMPUTED_VALUE"""),0.0)</f>
        <v>0</v>
      </c>
      <c r="H98" s="97">
        <f>IFERROR(__xludf.DUMMYFUNCTION("""COMPUTED_VALUE"""),3.0)</f>
        <v>3</v>
      </c>
      <c r="I98" s="97">
        <f>IFERROR(__xludf.DUMMYFUNCTION("""COMPUTED_VALUE"""),6.0)</f>
        <v>6</v>
      </c>
      <c r="J98" s="97">
        <f>IFERROR(__xludf.DUMMYFUNCTION("""COMPUTED_VALUE"""),6.0)</f>
        <v>6</v>
      </c>
      <c r="K98" s="97">
        <f>IFERROR(__xludf.DUMMYFUNCTION("""COMPUTED_VALUE"""),15.0)</f>
        <v>15</v>
      </c>
      <c r="L98" s="97">
        <f>IFERROR(__xludf.DUMMYFUNCTION("""COMPUTED_VALUE"""),1.0)</f>
        <v>1</v>
      </c>
      <c r="M98" s="98">
        <f>IFERROR(__xludf.DUMMYFUNCTION("""COMPUTED_VALUE"""),109.0)</f>
        <v>109</v>
      </c>
      <c r="N98" s="98">
        <f>IFERROR(__xludf.DUMMYFUNCTION("""COMPUTED_VALUE"""),12.0)</f>
        <v>12</v>
      </c>
    </row>
    <row r="99">
      <c r="A99" s="11"/>
      <c r="B99" s="84" t="str">
        <f>IFERROR(__xludf.DUMMYFUNCTION("""COMPUTED_VALUE"""),"Christopher Li")</f>
        <v>Christopher Li</v>
      </c>
      <c r="C99" s="95">
        <f>IFERROR(__xludf.DUMMYFUNCTION("""COMPUTED_VALUE"""),93.0)</f>
        <v>93</v>
      </c>
      <c r="D99" s="95">
        <f>IFERROR(__xludf.DUMMYFUNCTION("""COMPUTED_VALUE"""),9.0)</f>
        <v>9</v>
      </c>
      <c r="E99" s="96">
        <f>IFERROR(__xludf.DUMMYFUNCTION("""COMPUTED_VALUE"""),1.0)</f>
        <v>1</v>
      </c>
      <c r="F99" s="97">
        <f>IFERROR(__xludf.DUMMYFUNCTION("""COMPUTED_VALUE"""),2.0)</f>
        <v>2</v>
      </c>
      <c r="G99" s="97">
        <f>IFERROR(__xludf.DUMMYFUNCTION("""COMPUTED_VALUE"""),0.0)</f>
        <v>0</v>
      </c>
      <c r="H99" s="97">
        <f>IFERROR(__xludf.DUMMYFUNCTION("""COMPUTED_VALUE"""),6.0)</f>
        <v>6</v>
      </c>
      <c r="I99" s="97">
        <f>IFERROR(__xludf.DUMMYFUNCTION("""COMPUTED_VALUE"""),6.0)</f>
        <v>6</v>
      </c>
      <c r="J99" s="97">
        <f>IFERROR(__xludf.DUMMYFUNCTION("""COMPUTED_VALUE"""),7.0)</f>
        <v>7</v>
      </c>
      <c r="K99" s="97">
        <f>IFERROR(__xludf.DUMMYFUNCTION("""COMPUTED_VALUE"""),19.0)</f>
        <v>19</v>
      </c>
      <c r="L99" s="97">
        <f>IFERROR(__xludf.DUMMYFUNCTION("""COMPUTED_VALUE"""),3.0)</f>
        <v>3</v>
      </c>
      <c r="M99" s="98">
        <f>IFERROR(__xludf.DUMMYFUNCTION("""COMPUTED_VALUE"""),112.0)</f>
        <v>112</v>
      </c>
      <c r="N99" s="98">
        <f>IFERROR(__xludf.DUMMYFUNCTION("""COMPUTED_VALUE"""),12.0)</f>
        <v>12</v>
      </c>
    </row>
    <row r="100">
      <c r="A100" s="11"/>
      <c r="B100" s="84" t="str">
        <f>IFERROR(__xludf.DUMMYFUNCTION("""COMPUTED_VALUE"""),"Scott Li")</f>
        <v>Scott Li</v>
      </c>
      <c r="C100" s="95">
        <f>IFERROR(__xludf.DUMMYFUNCTION("""COMPUTED_VALUE"""),90.0)</f>
        <v>90</v>
      </c>
      <c r="D100" s="95">
        <f>IFERROR(__xludf.DUMMYFUNCTION("""COMPUTED_VALUE"""),9.0)</f>
        <v>9</v>
      </c>
      <c r="E100" s="96">
        <f>IFERROR(__xludf.DUMMYFUNCTION("""COMPUTED_VALUE"""),1.0)</f>
        <v>1</v>
      </c>
      <c r="F100" s="97">
        <f>IFERROR(__xludf.DUMMYFUNCTION("""COMPUTED_VALUE"""),2.0)</f>
        <v>2</v>
      </c>
      <c r="G100" s="97">
        <f>IFERROR(__xludf.DUMMYFUNCTION("""COMPUTED_VALUE"""),0.0)</f>
        <v>0</v>
      </c>
      <c r="H100" s="97">
        <f>IFERROR(__xludf.DUMMYFUNCTION("""COMPUTED_VALUE"""),3.0)</f>
        <v>3</v>
      </c>
      <c r="I100" s="97">
        <f>IFERROR(__xludf.DUMMYFUNCTION("""COMPUTED_VALUE"""),1.0)</f>
        <v>1</v>
      </c>
      <c r="J100" s="97">
        <f>IFERROR(__xludf.DUMMYFUNCTION("""COMPUTED_VALUE"""),7.0)</f>
        <v>7</v>
      </c>
      <c r="K100" s="97">
        <f>IFERROR(__xludf.DUMMYFUNCTION("""COMPUTED_VALUE"""),11.0)</f>
        <v>11</v>
      </c>
      <c r="L100" s="97">
        <f>IFERROR(__xludf.DUMMYFUNCTION("""COMPUTED_VALUE"""),1.0)</f>
        <v>1</v>
      </c>
      <c r="M100" s="98">
        <f>IFERROR(__xludf.DUMMYFUNCTION("""COMPUTED_VALUE"""),101.0)</f>
        <v>101</v>
      </c>
      <c r="N100" s="98">
        <f>IFERROR(__xludf.DUMMYFUNCTION("""COMPUTED_VALUE"""),10.0)</f>
        <v>10</v>
      </c>
    </row>
    <row r="101">
      <c r="A101" s="11"/>
      <c r="B101" s="84" t="str">
        <f>IFERROR(__xludf.DUMMYFUNCTION("""COMPUTED_VALUE"""),"Oscar Bonilla")</f>
        <v>Oscar Bonilla</v>
      </c>
      <c r="C101" s="87">
        <f>IFERROR(__xludf.DUMMYFUNCTION("""COMPUTED_VALUE"""),90.0)</f>
        <v>90</v>
      </c>
      <c r="D101" s="87">
        <f>IFERROR(__xludf.DUMMYFUNCTION("""COMPUTED_VALUE"""),6.0)</f>
        <v>6</v>
      </c>
      <c r="E101" s="86">
        <f>IFERROR(__xludf.DUMMYFUNCTION("""COMPUTED_VALUE"""),1.0)</f>
        <v>1</v>
      </c>
      <c r="F101" s="88">
        <f>IFERROR(__xludf.DUMMYFUNCTION("""COMPUTED_VALUE"""),3.0)</f>
        <v>3</v>
      </c>
      <c r="G101" s="88">
        <f>IFERROR(__xludf.DUMMYFUNCTION("""COMPUTED_VALUE"""),0.0)</f>
        <v>0</v>
      </c>
      <c r="H101" s="88">
        <f>IFERROR(__xludf.DUMMYFUNCTION("""COMPUTED_VALUE"""),6.0)</f>
        <v>6</v>
      </c>
      <c r="I101" s="88">
        <f>IFERROR(__xludf.DUMMYFUNCTION("""COMPUTED_VALUE"""),4.0)</f>
        <v>4</v>
      </c>
      <c r="J101" s="88">
        <f>IFERROR(__xludf.DUMMYFUNCTION("""COMPUTED_VALUE"""),3.0)</f>
        <v>3</v>
      </c>
      <c r="K101" s="88">
        <f>IFERROR(__xludf.DUMMYFUNCTION("""COMPUTED_VALUE"""),13.0)</f>
        <v>13</v>
      </c>
      <c r="L101" s="88">
        <f>IFERROR(__xludf.DUMMYFUNCTION("""COMPUTED_VALUE"""),1.0)</f>
        <v>1</v>
      </c>
      <c r="M101" s="89">
        <f>IFERROR(__xludf.DUMMYFUNCTION("""COMPUTED_VALUE"""),103.0)</f>
        <v>103</v>
      </c>
      <c r="N101" s="89">
        <f>IFERROR(__xludf.DUMMYFUNCTION("""COMPUTED_VALUE"""),7.0)</f>
        <v>7</v>
      </c>
    </row>
    <row r="102">
      <c r="A102" s="11"/>
      <c r="B102" s="84" t="str">
        <f>IFERROR(__xludf.DUMMYFUNCTION("""COMPUTED_VALUE"""),"Frank Moon")</f>
        <v>Frank Moon</v>
      </c>
      <c r="C102" s="87">
        <f>IFERROR(__xludf.DUMMYFUNCTION("""COMPUTED_VALUE"""),88.0)</f>
        <v>88</v>
      </c>
      <c r="D102" s="87">
        <f>IFERROR(__xludf.DUMMYFUNCTION("""COMPUTED_VALUE"""),8.0)</f>
        <v>8</v>
      </c>
      <c r="E102" s="86">
        <f>IFERROR(__xludf.DUMMYFUNCTION("""COMPUTED_VALUE"""),1.0)</f>
        <v>1</v>
      </c>
      <c r="F102" s="88">
        <f>IFERROR(__xludf.DUMMYFUNCTION("""COMPUTED_VALUE"""),3.0)</f>
        <v>3</v>
      </c>
      <c r="G102" s="88">
        <f>IFERROR(__xludf.DUMMYFUNCTION("""COMPUTED_VALUE"""),0.0)</f>
        <v>0</v>
      </c>
      <c r="H102" s="88">
        <f>IFERROR(__xludf.DUMMYFUNCTION("""COMPUTED_VALUE"""),6.0)</f>
        <v>6</v>
      </c>
      <c r="I102" s="88">
        <f>IFERROR(__xludf.DUMMYFUNCTION("""COMPUTED_VALUE"""),6.0)</f>
        <v>6</v>
      </c>
      <c r="J102" s="88">
        <f>IFERROR(__xludf.DUMMYFUNCTION("""COMPUTED_VALUE"""),6.0)</f>
        <v>6</v>
      </c>
      <c r="K102" s="88">
        <f>IFERROR(__xludf.DUMMYFUNCTION("""COMPUTED_VALUE"""),18.0)</f>
        <v>18</v>
      </c>
      <c r="L102" s="88">
        <f>IFERROR(__xludf.DUMMYFUNCTION("""COMPUTED_VALUE"""),3.0)</f>
        <v>3</v>
      </c>
      <c r="M102" s="89">
        <f>IFERROR(__xludf.DUMMYFUNCTION("""COMPUTED_VALUE"""),106.0)</f>
        <v>106</v>
      </c>
      <c r="N102" s="89">
        <f>IFERROR(__xludf.DUMMYFUNCTION("""COMPUTED_VALUE"""),11.0)</f>
        <v>11</v>
      </c>
    </row>
    <row r="103">
      <c r="A103" s="11"/>
      <c r="B103" s="82" t="str">
        <f>IFERROR(__xludf.DUMMYFUNCTION("""COMPUTED_VALUE"""),"Joe Luzzi")</f>
        <v>Joe Luzzi</v>
      </c>
      <c r="C103" s="87">
        <f>IFERROR(__xludf.DUMMYFUNCTION("""COMPUTED_VALUE"""),88.0)</f>
        <v>88</v>
      </c>
      <c r="D103" s="87">
        <f>IFERROR(__xludf.DUMMYFUNCTION("""COMPUTED_VALUE"""),7.0)</f>
        <v>7</v>
      </c>
      <c r="E103" s="86">
        <f>IFERROR(__xludf.DUMMYFUNCTION("""COMPUTED_VALUE"""),2.0)</f>
        <v>2</v>
      </c>
      <c r="F103" s="88">
        <f>IFERROR(__xludf.DUMMYFUNCTION("""COMPUTED_VALUE"""),3.0)</f>
        <v>3</v>
      </c>
      <c r="G103" s="88">
        <f>IFERROR(__xludf.DUMMYFUNCTION("""COMPUTED_VALUE"""),0.0)</f>
        <v>0</v>
      </c>
      <c r="H103" s="88">
        <f>IFERROR(__xludf.DUMMYFUNCTION("""COMPUTED_VALUE"""),3.0)</f>
        <v>3</v>
      </c>
      <c r="I103" s="88">
        <f>IFERROR(__xludf.DUMMYFUNCTION("""COMPUTED_VALUE"""),6.0)</f>
        <v>6</v>
      </c>
      <c r="J103" s="88">
        <f>IFERROR(__xludf.DUMMYFUNCTION("""COMPUTED_VALUE"""),3.0)</f>
        <v>3</v>
      </c>
      <c r="K103" s="88">
        <f>IFERROR(__xludf.DUMMYFUNCTION("""COMPUTED_VALUE"""),12.0)</f>
        <v>12</v>
      </c>
      <c r="L103" s="88">
        <f>IFERROR(__xludf.DUMMYFUNCTION("""COMPUTED_VALUE"""),1.0)</f>
        <v>1</v>
      </c>
      <c r="M103" s="89">
        <f>IFERROR(__xludf.DUMMYFUNCTION("""COMPUTED_VALUE"""),100.0)</f>
        <v>100</v>
      </c>
      <c r="N103" s="89">
        <f>IFERROR(__xludf.DUMMYFUNCTION("""COMPUTED_VALUE"""),8.0)</f>
        <v>8</v>
      </c>
    </row>
    <row r="104">
      <c r="A104" s="11"/>
      <c r="B104" s="82" t="str">
        <f>IFERROR(__xludf.DUMMYFUNCTION("""COMPUTED_VALUE"""),"Troy Wong")</f>
        <v>Troy Wong</v>
      </c>
      <c r="C104" s="87">
        <f>IFERROR(__xludf.DUMMYFUNCTION("""COMPUTED_VALUE"""),88.0)</f>
        <v>88</v>
      </c>
      <c r="D104" s="87">
        <f>IFERROR(__xludf.DUMMYFUNCTION("""COMPUTED_VALUE"""),6.0)</f>
        <v>6</v>
      </c>
      <c r="E104" s="86">
        <f>IFERROR(__xludf.DUMMYFUNCTION("""COMPUTED_VALUE"""),1.0)</f>
        <v>1</v>
      </c>
      <c r="F104" s="88">
        <f>IFERROR(__xludf.DUMMYFUNCTION("""COMPUTED_VALUE"""),3.0)</f>
        <v>3</v>
      </c>
      <c r="G104" s="88">
        <f>IFERROR(__xludf.DUMMYFUNCTION("""COMPUTED_VALUE"""),0.0)</f>
        <v>0</v>
      </c>
      <c r="H104" s="88">
        <f>IFERROR(__xludf.DUMMYFUNCTION("""COMPUTED_VALUE"""),3.0)</f>
        <v>3</v>
      </c>
      <c r="I104" s="88">
        <f>IFERROR(__xludf.DUMMYFUNCTION("""COMPUTED_VALUE"""),4.0)</f>
        <v>4</v>
      </c>
      <c r="J104" s="88">
        <f>IFERROR(__xludf.DUMMYFUNCTION("""COMPUTED_VALUE"""),6.0)</f>
        <v>6</v>
      </c>
      <c r="K104" s="88">
        <f>IFERROR(__xludf.DUMMYFUNCTION("""COMPUTED_VALUE"""),13.0)</f>
        <v>13</v>
      </c>
      <c r="L104" s="88">
        <f>IFERROR(__xludf.DUMMYFUNCTION("""COMPUTED_VALUE"""),1.0)</f>
        <v>1</v>
      </c>
      <c r="M104" s="89">
        <f>IFERROR(__xludf.DUMMYFUNCTION("""COMPUTED_VALUE"""),101.0)</f>
        <v>101</v>
      </c>
      <c r="N104" s="89">
        <f>IFERROR(__xludf.DUMMYFUNCTION("""COMPUTED_VALUE"""),7.0)</f>
        <v>7</v>
      </c>
    </row>
    <row r="105">
      <c r="A105" s="11"/>
      <c r="B105" s="84" t="str">
        <f>IFERROR(__xludf.DUMMYFUNCTION("""COMPUTED_VALUE"""),"Wayne Liu")</f>
        <v>Wayne Liu</v>
      </c>
      <c r="C105" s="95">
        <f>IFERROR(__xludf.DUMMYFUNCTION("""COMPUTED_VALUE"""),86.0)</f>
        <v>86</v>
      </c>
      <c r="D105" s="95">
        <f>IFERROR(__xludf.DUMMYFUNCTION("""COMPUTED_VALUE"""),8.0)</f>
        <v>8</v>
      </c>
      <c r="E105" s="96">
        <f>IFERROR(__xludf.DUMMYFUNCTION("""COMPUTED_VALUE"""),1.0)</f>
        <v>1</v>
      </c>
      <c r="F105" s="97">
        <f>IFERROR(__xludf.DUMMYFUNCTION("""COMPUTED_VALUE"""),4.0)</f>
        <v>4</v>
      </c>
      <c r="G105" s="97">
        <f>IFERROR(__xludf.DUMMYFUNCTION("""COMPUTED_VALUE"""),0.0)</f>
        <v>0</v>
      </c>
      <c r="H105" s="97">
        <f>IFERROR(__xludf.DUMMYFUNCTION("""COMPUTED_VALUE"""),6.0)</f>
        <v>6</v>
      </c>
      <c r="I105" s="97">
        <f>IFERROR(__xludf.DUMMYFUNCTION("""COMPUTED_VALUE"""),0.0)</f>
        <v>0</v>
      </c>
      <c r="J105" s="97">
        <f>IFERROR(__xludf.DUMMYFUNCTION("""COMPUTED_VALUE"""),1.0)</f>
        <v>1</v>
      </c>
      <c r="K105" s="97">
        <f>IFERROR(__xludf.DUMMYFUNCTION("""COMPUTED_VALUE"""),7.0)</f>
        <v>7</v>
      </c>
      <c r="L105" s="97">
        <f>IFERROR(__xludf.DUMMYFUNCTION("""COMPUTED_VALUE"""),1.0)</f>
        <v>1</v>
      </c>
      <c r="M105" s="98">
        <f>IFERROR(__xludf.DUMMYFUNCTION("""COMPUTED_VALUE"""),93.0)</f>
        <v>93</v>
      </c>
      <c r="N105" s="98">
        <f>IFERROR(__xludf.DUMMYFUNCTION("""COMPUTED_VALUE"""),9.0)</f>
        <v>9</v>
      </c>
    </row>
    <row r="106">
      <c r="A106" s="11"/>
      <c r="B106" s="84" t="str">
        <f>IFERROR(__xludf.DUMMYFUNCTION("""COMPUTED_VALUE"""),"David Shin")</f>
        <v>David Shin</v>
      </c>
      <c r="C106" s="95">
        <f>IFERROR(__xludf.DUMMYFUNCTION("""COMPUTED_VALUE"""),86.0)</f>
        <v>86</v>
      </c>
      <c r="D106" s="95">
        <f>IFERROR(__xludf.DUMMYFUNCTION("""COMPUTED_VALUE"""),6.0)</f>
        <v>6</v>
      </c>
      <c r="E106" s="96">
        <f>IFERROR(__xludf.DUMMYFUNCTION("""COMPUTED_VALUE"""),1.0)</f>
        <v>1</v>
      </c>
      <c r="F106" s="97">
        <f>IFERROR(__xludf.DUMMYFUNCTION("""COMPUTED_VALUE"""),4.0)</f>
        <v>4</v>
      </c>
      <c r="G106" s="97">
        <f>IFERROR(__xludf.DUMMYFUNCTION("""COMPUTED_VALUE"""),0.0)</f>
        <v>0</v>
      </c>
      <c r="H106" s="97">
        <f>IFERROR(__xludf.DUMMYFUNCTION("""COMPUTED_VALUE"""),2.0)</f>
        <v>2</v>
      </c>
      <c r="I106" s="97">
        <f>IFERROR(__xludf.DUMMYFUNCTION("""COMPUTED_VALUE"""),6.0)</f>
        <v>6</v>
      </c>
      <c r="J106" s="97">
        <f>IFERROR(__xludf.DUMMYFUNCTION("""COMPUTED_VALUE"""),1.0)</f>
        <v>1</v>
      </c>
      <c r="K106" s="97">
        <f>IFERROR(__xludf.DUMMYFUNCTION("""COMPUTED_VALUE"""),9.0)</f>
        <v>9</v>
      </c>
      <c r="L106" s="97">
        <f>IFERROR(__xludf.DUMMYFUNCTION("""COMPUTED_VALUE"""),1.0)</f>
        <v>1</v>
      </c>
      <c r="M106" s="98">
        <f>IFERROR(__xludf.DUMMYFUNCTION("""COMPUTED_VALUE"""),95.0)</f>
        <v>95</v>
      </c>
      <c r="N106" s="98">
        <f>IFERROR(__xludf.DUMMYFUNCTION("""COMPUTED_VALUE"""),7.0)</f>
        <v>7</v>
      </c>
    </row>
    <row r="107">
      <c r="A107" s="11"/>
      <c r="B107" s="84" t="str">
        <f>IFERROR(__xludf.DUMMYFUNCTION("""COMPUTED_VALUE"""),"Alex Hou")</f>
        <v>Alex Hou</v>
      </c>
      <c r="C107" s="95">
        <f>IFERROR(__xludf.DUMMYFUNCTION("""COMPUTED_VALUE"""),85.0)</f>
        <v>85</v>
      </c>
      <c r="D107" s="95">
        <f>IFERROR(__xludf.DUMMYFUNCTION("""COMPUTED_VALUE"""),7.0)</f>
        <v>7</v>
      </c>
      <c r="E107" s="96">
        <f>IFERROR(__xludf.DUMMYFUNCTION("""COMPUTED_VALUE"""),1.0)</f>
        <v>1</v>
      </c>
      <c r="F107" s="97">
        <f>IFERROR(__xludf.DUMMYFUNCTION("""COMPUTED_VALUE"""),4.0)</f>
        <v>4</v>
      </c>
      <c r="G107" s="97">
        <f>IFERROR(__xludf.DUMMYFUNCTION("""COMPUTED_VALUE"""),0.0)</f>
        <v>0</v>
      </c>
      <c r="H107" s="97">
        <f>IFERROR(__xludf.DUMMYFUNCTION("""COMPUTED_VALUE"""),2.0)</f>
        <v>2</v>
      </c>
      <c r="I107" s="97">
        <f>IFERROR(__xludf.DUMMYFUNCTION("""COMPUTED_VALUE"""),0.0)</f>
        <v>0</v>
      </c>
      <c r="J107" s="97">
        <f>IFERROR(__xludf.DUMMYFUNCTION("""COMPUTED_VALUE"""),6.0)</f>
        <v>6</v>
      </c>
      <c r="K107" s="97">
        <f>IFERROR(__xludf.DUMMYFUNCTION("""COMPUTED_VALUE"""),8.0)</f>
        <v>8</v>
      </c>
      <c r="L107" s="97">
        <f>IFERROR(__xludf.DUMMYFUNCTION("""COMPUTED_VALUE"""),1.0)</f>
        <v>1</v>
      </c>
      <c r="M107" s="98">
        <f>IFERROR(__xludf.DUMMYFUNCTION("""COMPUTED_VALUE"""),93.0)</f>
        <v>93</v>
      </c>
      <c r="N107" s="98">
        <f>IFERROR(__xludf.DUMMYFUNCTION("""COMPUTED_VALUE"""),8.0)</f>
        <v>8</v>
      </c>
    </row>
    <row r="108">
      <c r="A108" s="11"/>
      <c r="B108" s="84" t="str">
        <f>IFERROR(__xludf.DUMMYFUNCTION("""COMPUTED_VALUE"""),"James Phan")</f>
        <v>James Phan</v>
      </c>
      <c r="C108" s="95">
        <f>IFERROR(__xludf.DUMMYFUNCTION("""COMPUTED_VALUE"""),81.0)</f>
        <v>81</v>
      </c>
      <c r="D108" s="95">
        <f>IFERROR(__xludf.DUMMYFUNCTION("""COMPUTED_VALUE"""),5.0)</f>
        <v>5</v>
      </c>
      <c r="E108" s="96">
        <f>IFERROR(__xludf.DUMMYFUNCTION("""COMPUTED_VALUE"""),1.0)</f>
        <v>1</v>
      </c>
      <c r="F108" s="97">
        <f>IFERROR(__xludf.DUMMYFUNCTION("""COMPUTED_VALUE"""),4.0)</f>
        <v>4</v>
      </c>
      <c r="G108" s="97">
        <f>IFERROR(__xludf.DUMMYFUNCTION("""COMPUTED_VALUE"""),0.0)</f>
        <v>0</v>
      </c>
      <c r="H108" s="97">
        <f>IFERROR(__xludf.DUMMYFUNCTION("""COMPUTED_VALUE"""),6.0)</f>
        <v>6</v>
      </c>
      <c r="I108" s="97">
        <f>IFERROR(__xludf.DUMMYFUNCTION("""COMPUTED_VALUE"""),6.0)</f>
        <v>6</v>
      </c>
      <c r="J108" s="97">
        <f>IFERROR(__xludf.DUMMYFUNCTION("""COMPUTED_VALUE"""),6.0)</f>
        <v>6</v>
      </c>
      <c r="K108" s="97">
        <f>IFERROR(__xludf.DUMMYFUNCTION("""COMPUTED_VALUE"""),18.0)</f>
        <v>18</v>
      </c>
      <c r="L108" s="97">
        <f>IFERROR(__xludf.DUMMYFUNCTION("""COMPUTED_VALUE"""),3.0)</f>
        <v>3</v>
      </c>
      <c r="M108" s="98">
        <f>IFERROR(__xludf.DUMMYFUNCTION("""COMPUTED_VALUE"""),99.0)</f>
        <v>99</v>
      </c>
      <c r="N108" s="98">
        <f>IFERROR(__xludf.DUMMYFUNCTION("""COMPUTED_VALUE"""),8.0)</f>
        <v>8</v>
      </c>
    </row>
    <row r="109">
      <c r="A109" s="11"/>
      <c r="B109" s="82" t="str">
        <f>IFERROR(__xludf.DUMMYFUNCTION("""COMPUTED_VALUE"""),"Manuel Rivera")</f>
        <v>Manuel Rivera</v>
      </c>
      <c r="C109" s="87">
        <f>IFERROR(__xludf.DUMMYFUNCTION("""COMPUTED_VALUE"""),78.0)</f>
        <v>78</v>
      </c>
      <c r="D109" s="87">
        <f>IFERROR(__xludf.DUMMYFUNCTION("""COMPUTED_VALUE"""),5.0)</f>
        <v>5</v>
      </c>
      <c r="E109" s="86">
        <f>IFERROR(__xludf.DUMMYFUNCTION("""COMPUTED_VALUE"""),1.0)</f>
        <v>1</v>
      </c>
      <c r="F109" s="88">
        <f>IFERROR(__xludf.DUMMYFUNCTION("""COMPUTED_VALUE"""),5.0)</f>
        <v>5</v>
      </c>
      <c r="G109" s="88">
        <f>IFERROR(__xludf.DUMMYFUNCTION("""COMPUTED_VALUE"""),0.0)</f>
        <v>0</v>
      </c>
      <c r="H109" s="88">
        <f>IFERROR(__xludf.DUMMYFUNCTION("""COMPUTED_VALUE"""),3.0)</f>
        <v>3</v>
      </c>
      <c r="I109" s="88">
        <f>IFERROR(__xludf.DUMMYFUNCTION("""COMPUTED_VALUE"""),4.0)</f>
        <v>4</v>
      </c>
      <c r="J109" s="88">
        <f>IFERROR(__xludf.DUMMYFUNCTION("""COMPUTED_VALUE"""),6.0)</f>
        <v>6</v>
      </c>
      <c r="K109" s="88">
        <f>IFERROR(__xludf.DUMMYFUNCTION("""COMPUTED_VALUE"""),13.0)</f>
        <v>13</v>
      </c>
      <c r="L109" s="88">
        <f>IFERROR(__xludf.DUMMYFUNCTION("""COMPUTED_VALUE"""),1.0)</f>
        <v>1</v>
      </c>
      <c r="M109" s="89">
        <f>IFERROR(__xludf.DUMMYFUNCTION("""COMPUTED_VALUE"""),91.0)</f>
        <v>91</v>
      </c>
      <c r="N109" s="89">
        <f>IFERROR(__xludf.DUMMYFUNCTION("""COMPUTED_VALUE"""),6.0)</f>
        <v>6</v>
      </c>
    </row>
    <row r="110">
      <c r="A110" s="11"/>
      <c r="B110" s="82" t="str">
        <f>IFERROR(__xludf.DUMMYFUNCTION("""COMPUTED_VALUE"""),"Ramesh Bandaru")</f>
        <v>Ramesh Bandaru</v>
      </c>
      <c r="C110" s="87">
        <f>IFERROR(__xludf.DUMMYFUNCTION("""COMPUTED_VALUE"""),78.0)</f>
        <v>78</v>
      </c>
      <c r="D110" s="87">
        <f>IFERROR(__xludf.DUMMYFUNCTION("""COMPUTED_VALUE"""),4.0)</f>
        <v>4</v>
      </c>
      <c r="E110" s="86">
        <f>IFERROR(__xludf.DUMMYFUNCTION("""COMPUTED_VALUE"""),1.0)</f>
        <v>1</v>
      </c>
      <c r="F110" s="88">
        <f>IFERROR(__xludf.DUMMYFUNCTION("""COMPUTED_VALUE"""),5.0)</f>
        <v>5</v>
      </c>
      <c r="G110" s="88">
        <f>IFERROR(__xludf.DUMMYFUNCTION("""COMPUTED_VALUE"""),0.0)</f>
        <v>0</v>
      </c>
      <c r="H110" s="88">
        <f>IFERROR(__xludf.DUMMYFUNCTION("""COMPUTED_VALUE"""),6.0)</f>
        <v>6</v>
      </c>
      <c r="I110" s="88">
        <f>IFERROR(__xludf.DUMMYFUNCTION("""COMPUTED_VALUE"""),4.0)</f>
        <v>4</v>
      </c>
      <c r="J110" s="88">
        <f>IFERROR(__xludf.DUMMYFUNCTION("""COMPUTED_VALUE"""),2.0)</f>
        <v>2</v>
      </c>
      <c r="K110" s="88">
        <f>IFERROR(__xludf.DUMMYFUNCTION("""COMPUTED_VALUE"""),12.0)</f>
        <v>12</v>
      </c>
      <c r="L110" s="88">
        <f>IFERROR(__xludf.DUMMYFUNCTION("""COMPUTED_VALUE"""),1.0)</f>
        <v>1</v>
      </c>
      <c r="M110" s="89">
        <f>IFERROR(__xludf.DUMMYFUNCTION("""COMPUTED_VALUE"""),90.0)</f>
        <v>90</v>
      </c>
      <c r="N110" s="89">
        <f>IFERROR(__xludf.DUMMYFUNCTION("""COMPUTED_VALUE"""),5.0)</f>
        <v>5</v>
      </c>
    </row>
    <row r="111">
      <c r="A111" s="11"/>
      <c r="B111" s="82" t="str">
        <f>IFERROR(__xludf.DUMMYFUNCTION("""COMPUTED_VALUE"""),"Pavan Akkimsetty")</f>
        <v>Pavan Akkimsetty</v>
      </c>
      <c r="C111" s="87">
        <f>IFERROR(__xludf.DUMMYFUNCTION("""COMPUTED_VALUE"""),76.0)</f>
        <v>76</v>
      </c>
      <c r="D111" s="87">
        <f>IFERROR(__xludf.DUMMYFUNCTION("""COMPUTED_VALUE"""),3.0)</f>
        <v>3</v>
      </c>
      <c r="E111" s="86">
        <f>IFERROR(__xludf.DUMMYFUNCTION("""COMPUTED_VALUE"""),1.0)</f>
        <v>1</v>
      </c>
      <c r="F111" s="88">
        <f>IFERROR(__xludf.DUMMYFUNCTION("""COMPUTED_VALUE"""),5.0)</f>
        <v>5</v>
      </c>
      <c r="G111" s="88">
        <f>IFERROR(__xludf.DUMMYFUNCTION("""COMPUTED_VALUE"""),0.0)</f>
        <v>0</v>
      </c>
      <c r="H111" s="88">
        <f>IFERROR(__xludf.DUMMYFUNCTION("""COMPUTED_VALUE"""),6.0)</f>
        <v>6</v>
      </c>
      <c r="I111" s="88">
        <f>IFERROR(__xludf.DUMMYFUNCTION("""COMPUTED_VALUE"""),6.0)</f>
        <v>6</v>
      </c>
      <c r="J111" s="88">
        <f>IFERROR(__xludf.DUMMYFUNCTION("""COMPUTED_VALUE"""),6.0)</f>
        <v>6</v>
      </c>
      <c r="K111" s="88">
        <f>IFERROR(__xludf.DUMMYFUNCTION("""COMPUTED_VALUE"""),18.0)</f>
        <v>18</v>
      </c>
      <c r="L111" s="88">
        <f>IFERROR(__xludf.DUMMYFUNCTION("""COMPUTED_VALUE"""),3.0)</f>
        <v>3</v>
      </c>
      <c r="M111" s="89">
        <f>IFERROR(__xludf.DUMMYFUNCTION("""COMPUTED_VALUE"""),94.0)</f>
        <v>94</v>
      </c>
      <c r="N111" s="89">
        <f>IFERROR(__xludf.DUMMYFUNCTION("""COMPUTED_VALUE"""),6.0)</f>
        <v>6</v>
      </c>
    </row>
    <row r="112">
      <c r="A112" s="11"/>
      <c r="B112" s="82" t="str">
        <f>IFERROR(__xludf.DUMMYFUNCTION("""COMPUTED_VALUE"""),"Sean Chang")</f>
        <v>Sean Chang</v>
      </c>
      <c r="C112" s="87">
        <f>IFERROR(__xludf.DUMMYFUNCTION("""COMPUTED_VALUE"""),75.0)</f>
        <v>75</v>
      </c>
      <c r="D112" s="87">
        <f>IFERROR(__xludf.DUMMYFUNCTION("""COMPUTED_VALUE"""),4.0)</f>
        <v>4</v>
      </c>
      <c r="E112" s="86">
        <f>IFERROR(__xludf.DUMMYFUNCTION("""COMPUTED_VALUE"""),2.0)</f>
        <v>2</v>
      </c>
      <c r="F112" s="88">
        <f>IFERROR(__xludf.DUMMYFUNCTION("""COMPUTED_VALUE"""),5.0)</f>
        <v>5</v>
      </c>
      <c r="G112" s="88">
        <f>IFERROR(__xludf.DUMMYFUNCTION("""COMPUTED_VALUE"""),0.0)</f>
        <v>0</v>
      </c>
      <c r="H112" s="88">
        <f>IFERROR(__xludf.DUMMYFUNCTION("""COMPUTED_VALUE"""),3.0)</f>
        <v>3</v>
      </c>
      <c r="I112" s="88">
        <f>IFERROR(__xludf.DUMMYFUNCTION("""COMPUTED_VALUE"""),6.0)</f>
        <v>6</v>
      </c>
      <c r="J112" s="88">
        <f>IFERROR(__xludf.DUMMYFUNCTION("""COMPUTED_VALUE"""),2.0)</f>
        <v>2</v>
      </c>
      <c r="K112" s="88">
        <f>IFERROR(__xludf.DUMMYFUNCTION("""COMPUTED_VALUE"""),11.0)</f>
        <v>11</v>
      </c>
      <c r="L112" s="88">
        <f>IFERROR(__xludf.DUMMYFUNCTION("""COMPUTED_VALUE"""),1.0)</f>
        <v>1</v>
      </c>
      <c r="M112" s="89">
        <f>IFERROR(__xludf.DUMMYFUNCTION("""COMPUTED_VALUE"""),86.0)</f>
        <v>86</v>
      </c>
      <c r="N112" s="89">
        <f>IFERROR(__xludf.DUMMYFUNCTION("""COMPUTED_VALUE"""),5.0)</f>
        <v>5</v>
      </c>
    </row>
    <row r="113">
      <c r="A113" s="11"/>
      <c r="B113" s="84" t="str">
        <f>IFERROR(__xludf.DUMMYFUNCTION("""COMPUTED_VALUE"""),"Robert Chang")</f>
        <v>Robert Chang</v>
      </c>
      <c r="C113" s="95">
        <f>IFERROR(__xludf.DUMMYFUNCTION("""COMPUTED_VALUE"""),74.0)</f>
        <v>74</v>
      </c>
      <c r="D113" s="95">
        <f>IFERROR(__xludf.DUMMYFUNCTION("""COMPUTED_VALUE"""),2.0)</f>
        <v>2</v>
      </c>
      <c r="E113" s="96">
        <f>IFERROR(__xludf.DUMMYFUNCTION("""COMPUTED_VALUE"""),2.0)</f>
        <v>2</v>
      </c>
      <c r="F113" s="97">
        <f>IFERROR(__xludf.DUMMYFUNCTION("""COMPUTED_VALUE"""),6.0)</f>
        <v>6</v>
      </c>
      <c r="G113" s="97">
        <f>IFERROR(__xludf.DUMMYFUNCTION("""COMPUTED_VALUE"""),0.0)</f>
        <v>0</v>
      </c>
      <c r="H113" s="97">
        <f>IFERROR(__xludf.DUMMYFUNCTION("""COMPUTED_VALUE"""),6.0)</f>
        <v>6</v>
      </c>
      <c r="I113" s="97">
        <f>IFERROR(__xludf.DUMMYFUNCTION("""COMPUTED_VALUE"""),6.0)</f>
        <v>6</v>
      </c>
      <c r="J113" s="97">
        <f>IFERROR(__xludf.DUMMYFUNCTION("""COMPUTED_VALUE"""),6.0)</f>
        <v>6</v>
      </c>
      <c r="K113" s="97">
        <f>IFERROR(__xludf.DUMMYFUNCTION("""COMPUTED_VALUE"""),18.0)</f>
        <v>18</v>
      </c>
      <c r="L113" s="97">
        <f>IFERROR(__xludf.DUMMYFUNCTION("""COMPUTED_VALUE"""),2.0)</f>
        <v>2</v>
      </c>
      <c r="M113" s="98">
        <f>IFERROR(__xludf.DUMMYFUNCTION("""COMPUTED_VALUE"""),92.0)</f>
        <v>92</v>
      </c>
      <c r="N113" s="98">
        <f>IFERROR(__xludf.DUMMYFUNCTION("""COMPUTED_VALUE"""),4.0)</f>
        <v>4</v>
      </c>
    </row>
    <row r="114">
      <c r="A114" s="11"/>
      <c r="B114" s="84" t="str">
        <f>IFERROR(__xludf.DUMMYFUNCTION("""COMPUTED_VALUE"""),"Eric Tan")</f>
        <v>Eric Tan</v>
      </c>
      <c r="C114" s="95">
        <f>IFERROR(__xludf.DUMMYFUNCTION("""COMPUTED_VALUE"""),72.0)</f>
        <v>72</v>
      </c>
      <c r="D114" s="95">
        <f>IFERROR(__xludf.DUMMYFUNCTION("""COMPUTED_VALUE"""),6.0)</f>
        <v>6</v>
      </c>
      <c r="E114" s="96">
        <f>IFERROR(__xludf.DUMMYFUNCTION("""COMPUTED_VALUE"""),1.0)</f>
        <v>1</v>
      </c>
      <c r="F114" s="97">
        <f>IFERROR(__xludf.DUMMYFUNCTION("""COMPUTED_VALUE"""),6.0)</f>
        <v>6</v>
      </c>
      <c r="G114" s="97">
        <f>IFERROR(__xludf.DUMMYFUNCTION("""COMPUTED_VALUE"""),0.0)</f>
        <v>0</v>
      </c>
      <c r="H114" s="97">
        <f>IFERROR(__xludf.DUMMYFUNCTION("""COMPUTED_VALUE"""),6.0)</f>
        <v>6</v>
      </c>
      <c r="I114" s="97">
        <f>IFERROR(__xludf.DUMMYFUNCTION("""COMPUTED_VALUE"""),0.0)</f>
        <v>0</v>
      </c>
      <c r="J114" s="97">
        <f>IFERROR(__xludf.DUMMYFUNCTION("""COMPUTED_VALUE"""),0.0)</f>
        <v>0</v>
      </c>
      <c r="K114" s="97">
        <f>IFERROR(__xludf.DUMMYFUNCTION("""COMPUTED_VALUE"""),6.0)</f>
        <v>6</v>
      </c>
      <c r="L114" s="97">
        <f>IFERROR(__xludf.DUMMYFUNCTION("""COMPUTED_VALUE"""),0.0)</f>
        <v>0</v>
      </c>
      <c r="M114" s="98">
        <f>IFERROR(__xludf.DUMMYFUNCTION("""COMPUTED_VALUE"""),78.0)</f>
        <v>78</v>
      </c>
      <c r="N114" s="98">
        <f>IFERROR(__xludf.DUMMYFUNCTION("""COMPUTED_VALUE"""),6.0)</f>
        <v>6</v>
      </c>
    </row>
    <row r="115">
      <c r="A115" s="11"/>
      <c r="B115" s="84" t="str">
        <f>IFERROR(__xludf.DUMMYFUNCTION("""COMPUTED_VALUE"""),"Vinaya Kajla")</f>
        <v>Vinaya Kajla</v>
      </c>
      <c r="C115" s="95">
        <f>IFERROR(__xludf.DUMMYFUNCTION("""COMPUTED_VALUE"""),71.0)</f>
        <v>71</v>
      </c>
      <c r="D115" s="95">
        <f>IFERROR(__xludf.DUMMYFUNCTION("""COMPUTED_VALUE"""),4.0)</f>
        <v>4</v>
      </c>
      <c r="E115" s="96">
        <f>IFERROR(__xludf.DUMMYFUNCTION("""COMPUTED_VALUE"""),1.0)</f>
        <v>1</v>
      </c>
      <c r="F115" s="97">
        <f>IFERROR(__xludf.DUMMYFUNCTION("""COMPUTED_VALUE"""),6.0)</f>
        <v>6</v>
      </c>
      <c r="G115" s="97">
        <f>IFERROR(__xludf.DUMMYFUNCTION("""COMPUTED_VALUE"""),0.0)</f>
        <v>0</v>
      </c>
      <c r="H115" s="97">
        <f>IFERROR(__xludf.DUMMYFUNCTION("""COMPUTED_VALUE"""),7.0)</f>
        <v>7</v>
      </c>
      <c r="I115" s="97">
        <f>IFERROR(__xludf.DUMMYFUNCTION("""COMPUTED_VALUE"""),6.0)</f>
        <v>6</v>
      </c>
      <c r="J115" s="97">
        <f>IFERROR(__xludf.DUMMYFUNCTION("""COMPUTED_VALUE"""),0.0)</f>
        <v>0</v>
      </c>
      <c r="K115" s="97">
        <f>IFERROR(__xludf.DUMMYFUNCTION("""COMPUTED_VALUE"""),13.0)</f>
        <v>13</v>
      </c>
      <c r="L115" s="97">
        <f>IFERROR(__xludf.DUMMYFUNCTION("""COMPUTED_VALUE"""),2.0)</f>
        <v>2</v>
      </c>
      <c r="M115" s="98">
        <f>IFERROR(__xludf.DUMMYFUNCTION("""COMPUTED_VALUE"""),84.0)</f>
        <v>84</v>
      </c>
      <c r="N115" s="98">
        <f>IFERROR(__xludf.DUMMYFUNCTION("""COMPUTED_VALUE"""),6.0)</f>
        <v>6</v>
      </c>
    </row>
    <row r="116">
      <c r="A116" s="11"/>
      <c r="B116" s="84" t="str">
        <f>IFERROR(__xludf.DUMMYFUNCTION("""COMPUTED_VALUE"""),"Chinna Ponnaganti")</f>
        <v>Chinna Ponnaganti</v>
      </c>
      <c r="C116" s="95">
        <f>IFERROR(__xludf.DUMMYFUNCTION("""COMPUTED_VALUE"""),71.0)</f>
        <v>71</v>
      </c>
      <c r="D116" s="95">
        <f>IFERROR(__xludf.DUMMYFUNCTION("""COMPUTED_VALUE"""),4.0)</f>
        <v>4</v>
      </c>
      <c r="E116" s="96">
        <f>IFERROR(__xludf.DUMMYFUNCTION("""COMPUTED_VALUE"""),1.0)</f>
        <v>1</v>
      </c>
      <c r="F116" s="97">
        <f>IFERROR(__xludf.DUMMYFUNCTION("""COMPUTED_VALUE"""),6.0)</f>
        <v>6</v>
      </c>
      <c r="G116" s="97">
        <f>IFERROR(__xludf.DUMMYFUNCTION("""COMPUTED_VALUE"""),0.0)</f>
        <v>0</v>
      </c>
      <c r="H116" s="97">
        <f>IFERROR(__xludf.DUMMYFUNCTION("""COMPUTED_VALUE"""),7.0)</f>
        <v>7</v>
      </c>
      <c r="I116" s="97">
        <f>IFERROR(__xludf.DUMMYFUNCTION("""COMPUTED_VALUE"""),0.0)</f>
        <v>0</v>
      </c>
      <c r="J116" s="97">
        <f>IFERROR(__xludf.DUMMYFUNCTION("""COMPUTED_VALUE"""),6.0)</f>
        <v>6</v>
      </c>
      <c r="K116" s="97">
        <f>IFERROR(__xludf.DUMMYFUNCTION("""COMPUTED_VALUE"""),13.0)</f>
        <v>13</v>
      </c>
      <c r="L116" s="97">
        <f>IFERROR(__xludf.DUMMYFUNCTION("""COMPUTED_VALUE"""),2.0)</f>
        <v>2</v>
      </c>
      <c r="M116" s="98">
        <f>IFERROR(__xludf.DUMMYFUNCTION("""COMPUTED_VALUE"""),84.0)</f>
        <v>84</v>
      </c>
      <c r="N116" s="98">
        <f>IFERROR(__xludf.DUMMYFUNCTION("""COMPUTED_VALUE"""),6.0)</f>
        <v>6</v>
      </c>
    </row>
    <row r="117">
      <c r="A117" s="11"/>
      <c r="B117" s="82" t="str">
        <f>IFERROR(__xludf.DUMMYFUNCTION("""COMPUTED_VALUE"""),"Nicole Ni")</f>
        <v>Nicole Ni</v>
      </c>
      <c r="C117" s="87">
        <f>IFERROR(__xludf.DUMMYFUNCTION("""COMPUTED_VALUE"""),70.0)</f>
        <v>70</v>
      </c>
      <c r="D117" s="87">
        <f>IFERROR(__xludf.DUMMYFUNCTION("""COMPUTED_VALUE"""),6.0)</f>
        <v>6</v>
      </c>
      <c r="E117" s="86">
        <f>IFERROR(__xludf.DUMMYFUNCTION("""COMPUTED_VALUE"""),1.0)</f>
        <v>1</v>
      </c>
      <c r="F117" s="88">
        <f>IFERROR(__xludf.DUMMYFUNCTION("""COMPUTED_VALUE"""),7.0)</f>
        <v>7</v>
      </c>
      <c r="G117" s="88">
        <f>IFERROR(__xludf.DUMMYFUNCTION("""COMPUTED_VALUE"""),0.0)</f>
        <v>0</v>
      </c>
      <c r="H117" s="88">
        <f>IFERROR(__xludf.DUMMYFUNCTION("""COMPUTED_VALUE"""),3.0)</f>
        <v>3</v>
      </c>
      <c r="I117" s="88">
        <f>IFERROR(__xludf.DUMMYFUNCTION("""COMPUTED_VALUE"""),1.0)</f>
        <v>1</v>
      </c>
      <c r="J117" s="88">
        <f>IFERROR(__xludf.DUMMYFUNCTION("""COMPUTED_VALUE"""),3.0)</f>
        <v>3</v>
      </c>
      <c r="K117" s="88">
        <f>IFERROR(__xludf.DUMMYFUNCTION("""COMPUTED_VALUE"""),7.0)</f>
        <v>7</v>
      </c>
      <c r="L117" s="88">
        <f>IFERROR(__xludf.DUMMYFUNCTION("""COMPUTED_VALUE"""),0.0)</f>
        <v>0</v>
      </c>
      <c r="M117" s="89">
        <f>IFERROR(__xludf.DUMMYFUNCTION("""COMPUTED_VALUE"""),77.0)</f>
        <v>77</v>
      </c>
      <c r="N117" s="89">
        <f>IFERROR(__xludf.DUMMYFUNCTION("""COMPUTED_VALUE"""),6.0)</f>
        <v>6</v>
      </c>
    </row>
    <row r="118">
      <c r="A118" s="11"/>
      <c r="B118" s="82" t="str">
        <f>IFERROR(__xludf.DUMMYFUNCTION("""COMPUTED_VALUE"""),"Jimmy Awolesi")</f>
        <v>Jimmy Awolesi</v>
      </c>
      <c r="C118" s="87">
        <f>IFERROR(__xludf.DUMMYFUNCTION("""COMPUTED_VALUE"""),69.0)</f>
        <v>69</v>
      </c>
      <c r="D118" s="87">
        <f>IFERROR(__xludf.DUMMYFUNCTION("""COMPUTED_VALUE"""),2.0)</f>
        <v>2</v>
      </c>
      <c r="E118" s="86">
        <f>IFERROR(__xludf.DUMMYFUNCTION("""COMPUTED_VALUE"""),1.0)</f>
        <v>1</v>
      </c>
      <c r="F118" s="88">
        <f>IFERROR(__xludf.DUMMYFUNCTION("""COMPUTED_VALUE"""),7.0)</f>
        <v>7</v>
      </c>
      <c r="G118" s="88">
        <f>IFERROR(__xludf.DUMMYFUNCTION("""COMPUTED_VALUE"""),0.0)</f>
        <v>0</v>
      </c>
      <c r="H118" s="88">
        <f>IFERROR(__xludf.DUMMYFUNCTION("""COMPUTED_VALUE"""),3.0)</f>
        <v>3</v>
      </c>
      <c r="I118" s="88">
        <f>IFERROR(__xludf.DUMMYFUNCTION("""COMPUTED_VALUE"""),6.0)</f>
        <v>6</v>
      </c>
      <c r="J118" s="88">
        <f>IFERROR(__xludf.DUMMYFUNCTION("""COMPUTED_VALUE"""),6.0)</f>
        <v>6</v>
      </c>
      <c r="K118" s="88">
        <f>IFERROR(__xludf.DUMMYFUNCTION("""COMPUTED_VALUE"""),15.0)</f>
        <v>15</v>
      </c>
      <c r="L118" s="88">
        <f>IFERROR(__xludf.DUMMYFUNCTION("""COMPUTED_VALUE"""),2.0)</f>
        <v>2</v>
      </c>
      <c r="M118" s="89">
        <f>IFERROR(__xludf.DUMMYFUNCTION("""COMPUTED_VALUE"""),84.0)</f>
        <v>84</v>
      </c>
      <c r="N118" s="89">
        <f>IFERROR(__xludf.DUMMYFUNCTION("""COMPUTED_VALUE"""),4.0)</f>
        <v>4</v>
      </c>
    </row>
    <row r="119">
      <c r="A119" s="11"/>
      <c r="B119" s="82" t="str">
        <f>IFERROR(__xludf.DUMMYFUNCTION("""COMPUTED_VALUE"""),"Mauricio Palacios")</f>
        <v>Mauricio Palacios</v>
      </c>
      <c r="C119" s="87">
        <f>IFERROR(__xludf.DUMMYFUNCTION("""COMPUTED_VALUE"""),68.0)</f>
        <v>68</v>
      </c>
      <c r="D119" s="87">
        <f>IFERROR(__xludf.DUMMYFUNCTION("""COMPUTED_VALUE"""),1.0)</f>
        <v>1</v>
      </c>
      <c r="E119" s="86">
        <f>IFERROR(__xludf.DUMMYFUNCTION("""COMPUTED_VALUE"""),1.0)</f>
        <v>1</v>
      </c>
      <c r="F119" s="88">
        <f>IFERROR(__xludf.DUMMYFUNCTION("""COMPUTED_VALUE"""),7.0)</f>
        <v>7</v>
      </c>
      <c r="G119" s="88">
        <f>IFERROR(__xludf.DUMMYFUNCTION("""COMPUTED_VALUE"""),0.0)</f>
        <v>0</v>
      </c>
      <c r="H119" s="88">
        <f>IFERROR(__xludf.DUMMYFUNCTION("""COMPUTED_VALUE"""),6.0)</f>
        <v>6</v>
      </c>
      <c r="I119" s="88">
        <f>IFERROR(__xludf.DUMMYFUNCTION("""COMPUTED_VALUE"""),6.0)</f>
        <v>6</v>
      </c>
      <c r="J119" s="88">
        <f>IFERROR(__xludf.DUMMYFUNCTION("""COMPUTED_VALUE"""),3.0)</f>
        <v>3</v>
      </c>
      <c r="K119" s="88">
        <f>IFERROR(__xludf.DUMMYFUNCTION("""COMPUTED_VALUE"""),15.0)</f>
        <v>15</v>
      </c>
      <c r="L119" s="88">
        <f>IFERROR(__xludf.DUMMYFUNCTION("""COMPUTED_VALUE"""),2.0)</f>
        <v>2</v>
      </c>
      <c r="M119" s="89">
        <f>IFERROR(__xludf.DUMMYFUNCTION("""COMPUTED_VALUE"""),83.0)</f>
        <v>83</v>
      </c>
      <c r="N119" s="89">
        <f>IFERROR(__xludf.DUMMYFUNCTION("""COMPUTED_VALUE"""),3.0)</f>
        <v>3</v>
      </c>
    </row>
    <row r="120">
      <c r="A120" s="11"/>
      <c r="B120" s="82" t="str">
        <f>IFERROR(__xludf.DUMMYFUNCTION("""COMPUTED_VALUE"""),"Kumar Palakeel")</f>
        <v>Kumar Palakeel</v>
      </c>
      <c r="C120" s="87">
        <f>IFERROR(__xludf.DUMMYFUNCTION("""COMPUTED_VALUE"""),67.0)</f>
        <v>67</v>
      </c>
      <c r="D120" s="87">
        <f>IFERROR(__xludf.DUMMYFUNCTION("""COMPUTED_VALUE"""),5.0)</f>
        <v>5</v>
      </c>
      <c r="E120" s="86">
        <f>IFERROR(__xludf.DUMMYFUNCTION("""COMPUTED_VALUE"""),1.0)</f>
        <v>1</v>
      </c>
      <c r="F120" s="88">
        <f>IFERROR(__xludf.DUMMYFUNCTION("""COMPUTED_VALUE"""),7.0)</f>
        <v>7</v>
      </c>
      <c r="G120" s="88">
        <f>IFERROR(__xludf.DUMMYFUNCTION("""COMPUTED_VALUE"""),0.0)</f>
        <v>0</v>
      </c>
      <c r="H120" s="88">
        <f>IFERROR(__xludf.DUMMYFUNCTION("""COMPUTED_VALUE"""),6.0)</f>
        <v>6</v>
      </c>
      <c r="I120" s="88">
        <f>IFERROR(__xludf.DUMMYFUNCTION("""COMPUTED_VALUE"""),1.0)</f>
        <v>1</v>
      </c>
      <c r="J120" s="88">
        <f>IFERROR(__xludf.DUMMYFUNCTION("""COMPUTED_VALUE"""),6.0)</f>
        <v>6</v>
      </c>
      <c r="K120" s="88">
        <f>IFERROR(__xludf.DUMMYFUNCTION("""COMPUTED_VALUE"""),13.0)</f>
        <v>13</v>
      </c>
      <c r="L120" s="88">
        <f>IFERROR(__xludf.DUMMYFUNCTION("""COMPUTED_VALUE"""),2.0)</f>
        <v>2</v>
      </c>
      <c r="M120" s="89">
        <f>IFERROR(__xludf.DUMMYFUNCTION("""COMPUTED_VALUE"""),80.0)</f>
        <v>80</v>
      </c>
      <c r="N120" s="89">
        <f>IFERROR(__xludf.DUMMYFUNCTION("""COMPUTED_VALUE"""),7.0)</f>
        <v>7</v>
      </c>
    </row>
    <row r="121">
      <c r="A121" s="11"/>
      <c r="B121" s="84" t="str">
        <f>IFERROR(__xludf.DUMMYFUNCTION("""COMPUTED_VALUE"""),"Jim Miao")</f>
        <v>Jim Miao</v>
      </c>
      <c r="C121" s="95">
        <f>IFERROR(__xludf.DUMMYFUNCTION("""COMPUTED_VALUE"""),67.0)</f>
        <v>67</v>
      </c>
      <c r="D121" s="95">
        <f>IFERROR(__xludf.DUMMYFUNCTION("""COMPUTED_VALUE"""),1.0)</f>
        <v>1</v>
      </c>
      <c r="E121" s="96">
        <f>IFERROR(__xludf.DUMMYFUNCTION("""COMPUTED_VALUE"""),1.0)</f>
        <v>1</v>
      </c>
      <c r="F121" s="97">
        <f>IFERROR(__xludf.DUMMYFUNCTION("""COMPUTED_VALUE"""),8.0)</f>
        <v>8</v>
      </c>
      <c r="G121" s="97">
        <f>IFERROR(__xludf.DUMMYFUNCTION("""COMPUTED_VALUE"""),0.0)</f>
        <v>0</v>
      </c>
      <c r="H121" s="97">
        <f>IFERROR(__xludf.DUMMYFUNCTION("""COMPUTED_VALUE"""),6.0)</f>
        <v>6</v>
      </c>
      <c r="I121" s="97">
        <f>IFERROR(__xludf.DUMMYFUNCTION("""COMPUTED_VALUE"""),2.0)</f>
        <v>2</v>
      </c>
      <c r="J121" s="97">
        <f>IFERROR(__xludf.DUMMYFUNCTION("""COMPUTED_VALUE"""),4.0)</f>
        <v>4</v>
      </c>
      <c r="K121" s="97">
        <f>IFERROR(__xludf.DUMMYFUNCTION("""COMPUTED_VALUE"""),12.0)</f>
        <v>12</v>
      </c>
      <c r="L121" s="97">
        <f>IFERROR(__xludf.DUMMYFUNCTION("""COMPUTED_VALUE"""),1.0)</f>
        <v>1</v>
      </c>
      <c r="M121" s="98">
        <f>IFERROR(__xludf.DUMMYFUNCTION("""COMPUTED_VALUE"""),79.0)</f>
        <v>79</v>
      </c>
      <c r="N121" s="98">
        <f>IFERROR(__xludf.DUMMYFUNCTION("""COMPUTED_VALUE"""),2.0)</f>
        <v>2</v>
      </c>
    </row>
    <row r="122">
      <c r="A122" s="11"/>
      <c r="B122" s="84" t="str">
        <f>IFERROR(__xludf.DUMMYFUNCTION("""COMPUTED_VALUE"""),"Rajesh Dorairaj")</f>
        <v>Rajesh Dorairaj</v>
      </c>
      <c r="C122" s="95">
        <f>IFERROR(__xludf.DUMMYFUNCTION("""COMPUTED_VALUE"""),66.0)</f>
        <v>66</v>
      </c>
      <c r="D122" s="95">
        <f>IFERROR(__xludf.DUMMYFUNCTION("""COMPUTED_VALUE"""),1.0)</f>
        <v>1</v>
      </c>
      <c r="E122" s="96">
        <f>IFERROR(__xludf.DUMMYFUNCTION("""COMPUTED_VALUE"""),1.0)</f>
        <v>1</v>
      </c>
      <c r="F122" s="97">
        <f>IFERROR(__xludf.DUMMYFUNCTION("""COMPUTED_VALUE"""),8.0)</f>
        <v>8</v>
      </c>
      <c r="G122" s="97">
        <f>IFERROR(__xludf.DUMMYFUNCTION("""COMPUTED_VALUE"""),0.0)</f>
        <v>0</v>
      </c>
      <c r="H122" s="97">
        <f>IFERROR(__xludf.DUMMYFUNCTION("""COMPUTED_VALUE"""),0.0)</f>
        <v>0</v>
      </c>
      <c r="I122" s="97">
        <f>IFERROR(__xludf.DUMMYFUNCTION("""COMPUTED_VALUE"""),6.0)</f>
        <v>6</v>
      </c>
      <c r="J122" s="97">
        <f>IFERROR(__xludf.DUMMYFUNCTION("""COMPUTED_VALUE"""),6.0)</f>
        <v>6</v>
      </c>
      <c r="K122" s="97">
        <f>IFERROR(__xludf.DUMMYFUNCTION("""COMPUTED_VALUE"""),12.0)</f>
        <v>12</v>
      </c>
      <c r="L122" s="97">
        <f>IFERROR(__xludf.DUMMYFUNCTION("""COMPUTED_VALUE"""),1.0)</f>
        <v>1</v>
      </c>
      <c r="M122" s="98">
        <f>IFERROR(__xludf.DUMMYFUNCTION("""COMPUTED_VALUE"""),78.0)</f>
        <v>78</v>
      </c>
      <c r="N122" s="98">
        <f>IFERROR(__xludf.DUMMYFUNCTION("""COMPUTED_VALUE"""),2.0)</f>
        <v>2</v>
      </c>
    </row>
    <row r="123">
      <c r="A123" s="11"/>
      <c r="B123" s="84" t="str">
        <f>IFERROR(__xludf.DUMMYFUNCTION("""COMPUTED_VALUE"""),"Manish Anand")</f>
        <v>Manish Anand</v>
      </c>
      <c r="C123" s="95">
        <f>IFERROR(__xludf.DUMMYFUNCTION("""COMPUTED_VALUE"""),63.0)</f>
        <v>63</v>
      </c>
      <c r="D123" s="95">
        <f>IFERROR(__xludf.DUMMYFUNCTION("""COMPUTED_VALUE"""),0.0)</f>
        <v>0</v>
      </c>
      <c r="E123" s="96">
        <f>IFERROR(__xludf.DUMMYFUNCTION("""COMPUTED_VALUE"""),1.0)</f>
        <v>1</v>
      </c>
      <c r="F123" s="97">
        <f>IFERROR(__xludf.DUMMYFUNCTION("""COMPUTED_VALUE"""),8.0)</f>
        <v>8</v>
      </c>
      <c r="G123" s="97">
        <f>IFERROR(__xludf.DUMMYFUNCTION("""COMPUTED_VALUE"""),0.0)</f>
        <v>0</v>
      </c>
      <c r="H123" s="97">
        <f>IFERROR(__xludf.DUMMYFUNCTION("""COMPUTED_VALUE"""),6.0)</f>
        <v>6</v>
      </c>
      <c r="I123" s="97">
        <f>IFERROR(__xludf.DUMMYFUNCTION("""COMPUTED_VALUE"""),6.0)</f>
        <v>6</v>
      </c>
      <c r="J123" s="97">
        <f>IFERROR(__xludf.DUMMYFUNCTION("""COMPUTED_VALUE"""),6.0)</f>
        <v>6</v>
      </c>
      <c r="K123" s="97">
        <f>IFERROR(__xludf.DUMMYFUNCTION("""COMPUTED_VALUE"""),18.0)</f>
        <v>18</v>
      </c>
      <c r="L123" s="97">
        <f>IFERROR(__xludf.DUMMYFUNCTION("""COMPUTED_VALUE"""),3.0)</f>
        <v>3</v>
      </c>
      <c r="M123" s="98">
        <f>IFERROR(__xludf.DUMMYFUNCTION("""COMPUTED_VALUE"""),81.0)</f>
        <v>81</v>
      </c>
      <c r="N123" s="98">
        <f>IFERROR(__xludf.DUMMYFUNCTION("""COMPUTED_VALUE"""),3.0)</f>
        <v>3</v>
      </c>
    </row>
    <row r="124">
      <c r="A124" s="11"/>
      <c r="B124" s="84" t="str">
        <f>IFERROR(__xludf.DUMMYFUNCTION("""COMPUTED_VALUE"""),"Joyce Zhu")</f>
        <v>Joyce Zhu</v>
      </c>
      <c r="C124" s="95">
        <f>IFERROR(__xludf.DUMMYFUNCTION("""COMPUTED_VALUE"""),59.0)</f>
        <v>59</v>
      </c>
      <c r="D124" s="95">
        <f>IFERROR(__xludf.DUMMYFUNCTION("""COMPUTED_VALUE"""),3.0)</f>
        <v>3</v>
      </c>
      <c r="E124" s="96">
        <f>IFERROR(__xludf.DUMMYFUNCTION("""COMPUTED_VALUE"""),1.0)</f>
        <v>1</v>
      </c>
      <c r="F124" s="97">
        <f>IFERROR(__xludf.DUMMYFUNCTION("""COMPUTED_VALUE"""),8.0)</f>
        <v>8</v>
      </c>
      <c r="G124" s="97">
        <f>IFERROR(__xludf.DUMMYFUNCTION("""COMPUTED_VALUE"""),0.0)</f>
        <v>0</v>
      </c>
      <c r="H124" s="97">
        <f>IFERROR(__xludf.DUMMYFUNCTION("""COMPUTED_VALUE"""),0.0)</f>
        <v>0</v>
      </c>
      <c r="I124" s="97">
        <f>IFERROR(__xludf.DUMMYFUNCTION("""COMPUTED_VALUE"""),2.0)</f>
        <v>2</v>
      </c>
      <c r="J124" s="97">
        <f>IFERROR(__xludf.DUMMYFUNCTION("""COMPUTED_VALUE"""),6.0)</f>
        <v>6</v>
      </c>
      <c r="K124" s="97">
        <f>IFERROR(__xludf.DUMMYFUNCTION("""COMPUTED_VALUE"""),8.0)</f>
        <v>8</v>
      </c>
      <c r="L124" s="97">
        <f>IFERROR(__xludf.DUMMYFUNCTION("""COMPUTED_VALUE"""),1.0)</f>
        <v>1</v>
      </c>
      <c r="M124" s="98">
        <f>IFERROR(__xludf.DUMMYFUNCTION("""COMPUTED_VALUE"""),67.0)</f>
        <v>67</v>
      </c>
      <c r="N124" s="98">
        <f>IFERROR(__xludf.DUMMYFUNCTION("""COMPUTED_VALUE"""),4.0)</f>
        <v>4</v>
      </c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C134" s="11"/>
      <c r="D134" s="11"/>
      <c r="E134" s="11"/>
    </row>
    <row r="135">
      <c r="A135" s="11"/>
      <c r="B135" s="10" t="s">
        <v>166</v>
      </c>
      <c r="C135" s="11"/>
      <c r="D135" s="11"/>
      <c r="E135" s="11"/>
    </row>
    <row r="136">
      <c r="A136" s="11"/>
      <c r="B136" s="27" t="s">
        <v>31</v>
      </c>
      <c r="C136" s="29" t="s">
        <v>2</v>
      </c>
      <c r="D136" s="29" t="s">
        <v>4</v>
      </c>
      <c r="E136" s="29" t="s">
        <v>33</v>
      </c>
      <c r="F136" s="29" t="s">
        <v>35</v>
      </c>
      <c r="G136" s="29" t="s">
        <v>36</v>
      </c>
      <c r="H136" s="29" t="s">
        <v>6</v>
      </c>
      <c r="I136" s="29" t="s">
        <v>7</v>
      </c>
      <c r="J136" s="29" t="s">
        <v>8</v>
      </c>
      <c r="K136" s="29" t="s">
        <v>2</v>
      </c>
      <c r="L136" s="29" t="s">
        <v>4</v>
      </c>
      <c r="M136" s="28" t="s">
        <v>2</v>
      </c>
      <c r="N136" s="28" t="s">
        <v>4</v>
      </c>
    </row>
    <row r="137">
      <c r="A137" s="11"/>
      <c r="B137" s="82" t="str">
        <f>IFERROR(__xludf.DUMMYFUNCTION("QUERY(B5:N70, ""Select B, C, D, E, F, G, H, I, J, K, L, M, N   where F = 0"")"),"Luis Hsu")</f>
        <v>Luis Hsu</v>
      </c>
      <c r="C137" s="87">
        <f>IFERROR(__xludf.DUMMYFUNCTION("""COMPUTED_VALUE"""),107.0)</f>
        <v>107</v>
      </c>
      <c r="D137" s="87">
        <f>IFERROR(__xludf.DUMMYFUNCTION("""COMPUTED_VALUE"""),12.0)</f>
        <v>12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IFERROR(__xludf.DUMMYFUNCTION("""COMPUTED_VALUE"""),116.0)</f>
        <v>116</v>
      </c>
      <c r="N137" s="89">
        <f>IFERROR(__xludf.DUMMYFUNCTION("""COMPUTED_VALUE"""),12.0)</f>
        <v>12</v>
      </c>
    </row>
    <row r="138">
      <c r="A138" s="11"/>
      <c r="B138" s="82" t="str">
        <f>IFERROR(__xludf.DUMMYFUNCTION("""COMPUTED_VALUE"""),"Alejandro Mejia")</f>
        <v>Alejandro Mejia</v>
      </c>
      <c r="C138" s="87">
        <f>IFERROR(__xludf.DUMMYFUNCTION("""COMPUTED_VALUE"""),98.0)</f>
        <v>98</v>
      </c>
      <c r="D138" s="87">
        <f>IFERROR(__xludf.DUMMYFUNCTION("""COMPUTED_VALUE"""),12.0)</f>
        <v>12</v>
      </c>
      <c r="E138" s="86">
        <f>IFERROR(__xludf.DUMMYFUNCTION("""COMPUTED_VALUE"""),3.0)</f>
        <v>3</v>
      </c>
      <c r="F138" s="88">
        <f>IFERROR(__xludf.DUMMYFUNCTION("""COMPUTED_VALUE"""),0.0)</f>
        <v>0</v>
      </c>
      <c r="G138" s="88">
        <f>IFERROR(__xludf.DUMMYFUNCTION("""COMPUTED_VALUE"""),9.0)</f>
        <v>9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IFERROR(__xludf.DUMMYFUNCTION("""COMPUTED_VALUE"""),9.0)</f>
        <v>9</v>
      </c>
      <c r="L138" s="88">
        <f>IFERROR(__xludf.DUMMYFUNCTION("""COMPUTED_VALUE"""),0.0)</f>
        <v>0</v>
      </c>
      <c r="M138" s="89">
        <f>IFERROR(__xludf.DUMMYFUNCTION("""COMPUTED_VALUE"""),107.0)</f>
        <v>107</v>
      </c>
      <c r="N138" s="89">
        <f>IFERROR(__xludf.DUMMYFUNCTION("""COMPUTED_VALUE"""),12.0)</f>
        <v>12</v>
      </c>
    </row>
    <row r="139">
      <c r="A139" s="11"/>
      <c r="B139" s="82" t="str">
        <f>IFERROR(__xludf.DUMMYFUNCTION("""COMPUTED_VALUE"""),"Jonathan Phan")</f>
        <v>Jonathan Phan</v>
      </c>
      <c r="C139" s="87">
        <f>IFERROR(__xludf.DUMMYFUNCTION("""COMPUTED_VALUE"""),89.0)</f>
        <v>89</v>
      </c>
      <c r="D139" s="87">
        <f>IFERROR(__xludf.DUMMYFUNCTION("""COMPUTED_VALUE"""),8.0)</f>
        <v>8</v>
      </c>
      <c r="E139" s="86">
        <f>IFERROR(__xludf.DUMMYFUNCTION("""COMPUTED_VALUE"""),5.0)</f>
        <v>5</v>
      </c>
      <c r="F139" s="88">
        <f>IFERROR(__xludf.DUMMYFUNCTION("""COMPUTED_VALUE"""),0.0)</f>
        <v>0</v>
      </c>
      <c r="G139" s="88">
        <f>IFERROR(__xludf.DUMMYFUNCTION("""COMPUTED_VALUE"""),13.0)</f>
        <v>13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IFERROR(__xludf.DUMMYFUNCTION("""COMPUTED_VALUE"""),13.0)</f>
        <v>13</v>
      </c>
      <c r="L139" s="88">
        <f>IFERROR(__xludf.DUMMYFUNCTION("""COMPUTED_VALUE"""),0.0)</f>
        <v>0</v>
      </c>
      <c r="M139" s="89">
        <f>IFERROR(__xludf.DUMMYFUNCTION("""COMPUTED_VALUE"""),102.0)</f>
        <v>102</v>
      </c>
      <c r="N139" s="89">
        <f>IFERROR(__xludf.DUMMYFUNCTION("""COMPUTED_VALUE"""),8.0)</f>
        <v>8</v>
      </c>
    </row>
    <row r="140">
      <c r="A140" s="11"/>
      <c r="B140" s="82" t="str">
        <f>IFERROR(__xludf.DUMMYFUNCTION("""COMPUTED_VALUE"""),"Lam Bui")</f>
        <v>Lam Bui</v>
      </c>
      <c r="C140" s="87">
        <f>IFERROR(__xludf.DUMMYFUNCTION("""COMPUTED_VALUE"""),89.0)</f>
        <v>89</v>
      </c>
      <c r="D140" s="87">
        <f>IFERROR(__xludf.DUMMYFUNCTION("""COMPUTED_VALUE"""),7.0)</f>
        <v>7</v>
      </c>
      <c r="E140" s="86">
        <f>IFERROR(__xludf.DUMMYFUNCTION("""COMPUTED_VALUE"""),3.0)</f>
        <v>3</v>
      </c>
      <c r="F140" s="88">
        <f>IFERROR(__xludf.DUMMYFUNCTION("""COMPUTED_VALUE"""),0.0)</f>
        <v>0</v>
      </c>
      <c r="G140" s="88">
        <f>IFERROR(__xludf.DUMMYFUNCTION("""COMPUTED_VALUE"""),9.0)</f>
        <v>9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IFERROR(__xludf.DUMMYFUNCTION("""COMPUTED_VALUE"""),9.0)</f>
        <v>9</v>
      </c>
      <c r="L140" s="88">
        <f>IFERROR(__xludf.DUMMYFUNCTION("""COMPUTED_VALUE"""),0.0)</f>
        <v>0</v>
      </c>
      <c r="M140" s="89">
        <f>IFERROR(__xludf.DUMMYFUNCTION("""COMPUTED_VALUE"""),98.0)</f>
        <v>98</v>
      </c>
      <c r="N140" s="89">
        <f>IFERROR(__xludf.DUMMYFUNCTION("""COMPUTED_VALUE"""),7.0)</f>
        <v>7</v>
      </c>
    </row>
    <row r="141">
      <c r="A141" s="11"/>
      <c r="B141" s="82" t="str">
        <f>IFERROR(__xludf.DUMMYFUNCTION("""COMPUTED_VALUE"""),"Cid Macaraeg")</f>
        <v>Cid Macaraeg</v>
      </c>
      <c r="C141" s="87">
        <f>IFERROR(__xludf.DUMMYFUNCTION("""COMPUTED_VALUE"""),89.0)</f>
        <v>89</v>
      </c>
      <c r="D141" s="87">
        <f>IFERROR(__xludf.DUMMYFUNCTION("""COMPUTED_VALUE"""),7.0)</f>
        <v>7</v>
      </c>
      <c r="E141" s="86">
        <f>IFERROR(__xludf.DUMMYFUNCTION("""COMPUTED_VALUE"""),5.0)</f>
        <v>5</v>
      </c>
      <c r="F141" s="88">
        <f>IFERROR(__xludf.DUMMYFUNCTION("""COMPUTED_VALUE"""),0.0)</f>
        <v>0</v>
      </c>
      <c r="G141" s="88">
        <f>IFERROR(__xludf.DUMMYFUNCTION("""COMPUTED_VALUE"""),13.0)</f>
        <v>13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IFERROR(__xludf.DUMMYFUNCTION("""COMPUTED_VALUE"""),13.0)</f>
        <v>13</v>
      </c>
      <c r="L141" s="88">
        <f>IFERROR(__xludf.DUMMYFUNCTION("""COMPUTED_VALUE"""),0.0)</f>
        <v>0</v>
      </c>
      <c r="M141" s="89">
        <f>IFERROR(__xludf.DUMMYFUNCTION("""COMPUTED_VALUE"""),102.0)</f>
        <v>102</v>
      </c>
      <c r="N141" s="89">
        <f>IFERROR(__xludf.DUMMYFUNCTION("""COMPUTED_VALUE"""),7.0)</f>
        <v>7</v>
      </c>
    </row>
    <row r="142">
      <c r="A142" s="11"/>
      <c r="B142" s="82" t="str">
        <f>IFERROR(__xludf.DUMMYFUNCTION("""COMPUTED_VALUE"""),"Matthew Huang")</f>
        <v>Matthew Huang</v>
      </c>
      <c r="C142" s="87">
        <f>IFERROR(__xludf.DUMMYFUNCTION("""COMPUTED_VALUE"""),87.0)</f>
        <v>87</v>
      </c>
      <c r="D142" s="87">
        <f>IFERROR(__xludf.DUMMYFUNCTION("""COMPUTED_VALUE"""),10.0)</f>
        <v>10</v>
      </c>
      <c r="E142" s="86">
        <f>IFERROR(__xludf.DUMMYFUNCTION("""COMPUTED_VALUE"""),5.0)</f>
        <v>5</v>
      </c>
      <c r="F142" s="88">
        <f>IFERROR(__xludf.DUMMYFUNCTION("""COMPUTED_VALUE"""),0.0)</f>
        <v>0</v>
      </c>
      <c r="G142" s="88">
        <f>IFERROR(__xludf.DUMMYFUNCTION("""COMPUTED_VALUE"""),13.0)</f>
        <v>13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IFERROR(__xludf.DUMMYFUNCTION("""COMPUTED_VALUE"""),13.0)</f>
        <v>13</v>
      </c>
      <c r="L142" s="88">
        <f>IFERROR(__xludf.DUMMYFUNCTION("""COMPUTED_VALUE"""),0.0)</f>
        <v>0</v>
      </c>
      <c r="M142" s="89">
        <f>IFERROR(__xludf.DUMMYFUNCTION("""COMPUTED_VALUE"""),100.0)</f>
        <v>100</v>
      </c>
      <c r="N142" s="89">
        <f>IFERROR(__xludf.DUMMYFUNCTION("""COMPUTED_VALUE"""),10.0)</f>
        <v>10</v>
      </c>
    </row>
    <row r="143">
      <c r="A143" s="11"/>
      <c r="B143" s="82" t="str">
        <f>IFERROR(__xludf.DUMMYFUNCTION("""COMPUTED_VALUE"""),"Herman Au")</f>
        <v>Herman Au</v>
      </c>
      <c r="C143" s="87">
        <f>IFERROR(__xludf.DUMMYFUNCTION("""COMPUTED_VALUE"""),87.0)</f>
        <v>87</v>
      </c>
      <c r="D143" s="87">
        <f>IFERROR(__xludf.DUMMYFUNCTION("""COMPUTED_VALUE"""),7.0)</f>
        <v>7</v>
      </c>
      <c r="E143" s="86">
        <f>IFERROR(__xludf.DUMMYFUNCTION("""COMPUTED_VALUE"""),5.0)</f>
        <v>5</v>
      </c>
      <c r="F143" s="88">
        <f>IFERROR(__xludf.DUMMYFUNCTION("""COMPUTED_VALUE"""),0.0)</f>
        <v>0</v>
      </c>
      <c r="G143" s="88">
        <f>IFERROR(__xludf.DUMMYFUNCTION("""COMPUTED_VALUE"""),13.0)</f>
        <v>13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IFERROR(__xludf.DUMMYFUNCTION("""COMPUTED_VALUE"""),13.0)</f>
        <v>13</v>
      </c>
      <c r="L143" s="88">
        <f>IFERROR(__xludf.DUMMYFUNCTION("""COMPUTED_VALUE"""),0.0)</f>
        <v>0</v>
      </c>
      <c r="M143" s="89">
        <f>IFERROR(__xludf.DUMMYFUNCTION("""COMPUTED_VALUE"""),100.0)</f>
        <v>100</v>
      </c>
      <c r="N143" s="89">
        <f>IFERROR(__xludf.DUMMYFUNCTION("""COMPUTED_VALUE"""),7.0)</f>
        <v>7</v>
      </c>
    </row>
    <row r="144">
      <c r="A144" s="11"/>
      <c r="B144" s="82" t="str">
        <f>IFERROR(__xludf.DUMMYFUNCTION("""COMPUTED_VALUE"""),"Erik Hoeckmann")</f>
        <v>Erik Hoeckmann</v>
      </c>
      <c r="C144" s="87">
        <f>IFERROR(__xludf.DUMMYFUNCTION("""COMPUTED_VALUE"""),85.0)</f>
        <v>85</v>
      </c>
      <c r="D144" s="87">
        <f>IFERROR(__xludf.DUMMYFUNCTION("""COMPUTED_VALUE"""),9.0)</f>
        <v>9</v>
      </c>
      <c r="E144" s="86">
        <f>IFERROR(__xludf.DUMMYFUNCTION("""COMPUTED_VALUE"""),5.0)</f>
        <v>5</v>
      </c>
      <c r="F144" s="88">
        <f>IFERROR(__xludf.DUMMYFUNCTION("""COMPUTED_VALUE"""),0.0)</f>
        <v>0</v>
      </c>
      <c r="G144" s="88">
        <f>IFERROR(__xludf.DUMMYFUNCTION("""COMPUTED_VALUE"""),13.0)</f>
        <v>13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IFERROR(__xludf.DUMMYFUNCTION("""COMPUTED_VALUE"""),13.0)</f>
        <v>13</v>
      </c>
      <c r="L144" s="88">
        <f>IFERROR(__xludf.DUMMYFUNCTION("""COMPUTED_VALUE"""),0.0)</f>
        <v>0</v>
      </c>
      <c r="M144" s="89">
        <f>IFERROR(__xludf.DUMMYFUNCTION("""COMPUTED_VALUE"""),98.0)</f>
        <v>98</v>
      </c>
      <c r="N144" s="89">
        <f>IFERROR(__xludf.DUMMYFUNCTION("""COMPUTED_VALUE"""),9.0)</f>
        <v>9</v>
      </c>
    </row>
    <row r="145">
      <c r="A145" s="11"/>
      <c r="B145" s="82" t="str">
        <f>IFERROR(__xludf.DUMMYFUNCTION("""COMPUTED_VALUE"""),"Trish Newlin")</f>
        <v>Trish Newlin</v>
      </c>
      <c r="C145" s="87">
        <f>IFERROR(__xludf.DUMMYFUNCTION("""COMPUTED_VALUE"""),84.0)</f>
        <v>84</v>
      </c>
      <c r="D145" s="87">
        <f>IFERROR(__xludf.DUMMYFUNCTION("""COMPUTED_VALUE"""),6.0)</f>
        <v>6</v>
      </c>
      <c r="E145" s="86">
        <f>IFERROR(__xludf.DUMMYFUNCTION("""COMPUTED_VALUE"""),3.0)</f>
        <v>3</v>
      </c>
      <c r="F145" s="88">
        <f>IFERROR(__xludf.DUMMYFUNCTION("""COMPUTED_VALUE"""),0.0)</f>
        <v>0</v>
      </c>
      <c r="G145" s="88">
        <f>IFERROR(__xludf.DUMMYFUNCTION("""COMPUTED_VALUE"""),9.0)</f>
        <v>9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IFERROR(__xludf.DUMMYFUNCTION("""COMPUTED_VALUE"""),9.0)</f>
        <v>9</v>
      </c>
      <c r="L145" s="88">
        <f>IFERROR(__xludf.DUMMYFUNCTION("""COMPUTED_VALUE"""),0.0)</f>
        <v>0</v>
      </c>
      <c r="M145" s="89">
        <f>IFERROR(__xludf.DUMMYFUNCTION("""COMPUTED_VALUE"""),93.0)</f>
        <v>93</v>
      </c>
      <c r="N145" s="89">
        <f>IFERROR(__xludf.DUMMYFUNCTION("""COMPUTED_VALUE"""),6.0)</f>
        <v>6</v>
      </c>
    </row>
    <row r="146">
      <c r="A146" s="11"/>
      <c r="B146" s="82" t="str">
        <f>IFERROR(__xludf.DUMMYFUNCTION("""COMPUTED_VALUE"""),"Andrew Wen")</f>
        <v>Andrew Wen</v>
      </c>
      <c r="C146" s="87">
        <f>IFERROR(__xludf.DUMMYFUNCTION("""COMPUTED_VALUE"""),83.0)</f>
        <v>83</v>
      </c>
      <c r="D146" s="87">
        <f>IFERROR(__xludf.DUMMYFUNCTION("""COMPUTED_VALUE"""),4.0)</f>
        <v>4</v>
      </c>
      <c r="E146" s="86">
        <f>IFERROR(__xludf.DUMMYFUNCTION("""COMPUTED_VALUE"""),5.0)</f>
        <v>5</v>
      </c>
      <c r="F146" s="88">
        <f>IFERROR(__xludf.DUMMYFUNCTION("""COMPUTED_VALUE"""),0.0)</f>
        <v>0</v>
      </c>
      <c r="G146" s="88">
        <f>IFERROR(__xludf.DUMMYFUNCTION("""COMPUTED_VALUE"""),13.0)</f>
        <v>13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IFERROR(__xludf.DUMMYFUNCTION("""COMPUTED_VALUE"""),13.0)</f>
        <v>13</v>
      </c>
      <c r="L146" s="88">
        <f>IFERROR(__xludf.DUMMYFUNCTION("""COMPUTED_VALUE"""),0.0)</f>
        <v>0</v>
      </c>
      <c r="M146" s="89">
        <f>IFERROR(__xludf.DUMMYFUNCTION("""COMPUTED_VALUE"""),96.0)</f>
        <v>96</v>
      </c>
      <c r="N146" s="89">
        <f>IFERROR(__xludf.DUMMYFUNCTION("""COMPUTED_VALUE"""),4.0)</f>
        <v>4</v>
      </c>
    </row>
    <row r="147">
      <c r="A147" s="11"/>
      <c r="B147" s="82" t="str">
        <f>IFERROR(__xludf.DUMMYFUNCTION("""COMPUTED_VALUE"""),"Lloyd Sagar")</f>
        <v>Lloyd Sagar</v>
      </c>
      <c r="C147" s="87">
        <f>IFERROR(__xludf.DUMMYFUNCTION("""COMPUTED_VALUE"""),81.0)</f>
        <v>81</v>
      </c>
      <c r="D147" s="87">
        <f>IFERROR(__xludf.DUMMYFUNCTION("""COMPUTED_VALUE"""),5.0)</f>
        <v>5</v>
      </c>
      <c r="E147" s="86">
        <f>IFERROR(__xludf.DUMMYFUNCTION("""COMPUTED_VALUE"""),5.0)</f>
        <v>5</v>
      </c>
      <c r="F147" s="88">
        <f>IFERROR(__xludf.DUMMYFUNCTION("""COMPUTED_VALUE"""),0.0)</f>
        <v>0</v>
      </c>
      <c r="G147" s="88">
        <f>IFERROR(__xludf.DUMMYFUNCTION("""COMPUTED_VALUE"""),13.0)</f>
        <v>13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IFERROR(__xludf.DUMMYFUNCTION("""COMPUTED_VALUE"""),13.0)</f>
        <v>13</v>
      </c>
      <c r="L147" s="88">
        <f>IFERROR(__xludf.DUMMYFUNCTION("""COMPUTED_VALUE"""),0.0)</f>
        <v>0</v>
      </c>
      <c r="M147" s="89">
        <f>IFERROR(__xludf.DUMMYFUNCTION("""COMPUTED_VALUE"""),94.0)</f>
        <v>94</v>
      </c>
      <c r="N147" s="89">
        <f>IFERROR(__xludf.DUMMYFUNCTION("""COMPUTED_VALUE"""),5.0)</f>
        <v>5</v>
      </c>
    </row>
    <row r="148">
      <c r="A148" s="11"/>
      <c r="B148" s="82" t="str">
        <f>IFERROR(__xludf.DUMMYFUNCTION("""COMPUTED_VALUE"""),"Vamsi Lolla ")</f>
        <v>Vamsi Lolla </v>
      </c>
      <c r="C148" s="87">
        <f>IFERROR(__xludf.DUMMYFUNCTION("""COMPUTED_VALUE"""),81.0)</f>
        <v>81</v>
      </c>
      <c r="D148" s="87">
        <f>IFERROR(__xludf.DUMMYFUNCTION("""COMPUTED_VALUE"""),5.0)</f>
        <v>5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IFERROR(__xludf.DUMMYFUNCTION("""COMPUTED_VALUE"""),90.0)</f>
        <v>90</v>
      </c>
      <c r="N148" s="89">
        <f>IFERROR(__xludf.DUMMYFUNCTION("""COMPUTED_VALUE"""),5.0)</f>
        <v>5</v>
      </c>
    </row>
    <row r="149">
      <c r="A149" s="11"/>
      <c r="B149" s="82" t="str">
        <f>IFERROR(__xludf.DUMMYFUNCTION("""COMPUTED_VALUE"""),"Trinath Goteti")</f>
        <v>Trinath Goteti</v>
      </c>
      <c r="C149" s="87">
        <f>IFERROR(__xludf.DUMMYFUNCTION("""COMPUTED_VALUE"""),76.0)</f>
        <v>76</v>
      </c>
      <c r="D149" s="87">
        <f>IFERROR(__xludf.DUMMYFUNCTION("""COMPUTED_VALUE"""),4.0)</f>
        <v>4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IFERROR(__xludf.DUMMYFUNCTION("""COMPUTED_VALUE"""),85.0)</f>
        <v>85</v>
      </c>
      <c r="N149" s="89">
        <f>IFERROR(__xludf.DUMMYFUNCTION("""COMPUTED_VALUE"""),4.0)</f>
        <v>4</v>
      </c>
    </row>
    <row r="150">
      <c r="A150" s="11"/>
      <c r="B150" s="82" t="str">
        <f>IFERROR(__xludf.DUMMYFUNCTION("""COMPUTED_VALUE"""),"Tony Lin")</f>
        <v>Tony Lin</v>
      </c>
      <c r="C150" s="87">
        <f>IFERROR(__xludf.DUMMYFUNCTION("""COMPUTED_VALUE"""),76.0)</f>
        <v>76</v>
      </c>
      <c r="D150" s="87">
        <f>IFERROR(__xludf.DUMMYFUNCTION("""COMPUTED_VALUE"""),3.0)</f>
        <v>3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IFERROR(__xludf.DUMMYFUNCTION("""COMPUTED_VALUE"""),85.0)</f>
        <v>85</v>
      </c>
      <c r="N150" s="89">
        <f>IFERROR(__xludf.DUMMYFUNCTION("""COMPUTED_VALUE"""),3.0)</f>
        <v>3</v>
      </c>
    </row>
    <row r="151">
      <c r="A151" s="11"/>
      <c r="B151" s="82" t="str">
        <f>IFERROR(__xludf.DUMMYFUNCTION("""COMPUTED_VALUE"""),"Elayaraja Thangaraj ")</f>
        <v>Elayaraja Thangaraj </v>
      </c>
      <c r="C151" s="87">
        <f>IFERROR(__xludf.DUMMYFUNCTION("""COMPUTED_VALUE"""),76.0)</f>
        <v>76</v>
      </c>
      <c r="D151" s="87">
        <f>IFERROR(__xludf.DUMMYFUNCTION("""COMPUTED_VALUE"""),2.0)</f>
        <v>2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IFERROR(__xludf.DUMMYFUNCTION("""COMPUTED_VALUE"""),85.0)</f>
        <v>85</v>
      </c>
      <c r="N151" s="89">
        <f>IFERROR(__xludf.DUMMYFUNCTION("""COMPUTED_VALUE"""),2.0)</f>
        <v>2</v>
      </c>
    </row>
    <row r="152">
      <c r="A152" s="11"/>
      <c r="B152" s="82" t="str">
        <f>IFERROR(__xludf.DUMMYFUNCTION("""COMPUTED_VALUE"""),"Coco Yan")</f>
        <v>Coco Yan</v>
      </c>
      <c r="C152" s="87">
        <f>IFERROR(__xludf.DUMMYFUNCTION("""COMPUTED_VALUE"""),75.0)</f>
        <v>75</v>
      </c>
      <c r="D152" s="87">
        <f>IFERROR(__xludf.DUMMYFUNCTION("""COMPUTED_VALUE"""),6.0)</f>
        <v>6</v>
      </c>
      <c r="E152" s="86">
        <f>IFERROR(__xludf.DUMMYFUNCTION("""COMPUTED_VALUE"""),5.0)</f>
        <v>5</v>
      </c>
      <c r="F152" s="88">
        <f>IFERROR(__xludf.DUMMYFUNCTION("""COMPUTED_VALUE"""),0.0)</f>
        <v>0</v>
      </c>
      <c r="G152" s="88">
        <f>IFERROR(__xludf.DUMMYFUNCTION("""COMPUTED_VALUE"""),13.0)</f>
        <v>13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IFERROR(__xludf.DUMMYFUNCTION("""COMPUTED_VALUE"""),13.0)</f>
        <v>13</v>
      </c>
      <c r="L152" s="88">
        <f>IFERROR(__xludf.DUMMYFUNCTION("""COMPUTED_VALUE"""),0.0)</f>
        <v>0</v>
      </c>
      <c r="M152" s="89">
        <f>IFERROR(__xludf.DUMMYFUNCTION("""COMPUTED_VALUE"""),88.0)</f>
        <v>88</v>
      </c>
      <c r="N152" s="89">
        <f>IFERROR(__xludf.DUMMYFUNCTION("""COMPUTED_VALUE"""),6.0)</f>
        <v>6</v>
      </c>
    </row>
    <row r="153">
      <c r="A153" s="11"/>
      <c r="B153" s="82" t="str">
        <f>IFERROR(__xludf.DUMMYFUNCTION("""COMPUTED_VALUE"""),"Susanta Mishra")</f>
        <v>Susanta Mishra</v>
      </c>
      <c r="C153" s="87">
        <f>IFERROR(__xludf.DUMMYFUNCTION("""COMPUTED_VALUE"""),75.0)</f>
        <v>75</v>
      </c>
      <c r="D153" s="87">
        <f>IFERROR(__xludf.DUMMYFUNCTION("""COMPUTED_VALUE"""),3.0)</f>
        <v>3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IFERROR(__xludf.DUMMYFUNCTION("""COMPUTED_VALUE"""),84.0)</f>
        <v>84</v>
      </c>
      <c r="N153" s="89">
        <f>IFERROR(__xludf.DUMMYFUNCTION("""COMPUTED_VALUE"""),3.0)</f>
        <v>3</v>
      </c>
    </row>
    <row r="154">
      <c r="A154" s="11"/>
      <c r="B154" s="82" t="str">
        <f>IFERROR(__xludf.DUMMYFUNCTION("""COMPUTED_VALUE"""),"Eric Pan")</f>
        <v>Eric Pan</v>
      </c>
      <c r="C154" s="87">
        <f>IFERROR(__xludf.DUMMYFUNCTION("""COMPUTED_VALUE"""),72.0)</f>
        <v>72</v>
      </c>
      <c r="D154" s="87">
        <f>IFERROR(__xludf.DUMMYFUNCTION("""COMPUTED_VALUE"""),3.0)</f>
        <v>3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IFERROR(__xludf.DUMMYFUNCTION("""COMPUTED_VALUE"""),81.0)</f>
        <v>81</v>
      </c>
      <c r="N154" s="89">
        <f>IFERROR(__xludf.DUMMYFUNCTION("""COMPUTED_VALUE"""),3.0)</f>
        <v>3</v>
      </c>
    </row>
    <row r="155">
      <c r="A155" s="11"/>
      <c r="B155" s="82" t="str">
        <f>IFERROR(__xludf.DUMMYFUNCTION("""COMPUTED_VALUE"""),"Vishnu Amarnath")</f>
        <v>Vishnu Amarnath</v>
      </c>
      <c r="C155" s="87">
        <f>IFERROR(__xludf.DUMMYFUNCTION("""COMPUTED_VALUE"""),72.0)</f>
        <v>72</v>
      </c>
      <c r="D155" s="87">
        <f>IFERROR(__xludf.DUMMYFUNCTION("""COMPUTED_VALUE"""),3.0)</f>
        <v>3</v>
      </c>
      <c r="E155" s="86">
        <f>IFERROR(__xludf.DUMMYFUNCTION("""COMPUTED_VALUE"""),3.0)</f>
        <v>3</v>
      </c>
      <c r="F155" s="88">
        <f>IFERROR(__xludf.DUMMYFUNCTION("""COMPUTED_VALUE"""),0.0)</f>
        <v>0</v>
      </c>
      <c r="G155" s="88">
        <f>IFERROR(__xludf.DUMMYFUNCTION("""COMPUTED_VALUE"""),9.0)</f>
        <v>9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IFERROR(__xludf.DUMMYFUNCTION("""COMPUTED_VALUE"""),9.0)</f>
        <v>9</v>
      </c>
      <c r="L155" s="88">
        <f>IFERROR(__xludf.DUMMYFUNCTION("""COMPUTED_VALUE"""),0.0)</f>
        <v>0</v>
      </c>
      <c r="M155" s="89">
        <f>IFERROR(__xludf.DUMMYFUNCTION("""COMPUTED_VALUE"""),81.0)</f>
        <v>81</v>
      </c>
      <c r="N155" s="89">
        <f>IFERROR(__xludf.DUMMYFUNCTION("""COMPUTED_VALUE"""),3.0)</f>
        <v>3</v>
      </c>
    </row>
    <row r="156">
      <c r="A156" s="11"/>
      <c r="B156" s="82" t="str">
        <f>IFERROR(__xludf.DUMMYFUNCTION("""COMPUTED_VALUE"""),"Pulkit Mathur")</f>
        <v>Pulkit Mathur</v>
      </c>
      <c r="C156" s="87">
        <f>IFERROR(__xludf.DUMMYFUNCTION("""COMPUTED_VALUE"""),72.0)</f>
        <v>72</v>
      </c>
      <c r="D156" s="87">
        <f>IFERROR(__xludf.DUMMYFUNCTION("""COMPUTED_VALUE"""),3.0)</f>
        <v>3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IFERROR(__xludf.DUMMYFUNCTION("""COMPUTED_VALUE"""),81.0)</f>
        <v>81</v>
      </c>
      <c r="N156" s="89">
        <f>IFERROR(__xludf.DUMMYFUNCTION("""COMPUTED_VALUE"""),3.0)</f>
        <v>3</v>
      </c>
    </row>
    <row r="157">
      <c r="A157" s="11"/>
      <c r="B157" s="82" t="str">
        <f>IFERROR(__xludf.DUMMYFUNCTION("""COMPUTED_VALUE"""),"Sanjaye Elayattu")</f>
        <v>Sanjaye Elayattu</v>
      </c>
      <c r="C157" s="87">
        <f>IFERROR(__xludf.DUMMYFUNCTION("""COMPUTED_VALUE"""),71.0)</f>
        <v>71</v>
      </c>
      <c r="D157" s="87">
        <f>IFERROR(__xludf.DUMMYFUNCTION("""COMPUTED_VALUE"""),2.0)</f>
        <v>2</v>
      </c>
      <c r="E157" s="86">
        <f>IFERROR(__xludf.DUMMYFUNCTION("""COMPUTED_VALUE"""),5.0)</f>
        <v>5</v>
      </c>
      <c r="F157" s="88">
        <f>IFERROR(__xludf.DUMMYFUNCTION("""COMPUTED_VALUE"""),0.0)</f>
        <v>0</v>
      </c>
      <c r="G157" s="88">
        <f>IFERROR(__xludf.DUMMYFUNCTION("""COMPUTED_VALUE"""),13.0)</f>
        <v>13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IFERROR(__xludf.DUMMYFUNCTION("""COMPUTED_VALUE"""),13.0)</f>
        <v>13</v>
      </c>
      <c r="L157" s="88">
        <f>IFERROR(__xludf.DUMMYFUNCTION("""COMPUTED_VALUE"""),0.0)</f>
        <v>0</v>
      </c>
      <c r="M157" s="89">
        <f>IFERROR(__xludf.DUMMYFUNCTION("""COMPUTED_VALUE"""),84.0)</f>
        <v>84</v>
      </c>
      <c r="N157" s="89">
        <f>IFERROR(__xludf.DUMMYFUNCTION("""COMPUTED_VALUE"""),2.0)</f>
        <v>2</v>
      </c>
    </row>
    <row r="158">
      <c r="A158" s="11"/>
      <c r="B158" s="82" t="str">
        <f>IFERROR(__xludf.DUMMYFUNCTION("""COMPUTED_VALUE"""),"Leigh-Anh Nguyen")</f>
        <v>Leigh-Anh Nguyen</v>
      </c>
      <c r="C158" s="87">
        <f>IFERROR(__xludf.DUMMYFUNCTION("""COMPUTED_VALUE"""),68.0)</f>
        <v>68</v>
      </c>
      <c r="D158" s="87">
        <f>IFERROR(__xludf.DUMMYFUNCTION("""COMPUTED_VALUE"""),4.0)</f>
        <v>4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IFERROR(__xludf.DUMMYFUNCTION("""COMPUTED_VALUE"""),77.0)</f>
        <v>77</v>
      </c>
      <c r="N158" s="89">
        <f>IFERROR(__xludf.DUMMYFUNCTION("""COMPUTED_VALUE"""),4.0)</f>
        <v>4</v>
      </c>
    </row>
    <row r="159">
      <c r="A159" s="11"/>
      <c r="B159" s="82" t="str">
        <f>IFERROR(__xludf.DUMMYFUNCTION("""COMPUTED_VALUE"""),"Saravanan Veerapandian")</f>
        <v>Saravanan Veerapandian</v>
      </c>
      <c r="C159" s="87">
        <f>IFERROR(__xludf.DUMMYFUNCTION("""COMPUTED_VALUE"""),68.0)</f>
        <v>68</v>
      </c>
      <c r="D159" s="87">
        <f>IFERROR(__xludf.DUMMYFUNCTION("""COMPUTED_VALUE"""),3.0)</f>
        <v>3</v>
      </c>
      <c r="E159" s="86">
        <f>IFERROR(__xludf.DUMMYFUNCTION("""COMPUTED_VALUE"""),5.0)</f>
        <v>5</v>
      </c>
      <c r="F159" s="88">
        <f>IFERROR(__xludf.DUMMYFUNCTION("""COMPUTED_VALUE"""),0.0)</f>
        <v>0</v>
      </c>
      <c r="G159" s="88">
        <f>IFERROR(__xludf.DUMMYFUNCTION("""COMPUTED_VALUE"""),13.0)</f>
        <v>13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IFERROR(__xludf.DUMMYFUNCTION("""COMPUTED_VALUE"""),13.0)</f>
        <v>13</v>
      </c>
      <c r="L159" s="88">
        <f>IFERROR(__xludf.DUMMYFUNCTION("""COMPUTED_VALUE"""),0.0)</f>
        <v>0</v>
      </c>
      <c r="M159" s="89">
        <f>IFERROR(__xludf.DUMMYFUNCTION("""COMPUTED_VALUE"""),81.0)</f>
        <v>81</v>
      </c>
      <c r="N159" s="89">
        <f>IFERROR(__xludf.DUMMYFUNCTION("""COMPUTED_VALUE"""),3.0)</f>
        <v>3</v>
      </c>
    </row>
    <row r="160">
      <c r="A160" s="11"/>
      <c r="B160" s="82" t="str">
        <f>IFERROR(__xludf.DUMMYFUNCTION("""COMPUTED_VALUE"""),"Vinz Solano")</f>
        <v>Vinz Solano</v>
      </c>
      <c r="C160" s="87">
        <f>IFERROR(__xludf.DUMMYFUNCTION("""COMPUTED_VALUE"""),67.0)</f>
        <v>67</v>
      </c>
      <c r="D160" s="87">
        <f>IFERROR(__xludf.DUMMYFUNCTION("""COMPUTED_VALUE"""),2.0)</f>
        <v>2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IFERROR(__xludf.DUMMYFUNCTION("""COMPUTED_VALUE"""),76.0)</f>
        <v>76</v>
      </c>
      <c r="N160" s="89">
        <f>IFERROR(__xludf.DUMMYFUNCTION("""COMPUTED_VALUE"""),2.0)</f>
        <v>2</v>
      </c>
    </row>
    <row r="161">
      <c r="A161" s="11"/>
      <c r="B161" s="82" t="str">
        <f>IFERROR(__xludf.DUMMYFUNCTION("""COMPUTED_VALUE"""),"Peter Homsey")</f>
        <v>Peter Homsey</v>
      </c>
      <c r="C161" s="87">
        <f>IFERROR(__xludf.DUMMYFUNCTION("""COMPUTED_VALUE"""),67.0)</f>
        <v>67</v>
      </c>
      <c r="D161" s="87">
        <f>IFERROR(__xludf.DUMMYFUNCTION("""COMPUTED_VALUE"""),0.0)</f>
        <v>0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IFERROR(__xludf.DUMMYFUNCTION("""COMPUTED_VALUE"""),76.0)</f>
        <v>76</v>
      </c>
      <c r="N161" s="89">
        <f>IFERROR(__xludf.DUMMYFUNCTION("""COMPUTED_VALUE"""),0.0)</f>
        <v>0</v>
      </c>
    </row>
    <row r="162">
      <c r="A162" s="11"/>
      <c r="B162" s="82" t="str">
        <f>IFERROR(__xludf.DUMMYFUNCTION("""COMPUTED_VALUE"""),"Amit Patel")</f>
        <v>Amit Patel</v>
      </c>
      <c r="C162" s="87">
        <f>IFERROR(__xludf.DUMMYFUNCTION("""COMPUTED_VALUE"""),67.0)</f>
        <v>67</v>
      </c>
      <c r="D162" s="87">
        <f>IFERROR(__xludf.DUMMYFUNCTION("""COMPUTED_VALUE"""),0.0)</f>
        <v>0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IFERROR(__xludf.DUMMYFUNCTION("""COMPUTED_VALUE"""),76.0)</f>
        <v>76</v>
      </c>
      <c r="N162" s="89">
        <f>IFERROR(__xludf.DUMMYFUNCTION("""COMPUTED_VALUE"""),0.0)</f>
        <v>0</v>
      </c>
    </row>
    <row r="163">
      <c r="A163" s="11"/>
      <c r="B163" s="82" t="str">
        <f>IFERROR(__xludf.DUMMYFUNCTION("""COMPUTED_VALUE"""),"Naveen Raj")</f>
        <v>Naveen Raj</v>
      </c>
      <c r="C163" s="87">
        <f>IFERROR(__xludf.DUMMYFUNCTION("""COMPUTED_VALUE"""),66.0)</f>
        <v>66</v>
      </c>
      <c r="D163" s="87">
        <f>IFERROR(__xludf.DUMMYFUNCTION("""COMPUTED_VALUE"""),2.0)</f>
        <v>2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IFERROR(__xludf.DUMMYFUNCTION("""COMPUTED_VALUE"""),75.0)</f>
        <v>75</v>
      </c>
      <c r="N163" s="89">
        <f>IFERROR(__xludf.DUMMYFUNCTION("""COMPUTED_VALUE"""),2.0)</f>
        <v>2</v>
      </c>
    </row>
    <row r="164">
      <c r="A164" s="11"/>
      <c r="B164" s="82" t="str">
        <f>IFERROR(__xludf.DUMMYFUNCTION("""COMPUTED_VALUE"""),"Sandy Weyant")</f>
        <v>Sandy Weyant</v>
      </c>
      <c r="C164" s="87">
        <f>IFERROR(__xludf.DUMMYFUNCTION("""COMPUTED_VALUE"""),64.0)</f>
        <v>64</v>
      </c>
      <c r="D164" s="87">
        <f>IFERROR(__xludf.DUMMYFUNCTION("""COMPUTED_VALUE"""),2.0)</f>
        <v>2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IFERROR(__xludf.DUMMYFUNCTION("""COMPUTED_VALUE"""),73.0)</f>
        <v>73</v>
      </c>
      <c r="N164" s="89">
        <f>IFERROR(__xludf.DUMMYFUNCTION("""COMPUTED_VALUE"""),2.0)</f>
        <v>2</v>
      </c>
    </row>
    <row r="165">
      <c r="A165" s="11"/>
      <c r="B165" s="82" t="str">
        <f>IFERROR(__xludf.DUMMYFUNCTION("""COMPUTED_VALUE"""),"Nohely Mejia")</f>
        <v>Nohely Mejia</v>
      </c>
      <c r="C165" s="87">
        <f>IFERROR(__xludf.DUMMYFUNCTION("""COMPUTED_VALUE"""),64.0)</f>
        <v>64</v>
      </c>
      <c r="D165" s="87">
        <f>IFERROR(__xludf.DUMMYFUNCTION("""COMPUTED_VALUE"""),1.0)</f>
        <v>1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IFERROR(__xludf.DUMMYFUNCTION("""COMPUTED_VALUE"""),73.0)</f>
        <v>73</v>
      </c>
      <c r="N165" s="89">
        <f>IFERROR(__xludf.DUMMYFUNCTION("""COMPUTED_VALUE"""),1.0)</f>
        <v>1</v>
      </c>
    </row>
    <row r="166">
      <c r="A166" s="11"/>
      <c r="B166" s="82" t="str">
        <f>IFERROR(__xludf.DUMMYFUNCTION("""COMPUTED_VALUE"""),"Balaji Alahari")</f>
        <v>Balaji Alahari</v>
      </c>
      <c r="C166" s="87">
        <f>IFERROR(__xludf.DUMMYFUNCTION("""COMPUTED_VALUE"""),63.0)</f>
        <v>63</v>
      </c>
      <c r="D166" s="87">
        <f>IFERROR(__xludf.DUMMYFUNCTION("""COMPUTED_VALUE"""),1.0)</f>
        <v>1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IFERROR(__xludf.DUMMYFUNCTION("""COMPUTED_VALUE"""),72.0)</f>
        <v>72</v>
      </c>
      <c r="N166" s="89">
        <f>IFERROR(__xludf.DUMMYFUNCTION("""COMPUTED_VALUE"""),1.0)</f>
        <v>1</v>
      </c>
    </row>
    <row r="167">
      <c r="A167" s="11"/>
      <c r="B167" s="82" t="str">
        <f>IFERROR(__xludf.DUMMYFUNCTION("""COMPUTED_VALUE"""),"Santosh Sundaresan ")</f>
        <v>Santosh Sundaresan </v>
      </c>
      <c r="C167" s="87">
        <f>IFERROR(__xludf.DUMMYFUNCTION("""COMPUTED_VALUE"""),63.0)</f>
        <v>63</v>
      </c>
      <c r="D167" s="87">
        <f>IFERROR(__xludf.DUMMYFUNCTION("""COMPUTED_VALUE"""),0.0)</f>
        <v>0</v>
      </c>
      <c r="E167" s="86">
        <f>IFERROR(__xludf.DUMMYFUNCTION("""COMPUTED_VALUE"""),5.0)</f>
        <v>5</v>
      </c>
      <c r="F167" s="88">
        <f>IFERROR(__xludf.DUMMYFUNCTION("""COMPUTED_VALUE"""),0.0)</f>
        <v>0</v>
      </c>
      <c r="G167" s="88">
        <f>IFERROR(__xludf.DUMMYFUNCTION("""COMPUTED_VALUE"""),13.0)</f>
        <v>13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IFERROR(__xludf.DUMMYFUNCTION("""COMPUTED_VALUE"""),13.0)</f>
        <v>13</v>
      </c>
      <c r="L167" s="88">
        <f>IFERROR(__xludf.DUMMYFUNCTION("""COMPUTED_VALUE"""),0.0)</f>
        <v>0</v>
      </c>
      <c r="M167" s="89">
        <f>IFERROR(__xludf.DUMMYFUNCTION("""COMPUTED_VALUE"""),76.0)</f>
        <v>76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IFERROR(__xludf.DUMMYFUNCTION("""COMPUTED_VALUE"""),"Peter Cheng")</f>
        <v>Peter Cheng</v>
      </c>
      <c r="C168" s="86">
        <f>IFERROR(__xludf.DUMMYFUNCTION("""COMPUTED_VALUE"""),63.0)</f>
        <v>63</v>
      </c>
      <c r="D168" s="87">
        <f>IFERROR(__xludf.DUMMYFUNCTION("""COMPUTED_VALUE"""),0.0)</f>
        <v>0</v>
      </c>
      <c r="E168" s="86">
        <f>IFERROR(__xludf.DUMMYFUNCTION("""COMPUTED_VALUE"""),5.0)</f>
        <v>5</v>
      </c>
      <c r="F168" s="88">
        <f>IFERROR(__xludf.DUMMYFUNCTION("""COMPUTED_VALUE"""),0.0)</f>
        <v>0</v>
      </c>
      <c r="G168" s="88">
        <f>IFERROR(__xludf.DUMMYFUNCTION("""COMPUTED_VALUE"""),13.0)</f>
        <v>13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IFERROR(__xludf.DUMMYFUNCTION("""COMPUTED_VALUE"""),13.0)</f>
        <v>13</v>
      </c>
      <c r="L168" s="88">
        <f>IFERROR(__xludf.DUMMYFUNCTION("""COMPUTED_VALUE"""),0.0)</f>
        <v>0</v>
      </c>
      <c r="M168" s="88">
        <f>IFERROR(__xludf.DUMMYFUNCTION("""COMPUTED_VALUE"""),76.0)</f>
        <v>76</v>
      </c>
      <c r="N168" s="89">
        <f>IFERROR(__xludf.DUMMYFUNCTION("""COMPUTED_VALUE"""),0.0)</f>
        <v>0</v>
      </c>
    </row>
    <row r="169">
      <c r="A169" s="11"/>
      <c r="B169" s="82" t="str">
        <f>IFERROR(__xludf.DUMMYFUNCTION("""COMPUTED_VALUE"""),"Sai Dilip Ponnaganti")</f>
        <v>Sai Dilip Ponnaganti</v>
      </c>
      <c r="C169" s="86">
        <f>IFERROR(__xludf.DUMMYFUNCTION("""COMPUTED_VALUE"""),63.0)</f>
        <v>63</v>
      </c>
      <c r="D169" s="87">
        <f>IFERROR(__xludf.DUMMYFUNCTION("""COMPUTED_VALUE"""),0.0)</f>
        <v>0</v>
      </c>
      <c r="E169" s="86">
        <f>IFERROR(__xludf.DUMMYFUNCTION("""COMPUTED_VALUE"""),3.0)</f>
        <v>3</v>
      </c>
      <c r="F169" s="88">
        <f>IFERROR(__xludf.DUMMYFUNCTION("""COMPUTED_VALUE"""),0.0)</f>
        <v>0</v>
      </c>
      <c r="G169" s="88">
        <f>IFERROR(__xludf.DUMMYFUNCTION("""COMPUTED_VALUE"""),9.0)</f>
        <v>9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IFERROR(__xludf.DUMMYFUNCTION("""COMPUTED_VALUE"""),9.0)</f>
        <v>9</v>
      </c>
      <c r="L169" s="88">
        <f>IFERROR(__xludf.DUMMYFUNCTION("""COMPUTED_VALUE"""),0.0)</f>
        <v>0</v>
      </c>
      <c r="M169" s="88">
        <f>IFERROR(__xludf.DUMMYFUNCTION("""COMPUTED_VALUE"""),72.0)</f>
        <v>72</v>
      </c>
      <c r="N169" s="89">
        <f>IFERROR(__xludf.DUMMYFUNCTION("""COMPUTED_VALUE"""),0.0)</f>
        <v>0</v>
      </c>
    </row>
    <row r="170">
      <c r="A170" s="11"/>
      <c r="B170" s="82" t="str">
        <f>IFERROR(__xludf.DUMMYFUNCTION("""COMPUTED_VALUE"""),"Jose Ortiz")</f>
        <v>Jose Ortiz</v>
      </c>
      <c r="C170" s="86">
        <f>IFERROR(__xludf.DUMMYFUNCTION("""COMPUTED_VALUE"""),63.0)</f>
        <v>63</v>
      </c>
      <c r="D170" s="87">
        <f>IFERROR(__xludf.DUMMYFUNCTION("""COMPUTED_VALUE"""),0.0)</f>
        <v>0</v>
      </c>
      <c r="E170" s="86">
        <f>IFERROR(__xludf.DUMMYFUNCTION("""COMPUTED_VALUE"""),3.0)</f>
        <v>3</v>
      </c>
      <c r="F170" s="88">
        <f>IFERROR(__xludf.DUMMYFUNCTION("""COMPUTED_VALUE"""),0.0)</f>
        <v>0</v>
      </c>
      <c r="G170" s="88">
        <f>IFERROR(__xludf.DUMMYFUNCTION("""COMPUTED_VALUE"""),9.0)</f>
        <v>9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IFERROR(__xludf.DUMMYFUNCTION("""COMPUTED_VALUE"""),9.0)</f>
        <v>9</v>
      </c>
      <c r="L170" s="88">
        <f>IFERROR(__xludf.DUMMYFUNCTION("""COMPUTED_VALUE"""),0.0)</f>
        <v>0</v>
      </c>
      <c r="M170" s="88">
        <f>IFERROR(__xludf.DUMMYFUNCTION("""COMPUTED_VALUE"""),72.0)</f>
        <v>72</v>
      </c>
      <c r="N170" s="89">
        <f>IFERROR(__xludf.DUMMYFUNCTION("""COMPUTED_VALUE"""),0.0)</f>
        <v>0</v>
      </c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B201" s="82"/>
      <c r="C201" s="86"/>
      <c r="D201" s="87"/>
      <c r="E201" s="86"/>
      <c r="F201" s="88"/>
      <c r="G201" s="88"/>
      <c r="H201" s="88"/>
      <c r="I201" s="88"/>
      <c r="J201" s="88"/>
      <c r="K201" s="88"/>
      <c r="L201" s="88"/>
      <c r="M201" s="88"/>
      <c r="N201" s="89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C222" s="11"/>
      <c r="D222" s="11"/>
      <c r="E222" s="11"/>
    </row>
    <row r="223">
      <c r="A223" s="11"/>
      <c r="B223" s="90" t="s">
        <v>167</v>
      </c>
      <c r="C223" s="11"/>
      <c r="D223" s="11"/>
      <c r="E223" s="11"/>
      <c r="U223" s="90" t="s">
        <v>168</v>
      </c>
    </row>
    <row r="224">
      <c r="A224" s="49">
        <v>1.0</v>
      </c>
      <c r="B224" s="82" t="str">
        <f>IFERROR(__xludf.DUMMYFUNCTION("QUERY(B5:Q70, ""Select B   where Q is null"")"),"#N/A")</f>
        <v>#N/A</v>
      </c>
      <c r="C224" s="11"/>
      <c r="D224" s="11"/>
      <c r="E224" s="11"/>
      <c r="T224" s="49">
        <v>1.0</v>
      </c>
      <c r="U224" s="17" t="str">
        <f>IFERROR(__xludf.DUMMYFUNCTION("QUERY(B5:Q70, ""Select B   where Q = 'N' "")"),"#N/A")</f>
        <v>#N/A</v>
      </c>
    </row>
    <row r="225">
      <c r="A225" s="11">
        <f t="shared" ref="A225:A245" si="70">A224+1</f>
        <v>2</v>
      </c>
      <c r="B225" s="82"/>
      <c r="C225" s="11"/>
      <c r="D225" s="11"/>
      <c r="E225" s="11"/>
      <c r="T225" s="11">
        <f t="shared" ref="T225:T236" si="71">T224+1</f>
        <v>2</v>
      </c>
    </row>
    <row r="226">
      <c r="A226" s="11">
        <f t="shared" si="70"/>
        <v>3</v>
      </c>
      <c r="B226" s="82"/>
      <c r="C226" s="11"/>
      <c r="D226" s="11"/>
      <c r="E226" s="11"/>
      <c r="T226" s="11">
        <f t="shared" si="71"/>
        <v>3</v>
      </c>
    </row>
    <row r="227">
      <c r="A227" s="11">
        <f t="shared" si="70"/>
        <v>4</v>
      </c>
      <c r="B227" s="82"/>
      <c r="C227" s="11"/>
      <c r="D227" s="11"/>
      <c r="E227" s="11"/>
      <c r="T227" s="11">
        <f t="shared" si="71"/>
        <v>4</v>
      </c>
    </row>
    <row r="228">
      <c r="A228" s="11">
        <f t="shared" si="70"/>
        <v>5</v>
      </c>
      <c r="B228" s="82"/>
      <c r="C228" s="11"/>
      <c r="D228" s="11"/>
      <c r="E228" s="11"/>
      <c r="T228" s="11">
        <f t="shared" si="71"/>
        <v>5</v>
      </c>
    </row>
    <row r="229">
      <c r="A229" s="11">
        <f t="shared" si="70"/>
        <v>6</v>
      </c>
      <c r="B229" s="82"/>
      <c r="C229" s="11"/>
      <c r="D229" s="11"/>
      <c r="E229" s="11"/>
      <c r="T229" s="11">
        <f t="shared" si="71"/>
        <v>6</v>
      </c>
    </row>
    <row r="230">
      <c r="A230" s="11">
        <f t="shared" si="70"/>
        <v>7</v>
      </c>
      <c r="B230" s="82"/>
      <c r="C230" s="11"/>
      <c r="D230" s="11"/>
      <c r="E230" s="11"/>
      <c r="T230" s="11">
        <f t="shared" si="71"/>
        <v>7</v>
      </c>
    </row>
    <row r="231">
      <c r="A231" s="11">
        <f t="shared" si="70"/>
        <v>8</v>
      </c>
      <c r="B231" s="82"/>
      <c r="C231" s="11"/>
      <c r="D231" s="11"/>
      <c r="E231" s="11"/>
      <c r="T231" s="11">
        <f t="shared" si="71"/>
        <v>8</v>
      </c>
    </row>
    <row r="232">
      <c r="A232" s="11">
        <f t="shared" si="70"/>
        <v>9</v>
      </c>
      <c r="B232" s="82"/>
      <c r="C232" s="11"/>
      <c r="D232" s="11"/>
      <c r="E232" s="11"/>
      <c r="T232" s="11">
        <f t="shared" si="71"/>
        <v>9</v>
      </c>
    </row>
    <row r="233">
      <c r="A233" s="11">
        <f t="shared" si="70"/>
        <v>10</v>
      </c>
      <c r="B233" s="82"/>
      <c r="C233" s="11"/>
      <c r="D233" s="11"/>
      <c r="E233" s="11"/>
      <c r="T233" s="11">
        <f t="shared" si="71"/>
        <v>10</v>
      </c>
    </row>
    <row r="234">
      <c r="A234" s="11">
        <f t="shared" si="70"/>
        <v>11</v>
      </c>
      <c r="B234" s="82"/>
      <c r="C234" s="11"/>
      <c r="D234" s="11"/>
      <c r="E234" s="11"/>
      <c r="T234" s="11">
        <f t="shared" si="71"/>
        <v>11</v>
      </c>
    </row>
    <row r="235">
      <c r="A235" s="11">
        <f t="shared" si="70"/>
        <v>12</v>
      </c>
      <c r="B235" s="82"/>
      <c r="C235" s="11"/>
      <c r="D235" s="11"/>
      <c r="E235" s="11"/>
      <c r="T235" s="11">
        <f t="shared" si="71"/>
        <v>12</v>
      </c>
    </row>
    <row r="236">
      <c r="A236" s="11">
        <f t="shared" si="70"/>
        <v>13</v>
      </c>
      <c r="B236" s="82"/>
      <c r="C236" s="11"/>
      <c r="D236" s="11"/>
      <c r="E236" s="11"/>
      <c r="T236" s="11">
        <f t="shared" si="71"/>
        <v>13</v>
      </c>
    </row>
    <row r="237">
      <c r="A237" s="11">
        <f t="shared" si="70"/>
        <v>14</v>
      </c>
      <c r="B237" s="82"/>
      <c r="C237" s="11"/>
      <c r="D237" s="11"/>
      <c r="E237" s="11"/>
    </row>
    <row r="238">
      <c r="A238" s="11">
        <f t="shared" si="70"/>
        <v>15</v>
      </c>
      <c r="B238" s="82"/>
      <c r="C238" s="11"/>
      <c r="D238" s="11"/>
      <c r="E238" s="11"/>
    </row>
    <row r="239">
      <c r="A239" s="11">
        <f t="shared" si="70"/>
        <v>16</v>
      </c>
      <c r="B239" s="82"/>
      <c r="C239" s="11"/>
      <c r="D239" s="11"/>
      <c r="E239" s="11"/>
    </row>
    <row r="240">
      <c r="A240" s="11">
        <f t="shared" si="70"/>
        <v>17</v>
      </c>
      <c r="B240" s="82"/>
      <c r="C240" s="11"/>
      <c r="D240" s="11"/>
      <c r="E240" s="11"/>
    </row>
    <row r="241">
      <c r="A241" s="11">
        <f t="shared" si="70"/>
        <v>18</v>
      </c>
      <c r="B241" s="82"/>
      <c r="C241" s="11"/>
      <c r="D241" s="11"/>
      <c r="E241" s="11"/>
    </row>
    <row r="242">
      <c r="A242" s="11">
        <f t="shared" si="70"/>
        <v>19</v>
      </c>
      <c r="B242" s="82"/>
      <c r="C242" s="11"/>
      <c r="D242" s="11"/>
      <c r="E242" s="11"/>
    </row>
    <row r="243">
      <c r="A243" s="11">
        <f t="shared" si="70"/>
        <v>20</v>
      </c>
      <c r="B243" s="82"/>
      <c r="C243" s="11"/>
      <c r="D243" s="11"/>
      <c r="E243" s="11"/>
    </row>
    <row r="244">
      <c r="A244" s="11">
        <f t="shared" si="70"/>
        <v>21</v>
      </c>
      <c r="B244" s="82"/>
      <c r="C244" s="11"/>
      <c r="D244" s="11"/>
      <c r="E244" s="11"/>
    </row>
    <row r="245">
      <c r="A245" s="11">
        <f t="shared" si="70"/>
        <v>22</v>
      </c>
      <c r="B245" s="82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1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45521.0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'081024'!D2+1</f>
        <v>7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43</v>
      </c>
      <c r="C5" s="32">
        <v>92.0</v>
      </c>
      <c r="D5" s="32">
        <v>11.0</v>
      </c>
      <c r="E5" s="37">
        <v>1.0</v>
      </c>
      <c r="F5" s="39"/>
      <c r="G5" s="40">
        <v>0.0</v>
      </c>
      <c r="H5" s="39">
        <v>6.0</v>
      </c>
      <c r="I5" s="39">
        <v>6.0</v>
      </c>
      <c r="J5" s="39">
        <v>7.0</v>
      </c>
      <c r="K5" s="42">
        <v>19.0</v>
      </c>
      <c r="L5" s="39">
        <v>3.0</v>
      </c>
      <c r="M5" s="32">
        <f t="shared" ref="M5:N5" si="1">C5+K5</f>
        <v>111</v>
      </c>
      <c r="N5" s="32">
        <f t="shared" si="1"/>
        <v>14</v>
      </c>
      <c r="O5" s="43" t="s">
        <v>53</v>
      </c>
      <c r="P5" s="43" t="s">
        <v>53</v>
      </c>
      <c r="Q5" s="43" t="s">
        <v>53</v>
      </c>
      <c r="R5" s="39">
        <f>if(G5=13,1,0)+VLOOKUP(B5,'081024'!B:T,17,false)</f>
        <v>1</v>
      </c>
      <c r="S5" s="39"/>
      <c r="T5" s="39">
        <f>if(G5=9,1,0)+VLOOKUP(B5,'081024'!B:T,19,false)</f>
        <v>1</v>
      </c>
    </row>
    <row r="6">
      <c r="A6" s="30">
        <f t="shared" ref="A6:A70" si="3">A5+1</f>
        <v>2</v>
      </c>
      <c r="B6" s="51" t="s">
        <v>100</v>
      </c>
      <c r="C6" s="32">
        <v>92.0</v>
      </c>
      <c r="D6" s="32">
        <v>11.0</v>
      </c>
      <c r="E6" s="37">
        <v>1.0</v>
      </c>
      <c r="F6" s="39"/>
      <c r="G6" s="40">
        <v>0.0</v>
      </c>
      <c r="H6" s="39">
        <v>6.0</v>
      </c>
      <c r="I6" s="39">
        <v>4.0</v>
      </c>
      <c r="J6" s="39">
        <v>5.0</v>
      </c>
      <c r="K6" s="42">
        <v>15.0</v>
      </c>
      <c r="L6" s="39">
        <v>1.0</v>
      </c>
      <c r="M6" s="32">
        <f t="shared" ref="M6:N6" si="2">C6+K6</f>
        <v>107</v>
      </c>
      <c r="N6" s="32">
        <f t="shared" si="2"/>
        <v>12</v>
      </c>
      <c r="O6" s="43" t="s">
        <v>53</v>
      </c>
      <c r="P6" s="43" t="s">
        <v>53</v>
      </c>
      <c r="Q6" s="43" t="s">
        <v>53</v>
      </c>
      <c r="R6" s="39">
        <f>if(G6=13,1,0)+VLOOKUP(B6,'081024'!B:T,17,false)</f>
        <v>0</v>
      </c>
      <c r="S6" s="39"/>
      <c r="T6" s="39">
        <f>if(G6=9,1,0)+VLOOKUP(B6,'081024'!B:T,19,false)</f>
        <v>0</v>
      </c>
    </row>
    <row r="7">
      <c r="A7" s="30">
        <f t="shared" si="3"/>
        <v>3</v>
      </c>
      <c r="B7" s="31" t="s">
        <v>71</v>
      </c>
      <c r="C7" s="32">
        <v>85.0</v>
      </c>
      <c r="D7" s="32">
        <v>9.0</v>
      </c>
      <c r="E7" s="37">
        <v>1.0</v>
      </c>
      <c r="F7" s="39"/>
      <c r="G7" s="40">
        <v>0.0</v>
      </c>
      <c r="H7" s="39">
        <v>4.0</v>
      </c>
      <c r="I7" s="39">
        <v>4.0</v>
      </c>
      <c r="J7" s="39">
        <v>7.0</v>
      </c>
      <c r="K7" s="42">
        <v>15.0</v>
      </c>
      <c r="L7" s="39">
        <v>1.0</v>
      </c>
      <c r="M7" s="32">
        <f t="shared" ref="M7:N7" si="4">C7+K7</f>
        <v>100</v>
      </c>
      <c r="N7" s="32">
        <f t="shared" si="4"/>
        <v>10</v>
      </c>
      <c r="O7" s="43" t="s">
        <v>53</v>
      </c>
      <c r="P7" s="43" t="s">
        <v>53</v>
      </c>
      <c r="Q7" s="43" t="s">
        <v>53</v>
      </c>
      <c r="R7" s="39">
        <f>if(G7=13,1,0)+VLOOKUP(B7,'081024'!B:T,17,false)</f>
        <v>1</v>
      </c>
      <c r="S7" s="39"/>
      <c r="T7" s="39">
        <f>if(G7=9,1,0)+VLOOKUP(B7,'081024'!B:T,19,false)</f>
        <v>0</v>
      </c>
    </row>
    <row r="8">
      <c r="A8" s="30">
        <f t="shared" si="3"/>
        <v>4</v>
      </c>
      <c r="B8" s="51" t="s">
        <v>87</v>
      </c>
      <c r="C8" s="32">
        <v>85.0</v>
      </c>
      <c r="D8" s="32">
        <v>9.0</v>
      </c>
      <c r="E8" s="37">
        <v>1.0</v>
      </c>
      <c r="F8" s="39"/>
      <c r="G8" s="40">
        <v>0.0</v>
      </c>
      <c r="H8" s="39">
        <v>4.0</v>
      </c>
      <c r="I8" s="39">
        <v>6.0</v>
      </c>
      <c r="J8" s="39">
        <v>5.0</v>
      </c>
      <c r="K8" s="42">
        <v>15.0</v>
      </c>
      <c r="L8" s="39">
        <v>1.0</v>
      </c>
      <c r="M8" s="32">
        <f t="shared" ref="M8:N8" si="5">C8+K8</f>
        <v>100</v>
      </c>
      <c r="N8" s="32">
        <f t="shared" si="5"/>
        <v>10</v>
      </c>
      <c r="O8" s="43" t="s">
        <v>53</v>
      </c>
      <c r="P8" s="43" t="s">
        <v>53</v>
      </c>
      <c r="Q8" s="43" t="s">
        <v>53</v>
      </c>
      <c r="R8" s="39">
        <f>if(G8=13,1,0)+VLOOKUP(B8,'081024'!B:T,17,false)</f>
        <v>1</v>
      </c>
      <c r="S8" s="39"/>
      <c r="T8" s="39">
        <f>if(G8=9,1,0)+VLOOKUP(B8,'081024'!B:T,19,false)</f>
        <v>0</v>
      </c>
    </row>
    <row r="9">
      <c r="A9" s="30">
        <f t="shared" si="3"/>
        <v>5</v>
      </c>
      <c r="B9" s="51" t="s">
        <v>92</v>
      </c>
      <c r="C9" s="32">
        <v>84.0</v>
      </c>
      <c r="D9" s="32">
        <v>9.0</v>
      </c>
      <c r="E9" s="37">
        <v>3.0</v>
      </c>
      <c r="F9" s="39">
        <v>0.0</v>
      </c>
      <c r="G9" s="40">
        <v>9.0</v>
      </c>
      <c r="H9" s="39">
        <v>0.0</v>
      </c>
      <c r="I9" s="39">
        <v>0.0</v>
      </c>
      <c r="J9" s="39">
        <v>0.0</v>
      </c>
      <c r="K9" s="42">
        <v>9.0</v>
      </c>
      <c r="L9" s="39">
        <v>0.0</v>
      </c>
      <c r="M9" s="32">
        <f t="shared" ref="M9:N9" si="6">C9+K9</f>
        <v>93</v>
      </c>
      <c r="N9" s="32">
        <f t="shared" si="6"/>
        <v>9</v>
      </c>
      <c r="O9" s="43" t="s">
        <v>53</v>
      </c>
      <c r="P9" s="43" t="s">
        <v>53</v>
      </c>
      <c r="Q9" s="43" t="s">
        <v>53</v>
      </c>
      <c r="R9" s="39">
        <f>if(G9=13,1,0)+VLOOKUP(B9,'081024'!B:T,17,false)</f>
        <v>1</v>
      </c>
      <c r="S9" s="39"/>
      <c r="T9" s="39">
        <f>if(G9=9,1,0)+VLOOKUP(B9,'081024'!B:T,19,false)</f>
        <v>2</v>
      </c>
    </row>
    <row r="10">
      <c r="A10" s="30">
        <f t="shared" si="3"/>
        <v>6</v>
      </c>
      <c r="B10" s="31" t="s">
        <v>68</v>
      </c>
      <c r="C10" s="32">
        <v>84.0</v>
      </c>
      <c r="D10" s="32">
        <v>9.0</v>
      </c>
      <c r="E10" s="37">
        <v>1.0</v>
      </c>
      <c r="F10" s="39"/>
      <c r="G10" s="40">
        <v>0.0</v>
      </c>
      <c r="H10" s="39">
        <v>3.0</v>
      </c>
      <c r="I10" s="39">
        <v>4.0</v>
      </c>
      <c r="J10" s="39">
        <v>7.0</v>
      </c>
      <c r="K10" s="42">
        <v>14.0</v>
      </c>
      <c r="L10" s="39">
        <v>1.0</v>
      </c>
      <c r="M10" s="32">
        <f t="shared" ref="M10:N10" si="7">C10+K10</f>
        <v>98</v>
      </c>
      <c r="N10" s="32">
        <f t="shared" si="7"/>
        <v>10</v>
      </c>
      <c r="O10" s="43" t="s">
        <v>53</v>
      </c>
      <c r="P10" s="43" t="s">
        <v>53</v>
      </c>
      <c r="Q10" s="43" t="s">
        <v>53</v>
      </c>
      <c r="R10" s="39">
        <f>if(G10=13,1,0)+VLOOKUP(B10,'081024'!B:T,17,false)</f>
        <v>0</v>
      </c>
      <c r="S10" s="39"/>
      <c r="T10" s="39">
        <f>if(G10=9,1,0)+VLOOKUP(B10,'081024'!B:T,19,false)</f>
        <v>1</v>
      </c>
    </row>
    <row r="11">
      <c r="A11" s="30">
        <f t="shared" si="3"/>
        <v>7</v>
      </c>
      <c r="B11" s="31" t="s">
        <v>34</v>
      </c>
      <c r="C11" s="32">
        <v>82.0</v>
      </c>
      <c r="D11" s="32">
        <v>11.0</v>
      </c>
      <c r="E11" s="37">
        <v>1.0</v>
      </c>
      <c r="F11" s="39"/>
      <c r="G11" s="40">
        <v>0.0</v>
      </c>
      <c r="H11" s="39">
        <v>6.0</v>
      </c>
      <c r="I11" s="39">
        <v>4.0</v>
      </c>
      <c r="J11" s="39">
        <v>6.0</v>
      </c>
      <c r="K11" s="42">
        <v>16.0</v>
      </c>
      <c r="L11" s="39">
        <v>1.0</v>
      </c>
      <c r="M11" s="32">
        <f t="shared" ref="M11:N11" si="8">C11+K11</f>
        <v>98</v>
      </c>
      <c r="N11" s="32">
        <f t="shared" si="8"/>
        <v>12</v>
      </c>
      <c r="O11" s="43" t="s">
        <v>53</v>
      </c>
      <c r="P11" s="43" t="s">
        <v>53</v>
      </c>
      <c r="Q11" s="43" t="s">
        <v>53</v>
      </c>
      <c r="R11" s="39">
        <f>if(G11=13,1,0)+VLOOKUP(B11,'081024'!B:T,17,false)</f>
        <v>0</v>
      </c>
      <c r="S11" s="39"/>
      <c r="T11" s="39">
        <f>if(G11=9,1,0)+VLOOKUP(B11,'081024'!B:T,19,false)</f>
        <v>1</v>
      </c>
    </row>
    <row r="12">
      <c r="A12" s="30">
        <f t="shared" si="3"/>
        <v>8</v>
      </c>
      <c r="B12" s="31" t="s">
        <v>61</v>
      </c>
      <c r="C12" s="32">
        <v>82.0</v>
      </c>
      <c r="D12" s="32">
        <v>9.0</v>
      </c>
      <c r="E12" s="37">
        <v>1.0</v>
      </c>
      <c r="F12" s="39"/>
      <c r="G12" s="40">
        <v>0.0</v>
      </c>
      <c r="H12" s="39">
        <v>6.0</v>
      </c>
      <c r="I12" s="39">
        <v>6.0</v>
      </c>
      <c r="J12" s="39">
        <v>7.0</v>
      </c>
      <c r="K12" s="42">
        <v>19.0</v>
      </c>
      <c r="L12" s="39">
        <v>3.0</v>
      </c>
      <c r="M12" s="32">
        <f t="shared" ref="M12:N12" si="9">C12+K12</f>
        <v>101</v>
      </c>
      <c r="N12" s="32">
        <f t="shared" si="9"/>
        <v>12</v>
      </c>
      <c r="O12" s="43" t="s">
        <v>53</v>
      </c>
      <c r="P12" s="43" t="s">
        <v>53</v>
      </c>
      <c r="Q12" s="43" t="s">
        <v>53</v>
      </c>
      <c r="R12" s="39">
        <f>if(G12=13,1,0)+VLOOKUP(B12,'081024'!B:T,17,false)</f>
        <v>0</v>
      </c>
      <c r="S12" s="39"/>
      <c r="T12" s="39">
        <f>if(G12=9,1,0)+VLOOKUP(B12,'081024'!B:T,19,false)</f>
        <v>1</v>
      </c>
    </row>
    <row r="13">
      <c r="A13" s="30">
        <f t="shared" si="3"/>
        <v>9</v>
      </c>
      <c r="B13" s="31" t="s">
        <v>105</v>
      </c>
      <c r="C13" s="32">
        <v>81.0</v>
      </c>
      <c r="D13" s="32">
        <v>6.0</v>
      </c>
      <c r="E13" s="37">
        <v>3.0</v>
      </c>
      <c r="F13" s="39">
        <v>0.0</v>
      </c>
      <c r="G13" s="40">
        <v>9.0</v>
      </c>
      <c r="H13" s="39">
        <v>0.0</v>
      </c>
      <c r="I13" s="39">
        <v>0.0</v>
      </c>
      <c r="J13" s="39">
        <v>0.0</v>
      </c>
      <c r="K13" s="42">
        <v>9.0</v>
      </c>
      <c r="L13" s="39">
        <v>0.0</v>
      </c>
      <c r="M13" s="32">
        <f t="shared" ref="M13:N13" si="10">C13+K13</f>
        <v>90</v>
      </c>
      <c r="N13" s="32">
        <f t="shared" si="10"/>
        <v>6</v>
      </c>
      <c r="O13" s="43" t="s">
        <v>53</v>
      </c>
      <c r="P13" s="43" t="s">
        <v>53</v>
      </c>
      <c r="Q13" s="43" t="s">
        <v>53</v>
      </c>
      <c r="R13" s="39">
        <f>if(G13=13,1,0)+VLOOKUP(B13,'081024'!B:T,17,false)</f>
        <v>0</v>
      </c>
      <c r="S13" s="39"/>
      <c r="T13" s="39">
        <f>if(G13=9,1,0)+VLOOKUP(B13,'081024'!B:T,19,false)</f>
        <v>2</v>
      </c>
    </row>
    <row r="14">
      <c r="A14" s="30">
        <f t="shared" si="3"/>
        <v>10</v>
      </c>
      <c r="B14" s="31" t="s">
        <v>91</v>
      </c>
      <c r="C14" s="32">
        <v>80.0</v>
      </c>
      <c r="D14" s="32">
        <v>8.0</v>
      </c>
      <c r="E14" s="37">
        <v>3.0</v>
      </c>
      <c r="F14" s="39">
        <v>0.0</v>
      </c>
      <c r="G14" s="40">
        <v>9.0</v>
      </c>
      <c r="H14" s="39">
        <v>0.0</v>
      </c>
      <c r="I14" s="39">
        <v>0.0</v>
      </c>
      <c r="J14" s="39">
        <v>0.0</v>
      </c>
      <c r="K14" s="42">
        <v>9.0</v>
      </c>
      <c r="L14" s="39">
        <v>0.0</v>
      </c>
      <c r="M14" s="32">
        <f t="shared" ref="M14:N14" si="11">C14+K14</f>
        <v>89</v>
      </c>
      <c r="N14" s="32">
        <f t="shared" si="11"/>
        <v>8</v>
      </c>
      <c r="O14" s="43" t="s">
        <v>53</v>
      </c>
      <c r="P14" s="43" t="s">
        <v>53</v>
      </c>
      <c r="Q14" s="43" t="s">
        <v>53</v>
      </c>
      <c r="R14" s="39">
        <f>if(G14=13,1,0)+VLOOKUP(B14,'081024'!B:T,17,false)</f>
        <v>0</v>
      </c>
      <c r="S14" s="39"/>
      <c r="T14" s="39">
        <f>if(G14=9,1,0)+VLOOKUP(B14,'081024'!B:T,19,false)</f>
        <v>2</v>
      </c>
    </row>
    <row r="15">
      <c r="A15" s="30">
        <f t="shared" si="3"/>
        <v>11</v>
      </c>
      <c r="B15" s="31" t="s">
        <v>82</v>
      </c>
      <c r="C15" s="32">
        <v>80.0</v>
      </c>
      <c r="D15" s="32">
        <v>7.0</v>
      </c>
      <c r="E15" s="37">
        <v>3.0</v>
      </c>
      <c r="F15" s="39">
        <v>0.0</v>
      </c>
      <c r="G15" s="40">
        <v>9.0</v>
      </c>
      <c r="H15" s="39">
        <v>0.0</v>
      </c>
      <c r="I15" s="39">
        <v>0.0</v>
      </c>
      <c r="J15" s="39">
        <v>0.0</v>
      </c>
      <c r="K15" s="42">
        <v>9.0</v>
      </c>
      <c r="L15" s="39">
        <v>0.0</v>
      </c>
      <c r="M15" s="32">
        <f t="shared" ref="M15:N15" si="12">C15+K15</f>
        <v>89</v>
      </c>
      <c r="N15" s="32">
        <f t="shared" si="12"/>
        <v>7</v>
      </c>
      <c r="O15" s="43" t="s">
        <v>53</v>
      </c>
      <c r="P15" s="43" t="s">
        <v>53</v>
      </c>
      <c r="Q15" s="43" t="s">
        <v>53</v>
      </c>
      <c r="R15" s="39">
        <f>if(G15=13,1,0)+VLOOKUP(B15,'081024'!B:T,17,false)</f>
        <v>1</v>
      </c>
      <c r="S15" s="39"/>
      <c r="T15" s="39">
        <f>if(G15=9,1,0)+VLOOKUP(B15,'081024'!B:T,19,false)</f>
        <v>3</v>
      </c>
    </row>
    <row r="16">
      <c r="A16" s="30">
        <f t="shared" si="3"/>
        <v>12</v>
      </c>
      <c r="B16" s="51" t="s">
        <v>54</v>
      </c>
      <c r="C16" s="32">
        <v>79.0</v>
      </c>
      <c r="D16" s="32">
        <v>10.0</v>
      </c>
      <c r="E16" s="37">
        <v>1.0</v>
      </c>
      <c r="F16" s="39"/>
      <c r="G16" s="40">
        <v>0.0</v>
      </c>
      <c r="H16" s="39">
        <v>3.0</v>
      </c>
      <c r="I16" s="39">
        <v>6.0</v>
      </c>
      <c r="J16" s="39">
        <v>6.0</v>
      </c>
      <c r="K16" s="42">
        <v>15.0</v>
      </c>
      <c r="L16" s="39">
        <v>1.0</v>
      </c>
      <c r="M16" s="32">
        <f t="shared" ref="M16:N16" si="13">C16+K16</f>
        <v>94</v>
      </c>
      <c r="N16" s="32">
        <f t="shared" si="13"/>
        <v>11</v>
      </c>
      <c r="O16" s="43" t="s">
        <v>53</v>
      </c>
      <c r="P16" s="43" t="s">
        <v>53</v>
      </c>
      <c r="Q16" s="43" t="s">
        <v>53</v>
      </c>
      <c r="R16" s="39">
        <f>if(G16=13,1,0)+VLOOKUP(B16,'081024'!B:T,17,false)</f>
        <v>0</v>
      </c>
      <c r="S16" s="39"/>
      <c r="T16" s="39">
        <f>if(G16=9,1,0)+VLOOKUP(B16,'081024'!B:T,19,false)</f>
        <v>0</v>
      </c>
    </row>
    <row r="17">
      <c r="A17" s="30">
        <f t="shared" si="3"/>
        <v>13</v>
      </c>
      <c r="B17" s="51" t="s">
        <v>84</v>
      </c>
      <c r="C17" s="32">
        <v>78.0</v>
      </c>
      <c r="D17" s="32">
        <v>7.0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4">C17+K17</f>
        <v>87</v>
      </c>
      <c r="N17" s="32">
        <f t="shared" si="14"/>
        <v>7</v>
      </c>
      <c r="O17" s="43" t="s">
        <v>53</v>
      </c>
      <c r="P17" s="43" t="s">
        <v>53</v>
      </c>
      <c r="Q17" s="43" t="s">
        <v>53</v>
      </c>
      <c r="R17" s="39">
        <f>if(G17=13,1,0)+VLOOKUP(B17,'081024'!B:T,17,false)</f>
        <v>0</v>
      </c>
      <c r="S17" s="39"/>
      <c r="T17" s="39">
        <f>if(G17=9,1,0)+VLOOKUP(B17,'081024'!B:T,19,false)</f>
        <v>2</v>
      </c>
    </row>
    <row r="18">
      <c r="A18" s="30">
        <f t="shared" si="3"/>
        <v>14</v>
      </c>
      <c r="B18" s="56" t="s">
        <v>65</v>
      </c>
      <c r="C18" s="32">
        <v>77.0</v>
      </c>
      <c r="D18" s="32">
        <v>7.0</v>
      </c>
      <c r="E18" s="37">
        <v>1.0</v>
      </c>
      <c r="F18" s="39"/>
      <c r="G18" s="40">
        <v>0.0</v>
      </c>
      <c r="H18" s="39">
        <v>6.0</v>
      </c>
      <c r="I18" s="39">
        <v>1.0</v>
      </c>
      <c r="J18" s="39">
        <v>6.0</v>
      </c>
      <c r="K18" s="42">
        <v>13.0</v>
      </c>
      <c r="L18" s="39">
        <v>2.0</v>
      </c>
      <c r="M18" s="32">
        <f t="shared" ref="M18:N18" si="15">C18+K18</f>
        <v>90</v>
      </c>
      <c r="N18" s="32">
        <f t="shared" si="15"/>
        <v>9</v>
      </c>
      <c r="O18" s="43" t="s">
        <v>53</v>
      </c>
      <c r="P18" s="43" t="s">
        <v>53</v>
      </c>
      <c r="Q18" s="43" t="s">
        <v>53</v>
      </c>
      <c r="R18" s="39">
        <f>if(G18=13,1,0)+VLOOKUP(B18,'081024'!B:T,17,false)</f>
        <v>0</v>
      </c>
      <c r="S18" s="39"/>
      <c r="T18" s="39">
        <f>if(G18=9,1,0)+VLOOKUP(B18,'081024'!B:T,19,false)</f>
        <v>3</v>
      </c>
    </row>
    <row r="19">
      <c r="A19" s="30">
        <f t="shared" si="3"/>
        <v>15</v>
      </c>
      <c r="B19" s="51" t="s">
        <v>78</v>
      </c>
      <c r="C19" s="32">
        <v>76.0</v>
      </c>
      <c r="D19" s="32">
        <v>6.0</v>
      </c>
      <c r="E19" s="37">
        <v>1.0</v>
      </c>
      <c r="F19" s="39"/>
      <c r="G19" s="40">
        <v>0.0</v>
      </c>
      <c r="H19" s="39">
        <v>6.0</v>
      </c>
      <c r="I19" s="39">
        <v>6.0</v>
      </c>
      <c r="J19" s="39">
        <v>0.0</v>
      </c>
      <c r="K19" s="42">
        <v>12.0</v>
      </c>
      <c r="L19" s="39">
        <v>2.0</v>
      </c>
      <c r="M19" s="32">
        <f t="shared" ref="M19:N19" si="16">C19+K19</f>
        <v>88</v>
      </c>
      <c r="N19" s="32">
        <f t="shared" si="16"/>
        <v>8</v>
      </c>
      <c r="O19" s="43" t="s">
        <v>53</v>
      </c>
      <c r="P19" s="43" t="s">
        <v>53</v>
      </c>
      <c r="Q19" s="43" t="s">
        <v>53</v>
      </c>
      <c r="R19" s="39">
        <f>if(G19=13,1,0)+VLOOKUP(B19,'081024'!B:T,17,false)</f>
        <v>0</v>
      </c>
      <c r="S19" s="39"/>
      <c r="T19" s="39">
        <f>if(G19=9,1,0)+VLOOKUP(B19,'081024'!B:T,19,false)</f>
        <v>0</v>
      </c>
    </row>
    <row r="20">
      <c r="A20" s="30">
        <f t="shared" si="3"/>
        <v>16</v>
      </c>
      <c r="B20" s="31" t="s">
        <v>90</v>
      </c>
      <c r="C20" s="32">
        <v>75.0</v>
      </c>
      <c r="D20" s="32">
        <v>8.0</v>
      </c>
      <c r="E20" s="37">
        <v>2.0</v>
      </c>
      <c r="F20" s="39"/>
      <c r="G20" s="40">
        <v>0.0</v>
      </c>
      <c r="H20" s="39">
        <v>0.0</v>
      </c>
      <c r="I20" s="39">
        <v>6.0</v>
      </c>
      <c r="J20" s="39">
        <v>6.0</v>
      </c>
      <c r="K20" s="42">
        <v>12.0</v>
      </c>
      <c r="L20" s="39">
        <v>2.0</v>
      </c>
      <c r="M20" s="32">
        <f t="shared" ref="M20:N20" si="17">C20+K20</f>
        <v>87</v>
      </c>
      <c r="N20" s="32">
        <f t="shared" si="17"/>
        <v>10</v>
      </c>
      <c r="O20" s="43" t="s">
        <v>53</v>
      </c>
      <c r="P20" s="43" t="s">
        <v>53</v>
      </c>
      <c r="Q20" s="43" t="s">
        <v>53</v>
      </c>
      <c r="R20" s="39">
        <f>if(G20=13,1,0)+VLOOKUP(B20,'081024'!B:T,17,false)</f>
        <v>0</v>
      </c>
      <c r="S20" s="39"/>
      <c r="T20" s="39">
        <f>if(G20=9,1,0)+VLOOKUP(B20,'081024'!B:T,19,false)</f>
        <v>1</v>
      </c>
    </row>
    <row r="21">
      <c r="A21" s="30">
        <f t="shared" si="3"/>
        <v>17</v>
      </c>
      <c r="B21" s="51" t="s">
        <v>94</v>
      </c>
      <c r="C21" s="32">
        <v>75.0</v>
      </c>
      <c r="D21" s="32">
        <v>6.0</v>
      </c>
      <c r="E21" s="37">
        <v>5.0</v>
      </c>
      <c r="F21" s="39">
        <v>0.0</v>
      </c>
      <c r="G21" s="40">
        <v>13.0</v>
      </c>
      <c r="H21" s="39">
        <v>0.0</v>
      </c>
      <c r="I21" s="39">
        <v>0.0</v>
      </c>
      <c r="J21" s="39">
        <v>0.0</v>
      </c>
      <c r="K21" s="42">
        <v>13.0</v>
      </c>
      <c r="L21" s="39">
        <v>0.0</v>
      </c>
      <c r="M21" s="32">
        <f t="shared" ref="M21:N21" si="18">C21+K21</f>
        <v>88</v>
      </c>
      <c r="N21" s="32">
        <f t="shared" si="18"/>
        <v>6</v>
      </c>
      <c r="O21" s="43" t="s">
        <v>53</v>
      </c>
      <c r="P21" s="43" t="s">
        <v>53</v>
      </c>
      <c r="Q21" s="43" t="s">
        <v>53</v>
      </c>
      <c r="R21" s="39">
        <f>if(G21=13,1,0)+VLOOKUP(B21,'081024'!B:T,17,false)</f>
        <v>1</v>
      </c>
      <c r="S21" s="39"/>
      <c r="T21" s="39">
        <f>if(G21=9,1,0)+VLOOKUP(B21,'081024'!B:T,19,false)</f>
        <v>2</v>
      </c>
    </row>
    <row r="22">
      <c r="A22" s="30">
        <f t="shared" si="3"/>
        <v>18</v>
      </c>
      <c r="B22" s="51" t="s">
        <v>114</v>
      </c>
      <c r="C22" s="32">
        <v>74.0</v>
      </c>
      <c r="D22" s="32">
        <v>6.0</v>
      </c>
      <c r="E22" s="37">
        <v>1.0</v>
      </c>
      <c r="F22" s="39"/>
      <c r="G22" s="40">
        <v>0.0</v>
      </c>
      <c r="H22" s="39">
        <v>0.0</v>
      </c>
      <c r="I22" s="39">
        <v>1.0</v>
      </c>
      <c r="J22" s="39">
        <v>0.0</v>
      </c>
      <c r="K22" s="42">
        <v>1.0</v>
      </c>
      <c r="L22" s="39">
        <v>0.0</v>
      </c>
      <c r="M22" s="32">
        <f t="shared" ref="M22:N22" si="19">C22+K22</f>
        <v>75</v>
      </c>
      <c r="N22" s="32">
        <f t="shared" si="19"/>
        <v>6</v>
      </c>
      <c r="O22" s="43" t="s">
        <v>53</v>
      </c>
      <c r="P22" s="43" t="s">
        <v>53</v>
      </c>
      <c r="Q22" s="43" t="s">
        <v>53</v>
      </c>
      <c r="R22" s="39">
        <f>if(G22=13,1,0)+VLOOKUP(B22,'081024'!B:T,17,false)</f>
        <v>1</v>
      </c>
      <c r="S22" s="39"/>
      <c r="T22" s="39">
        <f>if(G22=9,1,0)+VLOOKUP(B22,'081024'!B:T,19,false)</f>
        <v>1</v>
      </c>
    </row>
    <row r="23">
      <c r="A23" s="30">
        <f t="shared" si="3"/>
        <v>19</v>
      </c>
      <c r="B23" s="31" t="s">
        <v>57</v>
      </c>
      <c r="C23" s="32">
        <v>73.0</v>
      </c>
      <c r="D23" s="32">
        <v>5.0</v>
      </c>
      <c r="E23" s="37">
        <v>1.0</v>
      </c>
      <c r="F23" s="39"/>
      <c r="G23" s="40">
        <v>0.0</v>
      </c>
      <c r="H23" s="39">
        <v>4.0</v>
      </c>
      <c r="I23" s="39">
        <v>2.0</v>
      </c>
      <c r="J23" s="39">
        <v>7.0</v>
      </c>
      <c r="K23" s="42">
        <v>13.0</v>
      </c>
      <c r="L23" s="39">
        <v>1.0</v>
      </c>
      <c r="M23" s="32">
        <f t="shared" ref="M23:N23" si="20">C23+K23</f>
        <v>86</v>
      </c>
      <c r="N23" s="32">
        <f t="shared" si="20"/>
        <v>6</v>
      </c>
      <c r="O23" s="43" t="s">
        <v>53</v>
      </c>
      <c r="P23" s="43" t="s">
        <v>53</v>
      </c>
      <c r="Q23" s="43" t="s">
        <v>53</v>
      </c>
      <c r="R23" s="39">
        <f>if(G23=13,1,0)+VLOOKUP(B23,'081024'!B:T,17,false)</f>
        <v>1</v>
      </c>
      <c r="S23" s="39"/>
      <c r="T23" s="39">
        <f>if(G23=9,1,0)+VLOOKUP(B23,'081024'!B:T,19,false)</f>
        <v>2</v>
      </c>
    </row>
    <row r="24">
      <c r="A24" s="30">
        <f t="shared" si="3"/>
        <v>20</v>
      </c>
      <c r="B24" s="51" t="s">
        <v>104</v>
      </c>
      <c r="C24" s="32">
        <v>72.0</v>
      </c>
      <c r="D24" s="32">
        <v>7.0</v>
      </c>
      <c r="E24" s="37">
        <v>1.0</v>
      </c>
      <c r="F24" s="39"/>
      <c r="G24" s="40">
        <v>0.0</v>
      </c>
      <c r="H24" s="39">
        <v>6.0</v>
      </c>
      <c r="I24" s="39">
        <v>2.0</v>
      </c>
      <c r="J24" s="39">
        <v>6.0</v>
      </c>
      <c r="K24" s="42">
        <v>14.0</v>
      </c>
      <c r="L24" s="39">
        <v>1.0</v>
      </c>
      <c r="M24" s="32">
        <f t="shared" ref="M24:N24" si="21">C24+K24</f>
        <v>86</v>
      </c>
      <c r="N24" s="32">
        <f t="shared" si="21"/>
        <v>8</v>
      </c>
      <c r="O24" s="43" t="s">
        <v>53</v>
      </c>
      <c r="P24" s="43" t="s">
        <v>53</v>
      </c>
      <c r="Q24" s="43" t="s">
        <v>53</v>
      </c>
      <c r="R24" s="39">
        <f>if(G24=13,1,0)+VLOOKUP(B24,'081024'!B:T,17,false)</f>
        <v>0</v>
      </c>
      <c r="S24" s="39"/>
      <c r="T24" s="39">
        <f>if(G24=9,1,0)+VLOOKUP(B24,'081024'!B:T,19,false)</f>
        <v>0</v>
      </c>
    </row>
    <row r="25">
      <c r="A25" s="30">
        <f t="shared" si="3"/>
        <v>21</v>
      </c>
      <c r="B25" s="31" t="s">
        <v>86</v>
      </c>
      <c r="C25" s="32">
        <v>72.0</v>
      </c>
      <c r="D25" s="32">
        <v>6.0</v>
      </c>
      <c r="E25" s="37">
        <v>2.0</v>
      </c>
      <c r="F25" s="39"/>
      <c r="G25" s="40">
        <v>0.0</v>
      </c>
      <c r="H25" s="39">
        <v>4.0</v>
      </c>
      <c r="I25" s="39">
        <v>6.0</v>
      </c>
      <c r="J25" s="39">
        <v>6.0</v>
      </c>
      <c r="K25" s="42">
        <v>16.0</v>
      </c>
      <c r="L25" s="39">
        <v>1.0</v>
      </c>
      <c r="M25" s="32">
        <f t="shared" ref="M25:N25" si="22">C25+K25</f>
        <v>88</v>
      </c>
      <c r="N25" s="32">
        <f t="shared" si="22"/>
        <v>7</v>
      </c>
      <c r="O25" s="43" t="s">
        <v>53</v>
      </c>
      <c r="P25" s="43" t="s">
        <v>53</v>
      </c>
      <c r="Q25" s="43" t="s">
        <v>53</v>
      </c>
      <c r="R25" s="39">
        <f>if(G25=13,1,0)+VLOOKUP(B25,'081024'!B:T,17,false)</f>
        <v>2</v>
      </c>
      <c r="S25" s="39"/>
      <c r="T25" s="39">
        <f>if(G25=9,1,0)+VLOOKUP(B25,'081024'!B:T,19,false)</f>
        <v>0</v>
      </c>
    </row>
    <row r="26">
      <c r="A26" s="30">
        <f t="shared" si="3"/>
        <v>22</v>
      </c>
      <c r="B26" s="51" t="s">
        <v>103</v>
      </c>
      <c r="C26" s="32">
        <v>72.0</v>
      </c>
      <c r="D26" s="32">
        <v>5.0</v>
      </c>
      <c r="E26" s="37">
        <v>3.0</v>
      </c>
      <c r="F26" s="39">
        <v>0.0</v>
      </c>
      <c r="G26" s="40">
        <v>9.0</v>
      </c>
      <c r="H26" s="39">
        <v>0.0</v>
      </c>
      <c r="I26" s="39">
        <v>0.0</v>
      </c>
      <c r="J26" s="39">
        <v>0.0</v>
      </c>
      <c r="K26" s="42">
        <v>9.0</v>
      </c>
      <c r="L26" s="39">
        <v>0.0</v>
      </c>
      <c r="M26" s="32">
        <f t="shared" ref="M26:N26" si="23">C26+K26</f>
        <v>81</v>
      </c>
      <c r="N26" s="32">
        <f t="shared" si="23"/>
        <v>5</v>
      </c>
      <c r="O26" s="43" t="s">
        <v>53</v>
      </c>
      <c r="P26" s="43" t="s">
        <v>53</v>
      </c>
      <c r="Q26" s="43" t="s">
        <v>53</v>
      </c>
      <c r="R26" s="39">
        <f>if(G26=13,1,0)+VLOOKUP(B26,'081024'!B:T,17,false)</f>
        <v>0</v>
      </c>
      <c r="S26" s="39"/>
      <c r="T26" s="39">
        <f>if(G26=9,1,0)+VLOOKUP(B26,'081024'!B:T,19,false)</f>
        <v>4</v>
      </c>
    </row>
    <row r="27">
      <c r="A27" s="30">
        <f t="shared" si="3"/>
        <v>23</v>
      </c>
      <c r="B27" s="31" t="s">
        <v>66</v>
      </c>
      <c r="C27" s="32">
        <v>72.0</v>
      </c>
      <c r="D27" s="32">
        <v>5.0</v>
      </c>
      <c r="E27" s="37">
        <v>3.0</v>
      </c>
      <c r="F27" s="39">
        <v>0.0</v>
      </c>
      <c r="G27" s="40">
        <v>9.0</v>
      </c>
      <c r="H27" s="39">
        <v>0.0</v>
      </c>
      <c r="I27" s="39">
        <v>0.0</v>
      </c>
      <c r="J27" s="39">
        <v>0.0</v>
      </c>
      <c r="K27" s="42">
        <v>9.0</v>
      </c>
      <c r="L27" s="39">
        <v>0.0</v>
      </c>
      <c r="M27" s="32">
        <f t="shared" ref="M27:N27" si="24">C27+K27</f>
        <v>81</v>
      </c>
      <c r="N27" s="32">
        <f t="shared" si="24"/>
        <v>5</v>
      </c>
      <c r="O27" s="43" t="s">
        <v>53</v>
      </c>
      <c r="P27" s="43" t="s">
        <v>53</v>
      </c>
      <c r="Q27" s="43" t="s">
        <v>53</v>
      </c>
      <c r="R27" s="39">
        <f>if(G27=13,1,0)+VLOOKUP(B27,'081024'!B:T,17,false)</f>
        <v>2</v>
      </c>
      <c r="S27" s="39"/>
      <c r="T27" s="39">
        <f>if(G27=9,1,0)+VLOOKUP(B27,'081024'!B:T,19,false)</f>
        <v>2</v>
      </c>
    </row>
    <row r="28">
      <c r="A28" s="30">
        <f t="shared" si="3"/>
        <v>24</v>
      </c>
      <c r="B28" s="51" t="s">
        <v>95</v>
      </c>
      <c r="C28" s="32">
        <v>70.0</v>
      </c>
      <c r="D28" s="32">
        <v>4.0</v>
      </c>
      <c r="E28" s="37">
        <v>1.0</v>
      </c>
      <c r="F28" s="39"/>
      <c r="G28" s="40">
        <v>0.0</v>
      </c>
      <c r="H28" s="39">
        <v>6.0</v>
      </c>
      <c r="I28" s="39">
        <v>6.0</v>
      </c>
      <c r="J28" s="39">
        <v>7.0</v>
      </c>
      <c r="K28" s="42">
        <v>19.0</v>
      </c>
      <c r="L28" s="39">
        <v>3.0</v>
      </c>
      <c r="M28" s="32">
        <f t="shared" ref="M28:N28" si="25">C28+K28</f>
        <v>89</v>
      </c>
      <c r="N28" s="32">
        <f t="shared" si="25"/>
        <v>7</v>
      </c>
      <c r="O28" s="43" t="s">
        <v>53</v>
      </c>
      <c r="P28" s="43" t="s">
        <v>53</v>
      </c>
      <c r="Q28" s="43" t="s">
        <v>53</v>
      </c>
      <c r="R28" s="39">
        <f>if(G28=13,1,0)+VLOOKUP(B28,'081024'!B:T,17,false)</f>
        <v>0</v>
      </c>
      <c r="S28" s="39"/>
      <c r="T28" s="39">
        <f>if(G28=9,1,0)+VLOOKUP(B28,'081024'!B:T,19,false)</f>
        <v>3</v>
      </c>
    </row>
    <row r="29">
      <c r="A29" s="30">
        <f t="shared" si="3"/>
        <v>25</v>
      </c>
      <c r="B29" s="51" t="s">
        <v>93</v>
      </c>
      <c r="C29" s="32">
        <v>69.0</v>
      </c>
      <c r="D29" s="32">
        <v>6.0</v>
      </c>
      <c r="E29" s="37">
        <v>1.0</v>
      </c>
      <c r="F29" s="39"/>
      <c r="G29" s="40">
        <v>0.0</v>
      </c>
      <c r="H29" s="39">
        <v>4.0</v>
      </c>
      <c r="I29" s="39">
        <v>6.0</v>
      </c>
      <c r="J29" s="39">
        <v>6.0</v>
      </c>
      <c r="K29" s="42">
        <v>16.0</v>
      </c>
      <c r="L29" s="39">
        <v>1.0</v>
      </c>
      <c r="M29" s="32">
        <f t="shared" ref="M29:N29" si="26">C29+K29</f>
        <v>85</v>
      </c>
      <c r="N29" s="32">
        <f t="shared" si="26"/>
        <v>7</v>
      </c>
      <c r="O29" s="43" t="s">
        <v>53</v>
      </c>
      <c r="P29" s="43" t="s">
        <v>53</v>
      </c>
      <c r="Q29" s="43" t="s">
        <v>53</v>
      </c>
      <c r="R29" s="39">
        <f>if(G29=13,1,0)+VLOOKUP(B29,'081024'!B:T,17,false)</f>
        <v>0</v>
      </c>
      <c r="S29" s="39"/>
      <c r="T29" s="39">
        <f>if(G29=9,1,0)+VLOOKUP(B29,'081024'!B:T,19,false)</f>
        <v>1</v>
      </c>
    </row>
    <row r="30">
      <c r="A30" s="30">
        <f t="shared" si="3"/>
        <v>26</v>
      </c>
      <c r="B30" s="31" t="s">
        <v>73</v>
      </c>
      <c r="C30" s="32">
        <v>69.0</v>
      </c>
      <c r="D30" s="32">
        <v>5.0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7">C30+K30</f>
        <v>78</v>
      </c>
      <c r="N30" s="32">
        <f t="shared" si="27"/>
        <v>5</v>
      </c>
      <c r="O30" s="43" t="s">
        <v>53</v>
      </c>
      <c r="P30" s="43" t="s">
        <v>53</v>
      </c>
      <c r="Q30" s="43" t="s">
        <v>53</v>
      </c>
      <c r="R30" s="39">
        <f>if(G30=13,1,0)+VLOOKUP(B30,'081024'!B:T,17,false)</f>
        <v>1</v>
      </c>
      <c r="S30" s="39"/>
      <c r="T30" s="39">
        <f>if(G30=9,1,0)+VLOOKUP(B30,'081024'!B:T,19,false)</f>
        <v>3</v>
      </c>
    </row>
    <row r="31">
      <c r="A31" s="30">
        <f t="shared" si="3"/>
        <v>27</v>
      </c>
      <c r="B31" s="51" t="s">
        <v>111</v>
      </c>
      <c r="C31" s="32">
        <v>69.0</v>
      </c>
      <c r="D31" s="32">
        <v>5.0</v>
      </c>
      <c r="E31" s="37">
        <v>1.0</v>
      </c>
      <c r="F31" s="39"/>
      <c r="G31" s="40">
        <v>0.0</v>
      </c>
      <c r="H31" s="39">
        <v>6.0</v>
      </c>
      <c r="I31" s="39">
        <v>6.0</v>
      </c>
      <c r="J31" s="39">
        <v>3.0</v>
      </c>
      <c r="K31" s="42">
        <v>15.0</v>
      </c>
      <c r="L31" s="39">
        <v>1.0</v>
      </c>
      <c r="M31" s="32">
        <f t="shared" ref="M31:N31" si="28">C31+K31</f>
        <v>84</v>
      </c>
      <c r="N31" s="32">
        <f t="shared" si="28"/>
        <v>6</v>
      </c>
      <c r="O31" s="43" t="s">
        <v>53</v>
      </c>
      <c r="P31" s="43" t="s">
        <v>53</v>
      </c>
      <c r="Q31" s="43" t="s">
        <v>53</v>
      </c>
      <c r="R31" s="39">
        <f>if(G31=13,1,0)+VLOOKUP(B31,'081024'!B:T,17,false)</f>
        <v>0</v>
      </c>
      <c r="S31" s="39"/>
      <c r="T31" s="39">
        <f>if(G31=9,1,0)+VLOOKUP(B31,'081024'!B:T,19,false)</f>
        <v>3</v>
      </c>
    </row>
    <row r="32">
      <c r="A32" s="30">
        <f t="shared" si="3"/>
        <v>28</v>
      </c>
      <c r="B32" s="56" t="s">
        <v>110</v>
      </c>
      <c r="C32" s="32">
        <v>69.0</v>
      </c>
      <c r="D32" s="32">
        <v>3.0</v>
      </c>
      <c r="E32" s="37">
        <v>2.0</v>
      </c>
      <c r="F32" s="39"/>
      <c r="G32" s="40">
        <v>0.0</v>
      </c>
      <c r="H32" s="39">
        <v>4.0</v>
      </c>
      <c r="I32" s="39">
        <v>7.0</v>
      </c>
      <c r="J32" s="39">
        <v>3.0</v>
      </c>
      <c r="K32" s="42">
        <v>14.0</v>
      </c>
      <c r="L32" s="39">
        <v>1.0</v>
      </c>
      <c r="M32" s="32">
        <f t="shared" ref="M32:N32" si="29">C32+K32</f>
        <v>83</v>
      </c>
      <c r="N32" s="32">
        <f t="shared" si="29"/>
        <v>4</v>
      </c>
      <c r="O32" s="43" t="s">
        <v>53</v>
      </c>
      <c r="P32" s="43" t="s">
        <v>53</v>
      </c>
      <c r="Q32" s="43" t="s">
        <v>53</v>
      </c>
      <c r="R32" s="39">
        <f>if(G32=13,1,0)+VLOOKUP(B32,'081024'!B:T,17,false)</f>
        <v>1</v>
      </c>
      <c r="S32" s="39"/>
      <c r="T32" s="39">
        <f>if(G32=9,1,0)+VLOOKUP(B32,'081024'!B:T,19,false)</f>
        <v>2</v>
      </c>
    </row>
    <row r="33">
      <c r="A33" s="30">
        <f t="shared" si="3"/>
        <v>29</v>
      </c>
      <c r="B33" s="31" t="s">
        <v>119</v>
      </c>
      <c r="C33" s="32">
        <v>67.0</v>
      </c>
      <c r="D33" s="32">
        <v>4.0</v>
      </c>
      <c r="E33" s="37">
        <v>3.0</v>
      </c>
      <c r="F33" s="39">
        <v>0.0</v>
      </c>
      <c r="G33" s="40">
        <v>9.0</v>
      </c>
      <c r="H33" s="39">
        <v>0.0</v>
      </c>
      <c r="I33" s="39">
        <v>0.0</v>
      </c>
      <c r="J33" s="39">
        <v>0.0</v>
      </c>
      <c r="K33" s="42">
        <v>9.0</v>
      </c>
      <c r="L33" s="39">
        <v>0.0</v>
      </c>
      <c r="M33" s="32">
        <f t="shared" ref="M33:N33" si="30">C33+K33</f>
        <v>76</v>
      </c>
      <c r="N33" s="32">
        <f t="shared" si="30"/>
        <v>4</v>
      </c>
      <c r="O33" s="43" t="s">
        <v>53</v>
      </c>
      <c r="P33" s="43" t="s">
        <v>53</v>
      </c>
      <c r="Q33" s="43" t="s">
        <v>53</v>
      </c>
      <c r="R33" s="39">
        <f>if(G33=13,1,0)+VLOOKUP(B33,'081024'!B:T,17,false)</f>
        <v>0</v>
      </c>
      <c r="S33" s="39"/>
      <c r="T33" s="39">
        <f>if(G33=9,1,0)+VLOOKUP(B33,'081024'!B:T,19,false)</f>
        <v>5</v>
      </c>
    </row>
    <row r="34">
      <c r="A34" s="30">
        <f t="shared" si="3"/>
        <v>30</v>
      </c>
      <c r="B34" s="31" t="s">
        <v>83</v>
      </c>
      <c r="C34" s="32">
        <v>67.0</v>
      </c>
      <c r="D34" s="32">
        <v>3.0</v>
      </c>
      <c r="E34" s="37">
        <v>3.0</v>
      </c>
      <c r="F34" s="39">
        <v>0.0</v>
      </c>
      <c r="G34" s="40">
        <v>9.0</v>
      </c>
      <c r="H34" s="39">
        <v>0.0</v>
      </c>
      <c r="I34" s="39">
        <v>0.0</v>
      </c>
      <c r="J34" s="39">
        <v>0.0</v>
      </c>
      <c r="K34" s="42">
        <v>9.0</v>
      </c>
      <c r="L34" s="39">
        <v>0.0</v>
      </c>
      <c r="M34" s="32">
        <f t="shared" ref="M34:N34" si="31">C34+K34</f>
        <v>76</v>
      </c>
      <c r="N34" s="32">
        <f t="shared" si="31"/>
        <v>3</v>
      </c>
      <c r="O34" s="43" t="s">
        <v>53</v>
      </c>
      <c r="P34" s="43" t="s">
        <v>53</v>
      </c>
      <c r="Q34" s="43" t="s">
        <v>53</v>
      </c>
      <c r="R34" s="39">
        <f>if(G34=13,1,0)+VLOOKUP(B34,'081024'!B:T,17,false)</f>
        <v>0</v>
      </c>
      <c r="S34" s="39"/>
      <c r="T34" s="39">
        <f>if(G34=9,1,0)+VLOOKUP(B34,'081024'!B:T,19,false)</f>
        <v>5</v>
      </c>
    </row>
    <row r="35">
      <c r="A35" s="30">
        <f t="shared" si="3"/>
        <v>31</v>
      </c>
      <c r="B35" s="51" t="s">
        <v>75</v>
      </c>
      <c r="C35" s="32">
        <v>67.0</v>
      </c>
      <c r="D35" s="32">
        <v>3.0</v>
      </c>
      <c r="E35" s="37">
        <v>3.0</v>
      </c>
      <c r="F35" s="39">
        <v>0.0</v>
      </c>
      <c r="G35" s="40">
        <v>9.0</v>
      </c>
      <c r="H35" s="39">
        <v>0.0</v>
      </c>
      <c r="I35" s="39">
        <v>0.0</v>
      </c>
      <c r="J35" s="39">
        <v>0.0</v>
      </c>
      <c r="K35" s="42">
        <v>9.0</v>
      </c>
      <c r="L35" s="39">
        <v>0.0</v>
      </c>
      <c r="M35" s="32">
        <f t="shared" ref="M35:N35" si="32">C35+K35</f>
        <v>76</v>
      </c>
      <c r="N35" s="32">
        <f t="shared" si="32"/>
        <v>3</v>
      </c>
      <c r="O35" s="43" t="s">
        <v>53</v>
      </c>
      <c r="P35" s="43" t="s">
        <v>53</v>
      </c>
      <c r="Q35" s="43" t="s">
        <v>53</v>
      </c>
      <c r="R35" s="39">
        <f>if(G35=13,1,0)+VLOOKUP(B35,'081024'!B:T,17,false)</f>
        <v>1</v>
      </c>
      <c r="S35" s="39"/>
      <c r="T35" s="39">
        <f>if(G35=9,1,0)+VLOOKUP(B35,'081024'!B:T,19,false)</f>
        <v>5</v>
      </c>
    </row>
    <row r="36">
      <c r="A36" s="30">
        <f t="shared" si="3"/>
        <v>32</v>
      </c>
      <c r="B36" s="31" t="s">
        <v>96</v>
      </c>
      <c r="C36" s="32">
        <v>66.0</v>
      </c>
      <c r="D36" s="32">
        <v>6.0</v>
      </c>
      <c r="E36" s="37">
        <v>2.0</v>
      </c>
      <c r="F36" s="39"/>
      <c r="G36" s="40">
        <v>0.0</v>
      </c>
      <c r="H36" s="39">
        <v>6.0</v>
      </c>
      <c r="I36" s="39">
        <v>7.0</v>
      </c>
      <c r="J36" s="39">
        <v>6.0</v>
      </c>
      <c r="K36" s="42">
        <v>19.0</v>
      </c>
      <c r="L36" s="39">
        <v>3.0</v>
      </c>
      <c r="M36" s="32">
        <f t="shared" ref="M36:N36" si="33">C36+K36</f>
        <v>85</v>
      </c>
      <c r="N36" s="32">
        <f t="shared" si="33"/>
        <v>9</v>
      </c>
      <c r="O36" s="43" t="s">
        <v>53</v>
      </c>
      <c r="P36" s="43" t="s">
        <v>53</v>
      </c>
      <c r="Q36" s="43" t="s">
        <v>53</v>
      </c>
      <c r="R36" s="39">
        <f>if(G36=13,1,0)+VLOOKUP(B36,'081024'!B:T,17,false)</f>
        <v>0</v>
      </c>
      <c r="S36" s="39"/>
      <c r="T36" s="39">
        <f>if(G36=9,1,0)+VLOOKUP(B36,'081024'!B:T,19,false)</f>
        <v>3</v>
      </c>
    </row>
    <row r="37">
      <c r="A37" s="30">
        <f t="shared" si="3"/>
        <v>33</v>
      </c>
      <c r="B37" s="31" t="s">
        <v>98</v>
      </c>
      <c r="C37" s="32">
        <v>66.0</v>
      </c>
      <c r="D37" s="32">
        <v>3.0</v>
      </c>
      <c r="E37" s="37">
        <v>2.0</v>
      </c>
      <c r="F37" s="39"/>
      <c r="G37" s="40">
        <v>0.0</v>
      </c>
      <c r="H37" s="39">
        <v>6.0</v>
      </c>
      <c r="I37" s="39">
        <v>0.0</v>
      </c>
      <c r="J37" s="39">
        <v>3.0</v>
      </c>
      <c r="K37" s="42">
        <v>9.0</v>
      </c>
      <c r="L37" s="39">
        <v>1.0</v>
      </c>
      <c r="M37" s="32">
        <f t="shared" ref="M37:N37" si="34">C37+K37</f>
        <v>75</v>
      </c>
      <c r="N37" s="32">
        <f t="shared" si="34"/>
        <v>4</v>
      </c>
      <c r="O37" s="43" t="s">
        <v>53</v>
      </c>
      <c r="P37" s="43" t="s">
        <v>53</v>
      </c>
      <c r="Q37" s="43" t="s">
        <v>53</v>
      </c>
      <c r="R37" s="39">
        <f>if(G37=13,1,0)+VLOOKUP(B37,'081024'!B:T,17,false)</f>
        <v>1</v>
      </c>
      <c r="S37" s="39"/>
      <c r="T37" s="39">
        <f>if(G37=9,1,0)+VLOOKUP(B37,'081024'!B:T,19,false)</f>
        <v>3</v>
      </c>
    </row>
    <row r="38">
      <c r="A38" s="30">
        <f t="shared" si="3"/>
        <v>34</v>
      </c>
      <c r="B38" s="31" t="s">
        <v>56</v>
      </c>
      <c r="C38" s="32">
        <v>66.0</v>
      </c>
      <c r="D38" s="32">
        <v>3.0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5">C38+K38</f>
        <v>75</v>
      </c>
      <c r="N38" s="32">
        <f t="shared" si="35"/>
        <v>3</v>
      </c>
      <c r="O38" s="43" t="s">
        <v>53</v>
      </c>
      <c r="P38" s="43" t="s">
        <v>53</v>
      </c>
      <c r="Q38" s="43" t="s">
        <v>53</v>
      </c>
      <c r="R38" s="39">
        <f>if(G38=13,1,0)+VLOOKUP(B38,'081024'!B:T,17,false)</f>
        <v>0</v>
      </c>
      <c r="S38" s="39"/>
      <c r="T38" s="39">
        <f>if(G38=9,1,0)+VLOOKUP(B38,'081024'!B:T,19,false)</f>
        <v>5</v>
      </c>
    </row>
    <row r="39">
      <c r="A39" s="30">
        <f t="shared" si="3"/>
        <v>35</v>
      </c>
      <c r="B39" s="31" t="s">
        <v>89</v>
      </c>
      <c r="C39" s="32">
        <v>65.0</v>
      </c>
      <c r="D39" s="32">
        <v>2.0</v>
      </c>
      <c r="E39" s="37">
        <v>3.0</v>
      </c>
      <c r="F39" s="39">
        <v>0.0</v>
      </c>
      <c r="G39" s="40">
        <v>9.0</v>
      </c>
      <c r="H39" s="39">
        <v>0.0</v>
      </c>
      <c r="I39" s="39">
        <v>0.0</v>
      </c>
      <c r="J39" s="39">
        <v>0.0</v>
      </c>
      <c r="K39" s="42">
        <v>9.0</v>
      </c>
      <c r="L39" s="39">
        <v>0.0</v>
      </c>
      <c r="M39" s="32">
        <f t="shared" ref="M39:N39" si="36">C39+K39</f>
        <v>74</v>
      </c>
      <c r="N39" s="32">
        <f t="shared" si="36"/>
        <v>2</v>
      </c>
      <c r="O39" s="43" t="s">
        <v>53</v>
      </c>
      <c r="P39" s="43" t="s">
        <v>53</v>
      </c>
      <c r="Q39" s="43" t="s">
        <v>53</v>
      </c>
      <c r="R39" s="39">
        <f>if(G39=13,1,0)+VLOOKUP(B39,'081024'!B:T,17,false)</f>
        <v>2</v>
      </c>
      <c r="S39" s="39"/>
      <c r="T39" s="39">
        <f>if(G39=9,1,0)+VLOOKUP(B39,'081024'!B:T,19,false)</f>
        <v>4</v>
      </c>
    </row>
    <row r="40">
      <c r="A40" s="30">
        <f t="shared" si="3"/>
        <v>36</v>
      </c>
      <c r="B40" s="51" t="s">
        <v>102</v>
      </c>
      <c r="C40" s="32">
        <v>65.0</v>
      </c>
      <c r="D40" s="32">
        <v>1.0</v>
      </c>
      <c r="E40" s="37">
        <v>1.0</v>
      </c>
      <c r="F40" s="39"/>
      <c r="G40" s="40">
        <v>0.0</v>
      </c>
      <c r="H40" s="39">
        <v>2.0</v>
      </c>
      <c r="I40" s="39">
        <v>6.0</v>
      </c>
      <c r="J40" s="39">
        <v>3.0</v>
      </c>
      <c r="K40" s="42">
        <v>11.0</v>
      </c>
      <c r="L40" s="39">
        <v>1.0</v>
      </c>
      <c r="M40" s="32">
        <f t="shared" ref="M40:N40" si="37">C40+K40</f>
        <v>76</v>
      </c>
      <c r="N40" s="32">
        <f t="shared" si="37"/>
        <v>2</v>
      </c>
      <c r="O40" s="43" t="s">
        <v>53</v>
      </c>
      <c r="P40" s="43" t="s">
        <v>53</v>
      </c>
      <c r="Q40" s="43" t="s">
        <v>53</v>
      </c>
      <c r="R40" s="39">
        <f>if(G40=13,1,0)+VLOOKUP(B40,'081024'!B:T,17,false)</f>
        <v>2</v>
      </c>
      <c r="S40" s="39"/>
      <c r="T40" s="39">
        <f>if(G40=9,1,0)+VLOOKUP(B40,'081024'!B:T,19,false)</f>
        <v>3</v>
      </c>
    </row>
    <row r="41">
      <c r="A41" s="30">
        <f t="shared" si="3"/>
        <v>37</v>
      </c>
      <c r="B41" s="56" t="s">
        <v>115</v>
      </c>
      <c r="C41" s="32">
        <v>64.0</v>
      </c>
      <c r="D41" s="32">
        <v>5.0</v>
      </c>
      <c r="E41" s="37">
        <v>1.0</v>
      </c>
      <c r="F41" s="39"/>
      <c r="G41" s="40">
        <v>0.0</v>
      </c>
      <c r="H41" s="39">
        <v>2.0</v>
      </c>
      <c r="I41" s="39">
        <v>0.0</v>
      </c>
      <c r="J41" s="39">
        <v>6.0</v>
      </c>
      <c r="K41" s="42">
        <v>8.0</v>
      </c>
      <c r="L41" s="39">
        <v>1.0</v>
      </c>
      <c r="M41" s="32">
        <f t="shared" ref="M41:N41" si="38">C41+K41</f>
        <v>72</v>
      </c>
      <c r="N41" s="32">
        <f t="shared" si="38"/>
        <v>6</v>
      </c>
      <c r="O41" s="43" t="s">
        <v>53</v>
      </c>
      <c r="P41" s="43" t="s">
        <v>53</v>
      </c>
      <c r="Q41" s="43" t="s">
        <v>53</v>
      </c>
      <c r="R41" s="39">
        <f>if(G41=13,1,0)+VLOOKUP(B41,'081024'!B:T,17,false)</f>
        <v>0</v>
      </c>
      <c r="S41" s="39"/>
      <c r="T41" s="39">
        <f>if(G41=9,1,0)+VLOOKUP(B41,'081024'!B:T,19,false)</f>
        <v>1</v>
      </c>
    </row>
    <row r="42">
      <c r="A42" s="30">
        <f t="shared" si="3"/>
        <v>38</v>
      </c>
      <c r="B42" s="31" t="s">
        <v>125</v>
      </c>
      <c r="C42" s="32">
        <v>63.0</v>
      </c>
      <c r="D42" s="32">
        <v>3.0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39">C42+K42</f>
        <v>72</v>
      </c>
      <c r="N42" s="32">
        <f t="shared" si="39"/>
        <v>3</v>
      </c>
      <c r="O42" s="43" t="s">
        <v>53</v>
      </c>
      <c r="P42" s="43" t="s">
        <v>53</v>
      </c>
      <c r="Q42" s="43" t="s">
        <v>53</v>
      </c>
      <c r="R42" s="39">
        <f>if(G42=13,1,0)+VLOOKUP(B42,'081024'!B:T,17,false)</f>
        <v>0</v>
      </c>
      <c r="S42" s="39"/>
      <c r="T42" s="39">
        <f>if(G42=9,1,0)+VLOOKUP(B42,'081024'!B:T,19,false)</f>
        <v>6</v>
      </c>
    </row>
    <row r="43">
      <c r="A43" s="30">
        <f t="shared" si="3"/>
        <v>39</v>
      </c>
      <c r="B43" s="56" t="s">
        <v>122</v>
      </c>
      <c r="C43" s="32">
        <v>63.0</v>
      </c>
      <c r="D43" s="32">
        <v>3.0</v>
      </c>
      <c r="E43" s="37">
        <v>3.0</v>
      </c>
      <c r="F43" s="39">
        <v>0.0</v>
      </c>
      <c r="G43" s="40">
        <v>9.0</v>
      </c>
      <c r="H43" s="39">
        <v>0.0</v>
      </c>
      <c r="I43" s="39">
        <v>0.0</v>
      </c>
      <c r="J43" s="39">
        <v>0.0</v>
      </c>
      <c r="K43" s="42">
        <v>9.0</v>
      </c>
      <c r="L43" s="39">
        <v>0.0</v>
      </c>
      <c r="M43" s="32">
        <f t="shared" ref="M43:N43" si="40">C43+K43</f>
        <v>72</v>
      </c>
      <c r="N43" s="32">
        <f t="shared" si="40"/>
        <v>3</v>
      </c>
      <c r="O43" s="43" t="s">
        <v>53</v>
      </c>
      <c r="P43" s="43" t="s">
        <v>53</v>
      </c>
      <c r="Q43" s="43" t="s">
        <v>53</v>
      </c>
      <c r="R43" s="39">
        <f>if(G43=13,1,0)+VLOOKUP(B43,'081024'!B:T,17,false)</f>
        <v>1</v>
      </c>
      <c r="S43" s="39"/>
      <c r="T43" s="39">
        <f>if(G43=9,1,0)+VLOOKUP(B43,'081024'!B:T,19,false)</f>
        <v>3</v>
      </c>
    </row>
    <row r="44">
      <c r="A44" s="30">
        <f t="shared" si="3"/>
        <v>40</v>
      </c>
      <c r="B44" s="31" t="s">
        <v>63</v>
      </c>
      <c r="C44" s="32">
        <v>63.0</v>
      </c>
      <c r="D44" s="32">
        <v>3.0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1">C44+K44</f>
        <v>72</v>
      </c>
      <c r="N44" s="32">
        <f t="shared" si="41"/>
        <v>3</v>
      </c>
      <c r="O44" s="43" t="s">
        <v>53</v>
      </c>
      <c r="P44" s="43" t="s">
        <v>53</v>
      </c>
      <c r="Q44" s="43" t="s">
        <v>53</v>
      </c>
      <c r="R44" s="39">
        <f>if(G44=13,1,0)+VLOOKUP(B44,'081024'!B:T,17,false)</f>
        <v>0</v>
      </c>
      <c r="S44" s="39"/>
      <c r="T44" s="39">
        <f>if(G44=9,1,0)+VLOOKUP(B44,'081024'!B:T,19,false)</f>
        <v>6</v>
      </c>
    </row>
    <row r="45">
      <c r="A45" s="30">
        <f t="shared" si="3"/>
        <v>41</v>
      </c>
      <c r="B45" s="51" t="s">
        <v>85</v>
      </c>
      <c r="C45" s="32">
        <v>63.0</v>
      </c>
      <c r="D45" s="32">
        <v>2.0</v>
      </c>
      <c r="E45" s="37">
        <v>1.0</v>
      </c>
      <c r="F45" s="39"/>
      <c r="G45" s="40">
        <v>0.0</v>
      </c>
      <c r="H45" s="39">
        <v>6.0</v>
      </c>
      <c r="I45" s="39">
        <v>6.0</v>
      </c>
      <c r="J45" s="39">
        <v>6.0</v>
      </c>
      <c r="K45" s="42">
        <v>18.0</v>
      </c>
      <c r="L45" s="39">
        <v>3.0</v>
      </c>
      <c r="M45" s="32">
        <f t="shared" ref="M45:N45" si="42">C45+K45</f>
        <v>81</v>
      </c>
      <c r="N45" s="32">
        <f t="shared" si="42"/>
        <v>5</v>
      </c>
      <c r="O45" s="43" t="s">
        <v>53</v>
      </c>
      <c r="P45" s="43" t="s">
        <v>53</v>
      </c>
      <c r="Q45" s="43" t="s">
        <v>53</v>
      </c>
      <c r="R45" s="39">
        <f>if(G45=13,1,0)+VLOOKUP(B45,'081024'!B:T,17,false)</f>
        <v>0</v>
      </c>
      <c r="S45" s="39"/>
      <c r="T45" s="39">
        <f>if(G45=9,1,0)+VLOOKUP(B45,'081024'!B:T,19,false)</f>
        <v>5</v>
      </c>
    </row>
    <row r="46">
      <c r="A46" s="30">
        <f t="shared" si="3"/>
        <v>42</v>
      </c>
      <c r="B46" s="57" t="s">
        <v>97</v>
      </c>
      <c r="C46" s="32">
        <v>62.0</v>
      </c>
      <c r="D46" s="32">
        <v>2.0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3">C46+K46</f>
        <v>71</v>
      </c>
      <c r="N46" s="32">
        <f t="shared" si="43"/>
        <v>2</v>
      </c>
      <c r="O46" s="43" t="s">
        <v>53</v>
      </c>
      <c r="P46" s="43" t="s">
        <v>53</v>
      </c>
      <c r="Q46" s="43" t="s">
        <v>53</v>
      </c>
      <c r="R46" s="39">
        <f>if(G46=13,1,0)+VLOOKUP(B46,'081024'!B:T,17,false)</f>
        <v>0</v>
      </c>
      <c r="S46" s="39"/>
      <c r="T46" s="39">
        <f>if(G46=9,1,0)+VLOOKUP(B46,'081024'!B:T,19,false)</f>
        <v>6</v>
      </c>
    </row>
    <row r="47">
      <c r="A47" s="30">
        <f t="shared" si="3"/>
        <v>43</v>
      </c>
      <c r="B47" s="51" t="s">
        <v>121</v>
      </c>
      <c r="C47" s="32">
        <v>59.0</v>
      </c>
      <c r="D47" s="32">
        <v>4.0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4">C47+K47</f>
        <v>68</v>
      </c>
      <c r="N47" s="32">
        <f t="shared" si="44"/>
        <v>4</v>
      </c>
      <c r="O47" s="43" t="s">
        <v>53</v>
      </c>
      <c r="P47" s="43" t="s">
        <v>53</v>
      </c>
      <c r="Q47" s="43" t="s">
        <v>53</v>
      </c>
      <c r="R47" s="39">
        <f>if(G47=13,1,0)+VLOOKUP(B47,'081024'!B:T,17,false)</f>
        <v>0</v>
      </c>
      <c r="S47" s="39"/>
      <c r="T47" s="39">
        <f>if(G47=9,1,0)+VLOOKUP(B47,'081024'!B:T,19,false)</f>
        <v>4</v>
      </c>
    </row>
    <row r="48">
      <c r="A48" s="30">
        <f t="shared" si="3"/>
        <v>44</v>
      </c>
      <c r="B48" s="51" t="s">
        <v>116</v>
      </c>
      <c r="C48" s="32">
        <v>59.0</v>
      </c>
      <c r="D48" s="32">
        <v>3.0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5">C48+K48</f>
        <v>68</v>
      </c>
      <c r="N48" s="32">
        <f t="shared" si="45"/>
        <v>3</v>
      </c>
      <c r="O48" s="43" t="s">
        <v>53</v>
      </c>
      <c r="P48" s="43" t="s">
        <v>53</v>
      </c>
      <c r="Q48" s="43" t="s">
        <v>53</v>
      </c>
      <c r="R48" s="39">
        <f>if(G48=13,1,0)+VLOOKUP(B48,'081024'!B:T,17,false)</f>
        <v>0</v>
      </c>
      <c r="S48" s="39"/>
      <c r="T48" s="39">
        <f>if(G48=9,1,0)+VLOOKUP(B48,'081024'!B:T,19,false)</f>
        <v>3</v>
      </c>
    </row>
    <row r="49">
      <c r="A49" s="30">
        <f t="shared" si="3"/>
        <v>45</v>
      </c>
      <c r="B49" s="56" t="s">
        <v>101</v>
      </c>
      <c r="C49" s="32">
        <v>59.0</v>
      </c>
      <c r="D49" s="32">
        <v>1.0</v>
      </c>
      <c r="E49" s="37">
        <v>1.0</v>
      </c>
      <c r="F49" s="39"/>
      <c r="G49" s="40">
        <v>0.0</v>
      </c>
      <c r="H49" s="39">
        <v>6.0</v>
      </c>
      <c r="I49" s="39">
        <v>6.0</v>
      </c>
      <c r="J49" s="39">
        <v>7.0</v>
      </c>
      <c r="K49" s="42">
        <v>19.0</v>
      </c>
      <c r="L49" s="39">
        <v>3.0</v>
      </c>
      <c r="M49" s="32">
        <f t="shared" ref="M49:N49" si="46">C49+K49</f>
        <v>78</v>
      </c>
      <c r="N49" s="32">
        <f t="shared" si="46"/>
        <v>4</v>
      </c>
      <c r="O49" s="43" t="s">
        <v>53</v>
      </c>
      <c r="P49" s="43" t="s">
        <v>53</v>
      </c>
      <c r="Q49" s="43" t="s">
        <v>53</v>
      </c>
      <c r="R49" s="39">
        <f>if(G49=13,1,0)+VLOOKUP(B49,'081024'!B:T,17,false)</f>
        <v>0</v>
      </c>
      <c r="S49" s="39"/>
      <c r="T49" s="39">
        <f>if(G49=9,1,0)+VLOOKUP(B49,'081024'!B:T,19,false)</f>
        <v>4</v>
      </c>
    </row>
    <row r="50">
      <c r="A50" s="30">
        <f t="shared" si="3"/>
        <v>46</v>
      </c>
      <c r="B50" s="51" t="s">
        <v>113</v>
      </c>
      <c r="C50" s="32">
        <v>58.0</v>
      </c>
      <c r="D50" s="32">
        <v>5.0</v>
      </c>
      <c r="E50" s="37">
        <v>1.0</v>
      </c>
      <c r="F50" s="39"/>
      <c r="G50" s="40">
        <v>0.0</v>
      </c>
      <c r="H50" s="39">
        <v>1.0</v>
      </c>
      <c r="I50" s="39">
        <v>4.0</v>
      </c>
      <c r="J50" s="39">
        <v>7.0</v>
      </c>
      <c r="K50" s="42">
        <v>12.0</v>
      </c>
      <c r="L50" s="39">
        <v>1.0</v>
      </c>
      <c r="M50" s="32">
        <f t="shared" ref="M50:N50" si="47">C50+K50</f>
        <v>70</v>
      </c>
      <c r="N50" s="32">
        <f t="shared" si="47"/>
        <v>6</v>
      </c>
      <c r="O50" s="43" t="s">
        <v>53</v>
      </c>
      <c r="P50" s="43" t="s">
        <v>53</v>
      </c>
      <c r="Q50" s="43" t="s">
        <v>53</v>
      </c>
      <c r="R50" s="39">
        <f>if(G50=13,1,0)+VLOOKUP(B50,'081024'!B:T,17,false)</f>
        <v>0</v>
      </c>
      <c r="S50" s="39"/>
      <c r="T50" s="39">
        <f>if(G50=9,1,0)+VLOOKUP(B50,'081024'!B:T,19,false)</f>
        <v>1</v>
      </c>
    </row>
    <row r="51">
      <c r="A51" s="30">
        <f t="shared" si="3"/>
        <v>47</v>
      </c>
      <c r="B51" s="51" t="s">
        <v>108</v>
      </c>
      <c r="C51" s="32">
        <v>58.0</v>
      </c>
      <c r="D51" s="32">
        <v>2.0</v>
      </c>
      <c r="E51" s="37">
        <v>3.0</v>
      </c>
      <c r="F51" s="39">
        <v>0.0</v>
      </c>
      <c r="G51" s="40">
        <v>9.0</v>
      </c>
      <c r="H51" s="39">
        <v>0.0</v>
      </c>
      <c r="I51" s="39">
        <v>0.0</v>
      </c>
      <c r="J51" s="39">
        <v>0.0</v>
      </c>
      <c r="K51" s="42">
        <v>9.0</v>
      </c>
      <c r="L51" s="39">
        <v>0.0</v>
      </c>
      <c r="M51" s="32">
        <f t="shared" ref="M51:N51" si="48">C51+K51</f>
        <v>67</v>
      </c>
      <c r="N51" s="32">
        <f t="shared" si="48"/>
        <v>2</v>
      </c>
      <c r="O51" s="43" t="s">
        <v>53</v>
      </c>
      <c r="P51" s="43" t="s">
        <v>53</v>
      </c>
      <c r="Q51" s="43" t="s">
        <v>53</v>
      </c>
      <c r="R51" s="39">
        <f>if(G51=13,1,0)+VLOOKUP(B51,'081024'!B:T,17,false)</f>
        <v>0</v>
      </c>
      <c r="S51" s="39"/>
      <c r="T51" s="39">
        <f>if(G51=9,1,0)+VLOOKUP(B51,'081024'!B:T,19,false)</f>
        <v>5</v>
      </c>
    </row>
    <row r="52">
      <c r="A52" s="30">
        <f t="shared" si="3"/>
        <v>48</v>
      </c>
      <c r="B52" s="51" t="s">
        <v>99</v>
      </c>
      <c r="C52" s="32">
        <v>58.0</v>
      </c>
      <c r="D52" s="32">
        <v>1.0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49">C52+K52</f>
        <v>67</v>
      </c>
      <c r="N52" s="32">
        <f t="shared" si="49"/>
        <v>1</v>
      </c>
      <c r="O52" s="43" t="s">
        <v>53</v>
      </c>
      <c r="P52" s="43"/>
      <c r="Q52" s="43" t="s">
        <v>53</v>
      </c>
      <c r="R52" s="39">
        <f>if(G52=13,1,0)+VLOOKUP(B52,'081024'!B:T,17,false)</f>
        <v>0</v>
      </c>
      <c r="S52" s="39"/>
      <c r="T52" s="39">
        <f>if(G52=9,1,0)+VLOOKUP(B52,'081024'!B:T,19,false)</f>
        <v>1</v>
      </c>
    </row>
    <row r="53">
      <c r="A53" s="30">
        <f t="shared" si="3"/>
        <v>49</v>
      </c>
      <c r="B53" s="31" t="s">
        <v>72</v>
      </c>
      <c r="C53" s="32">
        <v>58.0</v>
      </c>
      <c r="D53" s="32">
        <v>0.0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0">C53+K53</f>
        <v>67</v>
      </c>
      <c r="N53" s="32">
        <f t="shared" si="50"/>
        <v>0</v>
      </c>
      <c r="O53" s="43" t="s">
        <v>53</v>
      </c>
      <c r="P53" s="43" t="s">
        <v>53</v>
      </c>
      <c r="Q53" s="43" t="s">
        <v>53</v>
      </c>
      <c r="R53" s="39">
        <f>if(G53=13,1,0)+VLOOKUP(B53,'081024'!B:T,17,false)</f>
        <v>1</v>
      </c>
      <c r="S53" s="39"/>
      <c r="T53" s="39">
        <f>if(G53=9,1,0)+VLOOKUP(B53,'081024'!B:T,19,false)</f>
        <v>6</v>
      </c>
    </row>
    <row r="54">
      <c r="A54" s="30">
        <f t="shared" si="3"/>
        <v>50</v>
      </c>
      <c r="B54" s="31" t="s">
        <v>126</v>
      </c>
      <c r="C54" s="32">
        <v>58.0</v>
      </c>
      <c r="D54" s="32">
        <v>0.0</v>
      </c>
      <c r="E54" s="37">
        <v>3.0</v>
      </c>
      <c r="F54" s="39">
        <v>0.0</v>
      </c>
      <c r="G54" s="40">
        <v>9.0</v>
      </c>
      <c r="H54" s="39">
        <v>0.0</v>
      </c>
      <c r="I54" s="39">
        <v>0.0</v>
      </c>
      <c r="J54" s="39">
        <v>0.0</v>
      </c>
      <c r="K54" s="42">
        <v>9.0</v>
      </c>
      <c r="L54" s="39">
        <v>0.0</v>
      </c>
      <c r="M54" s="32">
        <f t="shared" ref="M54:N54" si="51">C54+K54</f>
        <v>67</v>
      </c>
      <c r="N54" s="32">
        <f t="shared" si="51"/>
        <v>0</v>
      </c>
      <c r="O54" s="43" t="s">
        <v>53</v>
      </c>
      <c r="P54" s="43" t="s">
        <v>53</v>
      </c>
      <c r="Q54" s="43" t="s">
        <v>53</v>
      </c>
      <c r="R54" s="39">
        <f>if(G54=13,1,0)+VLOOKUP(B54,'081024'!B:T,17,false)</f>
        <v>1</v>
      </c>
      <c r="S54" s="39"/>
      <c r="T54" s="39">
        <f>if(G54=9,1,0)+VLOOKUP(B54,'081024'!B:T,19,false)</f>
        <v>5</v>
      </c>
    </row>
    <row r="55">
      <c r="A55" s="30">
        <f t="shared" si="3"/>
        <v>51</v>
      </c>
      <c r="B55" s="51" t="s">
        <v>118</v>
      </c>
      <c r="C55" s="32">
        <v>57.0</v>
      </c>
      <c r="D55" s="32">
        <v>1.0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2">C55+K55</f>
        <v>66</v>
      </c>
      <c r="N55" s="32">
        <f t="shared" si="52"/>
        <v>1</v>
      </c>
      <c r="O55" s="43" t="s">
        <v>53</v>
      </c>
      <c r="P55" s="43" t="s">
        <v>53</v>
      </c>
      <c r="Q55" s="43" t="s">
        <v>53</v>
      </c>
      <c r="R55" s="39">
        <f>if(G55=13,1,0)+VLOOKUP(B55,'081024'!B:T,17,false)</f>
        <v>0</v>
      </c>
      <c r="S55" s="39"/>
      <c r="T55" s="39">
        <f>if(G55=9,1,0)+VLOOKUP(B55,'081024'!B:T,19,false)</f>
        <v>5</v>
      </c>
    </row>
    <row r="56">
      <c r="A56" s="30">
        <f t="shared" si="3"/>
        <v>52</v>
      </c>
      <c r="B56" s="31" t="s">
        <v>46</v>
      </c>
      <c r="C56" s="32">
        <v>57.0</v>
      </c>
      <c r="D56" s="32">
        <v>1.0</v>
      </c>
      <c r="E56" s="37">
        <v>1.0</v>
      </c>
      <c r="F56" s="39"/>
      <c r="G56" s="40">
        <v>0.0</v>
      </c>
      <c r="H56" s="39">
        <v>1.0</v>
      </c>
      <c r="I56" s="39">
        <v>6.0</v>
      </c>
      <c r="J56" s="39">
        <v>5.0</v>
      </c>
      <c r="K56" s="42">
        <v>12.0</v>
      </c>
      <c r="L56" s="39">
        <v>1.0</v>
      </c>
      <c r="M56" s="32">
        <f t="shared" ref="M56:N56" si="53">C56+K56</f>
        <v>69</v>
      </c>
      <c r="N56" s="32">
        <f t="shared" si="53"/>
        <v>2</v>
      </c>
      <c r="O56" s="43" t="s">
        <v>53</v>
      </c>
      <c r="P56" s="43" t="s">
        <v>53</v>
      </c>
      <c r="Q56" s="43" t="s">
        <v>53</v>
      </c>
      <c r="R56" s="39">
        <f>if(G56=13,1,0)+VLOOKUP(B56,'081024'!B:T,17,false)</f>
        <v>0</v>
      </c>
      <c r="S56" s="39"/>
      <c r="T56" s="39">
        <f>if(G56=9,1,0)+VLOOKUP(B56,'081024'!B:T,19,false)</f>
        <v>4</v>
      </c>
    </row>
    <row r="57">
      <c r="A57" s="30">
        <f t="shared" si="3"/>
        <v>53</v>
      </c>
      <c r="B57" s="56" t="s">
        <v>51</v>
      </c>
      <c r="C57" s="32">
        <v>56.0</v>
      </c>
      <c r="D57" s="32">
        <v>3.0</v>
      </c>
      <c r="E57" s="37">
        <v>1.0</v>
      </c>
      <c r="F57" s="39"/>
      <c r="G57" s="40">
        <v>0.0</v>
      </c>
      <c r="H57" s="39">
        <v>6.0</v>
      </c>
      <c r="I57" s="39">
        <v>4.0</v>
      </c>
      <c r="J57" s="39">
        <v>5.0</v>
      </c>
      <c r="K57" s="42">
        <v>15.0</v>
      </c>
      <c r="L57" s="39">
        <v>1.0</v>
      </c>
      <c r="M57" s="32">
        <f t="shared" ref="M57:N57" si="54">C57+K57</f>
        <v>71</v>
      </c>
      <c r="N57" s="32">
        <f t="shared" si="54"/>
        <v>4</v>
      </c>
      <c r="O57" s="43" t="s">
        <v>53</v>
      </c>
      <c r="P57" s="43" t="s">
        <v>53</v>
      </c>
      <c r="Q57" s="43" t="s">
        <v>53</v>
      </c>
      <c r="R57" s="39">
        <f>if(G57=13,1,0)+VLOOKUP(B57,'081024'!B:T,17,false)</f>
        <v>1</v>
      </c>
      <c r="S57" s="39"/>
      <c r="T57" s="39">
        <f>if(G57=9,1,0)+VLOOKUP(B57,'081024'!B:T,19,false)</f>
        <v>2</v>
      </c>
    </row>
    <row r="58">
      <c r="A58" s="30">
        <f t="shared" si="3"/>
        <v>54</v>
      </c>
      <c r="B58" s="51" t="s">
        <v>76</v>
      </c>
      <c r="C58" s="32">
        <v>56.0</v>
      </c>
      <c r="D58" s="32">
        <v>2.0</v>
      </c>
      <c r="E58" s="37">
        <v>2.0</v>
      </c>
      <c r="F58" s="39"/>
      <c r="G58" s="40">
        <v>0.0</v>
      </c>
      <c r="H58" s="39">
        <v>3.0</v>
      </c>
      <c r="I58" s="39">
        <v>6.0</v>
      </c>
      <c r="J58" s="39">
        <v>6.0</v>
      </c>
      <c r="K58" s="42">
        <v>15.0</v>
      </c>
      <c r="L58" s="39">
        <v>2.0</v>
      </c>
      <c r="M58" s="32">
        <f t="shared" ref="M58:N58" si="55">C58+K58</f>
        <v>71</v>
      </c>
      <c r="N58" s="32">
        <f t="shared" si="55"/>
        <v>4</v>
      </c>
      <c r="O58" s="43" t="s">
        <v>53</v>
      </c>
      <c r="P58" s="43" t="s">
        <v>53</v>
      </c>
      <c r="Q58" s="43" t="s">
        <v>53</v>
      </c>
      <c r="R58" s="39">
        <f>if(G58=13,1,0)+VLOOKUP(B58,'081024'!B:T,17,false)</f>
        <v>0</v>
      </c>
      <c r="S58" s="39"/>
      <c r="T58" s="39">
        <f>if(G58=9,1,0)+VLOOKUP(B58,'081024'!B:T,19,false)</f>
        <v>4</v>
      </c>
    </row>
    <row r="59">
      <c r="A59" s="30">
        <f t="shared" si="3"/>
        <v>55</v>
      </c>
      <c r="B59" s="51" t="s">
        <v>80</v>
      </c>
      <c r="C59" s="32">
        <v>55.0</v>
      </c>
      <c r="D59" s="32">
        <v>3.0</v>
      </c>
      <c r="E59" s="37">
        <v>1.0</v>
      </c>
      <c r="F59" s="39"/>
      <c r="G59" s="40">
        <v>0.0</v>
      </c>
      <c r="H59" s="39">
        <v>3.0</v>
      </c>
      <c r="I59" s="39">
        <v>1.0</v>
      </c>
      <c r="J59" s="39">
        <v>0.0</v>
      </c>
      <c r="K59" s="42">
        <v>4.0</v>
      </c>
      <c r="L59" s="39">
        <v>0.0</v>
      </c>
      <c r="M59" s="32">
        <f t="shared" ref="M59:N59" si="56">C59+K59</f>
        <v>59</v>
      </c>
      <c r="N59" s="32">
        <f t="shared" si="56"/>
        <v>3</v>
      </c>
      <c r="O59" s="43" t="s">
        <v>53</v>
      </c>
      <c r="P59" s="43" t="s">
        <v>53</v>
      </c>
      <c r="Q59" s="43" t="s">
        <v>53</v>
      </c>
      <c r="R59" s="39">
        <f>if(G59=13,1,0)+VLOOKUP(B59,'081024'!B:T,17,false)</f>
        <v>0</v>
      </c>
      <c r="S59" s="39"/>
      <c r="T59" s="39">
        <f>if(G59=9,1,0)+VLOOKUP(B59,'081024'!B:T,19,false)</f>
        <v>3</v>
      </c>
    </row>
    <row r="60">
      <c r="A60" s="30">
        <f t="shared" si="3"/>
        <v>56</v>
      </c>
      <c r="B60" s="51" t="s">
        <v>112</v>
      </c>
      <c r="C60" s="32">
        <v>55.0</v>
      </c>
      <c r="D60" s="32">
        <v>2.0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7">C60+K60</f>
        <v>64</v>
      </c>
      <c r="N60" s="32">
        <f t="shared" si="57"/>
        <v>2</v>
      </c>
      <c r="O60" s="43" t="s">
        <v>53</v>
      </c>
      <c r="P60" s="43" t="s">
        <v>53</v>
      </c>
      <c r="Q60" s="43" t="s">
        <v>53</v>
      </c>
      <c r="R60" s="39">
        <f>if(G60=13,1,0)+VLOOKUP(B60,'081024'!B:T,17,false)</f>
        <v>0</v>
      </c>
      <c r="S60" s="39"/>
      <c r="T60" s="39">
        <f>if(G60=9,1,0)+VLOOKUP(B60,'081024'!B:T,19,false)</f>
        <v>2</v>
      </c>
    </row>
    <row r="61">
      <c r="A61" s="30">
        <f t="shared" si="3"/>
        <v>57</v>
      </c>
      <c r="B61" s="31" t="s">
        <v>79</v>
      </c>
      <c r="C61" s="32">
        <v>55.0</v>
      </c>
      <c r="D61" s="32">
        <v>1.0</v>
      </c>
      <c r="E61" s="37">
        <v>5.0</v>
      </c>
      <c r="F61" s="39">
        <v>0.0</v>
      </c>
      <c r="G61" s="40">
        <v>13.0</v>
      </c>
      <c r="H61" s="39">
        <v>0.0</v>
      </c>
      <c r="I61" s="39">
        <v>0.0</v>
      </c>
      <c r="J61" s="39">
        <v>0.0</v>
      </c>
      <c r="K61" s="42">
        <v>13.0</v>
      </c>
      <c r="L61" s="39">
        <v>0.0</v>
      </c>
      <c r="M61" s="32">
        <f t="shared" ref="M61:N61" si="58">C61+K61</f>
        <v>68</v>
      </c>
      <c r="N61" s="32">
        <f t="shared" si="58"/>
        <v>1</v>
      </c>
      <c r="O61" s="43" t="s">
        <v>53</v>
      </c>
      <c r="P61" s="43" t="s">
        <v>53</v>
      </c>
      <c r="Q61" s="43" t="s">
        <v>53</v>
      </c>
      <c r="R61" s="39">
        <f>if(G61=13,1,0)+VLOOKUP(B61,'081024'!B:T,17,false)</f>
        <v>1</v>
      </c>
      <c r="S61" s="39"/>
      <c r="T61" s="39">
        <f>if(G61=9,1,0)+VLOOKUP(B61,'081024'!B:T,19,false)</f>
        <v>5</v>
      </c>
    </row>
    <row r="62">
      <c r="A62" s="30">
        <f t="shared" si="3"/>
        <v>58</v>
      </c>
      <c r="B62" s="31" t="s">
        <v>124</v>
      </c>
      <c r="C62" s="32">
        <v>55.0</v>
      </c>
      <c r="D62" s="32">
        <v>1.0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59">C62+K62</f>
        <v>64</v>
      </c>
      <c r="N62" s="32">
        <f t="shared" si="59"/>
        <v>1</v>
      </c>
      <c r="O62" s="43" t="s">
        <v>53</v>
      </c>
      <c r="P62" s="43" t="s">
        <v>53</v>
      </c>
      <c r="Q62" s="43" t="s">
        <v>53</v>
      </c>
      <c r="R62" s="39">
        <f>if(G62=13,1,0)+VLOOKUP(B62,'081024'!B:T,17,false)</f>
        <v>0</v>
      </c>
      <c r="S62" s="39"/>
      <c r="T62" s="39">
        <f>if(G62=9,1,0)+VLOOKUP(B62,'081024'!B:T,19,false)</f>
        <v>6</v>
      </c>
    </row>
    <row r="63">
      <c r="A63" s="30">
        <f t="shared" si="3"/>
        <v>59</v>
      </c>
      <c r="B63" s="56" t="s">
        <v>107</v>
      </c>
      <c r="C63" s="32">
        <v>54.0</v>
      </c>
      <c r="D63" s="32">
        <v>3.0</v>
      </c>
      <c r="E63" s="37">
        <v>1.0</v>
      </c>
      <c r="F63" s="39"/>
      <c r="G63" s="40">
        <v>0.0</v>
      </c>
      <c r="H63" s="39">
        <v>6.0</v>
      </c>
      <c r="I63" s="39">
        <v>1.0</v>
      </c>
      <c r="J63" s="39">
        <v>6.0</v>
      </c>
      <c r="K63" s="42">
        <v>13.0</v>
      </c>
      <c r="L63" s="39">
        <v>2.0</v>
      </c>
      <c r="M63" s="32">
        <f t="shared" ref="M63:N63" si="60">C63+K63</f>
        <v>67</v>
      </c>
      <c r="N63" s="32">
        <f t="shared" si="60"/>
        <v>5</v>
      </c>
      <c r="O63" s="43" t="s">
        <v>53</v>
      </c>
      <c r="P63" s="43" t="s">
        <v>53</v>
      </c>
      <c r="Q63" s="43" t="s">
        <v>53</v>
      </c>
      <c r="R63" s="39">
        <f>if(G63=13,1,0)+VLOOKUP(B63,'081024'!B:T,17,false)</f>
        <v>0</v>
      </c>
      <c r="S63" s="39"/>
      <c r="T63" s="39">
        <f>if(G63=9,1,0)+VLOOKUP(B63,'081024'!B:T,19,false)</f>
        <v>3</v>
      </c>
    </row>
    <row r="64">
      <c r="A64" s="30">
        <f t="shared" si="3"/>
        <v>60</v>
      </c>
      <c r="B64" s="31" t="s">
        <v>81</v>
      </c>
      <c r="C64" s="32">
        <v>54.0</v>
      </c>
      <c r="D64" s="32">
        <v>1.0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1">C64+K64</f>
        <v>63</v>
      </c>
      <c r="N64" s="32">
        <f t="shared" si="61"/>
        <v>1</v>
      </c>
      <c r="O64" s="43" t="s">
        <v>53</v>
      </c>
      <c r="P64" s="43" t="s">
        <v>53</v>
      </c>
      <c r="Q64" s="43" t="s">
        <v>53</v>
      </c>
      <c r="R64" s="39">
        <f>if(G64=13,1,0)+VLOOKUP(B64,'081024'!B:T,17,false)</f>
        <v>0</v>
      </c>
      <c r="S64" s="39"/>
      <c r="T64" s="39">
        <f>if(G64=9,1,0)+VLOOKUP(B64,'081024'!B:T,19,false)</f>
        <v>6</v>
      </c>
    </row>
    <row r="65">
      <c r="A65" s="30">
        <f t="shared" si="3"/>
        <v>61</v>
      </c>
      <c r="B65" s="31" t="s">
        <v>117</v>
      </c>
      <c r="C65" s="32">
        <v>54.0</v>
      </c>
      <c r="D65" s="32">
        <v>0.0</v>
      </c>
      <c r="E65" s="37">
        <v>4.0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2">C65+K65</f>
        <v>63</v>
      </c>
      <c r="N65" s="32">
        <f t="shared" si="62"/>
        <v>0</v>
      </c>
      <c r="O65" s="43" t="s">
        <v>53</v>
      </c>
      <c r="P65" s="43" t="s">
        <v>53</v>
      </c>
      <c r="Q65" s="43" t="s">
        <v>53</v>
      </c>
      <c r="R65" s="39">
        <f>if(G65=13,1,0)+VLOOKUP(B65,'081024'!B:T,17,false)</f>
        <v>0</v>
      </c>
      <c r="S65" s="39"/>
      <c r="T65" s="39">
        <f>if(G65=9,1,0)+VLOOKUP(B65,'081024'!B:T,19,false)</f>
        <v>7</v>
      </c>
    </row>
    <row r="66">
      <c r="A66" s="30">
        <f t="shared" si="3"/>
        <v>62</v>
      </c>
      <c r="B66" s="31" t="s">
        <v>109</v>
      </c>
      <c r="C66" s="32">
        <v>54.0</v>
      </c>
      <c r="D66" s="32">
        <v>0.0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3">C66+K66</f>
        <v>63</v>
      </c>
      <c r="N66" s="32">
        <f t="shared" si="63"/>
        <v>0</v>
      </c>
      <c r="O66" s="43" t="s">
        <v>53</v>
      </c>
      <c r="P66" s="43" t="s">
        <v>53</v>
      </c>
      <c r="Q66" s="43" t="s">
        <v>53</v>
      </c>
      <c r="R66" s="39">
        <f>if(G66=13,1,0)+VLOOKUP(B66,'081024'!B:T,17,false)</f>
        <v>0</v>
      </c>
      <c r="S66" s="39"/>
      <c r="T66" s="39">
        <f>if(G66=9,1,0)+VLOOKUP(B66,'081024'!B:T,19,false)</f>
        <v>7</v>
      </c>
    </row>
    <row r="67">
      <c r="A67" s="30">
        <f t="shared" si="3"/>
        <v>63</v>
      </c>
      <c r="B67" s="31" t="s">
        <v>106</v>
      </c>
      <c r="C67" s="32">
        <v>54.0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4">C67+K67</f>
        <v>63</v>
      </c>
      <c r="N67" s="32">
        <f t="shared" si="64"/>
        <v>0</v>
      </c>
      <c r="O67" s="43" t="s">
        <v>53</v>
      </c>
      <c r="P67" s="43" t="s">
        <v>53</v>
      </c>
      <c r="Q67" s="43" t="s">
        <v>53</v>
      </c>
      <c r="R67" s="39">
        <f>if(G67=13,1,0)+VLOOKUP(B67,'081024'!B:T,17,false)</f>
        <v>0</v>
      </c>
      <c r="S67" s="39"/>
      <c r="T67" s="39">
        <f>if(G67=9,1,0)+VLOOKUP(B67,'081024'!B:T,19,false)</f>
        <v>7</v>
      </c>
    </row>
    <row r="68">
      <c r="A68" s="30">
        <f t="shared" si="3"/>
        <v>64</v>
      </c>
      <c r="B68" s="31" t="s">
        <v>123</v>
      </c>
      <c r="C68" s="32">
        <v>54.0</v>
      </c>
      <c r="D68" s="32">
        <v>0.0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5">C68+K68</f>
        <v>63</v>
      </c>
      <c r="N68" s="32">
        <f t="shared" si="65"/>
        <v>0</v>
      </c>
      <c r="O68" s="43" t="s">
        <v>53</v>
      </c>
      <c r="P68" s="43" t="s">
        <v>53</v>
      </c>
      <c r="Q68" s="43" t="s">
        <v>53</v>
      </c>
      <c r="R68" s="39">
        <f>if(G68=13,1,0)+VLOOKUP(B68,'081024'!B:T,17,false)</f>
        <v>0</v>
      </c>
      <c r="S68" s="39"/>
      <c r="T68" s="39">
        <f>if(G68=9,1,0)+VLOOKUP(B68,'081024'!B:T,19,false)</f>
        <v>7</v>
      </c>
    </row>
    <row r="69">
      <c r="A69" s="30">
        <f t="shared" si="3"/>
        <v>65</v>
      </c>
      <c r="B69" s="51" t="s">
        <v>74</v>
      </c>
      <c r="C69" s="32">
        <v>54.0</v>
      </c>
      <c r="D69" s="32">
        <v>0.0</v>
      </c>
      <c r="E69" s="37">
        <v>3.0</v>
      </c>
      <c r="F69" s="39">
        <v>0.0</v>
      </c>
      <c r="G69" s="40">
        <v>9.0</v>
      </c>
      <c r="H69" s="39">
        <v>0.0</v>
      </c>
      <c r="I69" s="39">
        <v>0.0</v>
      </c>
      <c r="J69" s="39">
        <v>0.0</v>
      </c>
      <c r="K69" s="42">
        <v>9.0</v>
      </c>
      <c r="L69" s="39">
        <v>0.0</v>
      </c>
      <c r="M69" s="32">
        <f t="shared" ref="M69:N69" si="66">C69+K69</f>
        <v>63</v>
      </c>
      <c r="N69" s="32">
        <f t="shared" si="66"/>
        <v>0</v>
      </c>
      <c r="O69" s="43" t="s">
        <v>53</v>
      </c>
      <c r="P69" s="43" t="s">
        <v>53</v>
      </c>
      <c r="Q69" s="43" t="s">
        <v>53</v>
      </c>
      <c r="R69" s="39">
        <f>if(G69=13,1,0)+VLOOKUP(B69,'081024'!B:T,17,false)</f>
        <v>0</v>
      </c>
      <c r="S69" s="39"/>
      <c r="T69" s="39">
        <f>if(G69=9,1,0)+VLOOKUP(B69,'081024'!B:T,19,false)</f>
        <v>7</v>
      </c>
    </row>
    <row r="70">
      <c r="A70" s="30">
        <f t="shared" si="3"/>
        <v>66</v>
      </c>
      <c r="B70" s="31" t="s">
        <v>120</v>
      </c>
      <c r="C70" s="32">
        <v>54.0</v>
      </c>
      <c r="D70" s="32">
        <v>0.0</v>
      </c>
      <c r="E70" s="37">
        <v>1.0</v>
      </c>
      <c r="F70" s="39"/>
      <c r="G70" s="40">
        <v>0.0</v>
      </c>
      <c r="H70" s="39">
        <v>6.0</v>
      </c>
      <c r="I70" s="39">
        <v>6.0</v>
      </c>
      <c r="J70" s="39">
        <v>0.0</v>
      </c>
      <c r="K70" s="42">
        <v>12.0</v>
      </c>
      <c r="L70" s="39">
        <v>2.0</v>
      </c>
      <c r="M70" s="32">
        <f t="shared" ref="M70:N70" si="67">C70+K70</f>
        <v>66</v>
      </c>
      <c r="N70" s="32">
        <f t="shared" si="67"/>
        <v>2</v>
      </c>
      <c r="O70" s="43" t="s">
        <v>53</v>
      </c>
      <c r="P70" s="43" t="s">
        <v>53</v>
      </c>
      <c r="Q70" s="43" t="s">
        <v>53</v>
      </c>
      <c r="R70" s="39">
        <f>if(G70=13,1,0)+VLOOKUP(B70,'081024'!B:T,17,false)</f>
        <v>0</v>
      </c>
      <c r="S70" s="39"/>
      <c r="T70" s="39">
        <f>if(G70=9,1,0)+VLOOKUP(B70,'081024'!B:T,19,false)</f>
        <v>6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8">COUNTA(P5:P70)</f>
        <v>65</v>
      </c>
      <c r="Q73" s="8">
        <f t="shared" si="68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69">P75-P73</f>
        <v>1</v>
      </c>
      <c r="Q74" s="8">
        <f t="shared" si="69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desc"",0)"),"Adrian Tay")</f>
        <v>Adrian Tay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IFERROR(__xludf.DUMMYFUNCTION("""COMPUTED_VALUE"""),"Tom Le")</f>
        <v>Tom Le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IFERROR(__xludf.DUMMYFUNCTION("""COMPUTED_VALUE"""),"Cid Macaraeg")</f>
        <v>Cid Macaraeg</v>
      </c>
      <c r="C82" s="71">
        <f>IFERROR(__xludf.DUMMYFUNCTION("""COMPUTED_VALUE"""),19.0)</f>
        <v>19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IFERROR(__xludf.DUMMYFUNCTION("""COMPUTED_VALUE"""),"Erik Hoeckmann")</f>
        <v>Erik Hoeckmann</v>
      </c>
      <c r="C83" s="71">
        <f>IFERROR(__xludf.DUMMYFUNCTION("""COMPUTED_VALUE"""),19.0)</f>
        <v>19</v>
      </c>
      <c r="D83" s="71">
        <f>IFERROR(__xludf.DUMMYFUNCTION("""COMPUTED_VALUE"""),3.0)</f>
        <v>3</v>
      </c>
      <c r="E83" s="11"/>
    </row>
    <row r="84">
      <c r="A84" s="11"/>
      <c r="B84" s="51" t="str">
        <f>IFERROR(__xludf.DUMMYFUNCTION("""COMPUTED_VALUE"""),"Ramesh Bandaru")</f>
        <v>Ramesh Bandaru</v>
      </c>
      <c r="C84" s="71">
        <f>IFERROR(__xludf.DUMMYFUNCTION("""COMPUTED_VALUE"""),19.0)</f>
        <v>19</v>
      </c>
      <c r="D84" s="71">
        <f>IFERROR(__xludf.DUMMYFUNCTION("""COMPUTED_VALUE"""),3.0)</f>
        <v>3</v>
      </c>
      <c r="E84" s="11"/>
      <c r="K84" s="10"/>
    </row>
    <row r="85">
      <c r="A85" s="11"/>
      <c r="B85" s="51" t="str">
        <f>IFERROR(__xludf.DUMMYFUNCTION("""COMPUTED_VALUE"""),"James Phan")</f>
        <v>James Phan</v>
      </c>
      <c r="C85" s="71">
        <f>IFERROR(__xludf.DUMMYFUNCTION("""COMPUTED_VALUE"""),18.0)</f>
        <v>18</v>
      </c>
      <c r="D85" s="71">
        <f>IFERROR(__xludf.DUMMYFUNCTION("""COMPUTED_VALUE"""),3.0)</f>
        <v>3</v>
      </c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 t="s">
        <v>165</v>
      </c>
      <c r="C91" s="11"/>
      <c r="D91" s="11"/>
      <c r="E91" s="11"/>
    </row>
    <row r="92">
      <c r="A92" s="11"/>
      <c r="B92" s="27" t="s">
        <v>31</v>
      </c>
      <c r="C92" s="29" t="s">
        <v>2</v>
      </c>
      <c r="D92" s="29" t="s">
        <v>4</v>
      </c>
      <c r="E92" s="29" t="s">
        <v>33</v>
      </c>
      <c r="F92" s="29" t="s">
        <v>35</v>
      </c>
      <c r="G92" s="29" t="s">
        <v>36</v>
      </c>
      <c r="H92" s="29" t="s">
        <v>6</v>
      </c>
      <c r="I92" s="29" t="s">
        <v>7</v>
      </c>
      <c r="J92" s="29" t="s">
        <v>8</v>
      </c>
      <c r="K92" s="29" t="s">
        <v>2</v>
      </c>
      <c r="L92" s="29" t="s">
        <v>4</v>
      </c>
      <c r="M92" s="28" t="s">
        <v>2</v>
      </c>
      <c r="N92" s="28" t="s">
        <v>4</v>
      </c>
    </row>
    <row r="93">
      <c r="A93" s="11"/>
      <c r="B93" s="82" t="str">
        <f>IFERROR(__xludf.DUMMYFUNCTION("QUERY(B5:N70, ""Select B, C, D, E, F, G, H, I, J, K, L, M, N   where F &gt;= 1"")"),"#N/A")</f>
        <v>#N/A</v>
      </c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</row>
    <row r="94">
      <c r="A94" s="11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</row>
    <row r="95">
      <c r="A95" s="11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</row>
    <row r="96">
      <c r="A96" s="11"/>
      <c r="B96" s="82"/>
      <c r="C96" s="83"/>
      <c r="D96" s="83"/>
      <c r="E96" s="83"/>
      <c r="F96" s="82"/>
      <c r="G96" s="82"/>
      <c r="H96" s="82"/>
      <c r="I96" s="82"/>
      <c r="J96" s="82"/>
      <c r="K96" s="82"/>
      <c r="L96" s="82"/>
      <c r="M96" s="82"/>
      <c r="N96" s="82"/>
    </row>
    <row r="97">
      <c r="A97" s="11"/>
      <c r="B97" s="84"/>
      <c r="C97" s="85"/>
      <c r="D97" s="85"/>
      <c r="E97" s="85"/>
      <c r="F97" s="84"/>
      <c r="G97" s="84"/>
      <c r="H97" s="84"/>
      <c r="I97" s="84"/>
      <c r="J97" s="84"/>
      <c r="K97" s="84"/>
      <c r="L97" s="84"/>
      <c r="M97" s="84"/>
      <c r="N97" s="84"/>
    </row>
    <row r="98">
      <c r="A98" s="11"/>
      <c r="B98" s="84"/>
      <c r="C98" s="85"/>
      <c r="D98" s="85"/>
      <c r="E98" s="85"/>
      <c r="F98" s="84"/>
      <c r="G98" s="84"/>
      <c r="H98" s="84"/>
      <c r="I98" s="84"/>
      <c r="J98" s="84"/>
      <c r="K98" s="84"/>
      <c r="L98" s="84"/>
      <c r="M98" s="84"/>
      <c r="N98" s="84"/>
    </row>
    <row r="99">
      <c r="A99" s="11"/>
      <c r="B99" s="84"/>
      <c r="C99" s="85"/>
      <c r="D99" s="85"/>
      <c r="E99" s="85"/>
      <c r="F99" s="84"/>
      <c r="G99" s="84"/>
      <c r="H99" s="84"/>
      <c r="I99" s="84"/>
      <c r="J99" s="84"/>
      <c r="K99" s="84"/>
      <c r="L99" s="84"/>
      <c r="M99" s="84"/>
      <c r="N99" s="84"/>
    </row>
    <row r="100">
      <c r="A100" s="11"/>
      <c r="B100" s="84"/>
      <c r="C100" s="85"/>
      <c r="D100" s="85"/>
      <c r="E100" s="85"/>
      <c r="F100" s="84"/>
      <c r="G100" s="84"/>
      <c r="H100" s="84"/>
      <c r="I100" s="84"/>
      <c r="J100" s="84"/>
      <c r="K100" s="84"/>
      <c r="L100" s="84"/>
      <c r="M100" s="84"/>
      <c r="N100" s="84"/>
    </row>
    <row r="101">
      <c r="A101" s="11"/>
      <c r="B101" s="84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</row>
    <row r="102">
      <c r="A102" s="11"/>
      <c r="B102" s="84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</row>
    <row r="103">
      <c r="A103" s="11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</row>
    <row r="104">
      <c r="A104" s="11"/>
      <c r="B104" s="82"/>
      <c r="C104" s="83"/>
      <c r="D104" s="83"/>
      <c r="E104" s="83"/>
      <c r="F104" s="82"/>
      <c r="G104" s="82"/>
      <c r="H104" s="82"/>
      <c r="I104" s="82"/>
      <c r="J104" s="82"/>
      <c r="K104" s="82"/>
      <c r="L104" s="82"/>
      <c r="M104" s="82"/>
      <c r="N104" s="82"/>
    </row>
    <row r="105">
      <c r="A105" s="11"/>
      <c r="B105" s="84"/>
      <c r="C105" s="85"/>
      <c r="D105" s="85"/>
      <c r="E105" s="85"/>
      <c r="F105" s="84"/>
      <c r="G105" s="84"/>
      <c r="H105" s="84"/>
      <c r="I105" s="84"/>
      <c r="J105" s="84"/>
      <c r="K105" s="84"/>
      <c r="L105" s="84"/>
      <c r="M105" s="84"/>
      <c r="N105" s="84"/>
    </row>
    <row r="106">
      <c r="A106" s="11"/>
      <c r="B106" s="84"/>
      <c r="C106" s="85"/>
      <c r="D106" s="85"/>
      <c r="E106" s="85"/>
      <c r="F106" s="84"/>
      <c r="G106" s="84"/>
      <c r="H106" s="84"/>
      <c r="I106" s="84"/>
      <c r="J106" s="84"/>
      <c r="K106" s="84"/>
      <c r="L106" s="84"/>
      <c r="M106" s="84"/>
      <c r="N106" s="84"/>
    </row>
    <row r="107">
      <c r="A107" s="11"/>
      <c r="B107" s="84"/>
      <c r="C107" s="85"/>
      <c r="D107" s="85"/>
      <c r="E107" s="85"/>
      <c r="F107" s="84"/>
      <c r="G107" s="84"/>
      <c r="H107" s="84"/>
      <c r="I107" s="84"/>
      <c r="J107" s="84"/>
      <c r="K107" s="84"/>
      <c r="L107" s="84"/>
      <c r="M107" s="84"/>
      <c r="N107" s="84"/>
    </row>
    <row r="108">
      <c r="A108" s="11"/>
      <c r="B108" s="84"/>
      <c r="C108" s="85"/>
      <c r="D108" s="85"/>
      <c r="E108" s="85"/>
      <c r="F108" s="84"/>
      <c r="G108" s="84"/>
      <c r="H108" s="84"/>
      <c r="I108" s="84"/>
      <c r="J108" s="84"/>
      <c r="K108" s="84"/>
      <c r="L108" s="84"/>
      <c r="M108" s="84"/>
      <c r="N108" s="84"/>
    </row>
    <row r="109">
      <c r="A109" s="11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</row>
    <row r="110">
      <c r="A110" s="11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</row>
    <row r="111">
      <c r="A111" s="11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</row>
    <row r="112">
      <c r="A112" s="11"/>
      <c r="B112" s="82"/>
      <c r="C112" s="83"/>
      <c r="D112" s="83"/>
      <c r="E112" s="83"/>
      <c r="F112" s="82"/>
      <c r="G112" s="82"/>
      <c r="H112" s="82"/>
      <c r="I112" s="82"/>
      <c r="J112" s="82"/>
      <c r="K112" s="82"/>
      <c r="L112" s="82"/>
      <c r="M112" s="82"/>
      <c r="N112" s="82"/>
    </row>
    <row r="113">
      <c r="A113" s="11"/>
      <c r="B113" s="84"/>
      <c r="C113" s="85"/>
      <c r="D113" s="85"/>
      <c r="E113" s="85"/>
      <c r="F113" s="84"/>
      <c r="G113" s="84"/>
      <c r="H113" s="84"/>
      <c r="I113" s="84"/>
      <c r="J113" s="84"/>
      <c r="K113" s="84"/>
      <c r="L113" s="84"/>
      <c r="M113" s="84"/>
      <c r="N113" s="84"/>
    </row>
    <row r="114">
      <c r="A114" s="11"/>
      <c r="B114" s="84"/>
      <c r="C114" s="85"/>
      <c r="D114" s="85"/>
      <c r="E114" s="85"/>
      <c r="F114" s="84"/>
      <c r="G114" s="84"/>
      <c r="H114" s="84"/>
      <c r="I114" s="84"/>
      <c r="J114" s="84"/>
      <c r="K114" s="84"/>
      <c r="L114" s="84"/>
      <c r="M114" s="84"/>
      <c r="N114" s="84"/>
    </row>
    <row r="115">
      <c r="A115" s="11"/>
      <c r="B115" s="84"/>
      <c r="C115" s="85"/>
      <c r="D115" s="85"/>
      <c r="E115" s="85"/>
      <c r="F115" s="84"/>
      <c r="G115" s="84"/>
      <c r="H115" s="84"/>
      <c r="I115" s="84"/>
      <c r="J115" s="84"/>
      <c r="K115" s="84"/>
      <c r="L115" s="84"/>
      <c r="M115" s="84"/>
      <c r="N115" s="84"/>
    </row>
    <row r="116">
      <c r="A116" s="11"/>
      <c r="B116" s="84"/>
      <c r="C116" s="85"/>
      <c r="D116" s="85"/>
      <c r="E116" s="85"/>
      <c r="F116" s="84"/>
      <c r="G116" s="84"/>
      <c r="H116" s="84"/>
      <c r="I116" s="84"/>
      <c r="J116" s="84"/>
      <c r="K116" s="84"/>
      <c r="L116" s="84"/>
      <c r="M116" s="84"/>
      <c r="N116" s="84"/>
    </row>
    <row r="117">
      <c r="A117" s="11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</row>
    <row r="118">
      <c r="A118" s="11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</row>
    <row r="119">
      <c r="A119" s="11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</row>
    <row r="120">
      <c r="A120" s="11"/>
      <c r="B120" s="82"/>
      <c r="C120" s="83"/>
      <c r="D120" s="83"/>
      <c r="E120" s="83"/>
      <c r="F120" s="82"/>
      <c r="G120" s="82"/>
      <c r="H120" s="82"/>
      <c r="I120" s="82"/>
      <c r="J120" s="82"/>
      <c r="K120" s="82"/>
      <c r="L120" s="82"/>
      <c r="M120" s="82"/>
      <c r="N120" s="82"/>
    </row>
    <row r="121">
      <c r="A121" s="11"/>
      <c r="B121" s="84"/>
      <c r="C121" s="85"/>
      <c r="D121" s="85"/>
      <c r="E121" s="85"/>
      <c r="F121" s="84"/>
      <c r="G121" s="84"/>
      <c r="H121" s="84"/>
      <c r="I121" s="84"/>
      <c r="J121" s="84"/>
      <c r="K121" s="84"/>
      <c r="L121" s="84"/>
      <c r="M121" s="84"/>
      <c r="N121" s="84"/>
    </row>
    <row r="122">
      <c r="A122" s="11"/>
      <c r="B122" s="84"/>
      <c r="C122" s="85"/>
      <c r="D122" s="85"/>
      <c r="E122" s="85"/>
      <c r="F122" s="84"/>
      <c r="G122" s="84"/>
      <c r="H122" s="84"/>
      <c r="I122" s="84"/>
      <c r="J122" s="84"/>
      <c r="K122" s="84"/>
      <c r="L122" s="84"/>
      <c r="M122" s="84"/>
      <c r="N122" s="84"/>
    </row>
    <row r="123">
      <c r="A123" s="11"/>
      <c r="B123" s="84"/>
      <c r="C123" s="85"/>
      <c r="D123" s="85"/>
      <c r="E123" s="85"/>
      <c r="F123" s="84"/>
      <c r="G123" s="84"/>
      <c r="H123" s="84"/>
      <c r="I123" s="84"/>
      <c r="J123" s="84"/>
      <c r="K123" s="84"/>
      <c r="L123" s="84"/>
      <c r="M123" s="84"/>
      <c r="N123" s="84"/>
    </row>
    <row r="124">
      <c r="A124" s="11"/>
      <c r="B124" s="84"/>
      <c r="C124" s="85"/>
      <c r="D124" s="85"/>
      <c r="E124" s="85"/>
      <c r="F124" s="84"/>
      <c r="G124" s="84"/>
      <c r="H124" s="84"/>
      <c r="I124" s="84"/>
      <c r="J124" s="84"/>
      <c r="K124" s="84"/>
      <c r="L124" s="84"/>
      <c r="M124" s="84"/>
      <c r="N124" s="84"/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C134" s="11"/>
      <c r="D134" s="11"/>
      <c r="E134" s="11"/>
    </row>
    <row r="135">
      <c r="A135" s="11"/>
      <c r="B135" s="10" t="s">
        <v>166</v>
      </c>
      <c r="C135" s="11"/>
      <c r="D135" s="11"/>
      <c r="E135" s="11"/>
    </row>
    <row r="136">
      <c r="A136" s="11"/>
      <c r="B136" s="27" t="s">
        <v>31</v>
      </c>
      <c r="C136" s="29" t="s">
        <v>2</v>
      </c>
      <c r="D136" s="29" t="s">
        <v>4</v>
      </c>
      <c r="E136" s="29" t="s">
        <v>33</v>
      </c>
      <c r="F136" s="29" t="s">
        <v>35</v>
      </c>
      <c r="G136" s="29" t="s">
        <v>36</v>
      </c>
      <c r="H136" s="29" t="s">
        <v>6</v>
      </c>
      <c r="I136" s="29" t="s">
        <v>7</v>
      </c>
      <c r="J136" s="29" t="s">
        <v>8</v>
      </c>
      <c r="K136" s="29" t="s">
        <v>2</v>
      </c>
      <c r="L136" s="29" t="s">
        <v>4</v>
      </c>
      <c r="M136" s="28" t="s">
        <v>2</v>
      </c>
      <c r="N136" s="28" t="s">
        <v>4</v>
      </c>
    </row>
    <row r="137">
      <c r="A137" s="11"/>
      <c r="B137" s="82" t="str">
        <f>IFERROR(__xludf.DUMMYFUNCTION("QUERY(B5:N70, ""Select B, C, D, E, F, G, H, I, J, K, L, M, N   where F = 0"")"),"Christopher Li")</f>
        <v>Christopher Li</v>
      </c>
      <c r="C137" s="87">
        <f>IFERROR(__xludf.DUMMYFUNCTION("""COMPUTED_VALUE"""),84.0)</f>
        <v>84</v>
      </c>
      <c r="D137" s="87">
        <f>IFERROR(__xludf.DUMMYFUNCTION("""COMPUTED_VALUE"""),9.0)</f>
        <v>9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IFERROR(__xludf.DUMMYFUNCTION("""COMPUTED_VALUE"""),93.0)</f>
        <v>93</v>
      </c>
      <c r="N137" s="89">
        <f>IFERROR(__xludf.DUMMYFUNCTION("""COMPUTED_VALUE"""),9.0)</f>
        <v>9</v>
      </c>
    </row>
    <row r="138">
      <c r="A138" s="11"/>
      <c r="B138" s="82" t="str">
        <f>IFERROR(__xludf.DUMMYFUNCTION("""COMPUTED_VALUE"""),"Oscar Bonilla")</f>
        <v>Oscar Bonilla</v>
      </c>
      <c r="C138" s="87">
        <f>IFERROR(__xludf.DUMMYFUNCTION("""COMPUTED_VALUE"""),81.0)</f>
        <v>81</v>
      </c>
      <c r="D138" s="87">
        <f>IFERROR(__xludf.DUMMYFUNCTION("""COMPUTED_VALUE"""),6.0)</f>
        <v>6</v>
      </c>
      <c r="E138" s="86">
        <f>IFERROR(__xludf.DUMMYFUNCTION("""COMPUTED_VALUE"""),3.0)</f>
        <v>3</v>
      </c>
      <c r="F138" s="88">
        <f>IFERROR(__xludf.DUMMYFUNCTION("""COMPUTED_VALUE"""),0.0)</f>
        <v>0</v>
      </c>
      <c r="G138" s="88">
        <f>IFERROR(__xludf.DUMMYFUNCTION("""COMPUTED_VALUE"""),9.0)</f>
        <v>9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IFERROR(__xludf.DUMMYFUNCTION("""COMPUTED_VALUE"""),9.0)</f>
        <v>9</v>
      </c>
      <c r="L138" s="88">
        <f>IFERROR(__xludf.DUMMYFUNCTION("""COMPUTED_VALUE"""),0.0)</f>
        <v>0</v>
      </c>
      <c r="M138" s="89">
        <f>IFERROR(__xludf.DUMMYFUNCTION("""COMPUTED_VALUE"""),90.0)</f>
        <v>90</v>
      </c>
      <c r="N138" s="89">
        <f>IFERROR(__xludf.DUMMYFUNCTION("""COMPUTED_VALUE"""),6.0)</f>
        <v>6</v>
      </c>
    </row>
    <row r="139">
      <c r="A139" s="11"/>
      <c r="B139" s="82" t="str">
        <f>IFERROR(__xludf.DUMMYFUNCTION("""COMPUTED_VALUE"""),"Jonathan Phan")</f>
        <v>Jonathan Phan</v>
      </c>
      <c r="C139" s="87">
        <f>IFERROR(__xludf.DUMMYFUNCTION("""COMPUTED_VALUE"""),80.0)</f>
        <v>80</v>
      </c>
      <c r="D139" s="87">
        <f>IFERROR(__xludf.DUMMYFUNCTION("""COMPUTED_VALUE"""),8.0)</f>
        <v>8</v>
      </c>
      <c r="E139" s="86">
        <f>IFERROR(__xludf.DUMMYFUNCTION("""COMPUTED_VALUE"""),3.0)</f>
        <v>3</v>
      </c>
      <c r="F139" s="88">
        <f>IFERROR(__xludf.DUMMYFUNCTION("""COMPUTED_VALUE"""),0.0)</f>
        <v>0</v>
      </c>
      <c r="G139" s="88">
        <f>IFERROR(__xludf.DUMMYFUNCTION("""COMPUTED_VALUE"""),9.0)</f>
        <v>9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IFERROR(__xludf.DUMMYFUNCTION("""COMPUTED_VALUE"""),9.0)</f>
        <v>9</v>
      </c>
      <c r="L139" s="88">
        <f>IFERROR(__xludf.DUMMYFUNCTION("""COMPUTED_VALUE"""),0.0)</f>
        <v>0</v>
      </c>
      <c r="M139" s="89">
        <f>IFERROR(__xludf.DUMMYFUNCTION("""COMPUTED_VALUE"""),89.0)</f>
        <v>89</v>
      </c>
      <c r="N139" s="89">
        <f>IFERROR(__xludf.DUMMYFUNCTION("""COMPUTED_VALUE"""),8.0)</f>
        <v>8</v>
      </c>
    </row>
    <row r="140">
      <c r="A140" s="11"/>
      <c r="B140" s="82" t="str">
        <f>IFERROR(__xludf.DUMMYFUNCTION("""COMPUTED_VALUE"""),"Lam Bui")</f>
        <v>Lam Bui</v>
      </c>
      <c r="C140" s="87">
        <f>IFERROR(__xludf.DUMMYFUNCTION("""COMPUTED_VALUE"""),80.0)</f>
        <v>80</v>
      </c>
      <c r="D140" s="87">
        <f>IFERROR(__xludf.DUMMYFUNCTION("""COMPUTED_VALUE"""),7.0)</f>
        <v>7</v>
      </c>
      <c r="E140" s="86">
        <f>IFERROR(__xludf.DUMMYFUNCTION("""COMPUTED_VALUE"""),3.0)</f>
        <v>3</v>
      </c>
      <c r="F140" s="88">
        <f>IFERROR(__xludf.DUMMYFUNCTION("""COMPUTED_VALUE"""),0.0)</f>
        <v>0</v>
      </c>
      <c r="G140" s="88">
        <f>IFERROR(__xludf.DUMMYFUNCTION("""COMPUTED_VALUE"""),9.0)</f>
        <v>9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IFERROR(__xludf.DUMMYFUNCTION("""COMPUTED_VALUE"""),9.0)</f>
        <v>9</v>
      </c>
      <c r="L140" s="88">
        <f>IFERROR(__xludf.DUMMYFUNCTION("""COMPUTED_VALUE"""),0.0)</f>
        <v>0</v>
      </c>
      <c r="M140" s="89">
        <f>IFERROR(__xludf.DUMMYFUNCTION("""COMPUTED_VALUE"""),89.0)</f>
        <v>89</v>
      </c>
      <c r="N140" s="89">
        <f>IFERROR(__xludf.DUMMYFUNCTION("""COMPUTED_VALUE"""),7.0)</f>
        <v>7</v>
      </c>
    </row>
    <row r="141">
      <c r="A141" s="11"/>
      <c r="B141" s="82" t="str">
        <f>IFERROR(__xludf.DUMMYFUNCTION("""COMPUTED_VALUE"""),"Herman Au")</f>
        <v>Herman Au</v>
      </c>
      <c r="C141" s="87">
        <f>IFERROR(__xludf.DUMMYFUNCTION("""COMPUTED_VALUE"""),78.0)</f>
        <v>78</v>
      </c>
      <c r="D141" s="87">
        <f>IFERROR(__xludf.DUMMYFUNCTION("""COMPUTED_VALUE"""),7.0)</f>
        <v>7</v>
      </c>
      <c r="E141" s="86">
        <f>IFERROR(__xludf.DUMMYFUNCTION("""COMPUTED_VALUE"""),3.0)</f>
        <v>3</v>
      </c>
      <c r="F141" s="88">
        <f>IFERROR(__xludf.DUMMYFUNCTION("""COMPUTED_VALUE"""),0.0)</f>
        <v>0</v>
      </c>
      <c r="G141" s="88">
        <f>IFERROR(__xludf.DUMMYFUNCTION("""COMPUTED_VALUE"""),9.0)</f>
        <v>9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IFERROR(__xludf.DUMMYFUNCTION("""COMPUTED_VALUE"""),9.0)</f>
        <v>9</v>
      </c>
      <c r="L141" s="88">
        <f>IFERROR(__xludf.DUMMYFUNCTION("""COMPUTED_VALUE"""),0.0)</f>
        <v>0</v>
      </c>
      <c r="M141" s="89">
        <f>IFERROR(__xludf.DUMMYFUNCTION("""COMPUTED_VALUE"""),87.0)</f>
        <v>87</v>
      </c>
      <c r="N141" s="89">
        <f>IFERROR(__xludf.DUMMYFUNCTION("""COMPUTED_VALUE"""),7.0)</f>
        <v>7</v>
      </c>
    </row>
    <row r="142">
      <c r="A142" s="11"/>
      <c r="B142" s="82" t="str">
        <f>IFERROR(__xludf.DUMMYFUNCTION("""COMPUTED_VALUE"""),"Troy Wong")</f>
        <v>Troy Wong</v>
      </c>
      <c r="C142" s="87">
        <f>IFERROR(__xludf.DUMMYFUNCTION("""COMPUTED_VALUE"""),75.0)</f>
        <v>75</v>
      </c>
      <c r="D142" s="87">
        <f>IFERROR(__xludf.DUMMYFUNCTION("""COMPUTED_VALUE"""),6.0)</f>
        <v>6</v>
      </c>
      <c r="E142" s="86">
        <f>IFERROR(__xludf.DUMMYFUNCTION("""COMPUTED_VALUE"""),5.0)</f>
        <v>5</v>
      </c>
      <c r="F142" s="88">
        <f>IFERROR(__xludf.DUMMYFUNCTION("""COMPUTED_VALUE"""),0.0)</f>
        <v>0</v>
      </c>
      <c r="G142" s="88">
        <f>IFERROR(__xludf.DUMMYFUNCTION("""COMPUTED_VALUE"""),13.0)</f>
        <v>13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IFERROR(__xludf.DUMMYFUNCTION("""COMPUTED_VALUE"""),13.0)</f>
        <v>13</v>
      </c>
      <c r="L142" s="88">
        <f>IFERROR(__xludf.DUMMYFUNCTION("""COMPUTED_VALUE"""),0.0)</f>
        <v>0</v>
      </c>
      <c r="M142" s="89">
        <f>IFERROR(__xludf.DUMMYFUNCTION("""COMPUTED_VALUE"""),88.0)</f>
        <v>88</v>
      </c>
      <c r="N142" s="89">
        <f>IFERROR(__xludf.DUMMYFUNCTION("""COMPUTED_VALUE"""),6.0)</f>
        <v>6</v>
      </c>
    </row>
    <row r="143">
      <c r="A143" s="11"/>
      <c r="B143" s="82" t="str">
        <f>IFERROR(__xludf.DUMMYFUNCTION("""COMPUTED_VALUE"""),"Lloyd Sagar")</f>
        <v>Lloyd Sagar</v>
      </c>
      <c r="C143" s="87">
        <f>IFERROR(__xludf.DUMMYFUNCTION("""COMPUTED_VALUE"""),72.0)</f>
        <v>72</v>
      </c>
      <c r="D143" s="87">
        <f>IFERROR(__xludf.DUMMYFUNCTION("""COMPUTED_VALUE"""),5.0)</f>
        <v>5</v>
      </c>
      <c r="E143" s="86">
        <f>IFERROR(__xludf.DUMMYFUNCTION("""COMPUTED_VALUE"""),3.0)</f>
        <v>3</v>
      </c>
      <c r="F143" s="88">
        <f>IFERROR(__xludf.DUMMYFUNCTION("""COMPUTED_VALUE"""),0.0)</f>
        <v>0</v>
      </c>
      <c r="G143" s="88">
        <f>IFERROR(__xludf.DUMMYFUNCTION("""COMPUTED_VALUE"""),9.0)</f>
        <v>9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IFERROR(__xludf.DUMMYFUNCTION("""COMPUTED_VALUE"""),9.0)</f>
        <v>9</v>
      </c>
      <c r="L143" s="88">
        <f>IFERROR(__xludf.DUMMYFUNCTION("""COMPUTED_VALUE"""),0.0)</f>
        <v>0</v>
      </c>
      <c r="M143" s="89">
        <f>IFERROR(__xludf.DUMMYFUNCTION("""COMPUTED_VALUE"""),81.0)</f>
        <v>81</v>
      </c>
      <c r="N143" s="89">
        <f>IFERROR(__xludf.DUMMYFUNCTION("""COMPUTED_VALUE"""),5.0)</f>
        <v>5</v>
      </c>
    </row>
    <row r="144">
      <c r="A144" s="11"/>
      <c r="B144" s="82" t="str">
        <f>IFERROR(__xludf.DUMMYFUNCTION("""COMPUTED_VALUE"""),"Vamsi Lolla ")</f>
        <v>Vamsi Lolla </v>
      </c>
      <c r="C144" s="87">
        <f>IFERROR(__xludf.DUMMYFUNCTION("""COMPUTED_VALUE"""),72.0)</f>
        <v>72</v>
      </c>
      <c r="D144" s="87">
        <f>IFERROR(__xludf.DUMMYFUNCTION("""COMPUTED_VALUE"""),5.0)</f>
        <v>5</v>
      </c>
      <c r="E144" s="86">
        <f>IFERROR(__xludf.DUMMYFUNCTION("""COMPUTED_VALUE"""),3.0)</f>
        <v>3</v>
      </c>
      <c r="F144" s="88">
        <f>IFERROR(__xludf.DUMMYFUNCTION("""COMPUTED_VALUE"""),0.0)</f>
        <v>0</v>
      </c>
      <c r="G144" s="88">
        <f>IFERROR(__xludf.DUMMYFUNCTION("""COMPUTED_VALUE"""),9.0)</f>
        <v>9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IFERROR(__xludf.DUMMYFUNCTION("""COMPUTED_VALUE"""),9.0)</f>
        <v>9</v>
      </c>
      <c r="L144" s="88">
        <f>IFERROR(__xludf.DUMMYFUNCTION("""COMPUTED_VALUE"""),0.0)</f>
        <v>0</v>
      </c>
      <c r="M144" s="89">
        <f>IFERROR(__xludf.DUMMYFUNCTION("""COMPUTED_VALUE"""),81.0)</f>
        <v>81</v>
      </c>
      <c r="N144" s="89">
        <f>IFERROR(__xludf.DUMMYFUNCTION("""COMPUTED_VALUE"""),5.0)</f>
        <v>5</v>
      </c>
    </row>
    <row r="145">
      <c r="A145" s="11"/>
      <c r="B145" s="82" t="str">
        <f>IFERROR(__xludf.DUMMYFUNCTION("""COMPUTED_VALUE"""),"Manuel Rivera")</f>
        <v>Manuel Rivera</v>
      </c>
      <c r="C145" s="87">
        <f>IFERROR(__xludf.DUMMYFUNCTION("""COMPUTED_VALUE"""),69.0)</f>
        <v>69</v>
      </c>
      <c r="D145" s="87">
        <f>IFERROR(__xludf.DUMMYFUNCTION("""COMPUTED_VALUE"""),5.0)</f>
        <v>5</v>
      </c>
      <c r="E145" s="86">
        <f>IFERROR(__xludf.DUMMYFUNCTION("""COMPUTED_VALUE"""),3.0)</f>
        <v>3</v>
      </c>
      <c r="F145" s="88">
        <f>IFERROR(__xludf.DUMMYFUNCTION("""COMPUTED_VALUE"""),0.0)</f>
        <v>0</v>
      </c>
      <c r="G145" s="88">
        <f>IFERROR(__xludf.DUMMYFUNCTION("""COMPUTED_VALUE"""),9.0)</f>
        <v>9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IFERROR(__xludf.DUMMYFUNCTION("""COMPUTED_VALUE"""),9.0)</f>
        <v>9</v>
      </c>
      <c r="L145" s="88">
        <f>IFERROR(__xludf.DUMMYFUNCTION("""COMPUTED_VALUE"""),0.0)</f>
        <v>0</v>
      </c>
      <c r="M145" s="89">
        <f>IFERROR(__xludf.DUMMYFUNCTION("""COMPUTED_VALUE"""),78.0)</f>
        <v>78</v>
      </c>
      <c r="N145" s="89">
        <f>IFERROR(__xludf.DUMMYFUNCTION("""COMPUTED_VALUE"""),5.0)</f>
        <v>5</v>
      </c>
    </row>
    <row r="146">
      <c r="A146" s="11"/>
      <c r="B146" s="82" t="str">
        <f>IFERROR(__xludf.DUMMYFUNCTION("""COMPUTED_VALUE"""),"Trinath Goteti")</f>
        <v>Trinath Goteti</v>
      </c>
      <c r="C146" s="87">
        <f>IFERROR(__xludf.DUMMYFUNCTION("""COMPUTED_VALUE"""),67.0)</f>
        <v>67</v>
      </c>
      <c r="D146" s="87">
        <f>IFERROR(__xludf.DUMMYFUNCTION("""COMPUTED_VALUE"""),4.0)</f>
        <v>4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IFERROR(__xludf.DUMMYFUNCTION("""COMPUTED_VALUE"""),76.0)</f>
        <v>76</v>
      </c>
      <c r="N146" s="89">
        <f>IFERROR(__xludf.DUMMYFUNCTION("""COMPUTED_VALUE"""),4.0)</f>
        <v>4</v>
      </c>
    </row>
    <row r="147">
      <c r="A147" s="11"/>
      <c r="B147" s="82" t="str">
        <f>IFERROR(__xludf.DUMMYFUNCTION("""COMPUTED_VALUE"""),"Pavan Akkimsetty")</f>
        <v>Pavan Akkimsetty</v>
      </c>
      <c r="C147" s="87">
        <f>IFERROR(__xludf.DUMMYFUNCTION("""COMPUTED_VALUE"""),67.0)</f>
        <v>67</v>
      </c>
      <c r="D147" s="87">
        <f>IFERROR(__xludf.DUMMYFUNCTION("""COMPUTED_VALUE"""),3.0)</f>
        <v>3</v>
      </c>
      <c r="E147" s="86">
        <f>IFERROR(__xludf.DUMMYFUNCTION("""COMPUTED_VALUE"""),3.0)</f>
        <v>3</v>
      </c>
      <c r="F147" s="88">
        <f>IFERROR(__xludf.DUMMYFUNCTION("""COMPUTED_VALUE"""),0.0)</f>
        <v>0</v>
      </c>
      <c r="G147" s="88">
        <f>IFERROR(__xludf.DUMMYFUNCTION("""COMPUTED_VALUE"""),9.0)</f>
        <v>9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IFERROR(__xludf.DUMMYFUNCTION("""COMPUTED_VALUE"""),9.0)</f>
        <v>9</v>
      </c>
      <c r="L147" s="88">
        <f>IFERROR(__xludf.DUMMYFUNCTION("""COMPUTED_VALUE"""),0.0)</f>
        <v>0</v>
      </c>
      <c r="M147" s="89">
        <f>IFERROR(__xludf.DUMMYFUNCTION("""COMPUTED_VALUE"""),76.0)</f>
        <v>76</v>
      </c>
      <c r="N147" s="89">
        <f>IFERROR(__xludf.DUMMYFUNCTION("""COMPUTED_VALUE"""),3.0)</f>
        <v>3</v>
      </c>
    </row>
    <row r="148">
      <c r="A148" s="11"/>
      <c r="B148" s="82" t="str">
        <f>IFERROR(__xludf.DUMMYFUNCTION("""COMPUTED_VALUE"""),"Tony Lin")</f>
        <v>Tony Lin</v>
      </c>
      <c r="C148" s="87">
        <f>IFERROR(__xludf.DUMMYFUNCTION("""COMPUTED_VALUE"""),67.0)</f>
        <v>67</v>
      </c>
      <c r="D148" s="87">
        <f>IFERROR(__xludf.DUMMYFUNCTION("""COMPUTED_VALUE"""),3.0)</f>
        <v>3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IFERROR(__xludf.DUMMYFUNCTION("""COMPUTED_VALUE"""),76.0)</f>
        <v>76</v>
      </c>
      <c r="N148" s="89">
        <f>IFERROR(__xludf.DUMMYFUNCTION("""COMPUTED_VALUE"""),3.0)</f>
        <v>3</v>
      </c>
    </row>
    <row r="149">
      <c r="A149" s="11"/>
      <c r="B149" s="82" t="str">
        <f>IFERROR(__xludf.DUMMYFUNCTION("""COMPUTED_VALUE"""),"Susanta Mishra")</f>
        <v>Susanta Mishra</v>
      </c>
      <c r="C149" s="87">
        <f>IFERROR(__xludf.DUMMYFUNCTION("""COMPUTED_VALUE"""),66.0)</f>
        <v>66</v>
      </c>
      <c r="D149" s="87">
        <f>IFERROR(__xludf.DUMMYFUNCTION("""COMPUTED_VALUE"""),3.0)</f>
        <v>3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IFERROR(__xludf.DUMMYFUNCTION("""COMPUTED_VALUE"""),75.0)</f>
        <v>75</v>
      </c>
      <c r="N149" s="89">
        <f>IFERROR(__xludf.DUMMYFUNCTION("""COMPUTED_VALUE"""),3.0)</f>
        <v>3</v>
      </c>
    </row>
    <row r="150">
      <c r="A150" s="11"/>
      <c r="B150" s="82" t="str">
        <f>IFERROR(__xludf.DUMMYFUNCTION("""COMPUTED_VALUE"""),"Robert Chang")</f>
        <v>Robert Chang</v>
      </c>
      <c r="C150" s="87">
        <f>IFERROR(__xludf.DUMMYFUNCTION("""COMPUTED_VALUE"""),65.0)</f>
        <v>65</v>
      </c>
      <c r="D150" s="87">
        <f>IFERROR(__xludf.DUMMYFUNCTION("""COMPUTED_VALUE"""),2.0)</f>
        <v>2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IFERROR(__xludf.DUMMYFUNCTION("""COMPUTED_VALUE"""),74.0)</f>
        <v>74</v>
      </c>
      <c r="N150" s="89">
        <f>IFERROR(__xludf.DUMMYFUNCTION("""COMPUTED_VALUE"""),2.0)</f>
        <v>2</v>
      </c>
    </row>
    <row r="151">
      <c r="A151" s="11"/>
      <c r="B151" s="82" t="str">
        <f>IFERROR(__xludf.DUMMYFUNCTION("""COMPUTED_VALUE"""),"Eric Pan")</f>
        <v>Eric Pan</v>
      </c>
      <c r="C151" s="87">
        <f>IFERROR(__xludf.DUMMYFUNCTION("""COMPUTED_VALUE"""),63.0)</f>
        <v>63</v>
      </c>
      <c r="D151" s="87">
        <f>IFERROR(__xludf.DUMMYFUNCTION("""COMPUTED_VALUE"""),3.0)</f>
        <v>3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IFERROR(__xludf.DUMMYFUNCTION("""COMPUTED_VALUE"""),72.0)</f>
        <v>72</v>
      </c>
      <c r="N151" s="89">
        <f>IFERROR(__xludf.DUMMYFUNCTION("""COMPUTED_VALUE"""),3.0)</f>
        <v>3</v>
      </c>
    </row>
    <row r="152">
      <c r="A152" s="11"/>
      <c r="B152" s="82" t="str">
        <f>IFERROR(__xludf.DUMMYFUNCTION("""COMPUTED_VALUE"""),"Vishnu Amarnath")</f>
        <v>Vishnu Amarnath</v>
      </c>
      <c r="C152" s="87">
        <f>IFERROR(__xludf.DUMMYFUNCTION("""COMPUTED_VALUE"""),63.0)</f>
        <v>63</v>
      </c>
      <c r="D152" s="87">
        <f>IFERROR(__xludf.DUMMYFUNCTION("""COMPUTED_VALUE"""),3.0)</f>
        <v>3</v>
      </c>
      <c r="E152" s="86">
        <f>IFERROR(__xludf.DUMMYFUNCTION("""COMPUTED_VALUE"""),3.0)</f>
        <v>3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IFERROR(__xludf.DUMMYFUNCTION("""COMPUTED_VALUE"""),72.0)</f>
        <v>72</v>
      </c>
      <c r="N152" s="89">
        <f>IFERROR(__xludf.DUMMYFUNCTION("""COMPUTED_VALUE"""),3.0)</f>
        <v>3</v>
      </c>
    </row>
    <row r="153">
      <c r="A153" s="11"/>
      <c r="B153" s="82" t="str">
        <f>IFERROR(__xludf.DUMMYFUNCTION("""COMPUTED_VALUE"""),"Pulkit Mathur")</f>
        <v>Pulkit Mathur</v>
      </c>
      <c r="C153" s="87">
        <f>IFERROR(__xludf.DUMMYFUNCTION("""COMPUTED_VALUE"""),63.0)</f>
        <v>63</v>
      </c>
      <c r="D153" s="87">
        <f>IFERROR(__xludf.DUMMYFUNCTION("""COMPUTED_VALUE"""),3.0)</f>
        <v>3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IFERROR(__xludf.DUMMYFUNCTION("""COMPUTED_VALUE"""),72.0)</f>
        <v>72</v>
      </c>
      <c r="N153" s="89">
        <f>IFERROR(__xludf.DUMMYFUNCTION("""COMPUTED_VALUE"""),3.0)</f>
        <v>3</v>
      </c>
    </row>
    <row r="154">
      <c r="A154" s="11"/>
      <c r="B154" s="82" t="str">
        <f>IFERROR(__xludf.DUMMYFUNCTION("""COMPUTED_VALUE"""),"Sanjaye Elayattu")</f>
        <v>Sanjaye Elayattu</v>
      </c>
      <c r="C154" s="87">
        <f>IFERROR(__xludf.DUMMYFUNCTION("""COMPUTED_VALUE"""),62.0)</f>
        <v>62</v>
      </c>
      <c r="D154" s="87">
        <f>IFERROR(__xludf.DUMMYFUNCTION("""COMPUTED_VALUE"""),2.0)</f>
        <v>2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IFERROR(__xludf.DUMMYFUNCTION("""COMPUTED_VALUE"""),71.0)</f>
        <v>71</v>
      </c>
      <c r="N154" s="89">
        <f>IFERROR(__xludf.DUMMYFUNCTION("""COMPUTED_VALUE"""),2.0)</f>
        <v>2</v>
      </c>
    </row>
    <row r="155">
      <c r="A155" s="11"/>
      <c r="B155" s="82" t="str">
        <f>IFERROR(__xludf.DUMMYFUNCTION("""COMPUTED_VALUE"""),"Leigh-Anh Nguyen")</f>
        <v>Leigh-Anh Nguyen</v>
      </c>
      <c r="C155" s="87">
        <f>IFERROR(__xludf.DUMMYFUNCTION("""COMPUTED_VALUE"""),59.0)</f>
        <v>59</v>
      </c>
      <c r="D155" s="87">
        <f>IFERROR(__xludf.DUMMYFUNCTION("""COMPUTED_VALUE"""),4.0)</f>
        <v>4</v>
      </c>
      <c r="E155" s="86">
        <f>IFERROR(__xludf.DUMMYFUNCTION("""COMPUTED_VALUE"""),3.0)</f>
        <v>3</v>
      </c>
      <c r="F155" s="88">
        <f>IFERROR(__xludf.DUMMYFUNCTION("""COMPUTED_VALUE"""),0.0)</f>
        <v>0</v>
      </c>
      <c r="G155" s="88">
        <f>IFERROR(__xludf.DUMMYFUNCTION("""COMPUTED_VALUE"""),9.0)</f>
        <v>9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IFERROR(__xludf.DUMMYFUNCTION("""COMPUTED_VALUE"""),9.0)</f>
        <v>9</v>
      </c>
      <c r="L155" s="88">
        <f>IFERROR(__xludf.DUMMYFUNCTION("""COMPUTED_VALUE"""),0.0)</f>
        <v>0</v>
      </c>
      <c r="M155" s="89">
        <f>IFERROR(__xludf.DUMMYFUNCTION("""COMPUTED_VALUE"""),68.0)</f>
        <v>68</v>
      </c>
      <c r="N155" s="89">
        <f>IFERROR(__xludf.DUMMYFUNCTION("""COMPUTED_VALUE"""),4.0)</f>
        <v>4</v>
      </c>
    </row>
    <row r="156">
      <c r="A156" s="11"/>
      <c r="B156" s="82" t="str">
        <f>IFERROR(__xludf.DUMMYFUNCTION("""COMPUTED_VALUE"""),"Saravanan Veerapandian")</f>
        <v>Saravanan Veerapandian</v>
      </c>
      <c r="C156" s="87">
        <f>IFERROR(__xludf.DUMMYFUNCTION("""COMPUTED_VALUE"""),59.0)</f>
        <v>59</v>
      </c>
      <c r="D156" s="87">
        <f>IFERROR(__xludf.DUMMYFUNCTION("""COMPUTED_VALUE"""),3.0)</f>
        <v>3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IFERROR(__xludf.DUMMYFUNCTION("""COMPUTED_VALUE"""),68.0)</f>
        <v>68</v>
      </c>
      <c r="N156" s="89">
        <f>IFERROR(__xludf.DUMMYFUNCTION("""COMPUTED_VALUE"""),3.0)</f>
        <v>3</v>
      </c>
    </row>
    <row r="157">
      <c r="A157" s="11"/>
      <c r="B157" s="82" t="str">
        <f>IFERROR(__xludf.DUMMYFUNCTION("""COMPUTED_VALUE"""),"Vinz Solano")</f>
        <v>Vinz Solano</v>
      </c>
      <c r="C157" s="87">
        <f>IFERROR(__xludf.DUMMYFUNCTION("""COMPUTED_VALUE"""),58.0)</f>
        <v>58</v>
      </c>
      <c r="D157" s="87">
        <f>IFERROR(__xludf.DUMMYFUNCTION("""COMPUTED_VALUE"""),2.0)</f>
        <v>2</v>
      </c>
      <c r="E157" s="86">
        <f>IFERROR(__xludf.DUMMYFUNCTION("""COMPUTED_VALUE"""),3.0)</f>
        <v>3</v>
      </c>
      <c r="F157" s="88">
        <f>IFERROR(__xludf.DUMMYFUNCTION("""COMPUTED_VALUE"""),0.0)</f>
        <v>0</v>
      </c>
      <c r="G157" s="88">
        <f>IFERROR(__xludf.DUMMYFUNCTION("""COMPUTED_VALUE"""),9.0)</f>
        <v>9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IFERROR(__xludf.DUMMYFUNCTION("""COMPUTED_VALUE"""),0.0)</f>
        <v>0</v>
      </c>
      <c r="M157" s="89">
        <f>IFERROR(__xludf.DUMMYFUNCTION("""COMPUTED_VALUE"""),67.0)</f>
        <v>67</v>
      </c>
      <c r="N157" s="89">
        <f>IFERROR(__xludf.DUMMYFUNCTION("""COMPUTED_VALUE"""),2.0)</f>
        <v>2</v>
      </c>
    </row>
    <row r="158">
      <c r="A158" s="11"/>
      <c r="B158" s="82" t="str">
        <f>IFERROR(__xludf.DUMMYFUNCTION("""COMPUTED_VALUE"""),"Jim Miao")</f>
        <v>Jim Miao</v>
      </c>
      <c r="C158" s="87">
        <f>IFERROR(__xludf.DUMMYFUNCTION("""COMPUTED_VALUE"""),58.0)</f>
        <v>58</v>
      </c>
      <c r="D158" s="87">
        <f>IFERROR(__xludf.DUMMYFUNCTION("""COMPUTED_VALUE"""),1.0)</f>
        <v>1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IFERROR(__xludf.DUMMYFUNCTION("""COMPUTED_VALUE"""),67.0)</f>
        <v>67</v>
      </c>
      <c r="N158" s="89">
        <f>IFERROR(__xludf.DUMMYFUNCTION("""COMPUTED_VALUE"""),1.0)</f>
        <v>1</v>
      </c>
    </row>
    <row r="159">
      <c r="A159" s="11"/>
      <c r="B159" s="82" t="str">
        <f>IFERROR(__xludf.DUMMYFUNCTION("""COMPUTED_VALUE"""),"Peter Homsey")</f>
        <v>Peter Homsey</v>
      </c>
      <c r="C159" s="87">
        <f>IFERROR(__xludf.DUMMYFUNCTION("""COMPUTED_VALUE"""),58.0)</f>
        <v>58</v>
      </c>
      <c r="D159" s="87">
        <f>IFERROR(__xludf.DUMMYFUNCTION("""COMPUTED_VALUE"""),0.0)</f>
        <v>0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IFERROR(__xludf.DUMMYFUNCTION("""COMPUTED_VALUE"""),67.0)</f>
        <v>67</v>
      </c>
      <c r="N159" s="89">
        <f>IFERROR(__xludf.DUMMYFUNCTION("""COMPUTED_VALUE"""),0.0)</f>
        <v>0</v>
      </c>
    </row>
    <row r="160">
      <c r="A160" s="11"/>
      <c r="B160" s="82" t="str">
        <f>IFERROR(__xludf.DUMMYFUNCTION("""COMPUTED_VALUE"""),"Amit Patel")</f>
        <v>Amit Patel</v>
      </c>
      <c r="C160" s="87">
        <f>IFERROR(__xludf.DUMMYFUNCTION("""COMPUTED_VALUE"""),58.0)</f>
        <v>58</v>
      </c>
      <c r="D160" s="87">
        <f>IFERROR(__xludf.DUMMYFUNCTION("""COMPUTED_VALUE"""),0.0)</f>
        <v>0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IFERROR(__xludf.DUMMYFUNCTION("""COMPUTED_VALUE"""),67.0)</f>
        <v>67</v>
      </c>
      <c r="N160" s="89">
        <f>IFERROR(__xludf.DUMMYFUNCTION("""COMPUTED_VALUE"""),0.0)</f>
        <v>0</v>
      </c>
    </row>
    <row r="161">
      <c r="A161" s="11"/>
      <c r="B161" s="82" t="str">
        <f>IFERROR(__xludf.DUMMYFUNCTION("""COMPUTED_VALUE"""),"Rajesh Dorairaj")</f>
        <v>Rajesh Dorairaj</v>
      </c>
      <c r="C161" s="87">
        <f>IFERROR(__xludf.DUMMYFUNCTION("""COMPUTED_VALUE"""),57.0)</f>
        <v>57</v>
      </c>
      <c r="D161" s="87">
        <f>IFERROR(__xludf.DUMMYFUNCTION("""COMPUTED_VALUE"""),1.0)</f>
        <v>1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IFERROR(__xludf.DUMMYFUNCTION("""COMPUTED_VALUE"""),66.0)</f>
        <v>66</v>
      </c>
      <c r="N161" s="89">
        <f>IFERROR(__xludf.DUMMYFUNCTION("""COMPUTED_VALUE"""),1.0)</f>
        <v>1</v>
      </c>
    </row>
    <row r="162">
      <c r="A162" s="11"/>
      <c r="B162" s="82" t="str">
        <f>IFERROR(__xludf.DUMMYFUNCTION("""COMPUTED_VALUE"""),"Sandy Weyant")</f>
        <v>Sandy Weyant</v>
      </c>
      <c r="C162" s="87">
        <f>IFERROR(__xludf.DUMMYFUNCTION("""COMPUTED_VALUE"""),55.0)</f>
        <v>55</v>
      </c>
      <c r="D162" s="87">
        <f>IFERROR(__xludf.DUMMYFUNCTION("""COMPUTED_VALUE"""),2.0)</f>
        <v>2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IFERROR(__xludf.DUMMYFUNCTION("""COMPUTED_VALUE"""),64.0)</f>
        <v>64</v>
      </c>
      <c r="N162" s="89">
        <f>IFERROR(__xludf.DUMMYFUNCTION("""COMPUTED_VALUE"""),2.0)</f>
        <v>2</v>
      </c>
    </row>
    <row r="163">
      <c r="A163" s="11"/>
      <c r="B163" s="82" t="str">
        <f>IFERROR(__xludf.DUMMYFUNCTION("""COMPUTED_VALUE"""),"Mauricio Palacios")</f>
        <v>Mauricio Palacios</v>
      </c>
      <c r="C163" s="87">
        <f>IFERROR(__xludf.DUMMYFUNCTION("""COMPUTED_VALUE"""),55.0)</f>
        <v>55</v>
      </c>
      <c r="D163" s="87">
        <f>IFERROR(__xludf.DUMMYFUNCTION("""COMPUTED_VALUE"""),1.0)</f>
        <v>1</v>
      </c>
      <c r="E163" s="86">
        <f>IFERROR(__xludf.DUMMYFUNCTION("""COMPUTED_VALUE"""),5.0)</f>
        <v>5</v>
      </c>
      <c r="F163" s="88">
        <f>IFERROR(__xludf.DUMMYFUNCTION("""COMPUTED_VALUE"""),0.0)</f>
        <v>0</v>
      </c>
      <c r="G163" s="88">
        <f>IFERROR(__xludf.DUMMYFUNCTION("""COMPUTED_VALUE"""),13.0)</f>
        <v>13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IFERROR(__xludf.DUMMYFUNCTION("""COMPUTED_VALUE"""),13.0)</f>
        <v>13</v>
      </c>
      <c r="L163" s="88">
        <f>IFERROR(__xludf.DUMMYFUNCTION("""COMPUTED_VALUE"""),0.0)</f>
        <v>0</v>
      </c>
      <c r="M163" s="89">
        <f>IFERROR(__xludf.DUMMYFUNCTION("""COMPUTED_VALUE"""),68.0)</f>
        <v>68</v>
      </c>
      <c r="N163" s="89">
        <f>IFERROR(__xludf.DUMMYFUNCTION("""COMPUTED_VALUE"""),1.0)</f>
        <v>1</v>
      </c>
    </row>
    <row r="164">
      <c r="A164" s="11"/>
      <c r="B164" s="82" t="str">
        <f>IFERROR(__xludf.DUMMYFUNCTION("""COMPUTED_VALUE"""),"Nohely Mejia")</f>
        <v>Nohely Mejia</v>
      </c>
      <c r="C164" s="87">
        <f>IFERROR(__xludf.DUMMYFUNCTION("""COMPUTED_VALUE"""),55.0)</f>
        <v>55</v>
      </c>
      <c r="D164" s="87">
        <f>IFERROR(__xludf.DUMMYFUNCTION("""COMPUTED_VALUE"""),1.0)</f>
        <v>1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IFERROR(__xludf.DUMMYFUNCTION("""COMPUTED_VALUE"""),64.0)</f>
        <v>64</v>
      </c>
      <c r="N164" s="89">
        <f>IFERROR(__xludf.DUMMYFUNCTION("""COMPUTED_VALUE"""),1.0)</f>
        <v>1</v>
      </c>
    </row>
    <row r="165">
      <c r="A165" s="11"/>
      <c r="B165" s="82" t="str">
        <f>IFERROR(__xludf.DUMMYFUNCTION("""COMPUTED_VALUE"""),"Balaji Alahari")</f>
        <v>Balaji Alahari</v>
      </c>
      <c r="C165" s="87">
        <f>IFERROR(__xludf.DUMMYFUNCTION("""COMPUTED_VALUE"""),54.0)</f>
        <v>54</v>
      </c>
      <c r="D165" s="87">
        <f>IFERROR(__xludf.DUMMYFUNCTION("""COMPUTED_VALUE"""),1.0)</f>
        <v>1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IFERROR(__xludf.DUMMYFUNCTION("""COMPUTED_VALUE"""),63.0)</f>
        <v>63</v>
      </c>
      <c r="N165" s="89">
        <f>IFERROR(__xludf.DUMMYFUNCTION("""COMPUTED_VALUE"""),1.0)</f>
        <v>1</v>
      </c>
    </row>
    <row r="166">
      <c r="A166" s="11"/>
      <c r="B166" s="82" t="str">
        <f>IFERROR(__xludf.DUMMYFUNCTION("""COMPUTED_VALUE"""),"Santosh Sundaresan ")</f>
        <v>Santosh Sundaresan </v>
      </c>
      <c r="C166" s="87">
        <f>IFERROR(__xludf.DUMMYFUNCTION("""COMPUTED_VALUE"""),54.0)</f>
        <v>54</v>
      </c>
      <c r="D166" s="87">
        <f>IFERROR(__xludf.DUMMYFUNCTION("""COMPUTED_VALUE"""),0.0)</f>
        <v>0</v>
      </c>
      <c r="E166" s="86">
        <f>IFERROR(__xludf.DUMMYFUNCTION("""COMPUTED_VALUE"""),4.0)</f>
        <v>4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IFERROR(__xludf.DUMMYFUNCTION("""COMPUTED_VALUE"""),63.0)</f>
        <v>63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IFERROR(__xludf.DUMMYFUNCTION("""COMPUTED_VALUE"""),"Peter Cheng")</f>
        <v>Peter Cheng</v>
      </c>
      <c r="C167" s="87">
        <f>IFERROR(__xludf.DUMMYFUNCTION("""COMPUTED_VALUE"""),54.0)</f>
        <v>54</v>
      </c>
      <c r="D167" s="87">
        <f>IFERROR(__xludf.DUMMYFUNCTION("""COMPUTED_VALUE"""),0.0)</f>
        <v>0</v>
      </c>
      <c r="E167" s="86">
        <f>IFERROR(__xludf.DUMMYFUNCTION("""COMPUTED_VALUE"""),3.0)</f>
        <v>3</v>
      </c>
      <c r="F167" s="88">
        <f>IFERROR(__xludf.DUMMYFUNCTION("""COMPUTED_VALUE"""),0.0)</f>
        <v>0</v>
      </c>
      <c r="G167" s="88">
        <f>IFERROR(__xludf.DUMMYFUNCTION("""COMPUTED_VALUE"""),9.0)</f>
        <v>9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IFERROR(__xludf.DUMMYFUNCTION("""COMPUTED_VALUE"""),9.0)</f>
        <v>9</v>
      </c>
      <c r="L167" s="88">
        <f>IFERROR(__xludf.DUMMYFUNCTION("""COMPUTED_VALUE"""),0.0)</f>
        <v>0</v>
      </c>
      <c r="M167" s="89">
        <f>IFERROR(__xludf.DUMMYFUNCTION("""COMPUTED_VALUE"""),63.0)</f>
        <v>63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IFERROR(__xludf.DUMMYFUNCTION("""COMPUTED_VALUE"""),"Sai Dilip Ponnaganti")</f>
        <v>Sai Dilip Ponnaganti</v>
      </c>
      <c r="C168" s="86">
        <f>IFERROR(__xludf.DUMMYFUNCTION("""COMPUTED_VALUE"""),54.0)</f>
        <v>54</v>
      </c>
      <c r="D168" s="87">
        <f>IFERROR(__xludf.DUMMYFUNCTION("""COMPUTED_VALUE"""),0.0)</f>
        <v>0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8">
        <f>IFERROR(__xludf.DUMMYFUNCTION("""COMPUTED_VALUE"""),63.0)</f>
        <v>63</v>
      </c>
      <c r="N168" s="89">
        <f>IFERROR(__xludf.DUMMYFUNCTION("""COMPUTED_VALUE"""),0.0)</f>
        <v>0</v>
      </c>
    </row>
    <row r="169">
      <c r="A169" s="11"/>
      <c r="B169" s="82" t="str">
        <f>IFERROR(__xludf.DUMMYFUNCTION("""COMPUTED_VALUE"""),"Manish Anand")</f>
        <v>Manish Anand</v>
      </c>
      <c r="C169" s="86">
        <f>IFERROR(__xludf.DUMMYFUNCTION("""COMPUTED_VALUE"""),54.0)</f>
        <v>54</v>
      </c>
      <c r="D169" s="87">
        <f>IFERROR(__xludf.DUMMYFUNCTION("""COMPUTED_VALUE"""),0.0)</f>
        <v>0</v>
      </c>
      <c r="E169" s="86">
        <f>IFERROR(__xludf.DUMMYFUNCTION("""COMPUTED_VALUE"""),3.0)</f>
        <v>3</v>
      </c>
      <c r="F169" s="88">
        <f>IFERROR(__xludf.DUMMYFUNCTION("""COMPUTED_VALUE"""),0.0)</f>
        <v>0</v>
      </c>
      <c r="G169" s="88">
        <f>IFERROR(__xludf.DUMMYFUNCTION("""COMPUTED_VALUE"""),9.0)</f>
        <v>9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IFERROR(__xludf.DUMMYFUNCTION("""COMPUTED_VALUE"""),9.0)</f>
        <v>9</v>
      </c>
      <c r="L169" s="88">
        <f>IFERROR(__xludf.DUMMYFUNCTION("""COMPUTED_VALUE"""),0.0)</f>
        <v>0</v>
      </c>
      <c r="M169" s="88">
        <f>IFERROR(__xludf.DUMMYFUNCTION("""COMPUTED_VALUE"""),63.0)</f>
        <v>63</v>
      </c>
      <c r="N169" s="89">
        <f>IFERROR(__xludf.DUMMYFUNCTION("""COMPUTED_VALUE"""),0.0)</f>
        <v>0</v>
      </c>
    </row>
    <row r="170">
      <c r="A170" s="11"/>
      <c r="B170" s="82" t="str">
        <f>IFERROR(__xludf.DUMMYFUNCTION("""COMPUTED_VALUE"""),"Jose Ortiz")</f>
        <v>Jose Ortiz</v>
      </c>
      <c r="C170" s="86">
        <f>IFERROR(__xludf.DUMMYFUNCTION("""COMPUTED_VALUE"""),54.0)</f>
        <v>54</v>
      </c>
      <c r="D170" s="87">
        <f>IFERROR(__xludf.DUMMYFUNCTION("""COMPUTED_VALUE"""),0.0)</f>
        <v>0</v>
      </c>
      <c r="E170" s="86">
        <f>IFERROR(__xludf.DUMMYFUNCTION("""COMPUTED_VALUE"""),3.0)</f>
        <v>3</v>
      </c>
      <c r="F170" s="88">
        <f>IFERROR(__xludf.DUMMYFUNCTION("""COMPUTED_VALUE"""),0.0)</f>
        <v>0</v>
      </c>
      <c r="G170" s="88">
        <f>IFERROR(__xludf.DUMMYFUNCTION("""COMPUTED_VALUE"""),9.0)</f>
        <v>9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IFERROR(__xludf.DUMMYFUNCTION("""COMPUTED_VALUE"""),9.0)</f>
        <v>9</v>
      </c>
      <c r="L170" s="88">
        <f>IFERROR(__xludf.DUMMYFUNCTION("""COMPUTED_VALUE"""),0.0)</f>
        <v>0</v>
      </c>
      <c r="M170" s="88">
        <f>IFERROR(__xludf.DUMMYFUNCTION("""COMPUTED_VALUE"""),63.0)</f>
        <v>63</v>
      </c>
      <c r="N170" s="89">
        <f>IFERROR(__xludf.DUMMYFUNCTION("""COMPUTED_VALUE"""),0.0)</f>
        <v>0</v>
      </c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B201" s="82"/>
      <c r="C201" s="86"/>
      <c r="D201" s="87"/>
      <c r="E201" s="86"/>
      <c r="F201" s="88"/>
      <c r="G201" s="88"/>
      <c r="H201" s="88"/>
      <c r="I201" s="88"/>
      <c r="J201" s="88"/>
      <c r="K201" s="88"/>
      <c r="L201" s="88"/>
      <c r="M201" s="88"/>
      <c r="N201" s="89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C222" s="11"/>
      <c r="D222" s="11"/>
      <c r="E222" s="11"/>
    </row>
    <row r="223">
      <c r="A223" s="11"/>
      <c r="B223" s="90" t="s">
        <v>167</v>
      </c>
      <c r="C223" s="11"/>
      <c r="D223" s="11"/>
      <c r="E223" s="11"/>
      <c r="U223" s="90" t="s">
        <v>168</v>
      </c>
    </row>
    <row r="224">
      <c r="A224" s="49">
        <v>1.0</v>
      </c>
      <c r="B224" s="82" t="str">
        <f>IFERROR(__xludf.DUMMYFUNCTION("QUERY(B5:Q70, ""Select B   where Q is null"")"),"#N/A")</f>
        <v>#N/A</v>
      </c>
      <c r="C224" s="11"/>
      <c r="D224" s="11"/>
      <c r="E224" s="11"/>
      <c r="T224" s="49">
        <v>1.0</v>
      </c>
      <c r="U224" s="17" t="str">
        <f>IFERROR(__xludf.DUMMYFUNCTION("QUERY(B5:Q70, ""Select B   where Q = 'N' "")"),"#N/A")</f>
        <v>#N/A</v>
      </c>
    </row>
    <row r="225">
      <c r="A225" s="11">
        <f t="shared" ref="A225:A245" si="70">A224+1</f>
        <v>2</v>
      </c>
      <c r="B225" s="82"/>
      <c r="C225" s="11"/>
      <c r="D225" s="11"/>
      <c r="E225" s="11"/>
      <c r="T225" s="11">
        <f t="shared" ref="T225:T236" si="71">T224+1</f>
        <v>2</v>
      </c>
    </row>
    <row r="226">
      <c r="A226" s="11">
        <f t="shared" si="70"/>
        <v>3</v>
      </c>
      <c r="B226" s="82"/>
      <c r="C226" s="11"/>
      <c r="D226" s="11"/>
      <c r="E226" s="11"/>
      <c r="T226" s="11">
        <f t="shared" si="71"/>
        <v>3</v>
      </c>
    </row>
    <row r="227">
      <c r="A227" s="11">
        <f t="shared" si="70"/>
        <v>4</v>
      </c>
      <c r="B227" s="82"/>
      <c r="C227" s="11"/>
      <c r="D227" s="11"/>
      <c r="E227" s="11"/>
      <c r="T227" s="11">
        <f t="shared" si="71"/>
        <v>4</v>
      </c>
    </row>
    <row r="228">
      <c r="A228" s="11">
        <f t="shared" si="70"/>
        <v>5</v>
      </c>
      <c r="B228" s="82"/>
      <c r="C228" s="11"/>
      <c r="D228" s="11"/>
      <c r="E228" s="11"/>
      <c r="T228" s="11">
        <f t="shared" si="71"/>
        <v>5</v>
      </c>
    </row>
    <row r="229">
      <c r="A229" s="11">
        <f t="shared" si="70"/>
        <v>6</v>
      </c>
      <c r="B229" s="82"/>
      <c r="C229" s="11"/>
      <c r="D229" s="11"/>
      <c r="E229" s="11"/>
      <c r="T229" s="11">
        <f t="shared" si="71"/>
        <v>6</v>
      </c>
    </row>
    <row r="230">
      <c r="A230" s="11">
        <f t="shared" si="70"/>
        <v>7</v>
      </c>
      <c r="B230" s="82"/>
      <c r="C230" s="11"/>
      <c r="D230" s="11"/>
      <c r="E230" s="11"/>
      <c r="T230" s="11">
        <f t="shared" si="71"/>
        <v>7</v>
      </c>
    </row>
    <row r="231">
      <c r="A231" s="11">
        <f t="shared" si="70"/>
        <v>8</v>
      </c>
      <c r="B231" s="82"/>
      <c r="C231" s="11"/>
      <c r="D231" s="11"/>
      <c r="E231" s="11"/>
      <c r="T231" s="11">
        <f t="shared" si="71"/>
        <v>8</v>
      </c>
    </row>
    <row r="232">
      <c r="A232" s="11">
        <f t="shared" si="70"/>
        <v>9</v>
      </c>
      <c r="B232" s="82"/>
      <c r="C232" s="11"/>
      <c r="D232" s="11"/>
      <c r="E232" s="11"/>
      <c r="T232" s="11">
        <f t="shared" si="71"/>
        <v>9</v>
      </c>
    </row>
    <row r="233">
      <c r="A233" s="11">
        <f t="shared" si="70"/>
        <v>10</v>
      </c>
      <c r="B233" s="82"/>
      <c r="C233" s="11"/>
      <c r="D233" s="11"/>
      <c r="E233" s="11"/>
      <c r="T233" s="11">
        <f t="shared" si="71"/>
        <v>10</v>
      </c>
    </row>
    <row r="234">
      <c r="A234" s="11">
        <f t="shared" si="70"/>
        <v>11</v>
      </c>
      <c r="B234" s="82"/>
      <c r="C234" s="11"/>
      <c r="D234" s="11"/>
      <c r="E234" s="11"/>
      <c r="T234" s="11">
        <f t="shared" si="71"/>
        <v>11</v>
      </c>
    </row>
    <row r="235">
      <c r="A235" s="11">
        <f t="shared" si="70"/>
        <v>12</v>
      </c>
      <c r="B235" s="82"/>
      <c r="C235" s="11"/>
      <c r="D235" s="11"/>
      <c r="E235" s="11"/>
      <c r="T235" s="11">
        <f t="shared" si="71"/>
        <v>12</v>
      </c>
    </row>
    <row r="236">
      <c r="A236" s="11">
        <f t="shared" si="70"/>
        <v>13</v>
      </c>
      <c r="B236" s="82"/>
      <c r="C236" s="11"/>
      <c r="D236" s="11"/>
      <c r="E236" s="11"/>
      <c r="T236" s="11">
        <f t="shared" si="71"/>
        <v>13</v>
      </c>
    </row>
    <row r="237">
      <c r="A237" s="11">
        <f t="shared" si="70"/>
        <v>14</v>
      </c>
      <c r="B237" s="82"/>
      <c r="C237" s="11"/>
      <c r="D237" s="11"/>
      <c r="E237" s="11"/>
    </row>
    <row r="238">
      <c r="A238" s="11">
        <f t="shared" si="70"/>
        <v>15</v>
      </c>
      <c r="B238" s="82"/>
      <c r="C238" s="11"/>
      <c r="D238" s="11"/>
      <c r="E238" s="11"/>
    </row>
    <row r="239">
      <c r="A239" s="11">
        <f t="shared" si="70"/>
        <v>16</v>
      </c>
      <c r="B239" s="82"/>
      <c r="C239" s="11"/>
      <c r="D239" s="11"/>
      <c r="E239" s="11"/>
    </row>
    <row r="240">
      <c r="A240" s="11">
        <f t="shared" si="70"/>
        <v>17</v>
      </c>
      <c r="B240" s="82"/>
      <c r="C240" s="11"/>
      <c r="D240" s="11"/>
      <c r="E240" s="11"/>
    </row>
    <row r="241">
      <c r="A241" s="11">
        <f t="shared" si="70"/>
        <v>18</v>
      </c>
      <c r="B241" s="82"/>
      <c r="C241" s="11"/>
      <c r="D241" s="11"/>
      <c r="E241" s="11"/>
    </row>
    <row r="242">
      <c r="A242" s="11">
        <f t="shared" si="70"/>
        <v>19</v>
      </c>
      <c r="B242" s="82"/>
      <c r="C242" s="11"/>
      <c r="D242" s="11"/>
      <c r="E242" s="11"/>
    </row>
    <row r="243">
      <c r="A243" s="11">
        <f t="shared" si="70"/>
        <v>20</v>
      </c>
      <c r="B243" s="82"/>
      <c r="C243" s="11"/>
      <c r="D243" s="11"/>
      <c r="E243" s="11"/>
    </row>
    <row r="244">
      <c r="A244" s="11">
        <f t="shared" si="70"/>
        <v>21</v>
      </c>
      <c r="B244" s="82"/>
      <c r="C244" s="11"/>
      <c r="D244" s="11"/>
      <c r="E244" s="11"/>
    </row>
    <row r="245">
      <c r="A245" s="11">
        <f t="shared" si="70"/>
        <v>22</v>
      </c>
      <c r="B245" s="82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1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45514.0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'080324'!D2+1</f>
        <v>6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43</v>
      </c>
      <c r="C5" s="32">
        <v>78.0</v>
      </c>
      <c r="D5" s="32">
        <v>9.0</v>
      </c>
      <c r="E5" s="37">
        <v>1.0</v>
      </c>
      <c r="F5" s="39"/>
      <c r="G5" s="40">
        <v>0.0</v>
      </c>
      <c r="H5" s="39">
        <v>6.0</v>
      </c>
      <c r="I5" s="39">
        <v>6.0</v>
      </c>
      <c r="J5" s="39">
        <v>2.0</v>
      </c>
      <c r="K5" s="42">
        <v>14.0</v>
      </c>
      <c r="L5" s="39">
        <v>2.0</v>
      </c>
      <c r="M5" s="32">
        <f t="shared" ref="M5:N5" si="1">C5+K5</f>
        <v>92</v>
      </c>
      <c r="N5" s="32">
        <f t="shared" si="1"/>
        <v>11</v>
      </c>
      <c r="O5" s="43" t="s">
        <v>53</v>
      </c>
      <c r="P5" s="43" t="s">
        <v>53</v>
      </c>
      <c r="Q5" s="43" t="s">
        <v>53</v>
      </c>
      <c r="R5" s="39">
        <f>if(G5=13,1,0)+VLOOKUP(B5,'080324'!B:T,17,false)</f>
        <v>1</v>
      </c>
      <c r="S5" s="39"/>
      <c r="T5" s="39">
        <f>if(G5=9,1,0)+VLOOKUP(B5,'080324'!B:T,19,false)</f>
        <v>1</v>
      </c>
    </row>
    <row r="6">
      <c r="A6" s="30">
        <f t="shared" ref="A6:A70" si="3">A5+1</f>
        <v>2</v>
      </c>
      <c r="B6" s="51" t="s">
        <v>100</v>
      </c>
      <c r="C6" s="32">
        <v>77.0</v>
      </c>
      <c r="D6" s="32">
        <v>9.0</v>
      </c>
      <c r="E6" s="37">
        <v>1.0</v>
      </c>
      <c r="F6" s="39"/>
      <c r="G6" s="40">
        <v>0.0</v>
      </c>
      <c r="H6" s="39">
        <v>6.0</v>
      </c>
      <c r="I6" s="39">
        <v>3.0</v>
      </c>
      <c r="J6" s="39">
        <v>6.0</v>
      </c>
      <c r="K6" s="42">
        <v>15.0</v>
      </c>
      <c r="L6" s="39">
        <v>2.0</v>
      </c>
      <c r="M6" s="32">
        <f t="shared" ref="M6:N6" si="2">C6+K6</f>
        <v>92</v>
      </c>
      <c r="N6" s="32">
        <f t="shared" si="2"/>
        <v>11</v>
      </c>
      <c r="O6" s="43" t="s">
        <v>53</v>
      </c>
      <c r="P6" s="43" t="s">
        <v>53</v>
      </c>
      <c r="Q6" s="43" t="s">
        <v>53</v>
      </c>
      <c r="R6" s="39">
        <f>if(G6=13,1,0)+VLOOKUP(B6,'080324'!B:T,17,false)</f>
        <v>0</v>
      </c>
      <c r="S6" s="39"/>
      <c r="T6" s="39">
        <f>if(G6=9,1,0)+VLOOKUP(B6,'080324'!B:T,19,false)</f>
        <v>0</v>
      </c>
    </row>
    <row r="7">
      <c r="A7" s="30">
        <f t="shared" si="3"/>
        <v>3</v>
      </c>
      <c r="B7" s="31" t="s">
        <v>91</v>
      </c>
      <c r="C7" s="32">
        <v>73.0</v>
      </c>
      <c r="D7" s="32">
        <v>8.0</v>
      </c>
      <c r="E7" s="37">
        <v>1.0</v>
      </c>
      <c r="F7" s="39"/>
      <c r="G7" s="40">
        <v>0.0</v>
      </c>
      <c r="H7" s="39">
        <v>2.0</v>
      </c>
      <c r="I7" s="39">
        <v>3.0</v>
      </c>
      <c r="J7" s="39">
        <v>2.0</v>
      </c>
      <c r="K7" s="42">
        <v>7.0</v>
      </c>
      <c r="L7" s="39">
        <v>0.0</v>
      </c>
      <c r="M7" s="32">
        <f t="shared" ref="M7:N7" si="4">C7+K7</f>
        <v>80</v>
      </c>
      <c r="N7" s="32">
        <f t="shared" si="4"/>
        <v>8</v>
      </c>
      <c r="O7" s="43" t="s">
        <v>53</v>
      </c>
      <c r="P7" s="43" t="s">
        <v>53</v>
      </c>
      <c r="Q7" s="43" t="s">
        <v>53</v>
      </c>
      <c r="R7" s="39">
        <f>if(G7=13,1,0)+VLOOKUP(B7,'080324'!B:T,17,false)</f>
        <v>0</v>
      </c>
      <c r="S7" s="39"/>
      <c r="T7" s="39">
        <f>if(G7=9,1,0)+VLOOKUP(B7,'080324'!B:T,19,false)</f>
        <v>1</v>
      </c>
    </row>
    <row r="8">
      <c r="A8" s="30">
        <f t="shared" si="3"/>
        <v>4</v>
      </c>
      <c r="B8" s="31" t="s">
        <v>71</v>
      </c>
      <c r="C8" s="32">
        <v>72.0</v>
      </c>
      <c r="D8" s="32">
        <v>9.0</v>
      </c>
      <c r="E8" s="37">
        <v>5.0</v>
      </c>
      <c r="F8" s="39">
        <v>0.0</v>
      </c>
      <c r="G8" s="40">
        <v>13.0</v>
      </c>
      <c r="H8" s="39">
        <v>0.0</v>
      </c>
      <c r="I8" s="39">
        <v>0.0</v>
      </c>
      <c r="J8" s="39">
        <v>0.0</v>
      </c>
      <c r="K8" s="42">
        <v>13.0</v>
      </c>
      <c r="L8" s="39">
        <v>0.0</v>
      </c>
      <c r="M8" s="32">
        <f t="shared" ref="M8:N8" si="5">C8+K8</f>
        <v>85</v>
      </c>
      <c r="N8" s="32">
        <f t="shared" si="5"/>
        <v>9</v>
      </c>
      <c r="O8" s="43" t="s">
        <v>53</v>
      </c>
      <c r="P8" s="43" t="s">
        <v>53</v>
      </c>
      <c r="Q8" s="43" t="s">
        <v>53</v>
      </c>
      <c r="R8" s="39">
        <f>if(G8=13,1,0)+VLOOKUP(B8,'080324'!B:T,17,false)</f>
        <v>1</v>
      </c>
      <c r="S8" s="39"/>
      <c r="T8" s="39">
        <f>if(G8=9,1,0)+VLOOKUP(B8,'080324'!B:T,19,false)</f>
        <v>0</v>
      </c>
    </row>
    <row r="9">
      <c r="A9" s="30">
        <f t="shared" si="3"/>
        <v>5</v>
      </c>
      <c r="B9" s="51" t="s">
        <v>87</v>
      </c>
      <c r="C9" s="32">
        <v>72.0</v>
      </c>
      <c r="D9" s="32">
        <v>9.0</v>
      </c>
      <c r="E9" s="37">
        <v>5.0</v>
      </c>
      <c r="F9" s="39">
        <v>0.0</v>
      </c>
      <c r="G9" s="40">
        <v>13.0</v>
      </c>
      <c r="H9" s="39">
        <v>0.0</v>
      </c>
      <c r="I9" s="39">
        <v>0.0</v>
      </c>
      <c r="J9" s="39">
        <v>0.0</v>
      </c>
      <c r="K9" s="42">
        <v>13.0</v>
      </c>
      <c r="L9" s="39">
        <v>0.0</v>
      </c>
      <c r="M9" s="32">
        <f t="shared" ref="M9:N9" si="6">C9+K9</f>
        <v>85</v>
      </c>
      <c r="N9" s="32">
        <f t="shared" si="6"/>
        <v>9</v>
      </c>
      <c r="O9" s="43" t="s">
        <v>53</v>
      </c>
      <c r="P9" s="43" t="s">
        <v>53</v>
      </c>
      <c r="Q9" s="43" t="s">
        <v>53</v>
      </c>
      <c r="R9" s="39">
        <f>if(G9=13,1,0)+VLOOKUP(B9,'080324'!B:T,17,false)</f>
        <v>1</v>
      </c>
      <c r="S9" s="39"/>
      <c r="T9" s="39">
        <f>if(G9=9,1,0)+VLOOKUP(B9,'080324'!B:T,19,false)</f>
        <v>0</v>
      </c>
    </row>
    <row r="10">
      <c r="A10" s="30">
        <f t="shared" si="3"/>
        <v>6</v>
      </c>
      <c r="B10" s="51" t="s">
        <v>92</v>
      </c>
      <c r="C10" s="32">
        <v>70.0</v>
      </c>
      <c r="D10" s="32">
        <v>7.0</v>
      </c>
      <c r="E10" s="37">
        <v>1.0</v>
      </c>
      <c r="F10" s="39"/>
      <c r="G10" s="40">
        <v>0.0</v>
      </c>
      <c r="H10" s="39">
        <v>2.0</v>
      </c>
      <c r="I10" s="39">
        <v>6.0</v>
      </c>
      <c r="J10" s="39">
        <v>6.0</v>
      </c>
      <c r="K10" s="42">
        <v>14.0</v>
      </c>
      <c r="L10" s="39">
        <v>2.0</v>
      </c>
      <c r="M10" s="32">
        <f t="shared" ref="M10:N10" si="7">C10+K10</f>
        <v>84</v>
      </c>
      <c r="N10" s="32">
        <f t="shared" si="7"/>
        <v>9</v>
      </c>
      <c r="O10" s="43" t="s">
        <v>53</v>
      </c>
      <c r="P10" s="43" t="s">
        <v>53</v>
      </c>
      <c r="Q10" s="43" t="s">
        <v>53</v>
      </c>
      <c r="R10" s="39">
        <f>if(G10=13,1,0)+VLOOKUP(B10,'080324'!B:T,17,false)</f>
        <v>1</v>
      </c>
      <c r="S10" s="39"/>
      <c r="T10" s="39">
        <f>if(G10=9,1,0)+VLOOKUP(B10,'080324'!B:T,19,false)</f>
        <v>1</v>
      </c>
    </row>
    <row r="11">
      <c r="A11" s="30">
        <f t="shared" si="3"/>
        <v>7</v>
      </c>
      <c r="B11" s="31" t="s">
        <v>61</v>
      </c>
      <c r="C11" s="32">
        <v>69.0</v>
      </c>
      <c r="D11" s="32">
        <v>7.0</v>
      </c>
      <c r="E11" s="37">
        <v>1.0</v>
      </c>
      <c r="F11" s="39"/>
      <c r="G11" s="40">
        <v>0.0</v>
      </c>
      <c r="H11" s="39">
        <v>6.0</v>
      </c>
      <c r="I11" s="39">
        <v>1.0</v>
      </c>
      <c r="J11" s="39">
        <v>6.0</v>
      </c>
      <c r="K11" s="42">
        <v>13.0</v>
      </c>
      <c r="L11" s="39">
        <v>2.0</v>
      </c>
      <c r="M11" s="32">
        <f t="shared" ref="M11:N11" si="8">C11+K11</f>
        <v>82</v>
      </c>
      <c r="N11" s="32">
        <f t="shared" si="8"/>
        <v>9</v>
      </c>
      <c r="O11" s="43" t="s">
        <v>53</v>
      </c>
      <c r="P11" s="43" t="s">
        <v>53</v>
      </c>
      <c r="Q11" s="43" t="s">
        <v>53</v>
      </c>
      <c r="R11" s="39">
        <f>if(G11=13,1,0)+VLOOKUP(B11,'080324'!B:T,17,false)</f>
        <v>0</v>
      </c>
      <c r="S11" s="39"/>
      <c r="T11" s="39">
        <f>if(G11=9,1,0)+VLOOKUP(B11,'080324'!B:T,19,false)</f>
        <v>1</v>
      </c>
    </row>
    <row r="12">
      <c r="A12" s="30">
        <f t="shared" si="3"/>
        <v>8</v>
      </c>
      <c r="B12" s="51" t="s">
        <v>84</v>
      </c>
      <c r="C12" s="32">
        <v>69.0</v>
      </c>
      <c r="D12" s="32">
        <v>7.0</v>
      </c>
      <c r="E12" s="37">
        <v>3.0</v>
      </c>
      <c r="F12" s="39">
        <v>0.0</v>
      </c>
      <c r="G12" s="40">
        <v>9.0</v>
      </c>
      <c r="H12" s="39">
        <v>0.0</v>
      </c>
      <c r="I12" s="39">
        <v>0.0</v>
      </c>
      <c r="J12" s="39">
        <v>0.0</v>
      </c>
      <c r="K12" s="42">
        <v>9.0</v>
      </c>
      <c r="L12" s="39">
        <v>0.0</v>
      </c>
      <c r="M12" s="32">
        <f t="shared" ref="M12:N12" si="9">C12+K12</f>
        <v>78</v>
      </c>
      <c r="N12" s="32">
        <f t="shared" si="9"/>
        <v>7</v>
      </c>
      <c r="O12" s="43" t="s">
        <v>53</v>
      </c>
      <c r="P12" s="43" t="s">
        <v>53</v>
      </c>
      <c r="Q12" s="43" t="s">
        <v>53</v>
      </c>
      <c r="R12" s="39">
        <f>if(G12=13,1,0)+VLOOKUP(B12,'080324'!B:T,17,false)</f>
        <v>0</v>
      </c>
      <c r="S12" s="39"/>
      <c r="T12" s="39">
        <f>if(G12=9,1,0)+VLOOKUP(B12,'080324'!B:T,19,false)</f>
        <v>1</v>
      </c>
    </row>
    <row r="13">
      <c r="A13" s="30">
        <f t="shared" si="3"/>
        <v>9</v>
      </c>
      <c r="B13" s="51" t="s">
        <v>104</v>
      </c>
      <c r="C13" s="32">
        <v>69.0</v>
      </c>
      <c r="D13" s="32">
        <v>7.0</v>
      </c>
      <c r="E13" s="37">
        <v>1.0</v>
      </c>
      <c r="F13" s="39"/>
      <c r="G13" s="40">
        <v>0.0</v>
      </c>
      <c r="H13" s="39">
        <v>2.0</v>
      </c>
      <c r="I13" s="39">
        <v>1.0</v>
      </c>
      <c r="J13" s="39">
        <v>0.0</v>
      </c>
      <c r="K13" s="42">
        <v>3.0</v>
      </c>
      <c r="L13" s="39">
        <v>0.0</v>
      </c>
      <c r="M13" s="32">
        <f t="shared" ref="M13:N13" si="10">C13+K13</f>
        <v>72</v>
      </c>
      <c r="N13" s="32">
        <f t="shared" si="10"/>
        <v>7</v>
      </c>
      <c r="O13" s="43" t="s">
        <v>53</v>
      </c>
      <c r="P13" s="43" t="s">
        <v>53</v>
      </c>
      <c r="Q13" s="43" t="s">
        <v>53</v>
      </c>
      <c r="R13" s="39">
        <f>if(G13=13,1,0)+VLOOKUP(B13,'080324'!B:T,17,false)</f>
        <v>0</v>
      </c>
      <c r="S13" s="39"/>
      <c r="T13" s="39">
        <f>if(G13=9,1,0)+VLOOKUP(B13,'080324'!B:T,19,false)</f>
        <v>0</v>
      </c>
    </row>
    <row r="14">
      <c r="A14" s="30">
        <f t="shared" si="3"/>
        <v>10</v>
      </c>
      <c r="B14" s="31" t="s">
        <v>34</v>
      </c>
      <c r="C14" s="32">
        <v>68.0</v>
      </c>
      <c r="D14" s="32">
        <v>9.0</v>
      </c>
      <c r="E14" s="37">
        <v>1.0</v>
      </c>
      <c r="F14" s="39"/>
      <c r="G14" s="40">
        <v>0.0</v>
      </c>
      <c r="H14" s="39">
        <v>2.0</v>
      </c>
      <c r="I14" s="39">
        <v>6.0</v>
      </c>
      <c r="J14" s="39">
        <v>6.0</v>
      </c>
      <c r="K14" s="42">
        <v>14.0</v>
      </c>
      <c r="L14" s="39">
        <v>2.0</v>
      </c>
      <c r="M14" s="32">
        <f t="shared" ref="M14:N14" si="11">C14+K14</f>
        <v>82</v>
      </c>
      <c r="N14" s="32">
        <f t="shared" si="11"/>
        <v>11</v>
      </c>
      <c r="O14" s="43" t="s">
        <v>53</v>
      </c>
      <c r="P14" s="43" t="s">
        <v>53</v>
      </c>
      <c r="Q14" s="43" t="s">
        <v>53</v>
      </c>
      <c r="R14" s="39">
        <f>if(G14=13,1,0)+VLOOKUP(B14,'080324'!B:T,17,false)</f>
        <v>0</v>
      </c>
      <c r="S14" s="39"/>
      <c r="T14" s="39">
        <f>if(G14=9,1,0)+VLOOKUP(B14,'080324'!B:T,19,false)</f>
        <v>1</v>
      </c>
    </row>
    <row r="15">
      <c r="A15" s="30">
        <f t="shared" si="3"/>
        <v>11</v>
      </c>
      <c r="B15" s="51" t="s">
        <v>54</v>
      </c>
      <c r="C15" s="32">
        <v>67.0</v>
      </c>
      <c r="D15" s="32">
        <v>8.0</v>
      </c>
      <c r="E15" s="37">
        <v>1.0</v>
      </c>
      <c r="F15" s="39"/>
      <c r="G15" s="40">
        <v>0.0</v>
      </c>
      <c r="H15" s="39">
        <v>6.0</v>
      </c>
      <c r="I15" s="39">
        <v>6.0</v>
      </c>
      <c r="J15" s="39">
        <v>0.0</v>
      </c>
      <c r="K15" s="42">
        <v>12.0</v>
      </c>
      <c r="L15" s="39">
        <v>2.0</v>
      </c>
      <c r="M15" s="32">
        <f t="shared" ref="M15:N15" si="12">C15+K15</f>
        <v>79</v>
      </c>
      <c r="N15" s="32">
        <f t="shared" si="12"/>
        <v>10</v>
      </c>
      <c r="O15" s="43" t="s">
        <v>53</v>
      </c>
      <c r="P15" s="43" t="s">
        <v>53</v>
      </c>
      <c r="Q15" s="43" t="s">
        <v>53</v>
      </c>
      <c r="R15" s="39">
        <f>if(G15=13,1,0)+VLOOKUP(B15,'080324'!B:T,17,false)</f>
        <v>0</v>
      </c>
      <c r="S15" s="39"/>
      <c r="T15" s="39">
        <f>if(G15=9,1,0)+VLOOKUP(B15,'080324'!B:T,19,false)</f>
        <v>0</v>
      </c>
    </row>
    <row r="16">
      <c r="A16" s="30">
        <f t="shared" si="3"/>
        <v>12</v>
      </c>
      <c r="B16" s="31" t="s">
        <v>82</v>
      </c>
      <c r="C16" s="32">
        <v>67.0</v>
      </c>
      <c r="D16" s="32">
        <v>7.0</v>
      </c>
      <c r="E16" s="37">
        <v>5.0</v>
      </c>
      <c r="F16" s="39">
        <v>0.0</v>
      </c>
      <c r="G16" s="40">
        <v>13.0</v>
      </c>
      <c r="H16" s="39">
        <v>0.0</v>
      </c>
      <c r="I16" s="39">
        <v>0.0</v>
      </c>
      <c r="J16" s="39">
        <v>0.0</v>
      </c>
      <c r="K16" s="42">
        <v>13.0</v>
      </c>
      <c r="L16" s="39">
        <v>0.0</v>
      </c>
      <c r="M16" s="32">
        <f t="shared" ref="M16:N16" si="13">C16+K16</f>
        <v>80</v>
      </c>
      <c r="N16" s="32">
        <f t="shared" si="13"/>
        <v>7</v>
      </c>
      <c r="O16" s="43" t="s">
        <v>53</v>
      </c>
      <c r="P16" s="43" t="s">
        <v>53</v>
      </c>
      <c r="Q16" s="43" t="s">
        <v>53</v>
      </c>
      <c r="R16" s="39">
        <f>if(G16=13,1,0)+VLOOKUP(B16,'080324'!B:T,17,false)</f>
        <v>1</v>
      </c>
      <c r="S16" s="39"/>
      <c r="T16" s="39">
        <f>if(G16=9,1,0)+VLOOKUP(B16,'080324'!B:T,19,false)</f>
        <v>2</v>
      </c>
    </row>
    <row r="17">
      <c r="A17" s="30">
        <f t="shared" si="3"/>
        <v>13</v>
      </c>
      <c r="B17" s="31" t="s">
        <v>90</v>
      </c>
      <c r="C17" s="32">
        <v>66.0</v>
      </c>
      <c r="D17" s="32">
        <v>8.0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4">C17+K17</f>
        <v>75</v>
      </c>
      <c r="N17" s="32">
        <f t="shared" si="14"/>
        <v>8</v>
      </c>
      <c r="O17" s="43" t="s">
        <v>53</v>
      </c>
      <c r="P17" s="43" t="s">
        <v>53</v>
      </c>
      <c r="Q17" s="43" t="s">
        <v>53</v>
      </c>
      <c r="R17" s="39">
        <f>if(G17=13,1,0)+VLOOKUP(B17,'080324'!B:T,17,false)</f>
        <v>0</v>
      </c>
      <c r="S17" s="39"/>
      <c r="T17" s="39">
        <f>if(G17=9,1,0)+VLOOKUP(B17,'080324'!B:T,19,false)</f>
        <v>1</v>
      </c>
    </row>
    <row r="18">
      <c r="A18" s="30">
        <f t="shared" si="3"/>
        <v>14</v>
      </c>
      <c r="B18" s="31" t="s">
        <v>68</v>
      </c>
      <c r="C18" s="32">
        <v>65.0</v>
      </c>
      <c r="D18" s="32">
        <v>6.0</v>
      </c>
      <c r="E18" s="37">
        <v>1.0</v>
      </c>
      <c r="F18" s="39"/>
      <c r="G18" s="40">
        <v>0.0</v>
      </c>
      <c r="H18" s="39">
        <v>6.0</v>
      </c>
      <c r="I18" s="39">
        <v>6.0</v>
      </c>
      <c r="J18" s="39">
        <v>7.0</v>
      </c>
      <c r="K18" s="42">
        <v>19.0</v>
      </c>
      <c r="L18" s="39">
        <v>3.0</v>
      </c>
      <c r="M18" s="32">
        <f t="shared" ref="M18:N18" si="15">C18+K18</f>
        <v>84</v>
      </c>
      <c r="N18" s="32">
        <f t="shared" si="15"/>
        <v>9</v>
      </c>
      <c r="O18" s="43" t="s">
        <v>53</v>
      </c>
      <c r="P18" s="43" t="s">
        <v>53</v>
      </c>
      <c r="Q18" s="43" t="s">
        <v>53</v>
      </c>
      <c r="R18" s="39">
        <f>if(G18=13,1,0)+VLOOKUP(B18,'080324'!B:T,17,false)</f>
        <v>0</v>
      </c>
      <c r="S18" s="39"/>
      <c r="T18" s="39">
        <f>if(G18=9,1,0)+VLOOKUP(B18,'080324'!B:T,19,false)</f>
        <v>1</v>
      </c>
    </row>
    <row r="19">
      <c r="A19" s="30">
        <f t="shared" si="3"/>
        <v>15</v>
      </c>
      <c r="B19" s="31" t="s">
        <v>105</v>
      </c>
      <c r="C19" s="32">
        <v>65.0</v>
      </c>
      <c r="D19" s="32">
        <v>5.0</v>
      </c>
      <c r="E19" s="37">
        <v>1.0</v>
      </c>
      <c r="F19" s="39"/>
      <c r="G19" s="40">
        <v>0.0</v>
      </c>
      <c r="H19" s="39">
        <v>4.0</v>
      </c>
      <c r="I19" s="39">
        <v>6.0</v>
      </c>
      <c r="J19" s="39">
        <v>6.0</v>
      </c>
      <c r="K19" s="42">
        <v>16.0</v>
      </c>
      <c r="L19" s="39">
        <v>1.0</v>
      </c>
      <c r="M19" s="32">
        <f t="shared" ref="M19:N19" si="16">C19+K19</f>
        <v>81</v>
      </c>
      <c r="N19" s="32">
        <f t="shared" si="16"/>
        <v>6</v>
      </c>
      <c r="O19" s="43" t="s">
        <v>53</v>
      </c>
      <c r="P19" s="43" t="s">
        <v>53</v>
      </c>
      <c r="Q19" s="43" t="s">
        <v>53</v>
      </c>
      <c r="R19" s="39">
        <f>if(G19=13,1,0)+VLOOKUP(B19,'080324'!B:T,17,false)</f>
        <v>0</v>
      </c>
      <c r="S19" s="39"/>
      <c r="T19" s="39">
        <f>if(G19=9,1,0)+VLOOKUP(B19,'080324'!B:T,19,false)</f>
        <v>1</v>
      </c>
    </row>
    <row r="20">
      <c r="A20" s="30">
        <f t="shared" si="3"/>
        <v>16</v>
      </c>
      <c r="B20" s="51" t="s">
        <v>78</v>
      </c>
      <c r="C20" s="32">
        <v>65.0</v>
      </c>
      <c r="D20" s="32">
        <v>5.0</v>
      </c>
      <c r="E20" s="37">
        <v>1.0</v>
      </c>
      <c r="F20" s="39"/>
      <c r="G20" s="40">
        <v>0.0</v>
      </c>
      <c r="H20" s="39">
        <v>4.0</v>
      </c>
      <c r="I20" s="39">
        <v>0.0</v>
      </c>
      <c r="J20" s="39">
        <v>7.0</v>
      </c>
      <c r="K20" s="42">
        <v>11.0</v>
      </c>
      <c r="L20" s="39">
        <v>1.0</v>
      </c>
      <c r="M20" s="32">
        <f t="shared" ref="M20:N20" si="17">C20+K20</f>
        <v>76</v>
      </c>
      <c r="N20" s="32">
        <f t="shared" si="17"/>
        <v>6</v>
      </c>
      <c r="O20" s="43" t="s">
        <v>53</v>
      </c>
      <c r="P20" s="43" t="s">
        <v>53</v>
      </c>
      <c r="Q20" s="43" t="s">
        <v>53</v>
      </c>
      <c r="R20" s="39">
        <f>if(G20=13,1,0)+VLOOKUP(B20,'080324'!B:T,17,false)</f>
        <v>0</v>
      </c>
      <c r="S20" s="39"/>
      <c r="T20" s="39">
        <f>if(G20=9,1,0)+VLOOKUP(B20,'080324'!B:T,19,false)</f>
        <v>0</v>
      </c>
    </row>
    <row r="21">
      <c r="A21" s="30">
        <f t="shared" si="3"/>
        <v>17</v>
      </c>
      <c r="B21" s="51" t="s">
        <v>94</v>
      </c>
      <c r="C21" s="32">
        <v>63.0</v>
      </c>
      <c r="D21" s="32">
        <v>5.0</v>
      </c>
      <c r="E21" s="37">
        <v>1.0</v>
      </c>
      <c r="F21" s="39"/>
      <c r="G21" s="40">
        <v>0.0</v>
      </c>
      <c r="H21" s="39">
        <v>6.0</v>
      </c>
      <c r="I21" s="39">
        <v>0.0</v>
      </c>
      <c r="J21" s="39">
        <v>6.0</v>
      </c>
      <c r="K21" s="42">
        <v>12.0</v>
      </c>
      <c r="L21" s="39">
        <v>1.0</v>
      </c>
      <c r="M21" s="32">
        <f t="shared" ref="M21:N21" si="18">C21+K21</f>
        <v>75</v>
      </c>
      <c r="N21" s="32">
        <f t="shared" si="18"/>
        <v>6</v>
      </c>
      <c r="O21" s="43" t="s">
        <v>53</v>
      </c>
      <c r="P21" s="43" t="s">
        <v>53</v>
      </c>
      <c r="Q21" s="43" t="s">
        <v>53</v>
      </c>
      <c r="R21" s="39">
        <f>if(G21=13,1,0)+VLOOKUP(B21,'080324'!B:T,17,false)</f>
        <v>0</v>
      </c>
      <c r="S21" s="39"/>
      <c r="T21" s="39">
        <f>if(G21=9,1,0)+VLOOKUP(B21,'080324'!B:T,19,false)</f>
        <v>2</v>
      </c>
    </row>
    <row r="22">
      <c r="A22" s="30">
        <f t="shared" si="3"/>
        <v>18</v>
      </c>
      <c r="B22" s="51" t="s">
        <v>103</v>
      </c>
      <c r="C22" s="32">
        <v>63.0</v>
      </c>
      <c r="D22" s="32">
        <v>5.0</v>
      </c>
      <c r="E22" s="37">
        <v>3.0</v>
      </c>
      <c r="F22" s="39">
        <v>0.0</v>
      </c>
      <c r="G22" s="40">
        <v>9.0</v>
      </c>
      <c r="H22" s="39">
        <v>0.0</v>
      </c>
      <c r="I22" s="39">
        <v>0.0</v>
      </c>
      <c r="J22" s="39">
        <v>0.0</v>
      </c>
      <c r="K22" s="42">
        <v>9.0</v>
      </c>
      <c r="L22" s="39">
        <v>0.0</v>
      </c>
      <c r="M22" s="32">
        <f t="shared" ref="M22:N22" si="19">C22+K22</f>
        <v>72</v>
      </c>
      <c r="N22" s="32">
        <f t="shared" si="19"/>
        <v>5</v>
      </c>
      <c r="O22" s="43" t="s">
        <v>53</v>
      </c>
      <c r="P22" s="43" t="s">
        <v>53</v>
      </c>
      <c r="Q22" s="43" t="s">
        <v>53</v>
      </c>
      <c r="R22" s="39">
        <f>if(G22=13,1,0)+VLOOKUP(B22,'080324'!B:T,17,false)</f>
        <v>0</v>
      </c>
      <c r="S22" s="39"/>
      <c r="T22" s="39">
        <f>if(G22=9,1,0)+VLOOKUP(B22,'080324'!B:T,19,false)</f>
        <v>3</v>
      </c>
    </row>
    <row r="23">
      <c r="A23" s="30">
        <f t="shared" si="3"/>
        <v>19</v>
      </c>
      <c r="B23" s="51" t="s">
        <v>114</v>
      </c>
      <c r="C23" s="32">
        <v>61.0</v>
      </c>
      <c r="D23" s="32">
        <v>6.0</v>
      </c>
      <c r="E23" s="37">
        <v>5.0</v>
      </c>
      <c r="F23" s="39">
        <v>0.0</v>
      </c>
      <c r="G23" s="40">
        <v>13.0</v>
      </c>
      <c r="H23" s="39">
        <v>0.0</v>
      </c>
      <c r="I23" s="39">
        <v>0.0</v>
      </c>
      <c r="J23" s="39">
        <v>0.0</v>
      </c>
      <c r="K23" s="42">
        <v>13.0</v>
      </c>
      <c r="L23" s="39">
        <v>0.0</v>
      </c>
      <c r="M23" s="32">
        <f t="shared" ref="M23:N23" si="20">C23+K23</f>
        <v>74</v>
      </c>
      <c r="N23" s="32">
        <f t="shared" si="20"/>
        <v>6</v>
      </c>
      <c r="O23" s="43" t="s">
        <v>53</v>
      </c>
      <c r="P23" s="43" t="s">
        <v>53</v>
      </c>
      <c r="Q23" s="43" t="s">
        <v>53</v>
      </c>
      <c r="R23" s="39">
        <f>if(G23=13,1,0)+VLOOKUP(B23,'080324'!B:T,17,false)</f>
        <v>1</v>
      </c>
      <c r="S23" s="39"/>
      <c r="T23" s="39">
        <f>if(G23=9,1,0)+VLOOKUP(B23,'080324'!B:T,19,false)</f>
        <v>1</v>
      </c>
    </row>
    <row r="24">
      <c r="A24" s="30">
        <f t="shared" si="3"/>
        <v>20</v>
      </c>
      <c r="B24" s="31" t="s">
        <v>86</v>
      </c>
      <c r="C24" s="32">
        <v>59.0</v>
      </c>
      <c r="D24" s="32">
        <v>6.0</v>
      </c>
      <c r="E24" s="37">
        <v>5.0</v>
      </c>
      <c r="F24" s="39">
        <v>0.0</v>
      </c>
      <c r="G24" s="40">
        <v>13.0</v>
      </c>
      <c r="H24" s="39">
        <v>0.0</v>
      </c>
      <c r="I24" s="39">
        <v>0.0</v>
      </c>
      <c r="J24" s="39">
        <v>0.0</v>
      </c>
      <c r="K24" s="42">
        <v>13.0</v>
      </c>
      <c r="L24" s="39">
        <v>0.0</v>
      </c>
      <c r="M24" s="32">
        <f t="shared" ref="M24:N24" si="21">C24+K24</f>
        <v>72</v>
      </c>
      <c r="N24" s="32">
        <f t="shared" si="21"/>
        <v>6</v>
      </c>
      <c r="O24" s="43" t="s">
        <v>53</v>
      </c>
      <c r="P24" s="43" t="s">
        <v>53</v>
      </c>
      <c r="Q24" s="43" t="s">
        <v>53</v>
      </c>
      <c r="R24" s="39">
        <f>if(G24=13,1,0)+VLOOKUP(B24,'080324'!B:T,17,false)</f>
        <v>2</v>
      </c>
      <c r="S24" s="39"/>
      <c r="T24" s="39">
        <f>if(G24=9,1,0)+VLOOKUP(B24,'080324'!B:T,19,false)</f>
        <v>0</v>
      </c>
    </row>
    <row r="25">
      <c r="A25" s="30">
        <f t="shared" si="3"/>
        <v>21</v>
      </c>
      <c r="B25" s="31" t="s">
        <v>66</v>
      </c>
      <c r="C25" s="32">
        <v>59.0</v>
      </c>
      <c r="D25" s="32">
        <v>5.0</v>
      </c>
      <c r="E25" s="37">
        <v>5.0</v>
      </c>
      <c r="F25" s="39">
        <v>0.0</v>
      </c>
      <c r="G25" s="40">
        <v>13.0</v>
      </c>
      <c r="H25" s="39">
        <v>0.0</v>
      </c>
      <c r="I25" s="39">
        <v>0.0</v>
      </c>
      <c r="J25" s="39">
        <v>0.0</v>
      </c>
      <c r="K25" s="42">
        <v>13.0</v>
      </c>
      <c r="L25" s="39">
        <v>0.0</v>
      </c>
      <c r="M25" s="32">
        <f t="shared" ref="M25:N25" si="22">C25+K25</f>
        <v>72</v>
      </c>
      <c r="N25" s="32">
        <f t="shared" si="22"/>
        <v>5</v>
      </c>
      <c r="O25" s="43" t="s">
        <v>53</v>
      </c>
      <c r="P25" s="43" t="s">
        <v>53</v>
      </c>
      <c r="Q25" s="43" t="s">
        <v>53</v>
      </c>
      <c r="R25" s="39">
        <f>if(G25=13,1,0)+VLOOKUP(B25,'080324'!B:T,17,false)</f>
        <v>2</v>
      </c>
      <c r="S25" s="39"/>
      <c r="T25" s="39">
        <f>if(G25=9,1,0)+VLOOKUP(B25,'080324'!B:T,19,false)</f>
        <v>1</v>
      </c>
    </row>
    <row r="26">
      <c r="A26" s="30">
        <f t="shared" si="3"/>
        <v>22</v>
      </c>
      <c r="B26" s="51" t="s">
        <v>93</v>
      </c>
      <c r="C26" s="32">
        <v>58.0</v>
      </c>
      <c r="D26" s="32">
        <v>5.0</v>
      </c>
      <c r="E26" s="37">
        <v>1.0</v>
      </c>
      <c r="F26" s="39"/>
      <c r="G26" s="40">
        <v>0.0</v>
      </c>
      <c r="H26" s="39">
        <v>3.0</v>
      </c>
      <c r="I26" s="39">
        <v>7.0</v>
      </c>
      <c r="J26" s="39">
        <v>1.0</v>
      </c>
      <c r="K26" s="42">
        <v>11.0</v>
      </c>
      <c r="L26" s="39">
        <v>1.0</v>
      </c>
      <c r="M26" s="32">
        <f t="shared" ref="M26:N26" si="23">C26+K26</f>
        <v>69</v>
      </c>
      <c r="N26" s="32">
        <f t="shared" si="23"/>
        <v>6</v>
      </c>
      <c r="O26" s="43" t="s">
        <v>53</v>
      </c>
      <c r="P26" s="43" t="s">
        <v>53</v>
      </c>
      <c r="Q26" s="43" t="s">
        <v>53</v>
      </c>
      <c r="R26" s="39">
        <f>if(G26=13,1,0)+VLOOKUP(B26,'080324'!B:T,17,false)</f>
        <v>0</v>
      </c>
      <c r="S26" s="39"/>
      <c r="T26" s="39">
        <f>if(G26=9,1,0)+VLOOKUP(B26,'080324'!B:T,19,false)</f>
        <v>1</v>
      </c>
    </row>
    <row r="27">
      <c r="A27" s="30">
        <f t="shared" si="3"/>
        <v>23</v>
      </c>
      <c r="B27" s="56" t="s">
        <v>65</v>
      </c>
      <c r="C27" s="32">
        <v>58.0</v>
      </c>
      <c r="D27" s="32">
        <v>4.0</v>
      </c>
      <c r="E27" s="37">
        <v>1.0</v>
      </c>
      <c r="F27" s="39"/>
      <c r="G27" s="40">
        <v>0.0</v>
      </c>
      <c r="H27" s="39">
        <v>6.0</v>
      </c>
      <c r="I27" s="39">
        <v>7.0</v>
      </c>
      <c r="J27" s="39">
        <v>6.0</v>
      </c>
      <c r="K27" s="42">
        <v>19.0</v>
      </c>
      <c r="L27" s="39">
        <v>3.0</v>
      </c>
      <c r="M27" s="32">
        <f t="shared" ref="M27:N27" si="24">C27+K27</f>
        <v>77</v>
      </c>
      <c r="N27" s="32">
        <f t="shared" si="24"/>
        <v>7</v>
      </c>
      <c r="O27" s="43" t="s">
        <v>53</v>
      </c>
      <c r="P27" s="43" t="s">
        <v>53</v>
      </c>
      <c r="Q27" s="43" t="s">
        <v>53</v>
      </c>
      <c r="R27" s="39">
        <f>if(G27=13,1,0)+VLOOKUP(B27,'080324'!B:T,17,false)</f>
        <v>0</v>
      </c>
      <c r="S27" s="39"/>
      <c r="T27" s="39">
        <f>if(G27=9,1,0)+VLOOKUP(B27,'080324'!B:T,19,false)</f>
        <v>3</v>
      </c>
    </row>
    <row r="28">
      <c r="A28" s="30">
        <f t="shared" si="3"/>
        <v>24</v>
      </c>
      <c r="B28" s="31" t="s">
        <v>119</v>
      </c>
      <c r="C28" s="32">
        <v>58.0</v>
      </c>
      <c r="D28" s="32">
        <v>4.0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5">C28+K28</f>
        <v>67</v>
      </c>
      <c r="N28" s="32">
        <f t="shared" si="25"/>
        <v>4</v>
      </c>
      <c r="O28" s="43" t="s">
        <v>53</v>
      </c>
      <c r="P28" s="43" t="s">
        <v>53</v>
      </c>
      <c r="Q28" s="43" t="s">
        <v>53</v>
      </c>
      <c r="R28" s="39">
        <f>if(G28=13,1,0)+VLOOKUP(B28,'080324'!B:T,17,false)</f>
        <v>0</v>
      </c>
      <c r="S28" s="39"/>
      <c r="T28" s="39">
        <f>if(G28=9,1,0)+VLOOKUP(B28,'080324'!B:T,19,false)</f>
        <v>4</v>
      </c>
    </row>
    <row r="29">
      <c r="A29" s="30">
        <f t="shared" si="3"/>
        <v>25</v>
      </c>
      <c r="B29" s="31" t="s">
        <v>57</v>
      </c>
      <c r="C29" s="32">
        <v>58.0</v>
      </c>
      <c r="D29" s="32">
        <v>4.0</v>
      </c>
      <c r="E29" s="37">
        <v>1.0</v>
      </c>
      <c r="F29" s="39"/>
      <c r="G29" s="40">
        <v>0.0</v>
      </c>
      <c r="H29" s="39">
        <v>3.0</v>
      </c>
      <c r="I29" s="39">
        <v>6.0</v>
      </c>
      <c r="J29" s="39">
        <v>6.0</v>
      </c>
      <c r="K29" s="42">
        <v>15.0</v>
      </c>
      <c r="L29" s="39">
        <v>1.0</v>
      </c>
      <c r="M29" s="32">
        <f t="shared" ref="M29:N29" si="26">C29+K29</f>
        <v>73</v>
      </c>
      <c r="N29" s="32">
        <f t="shared" si="26"/>
        <v>5</v>
      </c>
      <c r="O29" s="43" t="s">
        <v>53</v>
      </c>
      <c r="P29" s="43" t="s">
        <v>53</v>
      </c>
      <c r="Q29" s="43" t="s">
        <v>53</v>
      </c>
      <c r="R29" s="39">
        <f>if(G29=13,1,0)+VLOOKUP(B29,'080324'!B:T,17,false)</f>
        <v>1</v>
      </c>
      <c r="S29" s="39"/>
      <c r="T29" s="39">
        <f>if(G29=9,1,0)+VLOOKUP(B29,'080324'!B:T,19,false)</f>
        <v>2</v>
      </c>
    </row>
    <row r="30">
      <c r="A30" s="30">
        <f t="shared" si="3"/>
        <v>26</v>
      </c>
      <c r="B30" s="31" t="s">
        <v>83</v>
      </c>
      <c r="C30" s="32">
        <v>58.0</v>
      </c>
      <c r="D30" s="32">
        <v>3.0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7">C30+K30</f>
        <v>67</v>
      </c>
      <c r="N30" s="32">
        <f t="shared" si="27"/>
        <v>3</v>
      </c>
      <c r="O30" s="43" t="s">
        <v>53</v>
      </c>
      <c r="P30" s="43" t="s">
        <v>53</v>
      </c>
      <c r="Q30" s="43" t="s">
        <v>53</v>
      </c>
      <c r="R30" s="39">
        <f>if(G30=13,1,0)+VLOOKUP(B30,'080324'!B:T,17,false)</f>
        <v>0</v>
      </c>
      <c r="S30" s="39"/>
      <c r="T30" s="39">
        <f>if(G30=9,1,0)+VLOOKUP(B30,'080324'!B:T,19,false)</f>
        <v>4</v>
      </c>
    </row>
    <row r="31">
      <c r="A31" s="30">
        <f t="shared" si="3"/>
        <v>27</v>
      </c>
      <c r="B31" s="31" t="s">
        <v>96</v>
      </c>
      <c r="C31" s="32">
        <v>57.0</v>
      </c>
      <c r="D31" s="32">
        <v>6.0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8">C31+K31</f>
        <v>66</v>
      </c>
      <c r="N31" s="32">
        <f t="shared" si="28"/>
        <v>6</v>
      </c>
      <c r="O31" s="43" t="s">
        <v>53</v>
      </c>
      <c r="P31" s="43" t="s">
        <v>53</v>
      </c>
      <c r="Q31" s="43" t="s">
        <v>53</v>
      </c>
      <c r="R31" s="39">
        <f>if(G31=13,1,0)+VLOOKUP(B31,'080324'!B:T,17,false)</f>
        <v>0</v>
      </c>
      <c r="S31" s="39"/>
      <c r="T31" s="39">
        <f>if(G31=9,1,0)+VLOOKUP(B31,'080324'!B:T,19,false)</f>
        <v>3</v>
      </c>
    </row>
    <row r="32">
      <c r="A32" s="30">
        <f t="shared" si="3"/>
        <v>28</v>
      </c>
      <c r="B32" s="31" t="s">
        <v>98</v>
      </c>
      <c r="C32" s="32">
        <v>57.0</v>
      </c>
      <c r="D32" s="32">
        <v>3.0</v>
      </c>
      <c r="E32" s="37">
        <v>3.0</v>
      </c>
      <c r="F32" s="39">
        <v>0.0</v>
      </c>
      <c r="G32" s="40">
        <v>9.0</v>
      </c>
      <c r="H32" s="39">
        <v>0.0</v>
      </c>
      <c r="I32" s="39">
        <v>0.0</v>
      </c>
      <c r="J32" s="39">
        <v>0.0</v>
      </c>
      <c r="K32" s="42">
        <v>9.0</v>
      </c>
      <c r="L32" s="39">
        <v>0.0</v>
      </c>
      <c r="M32" s="32">
        <f t="shared" ref="M32:N32" si="29">C32+K32</f>
        <v>66</v>
      </c>
      <c r="N32" s="32">
        <f t="shared" si="29"/>
        <v>3</v>
      </c>
      <c r="O32" s="43" t="s">
        <v>53</v>
      </c>
      <c r="P32" s="43" t="s">
        <v>53</v>
      </c>
      <c r="Q32" s="43" t="s">
        <v>53</v>
      </c>
      <c r="R32" s="39">
        <f>if(G32=13,1,0)+VLOOKUP(B32,'080324'!B:T,17,false)</f>
        <v>1</v>
      </c>
      <c r="S32" s="39"/>
      <c r="T32" s="39">
        <f>if(G32=9,1,0)+VLOOKUP(B32,'080324'!B:T,19,false)</f>
        <v>3</v>
      </c>
    </row>
    <row r="33">
      <c r="A33" s="30">
        <f t="shared" si="3"/>
        <v>29</v>
      </c>
      <c r="B33" s="56" t="s">
        <v>110</v>
      </c>
      <c r="C33" s="32">
        <v>56.0</v>
      </c>
      <c r="D33" s="32">
        <v>2.0</v>
      </c>
      <c r="E33" s="37">
        <v>2.0</v>
      </c>
      <c r="F33" s="39"/>
      <c r="G33" s="40">
        <v>0.0</v>
      </c>
      <c r="H33" s="39">
        <v>6.0</v>
      </c>
      <c r="I33" s="39">
        <v>6.0</v>
      </c>
      <c r="J33" s="39">
        <v>1.0</v>
      </c>
      <c r="K33" s="42">
        <v>13.0</v>
      </c>
      <c r="L33" s="39">
        <v>1.0</v>
      </c>
      <c r="M33" s="32">
        <f t="shared" ref="M33:N33" si="30">C33+K33</f>
        <v>69</v>
      </c>
      <c r="N33" s="32">
        <f t="shared" si="30"/>
        <v>3</v>
      </c>
      <c r="O33" s="43" t="s">
        <v>53</v>
      </c>
      <c r="P33" s="43" t="s">
        <v>53</v>
      </c>
      <c r="Q33" s="43" t="s">
        <v>53</v>
      </c>
      <c r="R33" s="39">
        <f>if(G33=13,1,0)+VLOOKUP(B33,'080324'!B:T,17,false)</f>
        <v>1</v>
      </c>
      <c r="S33" s="39"/>
      <c r="T33" s="39">
        <f>if(G33=9,1,0)+VLOOKUP(B33,'080324'!B:T,19,false)</f>
        <v>2</v>
      </c>
    </row>
    <row r="34">
      <c r="A34" s="30">
        <f t="shared" si="3"/>
        <v>30</v>
      </c>
      <c r="B34" s="31" t="s">
        <v>89</v>
      </c>
      <c r="C34" s="32">
        <v>56.0</v>
      </c>
      <c r="D34" s="32">
        <v>2.0</v>
      </c>
      <c r="E34" s="37">
        <v>3.0</v>
      </c>
      <c r="F34" s="39">
        <v>0.0</v>
      </c>
      <c r="G34" s="40">
        <v>9.0</v>
      </c>
      <c r="H34" s="39">
        <v>0.0</v>
      </c>
      <c r="I34" s="39">
        <v>0.0</v>
      </c>
      <c r="J34" s="39">
        <v>0.0</v>
      </c>
      <c r="K34" s="42">
        <v>9.0</v>
      </c>
      <c r="L34" s="39">
        <v>0.0</v>
      </c>
      <c r="M34" s="32">
        <f t="shared" ref="M34:N34" si="31">C34+K34</f>
        <v>65</v>
      </c>
      <c r="N34" s="32">
        <f t="shared" si="31"/>
        <v>2</v>
      </c>
      <c r="O34" s="43" t="s">
        <v>53</v>
      </c>
      <c r="P34" s="43" t="s">
        <v>53</v>
      </c>
      <c r="Q34" s="43" t="s">
        <v>53</v>
      </c>
      <c r="R34" s="39">
        <f>if(G34=13,1,0)+VLOOKUP(B34,'080324'!B:T,17,false)</f>
        <v>2</v>
      </c>
      <c r="S34" s="39"/>
      <c r="T34" s="39">
        <f>if(G34=9,1,0)+VLOOKUP(B34,'080324'!B:T,19,false)</f>
        <v>3</v>
      </c>
    </row>
    <row r="35">
      <c r="A35" s="30">
        <f t="shared" si="3"/>
        <v>31</v>
      </c>
      <c r="B35" s="56" t="s">
        <v>115</v>
      </c>
      <c r="C35" s="32">
        <v>55.0</v>
      </c>
      <c r="D35" s="32">
        <v>5.0</v>
      </c>
      <c r="E35" s="37">
        <v>1.0</v>
      </c>
      <c r="F35" s="39"/>
      <c r="G35" s="40">
        <v>0.0</v>
      </c>
      <c r="H35" s="39">
        <v>1.0</v>
      </c>
      <c r="I35" s="39">
        <v>5.0</v>
      </c>
      <c r="J35" s="39">
        <v>3.0</v>
      </c>
      <c r="K35" s="42">
        <v>9.0</v>
      </c>
      <c r="L35" s="39">
        <v>0.0</v>
      </c>
      <c r="M35" s="32">
        <f t="shared" ref="M35:N35" si="32">C35+K35</f>
        <v>64</v>
      </c>
      <c r="N35" s="32">
        <f t="shared" si="32"/>
        <v>5</v>
      </c>
      <c r="O35" s="43" t="s">
        <v>53</v>
      </c>
      <c r="P35" s="43" t="s">
        <v>53</v>
      </c>
      <c r="Q35" s="43" t="s">
        <v>53</v>
      </c>
      <c r="R35" s="39">
        <f>if(G35=13,1,0)+VLOOKUP(B35,'080324'!B:T,17,false)</f>
        <v>0</v>
      </c>
      <c r="S35" s="39"/>
      <c r="T35" s="39">
        <f>if(G35=9,1,0)+VLOOKUP(B35,'080324'!B:T,19,false)</f>
        <v>1</v>
      </c>
    </row>
    <row r="36">
      <c r="A36" s="30">
        <f t="shared" si="3"/>
        <v>32</v>
      </c>
      <c r="B36" s="31" t="s">
        <v>73</v>
      </c>
      <c r="C36" s="32">
        <v>55.0</v>
      </c>
      <c r="D36" s="32">
        <v>3.0</v>
      </c>
      <c r="E36" s="37">
        <v>2.0</v>
      </c>
      <c r="F36" s="39"/>
      <c r="G36" s="40">
        <v>0.0</v>
      </c>
      <c r="H36" s="39">
        <v>1.0</v>
      </c>
      <c r="I36" s="39">
        <v>7.0</v>
      </c>
      <c r="J36" s="39">
        <v>6.0</v>
      </c>
      <c r="K36" s="42">
        <v>14.0</v>
      </c>
      <c r="L36" s="39">
        <v>2.0</v>
      </c>
      <c r="M36" s="32">
        <f t="shared" ref="M36:N36" si="33">C36+K36</f>
        <v>69</v>
      </c>
      <c r="N36" s="32">
        <f t="shared" si="33"/>
        <v>5</v>
      </c>
      <c r="O36" s="43" t="s">
        <v>53</v>
      </c>
      <c r="P36" s="43" t="s">
        <v>53</v>
      </c>
      <c r="Q36" s="43" t="s">
        <v>53</v>
      </c>
      <c r="R36" s="39">
        <f>if(G36=13,1,0)+VLOOKUP(B36,'080324'!B:T,17,false)</f>
        <v>1</v>
      </c>
      <c r="S36" s="39"/>
      <c r="T36" s="39">
        <f>if(G36=9,1,0)+VLOOKUP(B36,'080324'!B:T,19,false)</f>
        <v>2</v>
      </c>
    </row>
    <row r="37">
      <c r="A37" s="30">
        <f t="shared" si="3"/>
        <v>33</v>
      </c>
      <c r="B37" s="31" t="s">
        <v>125</v>
      </c>
      <c r="C37" s="32">
        <v>54.0</v>
      </c>
      <c r="D37" s="32">
        <v>3.0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4">C37+K37</f>
        <v>63</v>
      </c>
      <c r="N37" s="32">
        <f t="shared" si="34"/>
        <v>3</v>
      </c>
      <c r="O37" s="43" t="s">
        <v>53</v>
      </c>
      <c r="P37" s="43" t="s">
        <v>53</v>
      </c>
      <c r="Q37" s="43" t="s">
        <v>53</v>
      </c>
      <c r="R37" s="39">
        <f>if(G37=13,1,0)+VLOOKUP(B37,'080324'!B:T,17,false)</f>
        <v>0</v>
      </c>
      <c r="S37" s="39"/>
      <c r="T37" s="39">
        <f>if(G37=9,1,0)+VLOOKUP(B37,'080324'!B:T,19,false)</f>
        <v>5</v>
      </c>
    </row>
    <row r="38">
      <c r="A38" s="30">
        <f t="shared" si="3"/>
        <v>34</v>
      </c>
      <c r="B38" s="56" t="s">
        <v>122</v>
      </c>
      <c r="C38" s="32">
        <v>54.0</v>
      </c>
      <c r="D38" s="32">
        <v>3.0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5">C38+K38</f>
        <v>63</v>
      </c>
      <c r="N38" s="32">
        <f t="shared" si="35"/>
        <v>3</v>
      </c>
      <c r="O38" s="43" t="s">
        <v>53</v>
      </c>
      <c r="P38" s="43" t="s">
        <v>53</v>
      </c>
      <c r="Q38" s="43" t="s">
        <v>53</v>
      </c>
      <c r="R38" s="39">
        <f>if(G38=13,1,0)+VLOOKUP(B38,'080324'!B:T,17,false)</f>
        <v>1</v>
      </c>
      <c r="S38" s="39"/>
      <c r="T38" s="39">
        <f>if(G38=9,1,0)+VLOOKUP(B38,'080324'!B:T,19,false)</f>
        <v>2</v>
      </c>
    </row>
    <row r="39">
      <c r="A39" s="30">
        <f t="shared" si="3"/>
        <v>35</v>
      </c>
      <c r="B39" s="31" t="s">
        <v>63</v>
      </c>
      <c r="C39" s="32">
        <v>54.0</v>
      </c>
      <c r="D39" s="32">
        <v>3.0</v>
      </c>
      <c r="E39" s="37">
        <v>3.0</v>
      </c>
      <c r="F39" s="39">
        <v>0.0</v>
      </c>
      <c r="G39" s="40">
        <v>9.0</v>
      </c>
      <c r="H39" s="39">
        <v>0.0</v>
      </c>
      <c r="I39" s="39">
        <v>0.0</v>
      </c>
      <c r="J39" s="39">
        <v>0.0</v>
      </c>
      <c r="K39" s="42">
        <v>9.0</v>
      </c>
      <c r="L39" s="39">
        <v>0.0</v>
      </c>
      <c r="M39" s="32">
        <f t="shared" ref="M39:N39" si="36">C39+K39</f>
        <v>63</v>
      </c>
      <c r="N39" s="32">
        <f t="shared" si="36"/>
        <v>3</v>
      </c>
      <c r="O39" s="43" t="s">
        <v>53</v>
      </c>
      <c r="P39" s="43" t="s">
        <v>53</v>
      </c>
      <c r="Q39" s="43" t="s">
        <v>53</v>
      </c>
      <c r="R39" s="39">
        <f>if(G39=13,1,0)+VLOOKUP(B39,'080324'!B:T,17,false)</f>
        <v>0</v>
      </c>
      <c r="S39" s="39"/>
      <c r="T39" s="39">
        <f>if(G39=9,1,0)+VLOOKUP(B39,'080324'!B:T,19,false)</f>
        <v>5</v>
      </c>
    </row>
    <row r="40">
      <c r="A40" s="30">
        <f t="shared" si="3"/>
        <v>36</v>
      </c>
      <c r="B40" s="51" t="s">
        <v>111</v>
      </c>
      <c r="C40" s="32">
        <v>53.0</v>
      </c>
      <c r="D40" s="32">
        <v>3.0</v>
      </c>
      <c r="E40" s="37">
        <v>1.0</v>
      </c>
      <c r="F40" s="39"/>
      <c r="G40" s="40">
        <v>0.0</v>
      </c>
      <c r="H40" s="39">
        <v>6.0</v>
      </c>
      <c r="I40" s="39">
        <v>7.0</v>
      </c>
      <c r="J40" s="39">
        <v>3.0</v>
      </c>
      <c r="K40" s="42">
        <v>16.0</v>
      </c>
      <c r="L40" s="39">
        <v>2.0</v>
      </c>
      <c r="M40" s="32">
        <f t="shared" ref="M40:N40" si="37">C40+K40</f>
        <v>69</v>
      </c>
      <c r="N40" s="32">
        <f t="shared" si="37"/>
        <v>5</v>
      </c>
      <c r="O40" s="43" t="s">
        <v>53</v>
      </c>
      <c r="P40" s="43" t="s">
        <v>53</v>
      </c>
      <c r="Q40" s="43" t="s">
        <v>53</v>
      </c>
      <c r="R40" s="39">
        <f>if(G40=13,1,0)+VLOOKUP(B40,'080324'!B:T,17,false)</f>
        <v>0</v>
      </c>
      <c r="S40" s="39"/>
      <c r="T40" s="39">
        <f>if(G40=9,1,0)+VLOOKUP(B40,'080324'!B:T,19,false)</f>
        <v>3</v>
      </c>
    </row>
    <row r="41">
      <c r="A41" s="30">
        <f t="shared" si="3"/>
        <v>37</v>
      </c>
      <c r="B41" s="31" t="s">
        <v>97</v>
      </c>
      <c r="C41" s="32">
        <v>53.0</v>
      </c>
      <c r="D41" s="32">
        <v>2.0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8">C41+K41</f>
        <v>62</v>
      </c>
      <c r="N41" s="32">
        <f t="shared" si="38"/>
        <v>2</v>
      </c>
      <c r="O41" s="43" t="s">
        <v>53</v>
      </c>
      <c r="P41" s="43" t="s">
        <v>53</v>
      </c>
      <c r="Q41" s="43" t="s">
        <v>53</v>
      </c>
      <c r="R41" s="39">
        <f>if(G41=13,1,0)+VLOOKUP(B41,'080324'!B:T,17,false)</f>
        <v>0</v>
      </c>
      <c r="S41" s="39"/>
      <c r="T41" s="39">
        <f>if(G41=9,1,0)+VLOOKUP(B41,'080324'!B:T,19,false)</f>
        <v>5</v>
      </c>
    </row>
    <row r="42">
      <c r="A42" s="30">
        <f t="shared" si="3"/>
        <v>38</v>
      </c>
      <c r="B42" s="51" t="s">
        <v>95</v>
      </c>
      <c r="C42" s="32">
        <v>53.0</v>
      </c>
      <c r="D42" s="32">
        <v>2.0</v>
      </c>
      <c r="E42" s="37">
        <v>1.0</v>
      </c>
      <c r="F42" s="39"/>
      <c r="G42" s="40">
        <v>0.0</v>
      </c>
      <c r="H42" s="39">
        <v>6.0</v>
      </c>
      <c r="I42" s="39">
        <v>5.0</v>
      </c>
      <c r="J42" s="39">
        <v>6.0</v>
      </c>
      <c r="K42" s="42">
        <v>17.0</v>
      </c>
      <c r="L42" s="39">
        <v>2.0</v>
      </c>
      <c r="M42" s="32">
        <f t="shared" ref="M42:N42" si="39">C42+K42</f>
        <v>70</v>
      </c>
      <c r="N42" s="32">
        <f t="shared" si="39"/>
        <v>4</v>
      </c>
      <c r="O42" s="43" t="s">
        <v>53</v>
      </c>
      <c r="P42" s="43" t="s">
        <v>53</v>
      </c>
      <c r="Q42" s="43" t="s">
        <v>53</v>
      </c>
      <c r="R42" s="39">
        <f>if(G42=13,1,0)+VLOOKUP(B42,'080324'!B:T,17,false)</f>
        <v>0</v>
      </c>
      <c r="S42" s="39"/>
      <c r="T42" s="39">
        <f>if(G42=9,1,0)+VLOOKUP(B42,'080324'!B:T,19,false)</f>
        <v>3</v>
      </c>
    </row>
    <row r="43">
      <c r="A43" s="30">
        <f t="shared" si="3"/>
        <v>39</v>
      </c>
      <c r="B43" s="51" t="s">
        <v>102</v>
      </c>
      <c r="C43" s="32">
        <v>52.0</v>
      </c>
      <c r="D43" s="32">
        <v>1.0</v>
      </c>
      <c r="E43" s="37">
        <v>5.0</v>
      </c>
      <c r="F43" s="39">
        <v>0.0</v>
      </c>
      <c r="G43" s="40">
        <v>13.0</v>
      </c>
      <c r="H43" s="39">
        <v>0.0</v>
      </c>
      <c r="I43" s="39">
        <v>0.0</v>
      </c>
      <c r="J43" s="39">
        <v>0.0</v>
      </c>
      <c r="K43" s="42">
        <v>13.0</v>
      </c>
      <c r="L43" s="39">
        <v>0.0</v>
      </c>
      <c r="M43" s="32">
        <f t="shared" ref="M43:N43" si="40">C43+K43</f>
        <v>65</v>
      </c>
      <c r="N43" s="32">
        <f t="shared" si="40"/>
        <v>1</v>
      </c>
      <c r="O43" s="43" t="s">
        <v>53</v>
      </c>
      <c r="P43" s="43" t="s">
        <v>53</v>
      </c>
      <c r="Q43" s="43" t="s">
        <v>53</v>
      </c>
      <c r="R43" s="39">
        <f>if(G43=13,1,0)+VLOOKUP(B43,'080324'!B:T,17,false)</f>
        <v>2</v>
      </c>
      <c r="S43" s="39"/>
      <c r="T43" s="39">
        <f>if(G43=9,1,0)+VLOOKUP(B43,'080324'!B:T,19,false)</f>
        <v>3</v>
      </c>
    </row>
    <row r="44">
      <c r="A44" s="30">
        <f t="shared" si="3"/>
        <v>40</v>
      </c>
      <c r="B44" s="51" t="s">
        <v>121</v>
      </c>
      <c r="C44" s="32">
        <v>50.0</v>
      </c>
      <c r="D44" s="32">
        <v>4.0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1">C44+K44</f>
        <v>59</v>
      </c>
      <c r="N44" s="32">
        <f t="shared" si="41"/>
        <v>4</v>
      </c>
      <c r="O44" s="43" t="s">
        <v>53</v>
      </c>
      <c r="P44" s="43" t="s">
        <v>53</v>
      </c>
      <c r="Q44" s="43" t="s">
        <v>53</v>
      </c>
      <c r="R44" s="39">
        <f>if(G44=13,1,0)+VLOOKUP(B44,'080324'!B:T,17,false)</f>
        <v>0</v>
      </c>
      <c r="S44" s="39"/>
      <c r="T44" s="39">
        <f>if(G44=9,1,0)+VLOOKUP(B44,'080324'!B:T,19,false)</f>
        <v>3</v>
      </c>
    </row>
    <row r="45">
      <c r="A45" s="30">
        <f t="shared" si="3"/>
        <v>41</v>
      </c>
      <c r="B45" s="51" t="s">
        <v>116</v>
      </c>
      <c r="C45" s="32">
        <v>50.0</v>
      </c>
      <c r="D45" s="32">
        <v>3.0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2">C45+K45</f>
        <v>59</v>
      </c>
      <c r="N45" s="32">
        <f t="shared" si="42"/>
        <v>3</v>
      </c>
      <c r="O45" s="43" t="s">
        <v>53</v>
      </c>
      <c r="P45" s="43" t="s">
        <v>53</v>
      </c>
      <c r="Q45" s="43" t="s">
        <v>53</v>
      </c>
      <c r="R45" s="39">
        <f>if(G45=13,1,0)+VLOOKUP(B45,'080324'!B:T,17,false)</f>
        <v>0</v>
      </c>
      <c r="S45" s="39"/>
      <c r="T45" s="39">
        <f>if(G45=9,1,0)+VLOOKUP(B45,'080324'!B:T,19,false)</f>
        <v>2</v>
      </c>
    </row>
    <row r="46">
      <c r="A46" s="30">
        <f t="shared" si="3"/>
        <v>42</v>
      </c>
      <c r="B46" s="77" t="s">
        <v>101</v>
      </c>
      <c r="C46" s="32">
        <v>50.0</v>
      </c>
      <c r="D46" s="32">
        <v>1.0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3">C46+K46</f>
        <v>59</v>
      </c>
      <c r="N46" s="32">
        <f t="shared" si="43"/>
        <v>1</v>
      </c>
      <c r="O46" s="43" t="s">
        <v>53</v>
      </c>
      <c r="P46" s="43" t="s">
        <v>53</v>
      </c>
      <c r="Q46" s="43" t="s">
        <v>53</v>
      </c>
      <c r="R46" s="39">
        <f>if(G46=13,1,0)+VLOOKUP(B46,'080324'!B:T,17,false)</f>
        <v>0</v>
      </c>
      <c r="S46" s="39"/>
      <c r="T46" s="39">
        <f>if(G46=9,1,0)+VLOOKUP(B46,'080324'!B:T,19,false)</f>
        <v>4</v>
      </c>
    </row>
    <row r="47">
      <c r="A47" s="30">
        <f t="shared" si="3"/>
        <v>43</v>
      </c>
      <c r="B47" s="51" t="s">
        <v>108</v>
      </c>
      <c r="C47" s="32">
        <v>49.0</v>
      </c>
      <c r="D47" s="32">
        <v>2.0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4">C47+K47</f>
        <v>58</v>
      </c>
      <c r="N47" s="32">
        <f t="shared" si="44"/>
        <v>2</v>
      </c>
      <c r="O47" s="43" t="s">
        <v>53</v>
      </c>
      <c r="P47" s="43" t="s">
        <v>53</v>
      </c>
      <c r="Q47" s="43" t="s">
        <v>53</v>
      </c>
      <c r="R47" s="39">
        <f>if(G47=13,1,0)+VLOOKUP(B47,'080324'!B:T,17,false)</f>
        <v>0</v>
      </c>
      <c r="S47" s="39"/>
      <c r="T47" s="39">
        <f>if(G47=9,1,0)+VLOOKUP(B47,'080324'!B:T,19,false)</f>
        <v>4</v>
      </c>
    </row>
    <row r="48">
      <c r="A48" s="30">
        <f t="shared" si="3"/>
        <v>44</v>
      </c>
      <c r="B48" s="56" t="s">
        <v>51</v>
      </c>
      <c r="C48" s="32">
        <v>49.0</v>
      </c>
      <c r="D48" s="32">
        <v>2.0</v>
      </c>
      <c r="E48" s="37">
        <v>2.0</v>
      </c>
      <c r="F48" s="39"/>
      <c r="G48" s="40">
        <v>0.0</v>
      </c>
      <c r="H48" s="39">
        <v>0.0</v>
      </c>
      <c r="I48" s="39">
        <v>1.0</v>
      </c>
      <c r="J48" s="39">
        <v>6.0</v>
      </c>
      <c r="K48" s="42">
        <v>7.0</v>
      </c>
      <c r="L48" s="39">
        <v>1.0</v>
      </c>
      <c r="M48" s="32">
        <f t="shared" ref="M48:N48" si="45">C48+K48</f>
        <v>56</v>
      </c>
      <c r="N48" s="32">
        <f t="shared" si="45"/>
        <v>3</v>
      </c>
      <c r="O48" s="43" t="s">
        <v>53</v>
      </c>
      <c r="P48" s="43" t="s">
        <v>53</v>
      </c>
      <c r="Q48" s="43" t="s">
        <v>53</v>
      </c>
      <c r="R48" s="39">
        <f>if(G48=13,1,0)+VLOOKUP(B48,'080324'!B:T,17,false)</f>
        <v>1</v>
      </c>
      <c r="S48" s="39"/>
      <c r="T48" s="39">
        <f>if(G48=9,1,0)+VLOOKUP(B48,'080324'!B:T,19,false)</f>
        <v>2</v>
      </c>
    </row>
    <row r="49">
      <c r="A49" s="30">
        <f t="shared" si="3"/>
        <v>45</v>
      </c>
      <c r="B49" s="31" t="s">
        <v>72</v>
      </c>
      <c r="C49" s="32">
        <v>49.0</v>
      </c>
      <c r="D49" s="32">
        <v>0.0</v>
      </c>
      <c r="E49" s="37">
        <v>3.0</v>
      </c>
      <c r="F49" s="39">
        <v>0.0</v>
      </c>
      <c r="G49" s="40">
        <v>9.0</v>
      </c>
      <c r="H49" s="39">
        <v>0.0</v>
      </c>
      <c r="I49" s="39">
        <v>0.0</v>
      </c>
      <c r="J49" s="39">
        <v>0.0</v>
      </c>
      <c r="K49" s="42">
        <v>9.0</v>
      </c>
      <c r="L49" s="39">
        <v>0.0</v>
      </c>
      <c r="M49" s="32">
        <f t="shared" ref="M49:N49" si="46">C49+K49</f>
        <v>58</v>
      </c>
      <c r="N49" s="32">
        <f t="shared" si="46"/>
        <v>0</v>
      </c>
      <c r="O49" s="43" t="s">
        <v>53</v>
      </c>
      <c r="P49" s="43" t="s">
        <v>53</v>
      </c>
      <c r="Q49" s="43" t="s">
        <v>53</v>
      </c>
      <c r="R49" s="39">
        <f>if(G49=13,1,0)+VLOOKUP(B49,'080324'!B:T,17,false)</f>
        <v>1</v>
      </c>
      <c r="S49" s="39"/>
      <c r="T49" s="39">
        <f>if(G49=9,1,0)+VLOOKUP(B49,'080324'!B:T,19,false)</f>
        <v>5</v>
      </c>
    </row>
    <row r="50">
      <c r="A50" s="30">
        <f t="shared" si="3"/>
        <v>46</v>
      </c>
      <c r="B50" s="51" t="s">
        <v>75</v>
      </c>
      <c r="C50" s="32">
        <v>49.0</v>
      </c>
      <c r="D50" s="32">
        <v>0.0</v>
      </c>
      <c r="E50" s="37">
        <v>1.0</v>
      </c>
      <c r="F50" s="39"/>
      <c r="G50" s="40">
        <v>0.0</v>
      </c>
      <c r="H50" s="39">
        <v>6.0</v>
      </c>
      <c r="I50" s="39">
        <v>6.0</v>
      </c>
      <c r="J50" s="39">
        <v>6.0</v>
      </c>
      <c r="K50" s="42">
        <v>18.0</v>
      </c>
      <c r="L50" s="39">
        <v>3.0</v>
      </c>
      <c r="M50" s="32">
        <f t="shared" ref="M50:N50" si="47">C50+K50</f>
        <v>67</v>
      </c>
      <c r="N50" s="32">
        <f t="shared" si="47"/>
        <v>3</v>
      </c>
      <c r="O50" s="43" t="s">
        <v>53</v>
      </c>
      <c r="P50" s="43" t="s">
        <v>53</v>
      </c>
      <c r="Q50" s="43" t="s">
        <v>53</v>
      </c>
      <c r="R50" s="39">
        <f>if(G50=13,1,0)+VLOOKUP(B50,'080324'!B:T,17,false)</f>
        <v>1</v>
      </c>
      <c r="S50" s="39"/>
      <c r="T50" s="39">
        <f>if(G50=9,1,0)+VLOOKUP(B50,'080324'!B:T,19,false)</f>
        <v>4</v>
      </c>
    </row>
    <row r="51">
      <c r="A51" s="30">
        <f t="shared" si="3"/>
        <v>47</v>
      </c>
      <c r="B51" s="51" t="s">
        <v>99</v>
      </c>
      <c r="C51" s="32">
        <v>49.0</v>
      </c>
      <c r="D51" s="32">
        <v>0.0</v>
      </c>
      <c r="E51" s="37">
        <v>1.0</v>
      </c>
      <c r="F51" s="39"/>
      <c r="G51" s="40">
        <v>0.0</v>
      </c>
      <c r="H51" s="39">
        <v>0.0</v>
      </c>
      <c r="I51" s="39">
        <v>6.0</v>
      </c>
      <c r="J51" s="39">
        <v>3.0</v>
      </c>
      <c r="K51" s="42">
        <v>9.0</v>
      </c>
      <c r="L51" s="39">
        <v>1.0</v>
      </c>
      <c r="M51" s="32">
        <f t="shared" ref="M51:N51" si="48">C51+K51</f>
        <v>58</v>
      </c>
      <c r="N51" s="32">
        <f t="shared" si="48"/>
        <v>1</v>
      </c>
      <c r="O51" s="43" t="s">
        <v>53</v>
      </c>
      <c r="P51" s="43"/>
      <c r="Q51" s="43" t="s">
        <v>53</v>
      </c>
      <c r="R51" s="39">
        <f>if(G51=13,1,0)+VLOOKUP(B51,'080324'!B:T,17,false)</f>
        <v>0</v>
      </c>
      <c r="S51" s="39"/>
      <c r="T51" s="39">
        <f>if(G51=9,1,0)+VLOOKUP(B51,'080324'!B:T,19,false)</f>
        <v>0</v>
      </c>
    </row>
    <row r="52">
      <c r="A52" s="30">
        <f t="shared" si="3"/>
        <v>48</v>
      </c>
      <c r="B52" s="51" t="s">
        <v>113</v>
      </c>
      <c r="C52" s="32">
        <v>48.0</v>
      </c>
      <c r="D52" s="32">
        <v>4.0</v>
      </c>
      <c r="E52" s="37">
        <v>1.0</v>
      </c>
      <c r="F52" s="39"/>
      <c r="G52" s="40">
        <v>0.0</v>
      </c>
      <c r="H52" s="39">
        <v>6.0</v>
      </c>
      <c r="I52" s="39">
        <v>1.0</v>
      </c>
      <c r="J52" s="39">
        <v>3.0</v>
      </c>
      <c r="K52" s="42">
        <v>10.0</v>
      </c>
      <c r="L52" s="39">
        <v>1.0</v>
      </c>
      <c r="M52" s="32">
        <f t="shared" ref="M52:N52" si="49">C52+K52</f>
        <v>58</v>
      </c>
      <c r="N52" s="32">
        <f t="shared" si="49"/>
        <v>5</v>
      </c>
      <c r="O52" s="43" t="s">
        <v>53</v>
      </c>
      <c r="P52" s="43" t="s">
        <v>53</v>
      </c>
      <c r="Q52" s="43" t="s">
        <v>53</v>
      </c>
      <c r="R52" s="39">
        <f>if(G52=13,1,0)+VLOOKUP(B52,'080324'!B:T,17,false)</f>
        <v>0</v>
      </c>
      <c r="S52" s="39"/>
      <c r="T52" s="39">
        <f>if(G52=9,1,0)+VLOOKUP(B52,'080324'!B:T,19,false)</f>
        <v>1</v>
      </c>
    </row>
    <row r="53">
      <c r="A53" s="30">
        <f t="shared" si="3"/>
        <v>49</v>
      </c>
      <c r="B53" s="51" t="s">
        <v>118</v>
      </c>
      <c r="C53" s="32">
        <v>48.0</v>
      </c>
      <c r="D53" s="32">
        <v>0.0</v>
      </c>
      <c r="E53" s="37">
        <v>1.0</v>
      </c>
      <c r="F53" s="39"/>
      <c r="G53" s="40">
        <v>0.0</v>
      </c>
      <c r="H53" s="39">
        <v>1.0</v>
      </c>
      <c r="I53" s="39">
        <v>6.0</v>
      </c>
      <c r="J53" s="39">
        <v>2.0</v>
      </c>
      <c r="K53" s="42">
        <v>9.0</v>
      </c>
      <c r="L53" s="39">
        <v>1.0</v>
      </c>
      <c r="M53" s="32">
        <f t="shared" ref="M53:N53" si="50">C53+K53</f>
        <v>57</v>
      </c>
      <c r="N53" s="32">
        <f t="shared" si="50"/>
        <v>1</v>
      </c>
      <c r="O53" s="43" t="s">
        <v>53</v>
      </c>
      <c r="P53" s="43" t="s">
        <v>53</v>
      </c>
      <c r="Q53" s="43" t="s">
        <v>53</v>
      </c>
      <c r="R53" s="39">
        <f>if(G53=13,1,0)+VLOOKUP(B53,'080324'!B:T,17,false)</f>
        <v>0</v>
      </c>
      <c r="S53" s="39"/>
      <c r="T53" s="39">
        <f>if(G53=9,1,0)+VLOOKUP(B53,'080324'!B:T,19,false)</f>
        <v>4</v>
      </c>
    </row>
    <row r="54">
      <c r="A54" s="30">
        <f t="shared" si="3"/>
        <v>50</v>
      </c>
      <c r="B54" s="31" t="s">
        <v>56</v>
      </c>
      <c r="C54" s="32">
        <v>48.0</v>
      </c>
      <c r="D54" s="32">
        <v>0.0</v>
      </c>
      <c r="E54" s="37">
        <v>1.0</v>
      </c>
      <c r="F54" s="39"/>
      <c r="G54" s="40">
        <v>0.0</v>
      </c>
      <c r="H54" s="39">
        <v>6.0</v>
      </c>
      <c r="I54" s="39">
        <v>6.0</v>
      </c>
      <c r="J54" s="39">
        <v>6.0</v>
      </c>
      <c r="K54" s="42">
        <v>18.0</v>
      </c>
      <c r="L54" s="39">
        <v>3.0</v>
      </c>
      <c r="M54" s="32">
        <f t="shared" ref="M54:N54" si="51">C54+K54</f>
        <v>66</v>
      </c>
      <c r="N54" s="32">
        <f t="shared" si="51"/>
        <v>3</v>
      </c>
      <c r="O54" s="43" t="s">
        <v>53</v>
      </c>
      <c r="P54" s="43" t="s">
        <v>53</v>
      </c>
      <c r="Q54" s="43" t="s">
        <v>53</v>
      </c>
      <c r="R54" s="39">
        <f>if(G54=13,1,0)+VLOOKUP(B54,'080324'!B:T,17,false)</f>
        <v>0</v>
      </c>
      <c r="S54" s="39"/>
      <c r="T54" s="39">
        <f>if(G54=9,1,0)+VLOOKUP(B54,'080324'!B:T,19,false)</f>
        <v>4</v>
      </c>
    </row>
    <row r="55">
      <c r="A55" s="30">
        <f t="shared" si="3"/>
        <v>51</v>
      </c>
      <c r="B55" s="31" t="s">
        <v>79</v>
      </c>
      <c r="C55" s="32">
        <v>46.0</v>
      </c>
      <c r="D55" s="32">
        <v>1.0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2">C55+K55</f>
        <v>55</v>
      </c>
      <c r="N55" s="32">
        <f t="shared" si="52"/>
        <v>1</v>
      </c>
      <c r="O55" s="43" t="s">
        <v>53</v>
      </c>
      <c r="P55" s="43" t="s">
        <v>53</v>
      </c>
      <c r="Q55" s="43" t="s">
        <v>53</v>
      </c>
      <c r="R55" s="39">
        <f>if(G55=13,1,0)+VLOOKUP(B55,'080324'!B:T,17,false)</f>
        <v>0</v>
      </c>
      <c r="S55" s="39"/>
      <c r="T55" s="39">
        <f>if(G55=9,1,0)+VLOOKUP(B55,'080324'!B:T,19,false)</f>
        <v>5</v>
      </c>
    </row>
    <row r="56">
      <c r="A56" s="30">
        <f t="shared" si="3"/>
        <v>52</v>
      </c>
      <c r="B56" s="31" t="s">
        <v>124</v>
      </c>
      <c r="C56" s="32">
        <v>46.0</v>
      </c>
      <c r="D56" s="32">
        <v>1.0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3">C56+K56</f>
        <v>55</v>
      </c>
      <c r="N56" s="32">
        <f t="shared" si="53"/>
        <v>1</v>
      </c>
      <c r="O56" s="43" t="s">
        <v>53</v>
      </c>
      <c r="P56" s="43" t="s">
        <v>53</v>
      </c>
      <c r="Q56" s="43" t="s">
        <v>53</v>
      </c>
      <c r="R56" s="39">
        <f>if(G56=13,1,0)+VLOOKUP(B56,'080324'!B:T,17,false)</f>
        <v>0</v>
      </c>
      <c r="S56" s="39"/>
      <c r="T56" s="39">
        <f>if(G56=9,1,0)+VLOOKUP(B56,'080324'!B:T,19,false)</f>
        <v>5</v>
      </c>
    </row>
    <row r="57">
      <c r="A57" s="30">
        <f t="shared" si="3"/>
        <v>53</v>
      </c>
      <c r="B57" s="56" t="s">
        <v>107</v>
      </c>
      <c r="C57" s="32">
        <v>45.0</v>
      </c>
      <c r="D57" s="32">
        <v>2.0</v>
      </c>
      <c r="E57" s="37">
        <v>1.0</v>
      </c>
      <c r="F57" s="39"/>
      <c r="G57" s="40">
        <v>0.0</v>
      </c>
      <c r="H57" s="39">
        <v>1.0</v>
      </c>
      <c r="I57" s="39">
        <v>2.0</v>
      </c>
      <c r="J57" s="39">
        <v>6.0</v>
      </c>
      <c r="K57" s="42">
        <v>9.0</v>
      </c>
      <c r="L57" s="39">
        <v>1.0</v>
      </c>
      <c r="M57" s="32">
        <f t="shared" ref="M57:N57" si="54">C57+K57</f>
        <v>54</v>
      </c>
      <c r="N57" s="32">
        <f t="shared" si="54"/>
        <v>3</v>
      </c>
      <c r="O57" s="43" t="s">
        <v>53</v>
      </c>
      <c r="P57" s="43" t="s">
        <v>53</v>
      </c>
      <c r="Q57" s="43" t="s">
        <v>53</v>
      </c>
      <c r="R57" s="39">
        <f>if(G57=13,1,0)+VLOOKUP(B57,'080324'!B:T,17,false)</f>
        <v>0</v>
      </c>
      <c r="S57" s="39"/>
      <c r="T57" s="39">
        <f>if(G57=9,1,0)+VLOOKUP(B57,'080324'!B:T,19,false)</f>
        <v>3</v>
      </c>
    </row>
    <row r="58">
      <c r="A58" s="30">
        <f t="shared" si="3"/>
        <v>54</v>
      </c>
      <c r="B58" s="51" t="s">
        <v>80</v>
      </c>
      <c r="C58" s="32">
        <v>45.0</v>
      </c>
      <c r="D58" s="32">
        <v>2.0</v>
      </c>
      <c r="E58" s="37">
        <v>1.0</v>
      </c>
      <c r="F58" s="39"/>
      <c r="G58" s="40">
        <v>0.0</v>
      </c>
      <c r="H58" s="39">
        <v>6.0</v>
      </c>
      <c r="I58" s="39">
        <v>2.0</v>
      </c>
      <c r="J58" s="39">
        <v>2.0</v>
      </c>
      <c r="K58" s="42">
        <v>10.0</v>
      </c>
      <c r="L58" s="39">
        <v>1.0</v>
      </c>
      <c r="M58" s="32">
        <f t="shared" ref="M58:N58" si="55">C58+K58</f>
        <v>55</v>
      </c>
      <c r="N58" s="32">
        <f t="shared" si="55"/>
        <v>3</v>
      </c>
      <c r="O58" s="43" t="s">
        <v>53</v>
      </c>
      <c r="P58" s="43" t="s">
        <v>53</v>
      </c>
      <c r="Q58" s="43" t="s">
        <v>53</v>
      </c>
      <c r="R58" s="39">
        <f>if(G58=13,1,0)+VLOOKUP(B58,'080324'!B:T,17,false)</f>
        <v>0</v>
      </c>
      <c r="S58" s="39"/>
      <c r="T58" s="39">
        <f>if(G58=9,1,0)+VLOOKUP(B58,'080324'!B:T,19,false)</f>
        <v>3</v>
      </c>
    </row>
    <row r="59">
      <c r="A59" s="30">
        <f t="shared" si="3"/>
        <v>55</v>
      </c>
      <c r="B59" s="31" t="s">
        <v>81</v>
      </c>
      <c r="C59" s="32">
        <v>45.0</v>
      </c>
      <c r="D59" s="32">
        <v>1.0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6">C59+K59</f>
        <v>54</v>
      </c>
      <c r="N59" s="32">
        <f t="shared" si="56"/>
        <v>1</v>
      </c>
      <c r="O59" s="43" t="s">
        <v>53</v>
      </c>
      <c r="P59" s="43" t="s">
        <v>53</v>
      </c>
      <c r="Q59" s="43" t="s">
        <v>53</v>
      </c>
      <c r="R59" s="39">
        <f>if(G59=13,1,0)+VLOOKUP(B59,'080324'!B:T,17,false)</f>
        <v>0</v>
      </c>
      <c r="S59" s="39"/>
      <c r="T59" s="39">
        <f>if(G59=9,1,0)+VLOOKUP(B59,'080324'!B:T,19,false)</f>
        <v>5</v>
      </c>
    </row>
    <row r="60">
      <c r="A60" s="30">
        <f t="shared" si="3"/>
        <v>56</v>
      </c>
      <c r="B60" s="31" t="s">
        <v>126</v>
      </c>
      <c r="C60" s="32">
        <v>45.0</v>
      </c>
      <c r="D60" s="32">
        <v>0.0</v>
      </c>
      <c r="E60" s="37">
        <v>5.0</v>
      </c>
      <c r="F60" s="39">
        <v>0.0</v>
      </c>
      <c r="G60" s="40">
        <v>13.0</v>
      </c>
      <c r="H60" s="39">
        <v>0.0</v>
      </c>
      <c r="I60" s="39">
        <v>0.0</v>
      </c>
      <c r="J60" s="39">
        <v>0.0</v>
      </c>
      <c r="K60" s="42">
        <v>13.0</v>
      </c>
      <c r="L60" s="39">
        <v>0.0</v>
      </c>
      <c r="M60" s="32">
        <f t="shared" ref="M60:N60" si="57">C60+K60</f>
        <v>58</v>
      </c>
      <c r="N60" s="32">
        <f t="shared" si="57"/>
        <v>0</v>
      </c>
      <c r="O60" s="43" t="s">
        <v>53</v>
      </c>
      <c r="P60" s="43" t="s">
        <v>53</v>
      </c>
      <c r="Q60" s="43" t="s">
        <v>53</v>
      </c>
      <c r="R60" s="39">
        <f>if(G60=13,1,0)+VLOOKUP(B60,'080324'!B:T,17,false)</f>
        <v>1</v>
      </c>
      <c r="S60" s="39"/>
      <c r="T60" s="39">
        <f>if(G60=9,1,0)+VLOOKUP(B60,'080324'!B:T,19,false)</f>
        <v>4</v>
      </c>
    </row>
    <row r="61">
      <c r="A61" s="30">
        <f t="shared" si="3"/>
        <v>57</v>
      </c>
      <c r="B61" s="31" t="s">
        <v>117</v>
      </c>
      <c r="C61" s="32">
        <v>45.0</v>
      </c>
      <c r="D61" s="32">
        <v>0.0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8">C61+K61</f>
        <v>54</v>
      </c>
      <c r="N61" s="32">
        <f t="shared" si="58"/>
        <v>0</v>
      </c>
      <c r="O61" s="43" t="s">
        <v>53</v>
      </c>
      <c r="P61" s="43" t="s">
        <v>53</v>
      </c>
      <c r="Q61" s="43" t="s">
        <v>53</v>
      </c>
      <c r="R61" s="39">
        <f>if(G61=13,1,0)+VLOOKUP(B61,'080324'!B:T,17,false)</f>
        <v>0</v>
      </c>
      <c r="S61" s="39"/>
      <c r="T61" s="39">
        <f>if(G61=9,1,0)+VLOOKUP(B61,'080324'!B:T,19,false)</f>
        <v>6</v>
      </c>
    </row>
    <row r="62">
      <c r="A62" s="30">
        <f t="shared" si="3"/>
        <v>58</v>
      </c>
      <c r="B62" s="31" t="s">
        <v>109</v>
      </c>
      <c r="C62" s="32">
        <v>45.0</v>
      </c>
      <c r="D62" s="32">
        <v>0.0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59">C62+K62</f>
        <v>54</v>
      </c>
      <c r="N62" s="32">
        <f t="shared" si="59"/>
        <v>0</v>
      </c>
      <c r="O62" s="43" t="s">
        <v>53</v>
      </c>
      <c r="P62" s="43" t="s">
        <v>53</v>
      </c>
      <c r="Q62" s="43" t="s">
        <v>53</v>
      </c>
      <c r="R62" s="39">
        <f>if(G62=13,1,0)+VLOOKUP(B62,'080324'!B:T,17,false)</f>
        <v>0</v>
      </c>
      <c r="S62" s="39"/>
      <c r="T62" s="39">
        <f>if(G62=9,1,0)+VLOOKUP(B62,'080324'!B:T,19,false)</f>
        <v>6</v>
      </c>
    </row>
    <row r="63">
      <c r="A63" s="30">
        <f t="shared" si="3"/>
        <v>59</v>
      </c>
      <c r="B63" s="31" t="s">
        <v>106</v>
      </c>
      <c r="C63" s="32">
        <v>45.0</v>
      </c>
      <c r="D63" s="32">
        <v>0.0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0">C63+K63</f>
        <v>54</v>
      </c>
      <c r="N63" s="32">
        <f t="shared" si="60"/>
        <v>0</v>
      </c>
      <c r="O63" s="43" t="s">
        <v>53</v>
      </c>
      <c r="P63" s="43" t="s">
        <v>53</v>
      </c>
      <c r="Q63" s="43" t="s">
        <v>53</v>
      </c>
      <c r="R63" s="39">
        <f>if(G63=13,1,0)+VLOOKUP(B63,'080324'!B:T,17,false)</f>
        <v>0</v>
      </c>
      <c r="S63" s="39"/>
      <c r="T63" s="39">
        <f>if(G63=9,1,0)+VLOOKUP(B63,'080324'!B:T,19,false)</f>
        <v>6</v>
      </c>
    </row>
    <row r="64">
      <c r="A64" s="30">
        <f t="shared" si="3"/>
        <v>60</v>
      </c>
      <c r="B64" s="31" t="s">
        <v>123</v>
      </c>
      <c r="C64" s="32">
        <v>45.0</v>
      </c>
      <c r="D64" s="32">
        <v>0.0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1">C64+K64</f>
        <v>54</v>
      </c>
      <c r="N64" s="32">
        <f t="shared" si="61"/>
        <v>0</v>
      </c>
      <c r="O64" s="43" t="s">
        <v>53</v>
      </c>
      <c r="P64" s="43" t="s">
        <v>53</v>
      </c>
      <c r="Q64" s="43" t="s">
        <v>53</v>
      </c>
      <c r="R64" s="39">
        <f>if(G64=13,1,0)+VLOOKUP(B64,'080324'!B:T,17,false)</f>
        <v>0</v>
      </c>
      <c r="S64" s="39"/>
      <c r="T64" s="39">
        <f>if(G64=9,1,0)+VLOOKUP(B64,'080324'!B:T,19,false)</f>
        <v>6</v>
      </c>
    </row>
    <row r="65">
      <c r="A65" s="30">
        <f t="shared" si="3"/>
        <v>61</v>
      </c>
      <c r="B65" s="51" t="s">
        <v>85</v>
      </c>
      <c r="C65" s="32">
        <v>45.0</v>
      </c>
      <c r="D65" s="32">
        <v>0.0</v>
      </c>
      <c r="E65" s="37">
        <v>1.0</v>
      </c>
      <c r="F65" s="39"/>
      <c r="G65" s="40">
        <v>0.0</v>
      </c>
      <c r="H65" s="39">
        <v>5.0</v>
      </c>
      <c r="I65" s="39">
        <v>6.0</v>
      </c>
      <c r="J65" s="39">
        <v>7.0</v>
      </c>
      <c r="K65" s="42">
        <v>18.0</v>
      </c>
      <c r="L65" s="39">
        <v>2.0</v>
      </c>
      <c r="M65" s="32">
        <f t="shared" ref="M65:N65" si="62">C65+K65</f>
        <v>63</v>
      </c>
      <c r="N65" s="32">
        <f t="shared" si="62"/>
        <v>2</v>
      </c>
      <c r="O65" s="43" t="s">
        <v>53</v>
      </c>
      <c r="P65" s="43" t="s">
        <v>53</v>
      </c>
      <c r="Q65" s="43" t="s">
        <v>53</v>
      </c>
      <c r="R65" s="39">
        <f>if(G65=13,1,0)+VLOOKUP(B65,'080324'!B:T,17,false)</f>
        <v>0</v>
      </c>
      <c r="S65" s="39"/>
      <c r="T65" s="39">
        <f>if(G65=9,1,0)+VLOOKUP(B65,'080324'!B:T,19,false)</f>
        <v>5</v>
      </c>
    </row>
    <row r="66">
      <c r="A66" s="30">
        <f t="shared" si="3"/>
        <v>62</v>
      </c>
      <c r="B66" s="51" t="s">
        <v>74</v>
      </c>
      <c r="C66" s="32">
        <v>45.0</v>
      </c>
      <c r="D66" s="32">
        <v>0.0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3">C66+K66</f>
        <v>54</v>
      </c>
      <c r="N66" s="32">
        <f t="shared" si="63"/>
        <v>0</v>
      </c>
      <c r="O66" s="43" t="s">
        <v>53</v>
      </c>
      <c r="P66" s="43" t="s">
        <v>53</v>
      </c>
      <c r="Q66" s="43" t="s">
        <v>53</v>
      </c>
      <c r="R66" s="39">
        <f>if(G66=13,1,0)+VLOOKUP(B66,'080324'!B:T,17,false)</f>
        <v>0</v>
      </c>
      <c r="S66" s="39"/>
      <c r="T66" s="39">
        <f>if(G66=9,1,0)+VLOOKUP(B66,'080324'!B:T,19,false)</f>
        <v>6</v>
      </c>
    </row>
    <row r="67">
      <c r="A67" s="30">
        <f t="shared" si="3"/>
        <v>63</v>
      </c>
      <c r="B67" s="31" t="s">
        <v>120</v>
      </c>
      <c r="C67" s="32">
        <v>45.0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4">C67+K67</f>
        <v>54</v>
      </c>
      <c r="N67" s="32">
        <f t="shared" si="64"/>
        <v>0</v>
      </c>
      <c r="O67" s="43" t="s">
        <v>53</v>
      </c>
      <c r="P67" s="43" t="s">
        <v>53</v>
      </c>
      <c r="Q67" s="43" t="s">
        <v>53</v>
      </c>
      <c r="R67" s="39">
        <f>if(G67=13,1,0)+VLOOKUP(B67,'080324'!B:T,17,false)</f>
        <v>0</v>
      </c>
      <c r="S67" s="39"/>
      <c r="T67" s="39">
        <f>if(G67=9,1,0)+VLOOKUP(B67,'080324'!B:T,19,false)</f>
        <v>6</v>
      </c>
    </row>
    <row r="68">
      <c r="A68" s="30">
        <f t="shared" si="3"/>
        <v>64</v>
      </c>
      <c r="B68" s="31" t="s">
        <v>46</v>
      </c>
      <c r="C68" s="32">
        <v>44.0</v>
      </c>
      <c r="D68" s="32">
        <v>1.0</v>
      </c>
      <c r="E68" s="37">
        <v>1.0</v>
      </c>
      <c r="F68" s="39"/>
      <c r="G68" s="40">
        <v>0.0</v>
      </c>
      <c r="H68" s="39">
        <v>5.0</v>
      </c>
      <c r="I68" s="39">
        <v>2.0</v>
      </c>
      <c r="J68" s="39">
        <v>6.0</v>
      </c>
      <c r="K68" s="42">
        <v>13.0</v>
      </c>
      <c r="L68" s="39">
        <v>0.0</v>
      </c>
      <c r="M68" s="32">
        <f t="shared" ref="M68:N68" si="65">C68+K68</f>
        <v>57</v>
      </c>
      <c r="N68" s="32">
        <f t="shared" si="65"/>
        <v>1</v>
      </c>
      <c r="O68" s="43" t="s">
        <v>53</v>
      </c>
      <c r="P68" s="43" t="s">
        <v>53</v>
      </c>
      <c r="Q68" s="43" t="s">
        <v>53</v>
      </c>
      <c r="R68" s="39">
        <f>if(G68=13,1,0)+VLOOKUP(B68,'080324'!B:T,17,false)</f>
        <v>0</v>
      </c>
      <c r="S68" s="39"/>
      <c r="T68" s="39">
        <f>if(G68=9,1,0)+VLOOKUP(B68,'080324'!B:T,19,false)</f>
        <v>4</v>
      </c>
    </row>
    <row r="69">
      <c r="A69" s="30">
        <f t="shared" si="3"/>
        <v>65</v>
      </c>
      <c r="B69" s="51" t="s">
        <v>112</v>
      </c>
      <c r="C69" s="32">
        <v>39.0</v>
      </c>
      <c r="D69" s="32">
        <v>0.0</v>
      </c>
      <c r="E69" s="37">
        <v>1.0</v>
      </c>
      <c r="F69" s="39"/>
      <c r="G69" s="40">
        <v>0.0</v>
      </c>
      <c r="H69" s="39">
        <v>7.0</v>
      </c>
      <c r="I69" s="39">
        <v>2.0</v>
      </c>
      <c r="J69" s="39">
        <v>7.0</v>
      </c>
      <c r="K69" s="42">
        <v>16.0</v>
      </c>
      <c r="L69" s="39">
        <v>2.0</v>
      </c>
      <c r="M69" s="32">
        <f t="shared" ref="M69:N69" si="66">C69+K69</f>
        <v>55</v>
      </c>
      <c r="N69" s="32">
        <f t="shared" si="66"/>
        <v>2</v>
      </c>
      <c r="O69" s="43" t="s">
        <v>53</v>
      </c>
      <c r="P69" s="43" t="s">
        <v>53</v>
      </c>
      <c r="Q69" s="43" t="s">
        <v>53</v>
      </c>
      <c r="R69" s="39">
        <f>if(G69=13,1,0)+VLOOKUP(B69,'080324'!B:T,17,false)</f>
        <v>0</v>
      </c>
      <c r="S69" s="39"/>
      <c r="T69" s="39">
        <f>if(G69=9,1,0)+VLOOKUP(B69,'080324'!B:T,19,false)</f>
        <v>1</v>
      </c>
    </row>
    <row r="70">
      <c r="A70" s="30">
        <f t="shared" si="3"/>
        <v>66</v>
      </c>
      <c r="B70" s="51" t="s">
        <v>76</v>
      </c>
      <c r="C70" s="32">
        <v>37.0</v>
      </c>
      <c r="D70" s="32">
        <v>0.0</v>
      </c>
      <c r="E70" s="37">
        <v>2.0</v>
      </c>
      <c r="F70" s="39"/>
      <c r="G70" s="40">
        <v>0.0</v>
      </c>
      <c r="H70" s="39">
        <v>7.0</v>
      </c>
      <c r="I70" s="39">
        <v>6.0</v>
      </c>
      <c r="J70" s="39">
        <v>6.0</v>
      </c>
      <c r="K70" s="42">
        <v>19.0</v>
      </c>
      <c r="L70" s="39">
        <v>2.0</v>
      </c>
      <c r="M70" s="32">
        <f t="shared" ref="M70:N70" si="67">C70+K70</f>
        <v>56</v>
      </c>
      <c r="N70" s="32">
        <f t="shared" si="67"/>
        <v>2</v>
      </c>
      <c r="O70" s="43" t="s">
        <v>53</v>
      </c>
      <c r="P70" s="43" t="s">
        <v>53</v>
      </c>
      <c r="Q70" s="43" t="s">
        <v>53</v>
      </c>
      <c r="R70" s="39">
        <f>if(G70=13,1,0)+VLOOKUP(B70,'080324'!B:T,17,false)</f>
        <v>0</v>
      </c>
      <c r="S70" s="39"/>
      <c r="T70" s="39">
        <f>if(G70=9,1,0)+VLOOKUP(B70,'080324'!B:T,19,false)</f>
        <v>4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8">COUNTA(P5:P70)</f>
        <v>65</v>
      </c>
      <c r="Q73" s="8">
        <f t="shared" si="68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69">P75-P73</f>
        <v>1</v>
      </c>
      <c r="Q74" s="8">
        <f t="shared" si="69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desc"",0)"),"Rajasekar Ramasamy")</f>
        <v>Rajasekar Ramasamy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IFERROR(__xludf.DUMMYFUNCTION("""COMPUTED_VALUE"""),"Scott Li")</f>
        <v>Scott Li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IFERROR(__xludf.DUMMYFUNCTION("""COMPUTED_VALUE"""),"Chinna Ponnaganti")</f>
        <v>Chinna Ponnaganti</v>
      </c>
      <c r="C82" s="71">
        <f>IFERROR(__xludf.DUMMYFUNCTION("""COMPUTED_VALUE"""),19.0)</f>
        <v>19</v>
      </c>
      <c r="D82" s="71">
        <f>IFERROR(__xludf.DUMMYFUNCTION("""COMPUTED_VALUE"""),2.0)</f>
        <v>2</v>
      </c>
      <c r="E82" s="11"/>
    </row>
    <row r="83">
      <c r="A83" s="11"/>
      <c r="B83" s="51" t="str">
        <f>IFERROR(__xludf.DUMMYFUNCTION("""COMPUTED_VALUE"""),"Tony Lin")</f>
        <v>Tony Lin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</row>
    <row r="84">
      <c r="A84" s="11"/>
      <c r="B84" s="51" t="str">
        <f>IFERROR(__xludf.DUMMYFUNCTION("""COMPUTED_VALUE"""),"Susanta Mishra")</f>
        <v>Susanta Mishra</v>
      </c>
      <c r="C84" s="71">
        <f>IFERROR(__xludf.DUMMYFUNCTION("""COMPUTED_VALUE"""),18.0)</f>
        <v>18</v>
      </c>
      <c r="D84" s="71">
        <f>IFERROR(__xludf.DUMMYFUNCTION("""COMPUTED_VALUE"""),3.0)</f>
        <v>3</v>
      </c>
      <c r="E84" s="11"/>
      <c r="K84" s="10"/>
    </row>
    <row r="85">
      <c r="A85" s="11"/>
      <c r="B85" s="51" t="str">
        <f>IFERROR(__xludf.DUMMYFUNCTION("""COMPUTED_VALUE"""),"James Phan")</f>
        <v>James Phan</v>
      </c>
      <c r="C85" s="71">
        <f>IFERROR(__xludf.DUMMYFUNCTION("""COMPUTED_VALUE"""),18.0)</f>
        <v>18</v>
      </c>
      <c r="D85" s="71">
        <f>IFERROR(__xludf.DUMMYFUNCTION("""COMPUTED_VALUE"""),2.0)</f>
        <v>2</v>
      </c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 t="s">
        <v>165</v>
      </c>
      <c r="C91" s="11"/>
      <c r="D91" s="11"/>
      <c r="E91" s="11"/>
    </row>
    <row r="92">
      <c r="A92" s="11"/>
      <c r="B92" s="27" t="s">
        <v>31</v>
      </c>
      <c r="C92" s="29" t="s">
        <v>2</v>
      </c>
      <c r="D92" s="29" t="s">
        <v>4</v>
      </c>
      <c r="E92" s="29" t="s">
        <v>33</v>
      </c>
      <c r="F92" s="29" t="s">
        <v>35</v>
      </c>
      <c r="G92" s="29" t="s">
        <v>36</v>
      </c>
      <c r="H92" s="29" t="s">
        <v>6</v>
      </c>
      <c r="I92" s="29" t="s">
        <v>7</v>
      </c>
      <c r="J92" s="29" t="s">
        <v>8</v>
      </c>
      <c r="K92" s="29" t="s">
        <v>2</v>
      </c>
      <c r="L92" s="29" t="s">
        <v>4</v>
      </c>
      <c r="M92" s="28" t="s">
        <v>2</v>
      </c>
      <c r="N92" s="28" t="s">
        <v>4</v>
      </c>
    </row>
    <row r="93">
      <c r="A93" s="11"/>
      <c r="B93" s="82" t="str">
        <f>IFERROR(__xludf.DUMMYFUNCTION("QUERY(B5:N70, ""Select B, C, D, E, F, G, H, I, J, K, L, M, N   where F &gt;= 1"")"),"#N/A")</f>
        <v>#N/A</v>
      </c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</row>
    <row r="94">
      <c r="A94" s="11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</row>
    <row r="95">
      <c r="A95" s="11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</row>
    <row r="96">
      <c r="A96" s="11"/>
      <c r="B96" s="82"/>
      <c r="C96" s="83"/>
      <c r="D96" s="83"/>
      <c r="E96" s="83"/>
      <c r="F96" s="82"/>
      <c r="G96" s="82"/>
      <c r="H96" s="82"/>
      <c r="I96" s="82"/>
      <c r="J96" s="82"/>
      <c r="K96" s="82"/>
      <c r="L96" s="82"/>
      <c r="M96" s="82"/>
      <c r="N96" s="82"/>
    </row>
    <row r="97">
      <c r="A97" s="11"/>
      <c r="B97" s="84"/>
      <c r="C97" s="85"/>
      <c r="D97" s="85"/>
      <c r="E97" s="85"/>
      <c r="F97" s="84"/>
      <c r="G97" s="84"/>
      <c r="H97" s="84"/>
      <c r="I97" s="84"/>
      <c r="J97" s="84"/>
      <c r="K97" s="84"/>
      <c r="L97" s="84"/>
      <c r="M97" s="84"/>
      <c r="N97" s="84"/>
    </row>
    <row r="98">
      <c r="A98" s="11"/>
      <c r="B98" s="84"/>
      <c r="C98" s="85"/>
      <c r="D98" s="85"/>
      <c r="E98" s="85"/>
      <c r="F98" s="84"/>
      <c r="G98" s="84"/>
      <c r="H98" s="84"/>
      <c r="I98" s="84"/>
      <c r="J98" s="84"/>
      <c r="K98" s="84"/>
      <c r="L98" s="84"/>
      <c r="M98" s="84"/>
      <c r="N98" s="84"/>
    </row>
    <row r="99">
      <c r="A99" s="11"/>
      <c r="B99" s="84"/>
      <c r="C99" s="85"/>
      <c r="D99" s="85"/>
      <c r="E99" s="85"/>
      <c r="F99" s="84"/>
      <c r="G99" s="84"/>
      <c r="H99" s="84"/>
      <c r="I99" s="84"/>
      <c r="J99" s="84"/>
      <c r="K99" s="84"/>
      <c r="L99" s="84"/>
      <c r="M99" s="84"/>
      <c r="N99" s="84"/>
    </row>
    <row r="100">
      <c r="A100" s="11"/>
      <c r="B100" s="84"/>
      <c r="C100" s="85"/>
      <c r="D100" s="85"/>
      <c r="E100" s="85"/>
      <c r="F100" s="84"/>
      <c r="G100" s="84"/>
      <c r="H100" s="84"/>
      <c r="I100" s="84"/>
      <c r="J100" s="84"/>
      <c r="K100" s="84"/>
      <c r="L100" s="84"/>
      <c r="M100" s="84"/>
      <c r="N100" s="84"/>
    </row>
    <row r="101">
      <c r="A101" s="11"/>
      <c r="B101" s="84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</row>
    <row r="102">
      <c r="A102" s="11"/>
      <c r="B102" s="84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</row>
    <row r="103">
      <c r="A103" s="11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</row>
    <row r="104">
      <c r="A104" s="11"/>
      <c r="B104" s="82"/>
      <c r="C104" s="83"/>
      <c r="D104" s="83"/>
      <c r="E104" s="83"/>
      <c r="F104" s="82"/>
      <c r="G104" s="82"/>
      <c r="H104" s="82"/>
      <c r="I104" s="82"/>
      <c r="J104" s="82"/>
      <c r="K104" s="82"/>
      <c r="L104" s="82"/>
      <c r="M104" s="82"/>
      <c r="N104" s="82"/>
    </row>
    <row r="105">
      <c r="A105" s="11"/>
      <c r="B105" s="84"/>
      <c r="C105" s="85"/>
      <c r="D105" s="85"/>
      <c r="E105" s="85"/>
      <c r="F105" s="84"/>
      <c r="G105" s="84"/>
      <c r="H105" s="84"/>
      <c r="I105" s="84"/>
      <c r="J105" s="84"/>
      <c r="K105" s="84"/>
      <c r="L105" s="84"/>
      <c r="M105" s="84"/>
      <c r="N105" s="84"/>
    </row>
    <row r="106">
      <c r="A106" s="11"/>
      <c r="B106" s="84"/>
      <c r="C106" s="85"/>
      <c r="D106" s="85"/>
      <c r="E106" s="85"/>
      <c r="F106" s="84"/>
      <c r="G106" s="84"/>
      <c r="H106" s="84"/>
      <c r="I106" s="84"/>
      <c r="J106" s="84"/>
      <c r="K106" s="84"/>
      <c r="L106" s="84"/>
      <c r="M106" s="84"/>
      <c r="N106" s="84"/>
    </row>
    <row r="107">
      <c r="A107" s="11"/>
      <c r="B107" s="84"/>
      <c r="C107" s="85"/>
      <c r="D107" s="85"/>
      <c r="E107" s="85"/>
      <c r="F107" s="84"/>
      <c r="G107" s="84"/>
      <c r="H107" s="84"/>
      <c r="I107" s="84"/>
      <c r="J107" s="84"/>
      <c r="K107" s="84"/>
      <c r="L107" s="84"/>
      <c r="M107" s="84"/>
      <c r="N107" s="84"/>
    </row>
    <row r="108">
      <c r="A108" s="11"/>
      <c r="B108" s="84"/>
      <c r="C108" s="85"/>
      <c r="D108" s="85"/>
      <c r="E108" s="85"/>
      <c r="F108" s="84"/>
      <c r="G108" s="84"/>
      <c r="H108" s="84"/>
      <c r="I108" s="84"/>
      <c r="J108" s="84"/>
      <c r="K108" s="84"/>
      <c r="L108" s="84"/>
      <c r="M108" s="84"/>
      <c r="N108" s="84"/>
    </row>
    <row r="109">
      <c r="A109" s="11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</row>
    <row r="110">
      <c r="A110" s="11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</row>
    <row r="111">
      <c r="A111" s="11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</row>
    <row r="112">
      <c r="A112" s="11"/>
      <c r="B112" s="82"/>
      <c r="C112" s="83"/>
      <c r="D112" s="83"/>
      <c r="E112" s="83"/>
      <c r="F112" s="82"/>
      <c r="G112" s="82"/>
      <c r="H112" s="82"/>
      <c r="I112" s="82"/>
      <c r="J112" s="82"/>
      <c r="K112" s="82"/>
      <c r="L112" s="82"/>
      <c r="M112" s="82"/>
      <c r="N112" s="82"/>
    </row>
    <row r="113">
      <c r="A113" s="11"/>
      <c r="B113" s="84"/>
      <c r="C113" s="85"/>
      <c r="D113" s="85"/>
      <c r="E113" s="85"/>
      <c r="F113" s="84"/>
      <c r="G113" s="84"/>
      <c r="H113" s="84"/>
      <c r="I113" s="84"/>
      <c r="J113" s="84"/>
      <c r="K113" s="84"/>
      <c r="L113" s="84"/>
      <c r="M113" s="84"/>
      <c r="N113" s="84"/>
    </row>
    <row r="114">
      <c r="A114" s="11"/>
      <c r="B114" s="84"/>
      <c r="C114" s="85"/>
      <c r="D114" s="85"/>
      <c r="E114" s="85"/>
      <c r="F114" s="84"/>
      <c r="G114" s="84"/>
      <c r="H114" s="84"/>
      <c r="I114" s="84"/>
      <c r="J114" s="84"/>
      <c r="K114" s="84"/>
      <c r="L114" s="84"/>
      <c r="M114" s="84"/>
      <c r="N114" s="84"/>
    </row>
    <row r="115">
      <c r="A115" s="11"/>
      <c r="B115" s="84"/>
      <c r="C115" s="85"/>
      <c r="D115" s="85"/>
      <c r="E115" s="85"/>
      <c r="F115" s="84"/>
      <c r="G115" s="84"/>
      <c r="H115" s="84"/>
      <c r="I115" s="84"/>
      <c r="J115" s="84"/>
      <c r="K115" s="84"/>
      <c r="L115" s="84"/>
      <c r="M115" s="84"/>
      <c r="N115" s="84"/>
    </row>
    <row r="116">
      <c r="A116" s="11"/>
      <c r="B116" s="84"/>
      <c r="C116" s="85"/>
      <c r="D116" s="85"/>
      <c r="E116" s="85"/>
      <c r="F116" s="84"/>
      <c r="G116" s="84"/>
      <c r="H116" s="84"/>
      <c r="I116" s="84"/>
      <c r="J116" s="84"/>
      <c r="K116" s="84"/>
      <c r="L116" s="84"/>
      <c r="M116" s="84"/>
      <c r="N116" s="84"/>
    </row>
    <row r="117">
      <c r="A117" s="11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</row>
    <row r="118">
      <c r="A118" s="11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</row>
    <row r="119">
      <c r="A119" s="11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</row>
    <row r="120">
      <c r="A120" s="11"/>
      <c r="B120" s="82"/>
      <c r="C120" s="83"/>
      <c r="D120" s="83"/>
      <c r="E120" s="83"/>
      <c r="F120" s="82"/>
      <c r="G120" s="82"/>
      <c r="H120" s="82"/>
      <c r="I120" s="82"/>
      <c r="J120" s="82"/>
      <c r="K120" s="82"/>
      <c r="L120" s="82"/>
      <c r="M120" s="82"/>
      <c r="N120" s="82"/>
    </row>
    <row r="121">
      <c r="A121" s="11"/>
      <c r="B121" s="84"/>
      <c r="C121" s="85"/>
      <c r="D121" s="85"/>
      <c r="E121" s="85"/>
      <c r="F121" s="84"/>
      <c r="G121" s="84"/>
      <c r="H121" s="84"/>
      <c r="I121" s="84"/>
      <c r="J121" s="84"/>
      <c r="K121" s="84"/>
      <c r="L121" s="84"/>
      <c r="M121" s="84"/>
      <c r="N121" s="84"/>
    </row>
    <row r="122">
      <c r="A122" s="11"/>
      <c r="B122" s="84"/>
      <c r="C122" s="85"/>
      <c r="D122" s="85"/>
      <c r="E122" s="85"/>
      <c r="F122" s="84"/>
      <c r="G122" s="84"/>
      <c r="H122" s="84"/>
      <c r="I122" s="84"/>
      <c r="J122" s="84"/>
      <c r="K122" s="84"/>
      <c r="L122" s="84"/>
      <c r="M122" s="84"/>
      <c r="N122" s="84"/>
    </row>
    <row r="123">
      <c r="A123" s="11"/>
      <c r="B123" s="84"/>
      <c r="C123" s="85"/>
      <c r="D123" s="85"/>
      <c r="E123" s="85"/>
      <c r="F123" s="84"/>
      <c r="G123" s="84"/>
      <c r="H123" s="84"/>
      <c r="I123" s="84"/>
      <c r="J123" s="84"/>
      <c r="K123" s="84"/>
      <c r="L123" s="84"/>
      <c r="M123" s="84"/>
      <c r="N123" s="84"/>
    </row>
    <row r="124">
      <c r="A124" s="11"/>
      <c r="B124" s="84"/>
      <c r="C124" s="85"/>
      <c r="D124" s="85"/>
      <c r="E124" s="85"/>
      <c r="F124" s="84"/>
      <c r="G124" s="84"/>
      <c r="H124" s="84"/>
      <c r="I124" s="84"/>
      <c r="J124" s="84"/>
      <c r="K124" s="84"/>
      <c r="L124" s="84"/>
      <c r="M124" s="84"/>
      <c r="N124" s="84"/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C134" s="11"/>
      <c r="D134" s="11"/>
      <c r="E134" s="11"/>
    </row>
    <row r="135">
      <c r="A135" s="11"/>
      <c r="B135" s="10" t="s">
        <v>166</v>
      </c>
      <c r="C135" s="11"/>
      <c r="D135" s="11"/>
      <c r="E135" s="11"/>
    </row>
    <row r="136">
      <c r="A136" s="11"/>
      <c r="B136" s="27" t="s">
        <v>31</v>
      </c>
      <c r="C136" s="29" t="s">
        <v>2</v>
      </c>
      <c r="D136" s="29" t="s">
        <v>4</v>
      </c>
      <c r="E136" s="29" t="s">
        <v>33</v>
      </c>
      <c r="F136" s="29" t="s">
        <v>35</v>
      </c>
      <c r="G136" s="29" t="s">
        <v>36</v>
      </c>
      <c r="H136" s="29" t="s">
        <v>6</v>
      </c>
      <c r="I136" s="29" t="s">
        <v>7</v>
      </c>
      <c r="J136" s="29" t="s">
        <v>8</v>
      </c>
      <c r="K136" s="29" t="s">
        <v>2</v>
      </c>
      <c r="L136" s="29" t="s">
        <v>4</v>
      </c>
      <c r="M136" s="28" t="s">
        <v>2</v>
      </c>
      <c r="N136" s="28" t="s">
        <v>4</v>
      </c>
    </row>
    <row r="137">
      <c r="A137" s="11"/>
      <c r="B137" s="82" t="str">
        <f>IFERROR(__xludf.DUMMYFUNCTION("QUERY(B5:N70, ""Select B, C, D, E, F, G, H, I, J, K, L, M, N   where F = 0"")"),"Ted Shen")</f>
        <v>Ted Shen</v>
      </c>
      <c r="C137" s="87">
        <f>IFERROR(__xludf.DUMMYFUNCTION("""COMPUTED_VALUE"""),72.0)</f>
        <v>72</v>
      </c>
      <c r="D137" s="87">
        <f>IFERROR(__xludf.DUMMYFUNCTION("""COMPUTED_VALUE"""),9.0)</f>
        <v>9</v>
      </c>
      <c r="E137" s="86">
        <f>IFERROR(__xludf.DUMMYFUNCTION("""COMPUTED_VALUE"""),5.0)</f>
        <v>5</v>
      </c>
      <c r="F137" s="88">
        <f>IFERROR(__xludf.DUMMYFUNCTION("""COMPUTED_VALUE"""),0.0)</f>
        <v>0</v>
      </c>
      <c r="G137" s="88">
        <f>IFERROR(__xludf.DUMMYFUNCTION("""COMPUTED_VALUE"""),13.0)</f>
        <v>13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IFERROR(__xludf.DUMMYFUNCTION("""COMPUTED_VALUE"""),13.0)</f>
        <v>13</v>
      </c>
      <c r="L137" s="88">
        <f>IFERROR(__xludf.DUMMYFUNCTION("""COMPUTED_VALUE"""),0.0)</f>
        <v>0</v>
      </c>
      <c r="M137" s="89">
        <f>IFERROR(__xludf.DUMMYFUNCTION("""COMPUTED_VALUE"""),85.0)</f>
        <v>85</v>
      </c>
      <c r="N137" s="89">
        <f>IFERROR(__xludf.DUMMYFUNCTION("""COMPUTED_VALUE"""),9.0)</f>
        <v>9</v>
      </c>
    </row>
    <row r="138">
      <c r="A138" s="11"/>
      <c r="B138" s="82" t="str">
        <f>IFERROR(__xludf.DUMMYFUNCTION("""COMPUTED_VALUE"""),"Arun Mallikarjuna")</f>
        <v>Arun Mallikarjuna</v>
      </c>
      <c r="C138" s="87">
        <f>IFERROR(__xludf.DUMMYFUNCTION("""COMPUTED_VALUE"""),72.0)</f>
        <v>72</v>
      </c>
      <c r="D138" s="87">
        <f>IFERROR(__xludf.DUMMYFUNCTION("""COMPUTED_VALUE"""),9.0)</f>
        <v>9</v>
      </c>
      <c r="E138" s="86">
        <f>IFERROR(__xludf.DUMMYFUNCTION("""COMPUTED_VALUE"""),5.0)</f>
        <v>5</v>
      </c>
      <c r="F138" s="88">
        <f>IFERROR(__xludf.DUMMYFUNCTION("""COMPUTED_VALUE"""),0.0)</f>
        <v>0</v>
      </c>
      <c r="G138" s="88">
        <f>IFERROR(__xludf.DUMMYFUNCTION("""COMPUTED_VALUE"""),13.0)</f>
        <v>13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IFERROR(__xludf.DUMMYFUNCTION("""COMPUTED_VALUE"""),13.0)</f>
        <v>13</v>
      </c>
      <c r="L138" s="88">
        <f>IFERROR(__xludf.DUMMYFUNCTION("""COMPUTED_VALUE"""),0.0)</f>
        <v>0</v>
      </c>
      <c r="M138" s="89">
        <f>IFERROR(__xludf.DUMMYFUNCTION("""COMPUTED_VALUE"""),85.0)</f>
        <v>85</v>
      </c>
      <c r="N138" s="89">
        <f>IFERROR(__xludf.DUMMYFUNCTION("""COMPUTED_VALUE"""),9.0)</f>
        <v>9</v>
      </c>
    </row>
    <row r="139">
      <c r="A139" s="11"/>
      <c r="B139" s="82" t="str">
        <f>IFERROR(__xludf.DUMMYFUNCTION("""COMPUTED_VALUE"""),"Herman Au")</f>
        <v>Herman Au</v>
      </c>
      <c r="C139" s="87">
        <f>IFERROR(__xludf.DUMMYFUNCTION("""COMPUTED_VALUE"""),69.0)</f>
        <v>69</v>
      </c>
      <c r="D139" s="87">
        <f>IFERROR(__xludf.DUMMYFUNCTION("""COMPUTED_VALUE"""),7.0)</f>
        <v>7</v>
      </c>
      <c r="E139" s="86">
        <f>IFERROR(__xludf.DUMMYFUNCTION("""COMPUTED_VALUE"""),3.0)</f>
        <v>3</v>
      </c>
      <c r="F139" s="88">
        <f>IFERROR(__xludf.DUMMYFUNCTION("""COMPUTED_VALUE"""),0.0)</f>
        <v>0</v>
      </c>
      <c r="G139" s="88">
        <f>IFERROR(__xludf.DUMMYFUNCTION("""COMPUTED_VALUE"""),9.0)</f>
        <v>9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IFERROR(__xludf.DUMMYFUNCTION("""COMPUTED_VALUE"""),9.0)</f>
        <v>9</v>
      </c>
      <c r="L139" s="88">
        <f>IFERROR(__xludf.DUMMYFUNCTION("""COMPUTED_VALUE"""),0.0)</f>
        <v>0</v>
      </c>
      <c r="M139" s="89">
        <f>IFERROR(__xludf.DUMMYFUNCTION("""COMPUTED_VALUE"""),78.0)</f>
        <v>78</v>
      </c>
      <c r="N139" s="89">
        <f>IFERROR(__xludf.DUMMYFUNCTION("""COMPUTED_VALUE"""),7.0)</f>
        <v>7</v>
      </c>
    </row>
    <row r="140">
      <c r="A140" s="11"/>
      <c r="B140" s="82" t="str">
        <f>IFERROR(__xludf.DUMMYFUNCTION("""COMPUTED_VALUE"""),"Lam Bui")</f>
        <v>Lam Bui</v>
      </c>
      <c r="C140" s="87">
        <f>IFERROR(__xludf.DUMMYFUNCTION("""COMPUTED_VALUE"""),67.0)</f>
        <v>67</v>
      </c>
      <c r="D140" s="87">
        <f>IFERROR(__xludf.DUMMYFUNCTION("""COMPUTED_VALUE"""),7.0)</f>
        <v>7</v>
      </c>
      <c r="E140" s="86">
        <f>IFERROR(__xludf.DUMMYFUNCTION("""COMPUTED_VALUE"""),5.0)</f>
        <v>5</v>
      </c>
      <c r="F140" s="88">
        <f>IFERROR(__xludf.DUMMYFUNCTION("""COMPUTED_VALUE"""),0.0)</f>
        <v>0</v>
      </c>
      <c r="G140" s="88">
        <f>IFERROR(__xludf.DUMMYFUNCTION("""COMPUTED_VALUE"""),13.0)</f>
        <v>13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IFERROR(__xludf.DUMMYFUNCTION("""COMPUTED_VALUE"""),13.0)</f>
        <v>13</v>
      </c>
      <c r="L140" s="88">
        <f>IFERROR(__xludf.DUMMYFUNCTION("""COMPUTED_VALUE"""),0.0)</f>
        <v>0</v>
      </c>
      <c r="M140" s="89">
        <f>IFERROR(__xludf.DUMMYFUNCTION("""COMPUTED_VALUE"""),80.0)</f>
        <v>80</v>
      </c>
      <c r="N140" s="89">
        <f>IFERROR(__xludf.DUMMYFUNCTION("""COMPUTED_VALUE"""),7.0)</f>
        <v>7</v>
      </c>
    </row>
    <row r="141">
      <c r="A141" s="11"/>
      <c r="B141" s="82" t="str">
        <f>IFERROR(__xludf.DUMMYFUNCTION("""COMPUTED_VALUE"""),"Matthew Huang")</f>
        <v>Matthew Huang</v>
      </c>
      <c r="C141" s="87">
        <f>IFERROR(__xludf.DUMMYFUNCTION("""COMPUTED_VALUE"""),66.0)</f>
        <v>66</v>
      </c>
      <c r="D141" s="87">
        <f>IFERROR(__xludf.DUMMYFUNCTION("""COMPUTED_VALUE"""),8.0)</f>
        <v>8</v>
      </c>
      <c r="E141" s="86">
        <f>IFERROR(__xludf.DUMMYFUNCTION("""COMPUTED_VALUE"""),3.0)</f>
        <v>3</v>
      </c>
      <c r="F141" s="88">
        <f>IFERROR(__xludf.DUMMYFUNCTION("""COMPUTED_VALUE"""),0.0)</f>
        <v>0</v>
      </c>
      <c r="G141" s="88">
        <f>IFERROR(__xludf.DUMMYFUNCTION("""COMPUTED_VALUE"""),9.0)</f>
        <v>9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IFERROR(__xludf.DUMMYFUNCTION("""COMPUTED_VALUE"""),9.0)</f>
        <v>9</v>
      </c>
      <c r="L141" s="88">
        <f>IFERROR(__xludf.DUMMYFUNCTION("""COMPUTED_VALUE"""),0.0)</f>
        <v>0</v>
      </c>
      <c r="M141" s="89">
        <f>IFERROR(__xludf.DUMMYFUNCTION("""COMPUTED_VALUE"""),75.0)</f>
        <v>75</v>
      </c>
      <c r="N141" s="89">
        <f>IFERROR(__xludf.DUMMYFUNCTION("""COMPUTED_VALUE"""),8.0)</f>
        <v>8</v>
      </c>
    </row>
    <row r="142">
      <c r="A142" s="11"/>
      <c r="B142" s="82" t="str">
        <f>IFERROR(__xludf.DUMMYFUNCTION("""COMPUTED_VALUE"""),"Lloyd Sagar")</f>
        <v>Lloyd Sagar</v>
      </c>
      <c r="C142" s="87">
        <f>IFERROR(__xludf.DUMMYFUNCTION("""COMPUTED_VALUE"""),63.0)</f>
        <v>63</v>
      </c>
      <c r="D142" s="87">
        <f>IFERROR(__xludf.DUMMYFUNCTION("""COMPUTED_VALUE"""),5.0)</f>
        <v>5</v>
      </c>
      <c r="E142" s="86">
        <f>IFERROR(__xludf.DUMMYFUNCTION("""COMPUTED_VALUE"""),3.0)</f>
        <v>3</v>
      </c>
      <c r="F142" s="88">
        <f>IFERROR(__xludf.DUMMYFUNCTION("""COMPUTED_VALUE"""),0.0)</f>
        <v>0</v>
      </c>
      <c r="G142" s="88">
        <f>IFERROR(__xludf.DUMMYFUNCTION("""COMPUTED_VALUE"""),9.0)</f>
        <v>9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IFERROR(__xludf.DUMMYFUNCTION("""COMPUTED_VALUE"""),9.0)</f>
        <v>9</v>
      </c>
      <c r="L142" s="88">
        <f>IFERROR(__xludf.DUMMYFUNCTION("""COMPUTED_VALUE"""),0.0)</f>
        <v>0</v>
      </c>
      <c r="M142" s="89">
        <f>IFERROR(__xludf.DUMMYFUNCTION("""COMPUTED_VALUE"""),72.0)</f>
        <v>72</v>
      </c>
      <c r="N142" s="89">
        <f>IFERROR(__xludf.DUMMYFUNCTION("""COMPUTED_VALUE"""),5.0)</f>
        <v>5</v>
      </c>
    </row>
    <row r="143">
      <c r="A143" s="11"/>
      <c r="B143" s="82" t="str">
        <f>IFERROR(__xludf.DUMMYFUNCTION("""COMPUTED_VALUE"""),"Coco Yan")</f>
        <v>Coco Yan</v>
      </c>
      <c r="C143" s="87">
        <f>IFERROR(__xludf.DUMMYFUNCTION("""COMPUTED_VALUE"""),61.0)</f>
        <v>61</v>
      </c>
      <c r="D143" s="87">
        <f>IFERROR(__xludf.DUMMYFUNCTION("""COMPUTED_VALUE"""),6.0)</f>
        <v>6</v>
      </c>
      <c r="E143" s="86">
        <f>IFERROR(__xludf.DUMMYFUNCTION("""COMPUTED_VALUE"""),5.0)</f>
        <v>5</v>
      </c>
      <c r="F143" s="88">
        <f>IFERROR(__xludf.DUMMYFUNCTION("""COMPUTED_VALUE"""),0.0)</f>
        <v>0</v>
      </c>
      <c r="G143" s="88">
        <f>IFERROR(__xludf.DUMMYFUNCTION("""COMPUTED_VALUE"""),13.0)</f>
        <v>13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IFERROR(__xludf.DUMMYFUNCTION("""COMPUTED_VALUE"""),13.0)</f>
        <v>13</v>
      </c>
      <c r="L143" s="88">
        <f>IFERROR(__xludf.DUMMYFUNCTION("""COMPUTED_VALUE"""),0.0)</f>
        <v>0</v>
      </c>
      <c r="M143" s="89">
        <f>IFERROR(__xludf.DUMMYFUNCTION("""COMPUTED_VALUE"""),74.0)</f>
        <v>74</v>
      </c>
      <c r="N143" s="89">
        <f>IFERROR(__xludf.DUMMYFUNCTION("""COMPUTED_VALUE"""),6.0)</f>
        <v>6</v>
      </c>
    </row>
    <row r="144">
      <c r="A144" s="11"/>
      <c r="B144" s="82" t="str">
        <f>IFERROR(__xludf.DUMMYFUNCTION("""COMPUTED_VALUE"""),"Joe Luzzi")</f>
        <v>Joe Luzzi</v>
      </c>
      <c r="C144" s="87">
        <f>IFERROR(__xludf.DUMMYFUNCTION("""COMPUTED_VALUE"""),59.0)</f>
        <v>59</v>
      </c>
      <c r="D144" s="87">
        <f>IFERROR(__xludf.DUMMYFUNCTION("""COMPUTED_VALUE"""),6.0)</f>
        <v>6</v>
      </c>
      <c r="E144" s="86">
        <f>IFERROR(__xludf.DUMMYFUNCTION("""COMPUTED_VALUE"""),5.0)</f>
        <v>5</v>
      </c>
      <c r="F144" s="88">
        <f>IFERROR(__xludf.DUMMYFUNCTION("""COMPUTED_VALUE"""),0.0)</f>
        <v>0</v>
      </c>
      <c r="G144" s="88">
        <f>IFERROR(__xludf.DUMMYFUNCTION("""COMPUTED_VALUE"""),13.0)</f>
        <v>13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IFERROR(__xludf.DUMMYFUNCTION("""COMPUTED_VALUE"""),13.0)</f>
        <v>13</v>
      </c>
      <c r="L144" s="88">
        <f>IFERROR(__xludf.DUMMYFUNCTION("""COMPUTED_VALUE"""),0.0)</f>
        <v>0</v>
      </c>
      <c r="M144" s="89">
        <f>IFERROR(__xludf.DUMMYFUNCTION("""COMPUTED_VALUE"""),72.0)</f>
        <v>72</v>
      </c>
      <c r="N144" s="89">
        <f>IFERROR(__xludf.DUMMYFUNCTION("""COMPUTED_VALUE"""),6.0)</f>
        <v>6</v>
      </c>
    </row>
    <row r="145">
      <c r="A145" s="11"/>
      <c r="B145" s="82" t="str">
        <f>IFERROR(__xludf.DUMMYFUNCTION("""COMPUTED_VALUE"""),"Vamsi Lolla ")</f>
        <v>Vamsi Lolla </v>
      </c>
      <c r="C145" s="87">
        <f>IFERROR(__xludf.DUMMYFUNCTION("""COMPUTED_VALUE"""),59.0)</f>
        <v>59</v>
      </c>
      <c r="D145" s="87">
        <f>IFERROR(__xludf.DUMMYFUNCTION("""COMPUTED_VALUE"""),5.0)</f>
        <v>5</v>
      </c>
      <c r="E145" s="86">
        <f>IFERROR(__xludf.DUMMYFUNCTION("""COMPUTED_VALUE"""),5.0)</f>
        <v>5</v>
      </c>
      <c r="F145" s="88">
        <f>IFERROR(__xludf.DUMMYFUNCTION("""COMPUTED_VALUE"""),0.0)</f>
        <v>0</v>
      </c>
      <c r="G145" s="88">
        <f>IFERROR(__xludf.DUMMYFUNCTION("""COMPUTED_VALUE"""),13.0)</f>
        <v>13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IFERROR(__xludf.DUMMYFUNCTION("""COMPUTED_VALUE"""),13.0)</f>
        <v>13</v>
      </c>
      <c r="L145" s="88">
        <f>IFERROR(__xludf.DUMMYFUNCTION("""COMPUTED_VALUE"""),0.0)</f>
        <v>0</v>
      </c>
      <c r="M145" s="89">
        <f>IFERROR(__xludf.DUMMYFUNCTION("""COMPUTED_VALUE"""),72.0)</f>
        <v>72</v>
      </c>
      <c r="N145" s="89">
        <f>IFERROR(__xludf.DUMMYFUNCTION("""COMPUTED_VALUE"""),5.0)</f>
        <v>5</v>
      </c>
    </row>
    <row r="146">
      <c r="A146" s="11"/>
      <c r="B146" s="82" t="str">
        <f>IFERROR(__xludf.DUMMYFUNCTION("""COMPUTED_VALUE"""),"Trinath Goteti")</f>
        <v>Trinath Goteti</v>
      </c>
      <c r="C146" s="87">
        <f>IFERROR(__xludf.DUMMYFUNCTION("""COMPUTED_VALUE"""),58.0)</f>
        <v>58</v>
      </c>
      <c r="D146" s="87">
        <f>IFERROR(__xludf.DUMMYFUNCTION("""COMPUTED_VALUE"""),4.0)</f>
        <v>4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IFERROR(__xludf.DUMMYFUNCTION("""COMPUTED_VALUE"""),67.0)</f>
        <v>67</v>
      </c>
      <c r="N146" s="89">
        <f>IFERROR(__xludf.DUMMYFUNCTION("""COMPUTED_VALUE"""),4.0)</f>
        <v>4</v>
      </c>
    </row>
    <row r="147">
      <c r="A147" s="11"/>
      <c r="B147" s="82" t="str">
        <f>IFERROR(__xludf.DUMMYFUNCTION("""COMPUTED_VALUE"""),"Pavan Akkimsetty")</f>
        <v>Pavan Akkimsetty</v>
      </c>
      <c r="C147" s="87">
        <f>IFERROR(__xludf.DUMMYFUNCTION("""COMPUTED_VALUE"""),58.0)</f>
        <v>58</v>
      </c>
      <c r="D147" s="87">
        <f>IFERROR(__xludf.DUMMYFUNCTION("""COMPUTED_VALUE"""),3.0)</f>
        <v>3</v>
      </c>
      <c r="E147" s="86">
        <f>IFERROR(__xludf.DUMMYFUNCTION("""COMPUTED_VALUE"""),3.0)</f>
        <v>3</v>
      </c>
      <c r="F147" s="88">
        <f>IFERROR(__xludf.DUMMYFUNCTION("""COMPUTED_VALUE"""),0.0)</f>
        <v>0</v>
      </c>
      <c r="G147" s="88">
        <f>IFERROR(__xludf.DUMMYFUNCTION("""COMPUTED_VALUE"""),9.0)</f>
        <v>9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IFERROR(__xludf.DUMMYFUNCTION("""COMPUTED_VALUE"""),9.0)</f>
        <v>9</v>
      </c>
      <c r="L147" s="88">
        <f>IFERROR(__xludf.DUMMYFUNCTION("""COMPUTED_VALUE"""),0.0)</f>
        <v>0</v>
      </c>
      <c r="M147" s="89">
        <f>IFERROR(__xludf.DUMMYFUNCTION("""COMPUTED_VALUE"""),67.0)</f>
        <v>67</v>
      </c>
      <c r="N147" s="89">
        <f>IFERROR(__xludf.DUMMYFUNCTION("""COMPUTED_VALUE"""),3.0)</f>
        <v>3</v>
      </c>
    </row>
    <row r="148">
      <c r="A148" s="11"/>
      <c r="B148" s="82" t="str">
        <f>IFERROR(__xludf.DUMMYFUNCTION("""COMPUTED_VALUE"""),"Erik Hoeckmann")</f>
        <v>Erik Hoeckmann</v>
      </c>
      <c r="C148" s="87">
        <f>IFERROR(__xludf.DUMMYFUNCTION("""COMPUTED_VALUE"""),57.0)</f>
        <v>57</v>
      </c>
      <c r="D148" s="87">
        <f>IFERROR(__xludf.DUMMYFUNCTION("""COMPUTED_VALUE"""),6.0)</f>
        <v>6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IFERROR(__xludf.DUMMYFUNCTION("""COMPUTED_VALUE"""),66.0)</f>
        <v>66</v>
      </c>
      <c r="N148" s="89">
        <f>IFERROR(__xludf.DUMMYFUNCTION("""COMPUTED_VALUE"""),6.0)</f>
        <v>6</v>
      </c>
    </row>
    <row r="149">
      <c r="A149" s="11"/>
      <c r="B149" s="82" t="str">
        <f>IFERROR(__xludf.DUMMYFUNCTION("""COMPUTED_VALUE"""),"Sean Chang")</f>
        <v>Sean Chang</v>
      </c>
      <c r="C149" s="87">
        <f>IFERROR(__xludf.DUMMYFUNCTION("""COMPUTED_VALUE"""),57.0)</f>
        <v>57</v>
      </c>
      <c r="D149" s="87">
        <f>IFERROR(__xludf.DUMMYFUNCTION("""COMPUTED_VALUE"""),3.0)</f>
        <v>3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IFERROR(__xludf.DUMMYFUNCTION("""COMPUTED_VALUE"""),66.0)</f>
        <v>66</v>
      </c>
      <c r="N149" s="89">
        <f>IFERROR(__xludf.DUMMYFUNCTION("""COMPUTED_VALUE"""),3.0)</f>
        <v>3</v>
      </c>
    </row>
    <row r="150">
      <c r="A150" s="11"/>
      <c r="B150" s="82" t="str">
        <f>IFERROR(__xludf.DUMMYFUNCTION("""COMPUTED_VALUE"""),"Robert Chang")</f>
        <v>Robert Chang</v>
      </c>
      <c r="C150" s="87">
        <f>IFERROR(__xludf.DUMMYFUNCTION("""COMPUTED_VALUE"""),56.0)</f>
        <v>56</v>
      </c>
      <c r="D150" s="87">
        <f>IFERROR(__xludf.DUMMYFUNCTION("""COMPUTED_VALUE"""),2.0)</f>
        <v>2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IFERROR(__xludf.DUMMYFUNCTION("""COMPUTED_VALUE"""),65.0)</f>
        <v>65</v>
      </c>
      <c r="N150" s="89">
        <f>IFERROR(__xludf.DUMMYFUNCTION("""COMPUTED_VALUE"""),2.0)</f>
        <v>2</v>
      </c>
    </row>
    <row r="151">
      <c r="A151" s="11"/>
      <c r="B151" s="82" t="str">
        <f>IFERROR(__xludf.DUMMYFUNCTION("""COMPUTED_VALUE"""),"Eric Pan")</f>
        <v>Eric Pan</v>
      </c>
      <c r="C151" s="87">
        <f>IFERROR(__xludf.DUMMYFUNCTION("""COMPUTED_VALUE"""),54.0)</f>
        <v>54</v>
      </c>
      <c r="D151" s="87">
        <f>IFERROR(__xludf.DUMMYFUNCTION("""COMPUTED_VALUE"""),3.0)</f>
        <v>3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IFERROR(__xludf.DUMMYFUNCTION("""COMPUTED_VALUE"""),63.0)</f>
        <v>63</v>
      </c>
      <c r="N151" s="89">
        <f>IFERROR(__xludf.DUMMYFUNCTION("""COMPUTED_VALUE"""),3.0)</f>
        <v>3</v>
      </c>
    </row>
    <row r="152">
      <c r="A152" s="11"/>
      <c r="B152" s="82" t="str">
        <f>IFERROR(__xludf.DUMMYFUNCTION("""COMPUTED_VALUE"""),"Vishnu Amarnath")</f>
        <v>Vishnu Amarnath</v>
      </c>
      <c r="C152" s="87">
        <f>IFERROR(__xludf.DUMMYFUNCTION("""COMPUTED_VALUE"""),54.0)</f>
        <v>54</v>
      </c>
      <c r="D152" s="87">
        <f>IFERROR(__xludf.DUMMYFUNCTION("""COMPUTED_VALUE"""),3.0)</f>
        <v>3</v>
      </c>
      <c r="E152" s="86">
        <f>IFERROR(__xludf.DUMMYFUNCTION("""COMPUTED_VALUE"""),3.0)</f>
        <v>3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IFERROR(__xludf.DUMMYFUNCTION("""COMPUTED_VALUE"""),63.0)</f>
        <v>63</v>
      </c>
      <c r="N152" s="89">
        <f>IFERROR(__xludf.DUMMYFUNCTION("""COMPUTED_VALUE"""),3.0)</f>
        <v>3</v>
      </c>
    </row>
    <row r="153">
      <c r="A153" s="11"/>
      <c r="B153" s="82" t="str">
        <f>IFERROR(__xludf.DUMMYFUNCTION("""COMPUTED_VALUE"""),"Pulkit Mathur")</f>
        <v>Pulkit Mathur</v>
      </c>
      <c r="C153" s="87">
        <f>IFERROR(__xludf.DUMMYFUNCTION("""COMPUTED_VALUE"""),54.0)</f>
        <v>54</v>
      </c>
      <c r="D153" s="87">
        <f>IFERROR(__xludf.DUMMYFUNCTION("""COMPUTED_VALUE"""),3.0)</f>
        <v>3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IFERROR(__xludf.DUMMYFUNCTION("""COMPUTED_VALUE"""),63.0)</f>
        <v>63</v>
      </c>
      <c r="N153" s="89">
        <f>IFERROR(__xludf.DUMMYFUNCTION("""COMPUTED_VALUE"""),3.0)</f>
        <v>3</v>
      </c>
    </row>
    <row r="154">
      <c r="A154" s="11"/>
      <c r="B154" s="82" t="str">
        <f>IFERROR(__xludf.DUMMYFUNCTION("""COMPUTED_VALUE"""),"Sanjaye Elayattu")</f>
        <v>Sanjaye Elayattu</v>
      </c>
      <c r="C154" s="87">
        <f>IFERROR(__xludf.DUMMYFUNCTION("""COMPUTED_VALUE"""),53.0)</f>
        <v>53</v>
      </c>
      <c r="D154" s="87">
        <f>IFERROR(__xludf.DUMMYFUNCTION("""COMPUTED_VALUE"""),2.0)</f>
        <v>2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IFERROR(__xludf.DUMMYFUNCTION("""COMPUTED_VALUE"""),62.0)</f>
        <v>62</v>
      </c>
      <c r="N154" s="89">
        <f>IFERROR(__xludf.DUMMYFUNCTION("""COMPUTED_VALUE"""),2.0)</f>
        <v>2</v>
      </c>
    </row>
    <row r="155">
      <c r="A155" s="11"/>
      <c r="B155" s="82" t="str">
        <f>IFERROR(__xludf.DUMMYFUNCTION("""COMPUTED_VALUE"""),"Elayaraja Thangaraj ")</f>
        <v>Elayaraja Thangaraj </v>
      </c>
      <c r="C155" s="87">
        <f>IFERROR(__xludf.DUMMYFUNCTION("""COMPUTED_VALUE"""),52.0)</f>
        <v>52</v>
      </c>
      <c r="D155" s="87">
        <f>IFERROR(__xludf.DUMMYFUNCTION("""COMPUTED_VALUE"""),1.0)</f>
        <v>1</v>
      </c>
      <c r="E155" s="86">
        <f>IFERROR(__xludf.DUMMYFUNCTION("""COMPUTED_VALUE"""),5.0)</f>
        <v>5</v>
      </c>
      <c r="F155" s="88">
        <f>IFERROR(__xludf.DUMMYFUNCTION("""COMPUTED_VALUE"""),0.0)</f>
        <v>0</v>
      </c>
      <c r="G155" s="88">
        <f>IFERROR(__xludf.DUMMYFUNCTION("""COMPUTED_VALUE"""),13.0)</f>
        <v>13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IFERROR(__xludf.DUMMYFUNCTION("""COMPUTED_VALUE"""),13.0)</f>
        <v>13</v>
      </c>
      <c r="L155" s="88">
        <f>IFERROR(__xludf.DUMMYFUNCTION("""COMPUTED_VALUE"""),0.0)</f>
        <v>0</v>
      </c>
      <c r="M155" s="89">
        <f>IFERROR(__xludf.DUMMYFUNCTION("""COMPUTED_VALUE"""),65.0)</f>
        <v>65</v>
      </c>
      <c r="N155" s="89">
        <f>IFERROR(__xludf.DUMMYFUNCTION("""COMPUTED_VALUE"""),1.0)</f>
        <v>1</v>
      </c>
    </row>
    <row r="156">
      <c r="A156" s="11"/>
      <c r="B156" s="82" t="str">
        <f>IFERROR(__xludf.DUMMYFUNCTION("""COMPUTED_VALUE"""),"Leigh-Anh Nguyen")</f>
        <v>Leigh-Anh Nguyen</v>
      </c>
      <c r="C156" s="87">
        <f>IFERROR(__xludf.DUMMYFUNCTION("""COMPUTED_VALUE"""),50.0)</f>
        <v>50</v>
      </c>
      <c r="D156" s="87">
        <f>IFERROR(__xludf.DUMMYFUNCTION("""COMPUTED_VALUE"""),4.0)</f>
        <v>4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IFERROR(__xludf.DUMMYFUNCTION("""COMPUTED_VALUE"""),59.0)</f>
        <v>59</v>
      </c>
      <c r="N156" s="89">
        <f>IFERROR(__xludf.DUMMYFUNCTION("""COMPUTED_VALUE"""),4.0)</f>
        <v>4</v>
      </c>
    </row>
    <row r="157">
      <c r="A157" s="11"/>
      <c r="B157" s="82" t="str">
        <f>IFERROR(__xludf.DUMMYFUNCTION("""COMPUTED_VALUE"""),"Saravanan Veerapandian")</f>
        <v>Saravanan Veerapandian</v>
      </c>
      <c r="C157" s="87">
        <f>IFERROR(__xludf.DUMMYFUNCTION("""COMPUTED_VALUE"""),50.0)</f>
        <v>50</v>
      </c>
      <c r="D157" s="87">
        <f>IFERROR(__xludf.DUMMYFUNCTION("""COMPUTED_VALUE"""),3.0)</f>
        <v>3</v>
      </c>
      <c r="E157" s="86">
        <f>IFERROR(__xludf.DUMMYFUNCTION("""COMPUTED_VALUE"""),3.0)</f>
        <v>3</v>
      </c>
      <c r="F157" s="88">
        <f>IFERROR(__xludf.DUMMYFUNCTION("""COMPUTED_VALUE"""),0.0)</f>
        <v>0</v>
      </c>
      <c r="G157" s="88">
        <f>IFERROR(__xludf.DUMMYFUNCTION("""COMPUTED_VALUE"""),9.0)</f>
        <v>9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IFERROR(__xludf.DUMMYFUNCTION("""COMPUTED_VALUE"""),0.0)</f>
        <v>0</v>
      </c>
      <c r="M157" s="89">
        <f>IFERROR(__xludf.DUMMYFUNCTION("""COMPUTED_VALUE"""),59.0)</f>
        <v>59</v>
      </c>
      <c r="N157" s="89">
        <f>IFERROR(__xludf.DUMMYFUNCTION("""COMPUTED_VALUE"""),3.0)</f>
        <v>3</v>
      </c>
    </row>
    <row r="158">
      <c r="A158" s="11"/>
      <c r="B158" s="82" t="str">
        <f>IFERROR(__xludf.DUMMYFUNCTION("""COMPUTED_VALUE"""),"Ramesh Bandaru")</f>
        <v>Ramesh Bandaru</v>
      </c>
      <c r="C158" s="87">
        <f>IFERROR(__xludf.DUMMYFUNCTION("""COMPUTED_VALUE"""),50.0)</f>
        <v>50</v>
      </c>
      <c r="D158" s="87">
        <f>IFERROR(__xludf.DUMMYFUNCTION("""COMPUTED_VALUE"""),1.0)</f>
        <v>1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IFERROR(__xludf.DUMMYFUNCTION("""COMPUTED_VALUE"""),59.0)</f>
        <v>59</v>
      </c>
      <c r="N158" s="89">
        <f>IFERROR(__xludf.DUMMYFUNCTION("""COMPUTED_VALUE"""),1.0)</f>
        <v>1</v>
      </c>
    </row>
    <row r="159">
      <c r="A159" s="11"/>
      <c r="B159" s="82" t="str">
        <f>IFERROR(__xludf.DUMMYFUNCTION("""COMPUTED_VALUE"""),"Vinz Solano")</f>
        <v>Vinz Solano</v>
      </c>
      <c r="C159" s="87">
        <f>IFERROR(__xludf.DUMMYFUNCTION("""COMPUTED_VALUE"""),49.0)</f>
        <v>49</v>
      </c>
      <c r="D159" s="87">
        <f>IFERROR(__xludf.DUMMYFUNCTION("""COMPUTED_VALUE"""),2.0)</f>
        <v>2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IFERROR(__xludf.DUMMYFUNCTION("""COMPUTED_VALUE"""),58.0)</f>
        <v>58</v>
      </c>
      <c r="N159" s="89">
        <f>IFERROR(__xludf.DUMMYFUNCTION("""COMPUTED_VALUE"""),2.0)</f>
        <v>2</v>
      </c>
    </row>
    <row r="160">
      <c r="A160" s="11"/>
      <c r="B160" s="82" t="str">
        <f>IFERROR(__xludf.DUMMYFUNCTION("""COMPUTED_VALUE"""),"Peter Homsey")</f>
        <v>Peter Homsey</v>
      </c>
      <c r="C160" s="87">
        <f>IFERROR(__xludf.DUMMYFUNCTION("""COMPUTED_VALUE"""),49.0)</f>
        <v>49</v>
      </c>
      <c r="D160" s="87">
        <f>IFERROR(__xludf.DUMMYFUNCTION("""COMPUTED_VALUE"""),0.0)</f>
        <v>0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IFERROR(__xludf.DUMMYFUNCTION("""COMPUTED_VALUE"""),58.0)</f>
        <v>58</v>
      </c>
      <c r="N160" s="89">
        <f>IFERROR(__xludf.DUMMYFUNCTION("""COMPUTED_VALUE"""),0.0)</f>
        <v>0</v>
      </c>
    </row>
    <row r="161">
      <c r="A161" s="11"/>
      <c r="B161" s="82" t="str">
        <f>IFERROR(__xludf.DUMMYFUNCTION("""COMPUTED_VALUE"""),"Mauricio Palacios")</f>
        <v>Mauricio Palacios</v>
      </c>
      <c r="C161" s="87">
        <f>IFERROR(__xludf.DUMMYFUNCTION("""COMPUTED_VALUE"""),46.0)</f>
        <v>46</v>
      </c>
      <c r="D161" s="87">
        <f>IFERROR(__xludf.DUMMYFUNCTION("""COMPUTED_VALUE"""),1.0)</f>
        <v>1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IFERROR(__xludf.DUMMYFUNCTION("""COMPUTED_VALUE"""),55.0)</f>
        <v>55</v>
      </c>
      <c r="N161" s="89">
        <f>IFERROR(__xludf.DUMMYFUNCTION("""COMPUTED_VALUE"""),1.0)</f>
        <v>1</v>
      </c>
    </row>
    <row r="162">
      <c r="A162" s="11"/>
      <c r="B162" s="82" t="str">
        <f>IFERROR(__xludf.DUMMYFUNCTION("""COMPUTED_VALUE"""),"Nohely Mejia")</f>
        <v>Nohely Mejia</v>
      </c>
      <c r="C162" s="87">
        <f>IFERROR(__xludf.DUMMYFUNCTION("""COMPUTED_VALUE"""),46.0)</f>
        <v>46</v>
      </c>
      <c r="D162" s="87">
        <f>IFERROR(__xludf.DUMMYFUNCTION("""COMPUTED_VALUE"""),1.0)</f>
        <v>1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IFERROR(__xludf.DUMMYFUNCTION("""COMPUTED_VALUE"""),55.0)</f>
        <v>55</v>
      </c>
      <c r="N162" s="89">
        <f>IFERROR(__xludf.DUMMYFUNCTION("""COMPUTED_VALUE"""),1.0)</f>
        <v>1</v>
      </c>
    </row>
    <row r="163">
      <c r="A163" s="11"/>
      <c r="B163" s="82" t="str">
        <f>IFERROR(__xludf.DUMMYFUNCTION("""COMPUTED_VALUE"""),"Balaji Alahari")</f>
        <v>Balaji Alahari</v>
      </c>
      <c r="C163" s="87">
        <f>IFERROR(__xludf.DUMMYFUNCTION("""COMPUTED_VALUE"""),45.0)</f>
        <v>45</v>
      </c>
      <c r="D163" s="87">
        <f>IFERROR(__xludf.DUMMYFUNCTION("""COMPUTED_VALUE"""),1.0)</f>
        <v>1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IFERROR(__xludf.DUMMYFUNCTION("""COMPUTED_VALUE"""),54.0)</f>
        <v>54</v>
      </c>
      <c r="N163" s="89">
        <f>IFERROR(__xludf.DUMMYFUNCTION("""COMPUTED_VALUE"""),1.0)</f>
        <v>1</v>
      </c>
    </row>
    <row r="164">
      <c r="A164" s="11"/>
      <c r="B164" s="82" t="str">
        <f>IFERROR(__xludf.DUMMYFUNCTION("""COMPUTED_VALUE"""),"Amit Patel")</f>
        <v>Amit Patel</v>
      </c>
      <c r="C164" s="87">
        <f>IFERROR(__xludf.DUMMYFUNCTION("""COMPUTED_VALUE"""),45.0)</f>
        <v>45</v>
      </c>
      <c r="D164" s="87">
        <f>IFERROR(__xludf.DUMMYFUNCTION("""COMPUTED_VALUE"""),0.0)</f>
        <v>0</v>
      </c>
      <c r="E164" s="86">
        <f>IFERROR(__xludf.DUMMYFUNCTION("""COMPUTED_VALUE"""),5.0)</f>
        <v>5</v>
      </c>
      <c r="F164" s="88">
        <f>IFERROR(__xludf.DUMMYFUNCTION("""COMPUTED_VALUE"""),0.0)</f>
        <v>0</v>
      </c>
      <c r="G164" s="88">
        <f>IFERROR(__xludf.DUMMYFUNCTION("""COMPUTED_VALUE"""),13.0)</f>
        <v>13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IFERROR(__xludf.DUMMYFUNCTION("""COMPUTED_VALUE"""),13.0)</f>
        <v>13</v>
      </c>
      <c r="L164" s="88">
        <f>IFERROR(__xludf.DUMMYFUNCTION("""COMPUTED_VALUE"""),0.0)</f>
        <v>0</v>
      </c>
      <c r="M164" s="89">
        <f>IFERROR(__xludf.DUMMYFUNCTION("""COMPUTED_VALUE"""),58.0)</f>
        <v>58</v>
      </c>
      <c r="N164" s="89">
        <f>IFERROR(__xludf.DUMMYFUNCTION("""COMPUTED_VALUE"""),0.0)</f>
        <v>0</v>
      </c>
    </row>
    <row r="165">
      <c r="A165" s="11"/>
      <c r="B165" s="82" t="str">
        <f>IFERROR(__xludf.DUMMYFUNCTION("""COMPUTED_VALUE"""),"Santosh Sundaresan ")</f>
        <v>Santosh Sundaresan </v>
      </c>
      <c r="C165" s="87">
        <f>IFERROR(__xludf.DUMMYFUNCTION("""COMPUTED_VALUE"""),45.0)</f>
        <v>45</v>
      </c>
      <c r="D165" s="87">
        <f>IFERROR(__xludf.DUMMYFUNCTION("""COMPUTED_VALUE"""),0.0)</f>
        <v>0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IFERROR(__xludf.DUMMYFUNCTION("""COMPUTED_VALUE"""),54.0)</f>
        <v>54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IFERROR(__xludf.DUMMYFUNCTION("""COMPUTED_VALUE"""),"Peter Cheng")</f>
        <v>Peter Cheng</v>
      </c>
      <c r="C166" s="87">
        <f>IFERROR(__xludf.DUMMYFUNCTION("""COMPUTED_VALUE"""),45.0)</f>
        <v>45</v>
      </c>
      <c r="D166" s="87">
        <f>IFERROR(__xludf.DUMMYFUNCTION("""COMPUTED_VALUE"""),0.0)</f>
        <v>0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IFERROR(__xludf.DUMMYFUNCTION("""COMPUTED_VALUE"""),54.0)</f>
        <v>54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IFERROR(__xludf.DUMMYFUNCTION("""COMPUTED_VALUE"""),"Sai Dilip Ponnaganti")</f>
        <v>Sai Dilip Ponnaganti</v>
      </c>
      <c r="C167" s="87">
        <f>IFERROR(__xludf.DUMMYFUNCTION("""COMPUTED_VALUE"""),45.0)</f>
        <v>45</v>
      </c>
      <c r="D167" s="87">
        <f>IFERROR(__xludf.DUMMYFUNCTION("""COMPUTED_VALUE"""),0.0)</f>
        <v>0</v>
      </c>
      <c r="E167" s="86">
        <f>IFERROR(__xludf.DUMMYFUNCTION("""COMPUTED_VALUE"""),3.0)</f>
        <v>3</v>
      </c>
      <c r="F167" s="88">
        <f>IFERROR(__xludf.DUMMYFUNCTION("""COMPUTED_VALUE"""),0.0)</f>
        <v>0</v>
      </c>
      <c r="G167" s="88">
        <f>IFERROR(__xludf.DUMMYFUNCTION("""COMPUTED_VALUE"""),9.0)</f>
        <v>9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IFERROR(__xludf.DUMMYFUNCTION("""COMPUTED_VALUE"""),9.0)</f>
        <v>9</v>
      </c>
      <c r="L167" s="88">
        <f>IFERROR(__xludf.DUMMYFUNCTION("""COMPUTED_VALUE"""),0.0)</f>
        <v>0</v>
      </c>
      <c r="M167" s="89">
        <f>IFERROR(__xludf.DUMMYFUNCTION("""COMPUTED_VALUE"""),54.0)</f>
        <v>54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IFERROR(__xludf.DUMMYFUNCTION("""COMPUTED_VALUE"""),"Manish Anand")</f>
        <v>Manish Anand</v>
      </c>
      <c r="C168" s="86">
        <f>IFERROR(__xludf.DUMMYFUNCTION("""COMPUTED_VALUE"""),45.0)</f>
        <v>45</v>
      </c>
      <c r="D168" s="87">
        <f>IFERROR(__xludf.DUMMYFUNCTION("""COMPUTED_VALUE"""),0.0)</f>
        <v>0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8">
        <f>IFERROR(__xludf.DUMMYFUNCTION("""COMPUTED_VALUE"""),54.0)</f>
        <v>54</v>
      </c>
      <c r="N168" s="89">
        <f>IFERROR(__xludf.DUMMYFUNCTION("""COMPUTED_VALUE"""),0.0)</f>
        <v>0</v>
      </c>
    </row>
    <row r="169">
      <c r="A169" s="11"/>
      <c r="B169" s="82" t="str">
        <f>IFERROR(__xludf.DUMMYFUNCTION("""COMPUTED_VALUE"""),"Jose Ortiz")</f>
        <v>Jose Ortiz</v>
      </c>
      <c r="C169" s="86">
        <f>IFERROR(__xludf.DUMMYFUNCTION("""COMPUTED_VALUE"""),45.0)</f>
        <v>45</v>
      </c>
      <c r="D169" s="87">
        <f>IFERROR(__xludf.DUMMYFUNCTION("""COMPUTED_VALUE"""),0.0)</f>
        <v>0</v>
      </c>
      <c r="E169" s="86">
        <f>IFERROR(__xludf.DUMMYFUNCTION("""COMPUTED_VALUE"""),3.0)</f>
        <v>3</v>
      </c>
      <c r="F169" s="88">
        <f>IFERROR(__xludf.DUMMYFUNCTION("""COMPUTED_VALUE"""),0.0)</f>
        <v>0</v>
      </c>
      <c r="G169" s="88">
        <f>IFERROR(__xludf.DUMMYFUNCTION("""COMPUTED_VALUE"""),9.0)</f>
        <v>9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IFERROR(__xludf.DUMMYFUNCTION("""COMPUTED_VALUE"""),9.0)</f>
        <v>9</v>
      </c>
      <c r="L169" s="88">
        <f>IFERROR(__xludf.DUMMYFUNCTION("""COMPUTED_VALUE"""),0.0)</f>
        <v>0</v>
      </c>
      <c r="M169" s="88">
        <f>IFERROR(__xludf.DUMMYFUNCTION("""COMPUTED_VALUE"""),54.0)</f>
        <v>54</v>
      </c>
      <c r="N169" s="89">
        <f>IFERROR(__xludf.DUMMYFUNCTION("""COMPUTED_VALUE"""),0.0)</f>
        <v>0</v>
      </c>
    </row>
    <row r="170">
      <c r="A170" s="11"/>
      <c r="B170" s="82" t="str">
        <f>IFERROR(__xludf.DUMMYFUNCTION("""COMPUTED_VALUE"""),"Naveen Raj")</f>
        <v>Naveen Raj</v>
      </c>
      <c r="C170" s="86">
        <f>IFERROR(__xludf.DUMMYFUNCTION("""COMPUTED_VALUE"""),45.0)</f>
        <v>45</v>
      </c>
      <c r="D170" s="87">
        <f>IFERROR(__xludf.DUMMYFUNCTION("""COMPUTED_VALUE"""),0.0)</f>
        <v>0</v>
      </c>
      <c r="E170" s="86">
        <f>IFERROR(__xludf.DUMMYFUNCTION("""COMPUTED_VALUE"""),3.0)</f>
        <v>3</v>
      </c>
      <c r="F170" s="88">
        <f>IFERROR(__xludf.DUMMYFUNCTION("""COMPUTED_VALUE"""),0.0)</f>
        <v>0</v>
      </c>
      <c r="G170" s="88">
        <f>IFERROR(__xludf.DUMMYFUNCTION("""COMPUTED_VALUE"""),9.0)</f>
        <v>9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IFERROR(__xludf.DUMMYFUNCTION("""COMPUTED_VALUE"""),9.0)</f>
        <v>9</v>
      </c>
      <c r="L170" s="88">
        <f>IFERROR(__xludf.DUMMYFUNCTION("""COMPUTED_VALUE"""),0.0)</f>
        <v>0</v>
      </c>
      <c r="M170" s="88">
        <f>IFERROR(__xludf.DUMMYFUNCTION("""COMPUTED_VALUE"""),54.0)</f>
        <v>54</v>
      </c>
      <c r="N170" s="89">
        <f>IFERROR(__xludf.DUMMYFUNCTION("""COMPUTED_VALUE"""),0.0)</f>
        <v>0</v>
      </c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B201" s="82"/>
      <c r="C201" s="86"/>
      <c r="D201" s="87"/>
      <c r="E201" s="86"/>
      <c r="F201" s="88"/>
      <c r="G201" s="88"/>
      <c r="H201" s="88"/>
      <c r="I201" s="88"/>
      <c r="J201" s="88"/>
      <c r="K201" s="88"/>
      <c r="L201" s="88"/>
      <c r="M201" s="88"/>
      <c r="N201" s="89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C222" s="11"/>
      <c r="D222" s="11"/>
      <c r="E222" s="11"/>
    </row>
    <row r="223">
      <c r="A223" s="11"/>
      <c r="B223" s="90" t="s">
        <v>167</v>
      </c>
      <c r="C223" s="11"/>
      <c r="D223" s="11"/>
      <c r="E223" s="11"/>
      <c r="U223" s="90" t="s">
        <v>168</v>
      </c>
    </row>
    <row r="224">
      <c r="A224" s="49">
        <v>1.0</v>
      </c>
      <c r="B224" s="82" t="str">
        <f>IFERROR(__xludf.DUMMYFUNCTION("QUERY(B5:Q70, ""Select B   where Q is null"")"),"#N/A")</f>
        <v>#N/A</v>
      </c>
      <c r="C224" s="11"/>
      <c r="D224" s="11"/>
      <c r="E224" s="11"/>
      <c r="T224" s="49">
        <v>1.0</v>
      </c>
      <c r="U224" s="17" t="str">
        <f>IFERROR(__xludf.DUMMYFUNCTION("QUERY(B5:Q70, ""Select B   where Q = 'N' "")"),"#N/A")</f>
        <v>#N/A</v>
      </c>
    </row>
    <row r="225">
      <c r="A225" s="11">
        <f t="shared" ref="A225:A245" si="70">A224+1</f>
        <v>2</v>
      </c>
      <c r="B225" s="82"/>
      <c r="C225" s="11"/>
      <c r="D225" s="11"/>
      <c r="E225" s="11"/>
      <c r="T225" s="11">
        <f t="shared" ref="T225:T236" si="71">T224+1</f>
        <v>2</v>
      </c>
    </row>
    <row r="226">
      <c r="A226" s="11">
        <f t="shared" si="70"/>
        <v>3</v>
      </c>
      <c r="B226" s="82"/>
      <c r="C226" s="11"/>
      <c r="D226" s="11"/>
      <c r="E226" s="11"/>
      <c r="T226" s="11">
        <f t="shared" si="71"/>
        <v>3</v>
      </c>
    </row>
    <row r="227">
      <c r="A227" s="11">
        <f t="shared" si="70"/>
        <v>4</v>
      </c>
      <c r="B227" s="82"/>
      <c r="C227" s="11"/>
      <c r="D227" s="11"/>
      <c r="E227" s="11"/>
      <c r="T227" s="11">
        <f t="shared" si="71"/>
        <v>4</v>
      </c>
    </row>
    <row r="228">
      <c r="A228" s="11">
        <f t="shared" si="70"/>
        <v>5</v>
      </c>
      <c r="B228" s="82"/>
      <c r="C228" s="11"/>
      <c r="D228" s="11"/>
      <c r="E228" s="11"/>
      <c r="T228" s="11">
        <f t="shared" si="71"/>
        <v>5</v>
      </c>
    </row>
    <row r="229">
      <c r="A229" s="11">
        <f t="shared" si="70"/>
        <v>6</v>
      </c>
      <c r="B229" s="82"/>
      <c r="C229" s="11"/>
      <c r="D229" s="11"/>
      <c r="E229" s="11"/>
      <c r="T229" s="11">
        <f t="shared" si="71"/>
        <v>6</v>
      </c>
    </row>
    <row r="230">
      <c r="A230" s="11">
        <f t="shared" si="70"/>
        <v>7</v>
      </c>
      <c r="B230" s="82"/>
      <c r="C230" s="11"/>
      <c r="D230" s="11"/>
      <c r="E230" s="11"/>
      <c r="T230" s="11">
        <f t="shared" si="71"/>
        <v>7</v>
      </c>
    </row>
    <row r="231">
      <c r="A231" s="11">
        <f t="shared" si="70"/>
        <v>8</v>
      </c>
      <c r="B231" s="82"/>
      <c r="C231" s="11"/>
      <c r="D231" s="11"/>
      <c r="E231" s="11"/>
      <c r="T231" s="11">
        <f t="shared" si="71"/>
        <v>8</v>
      </c>
    </row>
    <row r="232">
      <c r="A232" s="11">
        <f t="shared" si="70"/>
        <v>9</v>
      </c>
      <c r="B232" s="82"/>
      <c r="C232" s="11"/>
      <c r="D232" s="11"/>
      <c r="E232" s="11"/>
      <c r="T232" s="11">
        <f t="shared" si="71"/>
        <v>9</v>
      </c>
    </row>
    <row r="233">
      <c r="A233" s="11">
        <f t="shared" si="70"/>
        <v>10</v>
      </c>
      <c r="B233" s="82"/>
      <c r="C233" s="11"/>
      <c r="D233" s="11"/>
      <c r="E233" s="11"/>
      <c r="T233" s="11">
        <f t="shared" si="71"/>
        <v>10</v>
      </c>
    </row>
    <row r="234">
      <c r="A234" s="11">
        <f t="shared" si="70"/>
        <v>11</v>
      </c>
      <c r="B234" s="82"/>
      <c r="C234" s="11"/>
      <c r="D234" s="11"/>
      <c r="E234" s="11"/>
      <c r="T234" s="11">
        <f t="shared" si="71"/>
        <v>11</v>
      </c>
    </row>
    <row r="235">
      <c r="A235" s="11">
        <f t="shared" si="70"/>
        <v>12</v>
      </c>
      <c r="B235" s="82"/>
      <c r="C235" s="11"/>
      <c r="D235" s="11"/>
      <c r="E235" s="11"/>
      <c r="T235" s="11">
        <f t="shared" si="71"/>
        <v>12</v>
      </c>
    </row>
    <row r="236">
      <c r="A236" s="11">
        <f t="shared" si="70"/>
        <v>13</v>
      </c>
      <c r="B236" s="82"/>
      <c r="C236" s="11"/>
      <c r="D236" s="11"/>
      <c r="E236" s="11"/>
      <c r="T236" s="11">
        <f t="shared" si="71"/>
        <v>13</v>
      </c>
    </row>
    <row r="237">
      <c r="A237" s="11">
        <f t="shared" si="70"/>
        <v>14</v>
      </c>
      <c r="B237" s="82"/>
      <c r="C237" s="11"/>
      <c r="D237" s="11"/>
      <c r="E237" s="11"/>
    </row>
    <row r="238">
      <c r="A238" s="11">
        <f t="shared" si="70"/>
        <v>15</v>
      </c>
      <c r="B238" s="82"/>
      <c r="C238" s="11"/>
      <c r="D238" s="11"/>
      <c r="E238" s="11"/>
    </row>
    <row r="239">
      <c r="A239" s="11">
        <f t="shared" si="70"/>
        <v>16</v>
      </c>
      <c r="B239" s="82"/>
      <c r="C239" s="11"/>
      <c r="D239" s="11"/>
      <c r="E239" s="11"/>
    </row>
    <row r="240">
      <c r="A240" s="11">
        <f t="shared" si="70"/>
        <v>17</v>
      </c>
      <c r="B240" s="82"/>
      <c r="C240" s="11"/>
      <c r="D240" s="11"/>
      <c r="E240" s="11"/>
    </row>
    <row r="241">
      <c r="A241" s="11">
        <f t="shared" si="70"/>
        <v>18</v>
      </c>
      <c r="B241" s="82"/>
      <c r="C241" s="11"/>
      <c r="D241" s="11"/>
      <c r="E241" s="11"/>
    </row>
    <row r="242">
      <c r="A242" s="11">
        <f t="shared" si="70"/>
        <v>19</v>
      </c>
      <c r="B242" s="82"/>
      <c r="C242" s="11"/>
      <c r="D242" s="11"/>
      <c r="E242" s="11"/>
    </row>
    <row r="243">
      <c r="A243" s="11">
        <f t="shared" si="70"/>
        <v>20</v>
      </c>
      <c r="B243" s="82"/>
      <c r="C243" s="11"/>
      <c r="D243" s="11"/>
      <c r="E243" s="11"/>
    </row>
    <row r="244">
      <c r="A244" s="11">
        <f t="shared" si="70"/>
        <v>21</v>
      </c>
      <c r="B244" s="82"/>
      <c r="C244" s="11"/>
      <c r="D244" s="11"/>
      <c r="E244" s="11"/>
    </row>
    <row r="245">
      <c r="A245" s="11">
        <f t="shared" si="70"/>
        <v>22</v>
      </c>
      <c r="B245" s="82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1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45507.0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'072724'!D2+1</f>
        <v>5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43</v>
      </c>
      <c r="C5" s="32">
        <v>69.0</v>
      </c>
      <c r="D5" s="32">
        <v>9.0</v>
      </c>
      <c r="E5" s="37">
        <v>3.0</v>
      </c>
      <c r="F5" s="39">
        <v>0.0</v>
      </c>
      <c r="G5" s="40">
        <v>9.0</v>
      </c>
      <c r="H5" s="39">
        <v>0.0</v>
      </c>
      <c r="I5" s="39">
        <v>0.0</v>
      </c>
      <c r="J5" s="39">
        <v>0.0</v>
      </c>
      <c r="K5" s="42">
        <v>9.0</v>
      </c>
      <c r="L5" s="39">
        <v>0.0</v>
      </c>
      <c r="M5" s="32">
        <f t="shared" ref="M5:N5" si="1">C5+K5</f>
        <v>78</v>
      </c>
      <c r="N5" s="32">
        <f t="shared" si="1"/>
        <v>9</v>
      </c>
      <c r="O5" s="43" t="s">
        <v>53</v>
      </c>
      <c r="P5" s="43" t="s">
        <v>53</v>
      </c>
      <c r="Q5" s="43" t="s">
        <v>53</v>
      </c>
      <c r="R5" s="39">
        <f>if(G5=13,1,0)+VLOOKUP(B5,'072724'!B:T,17,false)</f>
        <v>1</v>
      </c>
      <c r="S5" s="39"/>
      <c r="T5" s="39">
        <f>if(G5=9,1,0)+VLOOKUP(B5,'072724'!B:T,19,false)</f>
        <v>1</v>
      </c>
    </row>
    <row r="6">
      <c r="A6" s="30">
        <f t="shared" ref="A6:A70" si="3">A5+1</f>
        <v>2</v>
      </c>
      <c r="B6" s="31" t="s">
        <v>34</v>
      </c>
      <c r="C6" s="32">
        <v>60.0</v>
      </c>
      <c r="D6" s="32">
        <v>8.0</v>
      </c>
      <c r="E6" s="37">
        <v>1.0</v>
      </c>
      <c r="F6" s="39"/>
      <c r="G6" s="40">
        <v>0.0</v>
      </c>
      <c r="H6" s="39">
        <v>6.0</v>
      </c>
      <c r="I6" s="39">
        <v>2.0</v>
      </c>
      <c r="J6" s="39">
        <v>0.0</v>
      </c>
      <c r="K6" s="42">
        <v>8.0</v>
      </c>
      <c r="L6" s="39">
        <v>1.0</v>
      </c>
      <c r="M6" s="32">
        <f t="shared" ref="M6:N6" si="2">C6+K6</f>
        <v>68</v>
      </c>
      <c r="N6" s="32">
        <f t="shared" si="2"/>
        <v>9</v>
      </c>
      <c r="O6" s="43" t="s">
        <v>53</v>
      </c>
      <c r="P6" s="43" t="s">
        <v>53</v>
      </c>
      <c r="Q6" s="43" t="s">
        <v>53</v>
      </c>
      <c r="R6" s="39">
        <f>if(G6=13,1,0)+VLOOKUP(B6,'072724'!B:T,17,false)</f>
        <v>0</v>
      </c>
      <c r="S6" s="39"/>
      <c r="T6" s="39">
        <f>if(G6=9,1,0)+VLOOKUP(B6,'072724'!B:T,19,false)</f>
        <v>1</v>
      </c>
    </row>
    <row r="7">
      <c r="A7" s="30">
        <f t="shared" si="3"/>
        <v>3</v>
      </c>
      <c r="B7" s="31" t="s">
        <v>61</v>
      </c>
      <c r="C7" s="32">
        <v>60.0</v>
      </c>
      <c r="D7" s="32">
        <v>7.0</v>
      </c>
      <c r="E7" s="37">
        <v>3.0</v>
      </c>
      <c r="F7" s="39">
        <v>0.0</v>
      </c>
      <c r="G7" s="40">
        <v>9.0</v>
      </c>
      <c r="H7" s="39">
        <v>0.0</v>
      </c>
      <c r="I7" s="39">
        <v>0.0</v>
      </c>
      <c r="J7" s="39">
        <v>0.0</v>
      </c>
      <c r="K7" s="42">
        <v>9.0</v>
      </c>
      <c r="L7" s="39">
        <v>0.0</v>
      </c>
      <c r="M7" s="32">
        <f t="shared" ref="M7:N7" si="4">C7+K7</f>
        <v>69</v>
      </c>
      <c r="N7" s="32">
        <f t="shared" si="4"/>
        <v>7</v>
      </c>
      <c r="O7" s="43" t="s">
        <v>53</v>
      </c>
      <c r="P7" s="43" t="s">
        <v>53</v>
      </c>
      <c r="Q7" s="43" t="s">
        <v>53</v>
      </c>
      <c r="R7" s="39">
        <f>if(G7=13,1,0)+VLOOKUP(B7,'072724'!B:T,17,false)</f>
        <v>0</v>
      </c>
      <c r="S7" s="39"/>
      <c r="T7" s="39">
        <f>if(G7=9,1,0)+VLOOKUP(B7,'072724'!B:T,19,false)</f>
        <v>1</v>
      </c>
    </row>
    <row r="8">
      <c r="A8" s="30">
        <f t="shared" si="3"/>
        <v>4</v>
      </c>
      <c r="B8" s="31" t="s">
        <v>90</v>
      </c>
      <c r="C8" s="32">
        <v>59.0</v>
      </c>
      <c r="D8" s="32">
        <v>7.0</v>
      </c>
      <c r="E8" s="37">
        <v>1.0</v>
      </c>
      <c r="F8" s="39"/>
      <c r="G8" s="40">
        <v>0.0</v>
      </c>
      <c r="H8" s="39">
        <v>1.0</v>
      </c>
      <c r="I8" s="39">
        <v>6.0</v>
      </c>
      <c r="J8" s="39">
        <v>0.0</v>
      </c>
      <c r="K8" s="42">
        <v>7.0</v>
      </c>
      <c r="L8" s="39">
        <v>1.0</v>
      </c>
      <c r="M8" s="32">
        <f t="shared" ref="M8:N8" si="5">C8+K8</f>
        <v>66</v>
      </c>
      <c r="N8" s="32">
        <f t="shared" si="5"/>
        <v>8</v>
      </c>
      <c r="O8" s="43" t="s">
        <v>53</v>
      </c>
      <c r="P8" s="43" t="s">
        <v>53</v>
      </c>
      <c r="Q8" s="43" t="s">
        <v>53</v>
      </c>
      <c r="R8" s="39">
        <f>if(G8=13,1,0)+VLOOKUP(B8,'072724'!B:T,17,false)</f>
        <v>0</v>
      </c>
      <c r="S8" s="39"/>
      <c r="T8" s="39">
        <f>if(G8=9,1,0)+VLOOKUP(B8,'072724'!B:T,19,false)</f>
        <v>0</v>
      </c>
    </row>
    <row r="9">
      <c r="A9" s="30">
        <f t="shared" si="3"/>
        <v>5</v>
      </c>
      <c r="B9" s="51" t="s">
        <v>100</v>
      </c>
      <c r="C9" s="32">
        <v>59.0</v>
      </c>
      <c r="D9" s="32">
        <v>6.0</v>
      </c>
      <c r="E9" s="37">
        <v>1.0</v>
      </c>
      <c r="F9" s="39"/>
      <c r="G9" s="40">
        <v>0.0</v>
      </c>
      <c r="H9" s="39">
        <v>6.0</v>
      </c>
      <c r="I9" s="39">
        <v>6.0</v>
      </c>
      <c r="J9" s="39">
        <v>6.0</v>
      </c>
      <c r="K9" s="42">
        <v>18.0</v>
      </c>
      <c r="L9" s="39">
        <v>3.0</v>
      </c>
      <c r="M9" s="32">
        <f t="shared" ref="M9:N9" si="6">C9+K9</f>
        <v>77</v>
      </c>
      <c r="N9" s="32">
        <f t="shared" si="6"/>
        <v>9</v>
      </c>
      <c r="O9" s="43" t="s">
        <v>53</v>
      </c>
      <c r="P9" s="43" t="s">
        <v>53</v>
      </c>
      <c r="Q9" s="43" t="s">
        <v>53</v>
      </c>
      <c r="R9" s="39">
        <f>if(G9=13,1,0)+VLOOKUP(B9,'072724'!B:T,17,false)</f>
        <v>0</v>
      </c>
      <c r="S9" s="39"/>
      <c r="T9" s="39">
        <f>if(G9=9,1,0)+VLOOKUP(B9,'072724'!B:T,19,false)</f>
        <v>0</v>
      </c>
    </row>
    <row r="10">
      <c r="A10" s="30">
        <f t="shared" si="3"/>
        <v>6</v>
      </c>
      <c r="B10" s="51" t="s">
        <v>54</v>
      </c>
      <c r="C10" s="32">
        <v>58.0</v>
      </c>
      <c r="D10" s="32">
        <v>7.0</v>
      </c>
      <c r="E10" s="37">
        <v>1.0</v>
      </c>
      <c r="F10" s="39"/>
      <c r="G10" s="40">
        <v>0.0</v>
      </c>
      <c r="H10" s="39">
        <v>1.0</v>
      </c>
      <c r="I10" s="39">
        <v>2.0</v>
      </c>
      <c r="J10" s="39">
        <v>6.0</v>
      </c>
      <c r="K10" s="42">
        <v>9.0</v>
      </c>
      <c r="L10" s="39">
        <v>1.0</v>
      </c>
      <c r="M10" s="32">
        <f t="shared" ref="M10:N10" si="7">C10+K10</f>
        <v>67</v>
      </c>
      <c r="N10" s="32">
        <f t="shared" si="7"/>
        <v>8</v>
      </c>
      <c r="O10" s="43" t="s">
        <v>53</v>
      </c>
      <c r="P10" s="43" t="s">
        <v>53</v>
      </c>
      <c r="Q10" s="43" t="s">
        <v>53</v>
      </c>
      <c r="R10" s="39">
        <f>if(G10=13,1,0)+VLOOKUP(B10,'072724'!B:T,17,false)</f>
        <v>0</v>
      </c>
      <c r="S10" s="39"/>
      <c r="T10" s="39">
        <f>if(G10=9,1,0)+VLOOKUP(B10,'072724'!B:T,19,false)</f>
        <v>0</v>
      </c>
    </row>
    <row r="11">
      <c r="A11" s="30">
        <f t="shared" si="3"/>
        <v>7</v>
      </c>
      <c r="B11" s="31" t="s">
        <v>71</v>
      </c>
      <c r="C11" s="32">
        <v>57.0</v>
      </c>
      <c r="D11" s="32">
        <v>7.0</v>
      </c>
      <c r="E11" s="37">
        <v>1.0</v>
      </c>
      <c r="F11" s="39"/>
      <c r="G11" s="40">
        <v>0.0</v>
      </c>
      <c r="H11" s="39">
        <v>6.0</v>
      </c>
      <c r="I11" s="39">
        <v>3.0</v>
      </c>
      <c r="J11" s="39">
        <v>6.0</v>
      </c>
      <c r="K11" s="42">
        <v>15.0</v>
      </c>
      <c r="L11" s="39">
        <v>2.0</v>
      </c>
      <c r="M11" s="32">
        <f t="shared" ref="M11:N11" si="8">C11+K11</f>
        <v>72</v>
      </c>
      <c r="N11" s="32">
        <f t="shared" si="8"/>
        <v>9</v>
      </c>
      <c r="O11" s="43" t="s">
        <v>53</v>
      </c>
      <c r="P11" s="43" t="s">
        <v>53</v>
      </c>
      <c r="Q11" s="43" t="s">
        <v>53</v>
      </c>
      <c r="R11" s="39">
        <f>if(G11=13,1,0)+VLOOKUP(B11,'072724'!B:T,17,false)</f>
        <v>0</v>
      </c>
      <c r="S11" s="39"/>
      <c r="T11" s="39">
        <f>if(G11=9,1,0)+VLOOKUP(B11,'072724'!B:T,19,false)</f>
        <v>0</v>
      </c>
    </row>
    <row r="12">
      <c r="A12" s="30">
        <f t="shared" si="3"/>
        <v>8</v>
      </c>
      <c r="B12" s="51" t="s">
        <v>87</v>
      </c>
      <c r="C12" s="32">
        <v>57.0</v>
      </c>
      <c r="D12" s="32">
        <v>7.0</v>
      </c>
      <c r="E12" s="37">
        <v>2.0</v>
      </c>
      <c r="F12" s="39"/>
      <c r="G12" s="40">
        <v>0.0</v>
      </c>
      <c r="H12" s="39">
        <v>6.0</v>
      </c>
      <c r="I12" s="39">
        <v>6.0</v>
      </c>
      <c r="J12" s="39">
        <v>3.0</v>
      </c>
      <c r="K12" s="42">
        <v>15.0</v>
      </c>
      <c r="L12" s="39">
        <v>2.0</v>
      </c>
      <c r="M12" s="32">
        <f t="shared" ref="M12:N12" si="9">C12+K12</f>
        <v>72</v>
      </c>
      <c r="N12" s="32">
        <f t="shared" si="9"/>
        <v>9</v>
      </c>
      <c r="O12" s="43" t="s">
        <v>53</v>
      </c>
      <c r="P12" s="43" t="s">
        <v>53</v>
      </c>
      <c r="Q12" s="43" t="s">
        <v>53</v>
      </c>
      <c r="R12" s="39">
        <f>if(G12=13,1,0)+VLOOKUP(B12,'072724'!B:T,17,false)</f>
        <v>0</v>
      </c>
      <c r="S12" s="39"/>
      <c r="T12" s="39">
        <f>if(G12=9,1,0)+VLOOKUP(B12,'072724'!B:T,19,false)</f>
        <v>0</v>
      </c>
    </row>
    <row r="13">
      <c r="A13" s="30">
        <f t="shared" si="3"/>
        <v>9</v>
      </c>
      <c r="B13" s="31" t="s">
        <v>91</v>
      </c>
      <c r="C13" s="32">
        <v>57.0</v>
      </c>
      <c r="D13" s="32">
        <v>6.0</v>
      </c>
      <c r="E13" s="37">
        <v>1.0</v>
      </c>
      <c r="F13" s="39"/>
      <c r="G13" s="40">
        <v>0.0</v>
      </c>
      <c r="H13" s="39">
        <v>4.0</v>
      </c>
      <c r="I13" s="39">
        <v>6.0</v>
      </c>
      <c r="J13" s="39">
        <v>6.0</v>
      </c>
      <c r="K13" s="42">
        <v>16.0</v>
      </c>
      <c r="L13" s="39">
        <v>2.0</v>
      </c>
      <c r="M13" s="32">
        <f t="shared" ref="M13:N13" si="10">C13+K13</f>
        <v>73</v>
      </c>
      <c r="N13" s="32">
        <f t="shared" si="10"/>
        <v>8</v>
      </c>
      <c r="O13" s="43" t="s">
        <v>53</v>
      </c>
      <c r="P13" s="43" t="s">
        <v>53</v>
      </c>
      <c r="Q13" s="43" t="s">
        <v>53</v>
      </c>
      <c r="R13" s="39">
        <f>if(G13=13,1,0)+VLOOKUP(B13,'072724'!B:T,17,false)</f>
        <v>0</v>
      </c>
      <c r="S13" s="39"/>
      <c r="T13" s="39">
        <f>if(G13=9,1,0)+VLOOKUP(B13,'072724'!B:T,19,false)</f>
        <v>1</v>
      </c>
    </row>
    <row r="14">
      <c r="A14" s="30">
        <f t="shared" si="3"/>
        <v>10</v>
      </c>
      <c r="B14" s="31" t="s">
        <v>105</v>
      </c>
      <c r="C14" s="32">
        <v>55.0</v>
      </c>
      <c r="D14" s="32">
        <v>5.0</v>
      </c>
      <c r="E14" s="37">
        <v>1.0</v>
      </c>
      <c r="F14" s="39"/>
      <c r="G14" s="40">
        <v>0.0</v>
      </c>
      <c r="H14" s="39">
        <v>4.0</v>
      </c>
      <c r="I14" s="39">
        <v>3.0</v>
      </c>
      <c r="J14" s="39">
        <v>3.0</v>
      </c>
      <c r="K14" s="42">
        <v>10.0</v>
      </c>
      <c r="L14" s="39">
        <v>0.0</v>
      </c>
      <c r="M14" s="32">
        <f t="shared" ref="M14:N14" si="11">C14+K14</f>
        <v>65</v>
      </c>
      <c r="N14" s="32">
        <f t="shared" si="11"/>
        <v>5</v>
      </c>
      <c r="O14" s="43" t="s">
        <v>53</v>
      </c>
      <c r="P14" s="43" t="s">
        <v>53</v>
      </c>
      <c r="Q14" s="43" t="s">
        <v>53</v>
      </c>
      <c r="R14" s="39">
        <f>if(G14=13,1,0)+VLOOKUP(B14,'072724'!B:T,17,false)</f>
        <v>0</v>
      </c>
      <c r="S14" s="39"/>
      <c r="T14" s="39">
        <f>if(G14=9,1,0)+VLOOKUP(B14,'072724'!B:T,19,false)</f>
        <v>1</v>
      </c>
    </row>
    <row r="15">
      <c r="A15" s="30">
        <f t="shared" si="3"/>
        <v>11</v>
      </c>
      <c r="B15" s="51" t="s">
        <v>94</v>
      </c>
      <c r="C15" s="32">
        <v>54.0</v>
      </c>
      <c r="D15" s="32">
        <v>5.0</v>
      </c>
      <c r="E15" s="37">
        <v>3.0</v>
      </c>
      <c r="F15" s="39">
        <v>0.0</v>
      </c>
      <c r="G15" s="40">
        <v>9.0</v>
      </c>
      <c r="H15" s="39">
        <v>0.0</v>
      </c>
      <c r="I15" s="39">
        <v>0.0</v>
      </c>
      <c r="J15" s="39">
        <v>0.0</v>
      </c>
      <c r="K15" s="42">
        <v>9.0</v>
      </c>
      <c r="L15" s="39">
        <v>0.0</v>
      </c>
      <c r="M15" s="32">
        <f t="shared" ref="M15:N15" si="12">C15+K15</f>
        <v>63</v>
      </c>
      <c r="N15" s="32">
        <f t="shared" si="12"/>
        <v>5</v>
      </c>
      <c r="O15" s="43" t="s">
        <v>53</v>
      </c>
      <c r="P15" s="43" t="s">
        <v>53</v>
      </c>
      <c r="Q15" s="43" t="s">
        <v>53</v>
      </c>
      <c r="R15" s="39">
        <f>if(G15=13,1,0)+VLOOKUP(B15,'072724'!B:T,17,false)</f>
        <v>0</v>
      </c>
      <c r="S15" s="39"/>
      <c r="T15" s="39">
        <f>if(G15=9,1,0)+VLOOKUP(B15,'072724'!B:T,19,false)</f>
        <v>2</v>
      </c>
    </row>
    <row r="16">
      <c r="A16" s="30">
        <f t="shared" si="3"/>
        <v>12</v>
      </c>
      <c r="B16" s="51" t="s">
        <v>78</v>
      </c>
      <c r="C16" s="32">
        <v>54.0</v>
      </c>
      <c r="D16" s="32">
        <v>5.0</v>
      </c>
      <c r="E16" s="37">
        <v>1.0</v>
      </c>
      <c r="F16" s="39"/>
      <c r="G16" s="40">
        <v>0.0</v>
      </c>
      <c r="H16" s="39">
        <v>3.0</v>
      </c>
      <c r="I16" s="39">
        <v>4.0</v>
      </c>
      <c r="J16" s="39">
        <v>4.0</v>
      </c>
      <c r="K16" s="42">
        <v>11.0</v>
      </c>
      <c r="L16" s="39">
        <v>0.0</v>
      </c>
      <c r="M16" s="32">
        <f t="shared" ref="M16:N16" si="13">C16+K16</f>
        <v>65</v>
      </c>
      <c r="N16" s="32">
        <f t="shared" si="13"/>
        <v>5</v>
      </c>
      <c r="O16" s="43" t="s">
        <v>53</v>
      </c>
      <c r="P16" s="43" t="s">
        <v>53</v>
      </c>
      <c r="Q16" s="43" t="s">
        <v>53</v>
      </c>
      <c r="R16" s="39">
        <f>if(G16=13,1,0)+VLOOKUP(B16,'072724'!B:T,17,false)</f>
        <v>0</v>
      </c>
      <c r="S16" s="39"/>
      <c r="T16" s="39">
        <f>if(G16=9,1,0)+VLOOKUP(B16,'072724'!B:T,19,false)</f>
        <v>0</v>
      </c>
    </row>
    <row r="17">
      <c r="A17" s="30">
        <f t="shared" si="3"/>
        <v>13</v>
      </c>
      <c r="B17" s="51" t="s">
        <v>103</v>
      </c>
      <c r="C17" s="32">
        <v>54.0</v>
      </c>
      <c r="D17" s="32">
        <v>5.0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4">C17+K17</f>
        <v>63</v>
      </c>
      <c r="N17" s="32">
        <f t="shared" si="14"/>
        <v>5</v>
      </c>
      <c r="O17" s="43" t="s">
        <v>53</v>
      </c>
      <c r="P17" s="43" t="s">
        <v>53</v>
      </c>
      <c r="Q17" s="43" t="s">
        <v>53</v>
      </c>
      <c r="R17" s="39">
        <f>if(G17=13,1,0)+VLOOKUP(B17,'072724'!B:T,17,false)</f>
        <v>0</v>
      </c>
      <c r="S17" s="39"/>
      <c r="T17" s="39">
        <f>if(G17=9,1,0)+VLOOKUP(B17,'072724'!B:T,19,false)</f>
        <v>2</v>
      </c>
    </row>
    <row r="18">
      <c r="A18" s="30">
        <f t="shared" si="3"/>
        <v>14</v>
      </c>
      <c r="B18" s="51" t="s">
        <v>84</v>
      </c>
      <c r="C18" s="32">
        <v>53.0</v>
      </c>
      <c r="D18" s="32">
        <v>5.0</v>
      </c>
      <c r="E18" s="37">
        <v>1.0</v>
      </c>
      <c r="F18" s="39"/>
      <c r="G18" s="40">
        <v>0.0</v>
      </c>
      <c r="H18" s="39">
        <v>6.0</v>
      </c>
      <c r="I18" s="39">
        <v>6.0</v>
      </c>
      <c r="J18" s="39">
        <v>4.0</v>
      </c>
      <c r="K18" s="42">
        <v>16.0</v>
      </c>
      <c r="L18" s="39">
        <v>2.0</v>
      </c>
      <c r="M18" s="32">
        <f t="shared" ref="M18:N18" si="15">C18+K18</f>
        <v>69</v>
      </c>
      <c r="N18" s="32">
        <f t="shared" si="15"/>
        <v>7</v>
      </c>
      <c r="O18" s="43" t="s">
        <v>53</v>
      </c>
      <c r="P18" s="43" t="s">
        <v>53</v>
      </c>
      <c r="Q18" s="43" t="s">
        <v>53</v>
      </c>
      <c r="R18" s="39">
        <f>if(G18=13,1,0)+VLOOKUP(B18,'072724'!B:T,17,false)</f>
        <v>0</v>
      </c>
      <c r="S18" s="39"/>
      <c r="T18" s="39">
        <f>if(G18=9,1,0)+VLOOKUP(B18,'072724'!B:T,19,false)</f>
        <v>0</v>
      </c>
    </row>
    <row r="19">
      <c r="A19" s="30">
        <f t="shared" si="3"/>
        <v>15</v>
      </c>
      <c r="B19" s="51" t="s">
        <v>104</v>
      </c>
      <c r="C19" s="32">
        <v>53.0</v>
      </c>
      <c r="D19" s="32">
        <v>5.0</v>
      </c>
      <c r="E19" s="37">
        <v>1.0</v>
      </c>
      <c r="F19" s="39"/>
      <c r="G19" s="40">
        <v>0.0</v>
      </c>
      <c r="H19" s="39">
        <v>6.0</v>
      </c>
      <c r="I19" s="39">
        <v>4.0</v>
      </c>
      <c r="J19" s="39">
        <v>6.0</v>
      </c>
      <c r="K19" s="42">
        <v>16.0</v>
      </c>
      <c r="L19" s="39">
        <v>2.0</v>
      </c>
      <c r="M19" s="32">
        <f t="shared" ref="M19:N19" si="16">C19+K19</f>
        <v>69</v>
      </c>
      <c r="N19" s="32">
        <f t="shared" si="16"/>
        <v>7</v>
      </c>
      <c r="O19" s="43" t="s">
        <v>53</v>
      </c>
      <c r="P19" s="43" t="s">
        <v>53</v>
      </c>
      <c r="Q19" s="43" t="s">
        <v>53</v>
      </c>
      <c r="R19" s="39">
        <f>if(G19=13,1,0)+VLOOKUP(B19,'072724'!B:T,17,false)</f>
        <v>0</v>
      </c>
      <c r="S19" s="39"/>
      <c r="T19" s="39">
        <f>if(G19=9,1,0)+VLOOKUP(B19,'072724'!B:T,19,false)</f>
        <v>0</v>
      </c>
    </row>
    <row r="20">
      <c r="A20" s="30">
        <f t="shared" si="3"/>
        <v>16</v>
      </c>
      <c r="B20" s="31" t="s">
        <v>82</v>
      </c>
      <c r="C20" s="32">
        <v>52.0</v>
      </c>
      <c r="D20" s="32">
        <v>5.0</v>
      </c>
      <c r="E20" s="37">
        <v>2.0</v>
      </c>
      <c r="F20" s="39"/>
      <c r="G20" s="40">
        <v>0.0</v>
      </c>
      <c r="H20" s="39">
        <v>3.0</v>
      </c>
      <c r="I20" s="39">
        <v>6.0</v>
      </c>
      <c r="J20" s="39">
        <v>6.0</v>
      </c>
      <c r="K20" s="42">
        <v>15.0</v>
      </c>
      <c r="L20" s="39">
        <v>2.0</v>
      </c>
      <c r="M20" s="32">
        <f t="shared" ref="M20:N20" si="17">C20+K20</f>
        <v>67</v>
      </c>
      <c r="N20" s="32">
        <f t="shared" si="17"/>
        <v>7</v>
      </c>
      <c r="O20" s="43" t="s">
        <v>53</v>
      </c>
      <c r="P20" s="43" t="s">
        <v>53</v>
      </c>
      <c r="Q20" s="43" t="s">
        <v>53</v>
      </c>
      <c r="R20" s="39">
        <f>if(G20=13,1,0)+VLOOKUP(B20,'072724'!B:T,17,false)</f>
        <v>0</v>
      </c>
      <c r="S20" s="39"/>
      <c r="T20" s="39">
        <f>if(G20=9,1,0)+VLOOKUP(B20,'072724'!B:T,19,false)</f>
        <v>2</v>
      </c>
    </row>
    <row r="21">
      <c r="A21" s="30">
        <f t="shared" si="3"/>
        <v>17</v>
      </c>
      <c r="B21" s="31" t="s">
        <v>86</v>
      </c>
      <c r="C21" s="32">
        <v>52.0</v>
      </c>
      <c r="D21" s="32">
        <v>5.0</v>
      </c>
      <c r="E21" s="37">
        <v>2.0</v>
      </c>
      <c r="F21" s="39"/>
      <c r="G21" s="40">
        <v>0.0</v>
      </c>
      <c r="H21" s="39">
        <v>1.0</v>
      </c>
      <c r="I21" s="39">
        <v>0.0</v>
      </c>
      <c r="J21" s="39">
        <v>6.0</v>
      </c>
      <c r="K21" s="42">
        <v>7.0</v>
      </c>
      <c r="L21" s="39">
        <v>1.0</v>
      </c>
      <c r="M21" s="32">
        <f t="shared" ref="M21:N21" si="18">C21+K21</f>
        <v>59</v>
      </c>
      <c r="N21" s="32">
        <f t="shared" si="18"/>
        <v>6</v>
      </c>
      <c r="O21" s="43" t="s">
        <v>53</v>
      </c>
      <c r="P21" s="43" t="s">
        <v>53</v>
      </c>
      <c r="Q21" s="43" t="s">
        <v>53</v>
      </c>
      <c r="R21" s="39">
        <f>if(G21=13,1,0)+VLOOKUP(B21,'072724'!B:T,17,false)</f>
        <v>1</v>
      </c>
      <c r="S21" s="39"/>
      <c r="T21" s="39">
        <f>if(G21=9,1,0)+VLOOKUP(B21,'072724'!B:T,19,false)</f>
        <v>0</v>
      </c>
    </row>
    <row r="22">
      <c r="A22" s="30">
        <f t="shared" si="3"/>
        <v>18</v>
      </c>
      <c r="B22" s="31" t="s">
        <v>66</v>
      </c>
      <c r="C22" s="32">
        <v>52.0</v>
      </c>
      <c r="D22" s="32">
        <v>4.0</v>
      </c>
      <c r="E22" s="37">
        <v>2.0</v>
      </c>
      <c r="F22" s="39"/>
      <c r="G22" s="40">
        <v>0.0</v>
      </c>
      <c r="H22" s="39">
        <v>6.0</v>
      </c>
      <c r="I22" s="39">
        <v>0.0</v>
      </c>
      <c r="J22" s="39">
        <v>1.0</v>
      </c>
      <c r="K22" s="42">
        <v>7.0</v>
      </c>
      <c r="L22" s="39">
        <v>1.0</v>
      </c>
      <c r="M22" s="32">
        <f t="shared" ref="M22:N22" si="19">C22+K22</f>
        <v>59</v>
      </c>
      <c r="N22" s="32">
        <f t="shared" si="19"/>
        <v>5</v>
      </c>
      <c r="O22" s="43" t="s">
        <v>53</v>
      </c>
      <c r="P22" s="43" t="s">
        <v>53</v>
      </c>
      <c r="Q22" s="43" t="s">
        <v>53</v>
      </c>
      <c r="R22" s="39">
        <f>if(G22=13,1,0)+VLOOKUP(B22,'072724'!B:T,17,false)</f>
        <v>1</v>
      </c>
      <c r="S22" s="39"/>
      <c r="T22" s="39">
        <f>if(G22=9,1,0)+VLOOKUP(B22,'072724'!B:T,19,false)</f>
        <v>1</v>
      </c>
    </row>
    <row r="23">
      <c r="A23" s="30">
        <f t="shared" si="3"/>
        <v>19</v>
      </c>
      <c r="B23" s="51" t="s">
        <v>92</v>
      </c>
      <c r="C23" s="32">
        <v>52.0</v>
      </c>
      <c r="D23" s="32">
        <v>4.0</v>
      </c>
      <c r="E23" s="37">
        <v>1.0</v>
      </c>
      <c r="F23" s="39"/>
      <c r="G23" s="40">
        <v>0.0</v>
      </c>
      <c r="H23" s="39">
        <v>6.0</v>
      </c>
      <c r="I23" s="39">
        <v>6.0</v>
      </c>
      <c r="J23" s="39">
        <v>6.0</v>
      </c>
      <c r="K23" s="42">
        <v>18.0</v>
      </c>
      <c r="L23" s="39">
        <v>3.0</v>
      </c>
      <c r="M23" s="32">
        <f t="shared" ref="M23:N23" si="20">C23+K23</f>
        <v>70</v>
      </c>
      <c r="N23" s="32">
        <f t="shared" si="20"/>
        <v>7</v>
      </c>
      <c r="O23" s="43" t="s">
        <v>53</v>
      </c>
      <c r="P23" s="43" t="s">
        <v>53</v>
      </c>
      <c r="Q23" s="43" t="s">
        <v>53</v>
      </c>
      <c r="R23" s="39">
        <f>if(G23=13,1,0)+VLOOKUP(B23,'072724'!B:T,17,false)</f>
        <v>1</v>
      </c>
      <c r="S23" s="39"/>
      <c r="T23" s="39">
        <f>if(G23=9,1,0)+VLOOKUP(B23,'072724'!B:T,19,false)</f>
        <v>1</v>
      </c>
    </row>
    <row r="24">
      <c r="A24" s="30">
        <f t="shared" si="3"/>
        <v>20</v>
      </c>
      <c r="B24" s="51" t="s">
        <v>93</v>
      </c>
      <c r="C24" s="32">
        <v>50.0</v>
      </c>
      <c r="D24" s="32">
        <v>4.0</v>
      </c>
      <c r="E24" s="37">
        <v>1.0</v>
      </c>
      <c r="F24" s="39"/>
      <c r="G24" s="40">
        <v>0.0</v>
      </c>
      <c r="H24" s="39">
        <v>1.0</v>
      </c>
      <c r="I24" s="39">
        <v>6.0</v>
      </c>
      <c r="J24" s="39">
        <v>1.0</v>
      </c>
      <c r="K24" s="42">
        <v>8.0</v>
      </c>
      <c r="L24" s="39">
        <v>1.0</v>
      </c>
      <c r="M24" s="32">
        <f t="shared" ref="M24:N24" si="21">C24+K24</f>
        <v>58</v>
      </c>
      <c r="N24" s="32">
        <f t="shared" si="21"/>
        <v>5</v>
      </c>
      <c r="O24" s="43" t="s">
        <v>53</v>
      </c>
      <c r="P24" s="43" t="s">
        <v>53</v>
      </c>
      <c r="Q24" s="43" t="s">
        <v>53</v>
      </c>
      <c r="R24" s="39">
        <f>if(G24=13,1,0)+VLOOKUP(B24,'072724'!B:T,17,false)</f>
        <v>0</v>
      </c>
      <c r="S24" s="39"/>
      <c r="T24" s="39">
        <f>if(G24=9,1,0)+VLOOKUP(B24,'072724'!B:T,19,false)</f>
        <v>1</v>
      </c>
    </row>
    <row r="25">
      <c r="A25" s="30">
        <f t="shared" si="3"/>
        <v>21</v>
      </c>
      <c r="B25" s="51" t="s">
        <v>114</v>
      </c>
      <c r="C25" s="32">
        <v>49.0</v>
      </c>
      <c r="D25" s="32">
        <v>5.0</v>
      </c>
      <c r="E25" s="37">
        <v>2.0</v>
      </c>
      <c r="F25" s="39"/>
      <c r="G25" s="40">
        <v>0.0</v>
      </c>
      <c r="H25" s="39">
        <v>1.0</v>
      </c>
      <c r="I25" s="39">
        <v>5.0</v>
      </c>
      <c r="J25" s="39">
        <v>6.0</v>
      </c>
      <c r="K25" s="42">
        <v>12.0</v>
      </c>
      <c r="L25" s="39">
        <v>1.0</v>
      </c>
      <c r="M25" s="32">
        <f t="shared" ref="M25:N25" si="22">C25+K25</f>
        <v>61</v>
      </c>
      <c r="N25" s="32">
        <f t="shared" si="22"/>
        <v>6</v>
      </c>
      <c r="O25" s="43" t="s">
        <v>53</v>
      </c>
      <c r="P25" s="43" t="s">
        <v>53</v>
      </c>
      <c r="Q25" s="43" t="s">
        <v>53</v>
      </c>
      <c r="R25" s="39">
        <f>if(G25=13,1,0)+VLOOKUP(B25,'072724'!B:T,17,false)</f>
        <v>0</v>
      </c>
      <c r="S25" s="39"/>
      <c r="T25" s="39">
        <f>if(G25=9,1,0)+VLOOKUP(B25,'072724'!B:T,19,false)</f>
        <v>1</v>
      </c>
    </row>
    <row r="26">
      <c r="A26" s="30">
        <f t="shared" si="3"/>
        <v>22</v>
      </c>
      <c r="B26" s="56" t="s">
        <v>65</v>
      </c>
      <c r="C26" s="32">
        <v>49.0</v>
      </c>
      <c r="D26" s="32">
        <v>4.0</v>
      </c>
      <c r="E26" s="37">
        <v>3.0</v>
      </c>
      <c r="F26" s="39">
        <v>0.0</v>
      </c>
      <c r="G26" s="40">
        <v>9.0</v>
      </c>
      <c r="H26" s="39">
        <v>0.0</v>
      </c>
      <c r="I26" s="39">
        <v>0.0</v>
      </c>
      <c r="J26" s="39">
        <v>0.0</v>
      </c>
      <c r="K26" s="42">
        <v>9.0</v>
      </c>
      <c r="L26" s="39">
        <v>0.0</v>
      </c>
      <c r="M26" s="32">
        <f t="shared" ref="M26:N26" si="23">C26+K26</f>
        <v>58</v>
      </c>
      <c r="N26" s="32">
        <f t="shared" si="23"/>
        <v>4</v>
      </c>
      <c r="O26" s="43" t="s">
        <v>53</v>
      </c>
      <c r="P26" s="43" t="s">
        <v>53</v>
      </c>
      <c r="Q26" s="43" t="s">
        <v>53</v>
      </c>
      <c r="R26" s="39">
        <f>if(G26=13,1,0)+VLOOKUP(B26,'072724'!B:T,17,false)</f>
        <v>0</v>
      </c>
      <c r="S26" s="39"/>
      <c r="T26" s="39">
        <f>if(G26=9,1,0)+VLOOKUP(B26,'072724'!B:T,19,false)</f>
        <v>3</v>
      </c>
    </row>
    <row r="27">
      <c r="A27" s="30">
        <f t="shared" si="3"/>
        <v>23</v>
      </c>
      <c r="B27" s="31" t="s">
        <v>119</v>
      </c>
      <c r="C27" s="32">
        <v>49.0</v>
      </c>
      <c r="D27" s="32">
        <v>4.0</v>
      </c>
      <c r="E27" s="37">
        <v>3.0</v>
      </c>
      <c r="F27" s="39">
        <v>0.0</v>
      </c>
      <c r="G27" s="40">
        <v>9.0</v>
      </c>
      <c r="H27" s="39">
        <v>0.0</v>
      </c>
      <c r="I27" s="39">
        <v>0.0</v>
      </c>
      <c r="J27" s="39">
        <v>0.0</v>
      </c>
      <c r="K27" s="42">
        <v>9.0</v>
      </c>
      <c r="L27" s="39">
        <v>0.0</v>
      </c>
      <c r="M27" s="32">
        <f t="shared" ref="M27:N27" si="24">C27+K27</f>
        <v>58</v>
      </c>
      <c r="N27" s="32">
        <f t="shared" si="24"/>
        <v>4</v>
      </c>
      <c r="O27" s="43" t="s">
        <v>53</v>
      </c>
      <c r="P27" s="43" t="s">
        <v>53</v>
      </c>
      <c r="Q27" s="43" t="s">
        <v>53</v>
      </c>
      <c r="R27" s="39">
        <f>if(G27=13,1,0)+VLOOKUP(B27,'072724'!B:T,17,false)</f>
        <v>0</v>
      </c>
      <c r="S27" s="39"/>
      <c r="T27" s="39">
        <f>if(G27=9,1,0)+VLOOKUP(B27,'072724'!B:T,19,false)</f>
        <v>3</v>
      </c>
    </row>
    <row r="28">
      <c r="A28" s="30">
        <f t="shared" si="3"/>
        <v>24</v>
      </c>
      <c r="B28" s="31" t="s">
        <v>83</v>
      </c>
      <c r="C28" s="32">
        <v>49.0</v>
      </c>
      <c r="D28" s="32">
        <v>3.0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5">C28+K28</f>
        <v>58</v>
      </c>
      <c r="N28" s="32">
        <f t="shared" si="25"/>
        <v>3</v>
      </c>
      <c r="O28" s="43" t="s">
        <v>53</v>
      </c>
      <c r="P28" s="43" t="s">
        <v>53</v>
      </c>
      <c r="Q28" s="43" t="s">
        <v>53</v>
      </c>
      <c r="R28" s="39">
        <f>if(G28=13,1,0)+VLOOKUP(B28,'072724'!B:T,17,false)</f>
        <v>0</v>
      </c>
      <c r="S28" s="39"/>
      <c r="T28" s="39">
        <f>if(G28=9,1,0)+VLOOKUP(B28,'072724'!B:T,19,false)</f>
        <v>3</v>
      </c>
    </row>
    <row r="29">
      <c r="A29" s="30">
        <f t="shared" si="3"/>
        <v>25</v>
      </c>
      <c r="B29" s="31" t="s">
        <v>96</v>
      </c>
      <c r="C29" s="32">
        <v>48.0</v>
      </c>
      <c r="D29" s="32">
        <v>6.0</v>
      </c>
      <c r="E29" s="37">
        <v>4.0</v>
      </c>
      <c r="F29" s="39">
        <v>0.0</v>
      </c>
      <c r="G29" s="40">
        <v>9.0</v>
      </c>
      <c r="H29" s="39">
        <v>0.0</v>
      </c>
      <c r="I29" s="39">
        <v>0.0</v>
      </c>
      <c r="J29" s="39">
        <v>0.0</v>
      </c>
      <c r="K29" s="42">
        <v>9.0</v>
      </c>
      <c r="L29" s="39">
        <v>0.0</v>
      </c>
      <c r="M29" s="32">
        <f t="shared" ref="M29:N29" si="26">C29+K29</f>
        <v>57</v>
      </c>
      <c r="N29" s="32">
        <f t="shared" si="26"/>
        <v>6</v>
      </c>
      <c r="O29" s="43" t="s">
        <v>53</v>
      </c>
      <c r="P29" s="43" t="s">
        <v>53</v>
      </c>
      <c r="Q29" s="43" t="s">
        <v>53</v>
      </c>
      <c r="R29" s="39">
        <f>if(G29=13,1,0)+VLOOKUP(B29,'072724'!B:T,17,false)</f>
        <v>0</v>
      </c>
      <c r="S29" s="39"/>
      <c r="T29" s="39">
        <f>if(G29=9,1,0)+VLOOKUP(B29,'072724'!B:T,19,false)</f>
        <v>2</v>
      </c>
    </row>
    <row r="30">
      <c r="A30" s="30">
        <f t="shared" si="3"/>
        <v>26</v>
      </c>
      <c r="B30" s="56" t="s">
        <v>110</v>
      </c>
      <c r="C30" s="32">
        <v>47.0</v>
      </c>
      <c r="D30" s="32">
        <v>2.0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7">C30+K30</f>
        <v>56</v>
      </c>
      <c r="N30" s="32">
        <f t="shared" si="27"/>
        <v>2</v>
      </c>
      <c r="O30" s="43" t="s">
        <v>53</v>
      </c>
      <c r="P30" s="43" t="s">
        <v>53</v>
      </c>
      <c r="Q30" s="43" t="s">
        <v>53</v>
      </c>
      <c r="R30" s="39">
        <f>if(G30=13,1,0)+VLOOKUP(B30,'072724'!B:T,17,false)</f>
        <v>1</v>
      </c>
      <c r="S30" s="39"/>
      <c r="T30" s="39">
        <f>if(G30=9,1,0)+VLOOKUP(B30,'072724'!B:T,19,false)</f>
        <v>2</v>
      </c>
    </row>
    <row r="31">
      <c r="A31" s="30">
        <f t="shared" si="3"/>
        <v>27</v>
      </c>
      <c r="B31" s="31" t="s">
        <v>89</v>
      </c>
      <c r="C31" s="32">
        <v>47.0</v>
      </c>
      <c r="D31" s="32">
        <v>2.0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8">C31+K31</f>
        <v>56</v>
      </c>
      <c r="N31" s="32">
        <f t="shared" si="28"/>
        <v>2</v>
      </c>
      <c r="O31" s="43" t="s">
        <v>53</v>
      </c>
      <c r="P31" s="43" t="s">
        <v>53</v>
      </c>
      <c r="Q31" s="43" t="s">
        <v>53</v>
      </c>
      <c r="R31" s="39">
        <f>if(G31=13,1,0)+VLOOKUP(B31,'072724'!B:T,17,false)</f>
        <v>2</v>
      </c>
      <c r="S31" s="39"/>
      <c r="T31" s="39">
        <f>if(G31=9,1,0)+VLOOKUP(B31,'072724'!B:T,19,false)</f>
        <v>2</v>
      </c>
    </row>
    <row r="32">
      <c r="A32" s="30">
        <f t="shared" si="3"/>
        <v>28</v>
      </c>
      <c r="B32" s="31" t="s">
        <v>68</v>
      </c>
      <c r="C32" s="32">
        <v>46.0</v>
      </c>
      <c r="D32" s="32">
        <v>3.0</v>
      </c>
      <c r="E32" s="37">
        <v>2.0</v>
      </c>
      <c r="F32" s="39"/>
      <c r="G32" s="40">
        <v>0.0</v>
      </c>
      <c r="H32" s="39">
        <v>6.0</v>
      </c>
      <c r="I32" s="39">
        <v>7.0</v>
      </c>
      <c r="J32" s="39">
        <v>6.0</v>
      </c>
      <c r="K32" s="42">
        <v>19.0</v>
      </c>
      <c r="L32" s="39">
        <v>3.0</v>
      </c>
      <c r="M32" s="32">
        <f t="shared" ref="M32:N32" si="29">C32+K32</f>
        <v>65</v>
      </c>
      <c r="N32" s="32">
        <f t="shared" si="29"/>
        <v>6</v>
      </c>
      <c r="O32" s="43" t="s">
        <v>53</v>
      </c>
      <c r="P32" s="43" t="s">
        <v>53</v>
      </c>
      <c r="Q32" s="43" t="s">
        <v>53</v>
      </c>
      <c r="R32" s="39">
        <f>if(G32=13,1,0)+VLOOKUP(B32,'072724'!B:T,17,false)</f>
        <v>0</v>
      </c>
      <c r="S32" s="39"/>
      <c r="T32" s="39">
        <f>if(G32=9,1,0)+VLOOKUP(B32,'072724'!B:T,19,false)</f>
        <v>1</v>
      </c>
    </row>
    <row r="33">
      <c r="A33" s="30">
        <f t="shared" si="3"/>
        <v>29</v>
      </c>
      <c r="B33" s="31" t="s">
        <v>125</v>
      </c>
      <c r="C33" s="32">
        <v>45.0</v>
      </c>
      <c r="D33" s="32">
        <v>3.0</v>
      </c>
      <c r="E33" s="37">
        <v>3.0</v>
      </c>
      <c r="F33" s="39">
        <v>0.0</v>
      </c>
      <c r="G33" s="40">
        <v>9.0</v>
      </c>
      <c r="H33" s="39">
        <v>0.0</v>
      </c>
      <c r="I33" s="39">
        <v>0.0</v>
      </c>
      <c r="J33" s="39">
        <v>0.0</v>
      </c>
      <c r="K33" s="42">
        <v>9.0</v>
      </c>
      <c r="L33" s="39">
        <v>0.0</v>
      </c>
      <c r="M33" s="32">
        <f t="shared" ref="M33:N33" si="30">C33+K33</f>
        <v>54</v>
      </c>
      <c r="N33" s="32">
        <f t="shared" si="30"/>
        <v>3</v>
      </c>
      <c r="O33" s="43" t="s">
        <v>53</v>
      </c>
      <c r="P33" s="43" t="s">
        <v>53</v>
      </c>
      <c r="Q33" s="43" t="s">
        <v>53</v>
      </c>
      <c r="R33" s="39">
        <f>if(G33=13,1,0)+VLOOKUP(B33,'072724'!B:T,17,false)</f>
        <v>0</v>
      </c>
      <c r="S33" s="39"/>
      <c r="T33" s="39">
        <f>if(G33=9,1,0)+VLOOKUP(B33,'072724'!B:T,19,false)</f>
        <v>4</v>
      </c>
    </row>
    <row r="34">
      <c r="A34" s="30">
        <f t="shared" si="3"/>
        <v>30</v>
      </c>
      <c r="B34" s="56" t="s">
        <v>122</v>
      </c>
      <c r="C34" s="32">
        <v>45.0</v>
      </c>
      <c r="D34" s="32">
        <v>2.0</v>
      </c>
      <c r="E34" s="37">
        <v>1.0</v>
      </c>
      <c r="F34" s="39"/>
      <c r="G34" s="40">
        <v>0.0</v>
      </c>
      <c r="H34" s="39">
        <v>1.0</v>
      </c>
      <c r="I34" s="39">
        <v>7.0</v>
      </c>
      <c r="J34" s="39">
        <v>1.0</v>
      </c>
      <c r="K34" s="42">
        <v>9.0</v>
      </c>
      <c r="L34" s="39">
        <v>1.0</v>
      </c>
      <c r="M34" s="32">
        <f t="shared" ref="M34:N34" si="31">C34+K34</f>
        <v>54</v>
      </c>
      <c r="N34" s="32">
        <f t="shared" si="31"/>
        <v>3</v>
      </c>
      <c r="O34" s="43" t="s">
        <v>53</v>
      </c>
      <c r="P34" s="43" t="s">
        <v>53</v>
      </c>
      <c r="Q34" s="43" t="s">
        <v>53</v>
      </c>
      <c r="R34" s="39">
        <f>if(G34=13,1,0)+VLOOKUP(B34,'072724'!B:T,17,false)</f>
        <v>1</v>
      </c>
      <c r="S34" s="39"/>
      <c r="T34" s="39">
        <f>if(G34=9,1,0)+VLOOKUP(B34,'072724'!B:T,19,false)</f>
        <v>1</v>
      </c>
    </row>
    <row r="35">
      <c r="A35" s="30">
        <f t="shared" si="3"/>
        <v>31</v>
      </c>
      <c r="B35" s="31" t="s">
        <v>98</v>
      </c>
      <c r="C35" s="32">
        <v>45.0</v>
      </c>
      <c r="D35" s="32">
        <v>2.0</v>
      </c>
      <c r="E35" s="37">
        <v>2.0</v>
      </c>
      <c r="F35" s="39"/>
      <c r="G35" s="40">
        <v>0.0</v>
      </c>
      <c r="H35" s="39">
        <v>6.0</v>
      </c>
      <c r="I35" s="39">
        <v>5.0</v>
      </c>
      <c r="J35" s="39">
        <v>1.0</v>
      </c>
      <c r="K35" s="42">
        <v>12.0</v>
      </c>
      <c r="L35" s="39">
        <v>1.0</v>
      </c>
      <c r="M35" s="32">
        <f t="shared" ref="M35:N35" si="32">C35+K35</f>
        <v>57</v>
      </c>
      <c r="N35" s="32">
        <f t="shared" si="32"/>
        <v>3</v>
      </c>
      <c r="O35" s="43" t="s">
        <v>53</v>
      </c>
      <c r="P35" s="43" t="s">
        <v>53</v>
      </c>
      <c r="Q35" s="43" t="s">
        <v>53</v>
      </c>
      <c r="R35" s="39">
        <f>if(G35=13,1,0)+VLOOKUP(B35,'072724'!B:T,17,false)</f>
        <v>1</v>
      </c>
      <c r="S35" s="39"/>
      <c r="T35" s="39">
        <f>if(G35=9,1,0)+VLOOKUP(B35,'072724'!B:T,19,false)</f>
        <v>2</v>
      </c>
    </row>
    <row r="36">
      <c r="A36" s="30">
        <f t="shared" si="3"/>
        <v>32</v>
      </c>
      <c r="B36" s="51" t="s">
        <v>111</v>
      </c>
      <c r="C36" s="32">
        <v>44.0</v>
      </c>
      <c r="D36" s="32">
        <v>3.0</v>
      </c>
      <c r="E36" s="37">
        <v>3.0</v>
      </c>
      <c r="F36" s="39">
        <v>0.0</v>
      </c>
      <c r="G36" s="40">
        <v>9.0</v>
      </c>
      <c r="H36" s="39">
        <v>0.0</v>
      </c>
      <c r="I36" s="39">
        <v>0.0</v>
      </c>
      <c r="J36" s="39">
        <v>0.0</v>
      </c>
      <c r="K36" s="42">
        <v>9.0</v>
      </c>
      <c r="L36" s="39">
        <v>0.0</v>
      </c>
      <c r="M36" s="32">
        <f t="shared" ref="M36:N36" si="33">C36+K36</f>
        <v>53</v>
      </c>
      <c r="N36" s="32">
        <f t="shared" si="33"/>
        <v>3</v>
      </c>
      <c r="O36" s="43" t="s">
        <v>53</v>
      </c>
      <c r="P36" s="43" t="s">
        <v>53</v>
      </c>
      <c r="Q36" s="43" t="s">
        <v>53</v>
      </c>
      <c r="R36" s="39">
        <f>if(G36=13,1,0)+VLOOKUP(B36,'072724'!B:T,17,false)</f>
        <v>0</v>
      </c>
      <c r="S36" s="39"/>
      <c r="T36" s="39">
        <f>if(G36=9,1,0)+VLOOKUP(B36,'072724'!B:T,19,false)</f>
        <v>3</v>
      </c>
    </row>
    <row r="37">
      <c r="A37" s="30">
        <f t="shared" si="3"/>
        <v>33</v>
      </c>
      <c r="B37" s="31" t="s">
        <v>97</v>
      </c>
      <c r="C37" s="32">
        <v>44.0</v>
      </c>
      <c r="D37" s="32">
        <v>2.0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4">C37+K37</f>
        <v>53</v>
      </c>
      <c r="N37" s="32">
        <f t="shared" si="34"/>
        <v>2</v>
      </c>
      <c r="O37" s="43" t="s">
        <v>53</v>
      </c>
      <c r="P37" s="43" t="s">
        <v>53</v>
      </c>
      <c r="Q37" s="43" t="s">
        <v>53</v>
      </c>
      <c r="R37" s="39">
        <f>if(G37=13,1,0)+VLOOKUP(B37,'072724'!B:T,17,false)</f>
        <v>0</v>
      </c>
      <c r="S37" s="39"/>
      <c r="T37" s="39">
        <f>if(G37=9,1,0)+VLOOKUP(B37,'072724'!B:T,19,false)</f>
        <v>4</v>
      </c>
    </row>
    <row r="38">
      <c r="A38" s="30">
        <f t="shared" si="3"/>
        <v>34</v>
      </c>
      <c r="B38" s="51" t="s">
        <v>95</v>
      </c>
      <c r="C38" s="32">
        <v>44.0</v>
      </c>
      <c r="D38" s="32">
        <v>2.0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5">C38+K38</f>
        <v>53</v>
      </c>
      <c r="N38" s="32">
        <f t="shared" si="35"/>
        <v>2</v>
      </c>
      <c r="O38" s="43" t="s">
        <v>53</v>
      </c>
      <c r="P38" s="43" t="s">
        <v>53</v>
      </c>
      <c r="Q38" s="43" t="s">
        <v>53</v>
      </c>
      <c r="R38" s="39">
        <f>if(G38=13,1,0)+VLOOKUP(B38,'072724'!B:T,17,false)</f>
        <v>0</v>
      </c>
      <c r="S38" s="39"/>
      <c r="T38" s="39">
        <f>if(G38=9,1,0)+VLOOKUP(B38,'072724'!B:T,19,false)</f>
        <v>3</v>
      </c>
    </row>
    <row r="39">
      <c r="A39" s="30">
        <f t="shared" si="3"/>
        <v>35</v>
      </c>
      <c r="B39" s="31" t="s">
        <v>57</v>
      </c>
      <c r="C39" s="32">
        <v>44.0</v>
      </c>
      <c r="D39" s="32">
        <v>2.0</v>
      </c>
      <c r="E39" s="37">
        <v>1.0</v>
      </c>
      <c r="F39" s="39"/>
      <c r="G39" s="40">
        <v>0.0</v>
      </c>
      <c r="H39" s="39">
        <v>6.0</v>
      </c>
      <c r="I39" s="39">
        <v>6.0</v>
      </c>
      <c r="J39" s="39">
        <v>2.0</v>
      </c>
      <c r="K39" s="42">
        <v>14.0</v>
      </c>
      <c r="L39" s="39">
        <v>2.0</v>
      </c>
      <c r="M39" s="32">
        <f t="shared" ref="M39:N39" si="36">C39+K39</f>
        <v>58</v>
      </c>
      <c r="N39" s="32">
        <f t="shared" si="36"/>
        <v>4</v>
      </c>
      <c r="O39" s="43" t="s">
        <v>53</v>
      </c>
      <c r="P39" s="43" t="s">
        <v>53</v>
      </c>
      <c r="Q39" s="43" t="s">
        <v>53</v>
      </c>
      <c r="R39" s="39">
        <f>if(G39=13,1,0)+VLOOKUP(B39,'072724'!B:T,17,false)</f>
        <v>1</v>
      </c>
      <c r="S39" s="39"/>
      <c r="T39" s="39">
        <f>if(G39=9,1,0)+VLOOKUP(B39,'072724'!B:T,19,false)</f>
        <v>2</v>
      </c>
    </row>
    <row r="40">
      <c r="A40" s="30">
        <f t="shared" si="3"/>
        <v>36</v>
      </c>
      <c r="B40" s="51" t="s">
        <v>102</v>
      </c>
      <c r="C40" s="32">
        <v>43.0</v>
      </c>
      <c r="D40" s="32">
        <v>1.0</v>
      </c>
      <c r="E40" s="37">
        <v>3.0</v>
      </c>
      <c r="F40" s="39">
        <v>0.0</v>
      </c>
      <c r="G40" s="40">
        <v>9.0</v>
      </c>
      <c r="H40" s="39">
        <v>0.0</v>
      </c>
      <c r="I40" s="39">
        <v>0.0</v>
      </c>
      <c r="J40" s="39">
        <v>0.0</v>
      </c>
      <c r="K40" s="42">
        <v>9.0</v>
      </c>
      <c r="L40" s="39">
        <v>0.0</v>
      </c>
      <c r="M40" s="32">
        <f t="shared" ref="M40:N40" si="37">C40+K40</f>
        <v>52</v>
      </c>
      <c r="N40" s="32">
        <f t="shared" si="37"/>
        <v>1</v>
      </c>
      <c r="O40" s="43" t="s">
        <v>53</v>
      </c>
      <c r="P40" s="43" t="s">
        <v>53</v>
      </c>
      <c r="Q40" s="43" t="s">
        <v>53</v>
      </c>
      <c r="R40" s="39">
        <f>if(G40=13,1,0)+VLOOKUP(B40,'072724'!B:T,17,false)</f>
        <v>1</v>
      </c>
      <c r="S40" s="39"/>
      <c r="T40" s="39">
        <f>if(G40=9,1,0)+VLOOKUP(B40,'072724'!B:T,19,false)</f>
        <v>3</v>
      </c>
    </row>
    <row r="41">
      <c r="A41" s="30">
        <f t="shared" si="3"/>
        <v>37</v>
      </c>
      <c r="B41" s="51" t="s">
        <v>121</v>
      </c>
      <c r="C41" s="32">
        <v>41.0</v>
      </c>
      <c r="D41" s="32">
        <v>4.0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8">C41+K41</f>
        <v>50</v>
      </c>
      <c r="N41" s="32">
        <f t="shared" si="38"/>
        <v>4</v>
      </c>
      <c r="O41" s="43" t="s">
        <v>53</v>
      </c>
      <c r="P41" s="43" t="s">
        <v>53</v>
      </c>
      <c r="Q41" s="43" t="s">
        <v>53</v>
      </c>
      <c r="R41" s="39">
        <f>if(G41=13,1,0)+VLOOKUP(B41,'072724'!B:T,17,false)</f>
        <v>0</v>
      </c>
      <c r="S41" s="39"/>
      <c r="T41" s="39">
        <f>if(G41=9,1,0)+VLOOKUP(B41,'072724'!B:T,19,false)</f>
        <v>2</v>
      </c>
    </row>
    <row r="42">
      <c r="A42" s="30">
        <f t="shared" si="3"/>
        <v>38</v>
      </c>
      <c r="B42" s="56" t="s">
        <v>101</v>
      </c>
      <c r="C42" s="32">
        <v>41.0</v>
      </c>
      <c r="D42" s="32">
        <v>1.0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39">C42+K42</f>
        <v>50</v>
      </c>
      <c r="N42" s="32">
        <f t="shared" si="39"/>
        <v>1</v>
      </c>
      <c r="O42" s="43" t="s">
        <v>53</v>
      </c>
      <c r="P42" s="43" t="s">
        <v>53</v>
      </c>
      <c r="Q42" s="43" t="s">
        <v>53</v>
      </c>
      <c r="R42" s="39">
        <f>if(G42=13,1,0)+VLOOKUP(B42,'072724'!B:T,17,false)</f>
        <v>0</v>
      </c>
      <c r="S42" s="39"/>
      <c r="T42" s="39">
        <f>if(G42=9,1,0)+VLOOKUP(B42,'072724'!B:T,19,false)</f>
        <v>3</v>
      </c>
    </row>
    <row r="43">
      <c r="A43" s="30">
        <f t="shared" si="3"/>
        <v>39</v>
      </c>
      <c r="B43" s="51" t="s">
        <v>116</v>
      </c>
      <c r="C43" s="32">
        <v>40.0</v>
      </c>
      <c r="D43" s="32">
        <v>3.0</v>
      </c>
      <c r="E43" s="37">
        <v>1.0</v>
      </c>
      <c r="F43" s="39"/>
      <c r="G43" s="40">
        <v>0.0</v>
      </c>
      <c r="H43" s="39">
        <v>4.0</v>
      </c>
      <c r="I43" s="39">
        <v>4.0</v>
      </c>
      <c r="J43" s="39">
        <v>2.0</v>
      </c>
      <c r="K43" s="42">
        <v>10.0</v>
      </c>
      <c r="L43" s="39">
        <v>0.0</v>
      </c>
      <c r="M43" s="32">
        <f t="shared" ref="M43:N43" si="40">C43+K43</f>
        <v>50</v>
      </c>
      <c r="N43" s="32">
        <f t="shared" si="40"/>
        <v>3</v>
      </c>
      <c r="O43" s="43" t="s">
        <v>53</v>
      </c>
      <c r="P43" s="43" t="s">
        <v>53</v>
      </c>
      <c r="Q43" s="43" t="s">
        <v>53</v>
      </c>
      <c r="R43" s="39">
        <f>if(G43=13,1,0)+VLOOKUP(B43,'072724'!B:T,17,false)</f>
        <v>0</v>
      </c>
      <c r="S43" s="39"/>
      <c r="T43" s="39">
        <f>if(G43=9,1,0)+VLOOKUP(B43,'072724'!B:T,19,false)</f>
        <v>1</v>
      </c>
    </row>
    <row r="44">
      <c r="A44" s="30">
        <f t="shared" si="3"/>
        <v>40</v>
      </c>
      <c r="B44" s="51" t="s">
        <v>108</v>
      </c>
      <c r="C44" s="32">
        <v>40.0</v>
      </c>
      <c r="D44" s="32">
        <v>2.0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1">C44+K44</f>
        <v>49</v>
      </c>
      <c r="N44" s="32">
        <f t="shared" si="41"/>
        <v>2</v>
      </c>
      <c r="O44" s="43" t="s">
        <v>53</v>
      </c>
      <c r="P44" s="43" t="s">
        <v>53</v>
      </c>
      <c r="Q44" s="43" t="s">
        <v>53</v>
      </c>
      <c r="R44" s="39">
        <f>if(G44=13,1,0)+VLOOKUP(B44,'072724'!B:T,17,false)</f>
        <v>0</v>
      </c>
      <c r="S44" s="39"/>
      <c r="T44" s="39">
        <f>if(G44=9,1,0)+VLOOKUP(B44,'072724'!B:T,19,false)</f>
        <v>3</v>
      </c>
    </row>
    <row r="45">
      <c r="A45" s="30">
        <f t="shared" si="3"/>
        <v>41</v>
      </c>
      <c r="B45" s="56" t="s">
        <v>51</v>
      </c>
      <c r="C45" s="32">
        <v>40.0</v>
      </c>
      <c r="D45" s="32">
        <v>2.0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2">C45+K45</f>
        <v>49</v>
      </c>
      <c r="N45" s="32">
        <f t="shared" si="42"/>
        <v>2</v>
      </c>
      <c r="O45" s="43" t="s">
        <v>53</v>
      </c>
      <c r="P45" s="43" t="s">
        <v>53</v>
      </c>
      <c r="Q45" s="43" t="s">
        <v>53</v>
      </c>
      <c r="R45" s="39">
        <f>if(G45=13,1,0)+VLOOKUP(B45,'072724'!B:T,17,false)</f>
        <v>1</v>
      </c>
      <c r="S45" s="39"/>
      <c r="T45" s="39">
        <f>if(G45=9,1,0)+VLOOKUP(B45,'072724'!B:T,19,false)</f>
        <v>2</v>
      </c>
    </row>
    <row r="46">
      <c r="A46" s="30">
        <f t="shared" si="3"/>
        <v>42</v>
      </c>
      <c r="B46" s="57" t="s">
        <v>72</v>
      </c>
      <c r="C46" s="32">
        <v>40.0</v>
      </c>
      <c r="D46" s="32">
        <v>0.0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3">C46+K46</f>
        <v>49</v>
      </c>
      <c r="N46" s="32">
        <f t="shared" si="43"/>
        <v>0</v>
      </c>
      <c r="O46" s="43" t="s">
        <v>53</v>
      </c>
      <c r="P46" s="43" t="s">
        <v>53</v>
      </c>
      <c r="Q46" s="43" t="s">
        <v>53</v>
      </c>
      <c r="R46" s="39">
        <f>if(G46=13,1,0)+VLOOKUP(B46,'072724'!B:T,17,false)</f>
        <v>1</v>
      </c>
      <c r="S46" s="39"/>
      <c r="T46" s="39">
        <f>if(G46=9,1,0)+VLOOKUP(B46,'072724'!B:T,19,false)</f>
        <v>4</v>
      </c>
    </row>
    <row r="47">
      <c r="A47" s="30">
        <f t="shared" si="3"/>
        <v>43</v>
      </c>
      <c r="B47" s="51" t="s">
        <v>75</v>
      </c>
      <c r="C47" s="32">
        <v>40.0</v>
      </c>
      <c r="D47" s="32">
        <v>0.0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4">C47+K47</f>
        <v>49</v>
      </c>
      <c r="N47" s="32">
        <f t="shared" si="44"/>
        <v>0</v>
      </c>
      <c r="O47" s="43" t="s">
        <v>53</v>
      </c>
      <c r="P47" s="43" t="s">
        <v>53</v>
      </c>
      <c r="Q47" s="43" t="s">
        <v>53</v>
      </c>
      <c r="R47" s="39">
        <f>if(G47=13,1,0)+VLOOKUP(B47,'072724'!B:T,17,false)</f>
        <v>1</v>
      </c>
      <c r="S47" s="39"/>
      <c r="T47" s="39">
        <f>if(G47=9,1,0)+VLOOKUP(B47,'072724'!B:T,19,false)</f>
        <v>4</v>
      </c>
    </row>
    <row r="48">
      <c r="A48" s="30">
        <f t="shared" si="3"/>
        <v>44</v>
      </c>
      <c r="B48" s="51" t="s">
        <v>113</v>
      </c>
      <c r="C48" s="32">
        <v>39.0</v>
      </c>
      <c r="D48" s="32">
        <v>4.0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5">C48+K48</f>
        <v>48</v>
      </c>
      <c r="N48" s="32">
        <f t="shared" si="45"/>
        <v>4</v>
      </c>
      <c r="O48" s="43" t="s">
        <v>53</v>
      </c>
      <c r="P48" s="43" t="s">
        <v>53</v>
      </c>
      <c r="Q48" s="43" t="s">
        <v>53</v>
      </c>
      <c r="R48" s="39">
        <f>if(G48=13,1,0)+VLOOKUP(B48,'072724'!B:T,17,false)</f>
        <v>0</v>
      </c>
      <c r="S48" s="39"/>
      <c r="T48" s="39">
        <f>if(G48=9,1,0)+VLOOKUP(B48,'072724'!B:T,19,false)</f>
        <v>1</v>
      </c>
    </row>
    <row r="49">
      <c r="A49" s="30">
        <f t="shared" si="3"/>
        <v>45</v>
      </c>
      <c r="B49" s="56" t="s">
        <v>115</v>
      </c>
      <c r="C49" s="32">
        <v>39.0</v>
      </c>
      <c r="D49" s="32">
        <v>3.0</v>
      </c>
      <c r="E49" s="37">
        <v>1.0</v>
      </c>
      <c r="F49" s="39"/>
      <c r="G49" s="40">
        <v>0.0</v>
      </c>
      <c r="H49" s="39">
        <v>4.0</v>
      </c>
      <c r="I49" s="39">
        <v>6.0</v>
      </c>
      <c r="J49" s="39">
        <v>6.0</v>
      </c>
      <c r="K49" s="42">
        <v>16.0</v>
      </c>
      <c r="L49" s="39">
        <v>2.0</v>
      </c>
      <c r="M49" s="32">
        <f t="shared" ref="M49:N49" si="46">C49+K49</f>
        <v>55</v>
      </c>
      <c r="N49" s="32">
        <f t="shared" si="46"/>
        <v>5</v>
      </c>
      <c r="O49" s="43" t="s">
        <v>53</v>
      </c>
      <c r="P49" s="43" t="s">
        <v>53</v>
      </c>
      <c r="Q49" s="43" t="s">
        <v>53</v>
      </c>
      <c r="R49" s="39">
        <f>if(G49=13,1,0)+VLOOKUP(B49,'072724'!B:T,17,false)</f>
        <v>0</v>
      </c>
      <c r="S49" s="39"/>
      <c r="T49" s="39">
        <f>if(G49=9,1,0)+VLOOKUP(B49,'072724'!B:T,19,false)</f>
        <v>1</v>
      </c>
    </row>
    <row r="50">
      <c r="A50" s="30">
        <f t="shared" si="3"/>
        <v>46</v>
      </c>
      <c r="B50" s="31" t="s">
        <v>73</v>
      </c>
      <c r="C50" s="32">
        <v>39.0</v>
      </c>
      <c r="D50" s="32">
        <v>1.0</v>
      </c>
      <c r="E50" s="37">
        <v>2.0</v>
      </c>
      <c r="F50" s="39"/>
      <c r="G50" s="40">
        <v>0.0</v>
      </c>
      <c r="H50" s="39">
        <v>6.0</v>
      </c>
      <c r="I50" s="39">
        <v>4.0</v>
      </c>
      <c r="J50" s="39">
        <v>6.0</v>
      </c>
      <c r="K50" s="42">
        <v>16.0</v>
      </c>
      <c r="L50" s="39">
        <v>2.0</v>
      </c>
      <c r="M50" s="32">
        <f t="shared" ref="M50:N50" si="47">C50+K50</f>
        <v>55</v>
      </c>
      <c r="N50" s="32">
        <f t="shared" si="47"/>
        <v>3</v>
      </c>
      <c r="O50" s="43" t="s">
        <v>53</v>
      </c>
      <c r="P50" s="43" t="s">
        <v>53</v>
      </c>
      <c r="Q50" s="43" t="s">
        <v>53</v>
      </c>
      <c r="R50" s="39">
        <f>if(G50=13,1,0)+VLOOKUP(B50,'072724'!B:T,17,false)</f>
        <v>1</v>
      </c>
      <c r="S50" s="39"/>
      <c r="T50" s="39">
        <f>if(G50=9,1,0)+VLOOKUP(B50,'072724'!B:T,19,false)</f>
        <v>2</v>
      </c>
    </row>
    <row r="51">
      <c r="A51" s="30">
        <f t="shared" si="3"/>
        <v>47</v>
      </c>
      <c r="B51" s="56" t="s">
        <v>107</v>
      </c>
      <c r="C51" s="32">
        <v>37.0</v>
      </c>
      <c r="D51" s="32">
        <v>1.0</v>
      </c>
      <c r="E51" s="37">
        <v>1.0</v>
      </c>
      <c r="F51" s="39"/>
      <c r="G51" s="40">
        <v>0.0</v>
      </c>
      <c r="H51" s="39">
        <v>0.0</v>
      </c>
      <c r="I51" s="39">
        <v>6.0</v>
      </c>
      <c r="J51" s="39">
        <v>2.0</v>
      </c>
      <c r="K51" s="42">
        <v>8.0</v>
      </c>
      <c r="L51" s="39">
        <v>1.0</v>
      </c>
      <c r="M51" s="32">
        <f t="shared" ref="M51:N51" si="48">C51+K51</f>
        <v>45</v>
      </c>
      <c r="N51" s="32">
        <f t="shared" si="48"/>
        <v>2</v>
      </c>
      <c r="O51" s="43" t="s">
        <v>53</v>
      </c>
      <c r="P51" s="43" t="s">
        <v>53</v>
      </c>
      <c r="Q51" s="43" t="s">
        <v>53</v>
      </c>
      <c r="R51" s="39">
        <f>if(G51=13,1,0)+VLOOKUP(B51,'072724'!B:T,17,false)</f>
        <v>0</v>
      </c>
      <c r="S51" s="39"/>
      <c r="T51" s="39">
        <f>if(G51=9,1,0)+VLOOKUP(B51,'072724'!B:T,19,false)</f>
        <v>3</v>
      </c>
    </row>
    <row r="52">
      <c r="A52" s="30">
        <f t="shared" si="3"/>
        <v>48</v>
      </c>
      <c r="B52" s="31" t="s">
        <v>79</v>
      </c>
      <c r="C52" s="32">
        <v>37.0</v>
      </c>
      <c r="D52" s="32">
        <v>1.0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49">C52+K52</f>
        <v>46</v>
      </c>
      <c r="N52" s="32">
        <f t="shared" si="49"/>
        <v>1</v>
      </c>
      <c r="O52" s="43" t="s">
        <v>53</v>
      </c>
      <c r="P52" s="43" t="s">
        <v>53</v>
      </c>
      <c r="Q52" s="43" t="s">
        <v>53</v>
      </c>
      <c r="R52" s="39">
        <f>if(G52=13,1,0)+VLOOKUP(B52,'072724'!B:T,17,false)</f>
        <v>0</v>
      </c>
      <c r="S52" s="39"/>
      <c r="T52" s="39">
        <f>if(G52=9,1,0)+VLOOKUP(B52,'072724'!B:T,19,false)</f>
        <v>4</v>
      </c>
    </row>
    <row r="53">
      <c r="A53" s="30">
        <f t="shared" si="3"/>
        <v>49</v>
      </c>
      <c r="B53" s="51" t="s">
        <v>80</v>
      </c>
      <c r="C53" s="32">
        <v>36.0</v>
      </c>
      <c r="D53" s="32">
        <v>2.0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0">C53+K53</f>
        <v>45</v>
      </c>
      <c r="N53" s="32">
        <f t="shared" si="50"/>
        <v>2</v>
      </c>
      <c r="O53" s="43" t="s">
        <v>53</v>
      </c>
      <c r="P53" s="43" t="s">
        <v>53</v>
      </c>
      <c r="Q53" s="43" t="s">
        <v>53</v>
      </c>
      <c r="R53" s="39">
        <f>if(G53=13,1,0)+VLOOKUP(B53,'072724'!B:T,17,false)</f>
        <v>0</v>
      </c>
      <c r="S53" s="39"/>
      <c r="T53" s="39">
        <f>if(G53=9,1,0)+VLOOKUP(B53,'072724'!B:T,19,false)</f>
        <v>3</v>
      </c>
    </row>
    <row r="54">
      <c r="A54" s="30">
        <f t="shared" si="3"/>
        <v>50</v>
      </c>
      <c r="B54" s="31" t="s">
        <v>81</v>
      </c>
      <c r="C54" s="32">
        <v>36.0</v>
      </c>
      <c r="D54" s="32">
        <v>1.0</v>
      </c>
      <c r="E54" s="37">
        <v>3.0</v>
      </c>
      <c r="F54" s="39">
        <v>0.0</v>
      </c>
      <c r="G54" s="40">
        <v>9.0</v>
      </c>
      <c r="H54" s="39">
        <v>0.0</v>
      </c>
      <c r="I54" s="39">
        <v>0.0</v>
      </c>
      <c r="J54" s="39">
        <v>0.0</v>
      </c>
      <c r="K54" s="42">
        <v>9.0</v>
      </c>
      <c r="L54" s="39">
        <v>0.0</v>
      </c>
      <c r="M54" s="32">
        <f t="shared" ref="M54:N54" si="51">C54+K54</f>
        <v>45</v>
      </c>
      <c r="N54" s="32">
        <f t="shared" si="51"/>
        <v>1</v>
      </c>
      <c r="O54" s="43" t="s">
        <v>53</v>
      </c>
      <c r="P54" s="43" t="s">
        <v>53</v>
      </c>
      <c r="Q54" s="43" t="s">
        <v>53</v>
      </c>
      <c r="R54" s="39">
        <f>if(G54=13,1,0)+VLOOKUP(B54,'072724'!B:T,17,false)</f>
        <v>0</v>
      </c>
      <c r="S54" s="39"/>
      <c r="T54" s="39">
        <f>if(G54=9,1,0)+VLOOKUP(B54,'072724'!B:T,19,false)</f>
        <v>4</v>
      </c>
    </row>
    <row r="55">
      <c r="A55" s="30">
        <f t="shared" si="3"/>
        <v>51</v>
      </c>
      <c r="B55" s="31" t="s">
        <v>124</v>
      </c>
      <c r="C55" s="32">
        <v>36.0</v>
      </c>
      <c r="D55" s="32">
        <v>0.0</v>
      </c>
      <c r="E55" s="37">
        <v>2.0</v>
      </c>
      <c r="F55" s="39"/>
      <c r="G55" s="40">
        <v>0.0</v>
      </c>
      <c r="H55" s="39">
        <v>6.0</v>
      </c>
      <c r="I55" s="39">
        <v>2.0</v>
      </c>
      <c r="J55" s="39">
        <v>2.0</v>
      </c>
      <c r="K55" s="42">
        <v>10.0</v>
      </c>
      <c r="L55" s="39">
        <v>1.0</v>
      </c>
      <c r="M55" s="32">
        <f t="shared" ref="M55:N55" si="52">C55+K55</f>
        <v>46</v>
      </c>
      <c r="N55" s="32">
        <f t="shared" si="52"/>
        <v>1</v>
      </c>
      <c r="O55" s="43" t="s">
        <v>53</v>
      </c>
      <c r="P55" s="43" t="s">
        <v>53</v>
      </c>
      <c r="Q55" s="43" t="s">
        <v>53</v>
      </c>
      <c r="R55" s="39">
        <f>if(G55=13,1,0)+VLOOKUP(B55,'072724'!B:T,17,false)</f>
        <v>0</v>
      </c>
      <c r="S55" s="39"/>
      <c r="T55" s="39">
        <f>if(G55=9,1,0)+VLOOKUP(B55,'072724'!B:T,19,false)</f>
        <v>4</v>
      </c>
    </row>
    <row r="56">
      <c r="A56" s="30">
        <f t="shared" si="3"/>
        <v>52</v>
      </c>
      <c r="B56" s="31" t="s">
        <v>126</v>
      </c>
      <c r="C56" s="32">
        <v>36.0</v>
      </c>
      <c r="D56" s="32">
        <v>0.0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3">C56+K56</f>
        <v>45</v>
      </c>
      <c r="N56" s="32">
        <f t="shared" si="53"/>
        <v>0</v>
      </c>
      <c r="O56" s="43" t="s">
        <v>53</v>
      </c>
      <c r="P56" s="43" t="s">
        <v>53</v>
      </c>
      <c r="Q56" s="43" t="s">
        <v>53</v>
      </c>
      <c r="R56" s="39">
        <f>if(G56=13,1,0)+VLOOKUP(B56,'072724'!B:T,17,false)</f>
        <v>0</v>
      </c>
      <c r="S56" s="39"/>
      <c r="T56" s="39">
        <f>if(G56=9,1,0)+VLOOKUP(B56,'072724'!B:T,19,false)</f>
        <v>4</v>
      </c>
    </row>
    <row r="57">
      <c r="A57" s="30">
        <f t="shared" si="3"/>
        <v>53</v>
      </c>
      <c r="B57" s="31" t="s">
        <v>46</v>
      </c>
      <c r="C57" s="32">
        <v>36.0</v>
      </c>
      <c r="D57" s="32">
        <v>0.0</v>
      </c>
      <c r="E57" s="37">
        <v>1.0</v>
      </c>
      <c r="F57" s="39"/>
      <c r="G57" s="40">
        <v>0.0</v>
      </c>
      <c r="H57" s="39">
        <v>0.0</v>
      </c>
      <c r="I57" s="39">
        <v>2.0</v>
      </c>
      <c r="J57" s="39">
        <v>6.0</v>
      </c>
      <c r="K57" s="42">
        <v>8.0</v>
      </c>
      <c r="L57" s="39">
        <v>1.0</v>
      </c>
      <c r="M57" s="32">
        <f t="shared" ref="M57:N57" si="54">C57+K57</f>
        <v>44</v>
      </c>
      <c r="N57" s="32">
        <f t="shared" si="54"/>
        <v>1</v>
      </c>
      <c r="O57" s="43" t="s">
        <v>53</v>
      </c>
      <c r="P57" s="43" t="s">
        <v>53</v>
      </c>
      <c r="Q57" s="43" t="s">
        <v>53</v>
      </c>
      <c r="R57" s="39">
        <f>if(G57=13,1,0)+VLOOKUP(B57,'072724'!B:T,17,false)</f>
        <v>0</v>
      </c>
      <c r="S57" s="39"/>
      <c r="T57" s="39">
        <f>if(G57=9,1,0)+VLOOKUP(B57,'072724'!B:T,19,false)</f>
        <v>4</v>
      </c>
    </row>
    <row r="58">
      <c r="A58" s="30">
        <f t="shared" si="3"/>
        <v>54</v>
      </c>
      <c r="B58" s="31" t="s">
        <v>117</v>
      </c>
      <c r="C58" s="32">
        <v>36.0</v>
      </c>
      <c r="D58" s="32">
        <v>0.0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5">C58+K58</f>
        <v>45</v>
      </c>
      <c r="N58" s="32">
        <f t="shared" si="55"/>
        <v>0</v>
      </c>
      <c r="O58" s="43" t="s">
        <v>53</v>
      </c>
      <c r="P58" s="43" t="s">
        <v>53</v>
      </c>
      <c r="Q58" s="43" t="s">
        <v>53</v>
      </c>
      <c r="R58" s="39">
        <f>if(G58=13,1,0)+VLOOKUP(B58,'072724'!B:T,17,false)</f>
        <v>0</v>
      </c>
      <c r="S58" s="39"/>
      <c r="T58" s="39">
        <f>if(G58=9,1,0)+VLOOKUP(B58,'072724'!B:T,19,false)</f>
        <v>5</v>
      </c>
    </row>
    <row r="59">
      <c r="A59" s="30">
        <f t="shared" si="3"/>
        <v>55</v>
      </c>
      <c r="B59" s="31" t="s">
        <v>109</v>
      </c>
      <c r="C59" s="32">
        <v>36.0</v>
      </c>
      <c r="D59" s="32">
        <v>0.0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6">C59+K59</f>
        <v>45</v>
      </c>
      <c r="N59" s="32">
        <f t="shared" si="56"/>
        <v>0</v>
      </c>
      <c r="O59" s="43" t="s">
        <v>53</v>
      </c>
      <c r="P59" s="43" t="s">
        <v>53</v>
      </c>
      <c r="Q59" s="43" t="s">
        <v>53</v>
      </c>
      <c r="R59" s="39">
        <f>if(G59=13,1,0)+VLOOKUP(B59,'072724'!B:T,17,false)</f>
        <v>0</v>
      </c>
      <c r="S59" s="39"/>
      <c r="T59" s="39">
        <f>if(G59=9,1,0)+VLOOKUP(B59,'072724'!B:T,19,false)</f>
        <v>5</v>
      </c>
    </row>
    <row r="60">
      <c r="A60" s="30">
        <f t="shared" si="3"/>
        <v>56</v>
      </c>
      <c r="B60" s="31" t="s">
        <v>106</v>
      </c>
      <c r="C60" s="32">
        <v>36.0</v>
      </c>
      <c r="D60" s="32">
        <v>0.0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7">C60+K60</f>
        <v>45</v>
      </c>
      <c r="N60" s="32">
        <f t="shared" si="57"/>
        <v>0</v>
      </c>
      <c r="O60" s="43" t="s">
        <v>53</v>
      </c>
      <c r="P60" s="43" t="s">
        <v>53</v>
      </c>
      <c r="Q60" s="43" t="s">
        <v>53</v>
      </c>
      <c r="R60" s="39">
        <f>if(G60=13,1,0)+VLOOKUP(B60,'072724'!B:T,17,false)</f>
        <v>0</v>
      </c>
      <c r="S60" s="39"/>
      <c r="T60" s="39">
        <f>if(G60=9,1,0)+VLOOKUP(B60,'072724'!B:T,19,false)</f>
        <v>5</v>
      </c>
    </row>
    <row r="61">
      <c r="A61" s="30">
        <f t="shared" si="3"/>
        <v>57</v>
      </c>
      <c r="B61" s="31" t="s">
        <v>123</v>
      </c>
      <c r="C61" s="32">
        <v>36.0</v>
      </c>
      <c r="D61" s="32">
        <v>0.0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8">C61+K61</f>
        <v>45</v>
      </c>
      <c r="N61" s="32">
        <f t="shared" si="58"/>
        <v>0</v>
      </c>
      <c r="O61" s="43" t="s">
        <v>53</v>
      </c>
      <c r="P61" s="43" t="s">
        <v>53</v>
      </c>
      <c r="Q61" s="43" t="s">
        <v>53</v>
      </c>
      <c r="R61" s="39">
        <f>if(G61=13,1,0)+VLOOKUP(B61,'072724'!B:T,17,false)</f>
        <v>0</v>
      </c>
      <c r="S61" s="39"/>
      <c r="T61" s="39">
        <f>if(G61=9,1,0)+VLOOKUP(B61,'072724'!B:T,19,false)</f>
        <v>5</v>
      </c>
    </row>
    <row r="62">
      <c r="A62" s="30">
        <f t="shared" si="3"/>
        <v>58</v>
      </c>
      <c r="B62" s="51" t="s">
        <v>85</v>
      </c>
      <c r="C62" s="32">
        <v>36.0</v>
      </c>
      <c r="D62" s="32">
        <v>0.0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59">C62+K62</f>
        <v>45</v>
      </c>
      <c r="N62" s="32">
        <f t="shared" si="59"/>
        <v>0</v>
      </c>
      <c r="O62" s="43" t="s">
        <v>53</v>
      </c>
      <c r="P62" s="43" t="s">
        <v>53</v>
      </c>
      <c r="Q62" s="43" t="s">
        <v>53</v>
      </c>
      <c r="R62" s="39">
        <f>if(G62=13,1,0)+VLOOKUP(B62,'072724'!B:T,17,false)</f>
        <v>0</v>
      </c>
      <c r="S62" s="39"/>
      <c r="T62" s="39">
        <f>if(G62=9,1,0)+VLOOKUP(B62,'072724'!B:T,19,false)</f>
        <v>5</v>
      </c>
    </row>
    <row r="63">
      <c r="A63" s="30">
        <f t="shared" si="3"/>
        <v>59</v>
      </c>
      <c r="B63" s="51" t="s">
        <v>74</v>
      </c>
      <c r="C63" s="32">
        <v>36.0</v>
      </c>
      <c r="D63" s="32">
        <v>0.0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0">C63+K63</f>
        <v>45</v>
      </c>
      <c r="N63" s="32">
        <f t="shared" si="60"/>
        <v>0</v>
      </c>
      <c r="O63" s="43" t="s">
        <v>53</v>
      </c>
      <c r="P63" s="43" t="s">
        <v>53</v>
      </c>
      <c r="Q63" s="43" t="s">
        <v>53</v>
      </c>
      <c r="R63" s="39">
        <f>if(G63=13,1,0)+VLOOKUP(B63,'072724'!B:T,17,false)</f>
        <v>0</v>
      </c>
      <c r="S63" s="39"/>
      <c r="T63" s="39">
        <f>if(G63=9,1,0)+VLOOKUP(B63,'072724'!B:T,19,false)</f>
        <v>5</v>
      </c>
    </row>
    <row r="64">
      <c r="A64" s="30">
        <f t="shared" si="3"/>
        <v>60</v>
      </c>
      <c r="B64" s="31" t="s">
        <v>63</v>
      </c>
      <c r="C64" s="32">
        <v>36.0</v>
      </c>
      <c r="D64" s="32">
        <v>0.0</v>
      </c>
      <c r="E64" s="37">
        <v>2.0</v>
      </c>
      <c r="F64" s="39"/>
      <c r="G64" s="40">
        <v>0.0</v>
      </c>
      <c r="H64" s="39">
        <v>6.0</v>
      </c>
      <c r="I64" s="39">
        <v>6.0</v>
      </c>
      <c r="J64" s="39">
        <v>6.0</v>
      </c>
      <c r="K64" s="42">
        <v>18.0</v>
      </c>
      <c r="L64" s="39">
        <v>3.0</v>
      </c>
      <c r="M64" s="32">
        <f t="shared" ref="M64:N64" si="61">C64+K64</f>
        <v>54</v>
      </c>
      <c r="N64" s="32">
        <f t="shared" si="61"/>
        <v>3</v>
      </c>
      <c r="O64" s="43" t="s">
        <v>53</v>
      </c>
      <c r="P64" s="43" t="s">
        <v>53</v>
      </c>
      <c r="Q64" s="43" t="s">
        <v>53</v>
      </c>
      <c r="R64" s="39">
        <f>if(G64=13,1,0)+VLOOKUP(B64,'072724'!B:T,17,false)</f>
        <v>0</v>
      </c>
      <c r="S64" s="39"/>
      <c r="T64" s="39">
        <f>if(G64=9,1,0)+VLOOKUP(B64,'072724'!B:T,19,false)</f>
        <v>4</v>
      </c>
    </row>
    <row r="65">
      <c r="A65" s="30">
        <f t="shared" si="3"/>
        <v>61</v>
      </c>
      <c r="B65" s="51" t="s">
        <v>118</v>
      </c>
      <c r="C65" s="32">
        <v>36.0</v>
      </c>
      <c r="D65" s="32">
        <v>0.0</v>
      </c>
      <c r="E65" s="37">
        <v>1.0</v>
      </c>
      <c r="F65" s="39"/>
      <c r="G65" s="40">
        <v>0.0</v>
      </c>
      <c r="H65" s="39">
        <v>6.0</v>
      </c>
      <c r="I65" s="39">
        <v>6.0</v>
      </c>
      <c r="J65" s="39">
        <v>0.0</v>
      </c>
      <c r="K65" s="42">
        <v>12.0</v>
      </c>
      <c r="L65" s="39"/>
      <c r="M65" s="32">
        <f t="shared" ref="M65:N65" si="62">C65+K65</f>
        <v>48</v>
      </c>
      <c r="N65" s="32">
        <f t="shared" si="62"/>
        <v>0</v>
      </c>
      <c r="O65" s="43" t="s">
        <v>53</v>
      </c>
      <c r="P65" s="43" t="s">
        <v>53</v>
      </c>
      <c r="Q65" s="43" t="s">
        <v>53</v>
      </c>
      <c r="R65" s="39">
        <f>if(G65=13,1,0)+VLOOKUP(B65,'072724'!B:T,17,false)</f>
        <v>0</v>
      </c>
      <c r="S65" s="39"/>
      <c r="T65" s="39">
        <f>if(G65=9,1,0)+VLOOKUP(B65,'072724'!B:T,19,false)</f>
        <v>4</v>
      </c>
    </row>
    <row r="66">
      <c r="A66" s="30">
        <f t="shared" si="3"/>
        <v>62</v>
      </c>
      <c r="B66" s="31" t="s">
        <v>56</v>
      </c>
      <c r="C66" s="32">
        <v>36.0</v>
      </c>
      <c r="D66" s="32">
        <v>0.0</v>
      </c>
      <c r="E66" s="37">
        <v>1.0</v>
      </c>
      <c r="F66" s="39"/>
      <c r="G66" s="40">
        <v>0.0</v>
      </c>
      <c r="H66" s="39">
        <v>6.0</v>
      </c>
      <c r="I66" s="39">
        <v>0.0</v>
      </c>
      <c r="J66" s="39">
        <v>6.0</v>
      </c>
      <c r="K66" s="42">
        <v>12.0</v>
      </c>
      <c r="L66" s="39"/>
      <c r="M66" s="32">
        <f t="shared" ref="M66:N66" si="63">C66+K66</f>
        <v>48</v>
      </c>
      <c r="N66" s="32">
        <f t="shared" si="63"/>
        <v>0</v>
      </c>
      <c r="O66" s="43" t="s">
        <v>53</v>
      </c>
      <c r="P66" s="43" t="s">
        <v>53</v>
      </c>
      <c r="Q66" s="43" t="s">
        <v>53</v>
      </c>
      <c r="R66" s="39">
        <f>if(G66=13,1,0)+VLOOKUP(B66,'072724'!B:T,17,false)</f>
        <v>0</v>
      </c>
      <c r="S66" s="39"/>
      <c r="T66" s="39">
        <f>if(G66=9,1,0)+VLOOKUP(B66,'072724'!B:T,19,false)</f>
        <v>4</v>
      </c>
    </row>
    <row r="67">
      <c r="A67" s="30">
        <f t="shared" si="3"/>
        <v>63</v>
      </c>
      <c r="B67" s="51" t="s">
        <v>76</v>
      </c>
      <c r="C67" s="32">
        <v>36.0</v>
      </c>
      <c r="D67" s="32">
        <v>0.0</v>
      </c>
      <c r="E67" s="37">
        <v>2.0</v>
      </c>
      <c r="F67" s="39"/>
      <c r="G67" s="40">
        <v>0.0</v>
      </c>
      <c r="H67" s="39">
        <v>1.0</v>
      </c>
      <c r="I67" s="39">
        <v>0.0</v>
      </c>
      <c r="J67" s="39">
        <v>0.0</v>
      </c>
      <c r="K67" s="42">
        <v>1.0</v>
      </c>
      <c r="L67" s="39"/>
      <c r="M67" s="32">
        <f t="shared" ref="M67:N67" si="64">C67+K67</f>
        <v>37</v>
      </c>
      <c r="N67" s="32">
        <f t="shared" si="64"/>
        <v>0</v>
      </c>
      <c r="O67" s="43" t="s">
        <v>53</v>
      </c>
      <c r="P67" s="43" t="s">
        <v>53</v>
      </c>
      <c r="Q67" s="43" t="s">
        <v>53</v>
      </c>
      <c r="R67" s="39">
        <f>if(G67=13,1,0)+VLOOKUP(B67,'072724'!B:T,17,false)</f>
        <v>0</v>
      </c>
      <c r="S67" s="39"/>
      <c r="T67" s="39">
        <f>if(G67=9,1,0)+VLOOKUP(B67,'072724'!B:T,19,false)</f>
        <v>4</v>
      </c>
    </row>
    <row r="68">
      <c r="A68" s="30">
        <f t="shared" si="3"/>
        <v>64</v>
      </c>
      <c r="B68" s="31" t="s">
        <v>120</v>
      </c>
      <c r="C68" s="32">
        <v>36.0</v>
      </c>
      <c r="D68" s="32">
        <v>0.0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5">C68+K68</f>
        <v>45</v>
      </c>
      <c r="N68" s="32">
        <f t="shared" si="65"/>
        <v>0</v>
      </c>
      <c r="O68" s="43" t="s">
        <v>53</v>
      </c>
      <c r="P68" s="43" t="s">
        <v>53</v>
      </c>
      <c r="Q68" s="43" t="s">
        <v>53</v>
      </c>
      <c r="R68" s="39">
        <f>if(G68=13,1,0)+VLOOKUP(B68,'072724'!B:T,17,false)</f>
        <v>0</v>
      </c>
      <c r="S68" s="39"/>
      <c r="T68" s="39">
        <f>if(G68=9,1,0)+VLOOKUP(B68,'072724'!B:T,19,false)</f>
        <v>5</v>
      </c>
    </row>
    <row r="69">
      <c r="A69" s="30">
        <f t="shared" si="3"/>
        <v>65</v>
      </c>
      <c r="B69" s="51" t="s">
        <v>99</v>
      </c>
      <c r="C69" s="32">
        <v>36.0</v>
      </c>
      <c r="D69" s="32">
        <v>0.0</v>
      </c>
      <c r="E69" s="37">
        <v>1.0</v>
      </c>
      <c r="F69" s="39"/>
      <c r="G69" s="40">
        <v>0.0</v>
      </c>
      <c r="H69" s="39">
        <v>1.0</v>
      </c>
      <c r="I69" s="39">
        <v>6.0</v>
      </c>
      <c r="J69" s="39">
        <v>6.0</v>
      </c>
      <c r="K69" s="42">
        <v>13.0</v>
      </c>
      <c r="L69" s="39"/>
      <c r="M69" s="32">
        <f t="shared" ref="M69:N69" si="66">C69+K69</f>
        <v>49</v>
      </c>
      <c r="N69" s="32">
        <f t="shared" si="66"/>
        <v>0</v>
      </c>
      <c r="O69" s="43" t="s">
        <v>53</v>
      </c>
      <c r="P69" s="43"/>
      <c r="Q69" s="43" t="s">
        <v>53</v>
      </c>
      <c r="R69" s="39"/>
      <c r="S69" s="39"/>
      <c r="T69" s="39"/>
    </row>
    <row r="70">
      <c r="A70" s="30">
        <f t="shared" si="3"/>
        <v>66</v>
      </c>
      <c r="B70" s="51" t="s">
        <v>112</v>
      </c>
      <c r="C70" s="32">
        <v>30.0</v>
      </c>
      <c r="D70" s="32">
        <v>0.0</v>
      </c>
      <c r="E70" s="37">
        <v>3.0</v>
      </c>
      <c r="F70" s="39">
        <v>0.0</v>
      </c>
      <c r="G70" s="40">
        <v>9.0</v>
      </c>
      <c r="H70" s="39">
        <v>0.0</v>
      </c>
      <c r="I70" s="39">
        <v>0.0</v>
      </c>
      <c r="J70" s="39">
        <v>0.0</v>
      </c>
      <c r="K70" s="42">
        <v>9.0</v>
      </c>
      <c r="L70" s="39">
        <v>0.0</v>
      </c>
      <c r="M70" s="32">
        <f t="shared" ref="M70:N70" si="67">C70+K70</f>
        <v>39</v>
      </c>
      <c r="N70" s="32">
        <f t="shared" si="67"/>
        <v>0</v>
      </c>
      <c r="O70" s="43" t="s">
        <v>53</v>
      </c>
      <c r="P70" s="43" t="s">
        <v>53</v>
      </c>
      <c r="Q70" s="43" t="s">
        <v>53</v>
      </c>
      <c r="R70" s="39">
        <f>if(G70=13,1,0)+VLOOKUP(B70,'072724'!B:T,17,false)</f>
        <v>0</v>
      </c>
      <c r="S70" s="39"/>
      <c r="T70" s="39">
        <f>if(G70=9,1,0)+VLOOKUP(B70,'072724'!B:T,19,false)</f>
        <v>1</v>
      </c>
    </row>
    <row r="71">
      <c r="A71" s="11"/>
      <c r="C71" s="11"/>
      <c r="D71" s="11"/>
      <c r="E71" s="11"/>
      <c r="P71" s="11"/>
    </row>
    <row r="72">
      <c r="A72" s="11"/>
      <c r="C72" s="11"/>
      <c r="D72" s="11"/>
      <c r="E72" s="11"/>
      <c r="P72" s="11"/>
    </row>
    <row r="73">
      <c r="A73" s="11"/>
      <c r="B73" s="58">
        <f>COUNTA(B5:B70)</f>
        <v>66</v>
      </c>
      <c r="C73" s="11"/>
      <c r="D73" s="11"/>
      <c r="E73" s="11"/>
      <c r="O73" s="7" t="s">
        <v>163</v>
      </c>
      <c r="P73" s="8">
        <f t="shared" ref="P73:Q73" si="68">COUNTA(P5:P70)</f>
        <v>65</v>
      </c>
      <c r="Q73" s="8">
        <f t="shared" si="68"/>
        <v>66</v>
      </c>
    </row>
    <row r="74">
      <c r="A74" s="11"/>
      <c r="C74" s="11"/>
      <c r="D74" s="11"/>
      <c r="E74" s="11"/>
      <c r="O74" s="7" t="s">
        <v>164</v>
      </c>
      <c r="P74" s="8">
        <f t="shared" ref="P74:Q74" si="69">P75-P73</f>
        <v>1</v>
      </c>
      <c r="Q74" s="8">
        <f t="shared" si="69"/>
        <v>0</v>
      </c>
    </row>
    <row r="75">
      <c r="A75" s="11"/>
      <c r="C75" s="11"/>
      <c r="D75" s="11"/>
      <c r="J75" s="49"/>
      <c r="K75" s="59"/>
      <c r="L75" s="60"/>
      <c r="O75" s="7" t="s">
        <v>60</v>
      </c>
      <c r="P75" s="8">
        <f>B73</f>
        <v>66</v>
      </c>
      <c r="Q75" s="8">
        <f>P75</f>
        <v>66</v>
      </c>
    </row>
    <row r="76">
      <c r="A76" s="11"/>
      <c r="C76" s="11"/>
      <c r="D76" s="11"/>
      <c r="E76" s="10" t="s">
        <v>127</v>
      </c>
      <c r="J76" s="49"/>
      <c r="K76" s="59"/>
      <c r="L76" s="60"/>
    </row>
    <row r="77">
      <c r="A77" s="11"/>
      <c r="C77" s="11"/>
      <c r="D77" s="11"/>
      <c r="J77" s="49"/>
      <c r="K77" s="59"/>
      <c r="L77" s="60"/>
    </row>
    <row r="78">
      <c r="A78" s="11"/>
      <c r="C78" s="11"/>
      <c r="D78" s="11"/>
      <c r="J78" s="49"/>
      <c r="K78" s="59"/>
      <c r="L78" s="60"/>
      <c r="O78" s="7" t="s">
        <v>163</v>
      </c>
      <c r="P78" s="8"/>
      <c r="Q78" s="8">
        <f>COUNTIF(Q5:Q70,"X")</f>
        <v>66</v>
      </c>
    </row>
    <row r="79">
      <c r="A79" s="11"/>
      <c r="B79" s="62" t="s">
        <v>129</v>
      </c>
      <c r="C79" s="62" t="s">
        <v>130</v>
      </c>
      <c r="D79" s="62" t="s">
        <v>131</v>
      </c>
      <c r="J79" s="49"/>
      <c r="K79" s="59"/>
      <c r="L79" s="60"/>
      <c r="O79" s="7" t="s">
        <v>132</v>
      </c>
      <c r="P79" s="8"/>
      <c r="Q79" s="8">
        <f>countif(Q5:Q70,"N")</f>
        <v>0</v>
      </c>
    </row>
    <row r="80">
      <c r="A80" s="11"/>
      <c r="B80" s="51" t="str">
        <f>IFERROR(__xludf.DUMMYFUNCTION("QUERY(B5:L70,""Select B, K, L where K &gt;= 18 order by K desc, L desc"",0)"),"Rajasekar Ramasamy")</f>
        <v>Rajasekar Ramasamy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K80" s="59"/>
      <c r="L80" s="60"/>
      <c r="O80" s="7" t="s">
        <v>164</v>
      </c>
      <c r="P80" s="8"/>
      <c r="Q80" s="8">
        <f>countif(Q5:Q70,"")</f>
        <v>0</v>
      </c>
    </row>
    <row r="81">
      <c r="A81" s="11"/>
      <c r="B81" s="51" t="str">
        <f>IFERROR(__xludf.DUMMYFUNCTION("""COMPUTED_VALUE"""),"Luis Hsu")</f>
        <v>Luis Hsu</v>
      </c>
      <c r="C81" s="71">
        <f>IFERROR(__xludf.DUMMYFUNCTION("""COMPUTED_VALUE"""),18.0)</f>
        <v>18</v>
      </c>
      <c r="D81" s="71">
        <f>IFERROR(__xludf.DUMMYFUNCTION("""COMPUTED_VALUE"""),3.0)</f>
        <v>3</v>
      </c>
      <c r="E81" s="11"/>
      <c r="L81" s="65"/>
      <c r="O81" s="7" t="s">
        <v>60</v>
      </c>
      <c r="P81" s="8"/>
      <c r="Q81" s="8">
        <f>sum(Q78:Q80)</f>
        <v>66</v>
      </c>
    </row>
    <row r="82">
      <c r="A82" s="11"/>
      <c r="B82" s="51" t="str">
        <f>IFERROR(__xludf.DUMMYFUNCTION("""COMPUTED_VALUE"""),"Christopher Li")</f>
        <v>Christopher Li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IFERROR(__xludf.DUMMYFUNCTION("""COMPUTED_VALUE"""),"Pulkit Mathur")</f>
        <v>Pulkit Mathur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</row>
    <row r="84">
      <c r="A84" s="11"/>
      <c r="B84" s="51"/>
      <c r="C84" s="71"/>
      <c r="D84" s="71"/>
      <c r="E84" s="11"/>
      <c r="K84" s="10"/>
    </row>
    <row r="85">
      <c r="A85" s="11"/>
      <c r="B85" s="51"/>
      <c r="C85" s="71"/>
      <c r="D85" s="71"/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  <c r="K87" s="10"/>
    </row>
    <row r="88">
      <c r="A88" s="11"/>
      <c r="B88" s="51"/>
      <c r="C88" s="71"/>
      <c r="D88" s="71"/>
      <c r="E88" s="11"/>
    </row>
    <row r="89">
      <c r="A89" s="11"/>
      <c r="B89" s="51"/>
      <c r="C89" s="71"/>
      <c r="D89" s="71"/>
      <c r="E89" s="11"/>
    </row>
    <row r="90">
      <c r="A90" s="11"/>
      <c r="C90" s="11"/>
      <c r="D90" s="11"/>
      <c r="E90" s="11"/>
    </row>
    <row r="91">
      <c r="A91" s="11"/>
      <c r="B91" s="10" t="s">
        <v>165</v>
      </c>
      <c r="C91" s="11"/>
      <c r="D91" s="11"/>
      <c r="E91" s="11"/>
    </row>
    <row r="92">
      <c r="A92" s="11"/>
      <c r="B92" s="27" t="s">
        <v>31</v>
      </c>
      <c r="C92" s="29" t="s">
        <v>2</v>
      </c>
      <c r="D92" s="29" t="s">
        <v>4</v>
      </c>
      <c r="E92" s="29" t="s">
        <v>33</v>
      </c>
      <c r="F92" s="29" t="s">
        <v>35</v>
      </c>
      <c r="G92" s="29" t="s">
        <v>36</v>
      </c>
      <c r="H92" s="29" t="s">
        <v>6</v>
      </c>
      <c r="I92" s="29" t="s">
        <v>7</v>
      </c>
      <c r="J92" s="29" t="s">
        <v>8</v>
      </c>
      <c r="K92" s="29" t="s">
        <v>2</v>
      </c>
      <c r="L92" s="29" t="s">
        <v>4</v>
      </c>
      <c r="M92" s="28" t="s">
        <v>2</v>
      </c>
      <c r="N92" s="28" t="s">
        <v>4</v>
      </c>
    </row>
    <row r="93">
      <c r="A93" s="11"/>
      <c r="B93" s="82" t="str">
        <f>IFERROR(__xludf.DUMMYFUNCTION("QUERY(B5:N70, ""Select B, C, D, E, F, G, H, I, J, K, L, M, N   where F &gt;= 1"")"),"#N/A")</f>
        <v>#N/A</v>
      </c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</row>
    <row r="94">
      <c r="A94" s="11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</row>
    <row r="95">
      <c r="A95" s="11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</row>
    <row r="96">
      <c r="A96" s="11"/>
      <c r="B96" s="82"/>
      <c r="C96" s="83"/>
      <c r="D96" s="83"/>
      <c r="E96" s="83"/>
      <c r="F96" s="82"/>
      <c r="G96" s="82"/>
      <c r="H96" s="82"/>
      <c r="I96" s="82"/>
      <c r="J96" s="82"/>
      <c r="K96" s="82"/>
      <c r="L96" s="82"/>
      <c r="M96" s="82"/>
      <c r="N96" s="82"/>
    </row>
    <row r="97">
      <c r="A97" s="11"/>
      <c r="B97" s="84"/>
      <c r="C97" s="85"/>
      <c r="D97" s="85"/>
      <c r="E97" s="85"/>
      <c r="F97" s="84"/>
      <c r="G97" s="84"/>
      <c r="H97" s="84"/>
      <c r="I97" s="84"/>
      <c r="J97" s="84"/>
      <c r="K97" s="84"/>
      <c r="L97" s="84"/>
      <c r="M97" s="84"/>
      <c r="N97" s="84"/>
    </row>
    <row r="98">
      <c r="A98" s="11"/>
      <c r="B98" s="84"/>
      <c r="C98" s="85"/>
      <c r="D98" s="85"/>
      <c r="E98" s="85"/>
      <c r="F98" s="84"/>
      <c r="G98" s="84"/>
      <c r="H98" s="84"/>
      <c r="I98" s="84"/>
      <c r="J98" s="84"/>
      <c r="K98" s="84"/>
      <c r="L98" s="84"/>
      <c r="M98" s="84"/>
      <c r="N98" s="84"/>
    </row>
    <row r="99">
      <c r="A99" s="11"/>
      <c r="B99" s="84"/>
      <c r="C99" s="85"/>
      <c r="D99" s="85"/>
      <c r="E99" s="85"/>
      <c r="F99" s="84"/>
      <c r="G99" s="84"/>
      <c r="H99" s="84"/>
      <c r="I99" s="84"/>
      <c r="J99" s="84"/>
      <c r="K99" s="84"/>
      <c r="L99" s="84"/>
      <c r="M99" s="84"/>
      <c r="N99" s="84"/>
    </row>
    <row r="100">
      <c r="A100" s="11"/>
      <c r="B100" s="84"/>
      <c r="C100" s="85"/>
      <c r="D100" s="85"/>
      <c r="E100" s="85"/>
      <c r="F100" s="84"/>
      <c r="G100" s="84"/>
      <c r="H100" s="84"/>
      <c r="I100" s="84"/>
      <c r="J100" s="84"/>
      <c r="K100" s="84"/>
      <c r="L100" s="84"/>
      <c r="M100" s="84"/>
      <c r="N100" s="84"/>
    </row>
    <row r="101">
      <c r="A101" s="11"/>
      <c r="B101" s="84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</row>
    <row r="102">
      <c r="A102" s="11"/>
      <c r="B102" s="84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</row>
    <row r="103">
      <c r="A103" s="11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</row>
    <row r="104">
      <c r="A104" s="11"/>
      <c r="B104" s="82"/>
      <c r="C104" s="83"/>
      <c r="D104" s="83"/>
      <c r="E104" s="83"/>
      <c r="F104" s="82"/>
      <c r="G104" s="82"/>
      <c r="H104" s="82"/>
      <c r="I104" s="82"/>
      <c r="J104" s="82"/>
      <c r="K104" s="82"/>
      <c r="L104" s="82"/>
      <c r="M104" s="82"/>
      <c r="N104" s="82"/>
    </row>
    <row r="105">
      <c r="A105" s="11"/>
      <c r="B105" s="84"/>
      <c r="C105" s="85"/>
      <c r="D105" s="85"/>
      <c r="E105" s="85"/>
      <c r="F105" s="84"/>
      <c r="G105" s="84"/>
      <c r="H105" s="84"/>
      <c r="I105" s="84"/>
      <c r="J105" s="84"/>
      <c r="K105" s="84"/>
      <c r="L105" s="84"/>
      <c r="M105" s="84"/>
      <c r="N105" s="84"/>
    </row>
    <row r="106">
      <c r="A106" s="11"/>
      <c r="B106" s="84"/>
      <c r="C106" s="85"/>
      <c r="D106" s="85"/>
      <c r="E106" s="85"/>
      <c r="F106" s="84"/>
      <c r="G106" s="84"/>
      <c r="H106" s="84"/>
      <c r="I106" s="84"/>
      <c r="J106" s="84"/>
      <c r="K106" s="84"/>
      <c r="L106" s="84"/>
      <c r="M106" s="84"/>
      <c r="N106" s="84"/>
    </row>
    <row r="107">
      <c r="A107" s="11"/>
      <c r="B107" s="84"/>
      <c r="C107" s="85"/>
      <c r="D107" s="85"/>
      <c r="E107" s="85"/>
      <c r="F107" s="84"/>
      <c r="G107" s="84"/>
      <c r="H107" s="84"/>
      <c r="I107" s="84"/>
      <c r="J107" s="84"/>
      <c r="K107" s="84"/>
      <c r="L107" s="84"/>
      <c r="M107" s="84"/>
      <c r="N107" s="84"/>
    </row>
    <row r="108">
      <c r="A108" s="11"/>
      <c r="B108" s="84"/>
      <c r="C108" s="85"/>
      <c r="D108" s="85"/>
      <c r="E108" s="85"/>
      <c r="F108" s="84"/>
      <c r="G108" s="84"/>
      <c r="H108" s="84"/>
      <c r="I108" s="84"/>
      <c r="J108" s="84"/>
      <c r="K108" s="84"/>
      <c r="L108" s="84"/>
      <c r="M108" s="84"/>
      <c r="N108" s="84"/>
    </row>
    <row r="109">
      <c r="A109" s="11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</row>
    <row r="110">
      <c r="A110" s="11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</row>
    <row r="111">
      <c r="A111" s="11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</row>
    <row r="112">
      <c r="A112" s="11"/>
      <c r="B112" s="82"/>
      <c r="C112" s="83"/>
      <c r="D112" s="83"/>
      <c r="E112" s="83"/>
      <c r="F112" s="82"/>
      <c r="G112" s="82"/>
      <c r="H112" s="82"/>
      <c r="I112" s="82"/>
      <c r="J112" s="82"/>
      <c r="K112" s="82"/>
      <c r="L112" s="82"/>
      <c r="M112" s="82"/>
      <c r="N112" s="82"/>
    </row>
    <row r="113">
      <c r="A113" s="11"/>
      <c r="B113" s="84"/>
      <c r="C113" s="85"/>
      <c r="D113" s="85"/>
      <c r="E113" s="85"/>
      <c r="F113" s="84"/>
      <c r="G113" s="84"/>
      <c r="H113" s="84"/>
      <c r="I113" s="84"/>
      <c r="J113" s="84"/>
      <c r="K113" s="84"/>
      <c r="L113" s="84"/>
      <c r="M113" s="84"/>
      <c r="N113" s="84"/>
    </row>
    <row r="114">
      <c r="A114" s="11"/>
      <c r="B114" s="84"/>
      <c r="C114" s="85"/>
      <c r="D114" s="85"/>
      <c r="E114" s="85"/>
      <c r="F114" s="84"/>
      <c r="G114" s="84"/>
      <c r="H114" s="84"/>
      <c r="I114" s="84"/>
      <c r="J114" s="84"/>
      <c r="K114" s="84"/>
      <c r="L114" s="84"/>
      <c r="M114" s="84"/>
      <c r="N114" s="84"/>
    </row>
    <row r="115">
      <c r="A115" s="11"/>
      <c r="B115" s="84"/>
      <c r="C115" s="85"/>
      <c r="D115" s="85"/>
      <c r="E115" s="85"/>
      <c r="F115" s="84"/>
      <c r="G115" s="84"/>
      <c r="H115" s="84"/>
      <c r="I115" s="84"/>
      <c r="J115" s="84"/>
      <c r="K115" s="84"/>
      <c r="L115" s="84"/>
      <c r="M115" s="84"/>
      <c r="N115" s="84"/>
    </row>
    <row r="116">
      <c r="A116" s="11"/>
      <c r="B116" s="84"/>
      <c r="C116" s="85"/>
      <c r="D116" s="85"/>
      <c r="E116" s="85"/>
      <c r="F116" s="84"/>
      <c r="G116" s="84"/>
      <c r="H116" s="84"/>
      <c r="I116" s="84"/>
      <c r="J116" s="84"/>
      <c r="K116" s="84"/>
      <c r="L116" s="84"/>
      <c r="M116" s="84"/>
      <c r="N116" s="84"/>
    </row>
    <row r="117">
      <c r="A117" s="11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</row>
    <row r="118">
      <c r="A118" s="11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</row>
    <row r="119">
      <c r="A119" s="11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</row>
    <row r="120">
      <c r="A120" s="11"/>
      <c r="B120" s="82"/>
      <c r="C120" s="83"/>
      <c r="D120" s="83"/>
      <c r="E120" s="83"/>
      <c r="F120" s="82"/>
      <c r="G120" s="82"/>
      <c r="H120" s="82"/>
      <c r="I120" s="82"/>
      <c r="J120" s="82"/>
      <c r="K120" s="82"/>
      <c r="L120" s="82"/>
      <c r="M120" s="82"/>
      <c r="N120" s="82"/>
    </row>
    <row r="121">
      <c r="A121" s="11"/>
      <c r="B121" s="84"/>
      <c r="C121" s="85"/>
      <c r="D121" s="85"/>
      <c r="E121" s="85"/>
      <c r="F121" s="84"/>
      <c r="G121" s="84"/>
      <c r="H121" s="84"/>
      <c r="I121" s="84"/>
      <c r="J121" s="84"/>
      <c r="K121" s="84"/>
      <c r="L121" s="84"/>
      <c r="M121" s="84"/>
      <c r="N121" s="84"/>
    </row>
    <row r="122">
      <c r="A122" s="11"/>
      <c r="B122" s="84"/>
      <c r="C122" s="85"/>
      <c r="D122" s="85"/>
      <c r="E122" s="85"/>
      <c r="F122" s="84"/>
      <c r="G122" s="84"/>
      <c r="H122" s="84"/>
      <c r="I122" s="84"/>
      <c r="J122" s="84"/>
      <c r="K122" s="84"/>
      <c r="L122" s="84"/>
      <c r="M122" s="84"/>
      <c r="N122" s="84"/>
    </row>
    <row r="123">
      <c r="A123" s="11"/>
      <c r="B123" s="84"/>
      <c r="C123" s="85"/>
      <c r="D123" s="85"/>
      <c r="E123" s="85"/>
      <c r="F123" s="84"/>
      <c r="G123" s="84"/>
      <c r="H123" s="84"/>
      <c r="I123" s="84"/>
      <c r="J123" s="84"/>
      <c r="K123" s="84"/>
      <c r="L123" s="84"/>
      <c r="M123" s="84"/>
      <c r="N123" s="84"/>
    </row>
    <row r="124">
      <c r="A124" s="11"/>
      <c r="B124" s="84"/>
      <c r="C124" s="85"/>
      <c r="D124" s="85"/>
      <c r="E124" s="85"/>
      <c r="F124" s="84"/>
      <c r="G124" s="84"/>
      <c r="H124" s="84"/>
      <c r="I124" s="84"/>
      <c r="J124" s="84"/>
      <c r="K124" s="84"/>
      <c r="L124" s="84"/>
      <c r="M124" s="84"/>
      <c r="N124" s="84"/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C134" s="11"/>
      <c r="D134" s="11"/>
      <c r="E134" s="11"/>
    </row>
    <row r="135">
      <c r="A135" s="11"/>
      <c r="B135" s="10" t="s">
        <v>166</v>
      </c>
      <c r="C135" s="11"/>
      <c r="D135" s="11"/>
      <c r="E135" s="11"/>
    </row>
    <row r="136">
      <c r="A136" s="11"/>
      <c r="B136" s="27" t="s">
        <v>31</v>
      </c>
      <c r="C136" s="29" t="s">
        <v>2</v>
      </c>
      <c r="D136" s="29" t="s">
        <v>4</v>
      </c>
      <c r="E136" s="29" t="s">
        <v>33</v>
      </c>
      <c r="F136" s="29" t="s">
        <v>35</v>
      </c>
      <c r="G136" s="29" t="s">
        <v>36</v>
      </c>
      <c r="H136" s="29" t="s">
        <v>6</v>
      </c>
      <c r="I136" s="29" t="s">
        <v>7</v>
      </c>
      <c r="J136" s="29" t="s">
        <v>8</v>
      </c>
      <c r="K136" s="29" t="s">
        <v>2</v>
      </c>
      <c r="L136" s="29" t="s">
        <v>4</v>
      </c>
      <c r="M136" s="28" t="s">
        <v>2</v>
      </c>
      <c r="N136" s="28" t="s">
        <v>4</v>
      </c>
    </row>
    <row r="137">
      <c r="A137" s="11"/>
      <c r="B137" s="82" t="str">
        <f>IFERROR(__xludf.DUMMYFUNCTION("QUERY(B5:N70, ""Select B, C, D, E, F, G, H, I, J, K, L, M, N   where F = 0"")"),"Adrian Tay")</f>
        <v>Adrian Tay</v>
      </c>
      <c r="C137" s="87">
        <f>IFERROR(__xludf.DUMMYFUNCTION("""COMPUTED_VALUE"""),69.0)</f>
        <v>69</v>
      </c>
      <c r="D137" s="87">
        <f>IFERROR(__xludf.DUMMYFUNCTION("""COMPUTED_VALUE"""),9.0)</f>
        <v>9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IFERROR(__xludf.DUMMYFUNCTION("""COMPUTED_VALUE"""),78.0)</f>
        <v>78</v>
      </c>
      <c r="N137" s="89">
        <f>IFERROR(__xludf.DUMMYFUNCTION("""COMPUTED_VALUE"""),9.0)</f>
        <v>9</v>
      </c>
    </row>
    <row r="138">
      <c r="A138" s="11"/>
      <c r="B138" s="82" t="str">
        <f>IFERROR(__xludf.DUMMYFUNCTION("""COMPUTED_VALUE"""),"Tom Le")</f>
        <v>Tom Le</v>
      </c>
      <c r="C138" s="87">
        <f>IFERROR(__xludf.DUMMYFUNCTION("""COMPUTED_VALUE"""),60.0)</f>
        <v>60</v>
      </c>
      <c r="D138" s="87">
        <f>IFERROR(__xludf.DUMMYFUNCTION("""COMPUTED_VALUE"""),7.0)</f>
        <v>7</v>
      </c>
      <c r="E138" s="86">
        <f>IFERROR(__xludf.DUMMYFUNCTION("""COMPUTED_VALUE"""),3.0)</f>
        <v>3</v>
      </c>
      <c r="F138" s="88">
        <f>IFERROR(__xludf.DUMMYFUNCTION("""COMPUTED_VALUE"""),0.0)</f>
        <v>0</v>
      </c>
      <c r="G138" s="88">
        <f>IFERROR(__xludf.DUMMYFUNCTION("""COMPUTED_VALUE"""),9.0)</f>
        <v>9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IFERROR(__xludf.DUMMYFUNCTION("""COMPUTED_VALUE"""),9.0)</f>
        <v>9</v>
      </c>
      <c r="L138" s="88">
        <f>IFERROR(__xludf.DUMMYFUNCTION("""COMPUTED_VALUE"""),0.0)</f>
        <v>0</v>
      </c>
      <c r="M138" s="89">
        <f>IFERROR(__xludf.DUMMYFUNCTION("""COMPUTED_VALUE"""),69.0)</f>
        <v>69</v>
      </c>
      <c r="N138" s="89">
        <f>IFERROR(__xludf.DUMMYFUNCTION("""COMPUTED_VALUE"""),7.0)</f>
        <v>7</v>
      </c>
    </row>
    <row r="139">
      <c r="A139" s="11"/>
      <c r="B139" s="82" t="str">
        <f>IFERROR(__xludf.DUMMYFUNCTION("""COMPUTED_VALUE"""),"Troy Wong")</f>
        <v>Troy Wong</v>
      </c>
      <c r="C139" s="87">
        <f>IFERROR(__xludf.DUMMYFUNCTION("""COMPUTED_VALUE"""),54.0)</f>
        <v>54</v>
      </c>
      <c r="D139" s="87">
        <f>IFERROR(__xludf.DUMMYFUNCTION("""COMPUTED_VALUE"""),5.0)</f>
        <v>5</v>
      </c>
      <c r="E139" s="86">
        <f>IFERROR(__xludf.DUMMYFUNCTION("""COMPUTED_VALUE"""),3.0)</f>
        <v>3</v>
      </c>
      <c r="F139" s="88">
        <f>IFERROR(__xludf.DUMMYFUNCTION("""COMPUTED_VALUE"""),0.0)</f>
        <v>0</v>
      </c>
      <c r="G139" s="88">
        <f>IFERROR(__xludf.DUMMYFUNCTION("""COMPUTED_VALUE"""),9.0)</f>
        <v>9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IFERROR(__xludf.DUMMYFUNCTION("""COMPUTED_VALUE"""),9.0)</f>
        <v>9</v>
      </c>
      <c r="L139" s="88">
        <f>IFERROR(__xludf.DUMMYFUNCTION("""COMPUTED_VALUE"""),0.0)</f>
        <v>0</v>
      </c>
      <c r="M139" s="89">
        <f>IFERROR(__xludf.DUMMYFUNCTION("""COMPUTED_VALUE"""),63.0)</f>
        <v>63</v>
      </c>
      <c r="N139" s="89">
        <f>IFERROR(__xludf.DUMMYFUNCTION("""COMPUTED_VALUE"""),5.0)</f>
        <v>5</v>
      </c>
    </row>
    <row r="140">
      <c r="A140" s="11"/>
      <c r="B140" s="82" t="str">
        <f>IFERROR(__xludf.DUMMYFUNCTION("""COMPUTED_VALUE"""),"Lloyd Sagar")</f>
        <v>Lloyd Sagar</v>
      </c>
      <c r="C140" s="87">
        <f>IFERROR(__xludf.DUMMYFUNCTION("""COMPUTED_VALUE"""),54.0)</f>
        <v>54</v>
      </c>
      <c r="D140" s="87">
        <f>IFERROR(__xludf.DUMMYFUNCTION("""COMPUTED_VALUE"""),5.0)</f>
        <v>5</v>
      </c>
      <c r="E140" s="86">
        <f>IFERROR(__xludf.DUMMYFUNCTION("""COMPUTED_VALUE"""),3.0)</f>
        <v>3</v>
      </c>
      <c r="F140" s="88">
        <f>IFERROR(__xludf.DUMMYFUNCTION("""COMPUTED_VALUE"""),0.0)</f>
        <v>0</v>
      </c>
      <c r="G140" s="88">
        <f>IFERROR(__xludf.DUMMYFUNCTION("""COMPUTED_VALUE"""),9.0)</f>
        <v>9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IFERROR(__xludf.DUMMYFUNCTION("""COMPUTED_VALUE"""),9.0)</f>
        <v>9</v>
      </c>
      <c r="L140" s="88">
        <f>IFERROR(__xludf.DUMMYFUNCTION("""COMPUTED_VALUE"""),0.0)</f>
        <v>0</v>
      </c>
      <c r="M140" s="89">
        <f>IFERROR(__xludf.DUMMYFUNCTION("""COMPUTED_VALUE"""),63.0)</f>
        <v>63</v>
      </c>
      <c r="N140" s="89">
        <f>IFERROR(__xludf.DUMMYFUNCTION("""COMPUTED_VALUE"""),5.0)</f>
        <v>5</v>
      </c>
    </row>
    <row r="141">
      <c r="A141" s="11"/>
      <c r="B141" s="82" t="str">
        <f>IFERROR(__xludf.DUMMYFUNCTION("""COMPUTED_VALUE"""),"Scott Li")</f>
        <v>Scott Li</v>
      </c>
      <c r="C141" s="87">
        <f>IFERROR(__xludf.DUMMYFUNCTION("""COMPUTED_VALUE"""),49.0)</f>
        <v>49</v>
      </c>
      <c r="D141" s="87">
        <f>IFERROR(__xludf.DUMMYFUNCTION("""COMPUTED_VALUE"""),4.0)</f>
        <v>4</v>
      </c>
      <c r="E141" s="86">
        <f>IFERROR(__xludf.DUMMYFUNCTION("""COMPUTED_VALUE"""),3.0)</f>
        <v>3</v>
      </c>
      <c r="F141" s="88">
        <f>IFERROR(__xludf.DUMMYFUNCTION("""COMPUTED_VALUE"""),0.0)</f>
        <v>0</v>
      </c>
      <c r="G141" s="88">
        <f>IFERROR(__xludf.DUMMYFUNCTION("""COMPUTED_VALUE"""),9.0)</f>
        <v>9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IFERROR(__xludf.DUMMYFUNCTION("""COMPUTED_VALUE"""),9.0)</f>
        <v>9</v>
      </c>
      <c r="L141" s="88">
        <f>IFERROR(__xludf.DUMMYFUNCTION("""COMPUTED_VALUE"""),0.0)</f>
        <v>0</v>
      </c>
      <c r="M141" s="89">
        <f>IFERROR(__xludf.DUMMYFUNCTION("""COMPUTED_VALUE"""),58.0)</f>
        <v>58</v>
      </c>
      <c r="N141" s="89">
        <f>IFERROR(__xludf.DUMMYFUNCTION("""COMPUTED_VALUE"""),4.0)</f>
        <v>4</v>
      </c>
    </row>
    <row r="142">
      <c r="A142" s="11"/>
      <c r="B142" s="82" t="str">
        <f>IFERROR(__xludf.DUMMYFUNCTION("""COMPUTED_VALUE"""),"Trinath Goteti")</f>
        <v>Trinath Goteti</v>
      </c>
      <c r="C142" s="87">
        <f>IFERROR(__xludf.DUMMYFUNCTION("""COMPUTED_VALUE"""),49.0)</f>
        <v>49</v>
      </c>
      <c r="D142" s="87">
        <f>IFERROR(__xludf.DUMMYFUNCTION("""COMPUTED_VALUE"""),4.0)</f>
        <v>4</v>
      </c>
      <c r="E142" s="86">
        <f>IFERROR(__xludf.DUMMYFUNCTION("""COMPUTED_VALUE"""),3.0)</f>
        <v>3</v>
      </c>
      <c r="F142" s="88">
        <f>IFERROR(__xludf.DUMMYFUNCTION("""COMPUTED_VALUE"""),0.0)</f>
        <v>0</v>
      </c>
      <c r="G142" s="88">
        <f>IFERROR(__xludf.DUMMYFUNCTION("""COMPUTED_VALUE"""),9.0)</f>
        <v>9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IFERROR(__xludf.DUMMYFUNCTION("""COMPUTED_VALUE"""),9.0)</f>
        <v>9</v>
      </c>
      <c r="L142" s="88">
        <f>IFERROR(__xludf.DUMMYFUNCTION("""COMPUTED_VALUE"""),0.0)</f>
        <v>0</v>
      </c>
      <c r="M142" s="89">
        <f>IFERROR(__xludf.DUMMYFUNCTION("""COMPUTED_VALUE"""),58.0)</f>
        <v>58</v>
      </c>
      <c r="N142" s="89">
        <f>IFERROR(__xludf.DUMMYFUNCTION("""COMPUTED_VALUE"""),4.0)</f>
        <v>4</v>
      </c>
    </row>
    <row r="143">
      <c r="A143" s="11"/>
      <c r="B143" s="82" t="str">
        <f>IFERROR(__xludf.DUMMYFUNCTION("""COMPUTED_VALUE"""),"Pavan Akkimsetty")</f>
        <v>Pavan Akkimsetty</v>
      </c>
      <c r="C143" s="87">
        <f>IFERROR(__xludf.DUMMYFUNCTION("""COMPUTED_VALUE"""),49.0)</f>
        <v>49</v>
      </c>
      <c r="D143" s="87">
        <f>IFERROR(__xludf.DUMMYFUNCTION("""COMPUTED_VALUE"""),3.0)</f>
        <v>3</v>
      </c>
      <c r="E143" s="86">
        <f>IFERROR(__xludf.DUMMYFUNCTION("""COMPUTED_VALUE"""),3.0)</f>
        <v>3</v>
      </c>
      <c r="F143" s="88">
        <f>IFERROR(__xludf.DUMMYFUNCTION("""COMPUTED_VALUE"""),0.0)</f>
        <v>0</v>
      </c>
      <c r="G143" s="88">
        <f>IFERROR(__xludf.DUMMYFUNCTION("""COMPUTED_VALUE"""),9.0)</f>
        <v>9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IFERROR(__xludf.DUMMYFUNCTION("""COMPUTED_VALUE"""),9.0)</f>
        <v>9</v>
      </c>
      <c r="L143" s="88">
        <f>IFERROR(__xludf.DUMMYFUNCTION("""COMPUTED_VALUE"""),0.0)</f>
        <v>0</v>
      </c>
      <c r="M143" s="89">
        <f>IFERROR(__xludf.DUMMYFUNCTION("""COMPUTED_VALUE"""),58.0)</f>
        <v>58</v>
      </c>
      <c r="N143" s="89">
        <f>IFERROR(__xludf.DUMMYFUNCTION("""COMPUTED_VALUE"""),3.0)</f>
        <v>3</v>
      </c>
    </row>
    <row r="144">
      <c r="A144" s="11"/>
      <c r="B144" s="82" t="str">
        <f>IFERROR(__xludf.DUMMYFUNCTION("""COMPUTED_VALUE"""),"Erik Hoeckmann")</f>
        <v>Erik Hoeckmann</v>
      </c>
      <c r="C144" s="87">
        <f>IFERROR(__xludf.DUMMYFUNCTION("""COMPUTED_VALUE"""),48.0)</f>
        <v>48</v>
      </c>
      <c r="D144" s="87">
        <f>IFERROR(__xludf.DUMMYFUNCTION("""COMPUTED_VALUE"""),6.0)</f>
        <v>6</v>
      </c>
      <c r="E144" s="86">
        <f>IFERROR(__xludf.DUMMYFUNCTION("""COMPUTED_VALUE"""),4.0)</f>
        <v>4</v>
      </c>
      <c r="F144" s="88">
        <f>IFERROR(__xludf.DUMMYFUNCTION("""COMPUTED_VALUE"""),0.0)</f>
        <v>0</v>
      </c>
      <c r="G144" s="88">
        <f>IFERROR(__xludf.DUMMYFUNCTION("""COMPUTED_VALUE"""),9.0)</f>
        <v>9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IFERROR(__xludf.DUMMYFUNCTION("""COMPUTED_VALUE"""),9.0)</f>
        <v>9</v>
      </c>
      <c r="L144" s="88">
        <f>IFERROR(__xludf.DUMMYFUNCTION("""COMPUTED_VALUE"""),0.0)</f>
        <v>0</v>
      </c>
      <c r="M144" s="89">
        <f>IFERROR(__xludf.DUMMYFUNCTION("""COMPUTED_VALUE"""),57.0)</f>
        <v>57</v>
      </c>
      <c r="N144" s="89">
        <f>IFERROR(__xludf.DUMMYFUNCTION("""COMPUTED_VALUE"""),6.0)</f>
        <v>6</v>
      </c>
    </row>
    <row r="145">
      <c r="A145" s="11"/>
      <c r="B145" s="82" t="str">
        <f>IFERROR(__xludf.DUMMYFUNCTION("""COMPUTED_VALUE"""),"Andrew Wen")</f>
        <v>Andrew Wen</v>
      </c>
      <c r="C145" s="87">
        <f>IFERROR(__xludf.DUMMYFUNCTION("""COMPUTED_VALUE"""),47.0)</f>
        <v>47</v>
      </c>
      <c r="D145" s="87">
        <f>IFERROR(__xludf.DUMMYFUNCTION("""COMPUTED_VALUE"""),2.0)</f>
        <v>2</v>
      </c>
      <c r="E145" s="86">
        <f>IFERROR(__xludf.DUMMYFUNCTION("""COMPUTED_VALUE"""),3.0)</f>
        <v>3</v>
      </c>
      <c r="F145" s="88">
        <f>IFERROR(__xludf.DUMMYFUNCTION("""COMPUTED_VALUE"""),0.0)</f>
        <v>0</v>
      </c>
      <c r="G145" s="88">
        <f>IFERROR(__xludf.DUMMYFUNCTION("""COMPUTED_VALUE"""),9.0)</f>
        <v>9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IFERROR(__xludf.DUMMYFUNCTION("""COMPUTED_VALUE"""),9.0)</f>
        <v>9</v>
      </c>
      <c r="L145" s="88">
        <f>IFERROR(__xludf.DUMMYFUNCTION("""COMPUTED_VALUE"""),0.0)</f>
        <v>0</v>
      </c>
      <c r="M145" s="89">
        <f>IFERROR(__xludf.DUMMYFUNCTION("""COMPUTED_VALUE"""),56.0)</f>
        <v>56</v>
      </c>
      <c r="N145" s="89">
        <f>IFERROR(__xludf.DUMMYFUNCTION("""COMPUTED_VALUE"""),2.0)</f>
        <v>2</v>
      </c>
    </row>
    <row r="146">
      <c r="A146" s="11"/>
      <c r="B146" s="82" t="str">
        <f>IFERROR(__xludf.DUMMYFUNCTION("""COMPUTED_VALUE"""),"Robert Chang")</f>
        <v>Robert Chang</v>
      </c>
      <c r="C146" s="87">
        <f>IFERROR(__xludf.DUMMYFUNCTION("""COMPUTED_VALUE"""),47.0)</f>
        <v>47</v>
      </c>
      <c r="D146" s="87">
        <f>IFERROR(__xludf.DUMMYFUNCTION("""COMPUTED_VALUE"""),2.0)</f>
        <v>2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IFERROR(__xludf.DUMMYFUNCTION("""COMPUTED_VALUE"""),56.0)</f>
        <v>56</v>
      </c>
      <c r="N146" s="89">
        <f>IFERROR(__xludf.DUMMYFUNCTION("""COMPUTED_VALUE"""),2.0)</f>
        <v>2</v>
      </c>
    </row>
    <row r="147">
      <c r="A147" s="11"/>
      <c r="B147" s="82" t="str">
        <f>IFERROR(__xludf.DUMMYFUNCTION("""COMPUTED_VALUE"""),"Eric Pan")</f>
        <v>Eric Pan</v>
      </c>
      <c r="C147" s="87">
        <f>IFERROR(__xludf.DUMMYFUNCTION("""COMPUTED_VALUE"""),45.0)</f>
        <v>45</v>
      </c>
      <c r="D147" s="87">
        <f>IFERROR(__xludf.DUMMYFUNCTION("""COMPUTED_VALUE"""),3.0)</f>
        <v>3</v>
      </c>
      <c r="E147" s="86">
        <f>IFERROR(__xludf.DUMMYFUNCTION("""COMPUTED_VALUE"""),3.0)</f>
        <v>3</v>
      </c>
      <c r="F147" s="88">
        <f>IFERROR(__xludf.DUMMYFUNCTION("""COMPUTED_VALUE"""),0.0)</f>
        <v>0</v>
      </c>
      <c r="G147" s="88">
        <f>IFERROR(__xludf.DUMMYFUNCTION("""COMPUTED_VALUE"""),9.0)</f>
        <v>9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IFERROR(__xludf.DUMMYFUNCTION("""COMPUTED_VALUE"""),9.0)</f>
        <v>9</v>
      </c>
      <c r="L147" s="88">
        <f>IFERROR(__xludf.DUMMYFUNCTION("""COMPUTED_VALUE"""),0.0)</f>
        <v>0</v>
      </c>
      <c r="M147" s="89">
        <f>IFERROR(__xludf.DUMMYFUNCTION("""COMPUTED_VALUE"""),54.0)</f>
        <v>54</v>
      </c>
      <c r="N147" s="89">
        <f>IFERROR(__xludf.DUMMYFUNCTION("""COMPUTED_VALUE"""),3.0)</f>
        <v>3</v>
      </c>
    </row>
    <row r="148">
      <c r="A148" s="11"/>
      <c r="B148" s="82" t="str">
        <f>IFERROR(__xludf.DUMMYFUNCTION("""COMPUTED_VALUE"""),"Trish Newlin")</f>
        <v>Trish Newlin</v>
      </c>
      <c r="C148" s="87">
        <f>IFERROR(__xludf.DUMMYFUNCTION("""COMPUTED_VALUE"""),44.0)</f>
        <v>44</v>
      </c>
      <c r="D148" s="87">
        <f>IFERROR(__xludf.DUMMYFUNCTION("""COMPUTED_VALUE"""),3.0)</f>
        <v>3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IFERROR(__xludf.DUMMYFUNCTION("""COMPUTED_VALUE"""),53.0)</f>
        <v>53</v>
      </c>
      <c r="N148" s="89">
        <f>IFERROR(__xludf.DUMMYFUNCTION("""COMPUTED_VALUE"""),3.0)</f>
        <v>3</v>
      </c>
    </row>
    <row r="149">
      <c r="A149" s="11"/>
      <c r="B149" s="82" t="str">
        <f>IFERROR(__xludf.DUMMYFUNCTION("""COMPUTED_VALUE"""),"Sanjaye Elayattu")</f>
        <v>Sanjaye Elayattu</v>
      </c>
      <c r="C149" s="87">
        <f>IFERROR(__xludf.DUMMYFUNCTION("""COMPUTED_VALUE"""),44.0)</f>
        <v>44</v>
      </c>
      <c r="D149" s="87">
        <f>IFERROR(__xludf.DUMMYFUNCTION("""COMPUTED_VALUE"""),2.0)</f>
        <v>2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IFERROR(__xludf.DUMMYFUNCTION("""COMPUTED_VALUE"""),53.0)</f>
        <v>53</v>
      </c>
      <c r="N149" s="89">
        <f>IFERROR(__xludf.DUMMYFUNCTION("""COMPUTED_VALUE"""),2.0)</f>
        <v>2</v>
      </c>
    </row>
    <row r="150">
      <c r="A150" s="11"/>
      <c r="B150" s="82" t="str">
        <f>IFERROR(__xludf.DUMMYFUNCTION("""COMPUTED_VALUE"""),"Cid Macaraeg")</f>
        <v>Cid Macaraeg</v>
      </c>
      <c r="C150" s="87">
        <f>IFERROR(__xludf.DUMMYFUNCTION("""COMPUTED_VALUE"""),44.0)</f>
        <v>44</v>
      </c>
      <c r="D150" s="87">
        <f>IFERROR(__xludf.DUMMYFUNCTION("""COMPUTED_VALUE"""),2.0)</f>
        <v>2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IFERROR(__xludf.DUMMYFUNCTION("""COMPUTED_VALUE"""),53.0)</f>
        <v>53</v>
      </c>
      <c r="N150" s="89">
        <f>IFERROR(__xludf.DUMMYFUNCTION("""COMPUTED_VALUE"""),2.0)</f>
        <v>2</v>
      </c>
    </row>
    <row r="151">
      <c r="A151" s="11"/>
      <c r="B151" s="82" t="str">
        <f>IFERROR(__xludf.DUMMYFUNCTION("""COMPUTED_VALUE"""),"Elayaraja Thangaraj ")</f>
        <v>Elayaraja Thangaraj </v>
      </c>
      <c r="C151" s="87">
        <f>IFERROR(__xludf.DUMMYFUNCTION("""COMPUTED_VALUE"""),43.0)</f>
        <v>43</v>
      </c>
      <c r="D151" s="87">
        <f>IFERROR(__xludf.DUMMYFUNCTION("""COMPUTED_VALUE"""),1.0)</f>
        <v>1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IFERROR(__xludf.DUMMYFUNCTION("""COMPUTED_VALUE"""),52.0)</f>
        <v>52</v>
      </c>
      <c r="N151" s="89">
        <f>IFERROR(__xludf.DUMMYFUNCTION("""COMPUTED_VALUE"""),1.0)</f>
        <v>1</v>
      </c>
    </row>
    <row r="152">
      <c r="A152" s="11"/>
      <c r="B152" s="82" t="str">
        <f>IFERROR(__xludf.DUMMYFUNCTION("""COMPUTED_VALUE"""),"Leigh-Anh Nguyen")</f>
        <v>Leigh-Anh Nguyen</v>
      </c>
      <c r="C152" s="87">
        <f>IFERROR(__xludf.DUMMYFUNCTION("""COMPUTED_VALUE"""),41.0)</f>
        <v>41</v>
      </c>
      <c r="D152" s="87">
        <f>IFERROR(__xludf.DUMMYFUNCTION("""COMPUTED_VALUE"""),4.0)</f>
        <v>4</v>
      </c>
      <c r="E152" s="86">
        <f>IFERROR(__xludf.DUMMYFUNCTION("""COMPUTED_VALUE"""),3.0)</f>
        <v>3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IFERROR(__xludf.DUMMYFUNCTION("""COMPUTED_VALUE"""),50.0)</f>
        <v>50</v>
      </c>
      <c r="N152" s="89">
        <f>IFERROR(__xludf.DUMMYFUNCTION("""COMPUTED_VALUE"""),4.0)</f>
        <v>4</v>
      </c>
    </row>
    <row r="153">
      <c r="A153" s="11"/>
      <c r="B153" s="82" t="str">
        <f>IFERROR(__xludf.DUMMYFUNCTION("""COMPUTED_VALUE"""),"Ramesh Bandaru")</f>
        <v>Ramesh Bandaru</v>
      </c>
      <c r="C153" s="87">
        <f>IFERROR(__xludf.DUMMYFUNCTION("""COMPUTED_VALUE"""),41.0)</f>
        <v>41</v>
      </c>
      <c r="D153" s="87">
        <f>IFERROR(__xludf.DUMMYFUNCTION("""COMPUTED_VALUE"""),1.0)</f>
        <v>1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IFERROR(__xludf.DUMMYFUNCTION("""COMPUTED_VALUE"""),50.0)</f>
        <v>50</v>
      </c>
      <c r="N153" s="89">
        <f>IFERROR(__xludf.DUMMYFUNCTION("""COMPUTED_VALUE"""),1.0)</f>
        <v>1</v>
      </c>
    </row>
    <row r="154">
      <c r="A154" s="11"/>
      <c r="B154" s="82" t="str">
        <f>IFERROR(__xludf.DUMMYFUNCTION("""COMPUTED_VALUE"""),"Vinz Solano")</f>
        <v>Vinz Solano</v>
      </c>
      <c r="C154" s="87">
        <f>IFERROR(__xludf.DUMMYFUNCTION("""COMPUTED_VALUE"""),40.0)</f>
        <v>40</v>
      </c>
      <c r="D154" s="87">
        <f>IFERROR(__xludf.DUMMYFUNCTION("""COMPUTED_VALUE"""),2.0)</f>
        <v>2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IFERROR(__xludf.DUMMYFUNCTION("""COMPUTED_VALUE"""),49.0)</f>
        <v>49</v>
      </c>
      <c r="N154" s="89">
        <f>IFERROR(__xludf.DUMMYFUNCTION("""COMPUTED_VALUE"""),2.0)</f>
        <v>2</v>
      </c>
    </row>
    <row r="155">
      <c r="A155" s="11"/>
      <c r="B155" s="82" t="str">
        <f>IFERROR(__xludf.DUMMYFUNCTION("""COMPUTED_VALUE"""),"Vinaya Kajla")</f>
        <v>Vinaya Kajla</v>
      </c>
      <c r="C155" s="87">
        <f>IFERROR(__xludf.DUMMYFUNCTION("""COMPUTED_VALUE"""),40.0)</f>
        <v>40</v>
      </c>
      <c r="D155" s="87">
        <f>IFERROR(__xludf.DUMMYFUNCTION("""COMPUTED_VALUE"""),2.0)</f>
        <v>2</v>
      </c>
      <c r="E155" s="86">
        <f>IFERROR(__xludf.DUMMYFUNCTION("""COMPUTED_VALUE"""),3.0)</f>
        <v>3</v>
      </c>
      <c r="F155" s="88">
        <f>IFERROR(__xludf.DUMMYFUNCTION("""COMPUTED_VALUE"""),0.0)</f>
        <v>0</v>
      </c>
      <c r="G155" s="88">
        <f>IFERROR(__xludf.DUMMYFUNCTION("""COMPUTED_VALUE"""),9.0)</f>
        <v>9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IFERROR(__xludf.DUMMYFUNCTION("""COMPUTED_VALUE"""),9.0)</f>
        <v>9</v>
      </c>
      <c r="L155" s="88">
        <f>IFERROR(__xludf.DUMMYFUNCTION("""COMPUTED_VALUE"""),0.0)</f>
        <v>0</v>
      </c>
      <c r="M155" s="89">
        <f>IFERROR(__xludf.DUMMYFUNCTION("""COMPUTED_VALUE"""),49.0)</f>
        <v>49</v>
      </c>
      <c r="N155" s="89">
        <f>IFERROR(__xludf.DUMMYFUNCTION("""COMPUTED_VALUE"""),2.0)</f>
        <v>2</v>
      </c>
    </row>
    <row r="156">
      <c r="A156" s="11"/>
      <c r="B156" s="82" t="str">
        <f>IFERROR(__xludf.DUMMYFUNCTION("""COMPUTED_VALUE"""),"Peter Homsey")</f>
        <v>Peter Homsey</v>
      </c>
      <c r="C156" s="87">
        <f>IFERROR(__xludf.DUMMYFUNCTION("""COMPUTED_VALUE"""),40.0)</f>
        <v>40</v>
      </c>
      <c r="D156" s="87">
        <f>IFERROR(__xludf.DUMMYFUNCTION("""COMPUTED_VALUE"""),0.0)</f>
        <v>0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IFERROR(__xludf.DUMMYFUNCTION("""COMPUTED_VALUE"""),49.0)</f>
        <v>49</v>
      </c>
      <c r="N156" s="89">
        <f>IFERROR(__xludf.DUMMYFUNCTION("""COMPUTED_VALUE"""),0.0)</f>
        <v>0</v>
      </c>
    </row>
    <row r="157">
      <c r="A157" s="11"/>
      <c r="B157" s="82" t="str">
        <f>IFERROR(__xludf.DUMMYFUNCTION("""COMPUTED_VALUE"""),"Tony Lin")</f>
        <v>Tony Lin</v>
      </c>
      <c r="C157" s="87">
        <f>IFERROR(__xludf.DUMMYFUNCTION("""COMPUTED_VALUE"""),40.0)</f>
        <v>40</v>
      </c>
      <c r="D157" s="87">
        <f>IFERROR(__xludf.DUMMYFUNCTION("""COMPUTED_VALUE"""),0.0)</f>
        <v>0</v>
      </c>
      <c r="E157" s="86">
        <f>IFERROR(__xludf.DUMMYFUNCTION("""COMPUTED_VALUE"""),3.0)</f>
        <v>3</v>
      </c>
      <c r="F157" s="88">
        <f>IFERROR(__xludf.DUMMYFUNCTION("""COMPUTED_VALUE"""),0.0)</f>
        <v>0</v>
      </c>
      <c r="G157" s="88">
        <f>IFERROR(__xludf.DUMMYFUNCTION("""COMPUTED_VALUE"""),9.0)</f>
        <v>9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IFERROR(__xludf.DUMMYFUNCTION("""COMPUTED_VALUE"""),0.0)</f>
        <v>0</v>
      </c>
      <c r="M157" s="89">
        <f>IFERROR(__xludf.DUMMYFUNCTION("""COMPUTED_VALUE"""),49.0)</f>
        <v>49</v>
      </c>
      <c r="N157" s="89">
        <f>IFERROR(__xludf.DUMMYFUNCTION("""COMPUTED_VALUE"""),0.0)</f>
        <v>0</v>
      </c>
    </row>
    <row r="158">
      <c r="A158" s="11"/>
      <c r="B158" s="82" t="str">
        <f>IFERROR(__xludf.DUMMYFUNCTION("""COMPUTED_VALUE"""),"Nicole Ni")</f>
        <v>Nicole Ni</v>
      </c>
      <c r="C158" s="87">
        <f>IFERROR(__xludf.DUMMYFUNCTION("""COMPUTED_VALUE"""),39.0)</f>
        <v>39</v>
      </c>
      <c r="D158" s="87">
        <f>IFERROR(__xludf.DUMMYFUNCTION("""COMPUTED_VALUE"""),4.0)</f>
        <v>4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IFERROR(__xludf.DUMMYFUNCTION("""COMPUTED_VALUE"""),48.0)</f>
        <v>48</v>
      </c>
      <c r="N158" s="89">
        <f>IFERROR(__xludf.DUMMYFUNCTION("""COMPUTED_VALUE"""),4.0)</f>
        <v>4</v>
      </c>
    </row>
    <row r="159">
      <c r="A159" s="11"/>
      <c r="B159" s="82" t="str">
        <f>IFERROR(__xludf.DUMMYFUNCTION("""COMPUTED_VALUE"""),"Mauricio Palacios")</f>
        <v>Mauricio Palacios</v>
      </c>
      <c r="C159" s="87">
        <f>IFERROR(__xludf.DUMMYFUNCTION("""COMPUTED_VALUE"""),37.0)</f>
        <v>37</v>
      </c>
      <c r="D159" s="87">
        <f>IFERROR(__xludf.DUMMYFUNCTION("""COMPUTED_VALUE"""),1.0)</f>
        <v>1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IFERROR(__xludf.DUMMYFUNCTION("""COMPUTED_VALUE"""),46.0)</f>
        <v>46</v>
      </c>
      <c r="N159" s="89">
        <f>IFERROR(__xludf.DUMMYFUNCTION("""COMPUTED_VALUE"""),1.0)</f>
        <v>1</v>
      </c>
    </row>
    <row r="160">
      <c r="A160" s="11"/>
      <c r="B160" s="82" t="str">
        <f>IFERROR(__xludf.DUMMYFUNCTION("""COMPUTED_VALUE"""),"Joyce Zhu")</f>
        <v>Joyce Zhu</v>
      </c>
      <c r="C160" s="87">
        <f>IFERROR(__xludf.DUMMYFUNCTION("""COMPUTED_VALUE"""),36.0)</f>
        <v>36</v>
      </c>
      <c r="D160" s="87">
        <f>IFERROR(__xludf.DUMMYFUNCTION("""COMPUTED_VALUE"""),2.0)</f>
        <v>2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IFERROR(__xludf.DUMMYFUNCTION("""COMPUTED_VALUE"""),45.0)</f>
        <v>45</v>
      </c>
      <c r="N160" s="89">
        <f>IFERROR(__xludf.DUMMYFUNCTION("""COMPUTED_VALUE"""),2.0)</f>
        <v>2</v>
      </c>
    </row>
    <row r="161">
      <c r="A161" s="11"/>
      <c r="B161" s="82" t="str">
        <f>IFERROR(__xludf.DUMMYFUNCTION("""COMPUTED_VALUE"""),"Balaji Alahari")</f>
        <v>Balaji Alahari</v>
      </c>
      <c r="C161" s="87">
        <f>IFERROR(__xludf.DUMMYFUNCTION("""COMPUTED_VALUE"""),36.0)</f>
        <v>36</v>
      </c>
      <c r="D161" s="87">
        <f>IFERROR(__xludf.DUMMYFUNCTION("""COMPUTED_VALUE"""),1.0)</f>
        <v>1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IFERROR(__xludf.DUMMYFUNCTION("""COMPUTED_VALUE"""),45.0)</f>
        <v>45</v>
      </c>
      <c r="N161" s="89">
        <f>IFERROR(__xludf.DUMMYFUNCTION("""COMPUTED_VALUE"""),1.0)</f>
        <v>1</v>
      </c>
    </row>
    <row r="162">
      <c r="A162" s="11"/>
      <c r="B162" s="82" t="str">
        <f>IFERROR(__xludf.DUMMYFUNCTION("""COMPUTED_VALUE"""),"Amit Patel")</f>
        <v>Amit Patel</v>
      </c>
      <c r="C162" s="87">
        <f>IFERROR(__xludf.DUMMYFUNCTION("""COMPUTED_VALUE"""),36.0)</f>
        <v>36</v>
      </c>
      <c r="D162" s="87">
        <f>IFERROR(__xludf.DUMMYFUNCTION("""COMPUTED_VALUE"""),0.0)</f>
        <v>0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IFERROR(__xludf.DUMMYFUNCTION("""COMPUTED_VALUE"""),45.0)</f>
        <v>45</v>
      </c>
      <c r="N162" s="89">
        <f>IFERROR(__xludf.DUMMYFUNCTION("""COMPUTED_VALUE"""),0.0)</f>
        <v>0</v>
      </c>
    </row>
    <row r="163">
      <c r="A163" s="11"/>
      <c r="B163" s="82" t="str">
        <f>IFERROR(__xludf.DUMMYFUNCTION("""COMPUTED_VALUE"""),"Santosh Sundaresan ")</f>
        <v>Santosh Sundaresan </v>
      </c>
      <c r="C163" s="87">
        <f>IFERROR(__xludf.DUMMYFUNCTION("""COMPUTED_VALUE"""),36.0)</f>
        <v>36</v>
      </c>
      <c r="D163" s="87">
        <f>IFERROR(__xludf.DUMMYFUNCTION("""COMPUTED_VALUE"""),0.0)</f>
        <v>0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IFERROR(__xludf.DUMMYFUNCTION("""COMPUTED_VALUE"""),45.0)</f>
        <v>45</v>
      </c>
      <c r="N163" s="89">
        <f>IFERROR(__xludf.DUMMYFUNCTION("""COMPUTED_VALUE"""),0.0)</f>
        <v>0</v>
      </c>
    </row>
    <row r="164">
      <c r="A164" s="11"/>
      <c r="B164" s="82" t="str">
        <f>IFERROR(__xludf.DUMMYFUNCTION("""COMPUTED_VALUE"""),"Peter Cheng")</f>
        <v>Peter Cheng</v>
      </c>
      <c r="C164" s="87">
        <f>IFERROR(__xludf.DUMMYFUNCTION("""COMPUTED_VALUE"""),36.0)</f>
        <v>36</v>
      </c>
      <c r="D164" s="87">
        <f>IFERROR(__xludf.DUMMYFUNCTION("""COMPUTED_VALUE"""),0.0)</f>
        <v>0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IFERROR(__xludf.DUMMYFUNCTION("""COMPUTED_VALUE"""),45.0)</f>
        <v>45</v>
      </c>
      <c r="N164" s="89">
        <f>IFERROR(__xludf.DUMMYFUNCTION("""COMPUTED_VALUE"""),0.0)</f>
        <v>0</v>
      </c>
    </row>
    <row r="165">
      <c r="A165" s="11"/>
      <c r="B165" s="82" t="str">
        <f>IFERROR(__xludf.DUMMYFUNCTION("""COMPUTED_VALUE"""),"Sai Dilip Ponnaganti")</f>
        <v>Sai Dilip Ponnaganti</v>
      </c>
      <c r="C165" s="87">
        <f>IFERROR(__xludf.DUMMYFUNCTION("""COMPUTED_VALUE"""),36.0)</f>
        <v>36</v>
      </c>
      <c r="D165" s="87">
        <f>IFERROR(__xludf.DUMMYFUNCTION("""COMPUTED_VALUE"""),0.0)</f>
        <v>0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IFERROR(__xludf.DUMMYFUNCTION("""COMPUTED_VALUE"""),45.0)</f>
        <v>45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IFERROR(__xludf.DUMMYFUNCTION("""COMPUTED_VALUE"""),"Manish Anand")</f>
        <v>Manish Anand</v>
      </c>
      <c r="C166" s="87">
        <f>IFERROR(__xludf.DUMMYFUNCTION("""COMPUTED_VALUE"""),36.0)</f>
        <v>36</v>
      </c>
      <c r="D166" s="87">
        <f>IFERROR(__xludf.DUMMYFUNCTION("""COMPUTED_VALUE"""),0.0)</f>
        <v>0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IFERROR(__xludf.DUMMYFUNCTION("""COMPUTED_VALUE"""),45.0)</f>
        <v>45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IFERROR(__xludf.DUMMYFUNCTION("""COMPUTED_VALUE"""),"James Phan")</f>
        <v>James Phan</v>
      </c>
      <c r="C167" s="87">
        <f>IFERROR(__xludf.DUMMYFUNCTION("""COMPUTED_VALUE"""),36.0)</f>
        <v>36</v>
      </c>
      <c r="D167" s="87">
        <f>IFERROR(__xludf.DUMMYFUNCTION("""COMPUTED_VALUE"""),0.0)</f>
        <v>0</v>
      </c>
      <c r="E167" s="86">
        <f>IFERROR(__xludf.DUMMYFUNCTION("""COMPUTED_VALUE"""),3.0)</f>
        <v>3</v>
      </c>
      <c r="F167" s="88">
        <f>IFERROR(__xludf.DUMMYFUNCTION("""COMPUTED_VALUE"""),0.0)</f>
        <v>0</v>
      </c>
      <c r="G167" s="88">
        <f>IFERROR(__xludf.DUMMYFUNCTION("""COMPUTED_VALUE"""),9.0)</f>
        <v>9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IFERROR(__xludf.DUMMYFUNCTION("""COMPUTED_VALUE"""),9.0)</f>
        <v>9</v>
      </c>
      <c r="L167" s="88">
        <f>IFERROR(__xludf.DUMMYFUNCTION("""COMPUTED_VALUE"""),0.0)</f>
        <v>0</v>
      </c>
      <c r="M167" s="89">
        <f>IFERROR(__xludf.DUMMYFUNCTION("""COMPUTED_VALUE"""),45.0)</f>
        <v>45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IFERROR(__xludf.DUMMYFUNCTION("""COMPUTED_VALUE"""),"Jose Ortiz")</f>
        <v>Jose Ortiz</v>
      </c>
      <c r="C168" s="86">
        <f>IFERROR(__xludf.DUMMYFUNCTION("""COMPUTED_VALUE"""),36.0)</f>
        <v>36</v>
      </c>
      <c r="D168" s="87">
        <f>IFERROR(__xludf.DUMMYFUNCTION("""COMPUTED_VALUE"""),0.0)</f>
        <v>0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8">
        <f>IFERROR(__xludf.DUMMYFUNCTION("""COMPUTED_VALUE"""),45.0)</f>
        <v>45</v>
      </c>
      <c r="N168" s="89">
        <f>IFERROR(__xludf.DUMMYFUNCTION("""COMPUTED_VALUE"""),0.0)</f>
        <v>0</v>
      </c>
    </row>
    <row r="169">
      <c r="A169" s="11"/>
      <c r="B169" s="82" t="str">
        <f>IFERROR(__xludf.DUMMYFUNCTION("""COMPUTED_VALUE"""),"Naveen Raj")</f>
        <v>Naveen Raj</v>
      </c>
      <c r="C169" s="86">
        <f>IFERROR(__xludf.DUMMYFUNCTION("""COMPUTED_VALUE"""),36.0)</f>
        <v>36</v>
      </c>
      <c r="D169" s="87">
        <f>IFERROR(__xludf.DUMMYFUNCTION("""COMPUTED_VALUE"""),0.0)</f>
        <v>0</v>
      </c>
      <c r="E169" s="86">
        <f>IFERROR(__xludf.DUMMYFUNCTION("""COMPUTED_VALUE"""),3.0)</f>
        <v>3</v>
      </c>
      <c r="F169" s="88">
        <f>IFERROR(__xludf.DUMMYFUNCTION("""COMPUTED_VALUE"""),0.0)</f>
        <v>0</v>
      </c>
      <c r="G169" s="88">
        <f>IFERROR(__xludf.DUMMYFUNCTION("""COMPUTED_VALUE"""),9.0)</f>
        <v>9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IFERROR(__xludf.DUMMYFUNCTION("""COMPUTED_VALUE"""),9.0)</f>
        <v>9</v>
      </c>
      <c r="L169" s="88">
        <f>IFERROR(__xludf.DUMMYFUNCTION("""COMPUTED_VALUE"""),0.0)</f>
        <v>0</v>
      </c>
      <c r="M169" s="88">
        <f>IFERROR(__xludf.DUMMYFUNCTION("""COMPUTED_VALUE"""),45.0)</f>
        <v>45</v>
      </c>
      <c r="N169" s="89">
        <f>IFERROR(__xludf.DUMMYFUNCTION("""COMPUTED_VALUE"""),0.0)</f>
        <v>0</v>
      </c>
    </row>
    <row r="170">
      <c r="A170" s="11"/>
      <c r="B170" s="82" t="str">
        <f>IFERROR(__xludf.DUMMYFUNCTION("""COMPUTED_VALUE"""),"Sandy Weyant")</f>
        <v>Sandy Weyant</v>
      </c>
      <c r="C170" s="86">
        <f>IFERROR(__xludf.DUMMYFUNCTION("""COMPUTED_VALUE"""),30.0)</f>
        <v>30</v>
      </c>
      <c r="D170" s="87">
        <f>IFERROR(__xludf.DUMMYFUNCTION("""COMPUTED_VALUE"""),0.0)</f>
        <v>0</v>
      </c>
      <c r="E170" s="86">
        <f>IFERROR(__xludf.DUMMYFUNCTION("""COMPUTED_VALUE"""),3.0)</f>
        <v>3</v>
      </c>
      <c r="F170" s="88">
        <f>IFERROR(__xludf.DUMMYFUNCTION("""COMPUTED_VALUE"""),0.0)</f>
        <v>0</v>
      </c>
      <c r="G170" s="88">
        <f>IFERROR(__xludf.DUMMYFUNCTION("""COMPUTED_VALUE"""),9.0)</f>
        <v>9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IFERROR(__xludf.DUMMYFUNCTION("""COMPUTED_VALUE"""),9.0)</f>
        <v>9</v>
      </c>
      <c r="L170" s="88">
        <f>IFERROR(__xludf.DUMMYFUNCTION("""COMPUTED_VALUE"""),0.0)</f>
        <v>0</v>
      </c>
      <c r="M170" s="88">
        <f>IFERROR(__xludf.DUMMYFUNCTION("""COMPUTED_VALUE"""),39.0)</f>
        <v>39</v>
      </c>
      <c r="N170" s="89">
        <f>IFERROR(__xludf.DUMMYFUNCTION("""COMPUTED_VALUE"""),0.0)</f>
        <v>0</v>
      </c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B201" s="82"/>
      <c r="C201" s="86"/>
      <c r="D201" s="87"/>
      <c r="E201" s="86"/>
      <c r="F201" s="88"/>
      <c r="G201" s="88"/>
      <c r="H201" s="88"/>
      <c r="I201" s="88"/>
      <c r="J201" s="88"/>
      <c r="K201" s="88"/>
      <c r="L201" s="88"/>
      <c r="M201" s="88"/>
      <c r="N201" s="89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C222" s="11"/>
      <c r="D222" s="11"/>
      <c r="E222" s="11"/>
    </row>
    <row r="223">
      <c r="A223" s="11"/>
      <c r="B223" s="90" t="s">
        <v>167</v>
      </c>
      <c r="C223" s="11"/>
      <c r="D223" s="11"/>
      <c r="E223" s="11"/>
      <c r="U223" s="90" t="s">
        <v>168</v>
      </c>
    </row>
    <row r="224">
      <c r="A224" s="49">
        <v>1.0</v>
      </c>
      <c r="B224" s="82" t="str">
        <f>IFERROR(__xludf.DUMMYFUNCTION("QUERY(B5:Q70, ""Select B   where Q is null"")"),"#N/A")</f>
        <v>#N/A</v>
      </c>
      <c r="C224" s="11"/>
      <c r="D224" s="11"/>
      <c r="E224" s="11"/>
      <c r="T224" s="49">
        <v>1.0</v>
      </c>
      <c r="U224" s="17" t="str">
        <f>IFERROR(__xludf.DUMMYFUNCTION("QUERY(B5:Q70, ""Select B   where Q = 'N' "")"),"#N/A")</f>
        <v>#N/A</v>
      </c>
    </row>
    <row r="225">
      <c r="A225" s="11">
        <f t="shared" ref="A225:A245" si="70">A224+1</f>
        <v>2</v>
      </c>
      <c r="B225" s="82"/>
      <c r="C225" s="11"/>
      <c r="D225" s="11"/>
      <c r="E225" s="11"/>
      <c r="T225" s="11">
        <f t="shared" ref="T225:T236" si="71">T224+1</f>
        <v>2</v>
      </c>
    </row>
    <row r="226">
      <c r="A226" s="11">
        <f t="shared" si="70"/>
        <v>3</v>
      </c>
      <c r="B226" s="82"/>
      <c r="C226" s="11"/>
      <c r="D226" s="11"/>
      <c r="E226" s="11"/>
      <c r="T226" s="11">
        <f t="shared" si="71"/>
        <v>3</v>
      </c>
    </row>
    <row r="227">
      <c r="A227" s="11">
        <f t="shared" si="70"/>
        <v>4</v>
      </c>
      <c r="B227" s="82"/>
      <c r="C227" s="11"/>
      <c r="D227" s="11"/>
      <c r="E227" s="11"/>
      <c r="T227" s="11">
        <f t="shared" si="71"/>
        <v>4</v>
      </c>
    </row>
    <row r="228">
      <c r="A228" s="11">
        <f t="shared" si="70"/>
        <v>5</v>
      </c>
      <c r="B228" s="82"/>
      <c r="C228" s="11"/>
      <c r="D228" s="11"/>
      <c r="E228" s="11"/>
      <c r="T228" s="11">
        <f t="shared" si="71"/>
        <v>5</v>
      </c>
    </row>
    <row r="229">
      <c r="A229" s="11">
        <f t="shared" si="70"/>
        <v>6</v>
      </c>
      <c r="B229" s="82"/>
      <c r="C229" s="11"/>
      <c r="D229" s="11"/>
      <c r="E229" s="11"/>
      <c r="T229" s="11">
        <f t="shared" si="71"/>
        <v>6</v>
      </c>
    </row>
    <row r="230">
      <c r="A230" s="11">
        <f t="shared" si="70"/>
        <v>7</v>
      </c>
      <c r="B230" s="82"/>
      <c r="C230" s="11"/>
      <c r="D230" s="11"/>
      <c r="E230" s="11"/>
      <c r="T230" s="11">
        <f t="shared" si="71"/>
        <v>7</v>
      </c>
    </row>
    <row r="231">
      <c r="A231" s="11">
        <f t="shared" si="70"/>
        <v>8</v>
      </c>
      <c r="B231" s="82"/>
      <c r="C231" s="11"/>
      <c r="D231" s="11"/>
      <c r="E231" s="11"/>
      <c r="T231" s="11">
        <f t="shared" si="71"/>
        <v>8</v>
      </c>
    </row>
    <row r="232">
      <c r="A232" s="11">
        <f t="shared" si="70"/>
        <v>9</v>
      </c>
      <c r="B232" s="82"/>
      <c r="C232" s="11"/>
      <c r="D232" s="11"/>
      <c r="E232" s="11"/>
      <c r="T232" s="11">
        <f t="shared" si="71"/>
        <v>9</v>
      </c>
    </row>
    <row r="233">
      <c r="A233" s="11">
        <f t="shared" si="70"/>
        <v>10</v>
      </c>
      <c r="B233" s="82"/>
      <c r="C233" s="11"/>
      <c r="D233" s="11"/>
      <c r="E233" s="11"/>
      <c r="T233" s="11">
        <f t="shared" si="71"/>
        <v>10</v>
      </c>
    </row>
    <row r="234">
      <c r="A234" s="11">
        <f t="shared" si="70"/>
        <v>11</v>
      </c>
      <c r="B234" s="82"/>
      <c r="C234" s="11"/>
      <c r="D234" s="11"/>
      <c r="E234" s="11"/>
      <c r="T234" s="11">
        <f t="shared" si="71"/>
        <v>11</v>
      </c>
    </row>
    <row r="235">
      <c r="A235" s="11">
        <f t="shared" si="70"/>
        <v>12</v>
      </c>
      <c r="B235" s="82"/>
      <c r="C235" s="11"/>
      <c r="D235" s="11"/>
      <c r="E235" s="11"/>
      <c r="T235" s="11">
        <f t="shared" si="71"/>
        <v>12</v>
      </c>
    </row>
    <row r="236">
      <c r="A236" s="11">
        <f t="shared" si="70"/>
        <v>13</v>
      </c>
      <c r="B236" s="82"/>
      <c r="C236" s="11"/>
      <c r="D236" s="11"/>
      <c r="E236" s="11"/>
      <c r="T236" s="11">
        <f t="shared" si="71"/>
        <v>13</v>
      </c>
    </row>
    <row r="237">
      <c r="A237" s="11">
        <f t="shared" si="70"/>
        <v>14</v>
      </c>
      <c r="B237" s="82"/>
      <c r="C237" s="11"/>
      <c r="D237" s="11"/>
      <c r="E237" s="11"/>
    </row>
    <row r="238">
      <c r="A238" s="11">
        <f t="shared" si="70"/>
        <v>15</v>
      </c>
      <c r="B238" s="82"/>
      <c r="C238" s="11"/>
      <c r="D238" s="11"/>
      <c r="E238" s="11"/>
    </row>
    <row r="239">
      <c r="A239" s="11">
        <f t="shared" si="70"/>
        <v>16</v>
      </c>
      <c r="B239" s="82"/>
      <c r="C239" s="11"/>
      <c r="D239" s="11"/>
      <c r="E239" s="11"/>
    </row>
    <row r="240">
      <c r="A240" s="11">
        <f t="shared" si="70"/>
        <v>17</v>
      </c>
      <c r="B240" s="82"/>
      <c r="C240" s="11"/>
      <c r="D240" s="11"/>
      <c r="E240" s="11"/>
    </row>
    <row r="241">
      <c r="A241" s="11">
        <f t="shared" si="70"/>
        <v>18</v>
      </c>
      <c r="B241" s="82"/>
      <c r="C241" s="11"/>
      <c r="D241" s="11"/>
      <c r="E241" s="11"/>
    </row>
    <row r="242">
      <c r="A242" s="11">
        <f t="shared" si="70"/>
        <v>19</v>
      </c>
      <c r="B242" s="82"/>
      <c r="C242" s="11"/>
      <c r="D242" s="11"/>
      <c r="E242" s="11"/>
    </row>
    <row r="243">
      <c r="A243" s="11">
        <f t="shared" si="70"/>
        <v>20</v>
      </c>
      <c r="B243" s="82"/>
      <c r="C243" s="11"/>
      <c r="D243" s="11"/>
      <c r="E243" s="11"/>
    </row>
    <row r="244">
      <c r="A244" s="11">
        <f t="shared" si="70"/>
        <v>21</v>
      </c>
      <c r="B244" s="82"/>
      <c r="C244" s="11"/>
      <c r="D244" s="11"/>
      <c r="E244" s="11"/>
    </row>
    <row r="245">
      <c r="A245" s="11">
        <f t="shared" si="70"/>
        <v>22</v>
      </c>
      <c r="B245" s="82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  <row r="1029">
      <c r="A1029" s="11"/>
      <c r="C1029" s="11"/>
      <c r="D1029" s="11"/>
      <c r="E1029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70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70 B79:D89">
    <cfRule type="expression" dxfId="1" priority="3">
      <formula>E5=1</formula>
    </cfRule>
  </conditionalFormatting>
  <conditionalFormatting sqref="B5:B70 B79:D89">
    <cfRule type="expression" dxfId="3" priority="4">
      <formula>E5=2</formula>
    </cfRule>
  </conditionalFormatting>
  <conditionalFormatting sqref="B5:B70 B79:D89">
    <cfRule type="expression" dxfId="4" priority="5">
      <formula>E5=3</formula>
    </cfRule>
  </conditionalFormatting>
  <conditionalFormatting sqref="B5:B70 B79:D89">
    <cfRule type="expression" dxfId="5" priority="6">
      <formula>E5=4</formula>
    </cfRule>
  </conditionalFormatting>
  <conditionalFormatting sqref="L81">
    <cfRule type="containsText" dxfId="1" priority="7" operator="containsText" text="Good">
      <formula>NOT(ISERROR(SEARCH(("Good"),(L81))))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45500.0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'072024'!D2+1</f>
        <v>4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43</v>
      </c>
      <c r="C5" s="32">
        <v>51.0</v>
      </c>
      <c r="D5" s="32">
        <v>6.0</v>
      </c>
      <c r="E5" s="37">
        <v>1.0</v>
      </c>
      <c r="F5" s="39"/>
      <c r="G5" s="40">
        <v>0.0</v>
      </c>
      <c r="H5" s="39">
        <v>6.0</v>
      </c>
      <c r="I5" s="39">
        <v>6.0</v>
      </c>
      <c r="J5" s="39">
        <v>6.0</v>
      </c>
      <c r="K5" s="42">
        <v>18.0</v>
      </c>
      <c r="L5" s="39">
        <v>3.0</v>
      </c>
      <c r="M5" s="32">
        <f t="shared" ref="M5:N5" si="1">C5+K5</f>
        <v>69</v>
      </c>
      <c r="N5" s="32">
        <f t="shared" si="1"/>
        <v>9</v>
      </c>
      <c r="O5" s="43" t="s">
        <v>53</v>
      </c>
      <c r="P5" s="43" t="s">
        <v>53</v>
      </c>
      <c r="Q5" s="43" t="s">
        <v>53</v>
      </c>
      <c r="R5" s="39">
        <f>if(G5=13,1,0)+VLOOKUP(B5,'072024'!B:T,17,false)</f>
        <v>1</v>
      </c>
      <c r="S5" s="39"/>
      <c r="T5" s="39">
        <f>if(G5=9,1,0)+VLOOKUP(B5,'072024'!B:T,19,false)</f>
        <v>0</v>
      </c>
    </row>
    <row r="6">
      <c r="A6" s="30">
        <f t="shared" ref="A6:A69" si="3">A5+1</f>
        <v>2</v>
      </c>
      <c r="B6" s="31" t="s">
        <v>61</v>
      </c>
      <c r="C6" s="32">
        <v>48.0</v>
      </c>
      <c r="D6" s="32">
        <v>6.0</v>
      </c>
      <c r="E6" s="37">
        <v>1.0</v>
      </c>
      <c r="F6" s="39"/>
      <c r="G6" s="40">
        <v>0.0</v>
      </c>
      <c r="H6" s="39">
        <v>4.0</v>
      </c>
      <c r="I6" s="39">
        <v>6.0</v>
      </c>
      <c r="J6" s="39">
        <v>2.0</v>
      </c>
      <c r="K6" s="42">
        <v>12.0</v>
      </c>
      <c r="L6" s="39">
        <v>1.0</v>
      </c>
      <c r="M6" s="32">
        <f t="shared" ref="M6:N6" si="2">C6+K6</f>
        <v>60</v>
      </c>
      <c r="N6" s="32">
        <f t="shared" si="2"/>
        <v>7</v>
      </c>
      <c r="O6" s="43" t="s">
        <v>53</v>
      </c>
      <c r="P6" s="43" t="s">
        <v>53</v>
      </c>
      <c r="Q6" s="43" t="s">
        <v>53</v>
      </c>
      <c r="R6" s="39">
        <f>if(G6=13,1,0)+VLOOKUP(B6,'072024'!B:T,17,false)</f>
        <v>0</v>
      </c>
      <c r="S6" s="39"/>
      <c r="T6" s="39">
        <f>if(G6=9,1,0)+VLOOKUP(B6,'072024'!B:T,19,false)</f>
        <v>0</v>
      </c>
    </row>
    <row r="7">
      <c r="A7" s="30">
        <f t="shared" si="3"/>
        <v>3</v>
      </c>
      <c r="B7" s="51" t="s">
        <v>54</v>
      </c>
      <c r="C7" s="32">
        <v>47.0</v>
      </c>
      <c r="D7" s="32">
        <v>6.0</v>
      </c>
      <c r="E7" s="37">
        <v>1.0</v>
      </c>
      <c r="F7" s="39"/>
      <c r="G7" s="40">
        <v>0.0</v>
      </c>
      <c r="H7" s="39">
        <v>6.0</v>
      </c>
      <c r="I7" s="39">
        <v>3.0</v>
      </c>
      <c r="J7" s="39">
        <v>2.0</v>
      </c>
      <c r="K7" s="42">
        <v>11.0</v>
      </c>
      <c r="L7" s="39">
        <v>1.0</v>
      </c>
      <c r="M7" s="32">
        <f t="shared" ref="M7:N7" si="4">C7+K7</f>
        <v>58</v>
      </c>
      <c r="N7" s="32">
        <f t="shared" si="4"/>
        <v>7</v>
      </c>
      <c r="O7" s="43" t="s">
        <v>53</v>
      </c>
      <c r="P7" s="43" t="s">
        <v>53</v>
      </c>
      <c r="Q7" s="43" t="s">
        <v>53</v>
      </c>
      <c r="R7" s="39">
        <f>if(G7=13,1,0)+VLOOKUP(B7,'072024'!B:T,17,false)</f>
        <v>0</v>
      </c>
      <c r="S7" s="39"/>
      <c r="T7" s="39">
        <f>if(G7=9,1,0)+VLOOKUP(B7,'072024'!B:T,19,false)</f>
        <v>0</v>
      </c>
    </row>
    <row r="8">
      <c r="A8" s="30">
        <f t="shared" si="3"/>
        <v>4</v>
      </c>
      <c r="B8" s="51" t="s">
        <v>100</v>
      </c>
      <c r="C8" s="32">
        <v>46.0</v>
      </c>
      <c r="D8" s="32">
        <v>5.0</v>
      </c>
      <c r="E8" s="37">
        <v>1.0</v>
      </c>
      <c r="F8" s="39"/>
      <c r="G8" s="40">
        <v>0.0</v>
      </c>
      <c r="H8" s="39">
        <v>4.0</v>
      </c>
      <c r="I8" s="39">
        <v>3.0</v>
      </c>
      <c r="J8" s="39">
        <v>6.0</v>
      </c>
      <c r="K8" s="42">
        <v>13.0</v>
      </c>
      <c r="L8" s="39">
        <v>1.0</v>
      </c>
      <c r="M8" s="32">
        <f t="shared" ref="M8:N8" si="5">C8+K8</f>
        <v>59</v>
      </c>
      <c r="N8" s="32">
        <f t="shared" si="5"/>
        <v>6</v>
      </c>
      <c r="O8" s="43" t="s">
        <v>53</v>
      </c>
      <c r="P8" s="43" t="s">
        <v>53</v>
      </c>
      <c r="Q8" s="43" t="s">
        <v>53</v>
      </c>
      <c r="R8" s="39">
        <f>if(G8=13,1,0)+VLOOKUP(B8,'072024'!B:T,17,false)</f>
        <v>0</v>
      </c>
      <c r="S8" s="39"/>
      <c r="T8" s="39">
        <f>if(G8=9,1,0)+VLOOKUP(B8,'072024'!B:T,19,false)</f>
        <v>0</v>
      </c>
    </row>
    <row r="9">
      <c r="A9" s="30">
        <f t="shared" si="3"/>
        <v>5</v>
      </c>
      <c r="B9" s="31" t="s">
        <v>90</v>
      </c>
      <c r="C9" s="32">
        <v>43.0</v>
      </c>
      <c r="D9" s="32">
        <v>5.0</v>
      </c>
      <c r="E9" s="37">
        <v>1.0</v>
      </c>
      <c r="F9" s="39"/>
      <c r="G9" s="40">
        <v>0.0</v>
      </c>
      <c r="H9" s="39">
        <v>6.0</v>
      </c>
      <c r="I9" s="39">
        <v>4.0</v>
      </c>
      <c r="J9" s="39">
        <v>6.0</v>
      </c>
      <c r="K9" s="42">
        <v>16.0</v>
      </c>
      <c r="L9" s="39">
        <v>2.0</v>
      </c>
      <c r="M9" s="32">
        <f t="shared" ref="M9:N9" si="6">C9+K9</f>
        <v>59</v>
      </c>
      <c r="N9" s="32">
        <f t="shared" si="6"/>
        <v>7</v>
      </c>
      <c r="O9" s="43" t="s">
        <v>53</v>
      </c>
      <c r="P9" s="43" t="s">
        <v>53</v>
      </c>
      <c r="Q9" s="43" t="s">
        <v>53</v>
      </c>
      <c r="R9" s="39">
        <f>if(G9=13,1,0)+VLOOKUP(B9,'072024'!B:T,17,false)</f>
        <v>0</v>
      </c>
      <c r="S9" s="39"/>
      <c r="T9" s="39">
        <f>if(G9=9,1,0)+VLOOKUP(B9,'072024'!B:T,19,false)</f>
        <v>0</v>
      </c>
    </row>
    <row r="10">
      <c r="A10" s="30">
        <f t="shared" si="3"/>
        <v>6</v>
      </c>
      <c r="B10" s="31" t="s">
        <v>71</v>
      </c>
      <c r="C10" s="32">
        <v>42.0</v>
      </c>
      <c r="D10" s="32">
        <v>5.0</v>
      </c>
      <c r="E10" s="37">
        <v>1.0</v>
      </c>
      <c r="F10" s="39"/>
      <c r="G10" s="40">
        <v>0.0</v>
      </c>
      <c r="H10" s="39">
        <v>6.0</v>
      </c>
      <c r="I10" s="39">
        <v>6.0</v>
      </c>
      <c r="J10" s="39">
        <v>3.0</v>
      </c>
      <c r="K10" s="42">
        <v>15.0</v>
      </c>
      <c r="L10" s="39">
        <v>2.0</v>
      </c>
      <c r="M10" s="32">
        <f t="shared" ref="M10:N10" si="7">C10+K10</f>
        <v>57</v>
      </c>
      <c r="N10" s="32">
        <f t="shared" si="7"/>
        <v>7</v>
      </c>
      <c r="O10" s="43" t="s">
        <v>53</v>
      </c>
      <c r="P10" s="43" t="s">
        <v>53</v>
      </c>
      <c r="Q10" s="43" t="s">
        <v>53</v>
      </c>
      <c r="R10" s="39">
        <f>if(G10=13,1,0)+VLOOKUP(B10,'072024'!B:T,17,false)</f>
        <v>0</v>
      </c>
      <c r="S10" s="39"/>
      <c r="T10" s="39">
        <f>if(G10=9,1,0)+VLOOKUP(B10,'072024'!B:T,19,false)</f>
        <v>0</v>
      </c>
    </row>
    <row r="11">
      <c r="A11" s="30">
        <f t="shared" si="3"/>
        <v>7</v>
      </c>
      <c r="B11" s="51" t="s">
        <v>84</v>
      </c>
      <c r="C11" s="32">
        <v>42.0</v>
      </c>
      <c r="D11" s="32">
        <v>5.0</v>
      </c>
      <c r="E11" s="37">
        <v>1.0</v>
      </c>
      <c r="F11" s="39"/>
      <c r="G11" s="40">
        <v>0.0</v>
      </c>
      <c r="H11" s="39">
        <v>4.0</v>
      </c>
      <c r="I11" s="39">
        <v>4.0</v>
      </c>
      <c r="J11" s="39">
        <v>3.0</v>
      </c>
      <c r="K11" s="42">
        <v>11.0</v>
      </c>
      <c r="L11" s="39">
        <v>0.0</v>
      </c>
      <c r="M11" s="32">
        <f t="shared" ref="M11:N11" si="8">C11+K11</f>
        <v>53</v>
      </c>
      <c r="N11" s="32">
        <f t="shared" si="8"/>
        <v>5</v>
      </c>
      <c r="O11" s="43" t="s">
        <v>53</v>
      </c>
      <c r="P11" s="43" t="s">
        <v>53</v>
      </c>
      <c r="Q11" s="43" t="s">
        <v>53</v>
      </c>
      <c r="R11" s="39">
        <f>if(G11=13,1,0)+VLOOKUP(B11,'072024'!B:T,17,false)</f>
        <v>0</v>
      </c>
      <c r="S11" s="39"/>
      <c r="T11" s="39">
        <f>if(G11=9,1,0)+VLOOKUP(B11,'072024'!B:T,19,false)</f>
        <v>0</v>
      </c>
    </row>
    <row r="12">
      <c r="A12" s="30">
        <f t="shared" si="3"/>
        <v>8</v>
      </c>
      <c r="B12" s="51" t="s">
        <v>87</v>
      </c>
      <c r="C12" s="32">
        <v>41.0</v>
      </c>
      <c r="D12" s="32">
        <v>5.0</v>
      </c>
      <c r="E12" s="37">
        <v>2.0</v>
      </c>
      <c r="F12" s="39"/>
      <c r="G12" s="40">
        <v>0.0</v>
      </c>
      <c r="H12" s="39">
        <v>4.0</v>
      </c>
      <c r="I12" s="39">
        <v>6.0</v>
      </c>
      <c r="J12" s="39">
        <v>6.0</v>
      </c>
      <c r="K12" s="42">
        <v>16.0</v>
      </c>
      <c r="L12" s="39">
        <v>2.0</v>
      </c>
      <c r="M12" s="32">
        <f t="shared" ref="M12:N12" si="9">C12+K12</f>
        <v>57</v>
      </c>
      <c r="N12" s="32">
        <f t="shared" si="9"/>
        <v>7</v>
      </c>
      <c r="O12" s="43" t="s">
        <v>53</v>
      </c>
      <c r="P12" s="43" t="s">
        <v>53</v>
      </c>
      <c r="Q12" s="43" t="s">
        <v>53</v>
      </c>
      <c r="R12" s="39">
        <f>if(G12=13,1,0)+VLOOKUP(B12,'072024'!B:T,17,false)</f>
        <v>0</v>
      </c>
      <c r="S12" s="39"/>
      <c r="T12" s="39">
        <f>if(G12=9,1,0)+VLOOKUP(B12,'072024'!B:T,19,false)</f>
        <v>0</v>
      </c>
    </row>
    <row r="13">
      <c r="A13" s="30">
        <f t="shared" si="3"/>
        <v>9</v>
      </c>
      <c r="B13" s="31" t="s">
        <v>34</v>
      </c>
      <c r="C13" s="32">
        <v>41.0</v>
      </c>
      <c r="D13" s="32">
        <v>5.0</v>
      </c>
      <c r="E13" s="37">
        <v>1.0</v>
      </c>
      <c r="F13" s="39"/>
      <c r="G13" s="40">
        <v>0.0</v>
      </c>
      <c r="H13" s="39">
        <v>6.0</v>
      </c>
      <c r="I13" s="39">
        <v>6.0</v>
      </c>
      <c r="J13" s="39">
        <v>7.0</v>
      </c>
      <c r="K13" s="42">
        <v>19.0</v>
      </c>
      <c r="L13" s="39">
        <v>3.0</v>
      </c>
      <c r="M13" s="32">
        <f t="shared" ref="M13:N13" si="10">C13+K13</f>
        <v>60</v>
      </c>
      <c r="N13" s="32">
        <f t="shared" si="10"/>
        <v>8</v>
      </c>
      <c r="O13" s="43" t="s">
        <v>53</v>
      </c>
      <c r="P13" s="43" t="s">
        <v>53</v>
      </c>
      <c r="Q13" s="43" t="s">
        <v>53</v>
      </c>
      <c r="R13" s="39">
        <f>if(G13=13,1,0)+VLOOKUP(B13,'072024'!B:T,17,false)</f>
        <v>0</v>
      </c>
      <c r="S13" s="39"/>
      <c r="T13" s="39">
        <f>if(G13=9,1,0)+VLOOKUP(B13,'072024'!B:T,19,false)</f>
        <v>1</v>
      </c>
    </row>
    <row r="14">
      <c r="A14" s="30">
        <f t="shared" si="3"/>
        <v>10</v>
      </c>
      <c r="B14" s="31" t="s">
        <v>66</v>
      </c>
      <c r="C14" s="32">
        <v>41.0</v>
      </c>
      <c r="D14" s="32">
        <v>3.0</v>
      </c>
      <c r="E14" s="37">
        <v>2.0</v>
      </c>
      <c r="F14" s="39"/>
      <c r="G14" s="40">
        <v>0.0</v>
      </c>
      <c r="H14" s="39">
        <v>6.0</v>
      </c>
      <c r="I14" s="39">
        <v>0.0</v>
      </c>
      <c r="J14" s="39">
        <v>5.0</v>
      </c>
      <c r="K14" s="42">
        <v>11.0</v>
      </c>
      <c r="L14" s="39">
        <v>1.0</v>
      </c>
      <c r="M14" s="32">
        <f t="shared" ref="M14:N14" si="11">C14+K14</f>
        <v>52</v>
      </c>
      <c r="N14" s="32">
        <f t="shared" si="11"/>
        <v>4</v>
      </c>
      <c r="O14" s="43" t="s">
        <v>53</v>
      </c>
      <c r="P14" s="43" t="s">
        <v>53</v>
      </c>
      <c r="Q14" s="43" t="s">
        <v>53</v>
      </c>
      <c r="R14" s="39">
        <f>if(G14=13,1,0)+VLOOKUP(B14,'072024'!B:T,17,false)</f>
        <v>1</v>
      </c>
      <c r="S14" s="39"/>
      <c r="T14" s="39">
        <f>if(G14=9,1,0)+VLOOKUP(B14,'072024'!B:T,19,false)</f>
        <v>1</v>
      </c>
    </row>
    <row r="15">
      <c r="A15" s="30">
        <f t="shared" si="3"/>
        <v>11</v>
      </c>
      <c r="B15" s="56" t="s">
        <v>65</v>
      </c>
      <c r="C15" s="32">
        <v>40.0</v>
      </c>
      <c r="D15" s="32">
        <v>4.0</v>
      </c>
      <c r="E15" s="37">
        <v>3.0</v>
      </c>
      <c r="F15" s="39">
        <v>0.0</v>
      </c>
      <c r="G15" s="40">
        <v>9.0</v>
      </c>
      <c r="H15" s="39">
        <v>0.0</v>
      </c>
      <c r="I15" s="39">
        <v>0.0</v>
      </c>
      <c r="J15" s="39">
        <v>0.0</v>
      </c>
      <c r="K15" s="42">
        <v>9.0</v>
      </c>
      <c r="L15" s="39">
        <v>0.0</v>
      </c>
      <c r="M15" s="32">
        <f t="shared" ref="M15:N15" si="12">C15+K15</f>
        <v>49</v>
      </c>
      <c r="N15" s="32">
        <f t="shared" si="12"/>
        <v>4</v>
      </c>
      <c r="O15" s="43" t="s">
        <v>53</v>
      </c>
      <c r="P15" s="43" t="s">
        <v>53</v>
      </c>
      <c r="Q15" s="43" t="s">
        <v>53</v>
      </c>
      <c r="R15" s="39">
        <f>if(G15=13,1,0)+VLOOKUP(B15,'072024'!B:T,17,false)</f>
        <v>0</v>
      </c>
      <c r="S15" s="39"/>
      <c r="T15" s="39">
        <f>if(G15=9,1,0)+VLOOKUP(B15,'072024'!B:T,19,false)</f>
        <v>2</v>
      </c>
    </row>
    <row r="16">
      <c r="A16" s="30">
        <f t="shared" si="3"/>
        <v>12</v>
      </c>
      <c r="B16" s="31" t="s">
        <v>119</v>
      </c>
      <c r="C16" s="32">
        <v>40.0</v>
      </c>
      <c r="D16" s="32">
        <v>4.0</v>
      </c>
      <c r="E16" s="37">
        <v>3.0</v>
      </c>
      <c r="F16" s="39">
        <v>0.0</v>
      </c>
      <c r="G16" s="40">
        <v>9.0</v>
      </c>
      <c r="H16" s="39">
        <v>0.0</v>
      </c>
      <c r="I16" s="39">
        <v>0.0</v>
      </c>
      <c r="J16" s="39">
        <v>0.0</v>
      </c>
      <c r="K16" s="42">
        <v>9.0</v>
      </c>
      <c r="L16" s="39">
        <v>0.0</v>
      </c>
      <c r="M16" s="32">
        <f t="shared" ref="M16:N16" si="13">C16+K16</f>
        <v>49</v>
      </c>
      <c r="N16" s="32">
        <f t="shared" si="13"/>
        <v>4</v>
      </c>
      <c r="O16" s="43" t="s">
        <v>53</v>
      </c>
      <c r="P16" s="43" t="s">
        <v>53</v>
      </c>
      <c r="Q16" s="43" t="s">
        <v>53</v>
      </c>
      <c r="R16" s="39">
        <f>if(G16=13,1,0)+VLOOKUP(B16,'072024'!B:T,17,false)</f>
        <v>0</v>
      </c>
      <c r="S16" s="39"/>
      <c r="T16" s="39">
        <f>if(G16=9,1,0)+VLOOKUP(B16,'072024'!B:T,19,false)</f>
        <v>2</v>
      </c>
    </row>
    <row r="17">
      <c r="A17" s="30">
        <f t="shared" si="3"/>
        <v>13</v>
      </c>
      <c r="B17" s="31" t="s">
        <v>96</v>
      </c>
      <c r="C17" s="32">
        <v>39.0</v>
      </c>
      <c r="D17" s="32">
        <v>6.0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4">C17+K17</f>
        <v>48</v>
      </c>
      <c r="N17" s="32">
        <f t="shared" si="14"/>
        <v>6</v>
      </c>
      <c r="O17" s="43" t="s">
        <v>53</v>
      </c>
      <c r="P17" s="43" t="s">
        <v>53</v>
      </c>
      <c r="Q17" s="43" t="s">
        <v>53</v>
      </c>
      <c r="R17" s="39">
        <f>if(G17=13,1,0)+VLOOKUP(B17,'072024'!B:T,17,false)</f>
        <v>0</v>
      </c>
      <c r="S17" s="39"/>
      <c r="T17" s="39">
        <f>if(G17=9,1,0)+VLOOKUP(B17,'072024'!B:T,19,false)</f>
        <v>1</v>
      </c>
    </row>
    <row r="18">
      <c r="A18" s="30">
        <f t="shared" si="3"/>
        <v>14</v>
      </c>
      <c r="B18" s="51" t="s">
        <v>94</v>
      </c>
      <c r="C18" s="32">
        <v>39.0</v>
      </c>
      <c r="D18" s="32">
        <v>4.0</v>
      </c>
      <c r="E18" s="37">
        <v>1.0</v>
      </c>
      <c r="F18" s="39"/>
      <c r="G18" s="40">
        <v>0.0</v>
      </c>
      <c r="H18" s="39">
        <v>4.0</v>
      </c>
      <c r="I18" s="39">
        <v>6.0</v>
      </c>
      <c r="J18" s="39">
        <v>5.0</v>
      </c>
      <c r="K18" s="42">
        <v>15.0</v>
      </c>
      <c r="L18" s="39">
        <v>1.0</v>
      </c>
      <c r="M18" s="32">
        <f t="shared" ref="M18:N18" si="15">C18+K18</f>
        <v>54</v>
      </c>
      <c r="N18" s="32">
        <f t="shared" si="15"/>
        <v>5</v>
      </c>
      <c r="O18" s="43" t="s">
        <v>53</v>
      </c>
      <c r="P18" s="43" t="s">
        <v>53</v>
      </c>
      <c r="Q18" s="43" t="s">
        <v>53</v>
      </c>
      <c r="R18" s="39">
        <f>if(G18=13,1,0)+VLOOKUP(B18,'072024'!B:T,17,false)</f>
        <v>0</v>
      </c>
      <c r="S18" s="39"/>
      <c r="T18" s="39">
        <f>if(G18=9,1,0)+VLOOKUP(B18,'072024'!B:T,19,false)</f>
        <v>1</v>
      </c>
    </row>
    <row r="19">
      <c r="A19" s="30">
        <f t="shared" si="3"/>
        <v>15</v>
      </c>
      <c r="B19" s="51" t="s">
        <v>93</v>
      </c>
      <c r="C19" s="32">
        <v>39.0</v>
      </c>
      <c r="D19" s="32">
        <v>3.0</v>
      </c>
      <c r="E19" s="37">
        <v>1.0</v>
      </c>
      <c r="F19" s="39"/>
      <c r="G19" s="40">
        <v>0.0</v>
      </c>
      <c r="H19" s="39">
        <v>4.0</v>
      </c>
      <c r="I19" s="39">
        <v>0.0</v>
      </c>
      <c r="J19" s="39">
        <v>7.0</v>
      </c>
      <c r="K19" s="42">
        <v>11.0</v>
      </c>
      <c r="L19" s="39">
        <v>1.0</v>
      </c>
      <c r="M19" s="32">
        <f t="shared" ref="M19:N19" si="16">C19+K19</f>
        <v>50</v>
      </c>
      <c r="N19" s="32">
        <f t="shared" si="16"/>
        <v>4</v>
      </c>
      <c r="O19" s="43" t="s">
        <v>53</v>
      </c>
      <c r="P19" s="43" t="s">
        <v>53</v>
      </c>
      <c r="Q19" s="43" t="s">
        <v>53</v>
      </c>
      <c r="R19" s="39">
        <f>if(G19=13,1,0)+VLOOKUP(B19,'072024'!B:T,17,false)</f>
        <v>0</v>
      </c>
      <c r="S19" s="39"/>
      <c r="T19" s="39">
        <f>if(G19=9,1,0)+VLOOKUP(B19,'072024'!B:T,19,false)</f>
        <v>1</v>
      </c>
    </row>
    <row r="20">
      <c r="A20" s="30">
        <f t="shared" si="3"/>
        <v>16</v>
      </c>
      <c r="B20" s="51" t="s">
        <v>78</v>
      </c>
      <c r="C20" s="32">
        <v>38.0</v>
      </c>
      <c r="D20" s="32">
        <v>4.0</v>
      </c>
      <c r="E20" s="37">
        <v>1.0</v>
      </c>
      <c r="F20" s="39"/>
      <c r="G20" s="40">
        <v>0.0</v>
      </c>
      <c r="H20" s="39">
        <v>7.0</v>
      </c>
      <c r="I20" s="39">
        <v>5.0</v>
      </c>
      <c r="J20" s="39">
        <v>4.0</v>
      </c>
      <c r="K20" s="42">
        <v>16.0</v>
      </c>
      <c r="L20" s="39">
        <v>1.0</v>
      </c>
      <c r="M20" s="32">
        <f t="shared" ref="M20:N20" si="17">C20+K20</f>
        <v>54</v>
      </c>
      <c r="N20" s="32">
        <f t="shared" si="17"/>
        <v>5</v>
      </c>
      <c r="O20" s="43" t="s">
        <v>53</v>
      </c>
      <c r="P20" s="43" t="s">
        <v>53</v>
      </c>
      <c r="Q20" s="43" t="s">
        <v>53</v>
      </c>
      <c r="R20" s="39">
        <f>if(G20=13,1,0)+VLOOKUP(B20,'072024'!B:T,17,false)</f>
        <v>0</v>
      </c>
      <c r="S20" s="39"/>
      <c r="T20" s="39">
        <f>if(G20=9,1,0)+VLOOKUP(B20,'072024'!B:T,19,false)</f>
        <v>0</v>
      </c>
    </row>
    <row r="21">
      <c r="A21" s="30">
        <f t="shared" si="3"/>
        <v>17</v>
      </c>
      <c r="B21" s="31" t="s">
        <v>105</v>
      </c>
      <c r="C21" s="32">
        <v>38.0</v>
      </c>
      <c r="D21" s="32">
        <v>4.0</v>
      </c>
      <c r="E21" s="37">
        <v>1.0</v>
      </c>
      <c r="F21" s="39"/>
      <c r="G21" s="40">
        <v>0.0</v>
      </c>
      <c r="H21" s="39">
        <v>6.0</v>
      </c>
      <c r="I21" s="39">
        <v>5.0</v>
      </c>
      <c r="J21" s="39">
        <v>6.0</v>
      </c>
      <c r="K21" s="42">
        <v>17.0</v>
      </c>
      <c r="L21" s="39">
        <v>1.0</v>
      </c>
      <c r="M21" s="32">
        <f t="shared" ref="M21:N21" si="18">C21+K21</f>
        <v>55</v>
      </c>
      <c r="N21" s="32">
        <f t="shared" si="18"/>
        <v>5</v>
      </c>
      <c r="O21" s="43" t="s">
        <v>53</v>
      </c>
      <c r="P21" s="43" t="s">
        <v>53</v>
      </c>
      <c r="Q21" s="43" t="s">
        <v>53</v>
      </c>
      <c r="R21" s="39">
        <f>if(G21=13,1,0)+VLOOKUP(B21,'072024'!B:T,17,false)</f>
        <v>0</v>
      </c>
      <c r="S21" s="39"/>
      <c r="T21" s="39">
        <f>if(G21=9,1,0)+VLOOKUP(B21,'072024'!B:T,19,false)</f>
        <v>1</v>
      </c>
    </row>
    <row r="22">
      <c r="A22" s="30">
        <f t="shared" si="3"/>
        <v>18</v>
      </c>
      <c r="B22" s="56" t="s">
        <v>110</v>
      </c>
      <c r="C22" s="32">
        <v>38.0</v>
      </c>
      <c r="D22" s="32">
        <v>2.0</v>
      </c>
      <c r="E22" s="37">
        <v>3.0</v>
      </c>
      <c r="F22" s="39">
        <v>0.0</v>
      </c>
      <c r="G22" s="40">
        <v>9.0</v>
      </c>
      <c r="H22" s="39">
        <v>0.0</v>
      </c>
      <c r="I22" s="39">
        <v>0.0</v>
      </c>
      <c r="J22" s="39">
        <v>0.0</v>
      </c>
      <c r="K22" s="42">
        <v>9.0</v>
      </c>
      <c r="L22" s="39">
        <v>0.0</v>
      </c>
      <c r="M22" s="32">
        <f t="shared" ref="M22:N22" si="19">C22+K22</f>
        <v>47</v>
      </c>
      <c r="N22" s="32">
        <f t="shared" si="19"/>
        <v>2</v>
      </c>
      <c r="O22" s="43" t="s">
        <v>53</v>
      </c>
      <c r="P22" s="43" t="s">
        <v>53</v>
      </c>
      <c r="Q22" s="43" t="s">
        <v>53</v>
      </c>
      <c r="R22" s="39">
        <f>if(G22=13,1,0)+VLOOKUP(B22,'072024'!B:T,17,false)</f>
        <v>1</v>
      </c>
      <c r="S22" s="39"/>
      <c r="T22" s="39">
        <f>if(G22=9,1,0)+VLOOKUP(B22,'072024'!B:T,19,false)</f>
        <v>1</v>
      </c>
    </row>
    <row r="23">
      <c r="A23" s="30">
        <f t="shared" si="3"/>
        <v>19</v>
      </c>
      <c r="B23" s="31" t="s">
        <v>89</v>
      </c>
      <c r="C23" s="32">
        <v>38.0</v>
      </c>
      <c r="D23" s="32">
        <v>2.0</v>
      </c>
      <c r="E23" s="37">
        <v>3.0</v>
      </c>
      <c r="F23" s="39">
        <v>0.0</v>
      </c>
      <c r="G23" s="40">
        <v>9.0</v>
      </c>
      <c r="H23" s="39">
        <v>0.0</v>
      </c>
      <c r="I23" s="39">
        <v>0.0</v>
      </c>
      <c r="J23" s="39">
        <v>0.0</v>
      </c>
      <c r="K23" s="42">
        <v>9.0</v>
      </c>
      <c r="L23" s="39">
        <v>0.0</v>
      </c>
      <c r="M23" s="32">
        <f t="shared" ref="M23:N23" si="20">C23+K23</f>
        <v>47</v>
      </c>
      <c r="N23" s="32">
        <f t="shared" si="20"/>
        <v>2</v>
      </c>
      <c r="O23" s="43" t="s">
        <v>53</v>
      </c>
      <c r="P23" s="43" t="s">
        <v>53</v>
      </c>
      <c r="Q23" s="43" t="s">
        <v>53</v>
      </c>
      <c r="R23" s="39">
        <f>if(G23=13,1,0)+VLOOKUP(B23,'072024'!B:T,17,false)</f>
        <v>2</v>
      </c>
      <c r="S23" s="39"/>
      <c r="T23" s="39">
        <f>if(G23=9,1,0)+VLOOKUP(B23,'072024'!B:T,19,false)</f>
        <v>1</v>
      </c>
    </row>
    <row r="24">
      <c r="A24" s="30">
        <f t="shared" si="3"/>
        <v>20</v>
      </c>
      <c r="B24" s="31" t="s">
        <v>91</v>
      </c>
      <c r="C24" s="32">
        <v>37.0</v>
      </c>
      <c r="D24" s="32">
        <v>3.0</v>
      </c>
      <c r="E24" s="37">
        <v>2.0</v>
      </c>
      <c r="F24" s="39"/>
      <c r="G24" s="40">
        <v>0.0</v>
      </c>
      <c r="H24" s="39">
        <v>7.0</v>
      </c>
      <c r="I24" s="39">
        <v>7.0</v>
      </c>
      <c r="J24" s="39">
        <v>6.0</v>
      </c>
      <c r="K24" s="42">
        <v>20.0</v>
      </c>
      <c r="L24" s="39">
        <v>3.0</v>
      </c>
      <c r="M24" s="32">
        <f t="shared" ref="M24:N24" si="21">C24+K24</f>
        <v>57</v>
      </c>
      <c r="N24" s="32">
        <f t="shared" si="21"/>
        <v>6</v>
      </c>
      <c r="O24" s="43" t="s">
        <v>53</v>
      </c>
      <c r="P24" s="43" t="s">
        <v>53</v>
      </c>
      <c r="Q24" s="43" t="s">
        <v>53</v>
      </c>
      <c r="R24" s="39">
        <f>if(G24=13,1,0)+VLOOKUP(B24,'072024'!B:T,17,false)</f>
        <v>0</v>
      </c>
      <c r="S24" s="39"/>
      <c r="T24" s="39">
        <f>if(G24=9,1,0)+VLOOKUP(B24,'072024'!B:T,19,false)</f>
        <v>1</v>
      </c>
    </row>
    <row r="25">
      <c r="A25" s="30">
        <f t="shared" si="3"/>
        <v>21</v>
      </c>
      <c r="B25" s="51" t="s">
        <v>104</v>
      </c>
      <c r="C25" s="32">
        <v>36.0</v>
      </c>
      <c r="D25" s="32">
        <v>4.0</v>
      </c>
      <c r="E25" s="37">
        <v>1.0</v>
      </c>
      <c r="F25" s="39"/>
      <c r="G25" s="40">
        <v>0.0</v>
      </c>
      <c r="H25" s="39">
        <v>6.0</v>
      </c>
      <c r="I25" s="39">
        <v>7.0</v>
      </c>
      <c r="J25" s="39">
        <v>4.0</v>
      </c>
      <c r="K25" s="42">
        <v>17.0</v>
      </c>
      <c r="L25" s="39">
        <v>1.0</v>
      </c>
      <c r="M25" s="32">
        <f t="shared" ref="M25:N25" si="22">C25+K25</f>
        <v>53</v>
      </c>
      <c r="N25" s="32">
        <f t="shared" si="22"/>
        <v>5</v>
      </c>
      <c r="O25" s="43" t="s">
        <v>53</v>
      </c>
      <c r="P25" s="43" t="s">
        <v>53</v>
      </c>
      <c r="Q25" s="43" t="s">
        <v>53</v>
      </c>
      <c r="R25" s="39">
        <f>if(G25=13,1,0)+VLOOKUP(B25,'072024'!B:T,17,false)</f>
        <v>0</v>
      </c>
      <c r="S25" s="39"/>
      <c r="T25" s="39">
        <f>if(G25=9,1,0)+VLOOKUP(B25,'072024'!B:T,19,false)</f>
        <v>0</v>
      </c>
    </row>
    <row r="26">
      <c r="A26" s="30">
        <f t="shared" si="3"/>
        <v>22</v>
      </c>
      <c r="B26" s="31" t="s">
        <v>82</v>
      </c>
      <c r="C26" s="32">
        <v>36.0</v>
      </c>
      <c r="D26" s="32">
        <v>3.0</v>
      </c>
      <c r="E26" s="37">
        <v>2.0</v>
      </c>
      <c r="F26" s="39"/>
      <c r="G26" s="40">
        <v>0.0</v>
      </c>
      <c r="H26" s="39">
        <v>6.0</v>
      </c>
      <c r="I26" s="39">
        <v>7.0</v>
      </c>
      <c r="J26" s="39">
        <v>3.0</v>
      </c>
      <c r="K26" s="42">
        <v>16.0</v>
      </c>
      <c r="L26" s="39">
        <v>2.0</v>
      </c>
      <c r="M26" s="32">
        <f t="shared" ref="M26:N26" si="23">C26+K26</f>
        <v>52</v>
      </c>
      <c r="N26" s="32">
        <f t="shared" si="23"/>
        <v>5</v>
      </c>
      <c r="O26" s="43" t="s">
        <v>53</v>
      </c>
      <c r="P26" s="43" t="s">
        <v>53</v>
      </c>
      <c r="Q26" s="43" t="s">
        <v>53</v>
      </c>
      <c r="R26" s="39">
        <f>if(G26=13,1,0)+VLOOKUP(B26,'072024'!B:T,17,false)</f>
        <v>0</v>
      </c>
      <c r="S26" s="39"/>
      <c r="T26" s="39">
        <f>if(G26=9,1,0)+VLOOKUP(B26,'072024'!B:T,19,false)</f>
        <v>2</v>
      </c>
    </row>
    <row r="27">
      <c r="A27" s="30">
        <f t="shared" si="3"/>
        <v>23</v>
      </c>
      <c r="B27" s="31" t="s">
        <v>125</v>
      </c>
      <c r="C27" s="32">
        <v>36.0</v>
      </c>
      <c r="D27" s="32">
        <v>3.0</v>
      </c>
      <c r="E27" s="37">
        <v>3.0</v>
      </c>
      <c r="F27" s="39">
        <v>0.0</v>
      </c>
      <c r="G27" s="40">
        <v>9.0</v>
      </c>
      <c r="H27" s="39">
        <v>0.0</v>
      </c>
      <c r="I27" s="39">
        <v>0.0</v>
      </c>
      <c r="J27" s="39">
        <v>0.0</v>
      </c>
      <c r="K27" s="42">
        <v>9.0</v>
      </c>
      <c r="L27" s="39">
        <v>0.0</v>
      </c>
      <c r="M27" s="32">
        <f t="shared" ref="M27:N27" si="24">C27+K27</f>
        <v>45</v>
      </c>
      <c r="N27" s="32">
        <f t="shared" si="24"/>
        <v>3</v>
      </c>
      <c r="O27" s="43" t="s">
        <v>53</v>
      </c>
      <c r="P27" s="43" t="s">
        <v>53</v>
      </c>
      <c r="Q27" s="43" t="s">
        <v>53</v>
      </c>
      <c r="R27" s="39">
        <f>if(G27=13,1,0)+VLOOKUP(B27,'072024'!B:T,17,false)</f>
        <v>0</v>
      </c>
      <c r="S27" s="39"/>
      <c r="T27" s="39">
        <f>if(G27=9,1,0)+VLOOKUP(B27,'072024'!B:T,19,false)</f>
        <v>3</v>
      </c>
    </row>
    <row r="28">
      <c r="A28" s="30">
        <f t="shared" si="3"/>
        <v>24</v>
      </c>
      <c r="B28" s="51" t="s">
        <v>103</v>
      </c>
      <c r="C28" s="32">
        <v>36.0</v>
      </c>
      <c r="D28" s="32">
        <v>3.0</v>
      </c>
      <c r="E28" s="37">
        <v>1.0</v>
      </c>
      <c r="F28" s="39"/>
      <c r="G28" s="40">
        <v>0.0</v>
      </c>
      <c r="H28" s="39">
        <v>6.0</v>
      </c>
      <c r="I28" s="39">
        <v>6.0</v>
      </c>
      <c r="J28" s="39">
        <v>6.0</v>
      </c>
      <c r="K28" s="42">
        <v>18.0</v>
      </c>
      <c r="L28" s="39">
        <v>2.0</v>
      </c>
      <c r="M28" s="32">
        <f t="shared" ref="M28:N28" si="25">C28+K28</f>
        <v>54</v>
      </c>
      <c r="N28" s="32">
        <f t="shared" si="25"/>
        <v>5</v>
      </c>
      <c r="O28" s="43" t="s">
        <v>53</v>
      </c>
      <c r="P28" s="43" t="s">
        <v>53</v>
      </c>
      <c r="Q28" s="43" t="s">
        <v>53</v>
      </c>
      <c r="R28" s="39">
        <f>if(G28=13,1,0)+VLOOKUP(B28,'072024'!B:T,17,false)</f>
        <v>0</v>
      </c>
      <c r="S28" s="39"/>
      <c r="T28" s="39">
        <f>if(G28=9,1,0)+VLOOKUP(B28,'072024'!B:T,19,false)</f>
        <v>1</v>
      </c>
    </row>
    <row r="29">
      <c r="A29" s="30">
        <f t="shared" si="3"/>
        <v>25</v>
      </c>
      <c r="B29" s="31" t="s">
        <v>83</v>
      </c>
      <c r="C29" s="32">
        <v>36.0</v>
      </c>
      <c r="D29" s="32">
        <v>3.0</v>
      </c>
      <c r="E29" s="37">
        <v>1.0</v>
      </c>
      <c r="F29" s="39"/>
      <c r="G29" s="40">
        <v>0.0</v>
      </c>
      <c r="H29" s="39">
        <v>4.0</v>
      </c>
      <c r="I29" s="39">
        <v>6.0</v>
      </c>
      <c r="J29" s="39">
        <v>3.0</v>
      </c>
      <c r="K29" s="42">
        <v>13.0</v>
      </c>
      <c r="L29" s="39">
        <v>0.0</v>
      </c>
      <c r="M29" s="32">
        <f t="shared" ref="M29:N29" si="26">C29+K29</f>
        <v>49</v>
      </c>
      <c r="N29" s="32">
        <f t="shared" si="26"/>
        <v>3</v>
      </c>
      <c r="O29" s="43" t="s">
        <v>53</v>
      </c>
      <c r="P29" s="43" t="s">
        <v>53</v>
      </c>
      <c r="Q29" s="43" t="s">
        <v>53</v>
      </c>
      <c r="R29" s="39">
        <f>if(G29=13,1,0)+VLOOKUP(B29,'072024'!B:T,17,false)</f>
        <v>0</v>
      </c>
      <c r="S29" s="39"/>
      <c r="T29" s="39">
        <f>if(G29=9,1,0)+VLOOKUP(B29,'072024'!B:T,19,false)</f>
        <v>2</v>
      </c>
    </row>
    <row r="30">
      <c r="A30" s="30">
        <f t="shared" si="3"/>
        <v>26</v>
      </c>
      <c r="B30" s="56" t="s">
        <v>122</v>
      </c>
      <c r="C30" s="32">
        <v>36.0</v>
      </c>
      <c r="D30" s="32">
        <v>2.0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7">C30+K30</f>
        <v>45</v>
      </c>
      <c r="N30" s="32">
        <f t="shared" si="27"/>
        <v>2</v>
      </c>
      <c r="O30" s="43" t="s">
        <v>53</v>
      </c>
      <c r="P30" s="43" t="s">
        <v>53</v>
      </c>
      <c r="Q30" s="43" t="s">
        <v>53</v>
      </c>
      <c r="R30" s="39">
        <f>if(G30=13,1,0)+VLOOKUP(B30,'072024'!B:T,17,false)</f>
        <v>1</v>
      </c>
      <c r="S30" s="39"/>
      <c r="T30" s="39">
        <f>if(G30=9,1,0)+VLOOKUP(B30,'072024'!B:T,19,false)</f>
        <v>1</v>
      </c>
    </row>
    <row r="31">
      <c r="A31" s="30">
        <f t="shared" si="3"/>
        <v>27</v>
      </c>
      <c r="B31" s="31" t="s">
        <v>86</v>
      </c>
      <c r="C31" s="32">
        <v>35.0</v>
      </c>
      <c r="D31" s="32">
        <v>3.0</v>
      </c>
      <c r="E31" s="37">
        <v>2.0</v>
      </c>
      <c r="F31" s="39"/>
      <c r="G31" s="40">
        <v>0.0</v>
      </c>
      <c r="H31" s="39">
        <v>4.0</v>
      </c>
      <c r="I31" s="39">
        <v>7.0</v>
      </c>
      <c r="J31" s="39">
        <v>6.0</v>
      </c>
      <c r="K31" s="42">
        <v>17.0</v>
      </c>
      <c r="L31" s="39">
        <v>2.0</v>
      </c>
      <c r="M31" s="32">
        <f t="shared" ref="M31:N31" si="28">C31+K31</f>
        <v>52</v>
      </c>
      <c r="N31" s="32">
        <f t="shared" si="28"/>
        <v>5</v>
      </c>
      <c r="O31" s="43" t="s">
        <v>53</v>
      </c>
      <c r="P31" s="43" t="s">
        <v>53</v>
      </c>
      <c r="Q31" s="43" t="s">
        <v>53</v>
      </c>
      <c r="R31" s="39">
        <f>if(G31=13,1,0)+VLOOKUP(B31,'072024'!B:T,17,false)</f>
        <v>1</v>
      </c>
      <c r="S31" s="39"/>
      <c r="T31" s="39">
        <f>if(G31=9,1,0)+VLOOKUP(B31,'072024'!B:T,19,false)</f>
        <v>0</v>
      </c>
    </row>
    <row r="32">
      <c r="A32" s="30">
        <f t="shared" si="3"/>
        <v>28</v>
      </c>
      <c r="B32" s="31" t="s">
        <v>97</v>
      </c>
      <c r="C32" s="32">
        <v>35.0</v>
      </c>
      <c r="D32" s="32">
        <v>2.0</v>
      </c>
      <c r="E32" s="37">
        <v>3.0</v>
      </c>
      <c r="F32" s="39">
        <v>0.0</v>
      </c>
      <c r="G32" s="40">
        <v>9.0</v>
      </c>
      <c r="H32" s="39">
        <v>0.0</v>
      </c>
      <c r="I32" s="39">
        <v>0.0</v>
      </c>
      <c r="J32" s="39">
        <v>0.0</v>
      </c>
      <c r="K32" s="42">
        <v>9.0</v>
      </c>
      <c r="L32" s="39">
        <v>0.0</v>
      </c>
      <c r="M32" s="32">
        <f t="shared" ref="M32:N32" si="29">C32+K32</f>
        <v>44</v>
      </c>
      <c r="N32" s="32">
        <f t="shared" si="29"/>
        <v>2</v>
      </c>
      <c r="O32" s="43" t="s">
        <v>53</v>
      </c>
      <c r="P32" s="43" t="s">
        <v>53</v>
      </c>
      <c r="Q32" s="43" t="s">
        <v>53</v>
      </c>
      <c r="R32" s="39">
        <f>if(G32=13,1,0)+VLOOKUP(B32,'072024'!B:T,17,false)</f>
        <v>0</v>
      </c>
      <c r="S32" s="39"/>
      <c r="T32" s="39">
        <f>if(G32=9,1,0)+VLOOKUP(B32,'072024'!B:T,19,false)</f>
        <v>3</v>
      </c>
    </row>
    <row r="33">
      <c r="A33" s="30">
        <f t="shared" si="3"/>
        <v>29</v>
      </c>
      <c r="B33" s="31" t="s">
        <v>68</v>
      </c>
      <c r="C33" s="32">
        <v>34.0</v>
      </c>
      <c r="D33" s="32">
        <v>2.0</v>
      </c>
      <c r="E33" s="37">
        <v>1.0</v>
      </c>
      <c r="F33" s="39"/>
      <c r="G33" s="40">
        <v>0.0</v>
      </c>
      <c r="H33" s="39">
        <v>6.0</v>
      </c>
      <c r="I33" s="39">
        <v>0.0</v>
      </c>
      <c r="J33" s="39">
        <v>6.0</v>
      </c>
      <c r="K33" s="42">
        <v>12.0</v>
      </c>
      <c r="L33" s="39">
        <v>1.0</v>
      </c>
      <c r="M33" s="32">
        <f t="shared" ref="M33:N33" si="30">C33+K33</f>
        <v>46</v>
      </c>
      <c r="N33" s="32">
        <f t="shared" si="30"/>
        <v>3</v>
      </c>
      <c r="O33" s="43" t="s">
        <v>53</v>
      </c>
      <c r="P33" s="43" t="s">
        <v>53</v>
      </c>
      <c r="Q33" s="43" t="s">
        <v>53</v>
      </c>
      <c r="R33" s="39">
        <f>if(G33=13,1,0)+VLOOKUP(B33,'072024'!B:T,17,false)</f>
        <v>0</v>
      </c>
      <c r="S33" s="39"/>
      <c r="T33" s="39">
        <f>if(G33=9,1,0)+VLOOKUP(B33,'072024'!B:T,19,false)</f>
        <v>1</v>
      </c>
    </row>
    <row r="34">
      <c r="A34" s="30">
        <f t="shared" si="3"/>
        <v>30</v>
      </c>
      <c r="B34" s="51" t="s">
        <v>102</v>
      </c>
      <c r="C34" s="32">
        <v>34.0</v>
      </c>
      <c r="D34" s="32">
        <v>1.0</v>
      </c>
      <c r="E34" s="37">
        <v>3.0</v>
      </c>
      <c r="F34" s="39">
        <v>0.0</v>
      </c>
      <c r="G34" s="40">
        <v>9.0</v>
      </c>
      <c r="H34" s="39">
        <v>0.0</v>
      </c>
      <c r="I34" s="39">
        <v>0.0</v>
      </c>
      <c r="J34" s="39">
        <v>0.0</v>
      </c>
      <c r="K34" s="42">
        <v>9.0</v>
      </c>
      <c r="L34" s="39">
        <v>0.0</v>
      </c>
      <c r="M34" s="32">
        <f t="shared" ref="M34:N34" si="31">C34+K34</f>
        <v>43</v>
      </c>
      <c r="N34" s="32">
        <f t="shared" si="31"/>
        <v>1</v>
      </c>
      <c r="O34" s="43" t="s">
        <v>53</v>
      </c>
      <c r="P34" s="43" t="s">
        <v>53</v>
      </c>
      <c r="Q34" s="43" t="s">
        <v>53</v>
      </c>
      <c r="R34" s="39">
        <f>if(G34=13,1,0)+VLOOKUP(B34,'072024'!B:T,17,false)</f>
        <v>1</v>
      </c>
      <c r="S34" s="39"/>
      <c r="T34" s="39">
        <f>if(G34=9,1,0)+VLOOKUP(B34,'072024'!B:T,19,false)</f>
        <v>2</v>
      </c>
    </row>
    <row r="35">
      <c r="A35" s="30">
        <f t="shared" si="3"/>
        <v>31</v>
      </c>
      <c r="B35" s="51" t="s">
        <v>116</v>
      </c>
      <c r="C35" s="32">
        <v>33.0</v>
      </c>
      <c r="D35" s="32">
        <v>2.0</v>
      </c>
      <c r="E35" s="37">
        <v>2.0</v>
      </c>
      <c r="F35" s="39"/>
      <c r="G35" s="40">
        <v>0.0</v>
      </c>
      <c r="H35" s="39">
        <v>0.0</v>
      </c>
      <c r="I35" s="39">
        <v>0.0</v>
      </c>
      <c r="J35" s="39">
        <v>7.0</v>
      </c>
      <c r="K35" s="42">
        <v>7.0</v>
      </c>
      <c r="L35" s="39">
        <v>1.0</v>
      </c>
      <c r="M35" s="32">
        <f t="shared" ref="M35:N35" si="32">C35+K35</f>
        <v>40</v>
      </c>
      <c r="N35" s="32">
        <f t="shared" si="32"/>
        <v>3</v>
      </c>
      <c r="O35" s="43" t="s">
        <v>53</v>
      </c>
      <c r="P35" s="43" t="s">
        <v>53</v>
      </c>
      <c r="Q35" s="43" t="s">
        <v>53</v>
      </c>
      <c r="R35" s="39">
        <f>if(G35=13,1,0)+VLOOKUP(B35,'072024'!B:T,17,false)</f>
        <v>0</v>
      </c>
      <c r="S35" s="39"/>
      <c r="T35" s="39">
        <f>if(G35=9,1,0)+VLOOKUP(B35,'072024'!B:T,19,false)</f>
        <v>1</v>
      </c>
    </row>
    <row r="36">
      <c r="A36" s="30">
        <f t="shared" si="3"/>
        <v>32</v>
      </c>
      <c r="B36" s="51" t="s">
        <v>92</v>
      </c>
      <c r="C36" s="32">
        <v>33.0</v>
      </c>
      <c r="D36" s="32">
        <v>1.0</v>
      </c>
      <c r="E36" s="37">
        <v>1.0</v>
      </c>
      <c r="F36" s="39"/>
      <c r="G36" s="40">
        <v>0.0</v>
      </c>
      <c r="H36" s="39">
        <v>6.0</v>
      </c>
      <c r="I36" s="39">
        <v>6.0</v>
      </c>
      <c r="J36" s="39">
        <v>7.0</v>
      </c>
      <c r="K36" s="42">
        <v>19.0</v>
      </c>
      <c r="L36" s="39">
        <v>3.0</v>
      </c>
      <c r="M36" s="32">
        <f t="shared" ref="M36:N36" si="33">C36+K36</f>
        <v>52</v>
      </c>
      <c r="N36" s="32">
        <f t="shared" si="33"/>
        <v>4</v>
      </c>
      <c r="O36" s="43" t="s">
        <v>53</v>
      </c>
      <c r="P36" s="43" t="s">
        <v>53</v>
      </c>
      <c r="Q36" s="43" t="s">
        <v>53</v>
      </c>
      <c r="R36" s="39">
        <f>if(G36=13,1,0)+VLOOKUP(B36,'072024'!B:T,17,false)</f>
        <v>1</v>
      </c>
      <c r="S36" s="39"/>
      <c r="T36" s="39">
        <f>if(G36=9,1,0)+VLOOKUP(B36,'072024'!B:T,19,false)</f>
        <v>1</v>
      </c>
    </row>
    <row r="37">
      <c r="A37" s="30">
        <f t="shared" si="3"/>
        <v>33</v>
      </c>
      <c r="B37" s="51" t="s">
        <v>121</v>
      </c>
      <c r="C37" s="32">
        <v>32.0</v>
      </c>
      <c r="D37" s="32">
        <v>4.0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4">C37+K37</f>
        <v>41</v>
      </c>
      <c r="N37" s="32">
        <f t="shared" si="34"/>
        <v>4</v>
      </c>
      <c r="O37" s="43" t="s">
        <v>53</v>
      </c>
      <c r="P37" s="43" t="s">
        <v>53</v>
      </c>
      <c r="Q37" s="43" t="s">
        <v>53</v>
      </c>
      <c r="R37" s="39">
        <f>if(G37=13,1,0)+VLOOKUP(B37,'072024'!B:T,17,false)</f>
        <v>0</v>
      </c>
      <c r="S37" s="39"/>
      <c r="T37" s="39">
        <f>if(G37=9,1,0)+VLOOKUP(B37,'072024'!B:T,19,false)</f>
        <v>1</v>
      </c>
    </row>
    <row r="38">
      <c r="A38" s="30">
        <f t="shared" si="3"/>
        <v>34</v>
      </c>
      <c r="B38" s="56" t="s">
        <v>101</v>
      </c>
      <c r="C38" s="32">
        <v>32.0</v>
      </c>
      <c r="D38" s="32">
        <v>1.0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5">C38+K38</f>
        <v>41</v>
      </c>
      <c r="N38" s="32">
        <f t="shared" si="35"/>
        <v>1</v>
      </c>
      <c r="O38" s="43" t="s">
        <v>53</v>
      </c>
      <c r="P38" s="43" t="s">
        <v>53</v>
      </c>
      <c r="Q38" s="43" t="s">
        <v>53</v>
      </c>
      <c r="R38" s="39">
        <f>if(G38=13,1,0)+VLOOKUP(B38,'072024'!B:T,17,false)</f>
        <v>0</v>
      </c>
      <c r="S38" s="39"/>
      <c r="T38" s="39">
        <f>if(G38=9,1,0)+VLOOKUP(B38,'072024'!B:T,19,false)</f>
        <v>2</v>
      </c>
    </row>
    <row r="39">
      <c r="A39" s="30">
        <f t="shared" si="3"/>
        <v>35</v>
      </c>
      <c r="B39" s="51" t="s">
        <v>95</v>
      </c>
      <c r="C39" s="32">
        <v>32.0</v>
      </c>
      <c r="D39" s="32">
        <v>1.0</v>
      </c>
      <c r="E39" s="37">
        <v>1.0</v>
      </c>
      <c r="F39" s="39"/>
      <c r="G39" s="40">
        <v>0.0</v>
      </c>
      <c r="H39" s="39">
        <v>0.0</v>
      </c>
      <c r="I39" s="39">
        <v>6.0</v>
      </c>
      <c r="J39" s="39">
        <v>6.0</v>
      </c>
      <c r="K39" s="42">
        <v>12.0</v>
      </c>
      <c r="L39" s="39">
        <v>1.0</v>
      </c>
      <c r="M39" s="32">
        <f t="shared" ref="M39:N39" si="36">C39+K39</f>
        <v>44</v>
      </c>
      <c r="N39" s="32">
        <f t="shared" si="36"/>
        <v>2</v>
      </c>
      <c r="O39" s="43" t="s">
        <v>53</v>
      </c>
      <c r="P39" s="43" t="s">
        <v>53</v>
      </c>
      <c r="Q39" s="43" t="s">
        <v>53</v>
      </c>
      <c r="R39" s="39">
        <f>if(G39=13,1,0)+VLOOKUP(B39,'072024'!B:T,17,false)</f>
        <v>0</v>
      </c>
      <c r="S39" s="39"/>
      <c r="T39" s="39">
        <f>if(G39=9,1,0)+VLOOKUP(B39,'072024'!B:T,19,false)</f>
        <v>2</v>
      </c>
    </row>
    <row r="40">
      <c r="A40" s="30">
        <f t="shared" si="3"/>
        <v>36</v>
      </c>
      <c r="B40" s="51" t="s">
        <v>108</v>
      </c>
      <c r="C40" s="32">
        <v>32.0</v>
      </c>
      <c r="D40" s="32">
        <v>1.0</v>
      </c>
      <c r="E40" s="37">
        <v>1.0</v>
      </c>
      <c r="F40" s="39"/>
      <c r="G40" s="40">
        <v>0.0</v>
      </c>
      <c r="H40" s="39">
        <v>6.0</v>
      </c>
      <c r="I40" s="39">
        <v>1.0</v>
      </c>
      <c r="J40" s="39">
        <v>1.0</v>
      </c>
      <c r="K40" s="42">
        <v>8.0</v>
      </c>
      <c r="L40" s="39">
        <v>1.0</v>
      </c>
      <c r="M40" s="32">
        <f t="shared" ref="M40:N40" si="37">C40+K40</f>
        <v>40</v>
      </c>
      <c r="N40" s="32">
        <f t="shared" si="37"/>
        <v>2</v>
      </c>
      <c r="O40" s="43" t="s">
        <v>53</v>
      </c>
      <c r="P40" s="43" t="s">
        <v>53</v>
      </c>
      <c r="Q40" s="43" t="s">
        <v>53</v>
      </c>
      <c r="R40" s="39">
        <f>if(G40=13,1,0)+VLOOKUP(B40,'072024'!B:T,17,false)</f>
        <v>0</v>
      </c>
      <c r="S40" s="39"/>
      <c r="T40" s="39">
        <f>if(G40=9,1,0)+VLOOKUP(B40,'072024'!B:T,19,false)</f>
        <v>2</v>
      </c>
    </row>
    <row r="41">
      <c r="A41" s="30">
        <f t="shared" si="3"/>
        <v>37</v>
      </c>
      <c r="B41" s="51" t="s">
        <v>113</v>
      </c>
      <c r="C41" s="32">
        <v>31.0</v>
      </c>
      <c r="D41" s="32">
        <v>3.0</v>
      </c>
      <c r="E41" s="37">
        <v>1.0</v>
      </c>
      <c r="F41" s="39"/>
      <c r="G41" s="40">
        <v>0.0</v>
      </c>
      <c r="H41" s="39">
        <v>1.0</v>
      </c>
      <c r="I41" s="39">
        <v>6.0</v>
      </c>
      <c r="J41" s="39">
        <v>1.0</v>
      </c>
      <c r="K41" s="42">
        <v>8.0</v>
      </c>
      <c r="L41" s="39">
        <v>1.0</v>
      </c>
      <c r="M41" s="32">
        <f t="shared" ref="M41:N41" si="38">C41+K41</f>
        <v>39</v>
      </c>
      <c r="N41" s="32">
        <f t="shared" si="38"/>
        <v>4</v>
      </c>
      <c r="O41" s="43" t="s">
        <v>53</v>
      </c>
      <c r="P41" s="43" t="s">
        <v>53</v>
      </c>
      <c r="Q41" s="43" t="s">
        <v>53</v>
      </c>
      <c r="R41" s="39">
        <f>if(G41=13,1,0)+VLOOKUP(B41,'072024'!B:T,17,false)</f>
        <v>0</v>
      </c>
      <c r="S41" s="39"/>
      <c r="T41" s="39">
        <f>if(G41=9,1,0)+VLOOKUP(B41,'072024'!B:T,19,false)</f>
        <v>0</v>
      </c>
    </row>
    <row r="42">
      <c r="A42" s="30">
        <f t="shared" si="3"/>
        <v>38</v>
      </c>
      <c r="B42" s="56" t="s">
        <v>51</v>
      </c>
      <c r="C42" s="32">
        <v>31.0</v>
      </c>
      <c r="D42" s="32">
        <v>2.0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39">C42+K42</f>
        <v>40</v>
      </c>
      <c r="N42" s="32">
        <f t="shared" si="39"/>
        <v>2</v>
      </c>
      <c r="O42" s="43" t="s">
        <v>53</v>
      </c>
      <c r="P42" s="43" t="s">
        <v>53</v>
      </c>
      <c r="Q42" s="43" t="s">
        <v>53</v>
      </c>
      <c r="R42" s="39">
        <f>if(G42=13,1,0)+VLOOKUP(B42,'072024'!B:T,17,false)</f>
        <v>1</v>
      </c>
      <c r="S42" s="39"/>
      <c r="T42" s="39">
        <f>if(G42=9,1,0)+VLOOKUP(B42,'072024'!B:T,19,false)</f>
        <v>1</v>
      </c>
    </row>
    <row r="43">
      <c r="A43" s="30">
        <f t="shared" si="3"/>
        <v>39</v>
      </c>
      <c r="B43" s="51" t="s">
        <v>114</v>
      </c>
      <c r="C43" s="32">
        <v>31.0</v>
      </c>
      <c r="D43" s="32">
        <v>2.0</v>
      </c>
      <c r="E43" s="37">
        <v>2.0</v>
      </c>
      <c r="F43" s="39"/>
      <c r="G43" s="40">
        <v>0.0</v>
      </c>
      <c r="H43" s="39">
        <v>6.0</v>
      </c>
      <c r="I43" s="39">
        <v>6.0</v>
      </c>
      <c r="J43" s="39">
        <v>6.0</v>
      </c>
      <c r="K43" s="42">
        <v>18.0</v>
      </c>
      <c r="L43" s="39">
        <v>3.0</v>
      </c>
      <c r="M43" s="32">
        <f t="shared" ref="M43:N43" si="40">C43+K43</f>
        <v>49</v>
      </c>
      <c r="N43" s="32">
        <f t="shared" si="40"/>
        <v>5</v>
      </c>
      <c r="O43" s="43" t="s">
        <v>53</v>
      </c>
      <c r="P43" s="43" t="s">
        <v>53</v>
      </c>
      <c r="Q43" s="43" t="s">
        <v>53</v>
      </c>
      <c r="R43" s="39">
        <f>if(G43=13,1,0)+VLOOKUP(B43,'072024'!B:T,17,false)</f>
        <v>0</v>
      </c>
      <c r="S43" s="39"/>
      <c r="T43" s="39">
        <f>if(G43=9,1,0)+VLOOKUP(B43,'072024'!B:T,19,false)</f>
        <v>1</v>
      </c>
    </row>
    <row r="44">
      <c r="A44" s="30">
        <f t="shared" si="3"/>
        <v>40</v>
      </c>
      <c r="B44" s="31" t="s">
        <v>72</v>
      </c>
      <c r="C44" s="32">
        <v>31.0</v>
      </c>
      <c r="D44" s="32">
        <v>0.0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1">C44+K44</f>
        <v>40</v>
      </c>
      <c r="N44" s="32">
        <f t="shared" si="41"/>
        <v>0</v>
      </c>
      <c r="O44" s="43" t="s">
        <v>53</v>
      </c>
      <c r="P44" s="43" t="s">
        <v>53</v>
      </c>
      <c r="Q44" s="43" t="s">
        <v>53</v>
      </c>
      <c r="R44" s="39">
        <f>if(G44=13,1,0)+VLOOKUP(B44,'072024'!B:T,17,false)</f>
        <v>1</v>
      </c>
      <c r="S44" s="39"/>
      <c r="T44" s="39">
        <f>if(G44=9,1,0)+VLOOKUP(B44,'072024'!B:T,19,false)</f>
        <v>3</v>
      </c>
    </row>
    <row r="45">
      <c r="A45" s="30">
        <f t="shared" si="3"/>
        <v>41</v>
      </c>
      <c r="B45" s="31" t="s">
        <v>73</v>
      </c>
      <c r="C45" s="32">
        <v>31.0</v>
      </c>
      <c r="D45" s="32">
        <v>0.0</v>
      </c>
      <c r="E45" s="37">
        <v>2.0</v>
      </c>
      <c r="F45" s="39"/>
      <c r="G45" s="40">
        <v>0.0</v>
      </c>
      <c r="H45" s="39">
        <v>1.0</v>
      </c>
      <c r="I45" s="39">
        <v>1.0</v>
      </c>
      <c r="J45" s="39">
        <v>6.0</v>
      </c>
      <c r="K45" s="42">
        <v>8.0</v>
      </c>
      <c r="L45" s="39">
        <v>1.0</v>
      </c>
      <c r="M45" s="32">
        <f t="shared" ref="M45:N45" si="42">C45+K45</f>
        <v>39</v>
      </c>
      <c r="N45" s="32">
        <f t="shared" si="42"/>
        <v>1</v>
      </c>
      <c r="O45" s="43" t="s">
        <v>53</v>
      </c>
      <c r="P45" s="43" t="s">
        <v>53</v>
      </c>
      <c r="Q45" s="43" t="s">
        <v>53</v>
      </c>
      <c r="R45" s="39">
        <f>if(G45=13,1,0)+VLOOKUP(B45,'072024'!B:T,17,false)</f>
        <v>1</v>
      </c>
      <c r="S45" s="39"/>
      <c r="T45" s="39">
        <f>if(G45=9,1,0)+VLOOKUP(B45,'072024'!B:T,19,false)</f>
        <v>2</v>
      </c>
    </row>
    <row r="46">
      <c r="A46" s="30">
        <f t="shared" si="3"/>
        <v>42</v>
      </c>
      <c r="B46" s="78" t="s">
        <v>75</v>
      </c>
      <c r="C46" s="32">
        <v>31.0</v>
      </c>
      <c r="D46" s="32">
        <v>0.0</v>
      </c>
      <c r="E46" s="37">
        <v>3.0</v>
      </c>
      <c r="F46" s="39">
        <v>0.0</v>
      </c>
      <c r="G46" s="40">
        <v>9.0</v>
      </c>
      <c r="H46" s="39">
        <v>0.0</v>
      </c>
      <c r="I46" s="39">
        <v>0.0</v>
      </c>
      <c r="J46" s="39">
        <v>0.0</v>
      </c>
      <c r="K46" s="42">
        <v>9.0</v>
      </c>
      <c r="L46" s="39">
        <v>0.0</v>
      </c>
      <c r="M46" s="32">
        <f t="shared" ref="M46:N46" si="43">C46+K46</f>
        <v>40</v>
      </c>
      <c r="N46" s="32">
        <f t="shared" si="43"/>
        <v>0</v>
      </c>
      <c r="O46" s="43" t="s">
        <v>53</v>
      </c>
      <c r="P46" s="43" t="s">
        <v>53</v>
      </c>
      <c r="Q46" s="43" t="s">
        <v>53</v>
      </c>
      <c r="R46" s="39">
        <f>if(G46=13,1,0)+VLOOKUP(B46,'072024'!B:T,17,false)</f>
        <v>1</v>
      </c>
      <c r="S46" s="39"/>
      <c r="T46" s="39">
        <f>if(G46=9,1,0)+VLOOKUP(B46,'072024'!B:T,19,false)</f>
        <v>3</v>
      </c>
    </row>
    <row r="47">
      <c r="A47" s="30">
        <f t="shared" si="3"/>
        <v>43</v>
      </c>
      <c r="B47" s="31" t="s">
        <v>57</v>
      </c>
      <c r="C47" s="32">
        <v>31.0</v>
      </c>
      <c r="D47" s="32">
        <v>0.0</v>
      </c>
      <c r="E47" s="37">
        <v>2.0</v>
      </c>
      <c r="F47" s="39"/>
      <c r="G47" s="40">
        <v>0.0</v>
      </c>
      <c r="H47" s="39">
        <v>6.0</v>
      </c>
      <c r="I47" s="39">
        <v>6.0</v>
      </c>
      <c r="J47" s="39">
        <v>1.0</v>
      </c>
      <c r="K47" s="42">
        <v>13.0</v>
      </c>
      <c r="L47" s="39">
        <v>2.0</v>
      </c>
      <c r="M47" s="32">
        <f t="shared" ref="M47:N47" si="44">C47+K47</f>
        <v>44</v>
      </c>
      <c r="N47" s="32">
        <f t="shared" si="44"/>
        <v>2</v>
      </c>
      <c r="O47" s="43" t="s">
        <v>53</v>
      </c>
      <c r="P47" s="43" t="s">
        <v>53</v>
      </c>
      <c r="Q47" s="43" t="s">
        <v>53</v>
      </c>
      <c r="R47" s="39">
        <f>if(G47=13,1,0)+VLOOKUP(B47,'072024'!B:T,17,false)</f>
        <v>1</v>
      </c>
      <c r="S47" s="39"/>
      <c r="T47" s="39">
        <f>if(G47=9,1,0)+VLOOKUP(B47,'072024'!B:T,19,false)</f>
        <v>2</v>
      </c>
    </row>
    <row r="48">
      <c r="A48" s="30">
        <f t="shared" si="3"/>
        <v>44</v>
      </c>
      <c r="B48" s="31" t="s">
        <v>98</v>
      </c>
      <c r="C48" s="32">
        <v>31.0</v>
      </c>
      <c r="D48" s="32">
        <v>0.0</v>
      </c>
      <c r="E48" s="37">
        <v>2.0</v>
      </c>
      <c r="F48" s="39"/>
      <c r="G48" s="40">
        <v>0.0</v>
      </c>
      <c r="H48" s="39">
        <v>2.0</v>
      </c>
      <c r="I48" s="39">
        <v>6.0</v>
      </c>
      <c r="J48" s="39">
        <v>6.0</v>
      </c>
      <c r="K48" s="42">
        <v>14.0</v>
      </c>
      <c r="L48" s="39">
        <v>2.0</v>
      </c>
      <c r="M48" s="32">
        <f t="shared" ref="M48:N48" si="45">C48+K48</f>
        <v>45</v>
      </c>
      <c r="N48" s="32">
        <f t="shared" si="45"/>
        <v>2</v>
      </c>
      <c r="O48" s="43" t="s">
        <v>53</v>
      </c>
      <c r="P48" s="43" t="s">
        <v>53</v>
      </c>
      <c r="Q48" s="43" t="s">
        <v>53</v>
      </c>
      <c r="R48" s="39">
        <f>if(G48=13,1,0)+VLOOKUP(B48,'072024'!B:T,17,false)</f>
        <v>1</v>
      </c>
      <c r="S48" s="39"/>
      <c r="T48" s="39">
        <f>if(G48=9,1,0)+VLOOKUP(B48,'072024'!B:T,19,false)</f>
        <v>2</v>
      </c>
    </row>
    <row r="49">
      <c r="A49" s="30">
        <f t="shared" si="3"/>
        <v>45</v>
      </c>
      <c r="B49" s="56" t="s">
        <v>115</v>
      </c>
      <c r="C49" s="32">
        <v>30.0</v>
      </c>
      <c r="D49" s="32">
        <v>3.0</v>
      </c>
      <c r="E49" s="37">
        <v>3.0</v>
      </c>
      <c r="F49" s="39">
        <v>0.0</v>
      </c>
      <c r="G49" s="40">
        <v>9.0</v>
      </c>
      <c r="H49" s="39">
        <v>0.0</v>
      </c>
      <c r="I49" s="39">
        <v>0.0</v>
      </c>
      <c r="J49" s="39">
        <v>0.0</v>
      </c>
      <c r="K49" s="42">
        <v>9.0</v>
      </c>
      <c r="L49" s="39">
        <v>0.0</v>
      </c>
      <c r="M49" s="32">
        <f t="shared" ref="M49:N49" si="46">C49+K49</f>
        <v>39</v>
      </c>
      <c r="N49" s="32">
        <f t="shared" si="46"/>
        <v>3</v>
      </c>
      <c r="O49" s="43" t="s">
        <v>53</v>
      </c>
      <c r="P49" s="43" t="s">
        <v>53</v>
      </c>
      <c r="Q49" s="43" t="s">
        <v>53</v>
      </c>
      <c r="R49" s="39">
        <f>if(G49=13,1,0)+VLOOKUP(B49,'072024'!B:T,17,false)</f>
        <v>0</v>
      </c>
      <c r="S49" s="39"/>
      <c r="T49" s="39">
        <f>if(G49=9,1,0)+VLOOKUP(B49,'072024'!B:T,19,false)</f>
        <v>1</v>
      </c>
    </row>
    <row r="50">
      <c r="A50" s="30">
        <f t="shared" si="3"/>
        <v>46</v>
      </c>
      <c r="B50" s="51" t="s">
        <v>111</v>
      </c>
      <c r="C50" s="32">
        <v>30.0</v>
      </c>
      <c r="D50" s="32">
        <v>1.0</v>
      </c>
      <c r="E50" s="37">
        <v>2.0</v>
      </c>
      <c r="F50" s="39"/>
      <c r="G50" s="40">
        <v>0.0</v>
      </c>
      <c r="H50" s="39">
        <v>6.0</v>
      </c>
      <c r="I50" s="39">
        <v>2.0</v>
      </c>
      <c r="J50" s="39">
        <v>6.0</v>
      </c>
      <c r="K50" s="42">
        <v>14.0</v>
      </c>
      <c r="L50" s="39">
        <v>2.0</v>
      </c>
      <c r="M50" s="32">
        <f t="shared" ref="M50:N50" si="47">C50+K50</f>
        <v>44</v>
      </c>
      <c r="N50" s="32">
        <f t="shared" si="47"/>
        <v>3</v>
      </c>
      <c r="O50" s="43" t="s">
        <v>53</v>
      </c>
      <c r="P50" s="43" t="s">
        <v>53</v>
      </c>
      <c r="Q50" s="43" t="s">
        <v>53</v>
      </c>
      <c r="R50" s="39">
        <f>if(G50=13,1,0)+VLOOKUP(B50,'072024'!B:T,17,false)</f>
        <v>0</v>
      </c>
      <c r="S50" s="39"/>
      <c r="T50" s="39">
        <f>if(G50=9,1,0)+VLOOKUP(B50,'072024'!B:T,19,false)</f>
        <v>2</v>
      </c>
    </row>
    <row r="51">
      <c r="A51" s="30">
        <f t="shared" si="3"/>
        <v>47</v>
      </c>
      <c r="B51" s="56" t="s">
        <v>107</v>
      </c>
      <c r="C51" s="32">
        <v>28.0</v>
      </c>
      <c r="D51" s="32">
        <v>1.0</v>
      </c>
      <c r="E51" s="37">
        <v>3.0</v>
      </c>
      <c r="F51" s="39">
        <v>0.0</v>
      </c>
      <c r="G51" s="40">
        <v>9.0</v>
      </c>
      <c r="H51" s="39">
        <v>0.0</v>
      </c>
      <c r="I51" s="39">
        <v>0.0</v>
      </c>
      <c r="J51" s="39">
        <v>0.0</v>
      </c>
      <c r="K51" s="42">
        <v>9.0</v>
      </c>
      <c r="L51" s="39">
        <v>0.0</v>
      </c>
      <c r="M51" s="32">
        <f t="shared" ref="M51:N51" si="48">C51+K51</f>
        <v>37</v>
      </c>
      <c r="N51" s="32">
        <f t="shared" si="48"/>
        <v>1</v>
      </c>
      <c r="O51" s="43" t="s">
        <v>53</v>
      </c>
      <c r="P51" s="43" t="s">
        <v>53</v>
      </c>
      <c r="Q51" s="43" t="s">
        <v>53</v>
      </c>
      <c r="R51" s="39">
        <f>if(G51=13,1,0)+VLOOKUP(B51,'072024'!B:T,17,false)</f>
        <v>0</v>
      </c>
      <c r="S51" s="39"/>
      <c r="T51" s="39">
        <f>if(G51=9,1,0)+VLOOKUP(B51,'072024'!B:T,19,false)</f>
        <v>3</v>
      </c>
    </row>
    <row r="52">
      <c r="A52" s="30">
        <f t="shared" si="3"/>
        <v>48</v>
      </c>
      <c r="B52" s="31" t="s">
        <v>79</v>
      </c>
      <c r="C52" s="32">
        <v>28.0</v>
      </c>
      <c r="D52" s="32">
        <v>1.0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49">C52+K52</f>
        <v>37</v>
      </c>
      <c r="N52" s="32">
        <f t="shared" si="49"/>
        <v>1</v>
      </c>
      <c r="O52" s="43" t="s">
        <v>53</v>
      </c>
      <c r="P52" s="43" t="s">
        <v>53</v>
      </c>
      <c r="Q52" s="43" t="s">
        <v>53</v>
      </c>
      <c r="R52" s="39">
        <f>if(G52=13,1,0)+VLOOKUP(B52,'072024'!B:T,17,false)</f>
        <v>0</v>
      </c>
      <c r="S52" s="39"/>
      <c r="T52" s="39">
        <f>if(G52=9,1,0)+VLOOKUP(B52,'072024'!B:T,19,false)</f>
        <v>3</v>
      </c>
    </row>
    <row r="53">
      <c r="A53" s="30">
        <f t="shared" si="3"/>
        <v>49</v>
      </c>
      <c r="B53" s="51" t="s">
        <v>80</v>
      </c>
      <c r="C53" s="32">
        <v>27.0</v>
      </c>
      <c r="D53" s="32">
        <v>2.0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0">C53+K53</f>
        <v>36</v>
      </c>
      <c r="N53" s="32">
        <f t="shared" si="50"/>
        <v>2</v>
      </c>
      <c r="O53" s="43" t="s">
        <v>53</v>
      </c>
      <c r="P53" s="43" t="s">
        <v>53</v>
      </c>
      <c r="Q53" s="43" t="s">
        <v>53</v>
      </c>
      <c r="R53" s="39">
        <f>if(G53=13,1,0)+VLOOKUP(B53,'072024'!B:T,17,false)</f>
        <v>0</v>
      </c>
      <c r="S53" s="39"/>
      <c r="T53" s="39">
        <f>if(G53=9,1,0)+VLOOKUP(B53,'072024'!B:T,19,false)</f>
        <v>2</v>
      </c>
    </row>
    <row r="54">
      <c r="A54" s="30">
        <f t="shared" si="3"/>
        <v>50</v>
      </c>
      <c r="B54" s="31" t="s">
        <v>81</v>
      </c>
      <c r="C54" s="32">
        <v>27.0</v>
      </c>
      <c r="D54" s="32">
        <v>1.0</v>
      </c>
      <c r="E54" s="37">
        <v>3.0</v>
      </c>
      <c r="F54" s="39">
        <v>0.0</v>
      </c>
      <c r="G54" s="40">
        <v>9.0</v>
      </c>
      <c r="H54" s="39">
        <v>0.0</v>
      </c>
      <c r="I54" s="39">
        <v>0.0</v>
      </c>
      <c r="J54" s="39">
        <v>0.0</v>
      </c>
      <c r="K54" s="42">
        <v>9.0</v>
      </c>
      <c r="L54" s="39">
        <v>0.0</v>
      </c>
      <c r="M54" s="32">
        <f t="shared" ref="M54:N54" si="51">C54+K54</f>
        <v>36</v>
      </c>
      <c r="N54" s="32">
        <f t="shared" si="51"/>
        <v>1</v>
      </c>
      <c r="O54" s="43" t="s">
        <v>53</v>
      </c>
      <c r="P54" s="43" t="s">
        <v>53</v>
      </c>
      <c r="Q54" s="43" t="s">
        <v>53</v>
      </c>
      <c r="R54" s="39">
        <f>if(G54=13,1,0)+VLOOKUP(B54,'072024'!B:T,17,false)</f>
        <v>0</v>
      </c>
      <c r="S54" s="39"/>
      <c r="T54" s="39">
        <f>if(G54=9,1,0)+VLOOKUP(B54,'072024'!B:T,19,false)</f>
        <v>3</v>
      </c>
    </row>
    <row r="55">
      <c r="A55" s="30">
        <f t="shared" si="3"/>
        <v>51</v>
      </c>
      <c r="B55" s="31" t="s">
        <v>124</v>
      </c>
      <c r="C55" s="32">
        <v>27.0</v>
      </c>
      <c r="D55" s="32">
        <v>0.0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2">C55+K55</f>
        <v>36</v>
      </c>
      <c r="N55" s="32">
        <f t="shared" si="52"/>
        <v>0</v>
      </c>
      <c r="O55" s="43" t="s">
        <v>53</v>
      </c>
      <c r="P55" s="43" t="s">
        <v>53</v>
      </c>
      <c r="Q55" s="43" t="s">
        <v>53</v>
      </c>
      <c r="R55" s="39">
        <f>if(G55=13,1,0)+VLOOKUP(B55,'072024'!B:T,17,false)</f>
        <v>0</v>
      </c>
      <c r="S55" s="39"/>
      <c r="T55" s="39">
        <f>if(G55=9,1,0)+VLOOKUP(B55,'072024'!B:T,19,false)</f>
        <v>4</v>
      </c>
    </row>
    <row r="56">
      <c r="A56" s="30">
        <f t="shared" si="3"/>
        <v>52</v>
      </c>
      <c r="B56" s="31" t="s">
        <v>126</v>
      </c>
      <c r="C56" s="32">
        <v>27.0</v>
      </c>
      <c r="D56" s="32">
        <v>0.0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3">C56+K56</f>
        <v>36</v>
      </c>
      <c r="N56" s="32">
        <f t="shared" si="53"/>
        <v>0</v>
      </c>
      <c r="O56" s="43" t="s">
        <v>53</v>
      </c>
      <c r="P56" s="43" t="s">
        <v>53</v>
      </c>
      <c r="Q56" s="43" t="s">
        <v>53</v>
      </c>
      <c r="R56" s="39">
        <f>if(G56=13,1,0)+VLOOKUP(B56,'072024'!B:T,17,false)</f>
        <v>0</v>
      </c>
      <c r="S56" s="39"/>
      <c r="T56" s="39">
        <f>if(G56=9,1,0)+VLOOKUP(B56,'072024'!B:T,19,false)</f>
        <v>3</v>
      </c>
    </row>
    <row r="57">
      <c r="A57" s="30">
        <f t="shared" si="3"/>
        <v>53</v>
      </c>
      <c r="B57" s="31" t="s">
        <v>46</v>
      </c>
      <c r="C57" s="32">
        <v>27.0</v>
      </c>
      <c r="D57" s="32">
        <v>0.0</v>
      </c>
      <c r="E57" s="37">
        <v>3.0</v>
      </c>
      <c r="F57" s="39">
        <v>0.0</v>
      </c>
      <c r="G57" s="40">
        <v>9.0</v>
      </c>
      <c r="H57" s="39">
        <v>0.0</v>
      </c>
      <c r="I57" s="39">
        <v>0.0</v>
      </c>
      <c r="J57" s="39">
        <v>0.0</v>
      </c>
      <c r="K57" s="42">
        <v>9.0</v>
      </c>
      <c r="L57" s="39">
        <v>0.0</v>
      </c>
      <c r="M57" s="32">
        <f t="shared" ref="M57:N57" si="54">C57+K57</f>
        <v>36</v>
      </c>
      <c r="N57" s="32">
        <f t="shared" si="54"/>
        <v>0</v>
      </c>
      <c r="O57" s="43" t="s">
        <v>53</v>
      </c>
      <c r="P57" s="43" t="s">
        <v>53</v>
      </c>
      <c r="Q57" s="43" t="s">
        <v>53</v>
      </c>
      <c r="R57" s="39">
        <f>if(G57=13,1,0)+VLOOKUP(B57,'072024'!B:T,17,false)</f>
        <v>0</v>
      </c>
      <c r="S57" s="39"/>
      <c r="T57" s="39">
        <f>if(G57=9,1,0)+VLOOKUP(B57,'072024'!B:T,19,false)</f>
        <v>4</v>
      </c>
    </row>
    <row r="58">
      <c r="A58" s="30">
        <f t="shared" si="3"/>
        <v>54</v>
      </c>
      <c r="B58" s="31" t="s">
        <v>117</v>
      </c>
      <c r="C58" s="32">
        <v>27.0</v>
      </c>
      <c r="D58" s="32">
        <v>0.0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5">C58+K58</f>
        <v>36</v>
      </c>
      <c r="N58" s="32">
        <f t="shared" si="55"/>
        <v>0</v>
      </c>
      <c r="O58" s="43" t="s">
        <v>53</v>
      </c>
      <c r="P58" s="43" t="s">
        <v>53</v>
      </c>
      <c r="Q58" s="43" t="s">
        <v>53</v>
      </c>
      <c r="R58" s="39">
        <f>if(G58=13,1,0)+VLOOKUP(B58,'072024'!B:T,17,false)</f>
        <v>0</v>
      </c>
      <c r="S58" s="39"/>
      <c r="T58" s="39">
        <f>if(G58=9,1,0)+VLOOKUP(B58,'072024'!B:T,19,false)</f>
        <v>4</v>
      </c>
    </row>
    <row r="59">
      <c r="A59" s="30">
        <f t="shared" si="3"/>
        <v>55</v>
      </c>
      <c r="B59" s="31" t="s">
        <v>109</v>
      </c>
      <c r="C59" s="32">
        <v>27.0</v>
      </c>
      <c r="D59" s="32">
        <v>0.0</v>
      </c>
      <c r="E59" s="37">
        <v>3.0</v>
      </c>
      <c r="F59" s="39">
        <v>0.0</v>
      </c>
      <c r="G59" s="40">
        <v>9.0</v>
      </c>
      <c r="H59" s="39">
        <v>0.0</v>
      </c>
      <c r="I59" s="39">
        <v>0.0</v>
      </c>
      <c r="J59" s="39">
        <v>0.0</v>
      </c>
      <c r="K59" s="42">
        <v>9.0</v>
      </c>
      <c r="L59" s="39">
        <v>0.0</v>
      </c>
      <c r="M59" s="32">
        <f t="shared" ref="M59:N59" si="56">C59+K59</f>
        <v>36</v>
      </c>
      <c r="N59" s="32">
        <f t="shared" si="56"/>
        <v>0</v>
      </c>
      <c r="O59" s="43" t="s">
        <v>53</v>
      </c>
      <c r="P59" s="43" t="s">
        <v>53</v>
      </c>
      <c r="Q59" s="43" t="s">
        <v>53</v>
      </c>
      <c r="R59" s="39">
        <f>if(G59=13,1,0)+VLOOKUP(B59,'072024'!B:T,17,false)</f>
        <v>0</v>
      </c>
      <c r="S59" s="39"/>
      <c r="T59" s="39">
        <f>if(G59=9,1,0)+VLOOKUP(B59,'072024'!B:T,19,false)</f>
        <v>4</v>
      </c>
    </row>
    <row r="60">
      <c r="A60" s="30">
        <f t="shared" si="3"/>
        <v>56</v>
      </c>
      <c r="B60" s="31" t="s">
        <v>106</v>
      </c>
      <c r="C60" s="32">
        <v>27.0</v>
      </c>
      <c r="D60" s="32">
        <v>0.0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7">C60+K60</f>
        <v>36</v>
      </c>
      <c r="N60" s="32">
        <f t="shared" si="57"/>
        <v>0</v>
      </c>
      <c r="O60" s="43" t="s">
        <v>53</v>
      </c>
      <c r="P60" s="43" t="s">
        <v>53</v>
      </c>
      <c r="Q60" s="43" t="s">
        <v>53</v>
      </c>
      <c r="R60" s="39">
        <f>if(G60=13,1,0)+VLOOKUP(B60,'072024'!B:T,17,false)</f>
        <v>0</v>
      </c>
      <c r="S60" s="39"/>
      <c r="T60" s="39">
        <f>if(G60=9,1,0)+VLOOKUP(B60,'072024'!B:T,19,false)</f>
        <v>4</v>
      </c>
    </row>
    <row r="61">
      <c r="A61" s="30">
        <f t="shared" si="3"/>
        <v>57</v>
      </c>
      <c r="B61" s="31" t="s">
        <v>123</v>
      </c>
      <c r="C61" s="32">
        <v>27.0</v>
      </c>
      <c r="D61" s="32">
        <v>0.0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8">C61+K61</f>
        <v>36</v>
      </c>
      <c r="N61" s="32">
        <f t="shared" si="58"/>
        <v>0</v>
      </c>
      <c r="O61" s="43" t="s">
        <v>53</v>
      </c>
      <c r="P61" s="43" t="s">
        <v>53</v>
      </c>
      <c r="Q61" s="43" t="s">
        <v>53</v>
      </c>
      <c r="R61" s="39">
        <f>if(G61=13,1,0)+VLOOKUP(B61,'072024'!B:T,17,false)</f>
        <v>0</v>
      </c>
      <c r="S61" s="39"/>
      <c r="T61" s="39">
        <f>if(G61=9,1,0)+VLOOKUP(B61,'072024'!B:T,19,false)</f>
        <v>4</v>
      </c>
    </row>
    <row r="62">
      <c r="A62" s="30">
        <f t="shared" si="3"/>
        <v>58</v>
      </c>
      <c r="B62" s="51" t="s">
        <v>85</v>
      </c>
      <c r="C62" s="32">
        <v>27.0</v>
      </c>
      <c r="D62" s="32">
        <v>0.0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59">C62+K62</f>
        <v>36</v>
      </c>
      <c r="N62" s="32">
        <f t="shared" si="59"/>
        <v>0</v>
      </c>
      <c r="O62" s="43" t="s">
        <v>53</v>
      </c>
      <c r="P62" s="43" t="s">
        <v>53</v>
      </c>
      <c r="Q62" s="43" t="s">
        <v>53</v>
      </c>
      <c r="R62" s="39">
        <f>if(G62=13,1,0)+VLOOKUP(B62,'072024'!B:T,17,false)</f>
        <v>0</v>
      </c>
      <c r="S62" s="39"/>
      <c r="T62" s="39">
        <f>if(G62=9,1,0)+VLOOKUP(B62,'072024'!B:T,19,false)</f>
        <v>4</v>
      </c>
    </row>
    <row r="63">
      <c r="A63" s="30">
        <f t="shared" si="3"/>
        <v>59</v>
      </c>
      <c r="B63" s="51" t="s">
        <v>74</v>
      </c>
      <c r="C63" s="32">
        <v>27.0</v>
      </c>
      <c r="D63" s="32">
        <v>0.0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0">C63+K63</f>
        <v>36</v>
      </c>
      <c r="N63" s="32">
        <f t="shared" si="60"/>
        <v>0</v>
      </c>
      <c r="O63" s="43" t="s">
        <v>53</v>
      </c>
      <c r="P63" s="43" t="s">
        <v>53</v>
      </c>
      <c r="Q63" s="43" t="s">
        <v>53</v>
      </c>
      <c r="R63" s="39">
        <f>if(G63=13,1,0)+VLOOKUP(B63,'072024'!B:T,17,false)</f>
        <v>0</v>
      </c>
      <c r="S63" s="39"/>
      <c r="T63" s="39">
        <f>if(G63=9,1,0)+VLOOKUP(B63,'072024'!B:T,19,false)</f>
        <v>4</v>
      </c>
    </row>
    <row r="64">
      <c r="A64" s="30">
        <f t="shared" si="3"/>
        <v>60</v>
      </c>
      <c r="B64" s="31" t="s">
        <v>63</v>
      </c>
      <c r="C64" s="32">
        <v>27.0</v>
      </c>
      <c r="D64" s="32">
        <v>0.0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1">C64+K64</f>
        <v>36</v>
      </c>
      <c r="N64" s="32">
        <f t="shared" si="61"/>
        <v>0</v>
      </c>
      <c r="O64" s="43" t="s">
        <v>53</v>
      </c>
      <c r="P64" s="43" t="s">
        <v>53</v>
      </c>
      <c r="Q64" s="43" t="s">
        <v>53</v>
      </c>
      <c r="R64" s="39">
        <f>if(G64=13,1,0)+VLOOKUP(B64,'072024'!B:T,17,false)</f>
        <v>0</v>
      </c>
      <c r="S64" s="39"/>
      <c r="T64" s="39">
        <f>if(G64=9,1,0)+VLOOKUP(B64,'072024'!B:T,19,false)</f>
        <v>4</v>
      </c>
    </row>
    <row r="65">
      <c r="A65" s="30">
        <f t="shared" si="3"/>
        <v>61</v>
      </c>
      <c r="B65" s="51" t="s">
        <v>118</v>
      </c>
      <c r="C65" s="32">
        <v>27.0</v>
      </c>
      <c r="D65" s="32">
        <v>0.0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2">C65+K65</f>
        <v>36</v>
      </c>
      <c r="N65" s="32">
        <f t="shared" si="62"/>
        <v>0</v>
      </c>
      <c r="O65" s="43" t="s">
        <v>53</v>
      </c>
      <c r="P65" s="43" t="s">
        <v>53</v>
      </c>
      <c r="Q65" s="43" t="s">
        <v>53</v>
      </c>
      <c r="R65" s="39">
        <f>if(G65=13,1,0)+VLOOKUP(B65,'072024'!B:T,17,false)</f>
        <v>0</v>
      </c>
      <c r="S65" s="39"/>
      <c r="T65" s="39">
        <f>if(G65=9,1,0)+VLOOKUP(B65,'072024'!B:T,19,false)</f>
        <v>4</v>
      </c>
    </row>
    <row r="66">
      <c r="A66" s="30">
        <f t="shared" si="3"/>
        <v>62</v>
      </c>
      <c r="B66" s="31" t="s">
        <v>56</v>
      </c>
      <c r="C66" s="32">
        <v>27.0</v>
      </c>
      <c r="D66" s="32">
        <v>0.0</v>
      </c>
      <c r="E66" s="37">
        <v>3.0</v>
      </c>
      <c r="F66" s="39">
        <v>0.0</v>
      </c>
      <c r="G66" s="40">
        <v>9.0</v>
      </c>
      <c r="H66" s="39">
        <v>0.0</v>
      </c>
      <c r="I66" s="39">
        <v>0.0</v>
      </c>
      <c r="J66" s="39">
        <v>0.0</v>
      </c>
      <c r="K66" s="42">
        <v>9.0</v>
      </c>
      <c r="L66" s="39">
        <v>0.0</v>
      </c>
      <c r="M66" s="32">
        <f t="shared" ref="M66:N66" si="63">C66+K66</f>
        <v>36</v>
      </c>
      <c r="N66" s="32">
        <f t="shared" si="63"/>
        <v>0</v>
      </c>
      <c r="O66" s="43" t="s">
        <v>53</v>
      </c>
      <c r="P66" s="43" t="s">
        <v>53</v>
      </c>
      <c r="Q66" s="43" t="s">
        <v>53</v>
      </c>
      <c r="R66" s="39">
        <f>if(G66=13,1,0)+VLOOKUP(B66,'072024'!B:T,17,false)</f>
        <v>0</v>
      </c>
      <c r="S66" s="39"/>
      <c r="T66" s="39">
        <f>if(G66=9,1,0)+VLOOKUP(B66,'072024'!B:T,19,false)</f>
        <v>4</v>
      </c>
    </row>
    <row r="67">
      <c r="A67" s="30">
        <f t="shared" si="3"/>
        <v>63</v>
      </c>
      <c r="B67" s="51" t="s">
        <v>76</v>
      </c>
      <c r="C67" s="32">
        <v>27.0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4">C67+K67</f>
        <v>36</v>
      </c>
      <c r="N67" s="32">
        <f t="shared" si="64"/>
        <v>0</v>
      </c>
      <c r="O67" s="43" t="s">
        <v>53</v>
      </c>
      <c r="P67" s="43" t="s">
        <v>53</v>
      </c>
      <c r="Q67" s="43" t="s">
        <v>53</v>
      </c>
      <c r="R67" s="39">
        <f>if(G67=13,1,0)+VLOOKUP(B67,'072024'!B:T,17,false)</f>
        <v>0</v>
      </c>
      <c r="S67" s="39"/>
      <c r="T67" s="39">
        <f>if(G67=9,1,0)+VLOOKUP(B67,'072024'!B:T,19,false)</f>
        <v>4</v>
      </c>
    </row>
    <row r="68">
      <c r="A68" s="30">
        <f t="shared" si="3"/>
        <v>64</v>
      </c>
      <c r="B68" s="31" t="s">
        <v>120</v>
      </c>
      <c r="C68" s="32">
        <v>27.0</v>
      </c>
      <c r="D68" s="32">
        <v>0.0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5">C68+K68</f>
        <v>36</v>
      </c>
      <c r="N68" s="32">
        <f t="shared" si="65"/>
        <v>0</v>
      </c>
      <c r="O68" s="43" t="s">
        <v>53</v>
      </c>
      <c r="P68" s="43" t="s">
        <v>53</v>
      </c>
      <c r="Q68" s="43" t="s">
        <v>53</v>
      </c>
      <c r="R68" s="39">
        <f>if(G68=13,1,0)+VLOOKUP(B68,'072024'!B:T,17,false)</f>
        <v>0</v>
      </c>
      <c r="S68" s="39"/>
      <c r="T68" s="39">
        <f>if(G68=9,1,0)+VLOOKUP(B68,'072024'!B:T,19,false)</f>
        <v>4</v>
      </c>
    </row>
    <row r="69">
      <c r="A69" s="30">
        <f t="shared" si="3"/>
        <v>65</v>
      </c>
      <c r="B69" s="51" t="s">
        <v>112</v>
      </c>
      <c r="C69" s="32">
        <v>25.0</v>
      </c>
      <c r="D69" s="32">
        <v>0.0</v>
      </c>
      <c r="E69" s="37">
        <v>1.0</v>
      </c>
      <c r="F69" s="39"/>
      <c r="G69" s="40">
        <v>0.0</v>
      </c>
      <c r="H69" s="39">
        <v>2.0</v>
      </c>
      <c r="I69" s="39">
        <v>2.0</v>
      </c>
      <c r="J69" s="39">
        <v>1.0</v>
      </c>
      <c r="K69" s="42">
        <v>5.0</v>
      </c>
      <c r="L69" s="39">
        <v>0.0</v>
      </c>
      <c r="M69" s="32">
        <f t="shared" ref="M69:N69" si="66">C69+K69</f>
        <v>30</v>
      </c>
      <c r="N69" s="32">
        <f t="shared" si="66"/>
        <v>0</v>
      </c>
      <c r="O69" s="43" t="s">
        <v>53</v>
      </c>
      <c r="P69" s="43" t="s">
        <v>53</v>
      </c>
      <c r="Q69" s="43" t="s">
        <v>53</v>
      </c>
      <c r="R69" s="39">
        <f>if(G69=13,1,0)+VLOOKUP(B69,'072024'!B:T,17,false)</f>
        <v>0</v>
      </c>
      <c r="S69" s="39"/>
      <c r="T69" s="39">
        <f>if(G69=9,1,0)+VLOOKUP(B69,'072024'!B:T,19,false)</f>
        <v>0</v>
      </c>
    </row>
    <row r="70">
      <c r="A70" s="11"/>
      <c r="C70" s="11"/>
      <c r="D70" s="11"/>
      <c r="E70" s="11"/>
      <c r="P70" s="11"/>
    </row>
    <row r="71">
      <c r="A71" s="11"/>
      <c r="C71" s="11"/>
      <c r="D71" s="11"/>
      <c r="E71" s="11"/>
      <c r="P71" s="11"/>
    </row>
    <row r="72">
      <c r="A72" s="11"/>
      <c r="B72" s="58">
        <f>COUNTA(B5:B69)</f>
        <v>65</v>
      </c>
      <c r="C72" s="11"/>
      <c r="D72" s="11"/>
      <c r="E72" s="11"/>
      <c r="O72" s="7" t="s">
        <v>163</v>
      </c>
      <c r="P72" s="8">
        <f t="shared" ref="P72:Q72" si="67">COUNTA(P5:P69)</f>
        <v>65</v>
      </c>
      <c r="Q72" s="8">
        <f t="shared" si="67"/>
        <v>65</v>
      </c>
    </row>
    <row r="73">
      <c r="A73" s="11"/>
      <c r="C73" s="11"/>
      <c r="D73" s="11"/>
      <c r="E73" s="11"/>
      <c r="O73" s="7" t="s">
        <v>164</v>
      </c>
      <c r="P73" s="8">
        <f t="shared" ref="P73:Q73" si="68">P74-P72</f>
        <v>0</v>
      </c>
      <c r="Q73" s="8">
        <f t="shared" si="68"/>
        <v>0</v>
      </c>
    </row>
    <row r="74">
      <c r="A74" s="11"/>
      <c r="C74" s="11"/>
      <c r="D74" s="11"/>
      <c r="J74" s="49"/>
      <c r="K74" s="59"/>
      <c r="L74" s="60"/>
      <c r="O74" s="7" t="s">
        <v>60</v>
      </c>
      <c r="P74" s="8">
        <f>B72</f>
        <v>65</v>
      </c>
      <c r="Q74" s="8">
        <f>P74</f>
        <v>65</v>
      </c>
    </row>
    <row r="75">
      <c r="A75" s="11"/>
      <c r="C75" s="11"/>
      <c r="D75" s="11"/>
      <c r="E75" s="10" t="s">
        <v>127</v>
      </c>
      <c r="J75" s="49"/>
      <c r="K75" s="59"/>
      <c r="L75" s="60"/>
    </row>
    <row r="76">
      <c r="A76" s="11"/>
      <c r="C76" s="11"/>
      <c r="D76" s="11"/>
      <c r="J76" s="49"/>
      <c r="K76" s="59"/>
      <c r="L76" s="60"/>
    </row>
    <row r="77">
      <c r="A77" s="11"/>
      <c r="C77" s="11"/>
      <c r="D77" s="11"/>
      <c r="J77" s="49"/>
      <c r="K77" s="59"/>
      <c r="L77" s="60"/>
      <c r="O77" s="7" t="s">
        <v>163</v>
      </c>
      <c r="P77" s="8"/>
      <c r="Q77" s="8">
        <f>COUNTIF(Q5:Q69,"X")</f>
        <v>65</v>
      </c>
    </row>
    <row r="78">
      <c r="A78" s="11"/>
      <c r="B78" s="62" t="s">
        <v>129</v>
      </c>
      <c r="C78" s="62" t="s">
        <v>130</v>
      </c>
      <c r="D78" s="62" t="s">
        <v>131</v>
      </c>
      <c r="J78" s="49"/>
      <c r="K78" s="59"/>
      <c r="L78" s="60"/>
      <c r="O78" s="7" t="s">
        <v>132</v>
      </c>
      <c r="P78" s="8"/>
      <c r="Q78" s="8">
        <f>countif(Q5:Q69,"N")</f>
        <v>0</v>
      </c>
    </row>
    <row r="79">
      <c r="A79" s="11"/>
      <c r="B79" s="51" t="str">
        <f>IFERROR(__xludf.DUMMYFUNCTION("QUERY(B5:L69,""Select B, K, L where K &gt;= 18 order by K desc, L desc"",0)"),"Jonathan Phan")</f>
        <v>Jonathan Phan</v>
      </c>
      <c r="C79" s="71">
        <f>IFERROR(__xludf.DUMMYFUNCTION("""COMPUTED_VALUE"""),20.0)</f>
        <v>20</v>
      </c>
      <c r="D79" s="71">
        <f>IFERROR(__xludf.DUMMYFUNCTION("""COMPUTED_VALUE"""),3.0)</f>
        <v>3</v>
      </c>
      <c r="E79" s="11"/>
      <c r="K79" s="59"/>
      <c r="L79" s="60"/>
      <c r="O79" s="7" t="s">
        <v>164</v>
      </c>
      <c r="P79" s="8"/>
      <c r="Q79" s="8">
        <f>countif(Q5:Q69,"")</f>
        <v>0</v>
      </c>
    </row>
    <row r="80">
      <c r="A80" s="11"/>
      <c r="B80" s="51" t="str">
        <f>IFERROR(__xludf.DUMMYFUNCTION("""COMPUTED_VALUE"""),"Alejandro Mejia")</f>
        <v>Alejandro Mejia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L80" s="65"/>
      <c r="O80" s="7" t="s">
        <v>60</v>
      </c>
      <c r="P80" s="8"/>
      <c r="Q80" s="8">
        <f>sum(Q77:Q79)</f>
        <v>65</v>
      </c>
    </row>
    <row r="81">
      <c r="A81" s="11"/>
      <c r="B81" s="51" t="str">
        <f>IFERROR(__xludf.DUMMYFUNCTION("""COMPUTED_VALUE"""),"Christopher Li")</f>
        <v>Christopher Li</v>
      </c>
      <c r="C81" s="71">
        <f>IFERROR(__xludf.DUMMYFUNCTION("""COMPUTED_VALUE"""),19.0)</f>
        <v>19</v>
      </c>
      <c r="D81" s="71">
        <f>IFERROR(__xludf.DUMMYFUNCTION("""COMPUTED_VALUE"""),3.0)</f>
        <v>3</v>
      </c>
      <c r="E81" s="11"/>
    </row>
    <row r="82">
      <c r="A82" s="11"/>
      <c r="B82" s="51" t="str">
        <f>IFERROR(__xludf.DUMMYFUNCTION("""COMPUTED_VALUE"""),"Adrian Tay")</f>
        <v>Adrian Tay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IFERROR(__xludf.DUMMYFUNCTION("""COMPUTED_VALUE"""),"Coco Yan")</f>
        <v>Coco Yan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  <c r="K83" s="10"/>
    </row>
    <row r="84">
      <c r="A84" s="11"/>
      <c r="B84" s="51" t="str">
        <f>IFERROR(__xludf.DUMMYFUNCTION("""COMPUTED_VALUE"""),"Lloyd Sagar")</f>
        <v>Lloyd Sagar</v>
      </c>
      <c r="C84" s="71">
        <f>IFERROR(__xludf.DUMMYFUNCTION("""COMPUTED_VALUE"""),18.0)</f>
        <v>18</v>
      </c>
      <c r="D84" s="71">
        <f>IFERROR(__xludf.DUMMYFUNCTION("""COMPUTED_VALUE"""),2.0)</f>
        <v>2</v>
      </c>
      <c r="E84" s="11"/>
      <c r="K84" s="10"/>
    </row>
    <row r="85">
      <c r="A85" s="11"/>
      <c r="B85" s="51"/>
      <c r="C85" s="71"/>
      <c r="D85" s="71"/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</row>
    <row r="88">
      <c r="A88" s="11"/>
      <c r="B88" s="51"/>
      <c r="C88" s="71"/>
      <c r="D88" s="71"/>
      <c r="E88" s="11"/>
    </row>
    <row r="89">
      <c r="A89" s="11"/>
      <c r="C89" s="11"/>
      <c r="D89" s="11"/>
      <c r="E89" s="11"/>
    </row>
    <row r="90">
      <c r="A90" s="11"/>
      <c r="B90" s="10" t="s">
        <v>165</v>
      </c>
      <c r="C90" s="11"/>
      <c r="D90" s="11"/>
      <c r="E90" s="11"/>
    </row>
    <row r="91">
      <c r="A91" s="11"/>
      <c r="B91" s="27" t="s">
        <v>31</v>
      </c>
      <c r="C91" s="29" t="s">
        <v>2</v>
      </c>
      <c r="D91" s="29" t="s">
        <v>4</v>
      </c>
      <c r="E91" s="29" t="s">
        <v>33</v>
      </c>
      <c r="F91" s="29" t="s">
        <v>35</v>
      </c>
      <c r="G91" s="29" t="s">
        <v>36</v>
      </c>
      <c r="H91" s="29" t="s">
        <v>6</v>
      </c>
      <c r="I91" s="29" t="s">
        <v>7</v>
      </c>
      <c r="J91" s="29" t="s">
        <v>8</v>
      </c>
      <c r="K91" s="29" t="s">
        <v>2</v>
      </c>
      <c r="L91" s="29" t="s">
        <v>4</v>
      </c>
      <c r="M91" s="28" t="s">
        <v>2</v>
      </c>
      <c r="N91" s="28" t="s">
        <v>4</v>
      </c>
    </row>
    <row r="92">
      <c r="A92" s="11"/>
      <c r="B92" s="82" t="str">
        <f>IFERROR(__xludf.DUMMYFUNCTION("QUERY(B5:N69, ""Select B, C, D, E, F, G, H, I, J, K, L, M, N   where F &gt;= 1"")"),"#N/A")</f>
        <v>#N/A</v>
      </c>
      <c r="C92" s="83"/>
      <c r="D92" s="83"/>
      <c r="E92" s="83"/>
      <c r="F92" s="82"/>
      <c r="G92" s="82"/>
      <c r="H92" s="82"/>
      <c r="I92" s="82"/>
      <c r="J92" s="82"/>
      <c r="K92" s="82"/>
      <c r="L92" s="82"/>
      <c r="M92" s="82"/>
      <c r="N92" s="82"/>
    </row>
    <row r="93">
      <c r="A93" s="11"/>
      <c r="B93" s="82"/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</row>
    <row r="94">
      <c r="A94" s="11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</row>
    <row r="95">
      <c r="A95" s="11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</row>
    <row r="96">
      <c r="A96" s="11"/>
      <c r="B96" s="84"/>
      <c r="C96" s="85"/>
      <c r="D96" s="85"/>
      <c r="E96" s="85"/>
      <c r="F96" s="84"/>
      <c r="G96" s="84"/>
      <c r="H96" s="84"/>
      <c r="I96" s="84"/>
      <c r="J96" s="84"/>
      <c r="K96" s="84"/>
      <c r="L96" s="84"/>
      <c r="M96" s="84"/>
      <c r="N96" s="84"/>
    </row>
    <row r="97">
      <c r="A97" s="11"/>
      <c r="B97" s="84"/>
      <c r="C97" s="85"/>
      <c r="D97" s="85"/>
      <c r="E97" s="85"/>
      <c r="F97" s="84"/>
      <c r="G97" s="84"/>
      <c r="H97" s="84"/>
      <c r="I97" s="84"/>
      <c r="J97" s="84"/>
      <c r="K97" s="84"/>
      <c r="L97" s="84"/>
      <c r="M97" s="84"/>
      <c r="N97" s="84"/>
    </row>
    <row r="98">
      <c r="A98" s="11"/>
      <c r="B98" s="84"/>
      <c r="C98" s="85"/>
      <c r="D98" s="85"/>
      <c r="E98" s="85"/>
      <c r="F98" s="84"/>
      <c r="G98" s="84"/>
      <c r="H98" s="84"/>
      <c r="I98" s="84"/>
      <c r="J98" s="84"/>
      <c r="K98" s="84"/>
      <c r="L98" s="84"/>
      <c r="M98" s="84"/>
      <c r="N98" s="84"/>
    </row>
    <row r="99">
      <c r="A99" s="11"/>
      <c r="B99" s="84"/>
      <c r="C99" s="85"/>
      <c r="D99" s="85"/>
      <c r="E99" s="85"/>
      <c r="F99" s="84"/>
      <c r="G99" s="84"/>
      <c r="H99" s="84"/>
      <c r="I99" s="84"/>
      <c r="J99" s="84"/>
      <c r="K99" s="84"/>
      <c r="L99" s="84"/>
      <c r="M99" s="84"/>
      <c r="N99" s="84"/>
    </row>
    <row r="100">
      <c r="A100" s="11"/>
      <c r="B100" s="84"/>
      <c r="C100" s="83"/>
      <c r="D100" s="83"/>
      <c r="E100" s="83"/>
      <c r="F100" s="82"/>
      <c r="G100" s="82"/>
      <c r="H100" s="82"/>
      <c r="I100" s="82"/>
      <c r="J100" s="82"/>
      <c r="K100" s="82"/>
      <c r="L100" s="82"/>
      <c r="M100" s="82"/>
      <c r="N100" s="82"/>
    </row>
    <row r="101">
      <c r="A101" s="11"/>
      <c r="B101" s="84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</row>
    <row r="102">
      <c r="A102" s="11"/>
      <c r="B102" s="82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</row>
    <row r="103">
      <c r="A103" s="11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</row>
    <row r="104">
      <c r="A104" s="11"/>
      <c r="B104" s="84"/>
      <c r="C104" s="85"/>
      <c r="D104" s="85"/>
      <c r="E104" s="85"/>
      <c r="F104" s="84"/>
      <c r="G104" s="84"/>
      <c r="H104" s="84"/>
      <c r="I104" s="84"/>
      <c r="J104" s="84"/>
      <c r="K104" s="84"/>
      <c r="L104" s="84"/>
      <c r="M104" s="84"/>
      <c r="N104" s="84"/>
    </row>
    <row r="105">
      <c r="A105" s="11"/>
      <c r="B105" s="84"/>
      <c r="C105" s="85"/>
      <c r="D105" s="85"/>
      <c r="E105" s="85"/>
      <c r="F105" s="84"/>
      <c r="G105" s="84"/>
      <c r="H105" s="84"/>
      <c r="I105" s="84"/>
      <c r="J105" s="84"/>
      <c r="K105" s="84"/>
      <c r="L105" s="84"/>
      <c r="M105" s="84"/>
      <c r="N105" s="84"/>
    </row>
    <row r="106">
      <c r="A106" s="11"/>
      <c r="B106" s="84"/>
      <c r="C106" s="85"/>
      <c r="D106" s="85"/>
      <c r="E106" s="85"/>
      <c r="F106" s="84"/>
      <c r="G106" s="84"/>
      <c r="H106" s="84"/>
      <c r="I106" s="84"/>
      <c r="J106" s="84"/>
      <c r="K106" s="84"/>
      <c r="L106" s="84"/>
      <c r="M106" s="84"/>
      <c r="N106" s="84"/>
    </row>
    <row r="107">
      <c r="A107" s="11"/>
      <c r="B107" s="84"/>
      <c r="C107" s="85"/>
      <c r="D107" s="85"/>
      <c r="E107" s="85"/>
      <c r="F107" s="84"/>
      <c r="G107" s="84"/>
      <c r="H107" s="84"/>
      <c r="I107" s="84"/>
      <c r="J107" s="84"/>
      <c r="K107" s="84"/>
      <c r="L107" s="84"/>
      <c r="M107" s="84"/>
      <c r="N107" s="84"/>
    </row>
    <row r="108">
      <c r="A108" s="11"/>
      <c r="B108" s="82"/>
      <c r="C108" s="83"/>
      <c r="D108" s="83"/>
      <c r="E108" s="83"/>
      <c r="F108" s="82"/>
      <c r="G108" s="82"/>
      <c r="H108" s="82"/>
      <c r="I108" s="82"/>
      <c r="J108" s="82"/>
      <c r="K108" s="82"/>
      <c r="L108" s="82"/>
      <c r="M108" s="82"/>
      <c r="N108" s="82"/>
    </row>
    <row r="109">
      <c r="A109" s="11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</row>
    <row r="110">
      <c r="A110" s="11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</row>
    <row r="111">
      <c r="A111" s="11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</row>
    <row r="112">
      <c r="A112" s="11"/>
      <c r="B112" s="84"/>
      <c r="C112" s="85"/>
      <c r="D112" s="85"/>
      <c r="E112" s="85"/>
      <c r="F112" s="84"/>
      <c r="G112" s="84"/>
      <c r="H112" s="84"/>
      <c r="I112" s="84"/>
      <c r="J112" s="84"/>
      <c r="K112" s="84"/>
      <c r="L112" s="84"/>
      <c r="M112" s="84"/>
      <c r="N112" s="84"/>
    </row>
    <row r="113">
      <c r="A113" s="11"/>
      <c r="B113" s="84"/>
      <c r="C113" s="85"/>
      <c r="D113" s="85"/>
      <c r="E113" s="85"/>
      <c r="F113" s="84"/>
      <c r="G113" s="84"/>
      <c r="H113" s="84"/>
      <c r="I113" s="84"/>
      <c r="J113" s="84"/>
      <c r="K113" s="84"/>
      <c r="L113" s="84"/>
      <c r="M113" s="84"/>
      <c r="N113" s="84"/>
    </row>
    <row r="114">
      <c r="A114" s="11"/>
      <c r="B114" s="84"/>
      <c r="C114" s="85"/>
      <c r="D114" s="85"/>
      <c r="E114" s="85"/>
      <c r="F114" s="84"/>
      <c r="G114" s="84"/>
      <c r="H114" s="84"/>
      <c r="I114" s="84"/>
      <c r="J114" s="84"/>
      <c r="K114" s="84"/>
      <c r="L114" s="84"/>
      <c r="M114" s="84"/>
      <c r="N114" s="84"/>
    </row>
    <row r="115">
      <c r="A115" s="11"/>
      <c r="B115" s="84"/>
      <c r="C115" s="85"/>
      <c r="D115" s="85"/>
      <c r="E115" s="85"/>
      <c r="F115" s="84"/>
      <c r="G115" s="84"/>
      <c r="H115" s="84"/>
      <c r="I115" s="84"/>
      <c r="J115" s="84"/>
      <c r="K115" s="84"/>
      <c r="L115" s="84"/>
      <c r="M115" s="84"/>
      <c r="N115" s="84"/>
    </row>
    <row r="116">
      <c r="A116" s="11"/>
      <c r="B116" s="82"/>
      <c r="C116" s="83"/>
      <c r="D116" s="83"/>
      <c r="E116" s="83"/>
      <c r="F116" s="82"/>
      <c r="G116" s="82"/>
      <c r="H116" s="82"/>
      <c r="I116" s="82"/>
      <c r="J116" s="82"/>
      <c r="K116" s="82"/>
      <c r="L116" s="82"/>
      <c r="M116" s="82"/>
      <c r="N116" s="82"/>
    </row>
    <row r="117">
      <c r="A117" s="11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</row>
    <row r="118">
      <c r="A118" s="11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</row>
    <row r="119">
      <c r="A119" s="11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</row>
    <row r="120">
      <c r="A120" s="11"/>
      <c r="B120" s="84"/>
      <c r="C120" s="85"/>
      <c r="D120" s="85"/>
      <c r="E120" s="85"/>
      <c r="F120" s="84"/>
      <c r="G120" s="84"/>
      <c r="H120" s="84"/>
      <c r="I120" s="84"/>
      <c r="J120" s="84"/>
      <c r="K120" s="84"/>
      <c r="L120" s="84"/>
      <c r="M120" s="84"/>
      <c r="N120" s="84"/>
    </row>
    <row r="121">
      <c r="A121" s="11"/>
      <c r="B121" s="84"/>
      <c r="C121" s="85"/>
      <c r="D121" s="85"/>
      <c r="E121" s="85"/>
      <c r="F121" s="84"/>
      <c r="G121" s="84"/>
      <c r="H121" s="84"/>
      <c r="I121" s="84"/>
      <c r="J121" s="84"/>
      <c r="K121" s="84"/>
      <c r="L121" s="84"/>
      <c r="M121" s="84"/>
      <c r="N121" s="84"/>
    </row>
    <row r="122">
      <c r="A122" s="11"/>
      <c r="B122" s="84"/>
      <c r="C122" s="85"/>
      <c r="D122" s="85"/>
      <c r="E122" s="85"/>
      <c r="F122" s="84"/>
      <c r="G122" s="84"/>
      <c r="H122" s="84"/>
      <c r="I122" s="84"/>
      <c r="J122" s="84"/>
      <c r="K122" s="84"/>
      <c r="L122" s="84"/>
      <c r="M122" s="84"/>
      <c r="N122" s="84"/>
    </row>
    <row r="123">
      <c r="A123" s="11"/>
      <c r="B123" s="84"/>
      <c r="C123" s="85"/>
      <c r="D123" s="85"/>
      <c r="E123" s="85"/>
      <c r="F123" s="84"/>
      <c r="G123" s="84"/>
      <c r="H123" s="84"/>
      <c r="I123" s="84"/>
      <c r="J123" s="84"/>
      <c r="K123" s="84"/>
      <c r="L123" s="84"/>
      <c r="M123" s="84"/>
      <c r="N123" s="84"/>
    </row>
    <row r="124">
      <c r="A124" s="11"/>
      <c r="C124" s="11"/>
      <c r="D124" s="11"/>
      <c r="E124" s="11"/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B134" s="10" t="s">
        <v>166</v>
      </c>
      <c r="C134" s="11"/>
      <c r="D134" s="11"/>
      <c r="E134" s="11"/>
    </row>
    <row r="135">
      <c r="A135" s="11"/>
      <c r="B135" s="27" t="s">
        <v>31</v>
      </c>
      <c r="C135" s="29" t="s">
        <v>2</v>
      </c>
      <c r="D135" s="29" t="s">
        <v>4</v>
      </c>
      <c r="E135" s="29" t="s">
        <v>33</v>
      </c>
      <c r="F135" s="29" t="s">
        <v>35</v>
      </c>
      <c r="G135" s="29" t="s">
        <v>36</v>
      </c>
      <c r="H135" s="29" t="s">
        <v>6</v>
      </c>
      <c r="I135" s="29" t="s">
        <v>7</v>
      </c>
      <c r="J135" s="29" t="s">
        <v>8</v>
      </c>
      <c r="K135" s="29" t="s">
        <v>2</v>
      </c>
      <c r="L135" s="29" t="s">
        <v>4</v>
      </c>
      <c r="M135" s="28" t="s">
        <v>2</v>
      </c>
      <c r="N135" s="28" t="s">
        <v>4</v>
      </c>
    </row>
    <row r="136">
      <c r="A136" s="11"/>
      <c r="B136" s="82" t="str">
        <f>IFERROR(__xludf.DUMMYFUNCTION("QUERY(B5:N69, ""Select B, C, D, E, F, G, H, I, J, K, L, M, N   where F = 0"")"),"Scott Li")</f>
        <v>Scott Li</v>
      </c>
      <c r="C136" s="87">
        <f>IFERROR(__xludf.DUMMYFUNCTION("""COMPUTED_VALUE"""),40.0)</f>
        <v>40</v>
      </c>
      <c r="D136" s="87">
        <f>IFERROR(__xludf.DUMMYFUNCTION("""COMPUTED_VALUE"""),4.0)</f>
        <v>4</v>
      </c>
      <c r="E136" s="86">
        <f>IFERROR(__xludf.DUMMYFUNCTION("""COMPUTED_VALUE"""),3.0)</f>
        <v>3</v>
      </c>
      <c r="F136" s="88">
        <f>IFERROR(__xludf.DUMMYFUNCTION("""COMPUTED_VALUE"""),0.0)</f>
        <v>0</v>
      </c>
      <c r="G136" s="88">
        <f>IFERROR(__xludf.DUMMYFUNCTION("""COMPUTED_VALUE"""),9.0)</f>
        <v>9</v>
      </c>
      <c r="H136" s="88">
        <f>IFERROR(__xludf.DUMMYFUNCTION("""COMPUTED_VALUE"""),0.0)</f>
        <v>0</v>
      </c>
      <c r="I136" s="88">
        <f>IFERROR(__xludf.DUMMYFUNCTION("""COMPUTED_VALUE"""),0.0)</f>
        <v>0</v>
      </c>
      <c r="J136" s="88">
        <f>IFERROR(__xludf.DUMMYFUNCTION("""COMPUTED_VALUE"""),0.0)</f>
        <v>0</v>
      </c>
      <c r="K136" s="88">
        <f>IFERROR(__xludf.DUMMYFUNCTION("""COMPUTED_VALUE"""),9.0)</f>
        <v>9</v>
      </c>
      <c r="L136" s="88">
        <f>IFERROR(__xludf.DUMMYFUNCTION("""COMPUTED_VALUE"""),0.0)</f>
        <v>0</v>
      </c>
      <c r="M136" s="89">
        <f>IFERROR(__xludf.DUMMYFUNCTION("""COMPUTED_VALUE"""),49.0)</f>
        <v>49</v>
      </c>
      <c r="N136" s="89">
        <f>IFERROR(__xludf.DUMMYFUNCTION("""COMPUTED_VALUE"""),4.0)</f>
        <v>4</v>
      </c>
    </row>
    <row r="137">
      <c r="A137" s="11"/>
      <c r="B137" s="82" t="str">
        <f>IFERROR(__xludf.DUMMYFUNCTION("""COMPUTED_VALUE"""),"Trinath Goteti")</f>
        <v>Trinath Goteti</v>
      </c>
      <c r="C137" s="87">
        <f>IFERROR(__xludf.DUMMYFUNCTION("""COMPUTED_VALUE"""),40.0)</f>
        <v>40</v>
      </c>
      <c r="D137" s="87">
        <f>IFERROR(__xludf.DUMMYFUNCTION("""COMPUTED_VALUE"""),4.0)</f>
        <v>4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IFERROR(__xludf.DUMMYFUNCTION("""COMPUTED_VALUE"""),49.0)</f>
        <v>49</v>
      </c>
      <c r="N137" s="89">
        <f>IFERROR(__xludf.DUMMYFUNCTION("""COMPUTED_VALUE"""),4.0)</f>
        <v>4</v>
      </c>
    </row>
    <row r="138">
      <c r="A138" s="11"/>
      <c r="B138" s="82" t="str">
        <f>IFERROR(__xludf.DUMMYFUNCTION("""COMPUTED_VALUE"""),"Erik Hoeckmann")</f>
        <v>Erik Hoeckmann</v>
      </c>
      <c r="C138" s="87">
        <f>IFERROR(__xludf.DUMMYFUNCTION("""COMPUTED_VALUE"""),39.0)</f>
        <v>39</v>
      </c>
      <c r="D138" s="87">
        <f>IFERROR(__xludf.DUMMYFUNCTION("""COMPUTED_VALUE"""),6.0)</f>
        <v>6</v>
      </c>
      <c r="E138" s="86">
        <f>IFERROR(__xludf.DUMMYFUNCTION("""COMPUTED_VALUE"""),3.0)</f>
        <v>3</v>
      </c>
      <c r="F138" s="88">
        <f>IFERROR(__xludf.DUMMYFUNCTION("""COMPUTED_VALUE"""),0.0)</f>
        <v>0</v>
      </c>
      <c r="G138" s="88">
        <f>IFERROR(__xludf.DUMMYFUNCTION("""COMPUTED_VALUE"""),9.0)</f>
        <v>9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IFERROR(__xludf.DUMMYFUNCTION("""COMPUTED_VALUE"""),9.0)</f>
        <v>9</v>
      </c>
      <c r="L138" s="88">
        <f>IFERROR(__xludf.DUMMYFUNCTION("""COMPUTED_VALUE"""),0.0)</f>
        <v>0</v>
      </c>
      <c r="M138" s="89">
        <f>IFERROR(__xludf.DUMMYFUNCTION("""COMPUTED_VALUE"""),48.0)</f>
        <v>48</v>
      </c>
      <c r="N138" s="89">
        <f>IFERROR(__xludf.DUMMYFUNCTION("""COMPUTED_VALUE"""),6.0)</f>
        <v>6</v>
      </c>
    </row>
    <row r="139">
      <c r="A139" s="11"/>
      <c r="B139" s="82" t="str">
        <f>IFERROR(__xludf.DUMMYFUNCTION("""COMPUTED_VALUE"""),"Andrew Wen")</f>
        <v>Andrew Wen</v>
      </c>
      <c r="C139" s="87">
        <f>IFERROR(__xludf.DUMMYFUNCTION("""COMPUTED_VALUE"""),38.0)</f>
        <v>38</v>
      </c>
      <c r="D139" s="87">
        <f>IFERROR(__xludf.DUMMYFUNCTION("""COMPUTED_VALUE"""),2.0)</f>
        <v>2</v>
      </c>
      <c r="E139" s="86">
        <f>IFERROR(__xludf.DUMMYFUNCTION("""COMPUTED_VALUE"""),3.0)</f>
        <v>3</v>
      </c>
      <c r="F139" s="88">
        <f>IFERROR(__xludf.DUMMYFUNCTION("""COMPUTED_VALUE"""),0.0)</f>
        <v>0</v>
      </c>
      <c r="G139" s="88">
        <f>IFERROR(__xludf.DUMMYFUNCTION("""COMPUTED_VALUE"""),9.0)</f>
        <v>9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IFERROR(__xludf.DUMMYFUNCTION("""COMPUTED_VALUE"""),9.0)</f>
        <v>9</v>
      </c>
      <c r="L139" s="88">
        <f>IFERROR(__xludf.DUMMYFUNCTION("""COMPUTED_VALUE"""),0.0)</f>
        <v>0</v>
      </c>
      <c r="M139" s="89">
        <f>IFERROR(__xludf.DUMMYFUNCTION("""COMPUTED_VALUE"""),47.0)</f>
        <v>47</v>
      </c>
      <c r="N139" s="89">
        <f>IFERROR(__xludf.DUMMYFUNCTION("""COMPUTED_VALUE"""),2.0)</f>
        <v>2</v>
      </c>
    </row>
    <row r="140">
      <c r="A140" s="11"/>
      <c r="B140" s="82" t="str">
        <f>IFERROR(__xludf.DUMMYFUNCTION("""COMPUTED_VALUE"""),"Robert Chang")</f>
        <v>Robert Chang</v>
      </c>
      <c r="C140" s="87">
        <f>IFERROR(__xludf.DUMMYFUNCTION("""COMPUTED_VALUE"""),38.0)</f>
        <v>38</v>
      </c>
      <c r="D140" s="87">
        <f>IFERROR(__xludf.DUMMYFUNCTION("""COMPUTED_VALUE"""),2.0)</f>
        <v>2</v>
      </c>
      <c r="E140" s="86">
        <f>IFERROR(__xludf.DUMMYFUNCTION("""COMPUTED_VALUE"""),3.0)</f>
        <v>3</v>
      </c>
      <c r="F140" s="88">
        <f>IFERROR(__xludf.DUMMYFUNCTION("""COMPUTED_VALUE"""),0.0)</f>
        <v>0</v>
      </c>
      <c r="G140" s="88">
        <f>IFERROR(__xludf.DUMMYFUNCTION("""COMPUTED_VALUE"""),9.0)</f>
        <v>9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IFERROR(__xludf.DUMMYFUNCTION("""COMPUTED_VALUE"""),9.0)</f>
        <v>9</v>
      </c>
      <c r="L140" s="88">
        <f>IFERROR(__xludf.DUMMYFUNCTION("""COMPUTED_VALUE"""),0.0)</f>
        <v>0</v>
      </c>
      <c r="M140" s="89">
        <f>IFERROR(__xludf.DUMMYFUNCTION("""COMPUTED_VALUE"""),47.0)</f>
        <v>47</v>
      </c>
      <c r="N140" s="89">
        <f>IFERROR(__xludf.DUMMYFUNCTION("""COMPUTED_VALUE"""),2.0)</f>
        <v>2</v>
      </c>
    </row>
    <row r="141">
      <c r="A141" s="11"/>
      <c r="B141" s="82" t="str">
        <f>IFERROR(__xludf.DUMMYFUNCTION("""COMPUTED_VALUE"""),"Eric Pan")</f>
        <v>Eric Pan</v>
      </c>
      <c r="C141" s="87">
        <f>IFERROR(__xludf.DUMMYFUNCTION("""COMPUTED_VALUE"""),36.0)</f>
        <v>36</v>
      </c>
      <c r="D141" s="87">
        <f>IFERROR(__xludf.DUMMYFUNCTION("""COMPUTED_VALUE"""),3.0)</f>
        <v>3</v>
      </c>
      <c r="E141" s="86">
        <f>IFERROR(__xludf.DUMMYFUNCTION("""COMPUTED_VALUE"""),3.0)</f>
        <v>3</v>
      </c>
      <c r="F141" s="88">
        <f>IFERROR(__xludf.DUMMYFUNCTION("""COMPUTED_VALUE"""),0.0)</f>
        <v>0</v>
      </c>
      <c r="G141" s="88">
        <f>IFERROR(__xludf.DUMMYFUNCTION("""COMPUTED_VALUE"""),9.0)</f>
        <v>9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IFERROR(__xludf.DUMMYFUNCTION("""COMPUTED_VALUE"""),9.0)</f>
        <v>9</v>
      </c>
      <c r="L141" s="88">
        <f>IFERROR(__xludf.DUMMYFUNCTION("""COMPUTED_VALUE"""),0.0)</f>
        <v>0</v>
      </c>
      <c r="M141" s="89">
        <f>IFERROR(__xludf.DUMMYFUNCTION("""COMPUTED_VALUE"""),45.0)</f>
        <v>45</v>
      </c>
      <c r="N141" s="89">
        <f>IFERROR(__xludf.DUMMYFUNCTION("""COMPUTED_VALUE"""),3.0)</f>
        <v>3</v>
      </c>
    </row>
    <row r="142">
      <c r="A142" s="11"/>
      <c r="B142" s="82" t="str">
        <f>IFERROR(__xludf.DUMMYFUNCTION("""COMPUTED_VALUE"""),"Vishnu Amarnath")</f>
        <v>Vishnu Amarnath</v>
      </c>
      <c r="C142" s="87">
        <f>IFERROR(__xludf.DUMMYFUNCTION("""COMPUTED_VALUE"""),36.0)</f>
        <v>36</v>
      </c>
      <c r="D142" s="87">
        <f>IFERROR(__xludf.DUMMYFUNCTION("""COMPUTED_VALUE"""),2.0)</f>
        <v>2</v>
      </c>
      <c r="E142" s="86">
        <f>IFERROR(__xludf.DUMMYFUNCTION("""COMPUTED_VALUE"""),3.0)</f>
        <v>3</v>
      </c>
      <c r="F142" s="88">
        <f>IFERROR(__xludf.DUMMYFUNCTION("""COMPUTED_VALUE"""),0.0)</f>
        <v>0</v>
      </c>
      <c r="G142" s="88">
        <f>IFERROR(__xludf.DUMMYFUNCTION("""COMPUTED_VALUE"""),9.0)</f>
        <v>9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IFERROR(__xludf.DUMMYFUNCTION("""COMPUTED_VALUE"""),9.0)</f>
        <v>9</v>
      </c>
      <c r="L142" s="88">
        <f>IFERROR(__xludf.DUMMYFUNCTION("""COMPUTED_VALUE"""),0.0)</f>
        <v>0</v>
      </c>
      <c r="M142" s="89">
        <f>IFERROR(__xludf.DUMMYFUNCTION("""COMPUTED_VALUE"""),45.0)</f>
        <v>45</v>
      </c>
      <c r="N142" s="89">
        <f>IFERROR(__xludf.DUMMYFUNCTION("""COMPUTED_VALUE"""),2.0)</f>
        <v>2</v>
      </c>
    </row>
    <row r="143">
      <c r="A143" s="11"/>
      <c r="B143" s="82" t="str">
        <f>IFERROR(__xludf.DUMMYFUNCTION("""COMPUTED_VALUE"""),"Sanjaye Elayattu")</f>
        <v>Sanjaye Elayattu</v>
      </c>
      <c r="C143" s="87">
        <f>IFERROR(__xludf.DUMMYFUNCTION("""COMPUTED_VALUE"""),35.0)</f>
        <v>35</v>
      </c>
      <c r="D143" s="87">
        <f>IFERROR(__xludf.DUMMYFUNCTION("""COMPUTED_VALUE"""),2.0)</f>
        <v>2</v>
      </c>
      <c r="E143" s="86">
        <f>IFERROR(__xludf.DUMMYFUNCTION("""COMPUTED_VALUE"""),3.0)</f>
        <v>3</v>
      </c>
      <c r="F143" s="88">
        <f>IFERROR(__xludf.DUMMYFUNCTION("""COMPUTED_VALUE"""),0.0)</f>
        <v>0</v>
      </c>
      <c r="G143" s="88">
        <f>IFERROR(__xludf.DUMMYFUNCTION("""COMPUTED_VALUE"""),9.0)</f>
        <v>9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IFERROR(__xludf.DUMMYFUNCTION("""COMPUTED_VALUE"""),9.0)</f>
        <v>9</v>
      </c>
      <c r="L143" s="88">
        <f>IFERROR(__xludf.DUMMYFUNCTION("""COMPUTED_VALUE"""),0.0)</f>
        <v>0</v>
      </c>
      <c r="M143" s="89">
        <f>IFERROR(__xludf.DUMMYFUNCTION("""COMPUTED_VALUE"""),44.0)</f>
        <v>44</v>
      </c>
      <c r="N143" s="89">
        <f>IFERROR(__xludf.DUMMYFUNCTION("""COMPUTED_VALUE"""),2.0)</f>
        <v>2</v>
      </c>
    </row>
    <row r="144">
      <c r="A144" s="11"/>
      <c r="B144" s="82" t="str">
        <f>IFERROR(__xludf.DUMMYFUNCTION("""COMPUTED_VALUE"""),"Elayaraja Thangaraj ")</f>
        <v>Elayaraja Thangaraj </v>
      </c>
      <c r="C144" s="87">
        <f>IFERROR(__xludf.DUMMYFUNCTION("""COMPUTED_VALUE"""),34.0)</f>
        <v>34</v>
      </c>
      <c r="D144" s="87">
        <f>IFERROR(__xludf.DUMMYFUNCTION("""COMPUTED_VALUE"""),1.0)</f>
        <v>1</v>
      </c>
      <c r="E144" s="86">
        <f>IFERROR(__xludf.DUMMYFUNCTION("""COMPUTED_VALUE"""),3.0)</f>
        <v>3</v>
      </c>
      <c r="F144" s="88">
        <f>IFERROR(__xludf.DUMMYFUNCTION("""COMPUTED_VALUE"""),0.0)</f>
        <v>0</v>
      </c>
      <c r="G144" s="88">
        <f>IFERROR(__xludf.DUMMYFUNCTION("""COMPUTED_VALUE"""),9.0)</f>
        <v>9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IFERROR(__xludf.DUMMYFUNCTION("""COMPUTED_VALUE"""),9.0)</f>
        <v>9</v>
      </c>
      <c r="L144" s="88">
        <f>IFERROR(__xludf.DUMMYFUNCTION("""COMPUTED_VALUE"""),0.0)</f>
        <v>0</v>
      </c>
      <c r="M144" s="89">
        <f>IFERROR(__xludf.DUMMYFUNCTION("""COMPUTED_VALUE"""),43.0)</f>
        <v>43</v>
      </c>
      <c r="N144" s="89">
        <f>IFERROR(__xludf.DUMMYFUNCTION("""COMPUTED_VALUE"""),1.0)</f>
        <v>1</v>
      </c>
    </row>
    <row r="145">
      <c r="A145" s="11"/>
      <c r="B145" s="82" t="str">
        <f>IFERROR(__xludf.DUMMYFUNCTION("""COMPUTED_VALUE"""),"Leigh-Anh Nguyen")</f>
        <v>Leigh-Anh Nguyen</v>
      </c>
      <c r="C145" s="87">
        <f>IFERROR(__xludf.DUMMYFUNCTION("""COMPUTED_VALUE"""),32.0)</f>
        <v>32</v>
      </c>
      <c r="D145" s="87">
        <f>IFERROR(__xludf.DUMMYFUNCTION("""COMPUTED_VALUE"""),4.0)</f>
        <v>4</v>
      </c>
      <c r="E145" s="86">
        <f>IFERROR(__xludf.DUMMYFUNCTION("""COMPUTED_VALUE"""),3.0)</f>
        <v>3</v>
      </c>
      <c r="F145" s="88">
        <f>IFERROR(__xludf.DUMMYFUNCTION("""COMPUTED_VALUE"""),0.0)</f>
        <v>0</v>
      </c>
      <c r="G145" s="88">
        <f>IFERROR(__xludf.DUMMYFUNCTION("""COMPUTED_VALUE"""),9.0)</f>
        <v>9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IFERROR(__xludf.DUMMYFUNCTION("""COMPUTED_VALUE"""),9.0)</f>
        <v>9</v>
      </c>
      <c r="L145" s="88">
        <f>IFERROR(__xludf.DUMMYFUNCTION("""COMPUTED_VALUE"""),0.0)</f>
        <v>0</v>
      </c>
      <c r="M145" s="89">
        <f>IFERROR(__xludf.DUMMYFUNCTION("""COMPUTED_VALUE"""),41.0)</f>
        <v>41</v>
      </c>
      <c r="N145" s="89">
        <f>IFERROR(__xludf.DUMMYFUNCTION("""COMPUTED_VALUE"""),4.0)</f>
        <v>4</v>
      </c>
    </row>
    <row r="146">
      <c r="A146" s="11"/>
      <c r="B146" s="82" t="str">
        <f>IFERROR(__xludf.DUMMYFUNCTION("""COMPUTED_VALUE"""),"Ramesh Bandaru")</f>
        <v>Ramesh Bandaru</v>
      </c>
      <c r="C146" s="87">
        <f>IFERROR(__xludf.DUMMYFUNCTION("""COMPUTED_VALUE"""),32.0)</f>
        <v>32</v>
      </c>
      <c r="D146" s="87">
        <f>IFERROR(__xludf.DUMMYFUNCTION("""COMPUTED_VALUE"""),1.0)</f>
        <v>1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IFERROR(__xludf.DUMMYFUNCTION("""COMPUTED_VALUE"""),41.0)</f>
        <v>41</v>
      </c>
      <c r="N146" s="89">
        <f>IFERROR(__xludf.DUMMYFUNCTION("""COMPUTED_VALUE"""),1.0)</f>
        <v>1</v>
      </c>
    </row>
    <row r="147">
      <c r="A147" s="11"/>
      <c r="B147" s="82" t="str">
        <f>IFERROR(__xludf.DUMMYFUNCTION("""COMPUTED_VALUE"""),"Vinaya Kajla")</f>
        <v>Vinaya Kajla</v>
      </c>
      <c r="C147" s="87">
        <f>IFERROR(__xludf.DUMMYFUNCTION("""COMPUTED_VALUE"""),31.0)</f>
        <v>31</v>
      </c>
      <c r="D147" s="87">
        <f>IFERROR(__xludf.DUMMYFUNCTION("""COMPUTED_VALUE"""),2.0)</f>
        <v>2</v>
      </c>
      <c r="E147" s="86">
        <f>IFERROR(__xludf.DUMMYFUNCTION("""COMPUTED_VALUE"""),3.0)</f>
        <v>3</v>
      </c>
      <c r="F147" s="88">
        <f>IFERROR(__xludf.DUMMYFUNCTION("""COMPUTED_VALUE"""),0.0)</f>
        <v>0</v>
      </c>
      <c r="G147" s="88">
        <f>IFERROR(__xludf.DUMMYFUNCTION("""COMPUTED_VALUE"""),9.0)</f>
        <v>9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IFERROR(__xludf.DUMMYFUNCTION("""COMPUTED_VALUE"""),9.0)</f>
        <v>9</v>
      </c>
      <c r="L147" s="88">
        <f>IFERROR(__xludf.DUMMYFUNCTION("""COMPUTED_VALUE"""),0.0)</f>
        <v>0</v>
      </c>
      <c r="M147" s="89">
        <f>IFERROR(__xludf.DUMMYFUNCTION("""COMPUTED_VALUE"""),40.0)</f>
        <v>40</v>
      </c>
      <c r="N147" s="89">
        <f>IFERROR(__xludf.DUMMYFUNCTION("""COMPUTED_VALUE"""),2.0)</f>
        <v>2</v>
      </c>
    </row>
    <row r="148">
      <c r="A148" s="11"/>
      <c r="B148" s="82" t="str">
        <f>IFERROR(__xludf.DUMMYFUNCTION("""COMPUTED_VALUE"""),"Peter Homsey")</f>
        <v>Peter Homsey</v>
      </c>
      <c r="C148" s="87">
        <f>IFERROR(__xludf.DUMMYFUNCTION("""COMPUTED_VALUE"""),31.0)</f>
        <v>31</v>
      </c>
      <c r="D148" s="87">
        <f>IFERROR(__xludf.DUMMYFUNCTION("""COMPUTED_VALUE"""),0.0)</f>
        <v>0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IFERROR(__xludf.DUMMYFUNCTION("""COMPUTED_VALUE"""),40.0)</f>
        <v>40</v>
      </c>
      <c r="N148" s="89">
        <f>IFERROR(__xludf.DUMMYFUNCTION("""COMPUTED_VALUE"""),0.0)</f>
        <v>0</v>
      </c>
    </row>
    <row r="149">
      <c r="A149" s="11"/>
      <c r="B149" s="82" t="str">
        <f>IFERROR(__xludf.DUMMYFUNCTION("""COMPUTED_VALUE"""),"Tony Lin")</f>
        <v>Tony Lin</v>
      </c>
      <c r="C149" s="87">
        <f>IFERROR(__xludf.DUMMYFUNCTION("""COMPUTED_VALUE"""),31.0)</f>
        <v>31</v>
      </c>
      <c r="D149" s="87">
        <f>IFERROR(__xludf.DUMMYFUNCTION("""COMPUTED_VALUE"""),0.0)</f>
        <v>0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IFERROR(__xludf.DUMMYFUNCTION("""COMPUTED_VALUE"""),40.0)</f>
        <v>40</v>
      </c>
      <c r="N149" s="89">
        <f>IFERROR(__xludf.DUMMYFUNCTION("""COMPUTED_VALUE"""),0.0)</f>
        <v>0</v>
      </c>
    </row>
    <row r="150">
      <c r="A150" s="11"/>
      <c r="B150" s="82" t="str">
        <f>IFERROR(__xludf.DUMMYFUNCTION("""COMPUTED_VALUE"""),"Eric Tan")</f>
        <v>Eric Tan</v>
      </c>
      <c r="C150" s="87">
        <f>IFERROR(__xludf.DUMMYFUNCTION("""COMPUTED_VALUE"""),30.0)</f>
        <v>30</v>
      </c>
      <c r="D150" s="87">
        <f>IFERROR(__xludf.DUMMYFUNCTION("""COMPUTED_VALUE"""),3.0)</f>
        <v>3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IFERROR(__xludf.DUMMYFUNCTION("""COMPUTED_VALUE"""),39.0)</f>
        <v>39</v>
      </c>
      <c r="N150" s="89">
        <f>IFERROR(__xludf.DUMMYFUNCTION("""COMPUTED_VALUE"""),3.0)</f>
        <v>3</v>
      </c>
    </row>
    <row r="151">
      <c r="A151" s="11"/>
      <c r="B151" s="82" t="str">
        <f>IFERROR(__xludf.DUMMYFUNCTION("""COMPUTED_VALUE"""),"Kumar Palakeel")</f>
        <v>Kumar Palakeel</v>
      </c>
      <c r="C151" s="87">
        <f>IFERROR(__xludf.DUMMYFUNCTION("""COMPUTED_VALUE"""),28.0)</f>
        <v>28</v>
      </c>
      <c r="D151" s="87">
        <f>IFERROR(__xludf.DUMMYFUNCTION("""COMPUTED_VALUE"""),1.0)</f>
        <v>1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IFERROR(__xludf.DUMMYFUNCTION("""COMPUTED_VALUE"""),37.0)</f>
        <v>37</v>
      </c>
      <c r="N151" s="89">
        <f>IFERROR(__xludf.DUMMYFUNCTION("""COMPUTED_VALUE"""),1.0)</f>
        <v>1</v>
      </c>
    </row>
    <row r="152">
      <c r="A152" s="11"/>
      <c r="B152" s="82" t="str">
        <f>IFERROR(__xludf.DUMMYFUNCTION("""COMPUTED_VALUE"""),"Mauricio Palacios")</f>
        <v>Mauricio Palacios</v>
      </c>
      <c r="C152" s="87">
        <f>IFERROR(__xludf.DUMMYFUNCTION("""COMPUTED_VALUE"""),28.0)</f>
        <v>28</v>
      </c>
      <c r="D152" s="87">
        <f>IFERROR(__xludf.DUMMYFUNCTION("""COMPUTED_VALUE"""),1.0)</f>
        <v>1</v>
      </c>
      <c r="E152" s="86">
        <f>IFERROR(__xludf.DUMMYFUNCTION("""COMPUTED_VALUE"""),3.0)</f>
        <v>3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IFERROR(__xludf.DUMMYFUNCTION("""COMPUTED_VALUE"""),37.0)</f>
        <v>37</v>
      </c>
      <c r="N152" s="89">
        <f>IFERROR(__xludf.DUMMYFUNCTION("""COMPUTED_VALUE"""),1.0)</f>
        <v>1</v>
      </c>
    </row>
    <row r="153">
      <c r="A153" s="11"/>
      <c r="B153" s="82" t="str">
        <f>IFERROR(__xludf.DUMMYFUNCTION("""COMPUTED_VALUE"""),"Joyce Zhu")</f>
        <v>Joyce Zhu</v>
      </c>
      <c r="C153" s="87">
        <f>IFERROR(__xludf.DUMMYFUNCTION("""COMPUTED_VALUE"""),27.0)</f>
        <v>27</v>
      </c>
      <c r="D153" s="87">
        <f>IFERROR(__xludf.DUMMYFUNCTION("""COMPUTED_VALUE"""),2.0)</f>
        <v>2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IFERROR(__xludf.DUMMYFUNCTION("""COMPUTED_VALUE"""),36.0)</f>
        <v>36</v>
      </c>
      <c r="N153" s="89">
        <f>IFERROR(__xludf.DUMMYFUNCTION("""COMPUTED_VALUE"""),2.0)</f>
        <v>2</v>
      </c>
    </row>
    <row r="154">
      <c r="A154" s="11"/>
      <c r="B154" s="82" t="str">
        <f>IFERROR(__xludf.DUMMYFUNCTION("""COMPUTED_VALUE"""),"Balaji Alahari")</f>
        <v>Balaji Alahari</v>
      </c>
      <c r="C154" s="87">
        <f>IFERROR(__xludf.DUMMYFUNCTION("""COMPUTED_VALUE"""),27.0)</f>
        <v>27</v>
      </c>
      <c r="D154" s="87">
        <f>IFERROR(__xludf.DUMMYFUNCTION("""COMPUTED_VALUE"""),1.0)</f>
        <v>1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IFERROR(__xludf.DUMMYFUNCTION("""COMPUTED_VALUE"""),36.0)</f>
        <v>36</v>
      </c>
      <c r="N154" s="89">
        <f>IFERROR(__xludf.DUMMYFUNCTION("""COMPUTED_VALUE"""),1.0)</f>
        <v>1</v>
      </c>
    </row>
    <row r="155">
      <c r="A155" s="11"/>
      <c r="B155" s="82" t="str">
        <f>IFERROR(__xludf.DUMMYFUNCTION("""COMPUTED_VALUE"""),"Nohely Mejia")</f>
        <v>Nohely Mejia</v>
      </c>
      <c r="C155" s="87">
        <f>IFERROR(__xludf.DUMMYFUNCTION("""COMPUTED_VALUE"""),27.0)</f>
        <v>27</v>
      </c>
      <c r="D155" s="87">
        <f>IFERROR(__xludf.DUMMYFUNCTION("""COMPUTED_VALUE"""),0.0)</f>
        <v>0</v>
      </c>
      <c r="E155" s="86">
        <f>IFERROR(__xludf.DUMMYFUNCTION("""COMPUTED_VALUE"""),3.0)</f>
        <v>3</v>
      </c>
      <c r="F155" s="88">
        <f>IFERROR(__xludf.DUMMYFUNCTION("""COMPUTED_VALUE"""),0.0)</f>
        <v>0</v>
      </c>
      <c r="G155" s="88">
        <f>IFERROR(__xludf.DUMMYFUNCTION("""COMPUTED_VALUE"""),9.0)</f>
        <v>9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IFERROR(__xludf.DUMMYFUNCTION("""COMPUTED_VALUE"""),9.0)</f>
        <v>9</v>
      </c>
      <c r="L155" s="88">
        <f>IFERROR(__xludf.DUMMYFUNCTION("""COMPUTED_VALUE"""),0.0)</f>
        <v>0</v>
      </c>
      <c r="M155" s="89">
        <f>IFERROR(__xludf.DUMMYFUNCTION("""COMPUTED_VALUE"""),36.0)</f>
        <v>36</v>
      </c>
      <c r="N155" s="89">
        <f>IFERROR(__xludf.DUMMYFUNCTION("""COMPUTED_VALUE"""),0.0)</f>
        <v>0</v>
      </c>
    </row>
    <row r="156">
      <c r="A156" s="11"/>
      <c r="B156" s="82" t="str">
        <f>IFERROR(__xludf.DUMMYFUNCTION("""COMPUTED_VALUE"""),"Amit Patel")</f>
        <v>Amit Patel</v>
      </c>
      <c r="C156" s="87">
        <f>IFERROR(__xludf.DUMMYFUNCTION("""COMPUTED_VALUE"""),27.0)</f>
        <v>27</v>
      </c>
      <c r="D156" s="87">
        <f>IFERROR(__xludf.DUMMYFUNCTION("""COMPUTED_VALUE"""),0.0)</f>
        <v>0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IFERROR(__xludf.DUMMYFUNCTION("""COMPUTED_VALUE"""),36.0)</f>
        <v>36</v>
      </c>
      <c r="N156" s="89">
        <f>IFERROR(__xludf.DUMMYFUNCTION("""COMPUTED_VALUE"""),0.0)</f>
        <v>0</v>
      </c>
    </row>
    <row r="157">
      <c r="A157" s="11"/>
      <c r="B157" s="82" t="str">
        <f>IFERROR(__xludf.DUMMYFUNCTION("""COMPUTED_VALUE"""),"Jimmy Awolesi")</f>
        <v>Jimmy Awolesi</v>
      </c>
      <c r="C157" s="87">
        <f>IFERROR(__xludf.DUMMYFUNCTION("""COMPUTED_VALUE"""),27.0)</f>
        <v>27</v>
      </c>
      <c r="D157" s="87">
        <f>IFERROR(__xludf.DUMMYFUNCTION("""COMPUTED_VALUE"""),0.0)</f>
        <v>0</v>
      </c>
      <c r="E157" s="86">
        <f>IFERROR(__xludf.DUMMYFUNCTION("""COMPUTED_VALUE"""),3.0)</f>
        <v>3</v>
      </c>
      <c r="F157" s="88">
        <f>IFERROR(__xludf.DUMMYFUNCTION("""COMPUTED_VALUE"""),0.0)</f>
        <v>0</v>
      </c>
      <c r="G157" s="88">
        <f>IFERROR(__xludf.DUMMYFUNCTION("""COMPUTED_VALUE"""),9.0)</f>
        <v>9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IFERROR(__xludf.DUMMYFUNCTION("""COMPUTED_VALUE"""),0.0)</f>
        <v>0</v>
      </c>
      <c r="M157" s="89">
        <f>IFERROR(__xludf.DUMMYFUNCTION("""COMPUTED_VALUE"""),36.0)</f>
        <v>36</v>
      </c>
      <c r="N157" s="89">
        <f>IFERROR(__xludf.DUMMYFUNCTION("""COMPUTED_VALUE"""),0.0)</f>
        <v>0</v>
      </c>
    </row>
    <row r="158">
      <c r="A158" s="11"/>
      <c r="B158" s="82" t="str">
        <f>IFERROR(__xludf.DUMMYFUNCTION("""COMPUTED_VALUE"""),"Santosh Sundaresan ")</f>
        <v>Santosh Sundaresan </v>
      </c>
      <c r="C158" s="87">
        <f>IFERROR(__xludf.DUMMYFUNCTION("""COMPUTED_VALUE"""),27.0)</f>
        <v>27</v>
      </c>
      <c r="D158" s="87">
        <f>IFERROR(__xludf.DUMMYFUNCTION("""COMPUTED_VALUE"""),0.0)</f>
        <v>0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IFERROR(__xludf.DUMMYFUNCTION("""COMPUTED_VALUE"""),36.0)</f>
        <v>36</v>
      </c>
      <c r="N158" s="89">
        <f>IFERROR(__xludf.DUMMYFUNCTION("""COMPUTED_VALUE"""),0.0)</f>
        <v>0</v>
      </c>
    </row>
    <row r="159">
      <c r="A159" s="11"/>
      <c r="B159" s="82" t="str">
        <f>IFERROR(__xludf.DUMMYFUNCTION("""COMPUTED_VALUE"""),"Peter Cheng")</f>
        <v>Peter Cheng</v>
      </c>
      <c r="C159" s="87">
        <f>IFERROR(__xludf.DUMMYFUNCTION("""COMPUTED_VALUE"""),27.0)</f>
        <v>27</v>
      </c>
      <c r="D159" s="87">
        <f>IFERROR(__xludf.DUMMYFUNCTION("""COMPUTED_VALUE"""),0.0)</f>
        <v>0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IFERROR(__xludf.DUMMYFUNCTION("""COMPUTED_VALUE"""),36.0)</f>
        <v>36</v>
      </c>
      <c r="N159" s="89">
        <f>IFERROR(__xludf.DUMMYFUNCTION("""COMPUTED_VALUE"""),0.0)</f>
        <v>0</v>
      </c>
    </row>
    <row r="160">
      <c r="A160" s="11"/>
      <c r="B160" s="82" t="str">
        <f>IFERROR(__xludf.DUMMYFUNCTION("""COMPUTED_VALUE"""),"Sai Dilip Ponnaganti")</f>
        <v>Sai Dilip Ponnaganti</v>
      </c>
      <c r="C160" s="87">
        <f>IFERROR(__xludf.DUMMYFUNCTION("""COMPUTED_VALUE"""),27.0)</f>
        <v>27</v>
      </c>
      <c r="D160" s="87">
        <f>IFERROR(__xludf.DUMMYFUNCTION("""COMPUTED_VALUE"""),0.0)</f>
        <v>0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IFERROR(__xludf.DUMMYFUNCTION("""COMPUTED_VALUE"""),36.0)</f>
        <v>36</v>
      </c>
      <c r="N160" s="89">
        <f>IFERROR(__xludf.DUMMYFUNCTION("""COMPUTED_VALUE"""),0.0)</f>
        <v>0</v>
      </c>
    </row>
    <row r="161">
      <c r="A161" s="11"/>
      <c r="B161" s="82" t="str">
        <f>IFERROR(__xludf.DUMMYFUNCTION("""COMPUTED_VALUE"""),"Manish Anand")</f>
        <v>Manish Anand</v>
      </c>
      <c r="C161" s="87">
        <f>IFERROR(__xludf.DUMMYFUNCTION("""COMPUTED_VALUE"""),27.0)</f>
        <v>27</v>
      </c>
      <c r="D161" s="87">
        <f>IFERROR(__xludf.DUMMYFUNCTION("""COMPUTED_VALUE"""),0.0)</f>
        <v>0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IFERROR(__xludf.DUMMYFUNCTION("""COMPUTED_VALUE"""),36.0)</f>
        <v>36</v>
      </c>
      <c r="N161" s="89">
        <f>IFERROR(__xludf.DUMMYFUNCTION("""COMPUTED_VALUE"""),0.0)</f>
        <v>0</v>
      </c>
    </row>
    <row r="162">
      <c r="A162" s="11"/>
      <c r="B162" s="82" t="str">
        <f>IFERROR(__xludf.DUMMYFUNCTION("""COMPUTED_VALUE"""),"James Phan")</f>
        <v>James Phan</v>
      </c>
      <c r="C162" s="87">
        <f>IFERROR(__xludf.DUMMYFUNCTION("""COMPUTED_VALUE"""),27.0)</f>
        <v>27</v>
      </c>
      <c r="D162" s="87">
        <f>IFERROR(__xludf.DUMMYFUNCTION("""COMPUTED_VALUE"""),0.0)</f>
        <v>0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IFERROR(__xludf.DUMMYFUNCTION("""COMPUTED_VALUE"""),36.0)</f>
        <v>36</v>
      </c>
      <c r="N162" s="89">
        <f>IFERROR(__xludf.DUMMYFUNCTION("""COMPUTED_VALUE"""),0.0)</f>
        <v>0</v>
      </c>
    </row>
    <row r="163">
      <c r="A163" s="11"/>
      <c r="B163" s="82" t="str">
        <f>IFERROR(__xludf.DUMMYFUNCTION("""COMPUTED_VALUE"""),"Jose Ortiz")</f>
        <v>Jose Ortiz</v>
      </c>
      <c r="C163" s="87">
        <f>IFERROR(__xludf.DUMMYFUNCTION("""COMPUTED_VALUE"""),27.0)</f>
        <v>27</v>
      </c>
      <c r="D163" s="87">
        <f>IFERROR(__xludf.DUMMYFUNCTION("""COMPUTED_VALUE"""),0.0)</f>
        <v>0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IFERROR(__xludf.DUMMYFUNCTION("""COMPUTED_VALUE"""),36.0)</f>
        <v>36</v>
      </c>
      <c r="N163" s="89">
        <f>IFERROR(__xludf.DUMMYFUNCTION("""COMPUTED_VALUE"""),0.0)</f>
        <v>0</v>
      </c>
    </row>
    <row r="164">
      <c r="A164" s="11"/>
      <c r="B164" s="82" t="str">
        <f>IFERROR(__xludf.DUMMYFUNCTION("""COMPUTED_VALUE"""),"Pulkit Mathur")</f>
        <v>Pulkit Mathur</v>
      </c>
      <c r="C164" s="87">
        <f>IFERROR(__xludf.DUMMYFUNCTION("""COMPUTED_VALUE"""),27.0)</f>
        <v>27</v>
      </c>
      <c r="D164" s="87">
        <f>IFERROR(__xludf.DUMMYFUNCTION("""COMPUTED_VALUE"""),0.0)</f>
        <v>0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IFERROR(__xludf.DUMMYFUNCTION("""COMPUTED_VALUE"""),36.0)</f>
        <v>36</v>
      </c>
      <c r="N164" s="89">
        <f>IFERROR(__xludf.DUMMYFUNCTION("""COMPUTED_VALUE"""),0.0)</f>
        <v>0</v>
      </c>
    </row>
    <row r="165">
      <c r="A165" s="11"/>
      <c r="B165" s="82" t="str">
        <f>IFERROR(__xludf.DUMMYFUNCTION("""COMPUTED_VALUE"""),"Rajesh Dorairaj")</f>
        <v>Rajesh Dorairaj</v>
      </c>
      <c r="C165" s="87">
        <f>IFERROR(__xludf.DUMMYFUNCTION("""COMPUTED_VALUE"""),27.0)</f>
        <v>27</v>
      </c>
      <c r="D165" s="87">
        <f>IFERROR(__xludf.DUMMYFUNCTION("""COMPUTED_VALUE"""),0.0)</f>
        <v>0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IFERROR(__xludf.DUMMYFUNCTION("""COMPUTED_VALUE"""),36.0)</f>
        <v>36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IFERROR(__xludf.DUMMYFUNCTION("""COMPUTED_VALUE"""),"Susanta Mishra")</f>
        <v>Susanta Mishra</v>
      </c>
      <c r="C166" s="87">
        <f>IFERROR(__xludf.DUMMYFUNCTION("""COMPUTED_VALUE"""),27.0)</f>
        <v>27</v>
      </c>
      <c r="D166" s="87">
        <f>IFERROR(__xludf.DUMMYFUNCTION("""COMPUTED_VALUE"""),0.0)</f>
        <v>0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IFERROR(__xludf.DUMMYFUNCTION("""COMPUTED_VALUE"""),36.0)</f>
        <v>36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IFERROR(__xludf.DUMMYFUNCTION("""COMPUTED_VALUE"""),"Chinna Ponnaganti")</f>
        <v>Chinna Ponnaganti</v>
      </c>
      <c r="C167" s="86">
        <f>IFERROR(__xludf.DUMMYFUNCTION("""COMPUTED_VALUE"""),27.0)</f>
        <v>27</v>
      </c>
      <c r="D167" s="87">
        <f>IFERROR(__xludf.DUMMYFUNCTION("""COMPUTED_VALUE"""),0.0)</f>
        <v>0</v>
      </c>
      <c r="E167" s="86">
        <f>IFERROR(__xludf.DUMMYFUNCTION("""COMPUTED_VALUE"""),3.0)</f>
        <v>3</v>
      </c>
      <c r="F167" s="88">
        <f>IFERROR(__xludf.DUMMYFUNCTION("""COMPUTED_VALUE"""),0.0)</f>
        <v>0</v>
      </c>
      <c r="G167" s="88">
        <f>IFERROR(__xludf.DUMMYFUNCTION("""COMPUTED_VALUE"""),9.0)</f>
        <v>9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IFERROR(__xludf.DUMMYFUNCTION("""COMPUTED_VALUE"""),9.0)</f>
        <v>9</v>
      </c>
      <c r="L167" s="88">
        <f>IFERROR(__xludf.DUMMYFUNCTION("""COMPUTED_VALUE"""),0.0)</f>
        <v>0</v>
      </c>
      <c r="M167" s="88">
        <f>IFERROR(__xludf.DUMMYFUNCTION("""COMPUTED_VALUE"""),36.0)</f>
        <v>36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IFERROR(__xludf.DUMMYFUNCTION("""COMPUTED_VALUE"""),"Naveen Raj")</f>
        <v>Naveen Raj</v>
      </c>
      <c r="C168" s="86">
        <f>IFERROR(__xludf.DUMMYFUNCTION("""COMPUTED_VALUE"""),27.0)</f>
        <v>27</v>
      </c>
      <c r="D168" s="87">
        <f>IFERROR(__xludf.DUMMYFUNCTION("""COMPUTED_VALUE"""),0.0)</f>
        <v>0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8">
        <f>IFERROR(__xludf.DUMMYFUNCTION("""COMPUTED_VALUE"""),36.0)</f>
        <v>36</v>
      </c>
      <c r="N168" s="89">
        <f>IFERROR(__xludf.DUMMYFUNCTION("""COMPUTED_VALUE"""),0.0)</f>
        <v>0</v>
      </c>
    </row>
    <row r="169">
      <c r="A169" s="11"/>
      <c r="B169" s="82"/>
      <c r="C169" s="86"/>
      <c r="D169" s="87"/>
      <c r="E169" s="86"/>
      <c r="F169" s="88"/>
      <c r="G169" s="88"/>
      <c r="H169" s="88"/>
      <c r="I169" s="88"/>
      <c r="J169" s="88"/>
      <c r="K169" s="88"/>
      <c r="L169" s="88"/>
      <c r="M169" s="88"/>
      <c r="N169" s="89"/>
    </row>
    <row r="170">
      <c r="A170" s="11"/>
      <c r="B170" s="82"/>
      <c r="C170" s="86"/>
      <c r="D170" s="87"/>
      <c r="E170" s="86"/>
      <c r="F170" s="88"/>
      <c r="G170" s="88"/>
      <c r="H170" s="88"/>
      <c r="I170" s="88"/>
      <c r="J170" s="88"/>
      <c r="K170" s="88"/>
      <c r="L170" s="88"/>
      <c r="M170" s="88"/>
      <c r="N170" s="89"/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C201" s="11"/>
      <c r="D201" s="11"/>
      <c r="E201" s="11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B222" s="90" t="s">
        <v>167</v>
      </c>
      <c r="C222" s="11"/>
      <c r="D222" s="11"/>
      <c r="E222" s="11"/>
      <c r="U222" s="90" t="s">
        <v>168</v>
      </c>
    </row>
    <row r="223">
      <c r="A223" s="49">
        <v>1.0</v>
      </c>
      <c r="B223" s="82" t="str">
        <f>IFERROR(__xludf.DUMMYFUNCTION("QUERY(B5:Q69, ""Select B   where Q is null"")"),"#N/A")</f>
        <v>#N/A</v>
      </c>
      <c r="C223" s="11"/>
      <c r="D223" s="11"/>
      <c r="E223" s="11"/>
      <c r="T223" s="49">
        <v>1.0</v>
      </c>
      <c r="U223" s="17" t="str">
        <f>IFERROR(__xludf.DUMMYFUNCTION("QUERY(B5:Q69, ""Select B   where Q = 'N' "")"),"#N/A")</f>
        <v>#N/A</v>
      </c>
    </row>
    <row r="224">
      <c r="A224" s="11">
        <f t="shared" ref="A224:A244" si="69">A223+1</f>
        <v>2</v>
      </c>
      <c r="B224" s="82"/>
      <c r="C224" s="11"/>
      <c r="D224" s="11"/>
      <c r="E224" s="11"/>
      <c r="T224" s="11">
        <f t="shared" ref="T224:T235" si="70">T223+1</f>
        <v>2</v>
      </c>
    </row>
    <row r="225">
      <c r="A225" s="11">
        <f t="shared" si="69"/>
        <v>3</v>
      </c>
      <c r="B225" s="82"/>
      <c r="C225" s="11"/>
      <c r="D225" s="11"/>
      <c r="E225" s="11"/>
      <c r="T225" s="11">
        <f t="shared" si="70"/>
        <v>3</v>
      </c>
    </row>
    <row r="226">
      <c r="A226" s="11">
        <f t="shared" si="69"/>
        <v>4</v>
      </c>
      <c r="B226" s="82"/>
      <c r="C226" s="11"/>
      <c r="D226" s="11"/>
      <c r="E226" s="11"/>
      <c r="T226" s="11">
        <f t="shared" si="70"/>
        <v>4</v>
      </c>
    </row>
    <row r="227">
      <c r="A227" s="11">
        <f t="shared" si="69"/>
        <v>5</v>
      </c>
      <c r="B227" s="82"/>
      <c r="C227" s="11"/>
      <c r="D227" s="11"/>
      <c r="E227" s="11"/>
      <c r="T227" s="11">
        <f t="shared" si="70"/>
        <v>5</v>
      </c>
    </row>
    <row r="228">
      <c r="A228" s="11">
        <f t="shared" si="69"/>
        <v>6</v>
      </c>
      <c r="B228" s="82"/>
      <c r="C228" s="11"/>
      <c r="D228" s="11"/>
      <c r="E228" s="11"/>
      <c r="T228" s="11">
        <f t="shared" si="70"/>
        <v>6</v>
      </c>
    </row>
    <row r="229">
      <c r="A229" s="11">
        <f t="shared" si="69"/>
        <v>7</v>
      </c>
      <c r="B229" s="82"/>
      <c r="C229" s="11"/>
      <c r="D229" s="11"/>
      <c r="E229" s="11"/>
      <c r="T229" s="11">
        <f t="shared" si="70"/>
        <v>7</v>
      </c>
    </row>
    <row r="230">
      <c r="A230" s="11">
        <f t="shared" si="69"/>
        <v>8</v>
      </c>
      <c r="B230" s="82"/>
      <c r="C230" s="11"/>
      <c r="D230" s="11"/>
      <c r="E230" s="11"/>
      <c r="T230" s="11">
        <f t="shared" si="70"/>
        <v>8</v>
      </c>
    </row>
    <row r="231">
      <c r="A231" s="11">
        <f t="shared" si="69"/>
        <v>9</v>
      </c>
      <c r="B231" s="82"/>
      <c r="C231" s="11"/>
      <c r="D231" s="11"/>
      <c r="E231" s="11"/>
      <c r="T231" s="11">
        <f t="shared" si="70"/>
        <v>9</v>
      </c>
    </row>
    <row r="232">
      <c r="A232" s="11">
        <f t="shared" si="69"/>
        <v>10</v>
      </c>
      <c r="B232" s="82"/>
      <c r="C232" s="11"/>
      <c r="D232" s="11"/>
      <c r="E232" s="11"/>
      <c r="T232" s="11">
        <f t="shared" si="70"/>
        <v>10</v>
      </c>
    </row>
    <row r="233">
      <c r="A233" s="11">
        <f t="shared" si="69"/>
        <v>11</v>
      </c>
      <c r="B233" s="82"/>
      <c r="C233" s="11"/>
      <c r="D233" s="11"/>
      <c r="E233" s="11"/>
      <c r="T233" s="11">
        <f t="shared" si="70"/>
        <v>11</v>
      </c>
    </row>
    <row r="234">
      <c r="A234" s="11">
        <f t="shared" si="69"/>
        <v>12</v>
      </c>
      <c r="B234" s="82"/>
      <c r="C234" s="11"/>
      <c r="D234" s="11"/>
      <c r="E234" s="11"/>
      <c r="T234" s="11">
        <f t="shared" si="70"/>
        <v>12</v>
      </c>
    </row>
    <row r="235">
      <c r="A235" s="11">
        <f t="shared" si="69"/>
        <v>13</v>
      </c>
      <c r="B235" s="82"/>
      <c r="C235" s="11"/>
      <c r="D235" s="11"/>
      <c r="E235" s="11"/>
      <c r="T235" s="11">
        <f t="shared" si="70"/>
        <v>13</v>
      </c>
    </row>
    <row r="236">
      <c r="A236" s="11">
        <f t="shared" si="69"/>
        <v>14</v>
      </c>
      <c r="B236" s="82"/>
      <c r="C236" s="11"/>
      <c r="D236" s="11"/>
      <c r="E236" s="11"/>
    </row>
    <row r="237">
      <c r="A237" s="11">
        <f t="shared" si="69"/>
        <v>15</v>
      </c>
      <c r="B237" s="82"/>
      <c r="C237" s="11"/>
      <c r="D237" s="11"/>
      <c r="E237" s="11"/>
    </row>
    <row r="238">
      <c r="A238" s="11">
        <f t="shared" si="69"/>
        <v>16</v>
      </c>
      <c r="B238" s="82"/>
      <c r="C238" s="11"/>
      <c r="D238" s="11"/>
      <c r="E238" s="11"/>
    </row>
    <row r="239">
      <c r="A239" s="11">
        <f t="shared" si="69"/>
        <v>17</v>
      </c>
      <c r="B239" s="82"/>
      <c r="C239" s="11"/>
      <c r="D239" s="11"/>
      <c r="E239" s="11"/>
    </row>
    <row r="240">
      <c r="A240" s="11">
        <f t="shared" si="69"/>
        <v>18</v>
      </c>
      <c r="B240" s="82"/>
      <c r="C240" s="11"/>
      <c r="D240" s="11"/>
      <c r="E240" s="11"/>
    </row>
    <row r="241">
      <c r="A241" s="11">
        <f t="shared" si="69"/>
        <v>19</v>
      </c>
      <c r="B241" s="82"/>
      <c r="C241" s="11"/>
      <c r="D241" s="11"/>
      <c r="E241" s="11"/>
    </row>
    <row r="242">
      <c r="A242" s="11">
        <f t="shared" si="69"/>
        <v>20</v>
      </c>
      <c r="B242" s="82"/>
      <c r="C242" s="11"/>
      <c r="D242" s="11"/>
      <c r="E242" s="11"/>
    </row>
    <row r="243">
      <c r="A243" s="11">
        <f t="shared" si="69"/>
        <v>21</v>
      </c>
      <c r="B243" s="82"/>
      <c r="C243" s="11"/>
      <c r="D243" s="11"/>
      <c r="E243" s="11"/>
    </row>
    <row r="244">
      <c r="A244" s="11">
        <f t="shared" si="69"/>
        <v>22</v>
      </c>
      <c r="B244" s="82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1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1" priority="7" operator="containsText" text="Good">
      <formula>NOT(ISERROR(SEARCH(("Good"),(L80))))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45493.0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'071324'!D2+1</f>
        <v>3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61</v>
      </c>
      <c r="C5" s="32">
        <v>33.0</v>
      </c>
      <c r="D5" s="32">
        <v>5.0</v>
      </c>
      <c r="E5" s="37">
        <v>1.0</v>
      </c>
      <c r="F5" s="39"/>
      <c r="G5" s="40">
        <v>0.0</v>
      </c>
      <c r="H5" s="39">
        <v>6.0</v>
      </c>
      <c r="I5" s="39">
        <v>3.0</v>
      </c>
      <c r="J5" s="39">
        <v>6.0</v>
      </c>
      <c r="K5" s="42">
        <v>15.0</v>
      </c>
      <c r="L5" s="39">
        <v>1.0</v>
      </c>
      <c r="M5" s="32">
        <f t="shared" ref="M5:N5" si="1">C5+K5</f>
        <v>48</v>
      </c>
      <c r="N5" s="32">
        <f t="shared" si="1"/>
        <v>6</v>
      </c>
      <c r="O5" s="43" t="s">
        <v>53</v>
      </c>
      <c r="P5" s="43" t="s">
        <v>53</v>
      </c>
      <c r="Q5" s="43" t="s">
        <v>53</v>
      </c>
      <c r="R5" s="39">
        <f>if(G5=13,1,0)+VLOOKUP(B5,'071324'!B:T,17,false)</f>
        <v>0</v>
      </c>
      <c r="S5" s="39"/>
      <c r="T5" s="39">
        <f>if(G5=9,1,0)+VLOOKUP(B5,'071324'!B:T,19,false)</f>
        <v>0</v>
      </c>
    </row>
    <row r="6">
      <c r="A6" s="30">
        <f t="shared" ref="A6:A69" si="3">A5+1</f>
        <v>2</v>
      </c>
      <c r="B6" s="51" t="s">
        <v>100</v>
      </c>
      <c r="C6" s="32">
        <v>33.0</v>
      </c>
      <c r="D6" s="32">
        <v>4.0</v>
      </c>
      <c r="E6" s="37">
        <v>1.0</v>
      </c>
      <c r="F6" s="39"/>
      <c r="G6" s="40">
        <v>0.0</v>
      </c>
      <c r="H6" s="39">
        <v>1.0</v>
      </c>
      <c r="I6" s="39">
        <v>6.0</v>
      </c>
      <c r="J6" s="39">
        <v>6.0</v>
      </c>
      <c r="K6" s="42">
        <v>13.0</v>
      </c>
      <c r="L6" s="39">
        <v>1.0</v>
      </c>
      <c r="M6" s="32">
        <f t="shared" ref="M6:N6" si="2">C6+K6</f>
        <v>46</v>
      </c>
      <c r="N6" s="32">
        <f t="shared" si="2"/>
        <v>5</v>
      </c>
      <c r="O6" s="43" t="s">
        <v>53</v>
      </c>
      <c r="P6" s="43" t="s">
        <v>53</v>
      </c>
      <c r="Q6" s="43" t="s">
        <v>53</v>
      </c>
      <c r="R6" s="39">
        <f>if(G6=13,1,0)+VLOOKUP(B6,'071324'!B:T,17,false)</f>
        <v>0</v>
      </c>
      <c r="S6" s="39"/>
      <c r="T6" s="39">
        <f>if(G6=9,1,0)+VLOOKUP(B6,'071324'!B:T,19,false)</f>
        <v>0</v>
      </c>
    </row>
    <row r="7">
      <c r="A7" s="30">
        <f t="shared" si="3"/>
        <v>3</v>
      </c>
      <c r="B7" s="31" t="s">
        <v>43</v>
      </c>
      <c r="C7" s="32">
        <v>32.0</v>
      </c>
      <c r="D7" s="32">
        <v>3.0</v>
      </c>
      <c r="E7" s="37">
        <v>1.0</v>
      </c>
      <c r="F7" s="39"/>
      <c r="G7" s="40">
        <v>0.0</v>
      </c>
      <c r="H7" s="39">
        <v>6.0</v>
      </c>
      <c r="I7" s="39">
        <v>6.0</v>
      </c>
      <c r="J7" s="39">
        <v>7.0</v>
      </c>
      <c r="K7" s="42">
        <v>19.0</v>
      </c>
      <c r="L7" s="39">
        <v>3.0</v>
      </c>
      <c r="M7" s="32">
        <f t="shared" ref="M7:N7" si="4">C7+K7</f>
        <v>51</v>
      </c>
      <c r="N7" s="32">
        <f t="shared" si="4"/>
        <v>6</v>
      </c>
      <c r="O7" s="43" t="s">
        <v>53</v>
      </c>
      <c r="P7" s="43" t="s">
        <v>53</v>
      </c>
      <c r="Q7" s="43" t="s">
        <v>53</v>
      </c>
      <c r="R7" s="39">
        <f>if(G7=13,1,0)+VLOOKUP(B7,'071324'!B:T,17,false)</f>
        <v>1</v>
      </c>
      <c r="S7" s="39"/>
      <c r="T7" s="39">
        <f>if(G7=9,1,0)+VLOOKUP(B7,'071324'!B:T,19,false)</f>
        <v>0</v>
      </c>
    </row>
    <row r="8">
      <c r="A8" s="30">
        <f t="shared" si="3"/>
        <v>4</v>
      </c>
      <c r="B8" s="31" t="s">
        <v>71</v>
      </c>
      <c r="C8" s="32">
        <v>31.0</v>
      </c>
      <c r="D8" s="32">
        <v>4.0</v>
      </c>
      <c r="E8" s="37">
        <v>1.0</v>
      </c>
      <c r="F8" s="39"/>
      <c r="G8" s="40">
        <v>0.0</v>
      </c>
      <c r="H8" s="39">
        <v>1.0</v>
      </c>
      <c r="I8" s="39">
        <v>3.0</v>
      </c>
      <c r="J8" s="39">
        <v>7.0</v>
      </c>
      <c r="K8" s="42">
        <v>11.0</v>
      </c>
      <c r="L8" s="39">
        <v>1.0</v>
      </c>
      <c r="M8" s="32">
        <f t="shared" ref="M8:N8" si="5">C8+K8</f>
        <v>42</v>
      </c>
      <c r="N8" s="32">
        <f t="shared" si="5"/>
        <v>5</v>
      </c>
      <c r="O8" s="43" t="s">
        <v>53</v>
      </c>
      <c r="P8" s="43" t="s">
        <v>53</v>
      </c>
      <c r="Q8" s="43" t="s">
        <v>53</v>
      </c>
      <c r="R8" s="39">
        <f>if(G8=13,1,0)+VLOOKUP(B8,'071324'!B:T,17,false)</f>
        <v>0</v>
      </c>
      <c r="S8" s="39"/>
      <c r="T8" s="39">
        <f>if(G8=9,1,0)+VLOOKUP(B8,'071324'!B:T,19,false)</f>
        <v>0</v>
      </c>
    </row>
    <row r="9">
      <c r="A9" s="30">
        <f t="shared" si="3"/>
        <v>5</v>
      </c>
      <c r="B9" s="56" t="s">
        <v>65</v>
      </c>
      <c r="C9" s="32">
        <v>31.0</v>
      </c>
      <c r="D9" s="32">
        <v>4.0</v>
      </c>
      <c r="E9" s="37">
        <v>3.0</v>
      </c>
      <c r="F9" s="39">
        <v>0.0</v>
      </c>
      <c r="G9" s="40">
        <v>9.0</v>
      </c>
      <c r="H9" s="39">
        <v>0.0</v>
      </c>
      <c r="I9" s="39">
        <v>0.0</v>
      </c>
      <c r="J9" s="39">
        <v>0.0</v>
      </c>
      <c r="K9" s="42">
        <v>9.0</v>
      </c>
      <c r="L9" s="39">
        <v>0.0</v>
      </c>
      <c r="M9" s="32">
        <f t="shared" ref="M9:N9" si="6">C9+K9</f>
        <v>40</v>
      </c>
      <c r="N9" s="32">
        <f t="shared" si="6"/>
        <v>4</v>
      </c>
      <c r="O9" s="43" t="s">
        <v>53</v>
      </c>
      <c r="P9" s="43" t="s">
        <v>53</v>
      </c>
      <c r="Q9" s="43" t="s">
        <v>53</v>
      </c>
      <c r="R9" s="39">
        <f>if(G9=13,1,0)+VLOOKUP(B9,'071324'!B:T,17,false)</f>
        <v>0</v>
      </c>
      <c r="S9" s="39"/>
      <c r="T9" s="39">
        <f>if(G9=9,1,0)+VLOOKUP(B9,'071324'!B:T,19,false)</f>
        <v>1</v>
      </c>
    </row>
    <row r="10">
      <c r="A10" s="30">
        <f t="shared" si="3"/>
        <v>6</v>
      </c>
      <c r="B10" s="51" t="s">
        <v>84</v>
      </c>
      <c r="C10" s="32">
        <v>30.0</v>
      </c>
      <c r="D10" s="32">
        <v>4.0</v>
      </c>
      <c r="E10" s="37">
        <v>1.0</v>
      </c>
      <c r="F10" s="39"/>
      <c r="G10" s="40">
        <v>0.0</v>
      </c>
      <c r="H10" s="39">
        <v>6.0</v>
      </c>
      <c r="I10" s="39">
        <v>2.0</v>
      </c>
      <c r="J10" s="39">
        <v>4.0</v>
      </c>
      <c r="K10" s="42">
        <v>12.0</v>
      </c>
      <c r="L10" s="39">
        <v>1.0</v>
      </c>
      <c r="M10" s="32">
        <f t="shared" ref="M10:N10" si="7">C10+K10</f>
        <v>42</v>
      </c>
      <c r="N10" s="32">
        <f t="shared" si="7"/>
        <v>5</v>
      </c>
      <c r="O10" s="43" t="s">
        <v>53</v>
      </c>
      <c r="P10" s="43" t="s">
        <v>53</v>
      </c>
      <c r="Q10" s="43" t="s">
        <v>53</v>
      </c>
      <c r="R10" s="39">
        <f>if(G10=13,1,0)+VLOOKUP(B10,'071324'!B:T,17,false)</f>
        <v>0</v>
      </c>
      <c r="S10" s="39"/>
      <c r="T10" s="39">
        <f>if(G10=9,1,0)+VLOOKUP(B10,'071324'!B:T,19,false)</f>
        <v>0</v>
      </c>
    </row>
    <row r="11">
      <c r="A11" s="30">
        <f t="shared" si="3"/>
        <v>7</v>
      </c>
      <c r="B11" s="51" t="s">
        <v>93</v>
      </c>
      <c r="C11" s="32">
        <v>30.0</v>
      </c>
      <c r="D11" s="32">
        <v>3.0</v>
      </c>
      <c r="E11" s="37">
        <v>3.0</v>
      </c>
      <c r="F11" s="39">
        <v>0.0</v>
      </c>
      <c r="G11" s="40">
        <v>9.0</v>
      </c>
      <c r="H11" s="39">
        <v>0.0</v>
      </c>
      <c r="I11" s="39">
        <v>0.0</v>
      </c>
      <c r="J11" s="39">
        <v>0.0</v>
      </c>
      <c r="K11" s="42">
        <v>9.0</v>
      </c>
      <c r="L11" s="39">
        <v>0.0</v>
      </c>
      <c r="M11" s="32">
        <f t="shared" ref="M11:N11" si="8">C11+K11</f>
        <v>39</v>
      </c>
      <c r="N11" s="32">
        <f t="shared" si="8"/>
        <v>3</v>
      </c>
      <c r="O11" s="43" t="s">
        <v>53</v>
      </c>
      <c r="P11" s="43" t="s">
        <v>53</v>
      </c>
      <c r="Q11" s="43" t="s">
        <v>53</v>
      </c>
      <c r="R11" s="39">
        <f>if(G11=13,1,0)+VLOOKUP(B11,'071324'!B:T,17,false)</f>
        <v>0</v>
      </c>
      <c r="S11" s="39"/>
      <c r="T11" s="39">
        <f>if(G11=9,1,0)+VLOOKUP(B11,'071324'!B:T,19,false)</f>
        <v>1</v>
      </c>
    </row>
    <row r="12">
      <c r="A12" s="30">
        <f t="shared" si="3"/>
        <v>8</v>
      </c>
      <c r="B12" s="51" t="s">
        <v>54</v>
      </c>
      <c r="C12" s="32">
        <v>29.0</v>
      </c>
      <c r="D12" s="32">
        <v>3.0</v>
      </c>
      <c r="E12" s="37">
        <v>1.0</v>
      </c>
      <c r="F12" s="39"/>
      <c r="G12" s="40">
        <v>0.0</v>
      </c>
      <c r="H12" s="39">
        <v>6.0</v>
      </c>
      <c r="I12" s="39">
        <v>6.0</v>
      </c>
      <c r="J12" s="39">
        <v>6.0</v>
      </c>
      <c r="K12" s="42">
        <v>18.0</v>
      </c>
      <c r="L12" s="39">
        <v>3.0</v>
      </c>
      <c r="M12" s="32">
        <f t="shared" ref="M12:N12" si="9">C12+K12</f>
        <v>47</v>
      </c>
      <c r="N12" s="32">
        <f t="shared" si="9"/>
        <v>6</v>
      </c>
      <c r="O12" s="43" t="s">
        <v>53</v>
      </c>
      <c r="P12" s="43" t="s">
        <v>53</v>
      </c>
      <c r="Q12" s="43" t="s">
        <v>53</v>
      </c>
      <c r="R12" s="39">
        <f>if(G12=13,1,0)+VLOOKUP(B12,'071324'!B:T,17,false)</f>
        <v>0</v>
      </c>
      <c r="S12" s="39"/>
      <c r="T12" s="39">
        <f>if(G12=9,1,0)+VLOOKUP(B12,'071324'!B:T,19,false)</f>
        <v>0</v>
      </c>
    </row>
    <row r="13">
      <c r="A13" s="30">
        <f t="shared" si="3"/>
        <v>9</v>
      </c>
      <c r="B13" s="51" t="s">
        <v>78</v>
      </c>
      <c r="C13" s="32">
        <v>28.0</v>
      </c>
      <c r="D13" s="32">
        <v>3.0</v>
      </c>
      <c r="E13" s="37">
        <v>1.0</v>
      </c>
      <c r="F13" s="39"/>
      <c r="G13" s="40">
        <v>0.0</v>
      </c>
      <c r="H13" s="39">
        <v>2.0</v>
      </c>
      <c r="I13" s="39">
        <v>2.0</v>
      </c>
      <c r="J13" s="39">
        <v>6.0</v>
      </c>
      <c r="K13" s="42">
        <v>10.0</v>
      </c>
      <c r="L13" s="39">
        <v>1.0</v>
      </c>
      <c r="M13" s="32">
        <f t="shared" ref="M13:N13" si="10">C13+K13</f>
        <v>38</v>
      </c>
      <c r="N13" s="32">
        <f t="shared" si="10"/>
        <v>4</v>
      </c>
      <c r="O13" s="43" t="s">
        <v>53</v>
      </c>
      <c r="P13" s="43" t="s">
        <v>53</v>
      </c>
      <c r="Q13" s="43" t="s">
        <v>53</v>
      </c>
      <c r="R13" s="39">
        <f>if(G13=13,1,0)+VLOOKUP(B13,'071324'!B:T,17,false)</f>
        <v>0</v>
      </c>
      <c r="S13" s="39"/>
      <c r="T13" s="39">
        <f>if(G13=9,1,0)+VLOOKUP(B13,'071324'!B:T,19,false)</f>
        <v>0</v>
      </c>
    </row>
    <row r="14">
      <c r="A14" s="30">
        <f t="shared" si="3"/>
        <v>10</v>
      </c>
      <c r="B14" s="31" t="s">
        <v>119</v>
      </c>
      <c r="C14" s="32">
        <v>28.0</v>
      </c>
      <c r="D14" s="32">
        <v>3.0</v>
      </c>
      <c r="E14" s="37">
        <v>2.0</v>
      </c>
      <c r="F14" s="39"/>
      <c r="G14" s="40">
        <v>0.0</v>
      </c>
      <c r="H14" s="39">
        <v>2.0</v>
      </c>
      <c r="I14" s="39">
        <v>6.0</v>
      </c>
      <c r="J14" s="39">
        <v>4.0</v>
      </c>
      <c r="K14" s="42">
        <v>12.0</v>
      </c>
      <c r="L14" s="39">
        <v>1.0</v>
      </c>
      <c r="M14" s="32">
        <f t="shared" ref="M14:N14" si="11">C14+K14</f>
        <v>40</v>
      </c>
      <c r="N14" s="32">
        <f t="shared" si="11"/>
        <v>4</v>
      </c>
      <c r="O14" s="43" t="s">
        <v>53</v>
      </c>
      <c r="P14" s="43" t="s">
        <v>53</v>
      </c>
      <c r="Q14" s="43" t="s">
        <v>53</v>
      </c>
      <c r="R14" s="39">
        <f>if(G14=13,1,0)+VLOOKUP(B14,'071324'!B:T,17,false)</f>
        <v>0</v>
      </c>
      <c r="S14" s="39"/>
      <c r="T14" s="39">
        <f>if(G14=9,1,0)+VLOOKUP(B14,'071324'!B:T,19,false)</f>
        <v>1</v>
      </c>
    </row>
    <row r="15">
      <c r="A15" s="30">
        <f t="shared" si="3"/>
        <v>11</v>
      </c>
      <c r="B15" s="56" t="s">
        <v>110</v>
      </c>
      <c r="C15" s="32">
        <v>28.0</v>
      </c>
      <c r="D15" s="32">
        <v>2.0</v>
      </c>
      <c r="E15" s="37">
        <v>2.0</v>
      </c>
      <c r="F15" s="39"/>
      <c r="G15" s="40">
        <v>0.0</v>
      </c>
      <c r="H15" s="39">
        <v>1.0</v>
      </c>
      <c r="I15" s="39">
        <v>6.0</v>
      </c>
      <c r="J15" s="39">
        <v>3.0</v>
      </c>
      <c r="K15" s="42">
        <v>10.0</v>
      </c>
      <c r="L15" s="39">
        <v>0.0</v>
      </c>
      <c r="M15" s="32">
        <f t="shared" ref="M15:N15" si="12">C15+K15</f>
        <v>38</v>
      </c>
      <c r="N15" s="32">
        <f t="shared" si="12"/>
        <v>2</v>
      </c>
      <c r="O15" s="43" t="s">
        <v>53</v>
      </c>
      <c r="P15" s="43" t="s">
        <v>53</v>
      </c>
      <c r="Q15" s="43" t="s">
        <v>53</v>
      </c>
      <c r="R15" s="39">
        <f>if(G15=13,1,0)+VLOOKUP(B15,'071324'!B:T,17,false)</f>
        <v>1</v>
      </c>
      <c r="S15" s="39"/>
      <c r="T15" s="39">
        <f>if(G15=9,1,0)+VLOOKUP(B15,'071324'!B:T,19,false)</f>
        <v>0</v>
      </c>
    </row>
    <row r="16">
      <c r="A16" s="30">
        <f t="shared" si="3"/>
        <v>12</v>
      </c>
      <c r="B16" s="31" t="s">
        <v>82</v>
      </c>
      <c r="C16" s="32">
        <v>27.0</v>
      </c>
      <c r="D16" s="32">
        <v>3.0</v>
      </c>
      <c r="E16" s="37">
        <v>3.0</v>
      </c>
      <c r="F16" s="39">
        <v>0.0</v>
      </c>
      <c r="G16" s="40">
        <v>9.0</v>
      </c>
      <c r="H16" s="39">
        <v>0.0</v>
      </c>
      <c r="I16" s="39">
        <v>0.0</v>
      </c>
      <c r="J16" s="39">
        <v>0.0</v>
      </c>
      <c r="K16" s="42">
        <v>9.0</v>
      </c>
      <c r="L16" s="39">
        <v>0.0</v>
      </c>
      <c r="M16" s="32">
        <f t="shared" ref="M16:N16" si="13">C16+K16</f>
        <v>36</v>
      </c>
      <c r="N16" s="32">
        <f t="shared" si="13"/>
        <v>3</v>
      </c>
      <c r="O16" s="43" t="s">
        <v>53</v>
      </c>
      <c r="P16" s="43" t="s">
        <v>53</v>
      </c>
      <c r="Q16" s="43" t="s">
        <v>53</v>
      </c>
      <c r="R16" s="39">
        <f>if(G16=13,1,0)+VLOOKUP(B16,'071324'!B:T,17,false)</f>
        <v>0</v>
      </c>
      <c r="S16" s="39"/>
      <c r="T16" s="39">
        <f>if(G16=9,1,0)+VLOOKUP(B16,'071324'!B:T,19,false)</f>
        <v>2</v>
      </c>
    </row>
    <row r="17">
      <c r="A17" s="30">
        <f t="shared" si="3"/>
        <v>13</v>
      </c>
      <c r="B17" s="31" t="s">
        <v>125</v>
      </c>
      <c r="C17" s="32">
        <v>27.0</v>
      </c>
      <c r="D17" s="32">
        <v>3.0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4">C17+K17</f>
        <v>36</v>
      </c>
      <c r="N17" s="32">
        <f t="shared" si="14"/>
        <v>3</v>
      </c>
      <c r="O17" s="43" t="s">
        <v>53</v>
      </c>
      <c r="P17" s="43" t="s">
        <v>53</v>
      </c>
      <c r="Q17" s="43" t="s">
        <v>53</v>
      </c>
      <c r="R17" s="39">
        <f>if(G17=13,1,0)+VLOOKUP(B17,'071324'!B:T,17,false)</f>
        <v>0</v>
      </c>
      <c r="S17" s="39"/>
      <c r="T17" s="39">
        <f>if(G17=9,1,0)+VLOOKUP(B17,'071324'!B:T,19,false)</f>
        <v>2</v>
      </c>
    </row>
    <row r="18">
      <c r="A18" s="30">
        <f t="shared" si="3"/>
        <v>14</v>
      </c>
      <c r="B18" s="51" t="s">
        <v>103</v>
      </c>
      <c r="C18" s="32">
        <v>27.0</v>
      </c>
      <c r="D18" s="32">
        <v>3.0</v>
      </c>
      <c r="E18" s="37">
        <v>3.0</v>
      </c>
      <c r="F18" s="39">
        <v>0.0</v>
      </c>
      <c r="G18" s="40">
        <v>9.0</v>
      </c>
      <c r="H18" s="39">
        <v>0.0</v>
      </c>
      <c r="I18" s="39">
        <v>0.0</v>
      </c>
      <c r="J18" s="39">
        <v>0.0</v>
      </c>
      <c r="K18" s="42">
        <v>9.0</v>
      </c>
      <c r="L18" s="39">
        <v>0.0</v>
      </c>
      <c r="M18" s="32">
        <f t="shared" ref="M18:N18" si="15">C18+K18</f>
        <v>36</v>
      </c>
      <c r="N18" s="32">
        <f t="shared" si="15"/>
        <v>3</v>
      </c>
      <c r="O18" s="43" t="s">
        <v>53</v>
      </c>
      <c r="P18" s="43" t="s">
        <v>53</v>
      </c>
      <c r="Q18" s="43" t="s">
        <v>53</v>
      </c>
      <c r="R18" s="39">
        <f>if(G18=13,1,0)+VLOOKUP(B18,'071324'!B:T,17,false)</f>
        <v>0</v>
      </c>
      <c r="S18" s="39"/>
      <c r="T18" s="39">
        <f>if(G18=9,1,0)+VLOOKUP(B18,'071324'!B:T,19,false)</f>
        <v>1</v>
      </c>
    </row>
    <row r="19">
      <c r="A19" s="30">
        <f t="shared" si="3"/>
        <v>15</v>
      </c>
      <c r="B19" s="31" t="s">
        <v>83</v>
      </c>
      <c r="C19" s="32">
        <v>27.0</v>
      </c>
      <c r="D19" s="32">
        <v>3.0</v>
      </c>
      <c r="E19" s="37">
        <v>3.0</v>
      </c>
      <c r="F19" s="39">
        <v>0.0</v>
      </c>
      <c r="G19" s="40">
        <v>9.0</v>
      </c>
      <c r="H19" s="39">
        <v>0.0</v>
      </c>
      <c r="I19" s="39">
        <v>0.0</v>
      </c>
      <c r="J19" s="39">
        <v>0.0</v>
      </c>
      <c r="K19" s="42">
        <v>9.0</v>
      </c>
      <c r="L19" s="39">
        <v>0.0</v>
      </c>
      <c r="M19" s="32">
        <f t="shared" ref="M19:N19" si="16">C19+K19</f>
        <v>36</v>
      </c>
      <c r="N19" s="32">
        <f t="shared" si="16"/>
        <v>3</v>
      </c>
      <c r="O19" s="43" t="s">
        <v>53</v>
      </c>
      <c r="P19" s="43" t="s">
        <v>53</v>
      </c>
      <c r="Q19" s="43" t="s">
        <v>53</v>
      </c>
      <c r="R19" s="39">
        <f>if(G19=13,1,0)+VLOOKUP(B19,'071324'!B:T,17,false)</f>
        <v>0</v>
      </c>
      <c r="S19" s="39"/>
      <c r="T19" s="39">
        <f>if(G19=9,1,0)+VLOOKUP(B19,'071324'!B:T,19,false)</f>
        <v>2</v>
      </c>
    </row>
    <row r="20">
      <c r="A20" s="30">
        <f t="shared" si="3"/>
        <v>16</v>
      </c>
      <c r="B20" s="31" t="s">
        <v>97</v>
      </c>
      <c r="C20" s="32">
        <v>26.0</v>
      </c>
      <c r="D20" s="32">
        <v>2.0</v>
      </c>
      <c r="E20" s="37">
        <v>3.0</v>
      </c>
      <c r="F20" s="39">
        <v>0.0</v>
      </c>
      <c r="G20" s="40">
        <v>9.0</v>
      </c>
      <c r="H20" s="39">
        <v>0.0</v>
      </c>
      <c r="I20" s="39">
        <v>0.0</v>
      </c>
      <c r="J20" s="39">
        <v>0.0</v>
      </c>
      <c r="K20" s="42">
        <v>9.0</v>
      </c>
      <c r="L20" s="39">
        <v>0.0</v>
      </c>
      <c r="M20" s="32">
        <f t="shared" ref="M20:N20" si="17">C20+K20</f>
        <v>35</v>
      </c>
      <c r="N20" s="32">
        <f t="shared" si="17"/>
        <v>2</v>
      </c>
      <c r="O20" s="43" t="s">
        <v>53</v>
      </c>
      <c r="P20" s="43" t="s">
        <v>53</v>
      </c>
      <c r="Q20" s="43" t="s">
        <v>53</v>
      </c>
      <c r="R20" s="39">
        <f>if(G20=13,1,0)+VLOOKUP(B20,'071324'!B:T,17,false)</f>
        <v>0</v>
      </c>
      <c r="S20" s="39"/>
      <c r="T20" s="39">
        <f>if(G20=9,1,0)+VLOOKUP(B20,'071324'!B:T,19,false)</f>
        <v>2</v>
      </c>
    </row>
    <row r="21">
      <c r="A21" s="30">
        <f t="shared" si="3"/>
        <v>17</v>
      </c>
      <c r="B21" s="31" t="s">
        <v>96</v>
      </c>
      <c r="C21" s="32">
        <v>25.0</v>
      </c>
      <c r="D21" s="32">
        <v>4.0</v>
      </c>
      <c r="E21" s="37">
        <v>2.0</v>
      </c>
      <c r="F21" s="39"/>
      <c r="G21" s="40">
        <v>0.0</v>
      </c>
      <c r="H21" s="39">
        <v>1.0</v>
      </c>
      <c r="I21" s="39">
        <v>7.0</v>
      </c>
      <c r="J21" s="39">
        <v>6.0</v>
      </c>
      <c r="K21" s="42">
        <v>14.0</v>
      </c>
      <c r="L21" s="39">
        <v>2.0</v>
      </c>
      <c r="M21" s="32">
        <f t="shared" ref="M21:N21" si="18">C21+K21</f>
        <v>39</v>
      </c>
      <c r="N21" s="32">
        <f t="shared" si="18"/>
        <v>6</v>
      </c>
      <c r="O21" s="43" t="s">
        <v>53</v>
      </c>
      <c r="P21" s="43" t="s">
        <v>53</v>
      </c>
      <c r="Q21" s="43" t="s">
        <v>53</v>
      </c>
      <c r="R21" s="39">
        <f>if(G21=13,1,0)+VLOOKUP(B21,'071324'!B:T,17,false)</f>
        <v>0</v>
      </c>
      <c r="S21" s="39"/>
      <c r="T21" s="39">
        <f>if(G21=9,1,0)+VLOOKUP(B21,'071324'!B:T,19,false)</f>
        <v>0</v>
      </c>
    </row>
    <row r="22">
      <c r="A22" s="30">
        <f t="shared" si="3"/>
        <v>18</v>
      </c>
      <c r="B22" s="31" t="s">
        <v>90</v>
      </c>
      <c r="C22" s="32">
        <v>25.0</v>
      </c>
      <c r="D22" s="32">
        <v>3.0</v>
      </c>
      <c r="E22" s="37">
        <v>2.0</v>
      </c>
      <c r="F22" s="39"/>
      <c r="G22" s="40">
        <v>0.0</v>
      </c>
      <c r="H22" s="39">
        <v>6.0</v>
      </c>
      <c r="I22" s="39">
        <v>6.0</v>
      </c>
      <c r="J22" s="39">
        <v>6.0</v>
      </c>
      <c r="K22" s="42">
        <v>18.0</v>
      </c>
      <c r="L22" s="39">
        <v>2.0</v>
      </c>
      <c r="M22" s="32">
        <f t="shared" ref="M22:N22" si="19">C22+K22</f>
        <v>43</v>
      </c>
      <c r="N22" s="32">
        <f t="shared" si="19"/>
        <v>5</v>
      </c>
      <c r="O22" s="43" t="s">
        <v>53</v>
      </c>
      <c r="P22" s="43" t="s">
        <v>53</v>
      </c>
      <c r="Q22" s="43" t="s">
        <v>53</v>
      </c>
      <c r="R22" s="39">
        <f>if(G22=13,1,0)+VLOOKUP(B22,'071324'!B:T,17,false)</f>
        <v>0</v>
      </c>
      <c r="S22" s="39"/>
      <c r="T22" s="39">
        <f>if(G22=9,1,0)+VLOOKUP(B22,'071324'!B:T,19,false)</f>
        <v>0</v>
      </c>
    </row>
    <row r="23">
      <c r="A23" s="30">
        <f t="shared" si="3"/>
        <v>19</v>
      </c>
      <c r="B23" s="51" t="s">
        <v>87</v>
      </c>
      <c r="C23" s="32">
        <v>25.0</v>
      </c>
      <c r="D23" s="32">
        <v>3.0</v>
      </c>
      <c r="E23" s="37">
        <v>1.0</v>
      </c>
      <c r="F23" s="39"/>
      <c r="G23" s="40">
        <v>0.0</v>
      </c>
      <c r="H23" s="39">
        <v>6.0</v>
      </c>
      <c r="I23" s="39">
        <v>7.0</v>
      </c>
      <c r="J23" s="39">
        <v>3.0</v>
      </c>
      <c r="K23" s="42">
        <v>16.0</v>
      </c>
      <c r="L23" s="39">
        <v>2.0</v>
      </c>
      <c r="M23" s="32">
        <f t="shared" ref="M23:N23" si="20">C23+K23</f>
        <v>41</v>
      </c>
      <c r="N23" s="32">
        <f t="shared" si="20"/>
        <v>5</v>
      </c>
      <c r="O23" s="43" t="s">
        <v>53</v>
      </c>
      <c r="P23" s="43" t="s">
        <v>53</v>
      </c>
      <c r="Q23" s="43" t="s">
        <v>53</v>
      </c>
      <c r="R23" s="39">
        <f>if(G23=13,1,0)+VLOOKUP(B23,'071324'!B:T,17,false)</f>
        <v>0</v>
      </c>
      <c r="S23" s="39"/>
      <c r="T23" s="39">
        <f>if(G23=9,1,0)+VLOOKUP(B23,'071324'!B:T,19,false)</f>
        <v>0</v>
      </c>
    </row>
    <row r="24">
      <c r="A24" s="30">
        <f t="shared" si="3"/>
        <v>20</v>
      </c>
      <c r="B24" s="31" t="s">
        <v>89</v>
      </c>
      <c r="C24" s="32">
        <v>25.0</v>
      </c>
      <c r="D24" s="32">
        <v>2.0</v>
      </c>
      <c r="E24" s="37">
        <v>5.0</v>
      </c>
      <c r="F24" s="39">
        <v>0.0</v>
      </c>
      <c r="G24" s="40">
        <v>13.0</v>
      </c>
      <c r="H24" s="39">
        <v>0.0</v>
      </c>
      <c r="I24" s="39">
        <v>0.0</v>
      </c>
      <c r="J24" s="39">
        <v>0.0</v>
      </c>
      <c r="K24" s="42">
        <v>13.0</v>
      </c>
      <c r="L24" s="39">
        <v>0.0</v>
      </c>
      <c r="M24" s="32">
        <f t="shared" ref="M24:N24" si="21">C24+K24</f>
        <v>38</v>
      </c>
      <c r="N24" s="32">
        <f t="shared" si="21"/>
        <v>2</v>
      </c>
      <c r="O24" s="43" t="s">
        <v>53</v>
      </c>
      <c r="P24" s="43" t="s">
        <v>53</v>
      </c>
      <c r="Q24" s="43" t="s">
        <v>53</v>
      </c>
      <c r="R24" s="39">
        <f>if(G24=13,1,0)+VLOOKUP(B24,'071324'!B:T,17,false)</f>
        <v>2</v>
      </c>
      <c r="S24" s="39"/>
      <c r="T24" s="39">
        <f>if(G24=9,1,0)+VLOOKUP(B24,'071324'!B:T,19,false)</f>
        <v>0</v>
      </c>
    </row>
    <row r="25">
      <c r="A25" s="30">
        <f t="shared" si="3"/>
        <v>21</v>
      </c>
      <c r="B25" s="51" t="s">
        <v>102</v>
      </c>
      <c r="C25" s="32">
        <v>25.0</v>
      </c>
      <c r="D25" s="32">
        <v>1.0</v>
      </c>
      <c r="E25" s="37">
        <v>3.0</v>
      </c>
      <c r="F25" s="39">
        <v>0.0</v>
      </c>
      <c r="G25" s="40">
        <v>9.0</v>
      </c>
      <c r="H25" s="39">
        <v>0.0</v>
      </c>
      <c r="I25" s="39">
        <v>0.0</v>
      </c>
      <c r="J25" s="39">
        <v>0.0</v>
      </c>
      <c r="K25" s="42">
        <v>9.0</v>
      </c>
      <c r="L25" s="39">
        <v>0.0</v>
      </c>
      <c r="M25" s="32">
        <f t="shared" ref="M25:N25" si="22">C25+K25</f>
        <v>34</v>
      </c>
      <c r="N25" s="32">
        <f t="shared" si="22"/>
        <v>1</v>
      </c>
      <c r="O25" s="43" t="s">
        <v>53</v>
      </c>
      <c r="P25" s="43" t="s">
        <v>53</v>
      </c>
      <c r="Q25" s="43" t="s">
        <v>53</v>
      </c>
      <c r="R25" s="39">
        <f>if(G25=13,1,0)+VLOOKUP(B25,'071324'!B:T,17,false)</f>
        <v>1</v>
      </c>
      <c r="S25" s="39"/>
      <c r="T25" s="39">
        <f>if(G25=9,1,0)+VLOOKUP(B25,'071324'!B:T,19,false)</f>
        <v>1</v>
      </c>
    </row>
    <row r="26">
      <c r="A26" s="30">
        <f t="shared" si="3"/>
        <v>22</v>
      </c>
      <c r="B26" s="51" t="s">
        <v>104</v>
      </c>
      <c r="C26" s="32">
        <v>24.0</v>
      </c>
      <c r="D26" s="32">
        <v>3.0</v>
      </c>
      <c r="E26" s="37">
        <v>1.0</v>
      </c>
      <c r="F26" s="39"/>
      <c r="G26" s="40">
        <v>0.0</v>
      </c>
      <c r="H26" s="39">
        <v>6.0</v>
      </c>
      <c r="I26" s="39">
        <v>4.0</v>
      </c>
      <c r="J26" s="39">
        <v>2.0</v>
      </c>
      <c r="K26" s="42">
        <v>12.0</v>
      </c>
      <c r="L26" s="39">
        <v>1.0</v>
      </c>
      <c r="M26" s="32">
        <f t="shared" ref="M26:N26" si="23">C26+K26</f>
        <v>36</v>
      </c>
      <c r="N26" s="32">
        <f t="shared" si="23"/>
        <v>4</v>
      </c>
      <c r="O26" s="43" t="s">
        <v>53</v>
      </c>
      <c r="P26" s="43" t="s">
        <v>53</v>
      </c>
      <c r="Q26" s="43" t="s">
        <v>53</v>
      </c>
      <c r="R26" s="39">
        <f>if(G26=13,1,0)+VLOOKUP(B26,'071324'!B:T,17,false)</f>
        <v>0</v>
      </c>
      <c r="S26" s="39"/>
      <c r="T26" s="39">
        <f>if(G26=9,1,0)+VLOOKUP(B26,'071324'!B:T,19,false)</f>
        <v>0</v>
      </c>
    </row>
    <row r="27">
      <c r="A27" s="30">
        <f t="shared" si="3"/>
        <v>23</v>
      </c>
      <c r="B27" s="56" t="s">
        <v>122</v>
      </c>
      <c r="C27" s="32">
        <v>24.0</v>
      </c>
      <c r="D27" s="32">
        <v>1.0</v>
      </c>
      <c r="E27" s="37">
        <v>2.0</v>
      </c>
      <c r="F27" s="39"/>
      <c r="G27" s="40">
        <v>0.0</v>
      </c>
      <c r="H27" s="39">
        <v>2.0</v>
      </c>
      <c r="I27" s="39">
        <v>4.0</v>
      </c>
      <c r="J27" s="39">
        <v>6.0</v>
      </c>
      <c r="K27" s="42">
        <v>12.0</v>
      </c>
      <c r="L27" s="39">
        <v>1.0</v>
      </c>
      <c r="M27" s="32">
        <f t="shared" ref="M27:N27" si="24">C27+K27</f>
        <v>36</v>
      </c>
      <c r="N27" s="32">
        <f t="shared" si="24"/>
        <v>2</v>
      </c>
      <c r="O27" s="43" t="s">
        <v>53</v>
      </c>
      <c r="P27" s="43" t="s">
        <v>53</v>
      </c>
      <c r="Q27" s="43" t="s">
        <v>53</v>
      </c>
      <c r="R27" s="39">
        <f>if(G27=13,1,0)+VLOOKUP(B27,'071324'!B:T,17,false)</f>
        <v>1</v>
      </c>
      <c r="S27" s="39"/>
      <c r="T27" s="39">
        <f>if(G27=9,1,0)+VLOOKUP(B27,'071324'!B:T,19,false)</f>
        <v>0</v>
      </c>
    </row>
    <row r="28">
      <c r="A28" s="30">
        <f t="shared" si="3"/>
        <v>24</v>
      </c>
      <c r="B28" s="51" t="s">
        <v>92</v>
      </c>
      <c r="C28" s="32">
        <v>24.0</v>
      </c>
      <c r="D28" s="32">
        <v>1.0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5">C28+K28</f>
        <v>33</v>
      </c>
      <c r="N28" s="32">
        <f t="shared" si="25"/>
        <v>1</v>
      </c>
      <c r="O28" s="43" t="s">
        <v>53</v>
      </c>
      <c r="P28" s="43" t="s">
        <v>53</v>
      </c>
      <c r="Q28" s="43" t="s">
        <v>53</v>
      </c>
      <c r="R28" s="39">
        <f>if(G28=13,1,0)+VLOOKUP(B28,'071324'!B:T,17,false)</f>
        <v>1</v>
      </c>
      <c r="S28" s="39"/>
      <c r="T28" s="39">
        <f>if(G28=9,1,0)+VLOOKUP(B28,'071324'!B:T,19,false)</f>
        <v>1</v>
      </c>
    </row>
    <row r="29">
      <c r="A29" s="30">
        <f t="shared" si="3"/>
        <v>25</v>
      </c>
      <c r="B29" s="31" t="s">
        <v>68</v>
      </c>
      <c r="C29" s="32">
        <v>24.0</v>
      </c>
      <c r="D29" s="32">
        <v>1.0</v>
      </c>
      <c r="E29" s="37">
        <v>1.0</v>
      </c>
      <c r="F29" s="39"/>
      <c r="G29" s="40">
        <v>0.0</v>
      </c>
      <c r="H29" s="39">
        <v>2.0</v>
      </c>
      <c r="I29" s="39">
        <v>6.0</v>
      </c>
      <c r="J29" s="39">
        <v>2.0</v>
      </c>
      <c r="K29" s="42">
        <v>10.0</v>
      </c>
      <c r="L29" s="39">
        <v>1.0</v>
      </c>
      <c r="M29" s="32">
        <f t="shared" ref="M29:N29" si="26">C29+K29</f>
        <v>34</v>
      </c>
      <c r="N29" s="32">
        <f t="shared" si="26"/>
        <v>2</v>
      </c>
      <c r="O29" s="43" t="s">
        <v>53</v>
      </c>
      <c r="P29" s="43" t="s">
        <v>53</v>
      </c>
      <c r="Q29" s="43" t="s">
        <v>53</v>
      </c>
      <c r="R29" s="39">
        <f>if(G29=13,1,0)+VLOOKUP(B29,'071324'!B:T,17,false)</f>
        <v>0</v>
      </c>
      <c r="S29" s="39"/>
      <c r="T29" s="39">
        <f>if(G29=9,1,0)+VLOOKUP(B29,'071324'!B:T,19,false)</f>
        <v>1</v>
      </c>
    </row>
    <row r="30">
      <c r="A30" s="30">
        <f t="shared" si="3"/>
        <v>26</v>
      </c>
      <c r="B30" s="31" t="s">
        <v>34</v>
      </c>
      <c r="C30" s="32">
        <v>23.0</v>
      </c>
      <c r="D30" s="32">
        <v>2.0</v>
      </c>
      <c r="E30" s="37">
        <v>1.0</v>
      </c>
      <c r="F30" s="39"/>
      <c r="G30" s="40">
        <v>0.0</v>
      </c>
      <c r="H30" s="39">
        <v>6.0</v>
      </c>
      <c r="I30" s="39">
        <v>6.0</v>
      </c>
      <c r="J30" s="39">
        <v>6.0</v>
      </c>
      <c r="K30" s="42">
        <v>18.0</v>
      </c>
      <c r="L30" s="39">
        <v>3.0</v>
      </c>
      <c r="M30" s="32">
        <f t="shared" ref="M30:N30" si="27">C30+K30</f>
        <v>41</v>
      </c>
      <c r="N30" s="32">
        <f t="shared" si="27"/>
        <v>5</v>
      </c>
      <c r="O30" s="43" t="s">
        <v>53</v>
      </c>
      <c r="P30" s="43" t="s">
        <v>53</v>
      </c>
      <c r="Q30" s="43" t="s">
        <v>53</v>
      </c>
      <c r="R30" s="39">
        <f>if(G30=13,1,0)+VLOOKUP(B30,'071324'!B:T,17,false)</f>
        <v>0</v>
      </c>
      <c r="S30" s="39"/>
      <c r="T30" s="39">
        <f>if(G30=9,1,0)+VLOOKUP(B30,'071324'!B:T,19,false)</f>
        <v>1</v>
      </c>
    </row>
    <row r="31">
      <c r="A31" s="30">
        <f t="shared" si="3"/>
        <v>27</v>
      </c>
      <c r="B31" s="51" t="s">
        <v>94</v>
      </c>
      <c r="C31" s="32">
        <v>23.0</v>
      </c>
      <c r="D31" s="32">
        <v>2.0</v>
      </c>
      <c r="E31" s="37">
        <v>1.0</v>
      </c>
      <c r="F31" s="39"/>
      <c r="G31" s="40">
        <v>0.0</v>
      </c>
      <c r="H31" s="39">
        <v>4.0</v>
      </c>
      <c r="I31" s="39">
        <v>6.0</v>
      </c>
      <c r="J31" s="39">
        <v>6.0</v>
      </c>
      <c r="K31" s="42">
        <v>16.0</v>
      </c>
      <c r="L31" s="39">
        <v>2.0</v>
      </c>
      <c r="M31" s="32">
        <f t="shared" ref="M31:N31" si="28">C31+K31</f>
        <v>39</v>
      </c>
      <c r="N31" s="32">
        <f t="shared" si="28"/>
        <v>4</v>
      </c>
      <c r="O31" s="43" t="s">
        <v>53</v>
      </c>
      <c r="P31" s="43" t="s">
        <v>53</v>
      </c>
      <c r="Q31" s="43" t="s">
        <v>53</v>
      </c>
      <c r="R31" s="39">
        <f>if(G31=13,1,0)+VLOOKUP(B31,'071324'!B:T,17,false)</f>
        <v>0</v>
      </c>
      <c r="S31" s="39"/>
      <c r="T31" s="39">
        <f>if(G31=9,1,0)+VLOOKUP(B31,'071324'!B:T,19,false)</f>
        <v>1</v>
      </c>
    </row>
    <row r="32">
      <c r="A32" s="30">
        <f t="shared" si="3"/>
        <v>28</v>
      </c>
      <c r="B32" s="31" t="s">
        <v>105</v>
      </c>
      <c r="C32" s="32">
        <v>23.0</v>
      </c>
      <c r="D32" s="32">
        <v>2.0</v>
      </c>
      <c r="E32" s="37">
        <v>1.0</v>
      </c>
      <c r="F32" s="39"/>
      <c r="G32" s="40">
        <v>0.0</v>
      </c>
      <c r="H32" s="39">
        <v>6.0</v>
      </c>
      <c r="I32" s="39">
        <v>6.0</v>
      </c>
      <c r="J32" s="39">
        <v>3.0</v>
      </c>
      <c r="K32" s="42">
        <v>15.0</v>
      </c>
      <c r="L32" s="39">
        <v>2.0</v>
      </c>
      <c r="M32" s="32">
        <f t="shared" ref="M32:N32" si="29">C32+K32</f>
        <v>38</v>
      </c>
      <c r="N32" s="32">
        <f t="shared" si="29"/>
        <v>4</v>
      </c>
      <c r="O32" s="43" t="s">
        <v>53</v>
      </c>
      <c r="P32" s="43" t="s">
        <v>53</v>
      </c>
      <c r="Q32" s="43" t="s">
        <v>53</v>
      </c>
      <c r="R32" s="39">
        <f>if(G32=13,1,0)+VLOOKUP(B32,'071324'!B:T,17,false)</f>
        <v>0</v>
      </c>
      <c r="S32" s="39"/>
      <c r="T32" s="39">
        <f>if(G32=9,1,0)+VLOOKUP(B32,'071324'!B:T,19,false)</f>
        <v>1</v>
      </c>
    </row>
    <row r="33">
      <c r="A33" s="30">
        <f t="shared" si="3"/>
        <v>29</v>
      </c>
      <c r="B33" s="56" t="s">
        <v>101</v>
      </c>
      <c r="C33" s="32">
        <v>23.0</v>
      </c>
      <c r="D33" s="32">
        <v>1.0</v>
      </c>
      <c r="E33" s="37">
        <v>1.0</v>
      </c>
      <c r="F33" s="39"/>
      <c r="G33" s="40">
        <v>0.0</v>
      </c>
      <c r="H33" s="39">
        <v>4.0</v>
      </c>
      <c r="I33" s="39">
        <v>2.0</v>
      </c>
      <c r="J33" s="39">
        <v>3.0</v>
      </c>
      <c r="K33" s="42">
        <v>9.0</v>
      </c>
      <c r="L33" s="39">
        <v>0.0</v>
      </c>
      <c r="M33" s="32">
        <f t="shared" ref="M33:N33" si="30">C33+K33</f>
        <v>32</v>
      </c>
      <c r="N33" s="32">
        <f t="shared" si="30"/>
        <v>1</v>
      </c>
      <c r="O33" s="43" t="s">
        <v>53</v>
      </c>
      <c r="P33" s="43" t="s">
        <v>53</v>
      </c>
      <c r="Q33" s="43" t="s">
        <v>53</v>
      </c>
      <c r="R33" s="39">
        <f>if(G33=13,1,0)+VLOOKUP(B33,'071324'!B:T,17,false)</f>
        <v>0</v>
      </c>
      <c r="S33" s="39"/>
      <c r="T33" s="39">
        <f>if(G33=9,1,0)+VLOOKUP(B33,'071324'!B:T,19,false)</f>
        <v>1</v>
      </c>
    </row>
    <row r="34">
      <c r="A34" s="30">
        <f t="shared" si="3"/>
        <v>30</v>
      </c>
      <c r="B34" s="51" t="s">
        <v>95</v>
      </c>
      <c r="C34" s="32">
        <v>23.0</v>
      </c>
      <c r="D34" s="32">
        <v>1.0</v>
      </c>
      <c r="E34" s="37">
        <v>3.0</v>
      </c>
      <c r="F34" s="39">
        <v>0.0</v>
      </c>
      <c r="G34" s="40">
        <v>9.0</v>
      </c>
      <c r="H34" s="39">
        <v>0.0</v>
      </c>
      <c r="I34" s="39">
        <v>0.0</v>
      </c>
      <c r="J34" s="39">
        <v>0.0</v>
      </c>
      <c r="K34" s="42">
        <v>9.0</v>
      </c>
      <c r="L34" s="39">
        <v>0.0</v>
      </c>
      <c r="M34" s="32">
        <f t="shared" ref="M34:N34" si="31">C34+K34</f>
        <v>32</v>
      </c>
      <c r="N34" s="32">
        <f t="shared" si="31"/>
        <v>1</v>
      </c>
      <c r="O34" s="43" t="s">
        <v>53</v>
      </c>
      <c r="P34" s="43" t="s">
        <v>53</v>
      </c>
      <c r="Q34" s="43" t="s">
        <v>53</v>
      </c>
      <c r="R34" s="39">
        <f>if(G34=13,1,0)+VLOOKUP(B34,'071324'!B:T,17,false)</f>
        <v>0</v>
      </c>
      <c r="S34" s="39"/>
      <c r="T34" s="39">
        <f>if(G34=9,1,0)+VLOOKUP(B34,'071324'!B:T,19,false)</f>
        <v>2</v>
      </c>
    </row>
    <row r="35">
      <c r="A35" s="30">
        <f t="shared" si="3"/>
        <v>31</v>
      </c>
      <c r="B35" s="31" t="s">
        <v>91</v>
      </c>
      <c r="C35" s="32">
        <v>23.0</v>
      </c>
      <c r="D35" s="32">
        <v>1.0</v>
      </c>
      <c r="E35" s="37">
        <v>2.0</v>
      </c>
      <c r="F35" s="39"/>
      <c r="G35" s="40">
        <v>0.0</v>
      </c>
      <c r="H35" s="39">
        <v>6.0</v>
      </c>
      <c r="I35" s="39">
        <v>2.0</v>
      </c>
      <c r="J35" s="39">
        <v>6.0</v>
      </c>
      <c r="K35" s="42">
        <v>14.0</v>
      </c>
      <c r="L35" s="39">
        <v>2.0</v>
      </c>
      <c r="M35" s="32">
        <f t="shared" ref="M35:N35" si="32">C35+K35</f>
        <v>37</v>
      </c>
      <c r="N35" s="32">
        <f t="shared" si="32"/>
        <v>3</v>
      </c>
      <c r="O35" s="43" t="s">
        <v>53</v>
      </c>
      <c r="P35" s="43" t="s">
        <v>53</v>
      </c>
      <c r="Q35" s="43" t="s">
        <v>53</v>
      </c>
      <c r="R35" s="39">
        <f>if(G35=13,1,0)+VLOOKUP(B35,'071324'!B:T,17,false)</f>
        <v>0</v>
      </c>
      <c r="S35" s="39"/>
      <c r="T35" s="39">
        <f>if(G35=9,1,0)+VLOOKUP(B35,'071324'!B:T,19,false)</f>
        <v>1</v>
      </c>
    </row>
    <row r="36">
      <c r="A36" s="30">
        <f t="shared" si="3"/>
        <v>32</v>
      </c>
      <c r="B36" s="31" t="s">
        <v>86</v>
      </c>
      <c r="C36" s="32">
        <v>22.0</v>
      </c>
      <c r="D36" s="32">
        <v>3.0</v>
      </c>
      <c r="E36" s="37">
        <v>5.0</v>
      </c>
      <c r="F36" s="39">
        <v>0.0</v>
      </c>
      <c r="G36" s="40">
        <v>13.0</v>
      </c>
      <c r="H36" s="39">
        <v>0.0</v>
      </c>
      <c r="I36" s="39">
        <v>0.0</v>
      </c>
      <c r="J36" s="39">
        <v>0.0</v>
      </c>
      <c r="K36" s="42">
        <v>13.0</v>
      </c>
      <c r="L36" s="39">
        <v>0.0</v>
      </c>
      <c r="M36" s="32">
        <f t="shared" ref="M36:N36" si="33">C36+K36</f>
        <v>35</v>
      </c>
      <c r="N36" s="32">
        <f t="shared" si="33"/>
        <v>3</v>
      </c>
      <c r="O36" s="43" t="s">
        <v>53</v>
      </c>
      <c r="P36" s="43" t="s">
        <v>53</v>
      </c>
      <c r="Q36" s="43" t="s">
        <v>53</v>
      </c>
      <c r="R36" s="39">
        <f>if(G36=13,1,0)+VLOOKUP(B36,'071324'!B:T,17,false)</f>
        <v>1</v>
      </c>
      <c r="S36" s="39"/>
      <c r="T36" s="39">
        <f>if(G36=9,1,0)+VLOOKUP(B36,'071324'!B:T,19,false)</f>
        <v>0</v>
      </c>
    </row>
    <row r="37">
      <c r="A37" s="30">
        <f t="shared" si="3"/>
        <v>33</v>
      </c>
      <c r="B37" s="31" t="s">
        <v>72</v>
      </c>
      <c r="C37" s="32">
        <v>22.0</v>
      </c>
      <c r="D37" s="32">
        <v>0.0</v>
      </c>
      <c r="E37" s="37">
        <v>3.0</v>
      </c>
      <c r="F37" s="39">
        <v>0.0</v>
      </c>
      <c r="G37" s="40">
        <v>9.0</v>
      </c>
      <c r="H37" s="39">
        <v>0.0</v>
      </c>
      <c r="I37" s="39">
        <v>0.0</v>
      </c>
      <c r="J37" s="39">
        <v>0.0</v>
      </c>
      <c r="K37" s="42">
        <v>9.0</v>
      </c>
      <c r="L37" s="39">
        <v>0.0</v>
      </c>
      <c r="M37" s="32">
        <f t="shared" ref="M37:N37" si="34">C37+K37</f>
        <v>31</v>
      </c>
      <c r="N37" s="32">
        <f t="shared" si="34"/>
        <v>0</v>
      </c>
      <c r="O37" s="43" t="s">
        <v>53</v>
      </c>
      <c r="P37" s="43" t="s">
        <v>53</v>
      </c>
      <c r="Q37" s="43" t="s">
        <v>53</v>
      </c>
      <c r="R37" s="39">
        <f>if(G37=13,1,0)+VLOOKUP(B37,'071324'!B:T,17,false)</f>
        <v>1</v>
      </c>
      <c r="S37" s="39"/>
      <c r="T37" s="39">
        <f>if(G37=9,1,0)+VLOOKUP(B37,'071324'!B:T,19,false)</f>
        <v>2</v>
      </c>
    </row>
    <row r="38">
      <c r="A38" s="30">
        <f t="shared" si="3"/>
        <v>34</v>
      </c>
      <c r="B38" s="31" t="s">
        <v>73</v>
      </c>
      <c r="C38" s="32">
        <v>22.0</v>
      </c>
      <c r="D38" s="32">
        <v>0.0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5">C38+K38</f>
        <v>31</v>
      </c>
      <c r="N38" s="32">
        <f t="shared" si="35"/>
        <v>0</v>
      </c>
      <c r="O38" s="43" t="s">
        <v>53</v>
      </c>
      <c r="P38" s="43" t="s">
        <v>53</v>
      </c>
      <c r="Q38" s="43" t="s">
        <v>53</v>
      </c>
      <c r="R38" s="39">
        <f>if(G38=13,1,0)+VLOOKUP(B38,'071324'!B:T,17,false)</f>
        <v>1</v>
      </c>
      <c r="S38" s="39"/>
      <c r="T38" s="39">
        <f>if(G38=9,1,0)+VLOOKUP(B38,'071324'!B:T,19,false)</f>
        <v>2</v>
      </c>
    </row>
    <row r="39">
      <c r="A39" s="30">
        <f t="shared" si="3"/>
        <v>35</v>
      </c>
      <c r="B39" s="51" t="s">
        <v>75</v>
      </c>
      <c r="C39" s="32">
        <v>22.0</v>
      </c>
      <c r="D39" s="32">
        <v>0.0</v>
      </c>
      <c r="E39" s="37">
        <v>3.0</v>
      </c>
      <c r="F39" s="39">
        <v>0.0</v>
      </c>
      <c r="G39" s="40">
        <v>9.0</v>
      </c>
      <c r="H39" s="39">
        <v>0.0</v>
      </c>
      <c r="I39" s="39">
        <v>0.0</v>
      </c>
      <c r="J39" s="39">
        <v>0.0</v>
      </c>
      <c r="K39" s="42">
        <v>9.0</v>
      </c>
      <c r="L39" s="39">
        <v>0.0</v>
      </c>
      <c r="M39" s="32">
        <f t="shared" ref="M39:N39" si="36">C39+K39</f>
        <v>31</v>
      </c>
      <c r="N39" s="32">
        <f t="shared" si="36"/>
        <v>0</v>
      </c>
      <c r="O39" s="43" t="s">
        <v>53</v>
      </c>
      <c r="P39" s="43" t="s">
        <v>53</v>
      </c>
      <c r="Q39" s="43" t="s">
        <v>53</v>
      </c>
      <c r="R39" s="39">
        <f>if(G39=13,1,0)+VLOOKUP(B39,'071324'!B:T,17,false)</f>
        <v>1</v>
      </c>
      <c r="S39" s="39"/>
      <c r="T39" s="39">
        <f>if(G39=9,1,0)+VLOOKUP(B39,'071324'!B:T,19,false)</f>
        <v>2</v>
      </c>
    </row>
    <row r="40">
      <c r="A40" s="30">
        <f t="shared" si="3"/>
        <v>36</v>
      </c>
      <c r="B40" s="31" t="s">
        <v>57</v>
      </c>
      <c r="C40" s="32">
        <v>22.0</v>
      </c>
      <c r="D40" s="32">
        <v>0.0</v>
      </c>
      <c r="E40" s="37">
        <v>3.0</v>
      </c>
      <c r="F40" s="39">
        <v>0.0</v>
      </c>
      <c r="G40" s="40">
        <v>9.0</v>
      </c>
      <c r="H40" s="39">
        <v>0.0</v>
      </c>
      <c r="I40" s="39">
        <v>0.0</v>
      </c>
      <c r="J40" s="39">
        <v>0.0</v>
      </c>
      <c r="K40" s="42">
        <v>9.0</v>
      </c>
      <c r="L40" s="39">
        <v>0.0</v>
      </c>
      <c r="M40" s="32">
        <f t="shared" ref="M40:N40" si="37">C40+K40</f>
        <v>31</v>
      </c>
      <c r="N40" s="32">
        <f t="shared" si="37"/>
        <v>0</v>
      </c>
      <c r="O40" s="43" t="s">
        <v>53</v>
      </c>
      <c r="P40" s="43" t="s">
        <v>53</v>
      </c>
      <c r="Q40" s="43" t="s">
        <v>53</v>
      </c>
      <c r="R40" s="39">
        <f>if(G40=13,1,0)+VLOOKUP(B40,'071324'!B:T,17,false)</f>
        <v>1</v>
      </c>
      <c r="S40" s="39"/>
      <c r="T40" s="39">
        <f>if(G40=9,1,0)+VLOOKUP(B40,'071324'!B:T,19,false)</f>
        <v>2</v>
      </c>
    </row>
    <row r="41">
      <c r="A41" s="30">
        <f t="shared" si="3"/>
        <v>37</v>
      </c>
      <c r="B41" s="31" t="s">
        <v>66</v>
      </c>
      <c r="C41" s="32">
        <v>22.0</v>
      </c>
      <c r="D41" s="32">
        <v>0.0</v>
      </c>
      <c r="E41" s="37">
        <v>2.0</v>
      </c>
      <c r="F41" s="39"/>
      <c r="G41" s="40">
        <v>0.0</v>
      </c>
      <c r="H41" s="39">
        <v>6.0</v>
      </c>
      <c r="I41" s="39">
        <v>6.0</v>
      </c>
      <c r="J41" s="39">
        <v>7.0</v>
      </c>
      <c r="K41" s="42">
        <v>19.0</v>
      </c>
      <c r="L41" s="39">
        <v>3.0</v>
      </c>
      <c r="M41" s="32">
        <f t="shared" ref="M41:N41" si="38">C41+K41</f>
        <v>41</v>
      </c>
      <c r="N41" s="32">
        <f t="shared" si="38"/>
        <v>3</v>
      </c>
      <c r="O41" s="43" t="s">
        <v>53</v>
      </c>
      <c r="P41" s="43" t="s">
        <v>53</v>
      </c>
      <c r="Q41" s="43" t="s">
        <v>53</v>
      </c>
      <c r="R41" s="39">
        <f>if(G41=13,1,0)+VLOOKUP(B41,'071324'!B:T,17,false)</f>
        <v>1</v>
      </c>
      <c r="S41" s="39"/>
      <c r="T41" s="39">
        <f>if(G41=9,1,0)+VLOOKUP(B41,'071324'!B:T,19,false)</f>
        <v>1</v>
      </c>
    </row>
    <row r="42">
      <c r="A42" s="30">
        <f t="shared" si="3"/>
        <v>38</v>
      </c>
      <c r="B42" s="31" t="s">
        <v>98</v>
      </c>
      <c r="C42" s="32">
        <v>22.0</v>
      </c>
      <c r="D42" s="32">
        <v>0.0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39">C42+K42</f>
        <v>31</v>
      </c>
      <c r="N42" s="32">
        <f t="shared" si="39"/>
        <v>0</v>
      </c>
      <c r="O42" s="43" t="s">
        <v>53</v>
      </c>
      <c r="P42" s="43" t="s">
        <v>53</v>
      </c>
      <c r="Q42" s="43" t="s">
        <v>53</v>
      </c>
      <c r="R42" s="39">
        <f>if(G42=13,1,0)+VLOOKUP(B42,'071324'!B:T,17,false)</f>
        <v>1</v>
      </c>
      <c r="S42" s="39"/>
      <c r="T42" s="39">
        <f>if(G42=9,1,0)+VLOOKUP(B42,'071324'!B:T,19,false)</f>
        <v>2</v>
      </c>
    </row>
    <row r="43">
      <c r="A43" s="30">
        <f t="shared" si="3"/>
        <v>39</v>
      </c>
      <c r="B43" s="51" t="s">
        <v>121</v>
      </c>
      <c r="C43" s="32">
        <v>21.0</v>
      </c>
      <c r="D43" s="32">
        <v>3.0</v>
      </c>
      <c r="E43" s="37">
        <v>1.0</v>
      </c>
      <c r="F43" s="39"/>
      <c r="G43" s="40">
        <v>0.0</v>
      </c>
      <c r="H43" s="39">
        <v>2.0</v>
      </c>
      <c r="I43" s="39">
        <v>2.0</v>
      </c>
      <c r="J43" s="39">
        <v>7.0</v>
      </c>
      <c r="K43" s="42">
        <v>11.0</v>
      </c>
      <c r="L43" s="39">
        <v>1.0</v>
      </c>
      <c r="M43" s="32">
        <f t="shared" ref="M43:N43" si="40">C43+K43</f>
        <v>32</v>
      </c>
      <c r="N43" s="32">
        <f t="shared" si="40"/>
        <v>4</v>
      </c>
      <c r="O43" s="43" t="s">
        <v>53</v>
      </c>
      <c r="P43" s="43" t="s">
        <v>53</v>
      </c>
      <c r="Q43" s="43" t="s">
        <v>53</v>
      </c>
      <c r="R43" s="39">
        <f>if(G43=13,1,0)+VLOOKUP(B43,'071324'!B:T,17,false)</f>
        <v>0</v>
      </c>
      <c r="S43" s="39"/>
      <c r="T43" s="39">
        <f>if(G43=9,1,0)+VLOOKUP(B43,'071324'!B:T,19,false)</f>
        <v>0</v>
      </c>
    </row>
    <row r="44">
      <c r="A44" s="30">
        <f t="shared" si="3"/>
        <v>40</v>
      </c>
      <c r="B44" s="51" t="s">
        <v>111</v>
      </c>
      <c r="C44" s="32">
        <v>21.0</v>
      </c>
      <c r="D44" s="32">
        <v>1.0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1">C44+K44</f>
        <v>30</v>
      </c>
      <c r="N44" s="32">
        <f t="shared" si="41"/>
        <v>1</v>
      </c>
      <c r="O44" s="43" t="s">
        <v>53</v>
      </c>
      <c r="P44" s="43" t="s">
        <v>53</v>
      </c>
      <c r="Q44" s="43" t="s">
        <v>53</v>
      </c>
      <c r="R44" s="39">
        <f>if(G44=13,1,0)+VLOOKUP(B44,'071324'!B:T,17,false)</f>
        <v>0</v>
      </c>
      <c r="S44" s="39"/>
      <c r="T44" s="39">
        <f>if(G44=9,1,0)+VLOOKUP(B44,'071324'!B:T,19,false)</f>
        <v>2</v>
      </c>
    </row>
    <row r="45">
      <c r="A45" s="30">
        <f t="shared" si="3"/>
        <v>41</v>
      </c>
      <c r="B45" s="56" t="s">
        <v>107</v>
      </c>
      <c r="C45" s="32">
        <v>19.0</v>
      </c>
      <c r="D45" s="32">
        <v>1.0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2">C45+K45</f>
        <v>28</v>
      </c>
      <c r="N45" s="32">
        <f t="shared" si="42"/>
        <v>1</v>
      </c>
      <c r="O45" s="43" t="s">
        <v>53</v>
      </c>
      <c r="P45" s="43" t="s">
        <v>53</v>
      </c>
      <c r="Q45" s="43" t="s">
        <v>53</v>
      </c>
      <c r="R45" s="39">
        <f>if(G45=13,1,0)+VLOOKUP(B45,'071324'!B:T,17,false)</f>
        <v>0</v>
      </c>
      <c r="S45" s="39"/>
      <c r="T45" s="39">
        <f>if(G45=9,1,0)+VLOOKUP(B45,'071324'!B:T,19,false)</f>
        <v>2</v>
      </c>
    </row>
    <row r="46">
      <c r="A46" s="30">
        <f t="shared" si="3"/>
        <v>42</v>
      </c>
      <c r="B46" s="78" t="s">
        <v>116</v>
      </c>
      <c r="C46" s="32">
        <v>19.0</v>
      </c>
      <c r="D46" s="32">
        <v>1.0</v>
      </c>
      <c r="E46" s="37">
        <v>1.0</v>
      </c>
      <c r="F46" s="39"/>
      <c r="G46" s="40">
        <v>0.0</v>
      </c>
      <c r="H46" s="39">
        <v>6.0</v>
      </c>
      <c r="I46" s="39">
        <v>2.0</v>
      </c>
      <c r="J46" s="39">
        <v>6.0</v>
      </c>
      <c r="K46" s="42">
        <v>14.0</v>
      </c>
      <c r="L46" s="39">
        <v>1.0</v>
      </c>
      <c r="M46" s="32">
        <f t="shared" ref="M46:N46" si="43">C46+K46</f>
        <v>33</v>
      </c>
      <c r="N46" s="32">
        <f t="shared" si="43"/>
        <v>2</v>
      </c>
      <c r="O46" s="43" t="s">
        <v>53</v>
      </c>
      <c r="P46" s="43" t="s">
        <v>53</v>
      </c>
      <c r="Q46" s="43" t="s">
        <v>53</v>
      </c>
      <c r="R46" s="39">
        <f>if(G46=13,1,0)+VLOOKUP(B46,'071324'!B:T,17,false)</f>
        <v>0</v>
      </c>
      <c r="S46" s="39"/>
      <c r="T46" s="39">
        <f>if(G46=9,1,0)+VLOOKUP(B46,'071324'!B:T,19,false)</f>
        <v>1</v>
      </c>
    </row>
    <row r="47">
      <c r="A47" s="30">
        <f t="shared" si="3"/>
        <v>43</v>
      </c>
      <c r="B47" s="31" t="s">
        <v>79</v>
      </c>
      <c r="C47" s="32">
        <v>19.0</v>
      </c>
      <c r="D47" s="32">
        <v>1.0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4">C47+K47</f>
        <v>28</v>
      </c>
      <c r="N47" s="32">
        <f t="shared" si="44"/>
        <v>1</v>
      </c>
      <c r="O47" s="43" t="s">
        <v>53</v>
      </c>
      <c r="P47" s="43" t="s">
        <v>53</v>
      </c>
      <c r="Q47" s="43" t="s">
        <v>53</v>
      </c>
      <c r="R47" s="39">
        <f>if(G47=13,1,0)+VLOOKUP(B47,'071324'!B:T,17,false)</f>
        <v>0</v>
      </c>
      <c r="S47" s="39"/>
      <c r="T47" s="39">
        <f>if(G47=9,1,0)+VLOOKUP(B47,'071324'!B:T,19,false)</f>
        <v>2</v>
      </c>
    </row>
    <row r="48">
      <c r="A48" s="30">
        <f t="shared" si="3"/>
        <v>44</v>
      </c>
      <c r="B48" s="51" t="s">
        <v>80</v>
      </c>
      <c r="C48" s="32">
        <v>18.0</v>
      </c>
      <c r="D48" s="32">
        <v>2.0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5">C48+K48</f>
        <v>27</v>
      </c>
      <c r="N48" s="32">
        <f t="shared" si="45"/>
        <v>2</v>
      </c>
      <c r="O48" s="43" t="s">
        <v>53</v>
      </c>
      <c r="P48" s="43" t="s">
        <v>53</v>
      </c>
      <c r="Q48" s="43" t="s">
        <v>53</v>
      </c>
      <c r="R48" s="39">
        <f>if(G48=13,1,0)+VLOOKUP(B48,'071324'!B:T,17,false)</f>
        <v>0</v>
      </c>
      <c r="S48" s="39"/>
      <c r="T48" s="39">
        <f>if(G48=9,1,0)+VLOOKUP(B48,'071324'!B:T,19,false)</f>
        <v>1</v>
      </c>
    </row>
    <row r="49">
      <c r="A49" s="30">
        <f t="shared" si="3"/>
        <v>45</v>
      </c>
      <c r="B49" s="56" t="s">
        <v>51</v>
      </c>
      <c r="C49" s="32">
        <v>18.0</v>
      </c>
      <c r="D49" s="32">
        <v>2.0</v>
      </c>
      <c r="E49" s="37">
        <v>5.0</v>
      </c>
      <c r="F49" s="39">
        <v>0.0</v>
      </c>
      <c r="G49" s="40">
        <v>13.0</v>
      </c>
      <c r="H49" s="39">
        <v>0.0</v>
      </c>
      <c r="I49" s="39">
        <v>0.0</v>
      </c>
      <c r="J49" s="39">
        <v>0.0</v>
      </c>
      <c r="K49" s="42">
        <v>13.0</v>
      </c>
      <c r="L49" s="39">
        <v>0.0</v>
      </c>
      <c r="M49" s="32">
        <f t="shared" ref="M49:N49" si="46">C49+K49</f>
        <v>31</v>
      </c>
      <c r="N49" s="32">
        <f t="shared" si="46"/>
        <v>2</v>
      </c>
      <c r="O49" s="43" t="s">
        <v>53</v>
      </c>
      <c r="P49" s="43" t="s">
        <v>53</v>
      </c>
      <c r="Q49" s="43" t="s">
        <v>53</v>
      </c>
      <c r="R49" s="39">
        <f>if(G49=13,1,0)+VLOOKUP(B49,'071324'!B:T,17,false)</f>
        <v>1</v>
      </c>
      <c r="S49" s="39"/>
      <c r="T49" s="39">
        <f>if(G49=9,1,0)+VLOOKUP(B49,'071324'!B:T,19,false)</f>
        <v>0</v>
      </c>
    </row>
    <row r="50">
      <c r="A50" s="30">
        <f t="shared" si="3"/>
        <v>46</v>
      </c>
      <c r="B50" s="31" t="s">
        <v>81</v>
      </c>
      <c r="C50" s="32">
        <v>18.0</v>
      </c>
      <c r="D50" s="32">
        <v>1.0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7">C50+K50</f>
        <v>27</v>
      </c>
      <c r="N50" s="32">
        <f t="shared" si="47"/>
        <v>1</v>
      </c>
      <c r="O50" s="43" t="s">
        <v>53</v>
      </c>
      <c r="P50" s="43" t="s">
        <v>53</v>
      </c>
      <c r="Q50" s="43" t="s">
        <v>53</v>
      </c>
      <c r="R50" s="39">
        <f>if(G50=13,1,0)+VLOOKUP(B50,'071324'!B:T,17,false)</f>
        <v>0</v>
      </c>
      <c r="S50" s="39"/>
      <c r="T50" s="39">
        <f>if(G50=9,1,0)+VLOOKUP(B50,'071324'!B:T,19,false)</f>
        <v>2</v>
      </c>
    </row>
    <row r="51">
      <c r="A51" s="30">
        <f t="shared" si="3"/>
        <v>47</v>
      </c>
      <c r="B51" s="31" t="s">
        <v>124</v>
      </c>
      <c r="C51" s="32">
        <v>18.0</v>
      </c>
      <c r="D51" s="32">
        <v>0.0</v>
      </c>
      <c r="E51" s="37">
        <v>3.0</v>
      </c>
      <c r="F51" s="39">
        <v>0.0</v>
      </c>
      <c r="G51" s="40">
        <v>9.0</v>
      </c>
      <c r="H51" s="39">
        <v>0.0</v>
      </c>
      <c r="I51" s="39">
        <v>0.0</v>
      </c>
      <c r="J51" s="39">
        <v>0.0</v>
      </c>
      <c r="K51" s="42">
        <v>9.0</v>
      </c>
      <c r="L51" s="39">
        <v>0.0</v>
      </c>
      <c r="M51" s="32">
        <f t="shared" ref="M51:N51" si="48">C51+K51</f>
        <v>27</v>
      </c>
      <c r="N51" s="32">
        <f t="shared" si="48"/>
        <v>0</v>
      </c>
      <c r="O51" s="43" t="s">
        <v>53</v>
      </c>
      <c r="P51" s="43" t="s">
        <v>53</v>
      </c>
      <c r="Q51" s="43" t="s">
        <v>53</v>
      </c>
      <c r="R51" s="39">
        <f>if(G51=13,1,0)+VLOOKUP(B51,'071324'!B:T,17,false)</f>
        <v>0</v>
      </c>
      <c r="S51" s="39"/>
      <c r="T51" s="39">
        <f>if(G51=9,1,0)+VLOOKUP(B51,'071324'!B:T,19,false)</f>
        <v>3</v>
      </c>
    </row>
    <row r="52">
      <c r="A52" s="30">
        <f t="shared" si="3"/>
        <v>48</v>
      </c>
      <c r="B52" s="31" t="s">
        <v>126</v>
      </c>
      <c r="C52" s="32">
        <v>18.0</v>
      </c>
      <c r="D52" s="32">
        <v>0.0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49">C52+K52</f>
        <v>27</v>
      </c>
      <c r="N52" s="32">
        <f t="shared" si="49"/>
        <v>0</v>
      </c>
      <c r="O52" s="43" t="s">
        <v>53</v>
      </c>
      <c r="P52" s="43" t="s">
        <v>53</v>
      </c>
      <c r="Q52" s="43" t="s">
        <v>53</v>
      </c>
      <c r="R52" s="39">
        <f>if(G52=13,1,0)+VLOOKUP(B52,'071324'!B:T,17,false)</f>
        <v>0</v>
      </c>
      <c r="S52" s="39"/>
      <c r="T52" s="39">
        <f>if(G52=9,1,0)+VLOOKUP(B52,'071324'!B:T,19,false)</f>
        <v>2</v>
      </c>
    </row>
    <row r="53">
      <c r="A53" s="30">
        <f t="shared" si="3"/>
        <v>49</v>
      </c>
      <c r="B53" s="31" t="s">
        <v>46</v>
      </c>
      <c r="C53" s="32">
        <v>18.0</v>
      </c>
      <c r="D53" s="32">
        <v>0.0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0">C53+K53</f>
        <v>27</v>
      </c>
      <c r="N53" s="32">
        <f t="shared" si="50"/>
        <v>0</v>
      </c>
      <c r="O53" s="43" t="s">
        <v>53</v>
      </c>
      <c r="P53" s="43" t="s">
        <v>53</v>
      </c>
      <c r="Q53" s="43" t="s">
        <v>53</v>
      </c>
      <c r="R53" s="39">
        <f>if(G53=13,1,0)+VLOOKUP(B53,'071324'!B:T,17,false)</f>
        <v>0</v>
      </c>
      <c r="S53" s="39"/>
      <c r="T53" s="39">
        <f>if(G53=9,1,0)+VLOOKUP(B53,'071324'!B:T,19,false)</f>
        <v>3</v>
      </c>
    </row>
    <row r="54">
      <c r="A54" s="30">
        <f t="shared" si="3"/>
        <v>50</v>
      </c>
      <c r="B54" s="31" t="s">
        <v>117</v>
      </c>
      <c r="C54" s="32">
        <v>18.0</v>
      </c>
      <c r="D54" s="32">
        <v>0.0</v>
      </c>
      <c r="E54" s="37">
        <v>3.0</v>
      </c>
      <c r="F54" s="39">
        <v>0.0</v>
      </c>
      <c r="G54" s="40">
        <v>9.0</v>
      </c>
      <c r="H54" s="39">
        <v>0.0</v>
      </c>
      <c r="I54" s="39">
        <v>0.0</v>
      </c>
      <c r="J54" s="39">
        <v>0.0</v>
      </c>
      <c r="K54" s="42">
        <v>9.0</v>
      </c>
      <c r="L54" s="39">
        <v>0.0</v>
      </c>
      <c r="M54" s="32">
        <f t="shared" ref="M54:N54" si="51">C54+K54</f>
        <v>27</v>
      </c>
      <c r="N54" s="32">
        <f t="shared" si="51"/>
        <v>0</v>
      </c>
      <c r="O54" s="43" t="s">
        <v>53</v>
      </c>
      <c r="P54" s="43" t="s">
        <v>53</v>
      </c>
      <c r="Q54" s="43" t="s">
        <v>53</v>
      </c>
      <c r="R54" s="39">
        <f>if(G54=13,1,0)+VLOOKUP(B54,'071324'!B:T,17,false)</f>
        <v>0</v>
      </c>
      <c r="S54" s="39"/>
      <c r="T54" s="39">
        <f>if(G54=9,1,0)+VLOOKUP(B54,'071324'!B:T,19,false)</f>
        <v>3</v>
      </c>
    </row>
    <row r="55">
      <c r="A55" s="30">
        <f t="shared" si="3"/>
        <v>51</v>
      </c>
      <c r="B55" s="31" t="s">
        <v>109</v>
      </c>
      <c r="C55" s="32">
        <v>18.0</v>
      </c>
      <c r="D55" s="32">
        <v>0.0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2">C55+K55</f>
        <v>27</v>
      </c>
      <c r="N55" s="32">
        <f t="shared" si="52"/>
        <v>0</v>
      </c>
      <c r="O55" s="43" t="s">
        <v>53</v>
      </c>
      <c r="P55" s="43" t="s">
        <v>53</v>
      </c>
      <c r="Q55" s="43" t="s">
        <v>53</v>
      </c>
      <c r="R55" s="39">
        <f>if(G55=13,1,0)+VLOOKUP(B55,'071324'!B:T,17,false)</f>
        <v>0</v>
      </c>
      <c r="S55" s="39"/>
      <c r="T55" s="39">
        <f>if(G55=9,1,0)+VLOOKUP(B55,'071324'!B:T,19,false)</f>
        <v>3</v>
      </c>
    </row>
    <row r="56">
      <c r="A56" s="30">
        <f t="shared" si="3"/>
        <v>52</v>
      </c>
      <c r="B56" s="31" t="s">
        <v>106</v>
      </c>
      <c r="C56" s="32">
        <v>18.0</v>
      </c>
      <c r="D56" s="32">
        <v>0.0</v>
      </c>
      <c r="E56" s="37">
        <v>3.0</v>
      </c>
      <c r="F56" s="39">
        <v>0.0</v>
      </c>
      <c r="G56" s="40">
        <v>9.0</v>
      </c>
      <c r="H56" s="39">
        <v>0.0</v>
      </c>
      <c r="I56" s="39">
        <v>0.0</v>
      </c>
      <c r="J56" s="39">
        <v>0.0</v>
      </c>
      <c r="K56" s="42">
        <v>9.0</v>
      </c>
      <c r="L56" s="39">
        <v>0.0</v>
      </c>
      <c r="M56" s="32">
        <f t="shared" ref="M56:N56" si="53">C56+K56</f>
        <v>27</v>
      </c>
      <c r="N56" s="32">
        <f t="shared" si="53"/>
        <v>0</v>
      </c>
      <c r="O56" s="43" t="s">
        <v>53</v>
      </c>
      <c r="P56" s="43" t="s">
        <v>53</v>
      </c>
      <c r="Q56" s="43" t="s">
        <v>53</v>
      </c>
      <c r="R56" s="39">
        <f>if(G56=13,1,0)+VLOOKUP(B56,'071324'!B:T,17,false)</f>
        <v>0</v>
      </c>
      <c r="S56" s="39"/>
      <c r="T56" s="39">
        <f>if(G56=9,1,0)+VLOOKUP(B56,'071324'!B:T,19,false)</f>
        <v>3</v>
      </c>
    </row>
    <row r="57">
      <c r="A57" s="30">
        <f t="shared" si="3"/>
        <v>53</v>
      </c>
      <c r="B57" s="31" t="s">
        <v>123</v>
      </c>
      <c r="C57" s="32">
        <v>18.0</v>
      </c>
      <c r="D57" s="32">
        <v>0.0</v>
      </c>
      <c r="E57" s="37">
        <v>3.0</v>
      </c>
      <c r="F57" s="39">
        <v>0.0</v>
      </c>
      <c r="G57" s="40">
        <v>9.0</v>
      </c>
      <c r="H57" s="39">
        <v>0.0</v>
      </c>
      <c r="I57" s="39">
        <v>0.0</v>
      </c>
      <c r="J57" s="39">
        <v>0.0</v>
      </c>
      <c r="K57" s="42">
        <v>9.0</v>
      </c>
      <c r="L57" s="39">
        <v>0.0</v>
      </c>
      <c r="M57" s="32">
        <f t="shared" ref="M57:N57" si="54">C57+K57</f>
        <v>27</v>
      </c>
      <c r="N57" s="32">
        <f t="shared" si="54"/>
        <v>0</v>
      </c>
      <c r="O57" s="43" t="s">
        <v>53</v>
      </c>
      <c r="P57" s="43" t="s">
        <v>53</v>
      </c>
      <c r="Q57" s="43" t="s">
        <v>53</v>
      </c>
      <c r="R57" s="39">
        <f>if(G57=13,1,0)+VLOOKUP(B57,'071324'!B:T,17,false)</f>
        <v>0</v>
      </c>
      <c r="S57" s="39"/>
      <c r="T57" s="39">
        <f>if(G57=9,1,0)+VLOOKUP(B57,'071324'!B:T,19,false)</f>
        <v>3</v>
      </c>
    </row>
    <row r="58">
      <c r="A58" s="30">
        <f t="shared" si="3"/>
        <v>54</v>
      </c>
      <c r="B58" s="51" t="s">
        <v>85</v>
      </c>
      <c r="C58" s="32">
        <v>18.0</v>
      </c>
      <c r="D58" s="32">
        <v>0.0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5">C58+K58</f>
        <v>27</v>
      </c>
      <c r="N58" s="32">
        <f t="shared" si="55"/>
        <v>0</v>
      </c>
      <c r="O58" s="43" t="s">
        <v>53</v>
      </c>
      <c r="P58" s="43" t="s">
        <v>53</v>
      </c>
      <c r="Q58" s="43" t="s">
        <v>53</v>
      </c>
      <c r="R58" s="39">
        <f>if(G58=13,1,0)+VLOOKUP(B58,'071324'!B:T,17,false)</f>
        <v>0</v>
      </c>
      <c r="S58" s="39"/>
      <c r="T58" s="39">
        <f>if(G58=9,1,0)+VLOOKUP(B58,'071324'!B:T,19,false)</f>
        <v>3</v>
      </c>
    </row>
    <row r="59">
      <c r="A59" s="30">
        <f t="shared" si="3"/>
        <v>55</v>
      </c>
      <c r="B59" s="51" t="s">
        <v>108</v>
      </c>
      <c r="C59" s="32">
        <v>18.0</v>
      </c>
      <c r="D59" s="32">
        <v>0.0</v>
      </c>
      <c r="E59" s="37">
        <v>1.0</v>
      </c>
      <c r="F59" s="39"/>
      <c r="G59" s="40">
        <v>0.0</v>
      </c>
      <c r="H59" s="39">
        <v>2.0</v>
      </c>
      <c r="I59" s="39">
        <v>6.0</v>
      </c>
      <c r="J59" s="39">
        <v>6.0</v>
      </c>
      <c r="K59" s="42">
        <v>14.0</v>
      </c>
      <c r="L59" s="39">
        <v>1.0</v>
      </c>
      <c r="M59" s="32">
        <f t="shared" ref="M59:N59" si="56">C59+K59</f>
        <v>32</v>
      </c>
      <c r="N59" s="32">
        <f t="shared" si="56"/>
        <v>1</v>
      </c>
      <c r="O59" s="43" t="s">
        <v>53</v>
      </c>
      <c r="P59" s="43" t="s">
        <v>53</v>
      </c>
      <c r="Q59" s="43" t="s">
        <v>53</v>
      </c>
      <c r="R59" s="39">
        <f>if(G59=13,1,0)+VLOOKUP(B59,'071324'!B:T,17,false)</f>
        <v>0</v>
      </c>
      <c r="S59" s="39"/>
      <c r="T59" s="39">
        <f>if(G59=9,1,0)+VLOOKUP(B59,'071324'!B:T,19,false)</f>
        <v>2</v>
      </c>
    </row>
    <row r="60">
      <c r="A60" s="30">
        <f t="shared" si="3"/>
        <v>56</v>
      </c>
      <c r="B60" s="51" t="s">
        <v>74</v>
      </c>
      <c r="C60" s="32">
        <v>18.0</v>
      </c>
      <c r="D60" s="32">
        <v>0.0</v>
      </c>
      <c r="E60" s="37">
        <v>3.0</v>
      </c>
      <c r="F60" s="39">
        <v>0.0</v>
      </c>
      <c r="G60" s="40">
        <v>9.0</v>
      </c>
      <c r="H60" s="39">
        <v>0.0</v>
      </c>
      <c r="I60" s="39">
        <v>0.0</v>
      </c>
      <c r="J60" s="39">
        <v>0.0</v>
      </c>
      <c r="K60" s="42">
        <v>9.0</v>
      </c>
      <c r="L60" s="39">
        <v>0.0</v>
      </c>
      <c r="M60" s="32">
        <f t="shared" ref="M60:N60" si="57">C60+K60</f>
        <v>27</v>
      </c>
      <c r="N60" s="32">
        <f t="shared" si="57"/>
        <v>0</v>
      </c>
      <c r="O60" s="43" t="s">
        <v>53</v>
      </c>
      <c r="P60" s="43" t="s">
        <v>53</v>
      </c>
      <c r="Q60" s="43" t="s">
        <v>53</v>
      </c>
      <c r="R60" s="39">
        <f>if(G60=13,1,0)+VLOOKUP(B60,'071324'!B:T,17,false)</f>
        <v>0</v>
      </c>
      <c r="S60" s="39"/>
      <c r="T60" s="39">
        <f>if(G60=9,1,0)+VLOOKUP(B60,'071324'!B:T,19,false)</f>
        <v>3</v>
      </c>
    </row>
    <row r="61">
      <c r="A61" s="30">
        <f t="shared" si="3"/>
        <v>57</v>
      </c>
      <c r="B61" s="31" t="s">
        <v>63</v>
      </c>
      <c r="C61" s="32">
        <v>18.0</v>
      </c>
      <c r="D61" s="32">
        <v>0.0</v>
      </c>
      <c r="E61" s="37">
        <v>3.0</v>
      </c>
      <c r="F61" s="39">
        <v>0.0</v>
      </c>
      <c r="G61" s="40">
        <v>9.0</v>
      </c>
      <c r="H61" s="39">
        <v>0.0</v>
      </c>
      <c r="I61" s="39">
        <v>0.0</v>
      </c>
      <c r="J61" s="39">
        <v>0.0</v>
      </c>
      <c r="K61" s="42">
        <v>9.0</v>
      </c>
      <c r="L61" s="39">
        <v>0.0</v>
      </c>
      <c r="M61" s="32">
        <f t="shared" ref="M61:N61" si="58">C61+K61</f>
        <v>27</v>
      </c>
      <c r="N61" s="32">
        <f t="shared" si="58"/>
        <v>0</v>
      </c>
      <c r="O61" s="43" t="s">
        <v>53</v>
      </c>
      <c r="P61" s="43" t="s">
        <v>53</v>
      </c>
      <c r="Q61" s="43" t="s">
        <v>53</v>
      </c>
      <c r="R61" s="39">
        <f>if(G61=13,1,0)+VLOOKUP(B61,'071324'!B:T,17,false)</f>
        <v>0</v>
      </c>
      <c r="S61" s="39"/>
      <c r="T61" s="39">
        <f>if(G61=9,1,0)+VLOOKUP(B61,'071324'!B:T,19,false)</f>
        <v>3</v>
      </c>
    </row>
    <row r="62">
      <c r="A62" s="30">
        <f t="shared" si="3"/>
        <v>58</v>
      </c>
      <c r="B62" s="51" t="s">
        <v>118</v>
      </c>
      <c r="C62" s="32">
        <v>18.0</v>
      </c>
      <c r="D62" s="32">
        <v>0.0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59">C62+K62</f>
        <v>27</v>
      </c>
      <c r="N62" s="32">
        <f t="shared" si="59"/>
        <v>0</v>
      </c>
      <c r="O62" s="43" t="s">
        <v>53</v>
      </c>
      <c r="P62" s="43" t="s">
        <v>53</v>
      </c>
      <c r="Q62" s="43" t="s">
        <v>53</v>
      </c>
      <c r="R62" s="39">
        <f>if(G62=13,1,0)+VLOOKUP(B62,'071324'!B:T,17,false)</f>
        <v>0</v>
      </c>
      <c r="S62" s="39"/>
      <c r="T62" s="39">
        <f>if(G62=9,1,0)+VLOOKUP(B62,'071324'!B:T,19,false)</f>
        <v>3</v>
      </c>
    </row>
    <row r="63">
      <c r="A63" s="30">
        <f t="shared" si="3"/>
        <v>59</v>
      </c>
      <c r="B63" s="31" t="s">
        <v>56</v>
      </c>
      <c r="C63" s="32">
        <v>18.0</v>
      </c>
      <c r="D63" s="32">
        <v>0.0</v>
      </c>
      <c r="E63" s="37">
        <v>3.0</v>
      </c>
      <c r="F63" s="39">
        <v>0.0</v>
      </c>
      <c r="G63" s="40">
        <v>9.0</v>
      </c>
      <c r="H63" s="39">
        <v>0.0</v>
      </c>
      <c r="I63" s="39">
        <v>0.0</v>
      </c>
      <c r="J63" s="39">
        <v>0.0</v>
      </c>
      <c r="K63" s="42">
        <v>9.0</v>
      </c>
      <c r="L63" s="39">
        <v>0.0</v>
      </c>
      <c r="M63" s="32">
        <f t="shared" ref="M63:N63" si="60">C63+K63</f>
        <v>27</v>
      </c>
      <c r="N63" s="32">
        <f t="shared" si="60"/>
        <v>0</v>
      </c>
      <c r="O63" s="43" t="s">
        <v>53</v>
      </c>
      <c r="P63" s="43" t="s">
        <v>53</v>
      </c>
      <c r="Q63" s="43" t="s">
        <v>53</v>
      </c>
      <c r="R63" s="39">
        <f>if(G63=13,1,0)+VLOOKUP(B63,'071324'!B:T,17,false)</f>
        <v>0</v>
      </c>
      <c r="S63" s="39"/>
      <c r="T63" s="39">
        <f>if(G63=9,1,0)+VLOOKUP(B63,'071324'!B:T,19,false)</f>
        <v>3</v>
      </c>
    </row>
    <row r="64">
      <c r="A64" s="30">
        <f t="shared" si="3"/>
        <v>60</v>
      </c>
      <c r="B64" s="51" t="s">
        <v>76</v>
      </c>
      <c r="C64" s="32">
        <v>18.0</v>
      </c>
      <c r="D64" s="32">
        <v>0.0</v>
      </c>
      <c r="E64" s="37">
        <v>3.0</v>
      </c>
      <c r="F64" s="39">
        <v>0.0</v>
      </c>
      <c r="G64" s="40">
        <v>9.0</v>
      </c>
      <c r="H64" s="39">
        <v>0.0</v>
      </c>
      <c r="I64" s="39">
        <v>0.0</v>
      </c>
      <c r="J64" s="39">
        <v>0.0</v>
      </c>
      <c r="K64" s="42">
        <v>9.0</v>
      </c>
      <c r="L64" s="39">
        <v>0.0</v>
      </c>
      <c r="M64" s="32">
        <f t="shared" ref="M64:N64" si="61">C64+K64</f>
        <v>27</v>
      </c>
      <c r="N64" s="32">
        <f t="shared" si="61"/>
        <v>0</v>
      </c>
      <c r="O64" s="43" t="s">
        <v>53</v>
      </c>
      <c r="P64" s="43" t="s">
        <v>53</v>
      </c>
      <c r="Q64" s="43" t="s">
        <v>53</v>
      </c>
      <c r="R64" s="39">
        <f>if(G64=13,1,0)+VLOOKUP(B64,'071324'!B:T,17,false)</f>
        <v>0</v>
      </c>
      <c r="S64" s="39"/>
      <c r="T64" s="39">
        <f>if(G64=9,1,0)+VLOOKUP(B64,'071324'!B:T,19,false)</f>
        <v>3</v>
      </c>
    </row>
    <row r="65">
      <c r="A65" s="30">
        <f t="shared" si="3"/>
        <v>61</v>
      </c>
      <c r="B65" s="31" t="s">
        <v>120</v>
      </c>
      <c r="C65" s="32">
        <v>18.0</v>
      </c>
      <c r="D65" s="32">
        <v>0.0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2">C65+K65</f>
        <v>27</v>
      </c>
      <c r="N65" s="32">
        <f t="shared" si="62"/>
        <v>0</v>
      </c>
      <c r="O65" s="43" t="s">
        <v>53</v>
      </c>
      <c r="P65" s="43" t="s">
        <v>53</v>
      </c>
      <c r="Q65" s="43" t="s">
        <v>53</v>
      </c>
      <c r="R65" s="39">
        <f>if(G65=13,1,0)+VLOOKUP(B65,'071324'!B:T,17,false)</f>
        <v>0</v>
      </c>
      <c r="S65" s="39"/>
      <c r="T65" s="39">
        <f>if(G65=9,1,0)+VLOOKUP(B65,'071324'!B:T,19,false)</f>
        <v>3</v>
      </c>
    </row>
    <row r="66">
      <c r="A66" s="30">
        <f t="shared" si="3"/>
        <v>62</v>
      </c>
      <c r="B66" s="56" t="s">
        <v>115</v>
      </c>
      <c r="C66" s="32">
        <v>16.0</v>
      </c>
      <c r="D66" s="32">
        <v>1.0</v>
      </c>
      <c r="E66" s="37">
        <v>1.0</v>
      </c>
      <c r="F66" s="39"/>
      <c r="G66" s="40">
        <v>0.0</v>
      </c>
      <c r="H66" s="39">
        <v>7.0</v>
      </c>
      <c r="I66" s="39">
        <v>6.0</v>
      </c>
      <c r="J66" s="39">
        <v>1.0</v>
      </c>
      <c r="K66" s="42">
        <v>14.0</v>
      </c>
      <c r="L66" s="39">
        <v>2.0</v>
      </c>
      <c r="M66" s="32">
        <f t="shared" ref="M66:N66" si="63">C66+K66</f>
        <v>30</v>
      </c>
      <c r="N66" s="32">
        <f t="shared" si="63"/>
        <v>3</v>
      </c>
      <c r="O66" s="43" t="s">
        <v>53</v>
      </c>
      <c r="P66" s="43" t="s">
        <v>53</v>
      </c>
      <c r="Q66" s="43" t="s">
        <v>53</v>
      </c>
      <c r="R66" s="39">
        <f>if(G66=13,1,0)+VLOOKUP(B66,'071324'!B:T,17,false)</f>
        <v>0</v>
      </c>
      <c r="S66" s="39"/>
      <c r="T66" s="39">
        <f>if(G66=9,1,0)+VLOOKUP(B66,'071324'!B:T,19,false)</f>
        <v>0</v>
      </c>
    </row>
    <row r="67">
      <c r="A67" s="30">
        <f t="shared" si="3"/>
        <v>63</v>
      </c>
      <c r="B67" s="51" t="s">
        <v>112</v>
      </c>
      <c r="C67" s="32">
        <v>15.0</v>
      </c>
      <c r="D67" s="32">
        <v>0.0</v>
      </c>
      <c r="E67" s="37">
        <v>1.0</v>
      </c>
      <c r="F67" s="39"/>
      <c r="G67" s="40">
        <v>0.0</v>
      </c>
      <c r="H67" s="39">
        <v>6.0</v>
      </c>
      <c r="I67" s="39">
        <v>3.0</v>
      </c>
      <c r="J67" s="39">
        <v>1.0</v>
      </c>
      <c r="K67" s="42">
        <v>10.0</v>
      </c>
      <c r="L67" s="39">
        <v>0.0</v>
      </c>
      <c r="M67" s="32">
        <f t="shared" ref="M67:N67" si="64">C67+K67</f>
        <v>25</v>
      </c>
      <c r="N67" s="32">
        <f t="shared" si="64"/>
        <v>0</v>
      </c>
      <c r="O67" s="43" t="s">
        <v>53</v>
      </c>
      <c r="P67" s="43" t="s">
        <v>53</v>
      </c>
      <c r="Q67" s="43" t="s">
        <v>53</v>
      </c>
      <c r="R67" s="39">
        <f>if(G67=13,1,0)+VLOOKUP(B67,'071324'!B:T,17,false)</f>
        <v>0</v>
      </c>
      <c r="S67" s="39"/>
      <c r="T67" s="39">
        <f>if(G67=9,1,0)+VLOOKUP(B67,'071324'!B:T,19,false)</f>
        <v>0</v>
      </c>
    </row>
    <row r="68">
      <c r="A68" s="30">
        <f t="shared" si="3"/>
        <v>64</v>
      </c>
      <c r="B68" s="51" t="s">
        <v>114</v>
      </c>
      <c r="C68" s="32">
        <v>15.0</v>
      </c>
      <c r="D68" s="32">
        <v>0.0</v>
      </c>
      <c r="E68" s="37">
        <v>1.0</v>
      </c>
      <c r="F68" s="39"/>
      <c r="G68" s="40">
        <v>0.0</v>
      </c>
      <c r="H68" s="39">
        <v>7.0</v>
      </c>
      <c r="I68" s="39">
        <v>3.0</v>
      </c>
      <c r="J68" s="39">
        <v>6.0</v>
      </c>
      <c r="K68" s="42">
        <v>16.0</v>
      </c>
      <c r="L68" s="39">
        <v>2.0</v>
      </c>
      <c r="M68" s="32">
        <f t="shared" ref="M68:N68" si="65">C68+K68</f>
        <v>31</v>
      </c>
      <c r="N68" s="32">
        <f t="shared" si="65"/>
        <v>2</v>
      </c>
      <c r="O68" s="43" t="s">
        <v>53</v>
      </c>
      <c r="P68" s="43" t="s">
        <v>53</v>
      </c>
      <c r="Q68" s="43" t="s">
        <v>53</v>
      </c>
      <c r="R68" s="39">
        <f>if(G68=13,1,0)+VLOOKUP(B68,'071324'!B:T,17,false)</f>
        <v>0</v>
      </c>
      <c r="S68" s="39"/>
      <c r="T68" s="39">
        <f>if(G68=9,1,0)+VLOOKUP(B68,'071324'!B:T,19,false)</f>
        <v>1</v>
      </c>
    </row>
    <row r="69">
      <c r="A69" s="30">
        <f t="shared" si="3"/>
        <v>65</v>
      </c>
      <c r="B69" s="51" t="s">
        <v>113</v>
      </c>
      <c r="C69" s="32">
        <v>13.0</v>
      </c>
      <c r="D69" s="32">
        <v>1.0</v>
      </c>
      <c r="E69" s="37">
        <v>1.0</v>
      </c>
      <c r="F69" s="39"/>
      <c r="G69" s="40">
        <v>0.0</v>
      </c>
      <c r="H69" s="39">
        <v>6.0</v>
      </c>
      <c r="I69" s="39">
        <v>6.0</v>
      </c>
      <c r="J69" s="39">
        <v>6.0</v>
      </c>
      <c r="K69" s="42">
        <v>18.0</v>
      </c>
      <c r="L69" s="39">
        <v>2.0</v>
      </c>
      <c r="M69" s="32">
        <f t="shared" ref="M69:N69" si="66">C69+K69</f>
        <v>31</v>
      </c>
      <c r="N69" s="32">
        <f t="shared" si="66"/>
        <v>3</v>
      </c>
      <c r="O69" s="43" t="s">
        <v>53</v>
      </c>
      <c r="P69" s="43" t="s">
        <v>53</v>
      </c>
      <c r="Q69" s="43" t="s">
        <v>53</v>
      </c>
      <c r="R69" s="39">
        <f>if(G69=13,1,0)+VLOOKUP(B69,'071324'!B:T,17,false)</f>
        <v>0</v>
      </c>
      <c r="S69" s="39"/>
      <c r="T69" s="39">
        <f>if(G69=9,1,0)+VLOOKUP(B69,'071324'!B:T,19,false)</f>
        <v>0</v>
      </c>
    </row>
    <row r="70">
      <c r="A70" s="11"/>
      <c r="C70" s="11"/>
      <c r="D70" s="11"/>
      <c r="E70" s="11"/>
      <c r="P70" s="11"/>
    </row>
    <row r="71">
      <c r="A71" s="11"/>
      <c r="C71" s="11"/>
      <c r="D71" s="11"/>
      <c r="E71" s="11"/>
      <c r="P71" s="11"/>
    </row>
    <row r="72">
      <c r="A72" s="11"/>
      <c r="B72" s="58">
        <f>COUNTA(B5:B69)</f>
        <v>65</v>
      </c>
      <c r="C72" s="11"/>
      <c r="D72" s="11"/>
      <c r="E72" s="11"/>
      <c r="O72" s="7" t="s">
        <v>163</v>
      </c>
      <c r="P72" s="8">
        <f t="shared" ref="P72:Q72" si="67">COUNTA(P5:P69)</f>
        <v>65</v>
      </c>
      <c r="Q72" s="8">
        <f t="shared" si="67"/>
        <v>65</v>
      </c>
    </row>
    <row r="73">
      <c r="A73" s="11"/>
      <c r="C73" s="11"/>
      <c r="D73" s="11"/>
      <c r="E73" s="11"/>
      <c r="O73" s="7" t="s">
        <v>164</v>
      </c>
      <c r="P73" s="8">
        <f t="shared" ref="P73:Q73" si="68">P74-P72</f>
        <v>0</v>
      </c>
      <c r="Q73" s="8">
        <f t="shared" si="68"/>
        <v>0</v>
      </c>
    </row>
    <row r="74">
      <c r="A74" s="11"/>
      <c r="C74" s="11"/>
      <c r="D74" s="11"/>
      <c r="J74" s="49"/>
      <c r="K74" s="59"/>
      <c r="L74" s="60"/>
      <c r="O74" s="7" t="s">
        <v>60</v>
      </c>
      <c r="P74" s="8">
        <f>B72</f>
        <v>65</v>
      </c>
      <c r="Q74" s="8">
        <f>P74</f>
        <v>65</v>
      </c>
    </row>
    <row r="75">
      <c r="A75" s="11"/>
      <c r="C75" s="11"/>
      <c r="D75" s="11"/>
      <c r="E75" s="10" t="s">
        <v>127</v>
      </c>
      <c r="J75" s="49"/>
      <c r="K75" s="59"/>
      <c r="L75" s="60"/>
    </row>
    <row r="76">
      <c r="A76" s="11"/>
      <c r="C76" s="11"/>
      <c r="D76" s="11"/>
      <c r="J76" s="49"/>
      <c r="K76" s="59"/>
      <c r="L76" s="60"/>
    </row>
    <row r="77">
      <c r="A77" s="11"/>
      <c r="C77" s="11"/>
      <c r="D77" s="11"/>
      <c r="J77" s="49"/>
      <c r="K77" s="59"/>
      <c r="L77" s="60"/>
      <c r="O77" s="7" t="s">
        <v>163</v>
      </c>
      <c r="P77" s="8"/>
      <c r="Q77" s="8">
        <f>COUNTIF(Q5:Q69,"X")</f>
        <v>65</v>
      </c>
    </row>
    <row r="78">
      <c r="A78" s="11"/>
      <c r="B78" s="62" t="s">
        <v>129</v>
      </c>
      <c r="C78" s="62" t="s">
        <v>130</v>
      </c>
      <c r="D78" s="62" t="s">
        <v>131</v>
      </c>
      <c r="J78" s="49"/>
      <c r="K78" s="59"/>
      <c r="L78" s="60"/>
      <c r="O78" s="7" t="s">
        <v>132</v>
      </c>
      <c r="P78" s="8"/>
      <c r="Q78" s="8">
        <f>countif(Q5:Q69,"N")</f>
        <v>0</v>
      </c>
    </row>
    <row r="79">
      <c r="A79" s="11"/>
      <c r="B79" s="51" t="str">
        <f>IFERROR(__xludf.DUMMYFUNCTION("QUERY(B5:L69,""Select B, K, L where K &gt;= 18 order by K desc, L desc"",0)"),"Adrian Tay")</f>
        <v>Adrian Tay</v>
      </c>
      <c r="C79" s="71">
        <f>IFERROR(__xludf.DUMMYFUNCTION("""COMPUTED_VALUE"""),19.0)</f>
        <v>19</v>
      </c>
      <c r="D79" s="71">
        <f>IFERROR(__xludf.DUMMYFUNCTION("""COMPUTED_VALUE"""),3.0)</f>
        <v>3</v>
      </c>
      <c r="E79" s="11"/>
      <c r="K79" s="59"/>
      <c r="L79" s="60"/>
      <c r="O79" s="7" t="s">
        <v>164</v>
      </c>
      <c r="P79" s="8"/>
      <c r="Q79" s="8">
        <f>countif(Q5:Q69,"")</f>
        <v>0</v>
      </c>
    </row>
    <row r="80">
      <c r="A80" s="11"/>
      <c r="B80" s="51" t="str">
        <f>IFERROR(__xludf.DUMMYFUNCTION("""COMPUTED_VALUE"""),"Vamsi Lolla ")</f>
        <v>Vamsi Lolla </v>
      </c>
      <c r="C80" s="71">
        <f>IFERROR(__xludf.DUMMYFUNCTION("""COMPUTED_VALUE"""),19.0)</f>
        <v>19</v>
      </c>
      <c r="D80" s="71">
        <f>IFERROR(__xludf.DUMMYFUNCTION("""COMPUTED_VALUE"""),3.0)</f>
        <v>3</v>
      </c>
      <c r="E80" s="11"/>
      <c r="L80" s="65"/>
      <c r="O80" s="7" t="s">
        <v>60</v>
      </c>
      <c r="P80" s="8"/>
      <c r="Q80" s="8">
        <f>sum(Q77:Q79)</f>
        <v>65</v>
      </c>
    </row>
    <row r="81">
      <c r="A81" s="11"/>
      <c r="B81" s="51" t="str">
        <f>IFERROR(__xludf.DUMMYFUNCTION("""COMPUTED_VALUE"""),"Suleman Alidina")</f>
        <v>Suleman Alidina</v>
      </c>
      <c r="C81" s="71">
        <f>IFERROR(__xludf.DUMMYFUNCTION("""COMPUTED_VALUE"""),18.0)</f>
        <v>18</v>
      </c>
      <c r="D81" s="71">
        <f>IFERROR(__xludf.DUMMYFUNCTION("""COMPUTED_VALUE"""),3.0)</f>
        <v>3</v>
      </c>
      <c r="E81" s="11"/>
    </row>
    <row r="82">
      <c r="A82" s="11"/>
      <c r="B82" s="51" t="str">
        <f>IFERROR(__xludf.DUMMYFUNCTION("""COMPUTED_VALUE"""),"Alejandro Mejia")</f>
        <v>Alejandro Mejia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IFERROR(__xludf.DUMMYFUNCTION("""COMPUTED_VALUE"""),"Matthew Huang")</f>
        <v>Matthew Huang</v>
      </c>
      <c r="C83" s="71">
        <f>IFERROR(__xludf.DUMMYFUNCTION("""COMPUTED_VALUE"""),18.0)</f>
        <v>18</v>
      </c>
      <c r="D83" s="71">
        <f>IFERROR(__xludf.DUMMYFUNCTION("""COMPUTED_VALUE"""),2.0)</f>
        <v>2</v>
      </c>
      <c r="E83" s="11"/>
      <c r="K83" s="10"/>
    </row>
    <row r="84">
      <c r="A84" s="11"/>
      <c r="B84" s="51" t="str">
        <f>IFERROR(__xludf.DUMMYFUNCTION("""COMPUTED_VALUE"""),"Nicole Ni")</f>
        <v>Nicole Ni</v>
      </c>
      <c r="C84" s="71">
        <f>IFERROR(__xludf.DUMMYFUNCTION("""COMPUTED_VALUE"""),18.0)</f>
        <v>18</v>
      </c>
      <c r="D84" s="71">
        <f>IFERROR(__xludf.DUMMYFUNCTION("""COMPUTED_VALUE"""),2.0)</f>
        <v>2</v>
      </c>
      <c r="E84" s="11"/>
      <c r="K84" s="10"/>
    </row>
    <row r="85">
      <c r="A85" s="11"/>
      <c r="B85" s="51"/>
      <c r="C85" s="71"/>
      <c r="D85" s="71"/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</row>
    <row r="88">
      <c r="A88" s="11"/>
      <c r="B88" s="51"/>
      <c r="C88" s="71"/>
      <c r="D88" s="71"/>
      <c r="E88" s="11"/>
    </row>
    <row r="89">
      <c r="A89" s="11"/>
      <c r="C89" s="11"/>
      <c r="D89" s="11"/>
      <c r="E89" s="11"/>
    </row>
    <row r="90">
      <c r="A90" s="11"/>
      <c r="B90" s="10" t="s">
        <v>165</v>
      </c>
      <c r="C90" s="11"/>
      <c r="D90" s="11"/>
      <c r="E90" s="11"/>
    </row>
    <row r="91">
      <c r="A91" s="11"/>
      <c r="B91" s="27" t="s">
        <v>31</v>
      </c>
      <c r="C91" s="29" t="s">
        <v>2</v>
      </c>
      <c r="D91" s="29" t="s">
        <v>4</v>
      </c>
      <c r="E91" s="29" t="s">
        <v>33</v>
      </c>
      <c r="F91" s="29" t="s">
        <v>35</v>
      </c>
      <c r="G91" s="29" t="s">
        <v>36</v>
      </c>
      <c r="H91" s="29" t="s">
        <v>6</v>
      </c>
      <c r="I91" s="29" t="s">
        <v>7</v>
      </c>
      <c r="J91" s="29" t="s">
        <v>8</v>
      </c>
      <c r="K91" s="29" t="s">
        <v>2</v>
      </c>
      <c r="L91" s="29" t="s">
        <v>4</v>
      </c>
      <c r="M91" s="28" t="s">
        <v>2</v>
      </c>
      <c r="N91" s="28" t="s">
        <v>4</v>
      </c>
    </row>
    <row r="92">
      <c r="A92" s="11"/>
      <c r="B92" s="82" t="str">
        <f>IFERROR(__xludf.DUMMYFUNCTION("QUERY(B5:N69, ""Select B, C, D, E, F, G, H, I, J, K, L, M, N   where F &gt;= 1"")"),"#N/A")</f>
        <v>#N/A</v>
      </c>
      <c r="C92" s="83"/>
      <c r="D92" s="83"/>
      <c r="E92" s="83"/>
      <c r="F92" s="82"/>
      <c r="G92" s="82"/>
      <c r="H92" s="82"/>
      <c r="I92" s="82"/>
      <c r="J92" s="82"/>
      <c r="K92" s="82"/>
      <c r="L92" s="82"/>
      <c r="M92" s="82"/>
      <c r="N92" s="82"/>
    </row>
    <row r="93">
      <c r="A93" s="11"/>
      <c r="B93" s="82"/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</row>
    <row r="94">
      <c r="A94" s="11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</row>
    <row r="95">
      <c r="A95" s="11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</row>
    <row r="96">
      <c r="A96" s="11"/>
      <c r="B96" s="84"/>
      <c r="C96" s="85"/>
      <c r="D96" s="85"/>
      <c r="E96" s="85"/>
      <c r="F96" s="84"/>
      <c r="G96" s="84"/>
      <c r="H96" s="84"/>
      <c r="I96" s="84"/>
      <c r="J96" s="84"/>
      <c r="K96" s="84"/>
      <c r="L96" s="84"/>
      <c r="M96" s="84"/>
      <c r="N96" s="84"/>
    </row>
    <row r="97">
      <c r="A97" s="11"/>
      <c r="B97" s="84"/>
      <c r="C97" s="85"/>
      <c r="D97" s="85"/>
      <c r="E97" s="85"/>
      <c r="F97" s="84"/>
      <c r="G97" s="84"/>
      <c r="H97" s="84"/>
      <c r="I97" s="84"/>
      <c r="J97" s="84"/>
      <c r="K97" s="84"/>
      <c r="L97" s="84"/>
      <c r="M97" s="84"/>
      <c r="N97" s="84"/>
    </row>
    <row r="98">
      <c r="A98" s="11"/>
      <c r="B98" s="84"/>
      <c r="C98" s="85"/>
      <c r="D98" s="85"/>
      <c r="E98" s="85"/>
      <c r="F98" s="84"/>
      <c r="G98" s="84"/>
      <c r="H98" s="84"/>
      <c r="I98" s="84"/>
      <c r="J98" s="84"/>
      <c r="K98" s="84"/>
      <c r="L98" s="84"/>
      <c r="M98" s="84"/>
      <c r="N98" s="84"/>
    </row>
    <row r="99">
      <c r="A99" s="11"/>
      <c r="B99" s="84"/>
      <c r="C99" s="85"/>
      <c r="D99" s="85"/>
      <c r="E99" s="85"/>
      <c r="F99" s="84"/>
      <c r="G99" s="84"/>
      <c r="H99" s="84"/>
      <c r="I99" s="84"/>
      <c r="J99" s="84"/>
      <c r="K99" s="84"/>
      <c r="L99" s="84"/>
      <c r="M99" s="84"/>
      <c r="N99" s="84"/>
    </row>
    <row r="100">
      <c r="A100" s="11"/>
      <c r="B100" s="84"/>
      <c r="C100" s="83"/>
      <c r="D100" s="83"/>
      <c r="E100" s="83"/>
      <c r="F100" s="82"/>
      <c r="G100" s="82"/>
      <c r="H100" s="82"/>
      <c r="I100" s="82"/>
      <c r="J100" s="82"/>
      <c r="K100" s="82"/>
      <c r="L100" s="82"/>
      <c r="M100" s="82"/>
      <c r="N100" s="82"/>
    </row>
    <row r="101">
      <c r="A101" s="11"/>
      <c r="B101" s="84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</row>
    <row r="102">
      <c r="A102" s="11"/>
      <c r="B102" s="82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</row>
    <row r="103">
      <c r="A103" s="11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</row>
    <row r="104">
      <c r="A104" s="11"/>
      <c r="B104" s="84"/>
      <c r="C104" s="85"/>
      <c r="D104" s="85"/>
      <c r="E104" s="85"/>
      <c r="F104" s="84"/>
      <c r="G104" s="84"/>
      <c r="H104" s="84"/>
      <c r="I104" s="84"/>
      <c r="J104" s="84"/>
      <c r="K104" s="84"/>
      <c r="L104" s="84"/>
      <c r="M104" s="84"/>
      <c r="N104" s="84"/>
    </row>
    <row r="105">
      <c r="A105" s="11"/>
      <c r="B105" s="84"/>
      <c r="C105" s="85"/>
      <c r="D105" s="85"/>
      <c r="E105" s="85"/>
      <c r="F105" s="84"/>
      <c r="G105" s="84"/>
      <c r="H105" s="84"/>
      <c r="I105" s="84"/>
      <c r="J105" s="84"/>
      <c r="K105" s="84"/>
      <c r="L105" s="84"/>
      <c r="M105" s="84"/>
      <c r="N105" s="84"/>
    </row>
    <row r="106">
      <c r="A106" s="11"/>
      <c r="B106" s="84"/>
      <c r="C106" s="85"/>
      <c r="D106" s="85"/>
      <c r="E106" s="85"/>
      <c r="F106" s="84"/>
      <c r="G106" s="84"/>
      <c r="H106" s="84"/>
      <c r="I106" s="84"/>
      <c r="J106" s="84"/>
      <c r="K106" s="84"/>
      <c r="L106" s="84"/>
      <c r="M106" s="84"/>
      <c r="N106" s="84"/>
    </row>
    <row r="107">
      <c r="A107" s="11"/>
      <c r="B107" s="84"/>
      <c r="C107" s="85"/>
      <c r="D107" s="85"/>
      <c r="E107" s="85"/>
      <c r="F107" s="84"/>
      <c r="G107" s="84"/>
      <c r="H107" s="84"/>
      <c r="I107" s="84"/>
      <c r="J107" s="84"/>
      <c r="K107" s="84"/>
      <c r="L107" s="84"/>
      <c r="M107" s="84"/>
      <c r="N107" s="84"/>
    </row>
    <row r="108">
      <c r="A108" s="11"/>
      <c r="B108" s="82"/>
      <c r="C108" s="83"/>
      <c r="D108" s="83"/>
      <c r="E108" s="83"/>
      <c r="F108" s="82"/>
      <c r="G108" s="82"/>
      <c r="H108" s="82"/>
      <c r="I108" s="82"/>
      <c r="J108" s="82"/>
      <c r="K108" s="82"/>
      <c r="L108" s="82"/>
      <c r="M108" s="82"/>
      <c r="N108" s="82"/>
    </row>
    <row r="109">
      <c r="A109" s="11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</row>
    <row r="110">
      <c r="A110" s="11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</row>
    <row r="111">
      <c r="A111" s="11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</row>
    <row r="112">
      <c r="A112" s="11"/>
      <c r="B112" s="84"/>
      <c r="C112" s="85"/>
      <c r="D112" s="85"/>
      <c r="E112" s="85"/>
      <c r="F112" s="84"/>
      <c r="G112" s="84"/>
      <c r="H112" s="84"/>
      <c r="I112" s="84"/>
      <c r="J112" s="84"/>
      <c r="K112" s="84"/>
      <c r="L112" s="84"/>
      <c r="M112" s="84"/>
      <c r="N112" s="84"/>
    </row>
    <row r="113">
      <c r="A113" s="11"/>
      <c r="B113" s="84"/>
      <c r="C113" s="85"/>
      <c r="D113" s="85"/>
      <c r="E113" s="85"/>
      <c r="F113" s="84"/>
      <c r="G113" s="84"/>
      <c r="H113" s="84"/>
      <c r="I113" s="84"/>
      <c r="J113" s="84"/>
      <c r="K113" s="84"/>
      <c r="L113" s="84"/>
      <c r="M113" s="84"/>
      <c r="N113" s="84"/>
    </row>
    <row r="114">
      <c r="A114" s="11"/>
      <c r="B114" s="84"/>
      <c r="C114" s="85"/>
      <c r="D114" s="85"/>
      <c r="E114" s="85"/>
      <c r="F114" s="84"/>
      <c r="G114" s="84"/>
      <c r="H114" s="84"/>
      <c r="I114" s="84"/>
      <c r="J114" s="84"/>
      <c r="K114" s="84"/>
      <c r="L114" s="84"/>
      <c r="M114" s="84"/>
      <c r="N114" s="84"/>
    </row>
    <row r="115">
      <c r="A115" s="11"/>
      <c r="B115" s="84"/>
      <c r="C115" s="85"/>
      <c r="D115" s="85"/>
      <c r="E115" s="85"/>
      <c r="F115" s="84"/>
      <c r="G115" s="84"/>
      <c r="H115" s="84"/>
      <c r="I115" s="84"/>
      <c r="J115" s="84"/>
      <c r="K115" s="84"/>
      <c r="L115" s="84"/>
      <c r="M115" s="84"/>
      <c r="N115" s="84"/>
    </row>
    <row r="116">
      <c r="A116" s="11"/>
      <c r="B116" s="82"/>
      <c r="C116" s="83"/>
      <c r="D116" s="83"/>
      <c r="E116" s="83"/>
      <c r="F116" s="82"/>
      <c r="G116" s="82"/>
      <c r="H116" s="82"/>
      <c r="I116" s="82"/>
      <c r="J116" s="82"/>
      <c r="K116" s="82"/>
      <c r="L116" s="82"/>
      <c r="M116" s="82"/>
      <c r="N116" s="82"/>
    </row>
    <row r="117">
      <c r="A117" s="11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</row>
    <row r="118">
      <c r="A118" s="11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</row>
    <row r="119">
      <c r="A119" s="11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</row>
    <row r="120">
      <c r="A120" s="11"/>
      <c r="B120" s="84"/>
      <c r="C120" s="85"/>
      <c r="D120" s="85"/>
      <c r="E120" s="85"/>
      <c r="F120" s="84"/>
      <c r="G120" s="84"/>
      <c r="H120" s="84"/>
      <c r="I120" s="84"/>
      <c r="J120" s="84"/>
      <c r="K120" s="84"/>
      <c r="L120" s="84"/>
      <c r="M120" s="84"/>
      <c r="N120" s="84"/>
    </row>
    <row r="121">
      <c r="A121" s="11"/>
      <c r="B121" s="84"/>
      <c r="C121" s="85"/>
      <c r="D121" s="85"/>
      <c r="E121" s="85"/>
      <c r="F121" s="84"/>
      <c r="G121" s="84"/>
      <c r="H121" s="84"/>
      <c r="I121" s="84"/>
      <c r="J121" s="84"/>
      <c r="K121" s="84"/>
      <c r="L121" s="84"/>
      <c r="M121" s="84"/>
      <c r="N121" s="84"/>
    </row>
    <row r="122">
      <c r="A122" s="11"/>
      <c r="B122" s="84"/>
      <c r="C122" s="85"/>
      <c r="D122" s="85"/>
      <c r="E122" s="85"/>
      <c r="F122" s="84"/>
      <c r="G122" s="84"/>
      <c r="H122" s="84"/>
      <c r="I122" s="84"/>
      <c r="J122" s="84"/>
      <c r="K122" s="84"/>
      <c r="L122" s="84"/>
      <c r="M122" s="84"/>
      <c r="N122" s="84"/>
    </row>
    <row r="123">
      <c r="A123" s="11"/>
      <c r="B123" s="84"/>
      <c r="C123" s="85"/>
      <c r="D123" s="85"/>
      <c r="E123" s="85"/>
      <c r="F123" s="84"/>
      <c r="G123" s="84"/>
      <c r="H123" s="84"/>
      <c r="I123" s="84"/>
      <c r="J123" s="84"/>
      <c r="K123" s="84"/>
      <c r="L123" s="84"/>
      <c r="M123" s="84"/>
      <c r="N123" s="84"/>
    </row>
    <row r="124">
      <c r="A124" s="11"/>
      <c r="C124" s="11"/>
      <c r="D124" s="11"/>
      <c r="E124" s="11"/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B134" s="10" t="s">
        <v>166</v>
      </c>
      <c r="C134" s="11"/>
      <c r="D134" s="11"/>
      <c r="E134" s="11"/>
    </row>
    <row r="135">
      <c r="A135" s="11"/>
      <c r="B135" s="27" t="s">
        <v>31</v>
      </c>
      <c r="C135" s="29" t="s">
        <v>2</v>
      </c>
      <c r="D135" s="29" t="s">
        <v>4</v>
      </c>
      <c r="E135" s="29" t="s">
        <v>33</v>
      </c>
      <c r="F135" s="29" t="s">
        <v>35</v>
      </c>
      <c r="G135" s="29" t="s">
        <v>36</v>
      </c>
      <c r="H135" s="29" t="s">
        <v>6</v>
      </c>
      <c r="I135" s="29" t="s">
        <v>7</v>
      </c>
      <c r="J135" s="29" t="s">
        <v>8</v>
      </c>
      <c r="K135" s="29" t="s">
        <v>2</v>
      </c>
      <c r="L135" s="29" t="s">
        <v>4</v>
      </c>
      <c r="M135" s="28" t="s">
        <v>2</v>
      </c>
      <c r="N135" s="28" t="s">
        <v>4</v>
      </c>
    </row>
    <row r="136">
      <c r="A136" s="11"/>
      <c r="B136" s="82" t="str">
        <f>IFERROR(__xludf.DUMMYFUNCTION("QUERY(B5:N69, ""Select B, C, D, E, F, G, H, I, J, K, L, M, N   where F = 0"")"),"Scott Li")</f>
        <v>Scott Li</v>
      </c>
      <c r="C136" s="87">
        <f>IFERROR(__xludf.DUMMYFUNCTION("""COMPUTED_VALUE"""),31.0)</f>
        <v>31</v>
      </c>
      <c r="D136" s="87">
        <f>IFERROR(__xludf.DUMMYFUNCTION("""COMPUTED_VALUE"""),4.0)</f>
        <v>4</v>
      </c>
      <c r="E136" s="86">
        <f>IFERROR(__xludf.DUMMYFUNCTION("""COMPUTED_VALUE"""),3.0)</f>
        <v>3</v>
      </c>
      <c r="F136" s="88">
        <f>IFERROR(__xludf.DUMMYFUNCTION("""COMPUTED_VALUE"""),0.0)</f>
        <v>0</v>
      </c>
      <c r="G136" s="88">
        <f>IFERROR(__xludf.DUMMYFUNCTION("""COMPUTED_VALUE"""),9.0)</f>
        <v>9</v>
      </c>
      <c r="H136" s="88">
        <f>IFERROR(__xludf.DUMMYFUNCTION("""COMPUTED_VALUE"""),0.0)</f>
        <v>0</v>
      </c>
      <c r="I136" s="88">
        <f>IFERROR(__xludf.DUMMYFUNCTION("""COMPUTED_VALUE"""),0.0)</f>
        <v>0</v>
      </c>
      <c r="J136" s="88">
        <f>IFERROR(__xludf.DUMMYFUNCTION("""COMPUTED_VALUE"""),0.0)</f>
        <v>0</v>
      </c>
      <c r="K136" s="88">
        <f>IFERROR(__xludf.DUMMYFUNCTION("""COMPUTED_VALUE"""),9.0)</f>
        <v>9</v>
      </c>
      <c r="L136" s="88">
        <f>IFERROR(__xludf.DUMMYFUNCTION("""COMPUTED_VALUE"""),0.0)</f>
        <v>0</v>
      </c>
      <c r="M136" s="89">
        <f>IFERROR(__xludf.DUMMYFUNCTION("""COMPUTED_VALUE"""),40.0)</f>
        <v>40</v>
      </c>
      <c r="N136" s="89">
        <f>IFERROR(__xludf.DUMMYFUNCTION("""COMPUTED_VALUE"""),4.0)</f>
        <v>4</v>
      </c>
    </row>
    <row r="137">
      <c r="A137" s="11"/>
      <c r="B137" s="82" t="str">
        <f>IFERROR(__xludf.DUMMYFUNCTION("""COMPUTED_VALUE"""),"Alex Hou")</f>
        <v>Alex Hou</v>
      </c>
      <c r="C137" s="87">
        <f>IFERROR(__xludf.DUMMYFUNCTION("""COMPUTED_VALUE"""),30.0)</f>
        <v>30</v>
      </c>
      <c r="D137" s="87">
        <f>IFERROR(__xludf.DUMMYFUNCTION("""COMPUTED_VALUE"""),3.0)</f>
        <v>3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IFERROR(__xludf.DUMMYFUNCTION("""COMPUTED_VALUE"""),39.0)</f>
        <v>39</v>
      </c>
      <c r="N137" s="89">
        <f>IFERROR(__xludf.DUMMYFUNCTION("""COMPUTED_VALUE"""),3.0)</f>
        <v>3</v>
      </c>
    </row>
    <row r="138">
      <c r="A138" s="11"/>
      <c r="B138" s="82" t="str">
        <f>IFERROR(__xludf.DUMMYFUNCTION("""COMPUTED_VALUE"""),"Lam Bui")</f>
        <v>Lam Bui</v>
      </c>
      <c r="C138" s="87">
        <f>IFERROR(__xludf.DUMMYFUNCTION("""COMPUTED_VALUE"""),27.0)</f>
        <v>27</v>
      </c>
      <c r="D138" s="87">
        <f>IFERROR(__xludf.DUMMYFUNCTION("""COMPUTED_VALUE"""),3.0)</f>
        <v>3</v>
      </c>
      <c r="E138" s="86">
        <f>IFERROR(__xludf.DUMMYFUNCTION("""COMPUTED_VALUE"""),3.0)</f>
        <v>3</v>
      </c>
      <c r="F138" s="88">
        <f>IFERROR(__xludf.DUMMYFUNCTION("""COMPUTED_VALUE"""),0.0)</f>
        <v>0</v>
      </c>
      <c r="G138" s="88">
        <f>IFERROR(__xludf.DUMMYFUNCTION("""COMPUTED_VALUE"""),9.0)</f>
        <v>9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IFERROR(__xludf.DUMMYFUNCTION("""COMPUTED_VALUE"""),9.0)</f>
        <v>9</v>
      </c>
      <c r="L138" s="88">
        <f>IFERROR(__xludf.DUMMYFUNCTION("""COMPUTED_VALUE"""),0.0)</f>
        <v>0</v>
      </c>
      <c r="M138" s="89">
        <f>IFERROR(__xludf.DUMMYFUNCTION("""COMPUTED_VALUE"""),36.0)</f>
        <v>36</v>
      </c>
      <c r="N138" s="89">
        <f>IFERROR(__xludf.DUMMYFUNCTION("""COMPUTED_VALUE"""),3.0)</f>
        <v>3</v>
      </c>
    </row>
    <row r="139">
      <c r="A139" s="11"/>
      <c r="B139" s="82" t="str">
        <f>IFERROR(__xludf.DUMMYFUNCTION("""COMPUTED_VALUE"""),"Eric Pan")</f>
        <v>Eric Pan</v>
      </c>
      <c r="C139" s="87">
        <f>IFERROR(__xludf.DUMMYFUNCTION("""COMPUTED_VALUE"""),27.0)</f>
        <v>27</v>
      </c>
      <c r="D139" s="87">
        <f>IFERROR(__xludf.DUMMYFUNCTION("""COMPUTED_VALUE"""),3.0)</f>
        <v>3</v>
      </c>
      <c r="E139" s="86">
        <f>IFERROR(__xludf.DUMMYFUNCTION("""COMPUTED_VALUE"""),3.0)</f>
        <v>3</v>
      </c>
      <c r="F139" s="88">
        <f>IFERROR(__xludf.DUMMYFUNCTION("""COMPUTED_VALUE"""),0.0)</f>
        <v>0</v>
      </c>
      <c r="G139" s="88">
        <f>IFERROR(__xludf.DUMMYFUNCTION("""COMPUTED_VALUE"""),9.0)</f>
        <v>9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IFERROR(__xludf.DUMMYFUNCTION("""COMPUTED_VALUE"""),9.0)</f>
        <v>9</v>
      </c>
      <c r="L139" s="88">
        <f>IFERROR(__xludf.DUMMYFUNCTION("""COMPUTED_VALUE"""),0.0)</f>
        <v>0</v>
      </c>
      <c r="M139" s="89">
        <f>IFERROR(__xludf.DUMMYFUNCTION("""COMPUTED_VALUE"""),36.0)</f>
        <v>36</v>
      </c>
      <c r="N139" s="89">
        <f>IFERROR(__xludf.DUMMYFUNCTION("""COMPUTED_VALUE"""),3.0)</f>
        <v>3</v>
      </c>
    </row>
    <row r="140">
      <c r="A140" s="11"/>
      <c r="B140" s="82" t="str">
        <f>IFERROR(__xludf.DUMMYFUNCTION("""COMPUTED_VALUE"""),"Lloyd Sagar")</f>
        <v>Lloyd Sagar</v>
      </c>
      <c r="C140" s="87">
        <f>IFERROR(__xludf.DUMMYFUNCTION("""COMPUTED_VALUE"""),27.0)</f>
        <v>27</v>
      </c>
      <c r="D140" s="87">
        <f>IFERROR(__xludf.DUMMYFUNCTION("""COMPUTED_VALUE"""),3.0)</f>
        <v>3</v>
      </c>
      <c r="E140" s="86">
        <f>IFERROR(__xludf.DUMMYFUNCTION("""COMPUTED_VALUE"""),3.0)</f>
        <v>3</v>
      </c>
      <c r="F140" s="88">
        <f>IFERROR(__xludf.DUMMYFUNCTION("""COMPUTED_VALUE"""),0.0)</f>
        <v>0</v>
      </c>
      <c r="G140" s="88">
        <f>IFERROR(__xludf.DUMMYFUNCTION("""COMPUTED_VALUE"""),9.0)</f>
        <v>9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IFERROR(__xludf.DUMMYFUNCTION("""COMPUTED_VALUE"""),9.0)</f>
        <v>9</v>
      </c>
      <c r="L140" s="88">
        <f>IFERROR(__xludf.DUMMYFUNCTION("""COMPUTED_VALUE"""),0.0)</f>
        <v>0</v>
      </c>
      <c r="M140" s="89">
        <f>IFERROR(__xludf.DUMMYFUNCTION("""COMPUTED_VALUE"""),36.0)</f>
        <v>36</v>
      </c>
      <c r="N140" s="89">
        <f>IFERROR(__xludf.DUMMYFUNCTION("""COMPUTED_VALUE"""),3.0)</f>
        <v>3</v>
      </c>
    </row>
    <row r="141">
      <c r="A141" s="11"/>
      <c r="B141" s="82" t="str">
        <f>IFERROR(__xludf.DUMMYFUNCTION("""COMPUTED_VALUE"""),"Pavan Akkimsetty")</f>
        <v>Pavan Akkimsetty</v>
      </c>
      <c r="C141" s="87">
        <f>IFERROR(__xludf.DUMMYFUNCTION("""COMPUTED_VALUE"""),27.0)</f>
        <v>27</v>
      </c>
      <c r="D141" s="87">
        <f>IFERROR(__xludf.DUMMYFUNCTION("""COMPUTED_VALUE"""),3.0)</f>
        <v>3</v>
      </c>
      <c r="E141" s="86">
        <f>IFERROR(__xludf.DUMMYFUNCTION("""COMPUTED_VALUE"""),3.0)</f>
        <v>3</v>
      </c>
      <c r="F141" s="88">
        <f>IFERROR(__xludf.DUMMYFUNCTION("""COMPUTED_VALUE"""),0.0)</f>
        <v>0</v>
      </c>
      <c r="G141" s="88">
        <f>IFERROR(__xludf.DUMMYFUNCTION("""COMPUTED_VALUE"""),9.0)</f>
        <v>9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IFERROR(__xludf.DUMMYFUNCTION("""COMPUTED_VALUE"""),9.0)</f>
        <v>9</v>
      </c>
      <c r="L141" s="88">
        <f>IFERROR(__xludf.DUMMYFUNCTION("""COMPUTED_VALUE"""),0.0)</f>
        <v>0</v>
      </c>
      <c r="M141" s="89">
        <f>IFERROR(__xludf.DUMMYFUNCTION("""COMPUTED_VALUE"""),36.0)</f>
        <v>36</v>
      </c>
      <c r="N141" s="89">
        <f>IFERROR(__xludf.DUMMYFUNCTION("""COMPUTED_VALUE"""),3.0)</f>
        <v>3</v>
      </c>
    </row>
    <row r="142">
      <c r="A142" s="11"/>
      <c r="B142" s="82" t="str">
        <f>IFERROR(__xludf.DUMMYFUNCTION("""COMPUTED_VALUE"""),"Sanjaye Elayattu")</f>
        <v>Sanjaye Elayattu</v>
      </c>
      <c r="C142" s="87">
        <f>IFERROR(__xludf.DUMMYFUNCTION("""COMPUTED_VALUE"""),26.0)</f>
        <v>26</v>
      </c>
      <c r="D142" s="87">
        <f>IFERROR(__xludf.DUMMYFUNCTION("""COMPUTED_VALUE"""),2.0)</f>
        <v>2</v>
      </c>
      <c r="E142" s="86">
        <f>IFERROR(__xludf.DUMMYFUNCTION("""COMPUTED_VALUE"""),3.0)</f>
        <v>3</v>
      </c>
      <c r="F142" s="88">
        <f>IFERROR(__xludf.DUMMYFUNCTION("""COMPUTED_VALUE"""),0.0)</f>
        <v>0</v>
      </c>
      <c r="G142" s="88">
        <f>IFERROR(__xludf.DUMMYFUNCTION("""COMPUTED_VALUE"""),9.0)</f>
        <v>9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IFERROR(__xludf.DUMMYFUNCTION("""COMPUTED_VALUE"""),9.0)</f>
        <v>9</v>
      </c>
      <c r="L142" s="88">
        <f>IFERROR(__xludf.DUMMYFUNCTION("""COMPUTED_VALUE"""),0.0)</f>
        <v>0</v>
      </c>
      <c r="M142" s="89">
        <f>IFERROR(__xludf.DUMMYFUNCTION("""COMPUTED_VALUE"""),35.0)</f>
        <v>35</v>
      </c>
      <c r="N142" s="89">
        <f>IFERROR(__xludf.DUMMYFUNCTION("""COMPUTED_VALUE"""),2.0)</f>
        <v>2</v>
      </c>
    </row>
    <row r="143">
      <c r="A143" s="11"/>
      <c r="B143" s="82" t="str">
        <f>IFERROR(__xludf.DUMMYFUNCTION("""COMPUTED_VALUE"""),"Robert Chang")</f>
        <v>Robert Chang</v>
      </c>
      <c r="C143" s="87">
        <f>IFERROR(__xludf.DUMMYFUNCTION("""COMPUTED_VALUE"""),25.0)</f>
        <v>25</v>
      </c>
      <c r="D143" s="87">
        <f>IFERROR(__xludf.DUMMYFUNCTION("""COMPUTED_VALUE"""),2.0)</f>
        <v>2</v>
      </c>
      <c r="E143" s="86">
        <f>IFERROR(__xludf.DUMMYFUNCTION("""COMPUTED_VALUE"""),5.0)</f>
        <v>5</v>
      </c>
      <c r="F143" s="88">
        <f>IFERROR(__xludf.DUMMYFUNCTION("""COMPUTED_VALUE"""),0.0)</f>
        <v>0</v>
      </c>
      <c r="G143" s="88">
        <f>IFERROR(__xludf.DUMMYFUNCTION("""COMPUTED_VALUE"""),13.0)</f>
        <v>13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IFERROR(__xludf.DUMMYFUNCTION("""COMPUTED_VALUE"""),13.0)</f>
        <v>13</v>
      </c>
      <c r="L143" s="88">
        <f>IFERROR(__xludf.DUMMYFUNCTION("""COMPUTED_VALUE"""),0.0)</f>
        <v>0</v>
      </c>
      <c r="M143" s="89">
        <f>IFERROR(__xludf.DUMMYFUNCTION("""COMPUTED_VALUE"""),38.0)</f>
        <v>38</v>
      </c>
      <c r="N143" s="89">
        <f>IFERROR(__xludf.DUMMYFUNCTION("""COMPUTED_VALUE"""),2.0)</f>
        <v>2</v>
      </c>
    </row>
    <row r="144">
      <c r="A144" s="11"/>
      <c r="B144" s="82" t="str">
        <f>IFERROR(__xludf.DUMMYFUNCTION("""COMPUTED_VALUE"""),"Elayaraja Thangaraj ")</f>
        <v>Elayaraja Thangaraj </v>
      </c>
      <c r="C144" s="87">
        <f>IFERROR(__xludf.DUMMYFUNCTION("""COMPUTED_VALUE"""),25.0)</f>
        <v>25</v>
      </c>
      <c r="D144" s="87">
        <f>IFERROR(__xludf.DUMMYFUNCTION("""COMPUTED_VALUE"""),1.0)</f>
        <v>1</v>
      </c>
      <c r="E144" s="86">
        <f>IFERROR(__xludf.DUMMYFUNCTION("""COMPUTED_VALUE"""),3.0)</f>
        <v>3</v>
      </c>
      <c r="F144" s="88">
        <f>IFERROR(__xludf.DUMMYFUNCTION("""COMPUTED_VALUE"""),0.0)</f>
        <v>0</v>
      </c>
      <c r="G144" s="88">
        <f>IFERROR(__xludf.DUMMYFUNCTION("""COMPUTED_VALUE"""),9.0)</f>
        <v>9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IFERROR(__xludf.DUMMYFUNCTION("""COMPUTED_VALUE"""),9.0)</f>
        <v>9</v>
      </c>
      <c r="L144" s="88">
        <f>IFERROR(__xludf.DUMMYFUNCTION("""COMPUTED_VALUE"""),0.0)</f>
        <v>0</v>
      </c>
      <c r="M144" s="89">
        <f>IFERROR(__xludf.DUMMYFUNCTION("""COMPUTED_VALUE"""),34.0)</f>
        <v>34</v>
      </c>
      <c r="N144" s="89">
        <f>IFERROR(__xludf.DUMMYFUNCTION("""COMPUTED_VALUE"""),1.0)</f>
        <v>1</v>
      </c>
    </row>
    <row r="145">
      <c r="A145" s="11"/>
      <c r="B145" s="82" t="str">
        <f>IFERROR(__xludf.DUMMYFUNCTION("""COMPUTED_VALUE"""),"Christopher Li")</f>
        <v>Christopher Li</v>
      </c>
      <c r="C145" s="87">
        <f>IFERROR(__xludf.DUMMYFUNCTION("""COMPUTED_VALUE"""),24.0)</f>
        <v>24</v>
      </c>
      <c r="D145" s="87">
        <f>IFERROR(__xludf.DUMMYFUNCTION("""COMPUTED_VALUE"""),1.0)</f>
        <v>1</v>
      </c>
      <c r="E145" s="86">
        <f>IFERROR(__xludf.DUMMYFUNCTION("""COMPUTED_VALUE"""),3.0)</f>
        <v>3</v>
      </c>
      <c r="F145" s="88">
        <f>IFERROR(__xludf.DUMMYFUNCTION("""COMPUTED_VALUE"""),0.0)</f>
        <v>0</v>
      </c>
      <c r="G145" s="88">
        <f>IFERROR(__xludf.DUMMYFUNCTION("""COMPUTED_VALUE"""),9.0)</f>
        <v>9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IFERROR(__xludf.DUMMYFUNCTION("""COMPUTED_VALUE"""),9.0)</f>
        <v>9</v>
      </c>
      <c r="L145" s="88">
        <f>IFERROR(__xludf.DUMMYFUNCTION("""COMPUTED_VALUE"""),0.0)</f>
        <v>0</v>
      </c>
      <c r="M145" s="89">
        <f>IFERROR(__xludf.DUMMYFUNCTION("""COMPUTED_VALUE"""),33.0)</f>
        <v>33</v>
      </c>
      <c r="N145" s="89">
        <f>IFERROR(__xludf.DUMMYFUNCTION("""COMPUTED_VALUE"""),1.0)</f>
        <v>1</v>
      </c>
    </row>
    <row r="146">
      <c r="A146" s="11"/>
      <c r="B146" s="82" t="str">
        <f>IFERROR(__xludf.DUMMYFUNCTION("""COMPUTED_VALUE"""),"Cid Macaraeg")</f>
        <v>Cid Macaraeg</v>
      </c>
      <c r="C146" s="87">
        <f>IFERROR(__xludf.DUMMYFUNCTION("""COMPUTED_VALUE"""),23.0)</f>
        <v>23</v>
      </c>
      <c r="D146" s="87">
        <f>IFERROR(__xludf.DUMMYFUNCTION("""COMPUTED_VALUE"""),1.0)</f>
        <v>1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IFERROR(__xludf.DUMMYFUNCTION("""COMPUTED_VALUE"""),32.0)</f>
        <v>32</v>
      </c>
      <c r="N146" s="89">
        <f>IFERROR(__xludf.DUMMYFUNCTION("""COMPUTED_VALUE"""),1.0)</f>
        <v>1</v>
      </c>
    </row>
    <row r="147">
      <c r="A147" s="11"/>
      <c r="B147" s="82" t="str">
        <f>IFERROR(__xludf.DUMMYFUNCTION("""COMPUTED_VALUE"""),"Joe Luzzi")</f>
        <v>Joe Luzzi</v>
      </c>
      <c r="C147" s="87">
        <f>IFERROR(__xludf.DUMMYFUNCTION("""COMPUTED_VALUE"""),22.0)</f>
        <v>22</v>
      </c>
      <c r="D147" s="87">
        <f>IFERROR(__xludf.DUMMYFUNCTION("""COMPUTED_VALUE"""),3.0)</f>
        <v>3</v>
      </c>
      <c r="E147" s="86">
        <f>IFERROR(__xludf.DUMMYFUNCTION("""COMPUTED_VALUE"""),5.0)</f>
        <v>5</v>
      </c>
      <c r="F147" s="88">
        <f>IFERROR(__xludf.DUMMYFUNCTION("""COMPUTED_VALUE"""),0.0)</f>
        <v>0</v>
      </c>
      <c r="G147" s="88">
        <f>IFERROR(__xludf.DUMMYFUNCTION("""COMPUTED_VALUE"""),13.0)</f>
        <v>13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IFERROR(__xludf.DUMMYFUNCTION("""COMPUTED_VALUE"""),13.0)</f>
        <v>13</v>
      </c>
      <c r="L147" s="88">
        <f>IFERROR(__xludf.DUMMYFUNCTION("""COMPUTED_VALUE"""),0.0)</f>
        <v>0</v>
      </c>
      <c r="M147" s="89">
        <f>IFERROR(__xludf.DUMMYFUNCTION("""COMPUTED_VALUE"""),35.0)</f>
        <v>35</v>
      </c>
      <c r="N147" s="89">
        <f>IFERROR(__xludf.DUMMYFUNCTION("""COMPUTED_VALUE"""),3.0)</f>
        <v>3</v>
      </c>
    </row>
    <row r="148">
      <c r="A148" s="11"/>
      <c r="B148" s="82" t="str">
        <f>IFERROR(__xludf.DUMMYFUNCTION("""COMPUTED_VALUE"""),"Peter Homsey")</f>
        <v>Peter Homsey</v>
      </c>
      <c r="C148" s="87">
        <f>IFERROR(__xludf.DUMMYFUNCTION("""COMPUTED_VALUE"""),22.0)</f>
        <v>22</v>
      </c>
      <c r="D148" s="87">
        <f>IFERROR(__xludf.DUMMYFUNCTION("""COMPUTED_VALUE"""),0.0)</f>
        <v>0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IFERROR(__xludf.DUMMYFUNCTION("""COMPUTED_VALUE"""),31.0)</f>
        <v>31</v>
      </c>
      <c r="N148" s="89">
        <f>IFERROR(__xludf.DUMMYFUNCTION("""COMPUTED_VALUE"""),0.0)</f>
        <v>0</v>
      </c>
    </row>
    <row r="149">
      <c r="A149" s="11"/>
      <c r="B149" s="82" t="str">
        <f>IFERROR(__xludf.DUMMYFUNCTION("""COMPUTED_VALUE"""),"Manuel Rivera")</f>
        <v>Manuel Rivera</v>
      </c>
      <c r="C149" s="87">
        <f>IFERROR(__xludf.DUMMYFUNCTION("""COMPUTED_VALUE"""),22.0)</f>
        <v>22</v>
      </c>
      <c r="D149" s="87">
        <f>IFERROR(__xludf.DUMMYFUNCTION("""COMPUTED_VALUE"""),0.0)</f>
        <v>0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IFERROR(__xludf.DUMMYFUNCTION("""COMPUTED_VALUE"""),31.0)</f>
        <v>31</v>
      </c>
      <c r="N149" s="89">
        <f>IFERROR(__xludf.DUMMYFUNCTION("""COMPUTED_VALUE"""),0.0)</f>
        <v>0</v>
      </c>
    </row>
    <row r="150">
      <c r="A150" s="11"/>
      <c r="B150" s="82" t="str">
        <f>IFERROR(__xludf.DUMMYFUNCTION("""COMPUTED_VALUE"""),"Tony Lin")</f>
        <v>Tony Lin</v>
      </c>
      <c r="C150" s="87">
        <f>IFERROR(__xludf.DUMMYFUNCTION("""COMPUTED_VALUE"""),22.0)</f>
        <v>22</v>
      </c>
      <c r="D150" s="87">
        <f>IFERROR(__xludf.DUMMYFUNCTION("""COMPUTED_VALUE"""),0.0)</f>
        <v>0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IFERROR(__xludf.DUMMYFUNCTION("""COMPUTED_VALUE"""),31.0)</f>
        <v>31</v>
      </c>
      <c r="N150" s="89">
        <f>IFERROR(__xludf.DUMMYFUNCTION("""COMPUTED_VALUE"""),0.0)</f>
        <v>0</v>
      </c>
    </row>
    <row r="151">
      <c r="A151" s="11"/>
      <c r="B151" s="82" t="str">
        <f>IFERROR(__xludf.DUMMYFUNCTION("""COMPUTED_VALUE"""),"David Shin")</f>
        <v>David Shin</v>
      </c>
      <c r="C151" s="87">
        <f>IFERROR(__xludf.DUMMYFUNCTION("""COMPUTED_VALUE"""),22.0)</f>
        <v>22</v>
      </c>
      <c r="D151" s="87">
        <f>IFERROR(__xludf.DUMMYFUNCTION("""COMPUTED_VALUE"""),0.0)</f>
        <v>0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IFERROR(__xludf.DUMMYFUNCTION("""COMPUTED_VALUE"""),31.0)</f>
        <v>31</v>
      </c>
      <c r="N151" s="89">
        <f>IFERROR(__xludf.DUMMYFUNCTION("""COMPUTED_VALUE"""),0.0)</f>
        <v>0</v>
      </c>
    </row>
    <row r="152">
      <c r="A152" s="11"/>
      <c r="B152" s="82" t="str">
        <f>IFERROR(__xludf.DUMMYFUNCTION("""COMPUTED_VALUE"""),"Sean Chang")</f>
        <v>Sean Chang</v>
      </c>
      <c r="C152" s="87">
        <f>IFERROR(__xludf.DUMMYFUNCTION("""COMPUTED_VALUE"""),22.0)</f>
        <v>22</v>
      </c>
      <c r="D152" s="87">
        <f>IFERROR(__xludf.DUMMYFUNCTION("""COMPUTED_VALUE"""),0.0)</f>
        <v>0</v>
      </c>
      <c r="E152" s="86">
        <f>IFERROR(__xludf.DUMMYFUNCTION("""COMPUTED_VALUE"""),3.0)</f>
        <v>3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IFERROR(__xludf.DUMMYFUNCTION("""COMPUTED_VALUE"""),31.0)</f>
        <v>31</v>
      </c>
      <c r="N152" s="89">
        <f>IFERROR(__xludf.DUMMYFUNCTION("""COMPUTED_VALUE"""),0.0)</f>
        <v>0</v>
      </c>
    </row>
    <row r="153">
      <c r="A153" s="11"/>
      <c r="B153" s="82" t="str">
        <f>IFERROR(__xludf.DUMMYFUNCTION("""COMPUTED_VALUE"""),"Trish Newlin")</f>
        <v>Trish Newlin</v>
      </c>
      <c r="C153" s="87">
        <f>IFERROR(__xludf.DUMMYFUNCTION("""COMPUTED_VALUE"""),21.0)</f>
        <v>21</v>
      </c>
      <c r="D153" s="87">
        <f>IFERROR(__xludf.DUMMYFUNCTION("""COMPUTED_VALUE"""),1.0)</f>
        <v>1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IFERROR(__xludf.DUMMYFUNCTION("""COMPUTED_VALUE"""),30.0)</f>
        <v>30</v>
      </c>
      <c r="N153" s="89">
        <f>IFERROR(__xludf.DUMMYFUNCTION("""COMPUTED_VALUE"""),1.0)</f>
        <v>1</v>
      </c>
    </row>
    <row r="154">
      <c r="A154" s="11"/>
      <c r="B154" s="82" t="str">
        <f>IFERROR(__xludf.DUMMYFUNCTION("""COMPUTED_VALUE"""),"Kumar Palakeel")</f>
        <v>Kumar Palakeel</v>
      </c>
      <c r="C154" s="87">
        <f>IFERROR(__xludf.DUMMYFUNCTION("""COMPUTED_VALUE"""),19.0)</f>
        <v>19</v>
      </c>
      <c r="D154" s="87">
        <f>IFERROR(__xludf.DUMMYFUNCTION("""COMPUTED_VALUE"""),1.0)</f>
        <v>1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IFERROR(__xludf.DUMMYFUNCTION("""COMPUTED_VALUE"""),28.0)</f>
        <v>28</v>
      </c>
      <c r="N154" s="89">
        <f>IFERROR(__xludf.DUMMYFUNCTION("""COMPUTED_VALUE"""),1.0)</f>
        <v>1</v>
      </c>
    </row>
    <row r="155">
      <c r="A155" s="11"/>
      <c r="B155" s="82" t="str">
        <f>IFERROR(__xludf.DUMMYFUNCTION("""COMPUTED_VALUE"""),"Mauricio Palacios")</f>
        <v>Mauricio Palacios</v>
      </c>
      <c r="C155" s="87">
        <f>IFERROR(__xludf.DUMMYFUNCTION("""COMPUTED_VALUE"""),19.0)</f>
        <v>19</v>
      </c>
      <c r="D155" s="87">
        <f>IFERROR(__xludf.DUMMYFUNCTION("""COMPUTED_VALUE"""),1.0)</f>
        <v>1</v>
      </c>
      <c r="E155" s="86">
        <f>IFERROR(__xludf.DUMMYFUNCTION("""COMPUTED_VALUE"""),3.0)</f>
        <v>3</v>
      </c>
      <c r="F155" s="88">
        <f>IFERROR(__xludf.DUMMYFUNCTION("""COMPUTED_VALUE"""),0.0)</f>
        <v>0</v>
      </c>
      <c r="G155" s="88">
        <f>IFERROR(__xludf.DUMMYFUNCTION("""COMPUTED_VALUE"""),9.0)</f>
        <v>9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IFERROR(__xludf.DUMMYFUNCTION("""COMPUTED_VALUE"""),9.0)</f>
        <v>9</v>
      </c>
      <c r="L155" s="88">
        <f>IFERROR(__xludf.DUMMYFUNCTION("""COMPUTED_VALUE"""),0.0)</f>
        <v>0</v>
      </c>
      <c r="M155" s="89">
        <f>IFERROR(__xludf.DUMMYFUNCTION("""COMPUTED_VALUE"""),28.0)</f>
        <v>28</v>
      </c>
      <c r="N155" s="89">
        <f>IFERROR(__xludf.DUMMYFUNCTION("""COMPUTED_VALUE"""),1.0)</f>
        <v>1</v>
      </c>
    </row>
    <row r="156">
      <c r="A156" s="11"/>
      <c r="B156" s="82" t="str">
        <f>IFERROR(__xludf.DUMMYFUNCTION("""COMPUTED_VALUE"""),"Joyce Zhu")</f>
        <v>Joyce Zhu</v>
      </c>
      <c r="C156" s="87">
        <f>IFERROR(__xludf.DUMMYFUNCTION("""COMPUTED_VALUE"""),18.0)</f>
        <v>18</v>
      </c>
      <c r="D156" s="87">
        <f>IFERROR(__xludf.DUMMYFUNCTION("""COMPUTED_VALUE"""),2.0)</f>
        <v>2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IFERROR(__xludf.DUMMYFUNCTION("""COMPUTED_VALUE"""),27.0)</f>
        <v>27</v>
      </c>
      <c r="N156" s="89">
        <f>IFERROR(__xludf.DUMMYFUNCTION("""COMPUTED_VALUE"""),2.0)</f>
        <v>2</v>
      </c>
    </row>
    <row r="157">
      <c r="A157" s="11"/>
      <c r="B157" s="82" t="str">
        <f>IFERROR(__xludf.DUMMYFUNCTION("""COMPUTED_VALUE"""),"Vinaya Kajla")</f>
        <v>Vinaya Kajla</v>
      </c>
      <c r="C157" s="87">
        <f>IFERROR(__xludf.DUMMYFUNCTION("""COMPUTED_VALUE"""),18.0)</f>
        <v>18</v>
      </c>
      <c r="D157" s="87">
        <f>IFERROR(__xludf.DUMMYFUNCTION("""COMPUTED_VALUE"""),2.0)</f>
        <v>2</v>
      </c>
      <c r="E157" s="86">
        <f>IFERROR(__xludf.DUMMYFUNCTION("""COMPUTED_VALUE"""),5.0)</f>
        <v>5</v>
      </c>
      <c r="F157" s="88">
        <f>IFERROR(__xludf.DUMMYFUNCTION("""COMPUTED_VALUE"""),0.0)</f>
        <v>0</v>
      </c>
      <c r="G157" s="88">
        <f>IFERROR(__xludf.DUMMYFUNCTION("""COMPUTED_VALUE"""),13.0)</f>
        <v>13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IFERROR(__xludf.DUMMYFUNCTION("""COMPUTED_VALUE"""),13.0)</f>
        <v>13</v>
      </c>
      <c r="L157" s="88">
        <f>IFERROR(__xludf.DUMMYFUNCTION("""COMPUTED_VALUE"""),0.0)</f>
        <v>0</v>
      </c>
      <c r="M157" s="89">
        <f>IFERROR(__xludf.DUMMYFUNCTION("""COMPUTED_VALUE"""),31.0)</f>
        <v>31</v>
      </c>
      <c r="N157" s="89">
        <f>IFERROR(__xludf.DUMMYFUNCTION("""COMPUTED_VALUE"""),2.0)</f>
        <v>2</v>
      </c>
    </row>
    <row r="158">
      <c r="A158" s="11"/>
      <c r="B158" s="82" t="str">
        <f>IFERROR(__xludf.DUMMYFUNCTION("""COMPUTED_VALUE"""),"Balaji Alahari")</f>
        <v>Balaji Alahari</v>
      </c>
      <c r="C158" s="87">
        <f>IFERROR(__xludf.DUMMYFUNCTION("""COMPUTED_VALUE"""),18.0)</f>
        <v>18</v>
      </c>
      <c r="D158" s="87">
        <f>IFERROR(__xludf.DUMMYFUNCTION("""COMPUTED_VALUE"""),1.0)</f>
        <v>1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IFERROR(__xludf.DUMMYFUNCTION("""COMPUTED_VALUE"""),27.0)</f>
        <v>27</v>
      </c>
      <c r="N158" s="89">
        <f>IFERROR(__xludf.DUMMYFUNCTION("""COMPUTED_VALUE"""),1.0)</f>
        <v>1</v>
      </c>
    </row>
    <row r="159">
      <c r="A159" s="11"/>
      <c r="B159" s="82" t="str">
        <f>IFERROR(__xludf.DUMMYFUNCTION("""COMPUTED_VALUE"""),"Nohely Mejia")</f>
        <v>Nohely Mejia</v>
      </c>
      <c r="C159" s="87">
        <f>IFERROR(__xludf.DUMMYFUNCTION("""COMPUTED_VALUE"""),18.0)</f>
        <v>18</v>
      </c>
      <c r="D159" s="87">
        <f>IFERROR(__xludf.DUMMYFUNCTION("""COMPUTED_VALUE"""),0.0)</f>
        <v>0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IFERROR(__xludf.DUMMYFUNCTION("""COMPUTED_VALUE"""),27.0)</f>
        <v>27</v>
      </c>
      <c r="N159" s="89">
        <f>IFERROR(__xludf.DUMMYFUNCTION("""COMPUTED_VALUE"""),0.0)</f>
        <v>0</v>
      </c>
    </row>
    <row r="160">
      <c r="A160" s="11"/>
      <c r="B160" s="82" t="str">
        <f>IFERROR(__xludf.DUMMYFUNCTION("""COMPUTED_VALUE"""),"Amit Patel")</f>
        <v>Amit Patel</v>
      </c>
      <c r="C160" s="87">
        <f>IFERROR(__xludf.DUMMYFUNCTION("""COMPUTED_VALUE"""),18.0)</f>
        <v>18</v>
      </c>
      <c r="D160" s="87">
        <f>IFERROR(__xludf.DUMMYFUNCTION("""COMPUTED_VALUE"""),0.0)</f>
        <v>0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IFERROR(__xludf.DUMMYFUNCTION("""COMPUTED_VALUE"""),27.0)</f>
        <v>27</v>
      </c>
      <c r="N160" s="89">
        <f>IFERROR(__xludf.DUMMYFUNCTION("""COMPUTED_VALUE"""),0.0)</f>
        <v>0</v>
      </c>
    </row>
    <row r="161">
      <c r="A161" s="11"/>
      <c r="B161" s="82" t="str">
        <f>IFERROR(__xludf.DUMMYFUNCTION("""COMPUTED_VALUE"""),"Jimmy Awolesi")</f>
        <v>Jimmy Awolesi</v>
      </c>
      <c r="C161" s="87">
        <f>IFERROR(__xludf.DUMMYFUNCTION("""COMPUTED_VALUE"""),18.0)</f>
        <v>18</v>
      </c>
      <c r="D161" s="87">
        <f>IFERROR(__xludf.DUMMYFUNCTION("""COMPUTED_VALUE"""),0.0)</f>
        <v>0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IFERROR(__xludf.DUMMYFUNCTION("""COMPUTED_VALUE"""),27.0)</f>
        <v>27</v>
      </c>
      <c r="N161" s="89">
        <f>IFERROR(__xludf.DUMMYFUNCTION("""COMPUTED_VALUE"""),0.0)</f>
        <v>0</v>
      </c>
    </row>
    <row r="162">
      <c r="A162" s="11"/>
      <c r="B162" s="82" t="str">
        <f>IFERROR(__xludf.DUMMYFUNCTION("""COMPUTED_VALUE"""),"Santosh Sundaresan ")</f>
        <v>Santosh Sundaresan </v>
      </c>
      <c r="C162" s="87">
        <f>IFERROR(__xludf.DUMMYFUNCTION("""COMPUTED_VALUE"""),18.0)</f>
        <v>18</v>
      </c>
      <c r="D162" s="87">
        <f>IFERROR(__xludf.DUMMYFUNCTION("""COMPUTED_VALUE"""),0.0)</f>
        <v>0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IFERROR(__xludf.DUMMYFUNCTION("""COMPUTED_VALUE"""),27.0)</f>
        <v>27</v>
      </c>
      <c r="N162" s="89">
        <f>IFERROR(__xludf.DUMMYFUNCTION("""COMPUTED_VALUE"""),0.0)</f>
        <v>0</v>
      </c>
    </row>
    <row r="163">
      <c r="A163" s="11"/>
      <c r="B163" s="82" t="str">
        <f>IFERROR(__xludf.DUMMYFUNCTION("""COMPUTED_VALUE"""),"Peter Cheng")</f>
        <v>Peter Cheng</v>
      </c>
      <c r="C163" s="87">
        <f>IFERROR(__xludf.DUMMYFUNCTION("""COMPUTED_VALUE"""),18.0)</f>
        <v>18</v>
      </c>
      <c r="D163" s="87">
        <f>IFERROR(__xludf.DUMMYFUNCTION("""COMPUTED_VALUE"""),0.0)</f>
        <v>0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IFERROR(__xludf.DUMMYFUNCTION("""COMPUTED_VALUE"""),27.0)</f>
        <v>27</v>
      </c>
      <c r="N163" s="89">
        <f>IFERROR(__xludf.DUMMYFUNCTION("""COMPUTED_VALUE"""),0.0)</f>
        <v>0</v>
      </c>
    </row>
    <row r="164">
      <c r="A164" s="11"/>
      <c r="B164" s="82" t="str">
        <f>IFERROR(__xludf.DUMMYFUNCTION("""COMPUTED_VALUE"""),"Sai Dilip Ponnaganti")</f>
        <v>Sai Dilip Ponnaganti</v>
      </c>
      <c r="C164" s="87">
        <f>IFERROR(__xludf.DUMMYFUNCTION("""COMPUTED_VALUE"""),18.0)</f>
        <v>18</v>
      </c>
      <c r="D164" s="87">
        <f>IFERROR(__xludf.DUMMYFUNCTION("""COMPUTED_VALUE"""),0.0)</f>
        <v>0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IFERROR(__xludf.DUMMYFUNCTION("""COMPUTED_VALUE"""),27.0)</f>
        <v>27</v>
      </c>
      <c r="N164" s="89">
        <f>IFERROR(__xludf.DUMMYFUNCTION("""COMPUTED_VALUE"""),0.0)</f>
        <v>0</v>
      </c>
    </row>
    <row r="165">
      <c r="A165" s="11"/>
      <c r="B165" s="82" t="str">
        <f>IFERROR(__xludf.DUMMYFUNCTION("""COMPUTED_VALUE"""),"Manish Anand")</f>
        <v>Manish Anand</v>
      </c>
      <c r="C165" s="87">
        <f>IFERROR(__xludf.DUMMYFUNCTION("""COMPUTED_VALUE"""),18.0)</f>
        <v>18</v>
      </c>
      <c r="D165" s="87">
        <f>IFERROR(__xludf.DUMMYFUNCTION("""COMPUTED_VALUE"""),0.0)</f>
        <v>0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IFERROR(__xludf.DUMMYFUNCTION("""COMPUTED_VALUE"""),27.0)</f>
        <v>27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IFERROR(__xludf.DUMMYFUNCTION("""COMPUTED_VALUE"""),"James Phan")</f>
        <v>James Phan</v>
      </c>
      <c r="C166" s="87">
        <f>IFERROR(__xludf.DUMMYFUNCTION("""COMPUTED_VALUE"""),18.0)</f>
        <v>18</v>
      </c>
      <c r="D166" s="87">
        <f>IFERROR(__xludf.DUMMYFUNCTION("""COMPUTED_VALUE"""),0.0)</f>
        <v>0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IFERROR(__xludf.DUMMYFUNCTION("""COMPUTED_VALUE"""),27.0)</f>
        <v>27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IFERROR(__xludf.DUMMYFUNCTION("""COMPUTED_VALUE"""),"Jose Ortiz")</f>
        <v>Jose Ortiz</v>
      </c>
      <c r="C167" s="86">
        <f>IFERROR(__xludf.DUMMYFUNCTION("""COMPUTED_VALUE"""),18.0)</f>
        <v>18</v>
      </c>
      <c r="D167" s="87">
        <f>IFERROR(__xludf.DUMMYFUNCTION("""COMPUTED_VALUE"""),0.0)</f>
        <v>0</v>
      </c>
      <c r="E167" s="86">
        <f>IFERROR(__xludf.DUMMYFUNCTION("""COMPUTED_VALUE"""),3.0)</f>
        <v>3</v>
      </c>
      <c r="F167" s="88">
        <f>IFERROR(__xludf.DUMMYFUNCTION("""COMPUTED_VALUE"""),0.0)</f>
        <v>0</v>
      </c>
      <c r="G167" s="88">
        <f>IFERROR(__xludf.DUMMYFUNCTION("""COMPUTED_VALUE"""),9.0)</f>
        <v>9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IFERROR(__xludf.DUMMYFUNCTION("""COMPUTED_VALUE"""),9.0)</f>
        <v>9</v>
      </c>
      <c r="L167" s="88">
        <f>IFERROR(__xludf.DUMMYFUNCTION("""COMPUTED_VALUE"""),0.0)</f>
        <v>0</v>
      </c>
      <c r="M167" s="88">
        <f>IFERROR(__xludf.DUMMYFUNCTION("""COMPUTED_VALUE"""),27.0)</f>
        <v>27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IFERROR(__xludf.DUMMYFUNCTION("""COMPUTED_VALUE"""),"Pulkit Mathur")</f>
        <v>Pulkit Mathur</v>
      </c>
      <c r="C168" s="86">
        <f>IFERROR(__xludf.DUMMYFUNCTION("""COMPUTED_VALUE"""),18.0)</f>
        <v>18</v>
      </c>
      <c r="D168" s="87">
        <f>IFERROR(__xludf.DUMMYFUNCTION("""COMPUTED_VALUE"""),0.0)</f>
        <v>0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8">
        <f>IFERROR(__xludf.DUMMYFUNCTION("""COMPUTED_VALUE"""),27.0)</f>
        <v>27</v>
      </c>
      <c r="N168" s="89">
        <f>IFERROR(__xludf.DUMMYFUNCTION("""COMPUTED_VALUE"""),0.0)</f>
        <v>0</v>
      </c>
    </row>
    <row r="169">
      <c r="A169" s="11"/>
      <c r="B169" s="82" t="str">
        <f>IFERROR(__xludf.DUMMYFUNCTION("""COMPUTED_VALUE"""),"Rajesh Dorairaj")</f>
        <v>Rajesh Dorairaj</v>
      </c>
      <c r="C169" s="86">
        <f>IFERROR(__xludf.DUMMYFUNCTION("""COMPUTED_VALUE"""),18.0)</f>
        <v>18</v>
      </c>
      <c r="D169" s="87">
        <f>IFERROR(__xludf.DUMMYFUNCTION("""COMPUTED_VALUE"""),0.0)</f>
        <v>0</v>
      </c>
      <c r="E169" s="86">
        <f>IFERROR(__xludf.DUMMYFUNCTION("""COMPUTED_VALUE"""),3.0)</f>
        <v>3</v>
      </c>
      <c r="F169" s="88">
        <f>IFERROR(__xludf.DUMMYFUNCTION("""COMPUTED_VALUE"""),0.0)</f>
        <v>0</v>
      </c>
      <c r="G169" s="88">
        <f>IFERROR(__xludf.DUMMYFUNCTION("""COMPUTED_VALUE"""),9.0)</f>
        <v>9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IFERROR(__xludf.DUMMYFUNCTION("""COMPUTED_VALUE"""),9.0)</f>
        <v>9</v>
      </c>
      <c r="L169" s="88">
        <f>IFERROR(__xludf.DUMMYFUNCTION("""COMPUTED_VALUE"""),0.0)</f>
        <v>0</v>
      </c>
      <c r="M169" s="88">
        <f>IFERROR(__xludf.DUMMYFUNCTION("""COMPUTED_VALUE"""),27.0)</f>
        <v>27</v>
      </c>
      <c r="N169" s="89">
        <f>IFERROR(__xludf.DUMMYFUNCTION("""COMPUTED_VALUE"""),0.0)</f>
        <v>0</v>
      </c>
    </row>
    <row r="170">
      <c r="A170" s="11"/>
      <c r="B170" s="82" t="str">
        <f>IFERROR(__xludf.DUMMYFUNCTION("""COMPUTED_VALUE"""),"Susanta Mishra")</f>
        <v>Susanta Mishra</v>
      </c>
      <c r="C170" s="86">
        <f>IFERROR(__xludf.DUMMYFUNCTION("""COMPUTED_VALUE"""),18.0)</f>
        <v>18</v>
      </c>
      <c r="D170" s="87">
        <f>IFERROR(__xludf.DUMMYFUNCTION("""COMPUTED_VALUE"""),0.0)</f>
        <v>0</v>
      </c>
      <c r="E170" s="86">
        <f>IFERROR(__xludf.DUMMYFUNCTION("""COMPUTED_VALUE"""),3.0)</f>
        <v>3</v>
      </c>
      <c r="F170" s="88">
        <f>IFERROR(__xludf.DUMMYFUNCTION("""COMPUTED_VALUE"""),0.0)</f>
        <v>0</v>
      </c>
      <c r="G170" s="88">
        <f>IFERROR(__xludf.DUMMYFUNCTION("""COMPUTED_VALUE"""),9.0)</f>
        <v>9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IFERROR(__xludf.DUMMYFUNCTION("""COMPUTED_VALUE"""),9.0)</f>
        <v>9</v>
      </c>
      <c r="L170" s="88">
        <f>IFERROR(__xludf.DUMMYFUNCTION("""COMPUTED_VALUE"""),0.0)</f>
        <v>0</v>
      </c>
      <c r="M170" s="88">
        <f>IFERROR(__xludf.DUMMYFUNCTION("""COMPUTED_VALUE"""),27.0)</f>
        <v>27</v>
      </c>
      <c r="N170" s="89">
        <f>IFERROR(__xludf.DUMMYFUNCTION("""COMPUTED_VALUE"""),0.0)</f>
        <v>0</v>
      </c>
    </row>
    <row r="171">
      <c r="A171" s="11"/>
      <c r="B171" s="82" t="str">
        <f>IFERROR(__xludf.DUMMYFUNCTION("""COMPUTED_VALUE"""),"Chinna Ponnaganti")</f>
        <v>Chinna Ponnaganti</v>
      </c>
      <c r="C171" s="86">
        <f>IFERROR(__xludf.DUMMYFUNCTION("""COMPUTED_VALUE"""),18.0)</f>
        <v>18</v>
      </c>
      <c r="D171" s="87">
        <f>IFERROR(__xludf.DUMMYFUNCTION("""COMPUTED_VALUE"""),0.0)</f>
        <v>0</v>
      </c>
      <c r="E171" s="86">
        <f>IFERROR(__xludf.DUMMYFUNCTION("""COMPUTED_VALUE"""),3.0)</f>
        <v>3</v>
      </c>
      <c r="F171" s="88">
        <f>IFERROR(__xludf.DUMMYFUNCTION("""COMPUTED_VALUE"""),0.0)</f>
        <v>0</v>
      </c>
      <c r="G171" s="88">
        <f>IFERROR(__xludf.DUMMYFUNCTION("""COMPUTED_VALUE"""),9.0)</f>
        <v>9</v>
      </c>
      <c r="H171" s="88">
        <f>IFERROR(__xludf.DUMMYFUNCTION("""COMPUTED_VALUE"""),0.0)</f>
        <v>0</v>
      </c>
      <c r="I171" s="88">
        <f>IFERROR(__xludf.DUMMYFUNCTION("""COMPUTED_VALUE"""),0.0)</f>
        <v>0</v>
      </c>
      <c r="J171" s="88">
        <f>IFERROR(__xludf.DUMMYFUNCTION("""COMPUTED_VALUE"""),0.0)</f>
        <v>0</v>
      </c>
      <c r="K171" s="88">
        <f>IFERROR(__xludf.DUMMYFUNCTION("""COMPUTED_VALUE"""),9.0)</f>
        <v>9</v>
      </c>
      <c r="L171" s="88">
        <f>IFERROR(__xludf.DUMMYFUNCTION("""COMPUTED_VALUE"""),0.0)</f>
        <v>0</v>
      </c>
      <c r="M171" s="88">
        <f>IFERROR(__xludf.DUMMYFUNCTION("""COMPUTED_VALUE"""),27.0)</f>
        <v>27</v>
      </c>
      <c r="N171" s="89">
        <f>IFERROR(__xludf.DUMMYFUNCTION("""COMPUTED_VALUE"""),0.0)</f>
        <v>0</v>
      </c>
    </row>
    <row r="172">
      <c r="A172" s="11"/>
      <c r="B172" s="82" t="str">
        <f>IFERROR(__xludf.DUMMYFUNCTION("""COMPUTED_VALUE"""),"Naveen Raj")</f>
        <v>Naveen Raj</v>
      </c>
      <c r="C172" s="86">
        <f>IFERROR(__xludf.DUMMYFUNCTION("""COMPUTED_VALUE"""),18.0)</f>
        <v>18</v>
      </c>
      <c r="D172" s="87">
        <f>IFERROR(__xludf.DUMMYFUNCTION("""COMPUTED_VALUE"""),0.0)</f>
        <v>0</v>
      </c>
      <c r="E172" s="86">
        <f>IFERROR(__xludf.DUMMYFUNCTION("""COMPUTED_VALUE"""),3.0)</f>
        <v>3</v>
      </c>
      <c r="F172" s="88">
        <f>IFERROR(__xludf.DUMMYFUNCTION("""COMPUTED_VALUE"""),0.0)</f>
        <v>0</v>
      </c>
      <c r="G172" s="88">
        <f>IFERROR(__xludf.DUMMYFUNCTION("""COMPUTED_VALUE"""),9.0)</f>
        <v>9</v>
      </c>
      <c r="H172" s="88">
        <f>IFERROR(__xludf.DUMMYFUNCTION("""COMPUTED_VALUE"""),0.0)</f>
        <v>0</v>
      </c>
      <c r="I172" s="88">
        <f>IFERROR(__xludf.DUMMYFUNCTION("""COMPUTED_VALUE"""),0.0)</f>
        <v>0</v>
      </c>
      <c r="J172" s="88">
        <f>IFERROR(__xludf.DUMMYFUNCTION("""COMPUTED_VALUE"""),0.0)</f>
        <v>0</v>
      </c>
      <c r="K172" s="88">
        <f>IFERROR(__xludf.DUMMYFUNCTION("""COMPUTED_VALUE"""),9.0)</f>
        <v>9</v>
      </c>
      <c r="L172" s="88">
        <f>IFERROR(__xludf.DUMMYFUNCTION("""COMPUTED_VALUE"""),0.0)</f>
        <v>0</v>
      </c>
      <c r="M172" s="88">
        <f>IFERROR(__xludf.DUMMYFUNCTION("""COMPUTED_VALUE"""),27.0)</f>
        <v>27</v>
      </c>
      <c r="N172" s="89">
        <f>IFERROR(__xludf.DUMMYFUNCTION("""COMPUTED_VALUE"""),0.0)</f>
        <v>0</v>
      </c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C201" s="11"/>
      <c r="D201" s="11"/>
      <c r="E201" s="11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B222" s="90" t="s">
        <v>167</v>
      </c>
      <c r="C222" s="11"/>
      <c r="D222" s="11"/>
      <c r="E222" s="11"/>
      <c r="U222" s="90" t="s">
        <v>168</v>
      </c>
    </row>
    <row r="223">
      <c r="A223" s="49">
        <v>1.0</v>
      </c>
      <c r="B223" s="82" t="str">
        <f>IFERROR(__xludf.DUMMYFUNCTION("QUERY(B5:Q69, ""Select B   where Q is null"")"),"#N/A")</f>
        <v>#N/A</v>
      </c>
      <c r="C223" s="11"/>
      <c r="D223" s="11"/>
      <c r="E223" s="11"/>
      <c r="T223" s="49">
        <v>1.0</v>
      </c>
      <c r="U223" s="17" t="str">
        <f>IFERROR(__xludf.DUMMYFUNCTION("QUERY(B5:Q69, ""Select B   where Q = 'N' "")"),"#N/A")</f>
        <v>#N/A</v>
      </c>
    </row>
    <row r="224">
      <c r="A224" s="11">
        <f t="shared" ref="A224:A244" si="69">A223+1</f>
        <v>2</v>
      </c>
      <c r="B224" s="82"/>
      <c r="C224" s="11"/>
      <c r="D224" s="11"/>
      <c r="E224" s="11"/>
      <c r="T224" s="11">
        <f t="shared" ref="T224:T235" si="70">T223+1</f>
        <v>2</v>
      </c>
    </row>
    <row r="225">
      <c r="A225" s="11">
        <f t="shared" si="69"/>
        <v>3</v>
      </c>
      <c r="B225" s="82"/>
      <c r="C225" s="11"/>
      <c r="D225" s="11"/>
      <c r="E225" s="11"/>
      <c r="T225" s="11">
        <f t="shared" si="70"/>
        <v>3</v>
      </c>
    </row>
    <row r="226">
      <c r="A226" s="11">
        <f t="shared" si="69"/>
        <v>4</v>
      </c>
      <c r="B226" s="82"/>
      <c r="C226" s="11"/>
      <c r="D226" s="11"/>
      <c r="E226" s="11"/>
      <c r="T226" s="11">
        <f t="shared" si="70"/>
        <v>4</v>
      </c>
    </row>
    <row r="227">
      <c r="A227" s="11">
        <f t="shared" si="69"/>
        <v>5</v>
      </c>
      <c r="B227" s="82"/>
      <c r="C227" s="11"/>
      <c r="D227" s="11"/>
      <c r="E227" s="11"/>
      <c r="T227" s="11">
        <f t="shared" si="70"/>
        <v>5</v>
      </c>
    </row>
    <row r="228">
      <c r="A228" s="11">
        <f t="shared" si="69"/>
        <v>6</v>
      </c>
      <c r="B228" s="82"/>
      <c r="C228" s="11"/>
      <c r="D228" s="11"/>
      <c r="E228" s="11"/>
      <c r="T228" s="11">
        <f t="shared" si="70"/>
        <v>6</v>
      </c>
    </row>
    <row r="229">
      <c r="A229" s="11">
        <f t="shared" si="69"/>
        <v>7</v>
      </c>
      <c r="B229" s="82"/>
      <c r="C229" s="11"/>
      <c r="D229" s="11"/>
      <c r="E229" s="11"/>
      <c r="T229" s="11">
        <f t="shared" si="70"/>
        <v>7</v>
      </c>
    </row>
    <row r="230">
      <c r="A230" s="11">
        <f t="shared" si="69"/>
        <v>8</v>
      </c>
      <c r="B230" s="82"/>
      <c r="C230" s="11"/>
      <c r="D230" s="11"/>
      <c r="E230" s="11"/>
      <c r="T230" s="11">
        <f t="shared" si="70"/>
        <v>8</v>
      </c>
    </row>
    <row r="231">
      <c r="A231" s="11">
        <f t="shared" si="69"/>
        <v>9</v>
      </c>
      <c r="B231" s="82"/>
      <c r="C231" s="11"/>
      <c r="D231" s="11"/>
      <c r="E231" s="11"/>
      <c r="T231" s="11">
        <f t="shared" si="70"/>
        <v>9</v>
      </c>
    </row>
    <row r="232">
      <c r="A232" s="11">
        <f t="shared" si="69"/>
        <v>10</v>
      </c>
      <c r="B232" s="82"/>
      <c r="C232" s="11"/>
      <c r="D232" s="11"/>
      <c r="E232" s="11"/>
      <c r="T232" s="11">
        <f t="shared" si="70"/>
        <v>10</v>
      </c>
    </row>
    <row r="233">
      <c r="A233" s="11">
        <f t="shared" si="69"/>
        <v>11</v>
      </c>
      <c r="B233" s="82"/>
      <c r="C233" s="11"/>
      <c r="D233" s="11"/>
      <c r="E233" s="11"/>
      <c r="T233" s="11">
        <f t="shared" si="70"/>
        <v>11</v>
      </c>
    </row>
    <row r="234">
      <c r="A234" s="11">
        <f t="shared" si="69"/>
        <v>12</v>
      </c>
      <c r="B234" s="82"/>
      <c r="C234" s="11"/>
      <c r="D234" s="11"/>
      <c r="E234" s="11"/>
      <c r="T234" s="11">
        <f t="shared" si="70"/>
        <v>12</v>
      </c>
    </row>
    <row r="235">
      <c r="A235" s="11">
        <f t="shared" si="69"/>
        <v>13</v>
      </c>
      <c r="B235" s="82"/>
      <c r="C235" s="11"/>
      <c r="D235" s="11"/>
      <c r="E235" s="11"/>
      <c r="T235" s="11">
        <f t="shared" si="70"/>
        <v>13</v>
      </c>
    </row>
    <row r="236">
      <c r="A236" s="11">
        <f t="shared" si="69"/>
        <v>14</v>
      </c>
      <c r="B236" s="82"/>
      <c r="C236" s="11"/>
      <c r="D236" s="11"/>
      <c r="E236" s="11"/>
    </row>
    <row r="237">
      <c r="A237" s="11">
        <f t="shared" si="69"/>
        <v>15</v>
      </c>
      <c r="B237" s="82"/>
      <c r="C237" s="11"/>
      <c r="D237" s="11"/>
      <c r="E237" s="11"/>
    </row>
    <row r="238">
      <c r="A238" s="11">
        <f t="shared" si="69"/>
        <v>16</v>
      </c>
      <c r="B238" s="82"/>
      <c r="C238" s="11"/>
      <c r="D238" s="11"/>
      <c r="E238" s="11"/>
    </row>
    <row r="239">
      <c r="A239" s="11">
        <f t="shared" si="69"/>
        <v>17</v>
      </c>
      <c r="B239" s="82"/>
      <c r="C239" s="11"/>
      <c r="D239" s="11"/>
      <c r="E239" s="11"/>
    </row>
    <row r="240">
      <c r="A240" s="11">
        <f t="shared" si="69"/>
        <v>18</v>
      </c>
      <c r="B240" s="82"/>
      <c r="C240" s="11"/>
      <c r="D240" s="11"/>
      <c r="E240" s="11"/>
    </row>
    <row r="241">
      <c r="A241" s="11">
        <f t="shared" si="69"/>
        <v>19</v>
      </c>
      <c r="B241" s="82"/>
      <c r="C241" s="11"/>
      <c r="D241" s="11"/>
      <c r="E241" s="11"/>
    </row>
    <row r="242">
      <c r="A242" s="11">
        <f t="shared" si="69"/>
        <v>20</v>
      </c>
      <c r="B242" s="82"/>
      <c r="C242" s="11"/>
      <c r="D242" s="11"/>
      <c r="E242" s="11"/>
    </row>
    <row r="243">
      <c r="A243" s="11">
        <f t="shared" si="69"/>
        <v>21</v>
      </c>
      <c r="B243" s="82"/>
      <c r="C243" s="11"/>
      <c r="D243" s="11"/>
      <c r="E243" s="11"/>
    </row>
    <row r="244">
      <c r="A244" s="11">
        <f t="shared" si="69"/>
        <v>22</v>
      </c>
      <c r="B244" s="82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1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1" priority="7" operator="containsText" text="Good">
      <formula>NOT(ISERROR(SEARCH(("Good"),(L80))))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45486.0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f>'070624'!D2+1</f>
        <v>2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43</v>
      </c>
      <c r="C5" s="32">
        <v>19.0</v>
      </c>
      <c r="D5" s="32">
        <v>3.0</v>
      </c>
      <c r="E5" s="37">
        <v>5.0</v>
      </c>
      <c r="F5" s="39">
        <v>0.0</v>
      </c>
      <c r="G5" s="40">
        <v>13.0</v>
      </c>
      <c r="H5" s="39">
        <v>0.0</v>
      </c>
      <c r="I5" s="39">
        <v>0.0</v>
      </c>
      <c r="J5" s="39">
        <v>0.0</v>
      </c>
      <c r="K5" s="42">
        <v>13.0</v>
      </c>
      <c r="L5" s="39">
        <v>0.0</v>
      </c>
      <c r="M5" s="32">
        <f t="shared" ref="M5:N5" si="1">C5+K5</f>
        <v>32</v>
      </c>
      <c r="N5" s="32">
        <f t="shared" si="1"/>
        <v>3</v>
      </c>
      <c r="O5" s="43" t="s">
        <v>53</v>
      </c>
      <c r="P5" s="43" t="s">
        <v>53</v>
      </c>
      <c r="Q5" s="43" t="s">
        <v>53</v>
      </c>
      <c r="R5" s="39">
        <f>if(G5=13,1,0)+VLOOKUP(B5,'070624'!B:T,17,false)</f>
        <v>1</v>
      </c>
      <c r="S5" s="39"/>
      <c r="T5" s="39">
        <f>if(G5=9,1,0)+VLOOKUP(B5,'070624'!B:T,19,false)</f>
        <v>0</v>
      </c>
    </row>
    <row r="6">
      <c r="A6" s="30">
        <f t="shared" ref="A6:A69" si="3">A5+1</f>
        <v>2</v>
      </c>
      <c r="B6" s="31" t="s">
        <v>61</v>
      </c>
      <c r="C6" s="32">
        <v>18.0</v>
      </c>
      <c r="D6" s="32">
        <v>3.0</v>
      </c>
      <c r="E6" s="37">
        <v>1.0</v>
      </c>
      <c r="F6" s="39"/>
      <c r="G6" s="40">
        <v>0.0</v>
      </c>
      <c r="H6" s="39">
        <v>6.0</v>
      </c>
      <c r="I6" s="39">
        <v>6.0</v>
      </c>
      <c r="J6" s="39">
        <v>3.0</v>
      </c>
      <c r="K6" s="42">
        <v>15.0</v>
      </c>
      <c r="L6" s="39">
        <v>2.0</v>
      </c>
      <c r="M6" s="32">
        <f t="shared" ref="M6:N6" si="2">C6+K6</f>
        <v>33</v>
      </c>
      <c r="N6" s="32">
        <f t="shared" si="2"/>
        <v>5</v>
      </c>
      <c r="O6" s="43" t="s">
        <v>53</v>
      </c>
      <c r="P6" s="43" t="s">
        <v>53</v>
      </c>
      <c r="Q6" s="43" t="s">
        <v>53</v>
      </c>
      <c r="R6" s="39">
        <f>if(G6=13,1,0)+VLOOKUP(B6,'070624'!B:T,17,false)</f>
        <v>0</v>
      </c>
      <c r="S6" s="39"/>
      <c r="T6" s="39">
        <f>if(G6=9,1,0)+VLOOKUP(B6,'070624'!B:T,19,false)</f>
        <v>0</v>
      </c>
    </row>
    <row r="7">
      <c r="A7" s="30">
        <f t="shared" si="3"/>
        <v>3</v>
      </c>
      <c r="B7" s="31" t="s">
        <v>82</v>
      </c>
      <c r="C7" s="32">
        <v>18.0</v>
      </c>
      <c r="D7" s="32">
        <v>3.0</v>
      </c>
      <c r="E7" s="37">
        <v>3.0</v>
      </c>
      <c r="F7" s="39">
        <v>0.0</v>
      </c>
      <c r="G7" s="40">
        <v>9.0</v>
      </c>
      <c r="H7" s="39">
        <v>0.0</v>
      </c>
      <c r="I7" s="39">
        <v>0.0</v>
      </c>
      <c r="J7" s="39">
        <v>0.0</v>
      </c>
      <c r="K7" s="42">
        <v>9.0</v>
      </c>
      <c r="L7" s="39">
        <v>0.0</v>
      </c>
      <c r="M7" s="32">
        <f t="shared" ref="M7:N7" si="4">C7+K7</f>
        <v>27</v>
      </c>
      <c r="N7" s="32">
        <f t="shared" si="4"/>
        <v>3</v>
      </c>
      <c r="O7" s="43" t="s">
        <v>53</v>
      </c>
      <c r="P7" s="43" t="s">
        <v>53</v>
      </c>
      <c r="Q7" s="43" t="s">
        <v>53</v>
      </c>
      <c r="R7" s="39">
        <f>if(G7=13,1,0)+VLOOKUP(B7,'070624'!B:T,17,false)</f>
        <v>0</v>
      </c>
      <c r="S7" s="39"/>
      <c r="T7" s="39">
        <f>if(G7=9,1,0)+VLOOKUP(B7,'070624'!B:T,19,false)</f>
        <v>1</v>
      </c>
    </row>
    <row r="8">
      <c r="A8" s="30">
        <f t="shared" si="3"/>
        <v>4</v>
      </c>
      <c r="B8" s="31" t="s">
        <v>125</v>
      </c>
      <c r="C8" s="32">
        <v>18.0</v>
      </c>
      <c r="D8" s="32">
        <v>3.0</v>
      </c>
      <c r="E8" s="37">
        <v>3.0</v>
      </c>
      <c r="F8" s="39">
        <v>0.0</v>
      </c>
      <c r="G8" s="40">
        <v>9.0</v>
      </c>
      <c r="H8" s="39">
        <v>0.0</v>
      </c>
      <c r="I8" s="39">
        <v>0.0</v>
      </c>
      <c r="J8" s="39">
        <v>0.0</v>
      </c>
      <c r="K8" s="42">
        <v>9.0</v>
      </c>
      <c r="L8" s="39">
        <v>0.0</v>
      </c>
      <c r="M8" s="32">
        <f t="shared" ref="M8:N8" si="5">C8+K8</f>
        <v>27</v>
      </c>
      <c r="N8" s="32">
        <f t="shared" si="5"/>
        <v>3</v>
      </c>
      <c r="O8" s="43" t="s">
        <v>53</v>
      </c>
      <c r="P8" s="43" t="s">
        <v>53</v>
      </c>
      <c r="Q8" s="43" t="s">
        <v>53</v>
      </c>
      <c r="R8" s="39">
        <f>if(G8=13,1,0)+VLOOKUP(B8,'070624'!B:T,17,false)</f>
        <v>0</v>
      </c>
      <c r="S8" s="39"/>
      <c r="T8" s="39">
        <f>if(G8=9,1,0)+VLOOKUP(B8,'070624'!B:T,19,false)</f>
        <v>1</v>
      </c>
    </row>
    <row r="9">
      <c r="A9" s="30">
        <f t="shared" si="3"/>
        <v>5</v>
      </c>
      <c r="B9" s="51" t="s">
        <v>78</v>
      </c>
      <c r="C9" s="32">
        <v>18.0</v>
      </c>
      <c r="D9" s="32">
        <v>3.0</v>
      </c>
      <c r="E9" s="37">
        <v>1.0</v>
      </c>
      <c r="F9" s="39"/>
      <c r="G9" s="40">
        <v>0.0</v>
      </c>
      <c r="H9" s="39">
        <v>4.0</v>
      </c>
      <c r="I9" s="39">
        <v>3.0</v>
      </c>
      <c r="J9" s="39">
        <v>3.0</v>
      </c>
      <c r="K9" s="42">
        <v>10.0</v>
      </c>
      <c r="L9" s="39">
        <v>0.0</v>
      </c>
      <c r="M9" s="32">
        <f t="shared" ref="M9:N9" si="6">C9+K9</f>
        <v>28</v>
      </c>
      <c r="N9" s="32">
        <f t="shared" si="6"/>
        <v>3</v>
      </c>
      <c r="O9" s="43" t="s">
        <v>53</v>
      </c>
      <c r="P9" s="43" t="s">
        <v>53</v>
      </c>
      <c r="Q9" s="43" t="s">
        <v>53</v>
      </c>
      <c r="R9" s="39">
        <f>if(G9=13,1,0)+VLOOKUP(B9,'070624'!B:T,17,false)</f>
        <v>0</v>
      </c>
      <c r="S9" s="39"/>
      <c r="T9" s="39">
        <f>if(G9=9,1,0)+VLOOKUP(B9,'070624'!B:T,19,false)</f>
        <v>0</v>
      </c>
    </row>
    <row r="10">
      <c r="A10" s="30">
        <f t="shared" si="3"/>
        <v>6</v>
      </c>
      <c r="B10" s="51" t="s">
        <v>54</v>
      </c>
      <c r="C10" s="32">
        <v>17.0</v>
      </c>
      <c r="D10" s="32">
        <v>2.0</v>
      </c>
      <c r="E10" s="37">
        <v>2.0</v>
      </c>
      <c r="F10" s="39">
        <v>0.0</v>
      </c>
      <c r="G10" s="40"/>
      <c r="H10" s="39">
        <v>6.0</v>
      </c>
      <c r="I10" s="39">
        <v>0.0</v>
      </c>
      <c r="J10" s="39">
        <v>6.0</v>
      </c>
      <c r="K10" s="42">
        <v>12.0</v>
      </c>
      <c r="L10" s="39">
        <v>1.0</v>
      </c>
      <c r="M10" s="32">
        <f t="shared" ref="M10:N10" si="7">C10+K10</f>
        <v>29</v>
      </c>
      <c r="N10" s="32">
        <f t="shared" si="7"/>
        <v>3</v>
      </c>
      <c r="O10" s="43" t="s">
        <v>53</v>
      </c>
      <c r="P10" s="43" t="s">
        <v>53</v>
      </c>
      <c r="Q10" s="43" t="s">
        <v>53</v>
      </c>
      <c r="R10" s="39">
        <f>if(G10=13,1,0)+VLOOKUP(B10,'070624'!B:T,17,false)</f>
        <v>0</v>
      </c>
      <c r="S10" s="39"/>
      <c r="T10" s="39">
        <f>if(G10=9,1,0)+VLOOKUP(B10,'070624'!B:T,19,false)</f>
        <v>0</v>
      </c>
    </row>
    <row r="11">
      <c r="A11" s="30">
        <f t="shared" si="3"/>
        <v>7</v>
      </c>
      <c r="B11" s="31" t="s">
        <v>97</v>
      </c>
      <c r="C11" s="32">
        <v>17.0</v>
      </c>
      <c r="D11" s="32">
        <v>2.0</v>
      </c>
      <c r="E11" s="37">
        <v>3.0</v>
      </c>
      <c r="F11" s="39">
        <v>0.0</v>
      </c>
      <c r="G11" s="40">
        <v>9.0</v>
      </c>
      <c r="H11" s="39">
        <v>0.0</v>
      </c>
      <c r="I11" s="39">
        <v>0.0</v>
      </c>
      <c r="J11" s="39">
        <v>0.0</v>
      </c>
      <c r="K11" s="42">
        <v>9.0</v>
      </c>
      <c r="L11" s="39">
        <v>0.0</v>
      </c>
      <c r="M11" s="32">
        <f t="shared" ref="M11:N11" si="8">C11+K11</f>
        <v>26</v>
      </c>
      <c r="N11" s="32">
        <f t="shared" si="8"/>
        <v>2</v>
      </c>
      <c r="O11" s="43" t="s">
        <v>53</v>
      </c>
      <c r="P11" s="43" t="s">
        <v>53</v>
      </c>
      <c r="Q11" s="43" t="s">
        <v>53</v>
      </c>
      <c r="R11" s="39">
        <f>if(G11=13,1,0)+VLOOKUP(B11,'070624'!B:T,17,false)</f>
        <v>0</v>
      </c>
      <c r="S11" s="39"/>
      <c r="T11" s="39">
        <f>if(G11=9,1,0)+VLOOKUP(B11,'070624'!B:T,19,false)</f>
        <v>1</v>
      </c>
    </row>
    <row r="12">
      <c r="A12" s="30">
        <f t="shared" si="3"/>
        <v>8</v>
      </c>
      <c r="B12" s="51" t="s">
        <v>84</v>
      </c>
      <c r="C12" s="32">
        <v>15.0</v>
      </c>
      <c r="D12" s="32">
        <v>2.0</v>
      </c>
      <c r="E12" s="37">
        <v>1.0</v>
      </c>
      <c r="F12" s="39"/>
      <c r="G12" s="40">
        <v>0.0</v>
      </c>
      <c r="H12" s="39">
        <v>6.0</v>
      </c>
      <c r="I12" s="39">
        <v>3.0</v>
      </c>
      <c r="J12" s="39">
        <v>6.0</v>
      </c>
      <c r="K12" s="42">
        <v>15.0</v>
      </c>
      <c r="L12" s="39">
        <v>2.0</v>
      </c>
      <c r="M12" s="32">
        <f t="shared" ref="M12:N12" si="9">C12+K12</f>
        <v>30</v>
      </c>
      <c r="N12" s="32">
        <f t="shared" si="9"/>
        <v>4</v>
      </c>
      <c r="O12" s="43" t="s">
        <v>53</v>
      </c>
      <c r="P12" s="43" t="s">
        <v>53</v>
      </c>
      <c r="Q12" s="43" t="s">
        <v>53</v>
      </c>
      <c r="R12" s="39">
        <f>if(G12=13,1,0)+VLOOKUP(B12,'070624'!B:T,17,false)</f>
        <v>0</v>
      </c>
      <c r="S12" s="39"/>
      <c r="T12" s="39">
        <f>if(G12=9,1,0)+VLOOKUP(B12,'070624'!B:T,19,false)</f>
        <v>0</v>
      </c>
    </row>
    <row r="13">
      <c r="A13" s="30">
        <f t="shared" si="3"/>
        <v>9</v>
      </c>
      <c r="B13" s="31" t="s">
        <v>71</v>
      </c>
      <c r="C13" s="32">
        <v>15.0</v>
      </c>
      <c r="D13" s="32">
        <v>2.0</v>
      </c>
      <c r="E13" s="37">
        <v>1.0</v>
      </c>
      <c r="F13" s="39"/>
      <c r="G13" s="40">
        <v>0.0</v>
      </c>
      <c r="H13" s="39">
        <v>4.0</v>
      </c>
      <c r="I13" s="39">
        <v>6.0</v>
      </c>
      <c r="J13" s="39">
        <v>6.0</v>
      </c>
      <c r="K13" s="42">
        <v>16.0</v>
      </c>
      <c r="L13" s="39">
        <v>2.0</v>
      </c>
      <c r="M13" s="32">
        <f t="shared" ref="M13:N13" si="10">C13+K13</f>
        <v>31</v>
      </c>
      <c r="N13" s="32">
        <f t="shared" si="10"/>
        <v>4</v>
      </c>
      <c r="O13" s="43" t="s">
        <v>53</v>
      </c>
      <c r="P13" s="43" t="s">
        <v>53</v>
      </c>
      <c r="Q13" s="43" t="s">
        <v>53</v>
      </c>
      <c r="R13" s="39">
        <f>if(G13=13,1,0)+VLOOKUP(B13,'070624'!B:T,17,false)</f>
        <v>0</v>
      </c>
      <c r="S13" s="39"/>
      <c r="T13" s="39">
        <f>if(G13=9,1,0)+VLOOKUP(B13,'070624'!B:T,19,false)</f>
        <v>0</v>
      </c>
    </row>
    <row r="14">
      <c r="A14" s="30">
        <f t="shared" si="3"/>
        <v>10</v>
      </c>
      <c r="B14" s="56" t="s">
        <v>110</v>
      </c>
      <c r="C14" s="32">
        <v>15.0</v>
      </c>
      <c r="D14" s="32">
        <v>2.0</v>
      </c>
      <c r="E14" s="37">
        <v>5.0</v>
      </c>
      <c r="F14" s="39">
        <v>0.0</v>
      </c>
      <c r="G14" s="40">
        <v>13.0</v>
      </c>
      <c r="H14" s="39">
        <v>0.0</v>
      </c>
      <c r="I14" s="39">
        <v>0.0</v>
      </c>
      <c r="J14" s="39">
        <v>0.0</v>
      </c>
      <c r="K14" s="42">
        <v>13.0</v>
      </c>
      <c r="L14" s="39">
        <v>0.0</v>
      </c>
      <c r="M14" s="32">
        <f t="shared" ref="M14:N14" si="11">C14+K14</f>
        <v>28</v>
      </c>
      <c r="N14" s="32">
        <f t="shared" si="11"/>
        <v>2</v>
      </c>
      <c r="O14" s="43" t="s">
        <v>53</v>
      </c>
      <c r="P14" s="43" t="s">
        <v>53</v>
      </c>
      <c r="Q14" s="43" t="s">
        <v>53</v>
      </c>
      <c r="R14" s="39">
        <f>if(G14=13,1,0)+VLOOKUP(B14,'070624'!B:T,17,false)</f>
        <v>1</v>
      </c>
      <c r="S14" s="39"/>
      <c r="T14" s="39">
        <f>if(G14=9,1,0)+VLOOKUP(B14,'070624'!B:T,19,false)</f>
        <v>0</v>
      </c>
    </row>
    <row r="15">
      <c r="A15" s="30">
        <f t="shared" si="3"/>
        <v>11</v>
      </c>
      <c r="B15" s="51" t="s">
        <v>103</v>
      </c>
      <c r="C15" s="32">
        <v>14.0</v>
      </c>
      <c r="D15" s="32">
        <v>2.0</v>
      </c>
      <c r="E15" s="37">
        <v>1.0</v>
      </c>
      <c r="F15" s="39"/>
      <c r="G15" s="40">
        <v>0.0</v>
      </c>
      <c r="H15" s="39">
        <v>5.0</v>
      </c>
      <c r="I15" s="39">
        <v>6.0</v>
      </c>
      <c r="J15" s="39">
        <v>2.0</v>
      </c>
      <c r="K15" s="42">
        <v>13.0</v>
      </c>
      <c r="L15" s="39">
        <v>1.0</v>
      </c>
      <c r="M15" s="32">
        <f t="shared" ref="M15:N15" si="12">C15+K15</f>
        <v>27</v>
      </c>
      <c r="N15" s="32">
        <f t="shared" si="12"/>
        <v>3</v>
      </c>
      <c r="O15" s="43" t="s">
        <v>53</v>
      </c>
      <c r="P15" s="43" t="s">
        <v>53</v>
      </c>
      <c r="Q15" s="43" t="s">
        <v>53</v>
      </c>
      <c r="R15" s="39">
        <f>if(G15=13,1,0)+VLOOKUP(B15,'070624'!B:T,17,false)</f>
        <v>0</v>
      </c>
      <c r="S15" s="39"/>
      <c r="T15" s="39">
        <f>if(G15=9,1,0)+VLOOKUP(B15,'070624'!B:T,19,false)</f>
        <v>0</v>
      </c>
    </row>
    <row r="16">
      <c r="A16" s="30">
        <f t="shared" si="3"/>
        <v>12</v>
      </c>
      <c r="B16" s="51" t="s">
        <v>100</v>
      </c>
      <c r="C16" s="32">
        <v>14.0</v>
      </c>
      <c r="D16" s="32">
        <v>2.0</v>
      </c>
      <c r="E16" s="37">
        <v>1.0</v>
      </c>
      <c r="F16" s="39"/>
      <c r="G16" s="40">
        <v>0.0</v>
      </c>
      <c r="H16" s="39">
        <v>7.0</v>
      </c>
      <c r="I16" s="39">
        <v>6.0</v>
      </c>
      <c r="J16" s="39">
        <v>6.0</v>
      </c>
      <c r="K16" s="42">
        <v>19.0</v>
      </c>
      <c r="L16" s="39">
        <v>2.0</v>
      </c>
      <c r="M16" s="32">
        <f t="shared" ref="M16:N16" si="13">C16+K16</f>
        <v>33</v>
      </c>
      <c r="N16" s="32">
        <f t="shared" si="13"/>
        <v>4</v>
      </c>
      <c r="O16" s="43" t="s">
        <v>53</v>
      </c>
      <c r="P16" s="43" t="s">
        <v>53</v>
      </c>
      <c r="Q16" s="43" t="s">
        <v>53</v>
      </c>
      <c r="R16" s="39">
        <f>if(G16=13,1,0)+VLOOKUP(B16,'070624'!B:T,17,false)</f>
        <v>0</v>
      </c>
      <c r="S16" s="39"/>
      <c r="T16" s="39">
        <f>if(G16=9,1,0)+VLOOKUP(B16,'070624'!B:T,19,false)</f>
        <v>0</v>
      </c>
    </row>
    <row r="17">
      <c r="A17" s="30">
        <f t="shared" si="3"/>
        <v>13</v>
      </c>
      <c r="B17" s="51" t="s">
        <v>93</v>
      </c>
      <c r="C17" s="32">
        <v>14.0</v>
      </c>
      <c r="D17" s="32">
        <v>1.0</v>
      </c>
      <c r="E17" s="37">
        <v>1.0</v>
      </c>
      <c r="F17" s="39"/>
      <c r="G17" s="40">
        <v>0.0</v>
      </c>
      <c r="H17" s="39">
        <v>7.0</v>
      </c>
      <c r="I17" s="39">
        <v>7.0</v>
      </c>
      <c r="J17" s="39">
        <v>2.0</v>
      </c>
      <c r="K17" s="42">
        <v>16.0</v>
      </c>
      <c r="L17" s="39">
        <v>2.0</v>
      </c>
      <c r="M17" s="32">
        <f t="shared" ref="M17:N17" si="14">C17+K17</f>
        <v>30</v>
      </c>
      <c r="N17" s="32">
        <f t="shared" si="14"/>
        <v>3</v>
      </c>
      <c r="O17" s="43" t="s">
        <v>53</v>
      </c>
      <c r="P17" s="43" t="s">
        <v>53</v>
      </c>
      <c r="Q17" s="43" t="s">
        <v>53</v>
      </c>
      <c r="R17" s="39">
        <f>if(G17=13,1,0)+VLOOKUP(B17,'070624'!B:T,17,false)</f>
        <v>0</v>
      </c>
      <c r="S17" s="39"/>
      <c r="T17" s="39">
        <f>if(G17=9,1,0)+VLOOKUP(B17,'070624'!B:T,19,false)</f>
        <v>0</v>
      </c>
    </row>
    <row r="18">
      <c r="A18" s="30">
        <f t="shared" si="3"/>
        <v>14</v>
      </c>
      <c r="B18" s="56" t="s">
        <v>65</v>
      </c>
      <c r="C18" s="32">
        <v>13.0</v>
      </c>
      <c r="D18" s="32">
        <v>2.0</v>
      </c>
      <c r="E18" s="37">
        <v>1.0</v>
      </c>
      <c r="F18" s="39"/>
      <c r="G18" s="40">
        <v>0.0</v>
      </c>
      <c r="H18" s="39">
        <v>5.0</v>
      </c>
      <c r="I18" s="39">
        <v>7.0</v>
      </c>
      <c r="J18" s="39">
        <v>6.0</v>
      </c>
      <c r="K18" s="42">
        <v>18.0</v>
      </c>
      <c r="L18" s="39">
        <v>2.0</v>
      </c>
      <c r="M18" s="32">
        <f t="shared" ref="M18:N18" si="15">C18+K18</f>
        <v>31</v>
      </c>
      <c r="N18" s="32">
        <f t="shared" si="15"/>
        <v>4</v>
      </c>
      <c r="O18" s="43" t="s">
        <v>53</v>
      </c>
      <c r="P18" s="43" t="s">
        <v>53</v>
      </c>
      <c r="Q18" s="43" t="s">
        <v>53</v>
      </c>
      <c r="R18" s="39">
        <f>if(G18=13,1,0)+VLOOKUP(B18,'070624'!B:T,17,false)</f>
        <v>0</v>
      </c>
      <c r="S18" s="39"/>
      <c r="T18" s="39">
        <f>if(G18=9,1,0)+VLOOKUP(B18,'070624'!B:T,19,false)</f>
        <v>0</v>
      </c>
    </row>
    <row r="19">
      <c r="A19" s="30">
        <f t="shared" si="3"/>
        <v>15</v>
      </c>
      <c r="B19" s="31" t="s">
        <v>96</v>
      </c>
      <c r="C19" s="32">
        <v>13.0</v>
      </c>
      <c r="D19" s="32">
        <v>2.0</v>
      </c>
      <c r="E19" s="37">
        <v>1.0</v>
      </c>
      <c r="F19" s="39"/>
      <c r="G19" s="40">
        <v>0.0</v>
      </c>
      <c r="H19" s="39">
        <v>6.0</v>
      </c>
      <c r="I19" s="39">
        <v>0.0</v>
      </c>
      <c r="J19" s="39">
        <v>6.0</v>
      </c>
      <c r="K19" s="42">
        <v>12.0</v>
      </c>
      <c r="L19" s="39">
        <v>2.0</v>
      </c>
      <c r="M19" s="32">
        <f t="shared" ref="M19:N19" si="16">C19+K19</f>
        <v>25</v>
      </c>
      <c r="N19" s="32">
        <f t="shared" si="16"/>
        <v>4</v>
      </c>
      <c r="O19" s="43" t="s">
        <v>53</v>
      </c>
      <c r="P19" s="43" t="s">
        <v>53</v>
      </c>
      <c r="Q19" s="43" t="s">
        <v>53</v>
      </c>
      <c r="R19" s="39">
        <f>if(G19=13,1,0)+VLOOKUP(B19,'070624'!B:T,17,false)</f>
        <v>0</v>
      </c>
      <c r="S19" s="39"/>
      <c r="T19" s="39">
        <f>if(G19=9,1,0)+VLOOKUP(B19,'070624'!B:T,19,false)</f>
        <v>0</v>
      </c>
    </row>
    <row r="20">
      <c r="A20" s="30">
        <f t="shared" si="3"/>
        <v>16</v>
      </c>
      <c r="B20" s="31" t="s">
        <v>89</v>
      </c>
      <c r="C20" s="32">
        <v>13.0</v>
      </c>
      <c r="D20" s="32">
        <v>0.0</v>
      </c>
      <c r="E20" s="37">
        <v>2.0</v>
      </c>
      <c r="F20" s="39"/>
      <c r="G20" s="40">
        <v>0.0</v>
      </c>
      <c r="H20" s="39">
        <v>6.0</v>
      </c>
      <c r="I20" s="39">
        <v>6.0</v>
      </c>
      <c r="J20" s="39">
        <v>0.0</v>
      </c>
      <c r="K20" s="42">
        <v>12.0</v>
      </c>
      <c r="L20" s="39">
        <v>2.0</v>
      </c>
      <c r="M20" s="32">
        <f t="shared" ref="M20:N20" si="17">C20+K20</f>
        <v>25</v>
      </c>
      <c r="N20" s="32">
        <f t="shared" si="17"/>
        <v>2</v>
      </c>
      <c r="O20" s="43" t="s">
        <v>53</v>
      </c>
      <c r="P20" s="43" t="s">
        <v>53</v>
      </c>
      <c r="Q20" s="43" t="s">
        <v>53</v>
      </c>
      <c r="R20" s="39">
        <f>if(G20=13,1,0)+VLOOKUP(B20,'070624'!B:T,17,false)</f>
        <v>1</v>
      </c>
      <c r="S20" s="39"/>
      <c r="T20" s="39">
        <f>if(G20=9,1,0)+VLOOKUP(B20,'070624'!B:T,19,false)</f>
        <v>0</v>
      </c>
    </row>
    <row r="21">
      <c r="A21" s="30">
        <f t="shared" si="3"/>
        <v>17</v>
      </c>
      <c r="B21" s="31" t="s">
        <v>90</v>
      </c>
      <c r="C21" s="32">
        <v>12.0</v>
      </c>
      <c r="D21" s="32">
        <v>1.0</v>
      </c>
      <c r="E21" s="37">
        <v>1.0</v>
      </c>
      <c r="F21" s="39"/>
      <c r="G21" s="40">
        <v>0.0</v>
      </c>
      <c r="H21" s="39">
        <v>1.0</v>
      </c>
      <c r="I21" s="39">
        <v>6.0</v>
      </c>
      <c r="J21" s="39">
        <v>6.0</v>
      </c>
      <c r="K21" s="42">
        <v>13.0</v>
      </c>
      <c r="L21" s="39">
        <v>2.0</v>
      </c>
      <c r="M21" s="32">
        <f t="shared" ref="M21:N21" si="18">C21+K21</f>
        <v>25</v>
      </c>
      <c r="N21" s="32">
        <f t="shared" si="18"/>
        <v>3</v>
      </c>
      <c r="O21" s="43" t="s">
        <v>53</v>
      </c>
      <c r="P21" s="43" t="s">
        <v>53</v>
      </c>
      <c r="Q21" s="43" t="s">
        <v>53</v>
      </c>
      <c r="R21" s="39">
        <f>if(G21=13,1,0)+VLOOKUP(B21,'070624'!B:T,17,false)</f>
        <v>0</v>
      </c>
      <c r="S21" s="39"/>
      <c r="T21" s="39">
        <f>if(G21=9,1,0)+VLOOKUP(B21,'070624'!B:T,19,false)</f>
        <v>0</v>
      </c>
    </row>
    <row r="22">
      <c r="A22" s="30">
        <f t="shared" si="3"/>
        <v>18</v>
      </c>
      <c r="B22" s="51" t="s">
        <v>113</v>
      </c>
      <c r="C22" s="32">
        <v>12.0</v>
      </c>
      <c r="D22" s="32">
        <v>1.0</v>
      </c>
      <c r="E22" s="37">
        <v>1.0</v>
      </c>
      <c r="F22" s="39"/>
      <c r="G22" s="40">
        <v>0.0</v>
      </c>
      <c r="H22" s="39">
        <v>1.0</v>
      </c>
      <c r="I22" s="39">
        <v>0.0</v>
      </c>
      <c r="J22" s="39">
        <v>0.0</v>
      </c>
      <c r="K22" s="42">
        <v>1.0</v>
      </c>
      <c r="L22" s="39">
        <v>0.0</v>
      </c>
      <c r="M22" s="32">
        <f t="shared" ref="M22:N22" si="19">C22+K22</f>
        <v>13</v>
      </c>
      <c r="N22" s="32">
        <f t="shared" si="19"/>
        <v>1</v>
      </c>
      <c r="O22" s="43" t="s">
        <v>53</v>
      </c>
      <c r="P22" s="43" t="s">
        <v>53</v>
      </c>
      <c r="Q22" s="43" t="s">
        <v>53</v>
      </c>
      <c r="R22" s="39">
        <f>if(G22=13,1,0)+VLOOKUP(B22,'070624'!B:T,17,false)</f>
        <v>0</v>
      </c>
      <c r="S22" s="39"/>
      <c r="T22" s="39">
        <f>if(G22=9,1,0)+VLOOKUP(B22,'070624'!B:T,19,false)</f>
        <v>0</v>
      </c>
    </row>
    <row r="23">
      <c r="A23" s="30">
        <f t="shared" si="3"/>
        <v>19</v>
      </c>
      <c r="B23" s="51" t="s">
        <v>102</v>
      </c>
      <c r="C23" s="32">
        <v>12.0</v>
      </c>
      <c r="D23" s="32">
        <v>1.0</v>
      </c>
      <c r="E23" s="37">
        <v>5.0</v>
      </c>
      <c r="F23" s="39">
        <v>0.0</v>
      </c>
      <c r="G23" s="40">
        <v>13.0</v>
      </c>
      <c r="H23" s="39">
        <v>0.0</v>
      </c>
      <c r="I23" s="39">
        <v>0.0</v>
      </c>
      <c r="J23" s="39">
        <v>0.0</v>
      </c>
      <c r="K23" s="42">
        <v>13.0</v>
      </c>
      <c r="L23" s="39">
        <v>0.0</v>
      </c>
      <c r="M23" s="32">
        <f t="shared" ref="M23:N23" si="20">C23+K23</f>
        <v>25</v>
      </c>
      <c r="N23" s="32">
        <f t="shared" si="20"/>
        <v>1</v>
      </c>
      <c r="O23" s="43" t="s">
        <v>53</v>
      </c>
      <c r="P23" s="43" t="s">
        <v>53</v>
      </c>
      <c r="Q23" s="43" t="s">
        <v>53</v>
      </c>
      <c r="R23" s="39">
        <f>if(G23=13,1,0)+VLOOKUP(B23,'070624'!B:T,17,false)</f>
        <v>1</v>
      </c>
      <c r="S23" s="39"/>
      <c r="T23" s="39">
        <f>if(G23=9,1,0)+VLOOKUP(B23,'070624'!B:T,19,false)</f>
        <v>0</v>
      </c>
    </row>
    <row r="24">
      <c r="A24" s="30">
        <f t="shared" si="3"/>
        <v>20</v>
      </c>
      <c r="B24" s="51" t="s">
        <v>111</v>
      </c>
      <c r="C24" s="32">
        <v>12.0</v>
      </c>
      <c r="D24" s="32">
        <v>1.0</v>
      </c>
      <c r="E24" s="37">
        <v>3.0</v>
      </c>
      <c r="F24" s="39">
        <v>0.0</v>
      </c>
      <c r="G24" s="40">
        <v>9.0</v>
      </c>
      <c r="H24" s="39">
        <v>0.0</v>
      </c>
      <c r="I24" s="39">
        <v>0.0</v>
      </c>
      <c r="J24" s="39">
        <v>0.0</v>
      </c>
      <c r="K24" s="42">
        <v>9.0</v>
      </c>
      <c r="L24" s="39">
        <v>0.0</v>
      </c>
      <c r="M24" s="32">
        <f t="shared" ref="M24:N24" si="21">C24+K24</f>
        <v>21</v>
      </c>
      <c r="N24" s="32">
        <f t="shared" si="21"/>
        <v>1</v>
      </c>
      <c r="O24" s="43" t="s">
        <v>53</v>
      </c>
      <c r="P24" s="43" t="s">
        <v>53</v>
      </c>
      <c r="Q24" s="43" t="s">
        <v>53</v>
      </c>
      <c r="R24" s="39">
        <f>if(G24=13,1,0)+VLOOKUP(B24,'070624'!B:T,17,false)</f>
        <v>0</v>
      </c>
      <c r="S24" s="39"/>
      <c r="T24" s="39">
        <f>if(G24=9,1,0)+VLOOKUP(B24,'070624'!B:T,19,false)</f>
        <v>1</v>
      </c>
    </row>
    <row r="25">
      <c r="A25" s="30">
        <f t="shared" si="3"/>
        <v>21</v>
      </c>
      <c r="B25" s="56" t="s">
        <v>122</v>
      </c>
      <c r="C25" s="32">
        <v>11.0</v>
      </c>
      <c r="D25" s="32">
        <v>1.0</v>
      </c>
      <c r="E25" s="37">
        <v>5.0</v>
      </c>
      <c r="F25" s="39">
        <v>0.0</v>
      </c>
      <c r="G25" s="40">
        <v>13.0</v>
      </c>
      <c r="H25" s="39">
        <v>0.0</v>
      </c>
      <c r="I25" s="39">
        <v>0.0</v>
      </c>
      <c r="J25" s="39">
        <v>0.0</v>
      </c>
      <c r="K25" s="42">
        <v>13.0</v>
      </c>
      <c r="L25" s="39">
        <v>0.0</v>
      </c>
      <c r="M25" s="32">
        <f t="shared" ref="M25:N25" si="22">C25+K25</f>
        <v>24</v>
      </c>
      <c r="N25" s="32">
        <f t="shared" si="22"/>
        <v>1</v>
      </c>
      <c r="O25" s="43" t="s">
        <v>53</v>
      </c>
      <c r="P25" s="43" t="s">
        <v>53</v>
      </c>
      <c r="Q25" s="43" t="s">
        <v>53</v>
      </c>
      <c r="R25" s="39">
        <f>if(G25=13,1,0)+VLOOKUP(B25,'070624'!B:T,17,false)</f>
        <v>1</v>
      </c>
      <c r="S25" s="39"/>
      <c r="T25" s="39">
        <f>if(G25=9,1,0)+VLOOKUP(B25,'070624'!B:T,19,false)</f>
        <v>0</v>
      </c>
    </row>
    <row r="26">
      <c r="A26" s="30">
        <f t="shared" si="3"/>
        <v>22</v>
      </c>
      <c r="B26" s="51" t="s">
        <v>92</v>
      </c>
      <c r="C26" s="32">
        <v>11.0</v>
      </c>
      <c r="D26" s="32">
        <v>1.0</v>
      </c>
      <c r="E26" s="37">
        <v>5.0</v>
      </c>
      <c r="F26" s="39">
        <v>0.0</v>
      </c>
      <c r="G26" s="40">
        <v>13.0</v>
      </c>
      <c r="H26" s="39">
        <v>0.0</v>
      </c>
      <c r="I26" s="39">
        <v>0.0</v>
      </c>
      <c r="J26" s="39">
        <v>0.0</v>
      </c>
      <c r="K26" s="42">
        <v>13.0</v>
      </c>
      <c r="L26" s="39">
        <v>0.0</v>
      </c>
      <c r="M26" s="32">
        <f t="shared" ref="M26:N26" si="23">C26+K26</f>
        <v>24</v>
      </c>
      <c r="N26" s="32">
        <f t="shared" si="23"/>
        <v>1</v>
      </c>
      <c r="O26" s="43" t="s">
        <v>53</v>
      </c>
      <c r="P26" s="43" t="s">
        <v>53</v>
      </c>
      <c r="Q26" s="43" t="s">
        <v>53</v>
      </c>
      <c r="R26" s="39">
        <f>if(G26=13,1,0)+VLOOKUP(B26,'070624'!B:T,17,false)</f>
        <v>1</v>
      </c>
      <c r="S26" s="39"/>
      <c r="T26" s="39">
        <f>if(G26=9,1,0)+VLOOKUP(B26,'070624'!B:T,19,false)</f>
        <v>0</v>
      </c>
    </row>
    <row r="27">
      <c r="A27" s="30">
        <f t="shared" si="3"/>
        <v>23</v>
      </c>
      <c r="B27" s="51" t="s">
        <v>112</v>
      </c>
      <c r="C27" s="32">
        <v>11.0</v>
      </c>
      <c r="D27" s="32">
        <v>0.0</v>
      </c>
      <c r="E27" s="37">
        <v>1.0</v>
      </c>
      <c r="F27" s="39"/>
      <c r="G27" s="40">
        <v>0.0</v>
      </c>
      <c r="H27" s="39">
        <v>1.0</v>
      </c>
      <c r="I27" s="39">
        <v>0.0</v>
      </c>
      <c r="J27" s="39">
        <v>3.0</v>
      </c>
      <c r="K27" s="42">
        <v>4.0</v>
      </c>
      <c r="L27" s="39">
        <v>0.0</v>
      </c>
      <c r="M27" s="32">
        <f t="shared" ref="M27:N27" si="24">C27+K27</f>
        <v>15</v>
      </c>
      <c r="N27" s="32">
        <f t="shared" si="24"/>
        <v>0</v>
      </c>
      <c r="O27" s="43" t="s">
        <v>53</v>
      </c>
      <c r="P27" s="43" t="s">
        <v>53</v>
      </c>
      <c r="Q27" s="43" t="s">
        <v>53</v>
      </c>
      <c r="R27" s="39">
        <f>if(G27=13,1,0)+VLOOKUP(B27,'070624'!B:T,17,false)</f>
        <v>0</v>
      </c>
      <c r="S27" s="39"/>
      <c r="T27" s="39">
        <f>if(G27=9,1,0)+VLOOKUP(B27,'070624'!B:T,19,false)</f>
        <v>0</v>
      </c>
    </row>
    <row r="28">
      <c r="A28" s="30">
        <f t="shared" si="3"/>
        <v>24</v>
      </c>
      <c r="B28" s="56" t="s">
        <v>107</v>
      </c>
      <c r="C28" s="32">
        <v>10.0</v>
      </c>
      <c r="D28" s="32">
        <v>1.0</v>
      </c>
      <c r="E28" s="37">
        <v>3.0</v>
      </c>
      <c r="F28" s="39">
        <v>0.0</v>
      </c>
      <c r="G28" s="40">
        <v>9.0</v>
      </c>
      <c r="H28" s="39">
        <v>0.0</v>
      </c>
      <c r="I28" s="39">
        <v>0.0</v>
      </c>
      <c r="J28" s="39">
        <v>0.0</v>
      </c>
      <c r="K28" s="42">
        <v>9.0</v>
      </c>
      <c r="L28" s="39">
        <v>0.0</v>
      </c>
      <c r="M28" s="32">
        <f t="shared" ref="M28:N28" si="25">C28+K28</f>
        <v>19</v>
      </c>
      <c r="N28" s="32">
        <f t="shared" si="25"/>
        <v>1</v>
      </c>
      <c r="O28" s="43" t="s">
        <v>53</v>
      </c>
      <c r="P28" s="43" t="s">
        <v>53</v>
      </c>
      <c r="Q28" s="43" t="s">
        <v>53</v>
      </c>
      <c r="R28" s="39">
        <f>if(G28=13,1,0)+VLOOKUP(B28,'070624'!B:T,17,false)</f>
        <v>0</v>
      </c>
      <c r="S28" s="39"/>
      <c r="T28" s="39">
        <f>if(G28=9,1,0)+VLOOKUP(B28,'070624'!B:T,19,false)</f>
        <v>1</v>
      </c>
    </row>
    <row r="29">
      <c r="A29" s="30">
        <f t="shared" si="3"/>
        <v>25</v>
      </c>
      <c r="B29" s="51" t="s">
        <v>87</v>
      </c>
      <c r="C29" s="32">
        <v>10.0</v>
      </c>
      <c r="D29" s="32">
        <v>1.0</v>
      </c>
      <c r="E29" s="37">
        <v>1.0</v>
      </c>
      <c r="F29" s="39"/>
      <c r="G29" s="40">
        <v>0.0</v>
      </c>
      <c r="H29" s="39">
        <v>6.0</v>
      </c>
      <c r="I29" s="39">
        <v>6.0</v>
      </c>
      <c r="J29" s="39">
        <v>3.0</v>
      </c>
      <c r="K29" s="42">
        <v>15.0</v>
      </c>
      <c r="L29" s="39">
        <v>2.0</v>
      </c>
      <c r="M29" s="32">
        <f t="shared" ref="M29:N29" si="26">C29+K29</f>
        <v>25</v>
      </c>
      <c r="N29" s="32">
        <f t="shared" si="26"/>
        <v>3</v>
      </c>
      <c r="O29" s="43" t="s">
        <v>53</v>
      </c>
      <c r="P29" s="43" t="s">
        <v>53</v>
      </c>
      <c r="Q29" s="43" t="s">
        <v>53</v>
      </c>
      <c r="R29" s="39">
        <f>if(G29=13,1,0)+VLOOKUP(B29,'070624'!B:T,17,false)</f>
        <v>0</v>
      </c>
      <c r="S29" s="39"/>
      <c r="T29" s="39">
        <f>if(G29=9,1,0)+VLOOKUP(B29,'070624'!B:T,19,false)</f>
        <v>0</v>
      </c>
    </row>
    <row r="30">
      <c r="A30" s="30">
        <f t="shared" si="3"/>
        <v>26</v>
      </c>
      <c r="B30" s="51" t="s">
        <v>116</v>
      </c>
      <c r="C30" s="32">
        <v>10.0</v>
      </c>
      <c r="D30" s="32">
        <v>1.0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7">C30+K30</f>
        <v>19</v>
      </c>
      <c r="N30" s="32">
        <f t="shared" si="27"/>
        <v>1</v>
      </c>
      <c r="O30" s="43" t="s">
        <v>53</v>
      </c>
      <c r="P30" s="43" t="s">
        <v>53</v>
      </c>
      <c r="Q30" s="43" t="s">
        <v>53</v>
      </c>
      <c r="R30" s="39">
        <f>if(G30=13,1,0)+VLOOKUP(B30,'070624'!B:T,17,false)</f>
        <v>0</v>
      </c>
      <c r="S30" s="39"/>
      <c r="T30" s="39">
        <f>if(G30=9,1,0)+VLOOKUP(B30,'070624'!B:T,19,false)</f>
        <v>1</v>
      </c>
    </row>
    <row r="31">
      <c r="A31" s="30">
        <f t="shared" si="3"/>
        <v>27</v>
      </c>
      <c r="B31" s="31" t="s">
        <v>86</v>
      </c>
      <c r="C31" s="32">
        <v>9.0</v>
      </c>
      <c r="D31" s="32">
        <v>1.0</v>
      </c>
      <c r="E31" s="37">
        <v>2.0</v>
      </c>
      <c r="F31" s="39"/>
      <c r="G31" s="40">
        <v>0.0</v>
      </c>
      <c r="H31" s="39">
        <v>1.0</v>
      </c>
      <c r="I31" s="39">
        <v>6.0</v>
      </c>
      <c r="J31" s="39">
        <v>6.0</v>
      </c>
      <c r="K31" s="42">
        <v>13.0</v>
      </c>
      <c r="L31" s="39">
        <v>2.0</v>
      </c>
      <c r="M31" s="32">
        <f t="shared" ref="M31:N31" si="28">C31+K31</f>
        <v>22</v>
      </c>
      <c r="N31" s="32">
        <f t="shared" si="28"/>
        <v>3</v>
      </c>
      <c r="O31" s="43" t="s">
        <v>53</v>
      </c>
      <c r="P31" s="43" t="s">
        <v>53</v>
      </c>
      <c r="Q31" s="43" t="s">
        <v>53</v>
      </c>
      <c r="R31" s="39">
        <f>if(G31=13,1,0)+VLOOKUP(B31,'070624'!B:T,17,false)</f>
        <v>0</v>
      </c>
      <c r="S31" s="39"/>
      <c r="T31" s="39">
        <f>if(G31=9,1,0)+VLOOKUP(B31,'070624'!B:T,19,false)</f>
        <v>0</v>
      </c>
    </row>
    <row r="32">
      <c r="A32" s="30">
        <f t="shared" si="3"/>
        <v>28</v>
      </c>
      <c r="B32" s="31" t="s">
        <v>81</v>
      </c>
      <c r="C32" s="32">
        <v>9.0</v>
      </c>
      <c r="D32" s="32">
        <v>1.0</v>
      </c>
      <c r="E32" s="37">
        <v>3.0</v>
      </c>
      <c r="F32" s="39">
        <v>0.0</v>
      </c>
      <c r="G32" s="40">
        <v>9.0</v>
      </c>
      <c r="H32" s="39">
        <v>0.0</v>
      </c>
      <c r="I32" s="39">
        <v>0.0</v>
      </c>
      <c r="J32" s="39">
        <v>0.0</v>
      </c>
      <c r="K32" s="42">
        <v>9.0</v>
      </c>
      <c r="L32" s="39">
        <v>0.0</v>
      </c>
      <c r="M32" s="32">
        <f t="shared" ref="M32:N32" si="29">C32+K32</f>
        <v>18</v>
      </c>
      <c r="N32" s="32">
        <f t="shared" si="29"/>
        <v>1</v>
      </c>
      <c r="O32" s="43" t="s">
        <v>53</v>
      </c>
      <c r="P32" s="43" t="s">
        <v>53</v>
      </c>
      <c r="Q32" s="43" t="s">
        <v>53</v>
      </c>
      <c r="R32" s="39">
        <f>if(G32=13,1,0)+VLOOKUP(B32,'070624'!B:T,17,false)</f>
        <v>0</v>
      </c>
      <c r="S32" s="39"/>
      <c r="T32" s="39">
        <f>if(G32=9,1,0)+VLOOKUP(B32,'070624'!B:T,19,false)</f>
        <v>1</v>
      </c>
    </row>
    <row r="33">
      <c r="A33" s="30">
        <f t="shared" si="3"/>
        <v>29</v>
      </c>
      <c r="B33" s="51" t="s">
        <v>121</v>
      </c>
      <c r="C33" s="32">
        <v>9.0</v>
      </c>
      <c r="D33" s="32">
        <v>1.0</v>
      </c>
      <c r="E33" s="37">
        <v>1.0</v>
      </c>
      <c r="F33" s="39"/>
      <c r="G33" s="40">
        <v>0.0</v>
      </c>
      <c r="H33" s="39">
        <v>6.0</v>
      </c>
      <c r="I33" s="39">
        <v>0.0</v>
      </c>
      <c r="J33" s="39">
        <v>6.0</v>
      </c>
      <c r="K33" s="42">
        <v>12.0</v>
      </c>
      <c r="L33" s="39">
        <v>2.0</v>
      </c>
      <c r="M33" s="32">
        <f t="shared" ref="M33:N33" si="30">C33+K33</f>
        <v>21</v>
      </c>
      <c r="N33" s="32">
        <f t="shared" si="30"/>
        <v>3</v>
      </c>
      <c r="O33" s="43" t="s">
        <v>53</v>
      </c>
      <c r="P33" s="43" t="s">
        <v>53</v>
      </c>
      <c r="Q33" s="43" t="s">
        <v>53</v>
      </c>
      <c r="R33" s="39">
        <f>if(G33=13,1,0)+VLOOKUP(B33,'070624'!B:T,17,false)</f>
        <v>0</v>
      </c>
      <c r="S33" s="39"/>
      <c r="T33" s="39">
        <f>if(G33=9,1,0)+VLOOKUP(B33,'070624'!B:T,19,false)</f>
        <v>0</v>
      </c>
    </row>
    <row r="34">
      <c r="A34" s="30">
        <f t="shared" si="3"/>
        <v>30</v>
      </c>
      <c r="B34" s="31" t="s">
        <v>124</v>
      </c>
      <c r="C34" s="32">
        <v>9.0</v>
      </c>
      <c r="D34" s="32">
        <v>0.0</v>
      </c>
      <c r="E34" s="37">
        <v>3.0</v>
      </c>
      <c r="F34" s="39">
        <v>0.0</v>
      </c>
      <c r="G34" s="40">
        <v>9.0</v>
      </c>
      <c r="H34" s="39">
        <v>0.0</v>
      </c>
      <c r="I34" s="39">
        <v>0.0</v>
      </c>
      <c r="J34" s="39">
        <v>0.0</v>
      </c>
      <c r="K34" s="42">
        <v>9.0</v>
      </c>
      <c r="L34" s="39">
        <v>0.0</v>
      </c>
      <c r="M34" s="32">
        <f t="shared" ref="M34:N34" si="31">C34+K34</f>
        <v>18</v>
      </c>
      <c r="N34" s="32">
        <f t="shared" si="31"/>
        <v>0</v>
      </c>
      <c r="O34" s="43" t="s">
        <v>53</v>
      </c>
      <c r="P34" s="43" t="s">
        <v>53</v>
      </c>
      <c r="Q34" s="43" t="s">
        <v>53</v>
      </c>
      <c r="R34" s="39">
        <f>if(G34=13,1,0)+VLOOKUP(B34,'070624'!B:T,17,false)</f>
        <v>0</v>
      </c>
      <c r="S34" s="39"/>
      <c r="T34" s="39">
        <f>if(G34=9,1,0)+VLOOKUP(B34,'070624'!B:T,19,false)</f>
        <v>2</v>
      </c>
    </row>
    <row r="35">
      <c r="A35" s="30">
        <f t="shared" si="3"/>
        <v>31</v>
      </c>
      <c r="B35" s="31" t="s">
        <v>34</v>
      </c>
      <c r="C35" s="32">
        <v>9.0</v>
      </c>
      <c r="D35" s="32">
        <v>0.0</v>
      </c>
      <c r="E35" s="37">
        <v>1.0</v>
      </c>
      <c r="F35" s="39"/>
      <c r="G35" s="40">
        <v>0.0</v>
      </c>
      <c r="H35" s="39">
        <v>6.0</v>
      </c>
      <c r="I35" s="39">
        <v>6.0</v>
      </c>
      <c r="J35" s="39">
        <v>2.0</v>
      </c>
      <c r="K35" s="42">
        <v>14.0</v>
      </c>
      <c r="L35" s="39">
        <v>2.0</v>
      </c>
      <c r="M35" s="32">
        <f t="shared" ref="M35:N35" si="32">C35+K35</f>
        <v>23</v>
      </c>
      <c r="N35" s="32">
        <f t="shared" si="32"/>
        <v>2</v>
      </c>
      <c r="O35" s="43" t="s">
        <v>53</v>
      </c>
      <c r="P35" s="43" t="s">
        <v>53</v>
      </c>
      <c r="Q35" s="43" t="s">
        <v>53</v>
      </c>
      <c r="R35" s="39">
        <f>if(G35=13,1,0)+VLOOKUP(B35,'070624'!B:T,17,false)</f>
        <v>0</v>
      </c>
      <c r="S35" s="39"/>
      <c r="T35" s="39">
        <f>if(G35=9,1,0)+VLOOKUP(B35,'070624'!B:T,19,false)</f>
        <v>1</v>
      </c>
    </row>
    <row r="36">
      <c r="A36" s="30">
        <f t="shared" si="3"/>
        <v>32</v>
      </c>
      <c r="B36" s="51" t="s">
        <v>94</v>
      </c>
      <c r="C36" s="32">
        <v>9.0</v>
      </c>
      <c r="D36" s="32">
        <v>0.0</v>
      </c>
      <c r="E36" s="37">
        <v>1.0</v>
      </c>
      <c r="F36" s="39"/>
      <c r="G36" s="40">
        <v>0.0</v>
      </c>
      <c r="H36" s="39">
        <v>2.0</v>
      </c>
      <c r="I36" s="39">
        <v>6.0</v>
      </c>
      <c r="J36" s="39">
        <v>6.0</v>
      </c>
      <c r="K36" s="42">
        <v>14.0</v>
      </c>
      <c r="L36" s="39">
        <v>2.0</v>
      </c>
      <c r="M36" s="32">
        <f t="shared" ref="M36:N36" si="33">C36+K36</f>
        <v>23</v>
      </c>
      <c r="N36" s="32">
        <f t="shared" si="33"/>
        <v>2</v>
      </c>
      <c r="O36" s="43" t="s">
        <v>53</v>
      </c>
      <c r="P36" s="43" t="s">
        <v>53</v>
      </c>
      <c r="Q36" s="43" t="s">
        <v>53</v>
      </c>
      <c r="R36" s="39">
        <f>if(G36=13,1,0)+VLOOKUP(B36,'070624'!B:T,17,false)</f>
        <v>0</v>
      </c>
      <c r="S36" s="39"/>
      <c r="T36" s="39">
        <f>if(G36=9,1,0)+VLOOKUP(B36,'070624'!B:T,19,false)</f>
        <v>1</v>
      </c>
    </row>
    <row r="37">
      <c r="A37" s="30">
        <f t="shared" si="3"/>
        <v>33</v>
      </c>
      <c r="B37" s="31" t="s">
        <v>72</v>
      </c>
      <c r="C37" s="32">
        <v>9.0</v>
      </c>
      <c r="D37" s="32">
        <v>0.0</v>
      </c>
      <c r="E37" s="37">
        <v>5.0</v>
      </c>
      <c r="F37" s="39">
        <v>0.0</v>
      </c>
      <c r="G37" s="40">
        <v>13.0</v>
      </c>
      <c r="H37" s="39">
        <v>0.0</v>
      </c>
      <c r="I37" s="39">
        <v>0.0</v>
      </c>
      <c r="J37" s="39">
        <v>0.0</v>
      </c>
      <c r="K37" s="42">
        <v>13.0</v>
      </c>
      <c r="L37" s="39">
        <v>0.0</v>
      </c>
      <c r="M37" s="32">
        <f t="shared" ref="M37:N37" si="34">C37+K37</f>
        <v>22</v>
      </c>
      <c r="N37" s="32">
        <f t="shared" si="34"/>
        <v>0</v>
      </c>
      <c r="O37" s="43" t="s">
        <v>53</v>
      </c>
      <c r="P37" s="43" t="s">
        <v>53</v>
      </c>
      <c r="Q37" s="43" t="s">
        <v>53</v>
      </c>
      <c r="R37" s="39">
        <f>if(G37=13,1,0)+VLOOKUP(B37,'070624'!B:T,17,false)</f>
        <v>1</v>
      </c>
      <c r="S37" s="39"/>
      <c r="T37" s="39">
        <f>if(G37=9,1,0)+VLOOKUP(B37,'070624'!B:T,19,false)</f>
        <v>1</v>
      </c>
    </row>
    <row r="38">
      <c r="A38" s="30">
        <f t="shared" si="3"/>
        <v>34</v>
      </c>
      <c r="B38" s="51" t="s">
        <v>114</v>
      </c>
      <c r="C38" s="32">
        <v>9.0</v>
      </c>
      <c r="D38" s="32">
        <v>0.0</v>
      </c>
      <c r="E38" s="37">
        <v>1.0</v>
      </c>
      <c r="F38" s="39"/>
      <c r="G38" s="40">
        <v>0.0</v>
      </c>
      <c r="H38" s="39">
        <v>2.0</v>
      </c>
      <c r="I38" s="39">
        <v>2.0</v>
      </c>
      <c r="J38" s="39">
        <v>2.0</v>
      </c>
      <c r="K38" s="42">
        <v>6.0</v>
      </c>
      <c r="L38" s="39">
        <v>0.0</v>
      </c>
      <c r="M38" s="32">
        <f t="shared" ref="M38:N38" si="35">C38+K38</f>
        <v>15</v>
      </c>
      <c r="N38" s="32">
        <f t="shared" si="35"/>
        <v>0</v>
      </c>
      <c r="O38" s="43" t="s">
        <v>53</v>
      </c>
      <c r="P38" s="43" t="s">
        <v>53</v>
      </c>
      <c r="Q38" s="43" t="s">
        <v>53</v>
      </c>
      <c r="R38" s="39">
        <f>if(G38=13,1,0)+VLOOKUP(B38,'070624'!B:T,17,false)</f>
        <v>0</v>
      </c>
      <c r="S38" s="39"/>
      <c r="T38" s="39">
        <f>if(G38=9,1,0)+VLOOKUP(B38,'070624'!B:T,19,false)</f>
        <v>1</v>
      </c>
    </row>
    <row r="39">
      <c r="A39" s="30">
        <f t="shared" si="3"/>
        <v>35</v>
      </c>
      <c r="B39" s="31" t="s">
        <v>105</v>
      </c>
      <c r="C39" s="32">
        <v>9.0</v>
      </c>
      <c r="D39" s="32">
        <v>0.0</v>
      </c>
      <c r="E39" s="37">
        <v>1.0</v>
      </c>
      <c r="F39" s="39"/>
      <c r="G39" s="40">
        <v>0.0</v>
      </c>
      <c r="H39" s="39">
        <v>6.0</v>
      </c>
      <c r="I39" s="39">
        <v>2.0</v>
      </c>
      <c r="J39" s="39">
        <v>6.0</v>
      </c>
      <c r="K39" s="42">
        <v>14.0</v>
      </c>
      <c r="L39" s="39">
        <v>2.0</v>
      </c>
      <c r="M39" s="32">
        <f t="shared" ref="M39:N39" si="36">C39+K39</f>
        <v>23</v>
      </c>
      <c r="N39" s="32">
        <f t="shared" si="36"/>
        <v>2</v>
      </c>
      <c r="O39" s="43" t="s">
        <v>53</v>
      </c>
      <c r="P39" s="43" t="s">
        <v>53</v>
      </c>
      <c r="Q39" s="43" t="s">
        <v>53</v>
      </c>
      <c r="R39" s="39">
        <f>if(G39=13,1,0)+VLOOKUP(B39,'070624'!B:T,17,false)</f>
        <v>0</v>
      </c>
      <c r="S39" s="39"/>
      <c r="T39" s="39">
        <f>if(G39=9,1,0)+VLOOKUP(B39,'070624'!B:T,19,false)</f>
        <v>1</v>
      </c>
    </row>
    <row r="40">
      <c r="A40" s="30">
        <f t="shared" si="3"/>
        <v>36</v>
      </c>
      <c r="B40" s="31" t="s">
        <v>126</v>
      </c>
      <c r="C40" s="32">
        <v>9.0</v>
      </c>
      <c r="D40" s="32">
        <v>0.0</v>
      </c>
      <c r="E40" s="37">
        <v>9.0</v>
      </c>
      <c r="F40" s="39"/>
      <c r="G40" s="40">
        <v>0.0</v>
      </c>
      <c r="H40" s="39"/>
      <c r="I40" s="39">
        <v>0.0</v>
      </c>
      <c r="J40" s="39"/>
      <c r="K40" s="42">
        <v>9.0</v>
      </c>
      <c r="L40" s="39"/>
      <c r="M40" s="32">
        <f t="shared" ref="M40:N40" si="37">C40+K40</f>
        <v>18</v>
      </c>
      <c r="N40" s="32">
        <f t="shared" si="37"/>
        <v>0</v>
      </c>
      <c r="O40" s="43" t="s">
        <v>53</v>
      </c>
      <c r="P40" s="43" t="s">
        <v>53</v>
      </c>
      <c r="Q40" s="43" t="s">
        <v>53</v>
      </c>
      <c r="R40" s="39">
        <f>if(G40=13,1,0)+VLOOKUP(B40,'070624'!B:T,17,false)</f>
        <v>0</v>
      </c>
      <c r="S40" s="39"/>
      <c r="T40" s="39">
        <f>if(G40=9,1,0)+VLOOKUP(B40,'070624'!B:T,19,false)</f>
        <v>1</v>
      </c>
    </row>
    <row r="41">
      <c r="A41" s="30">
        <f t="shared" si="3"/>
        <v>37</v>
      </c>
      <c r="B41" s="31" t="s">
        <v>73</v>
      </c>
      <c r="C41" s="32">
        <v>9.0</v>
      </c>
      <c r="D41" s="32">
        <v>0.0</v>
      </c>
      <c r="E41" s="37">
        <v>5.0</v>
      </c>
      <c r="F41" s="39">
        <v>0.0</v>
      </c>
      <c r="G41" s="40">
        <v>13.0</v>
      </c>
      <c r="H41" s="39">
        <v>0.0</v>
      </c>
      <c r="I41" s="39">
        <v>0.0</v>
      </c>
      <c r="J41" s="39">
        <v>0.0</v>
      </c>
      <c r="K41" s="42">
        <v>13.0</v>
      </c>
      <c r="L41" s="39">
        <v>0.0</v>
      </c>
      <c r="M41" s="32">
        <f t="shared" ref="M41:N41" si="38">C41+K41</f>
        <v>22</v>
      </c>
      <c r="N41" s="32">
        <f t="shared" si="38"/>
        <v>0</v>
      </c>
      <c r="O41" s="43" t="s">
        <v>53</v>
      </c>
      <c r="P41" s="43" t="s">
        <v>53</v>
      </c>
      <c r="Q41" s="43" t="s">
        <v>53</v>
      </c>
      <c r="R41" s="39">
        <f>if(G41=13,1,0)+VLOOKUP(B41,'070624'!B:T,17,false)</f>
        <v>1</v>
      </c>
      <c r="S41" s="39"/>
      <c r="T41" s="39">
        <f>if(G41=9,1,0)+VLOOKUP(B41,'070624'!B:T,19,false)</f>
        <v>1</v>
      </c>
    </row>
    <row r="42">
      <c r="A42" s="30">
        <f t="shared" si="3"/>
        <v>38</v>
      </c>
      <c r="B42" s="31" t="s">
        <v>68</v>
      </c>
      <c r="C42" s="32">
        <v>9.0</v>
      </c>
      <c r="D42" s="32">
        <v>0.0</v>
      </c>
      <c r="E42" s="37">
        <v>1.0</v>
      </c>
      <c r="F42" s="39"/>
      <c r="G42" s="40">
        <v>0.0</v>
      </c>
      <c r="H42" s="39">
        <v>6.0</v>
      </c>
      <c r="I42" s="39">
        <v>6.0</v>
      </c>
      <c r="J42" s="39">
        <v>3.0</v>
      </c>
      <c r="K42" s="42">
        <v>15.0</v>
      </c>
      <c r="L42" s="39">
        <v>1.0</v>
      </c>
      <c r="M42" s="32">
        <f t="shared" ref="M42:N42" si="39">C42+K42</f>
        <v>24</v>
      </c>
      <c r="N42" s="32">
        <f t="shared" si="39"/>
        <v>1</v>
      </c>
      <c r="O42" s="43" t="s">
        <v>53</v>
      </c>
      <c r="P42" s="43" t="s">
        <v>53</v>
      </c>
      <c r="Q42" s="43" t="s">
        <v>53</v>
      </c>
      <c r="R42" s="39">
        <f>if(G42=13,1,0)+VLOOKUP(B42,'070624'!B:T,17,false)</f>
        <v>0</v>
      </c>
      <c r="S42" s="39"/>
      <c r="T42" s="39">
        <f>if(G42=9,1,0)+VLOOKUP(B42,'070624'!B:T,19,false)</f>
        <v>1</v>
      </c>
    </row>
    <row r="43">
      <c r="A43" s="30">
        <f t="shared" si="3"/>
        <v>39</v>
      </c>
      <c r="B43" s="31" t="s">
        <v>46</v>
      </c>
      <c r="C43" s="32">
        <v>9.0</v>
      </c>
      <c r="D43" s="32">
        <v>0.0</v>
      </c>
      <c r="E43" s="37">
        <v>4.0</v>
      </c>
      <c r="F43" s="39">
        <v>0.0</v>
      </c>
      <c r="G43" s="40">
        <v>9.0</v>
      </c>
      <c r="H43" s="39">
        <v>0.0</v>
      </c>
      <c r="I43" s="39">
        <v>0.0</v>
      </c>
      <c r="J43" s="39">
        <v>0.0</v>
      </c>
      <c r="K43" s="42">
        <v>9.0</v>
      </c>
      <c r="L43" s="39">
        <v>0.0</v>
      </c>
      <c r="M43" s="32">
        <f t="shared" ref="M43:N43" si="40">C43+K43</f>
        <v>18</v>
      </c>
      <c r="N43" s="32">
        <f t="shared" si="40"/>
        <v>0</v>
      </c>
      <c r="O43" s="43" t="s">
        <v>53</v>
      </c>
      <c r="P43" s="43" t="s">
        <v>53</v>
      </c>
      <c r="Q43" s="43" t="s">
        <v>53</v>
      </c>
      <c r="R43" s="39">
        <f>if(G43=13,1,0)+VLOOKUP(B43,'070624'!B:T,17,false)</f>
        <v>0</v>
      </c>
      <c r="S43" s="39"/>
      <c r="T43" s="39">
        <f>if(G43=9,1,0)+VLOOKUP(B43,'070624'!B:T,19,false)</f>
        <v>2</v>
      </c>
    </row>
    <row r="44">
      <c r="A44" s="30">
        <f t="shared" si="3"/>
        <v>40</v>
      </c>
      <c r="B44" s="51" t="s">
        <v>75</v>
      </c>
      <c r="C44" s="32">
        <v>9.0</v>
      </c>
      <c r="D44" s="32">
        <v>0.0</v>
      </c>
      <c r="E44" s="37">
        <v>5.0</v>
      </c>
      <c r="F44" s="39">
        <v>0.0</v>
      </c>
      <c r="G44" s="40">
        <v>13.0</v>
      </c>
      <c r="H44" s="39">
        <v>0.0</v>
      </c>
      <c r="I44" s="39">
        <v>0.0</v>
      </c>
      <c r="J44" s="39">
        <v>0.0</v>
      </c>
      <c r="K44" s="42">
        <v>13.0</v>
      </c>
      <c r="L44" s="39">
        <v>0.0</v>
      </c>
      <c r="M44" s="32">
        <f t="shared" ref="M44:N44" si="41">C44+K44</f>
        <v>22</v>
      </c>
      <c r="N44" s="32">
        <f t="shared" si="41"/>
        <v>0</v>
      </c>
      <c r="O44" s="43" t="s">
        <v>53</v>
      </c>
      <c r="P44" s="43" t="s">
        <v>53</v>
      </c>
      <c r="Q44" s="43" t="s">
        <v>53</v>
      </c>
      <c r="R44" s="39">
        <f>if(G44=13,1,0)+VLOOKUP(B44,'070624'!B:T,17,false)</f>
        <v>1</v>
      </c>
      <c r="S44" s="39"/>
      <c r="T44" s="39">
        <f>if(G44=9,1,0)+VLOOKUP(B44,'070624'!B:T,19,false)</f>
        <v>1</v>
      </c>
    </row>
    <row r="45">
      <c r="A45" s="30">
        <f t="shared" si="3"/>
        <v>41</v>
      </c>
      <c r="B45" s="31" t="s">
        <v>117</v>
      </c>
      <c r="C45" s="32">
        <v>9.0</v>
      </c>
      <c r="D45" s="32">
        <v>0.0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2">C45+K45</f>
        <v>18</v>
      </c>
      <c r="N45" s="32">
        <f t="shared" si="42"/>
        <v>0</v>
      </c>
      <c r="O45" s="43" t="s">
        <v>53</v>
      </c>
      <c r="P45" s="43" t="s">
        <v>53</v>
      </c>
      <c r="Q45" s="43" t="s">
        <v>53</v>
      </c>
      <c r="R45" s="39">
        <f>if(G45=13,1,0)+VLOOKUP(B45,'070624'!B:T,17,false)</f>
        <v>0</v>
      </c>
      <c r="S45" s="39"/>
      <c r="T45" s="39">
        <f>if(G45=9,1,0)+VLOOKUP(B45,'070624'!B:T,19,false)</f>
        <v>2</v>
      </c>
    </row>
    <row r="46">
      <c r="A46" s="30">
        <f t="shared" si="3"/>
        <v>42</v>
      </c>
      <c r="B46" s="57" t="s">
        <v>57</v>
      </c>
      <c r="C46" s="32">
        <v>9.0</v>
      </c>
      <c r="D46" s="32">
        <v>0.0</v>
      </c>
      <c r="E46" s="37">
        <v>5.0</v>
      </c>
      <c r="F46" s="39">
        <v>0.0</v>
      </c>
      <c r="G46" s="40">
        <v>13.0</v>
      </c>
      <c r="H46" s="39">
        <v>0.0</v>
      </c>
      <c r="I46" s="39">
        <v>0.0</v>
      </c>
      <c r="J46" s="39">
        <v>0.0</v>
      </c>
      <c r="K46" s="42">
        <v>13.0</v>
      </c>
      <c r="L46" s="39">
        <v>0.0</v>
      </c>
      <c r="M46" s="32">
        <f t="shared" ref="M46:N46" si="43">C46+K46</f>
        <v>22</v>
      </c>
      <c r="N46" s="32">
        <f t="shared" si="43"/>
        <v>0</v>
      </c>
      <c r="O46" s="43" t="s">
        <v>53</v>
      </c>
      <c r="P46" s="43" t="s">
        <v>53</v>
      </c>
      <c r="Q46" s="43" t="s">
        <v>53</v>
      </c>
      <c r="R46" s="39">
        <f>if(G46=13,1,0)+VLOOKUP(B46,'070624'!B:T,17,false)</f>
        <v>1</v>
      </c>
      <c r="S46" s="39"/>
      <c r="T46" s="39">
        <f>if(G46=9,1,0)+VLOOKUP(B46,'070624'!B:T,19,false)</f>
        <v>1</v>
      </c>
    </row>
    <row r="47">
      <c r="A47" s="30">
        <f t="shared" si="3"/>
        <v>43</v>
      </c>
      <c r="B47" s="31" t="s">
        <v>109</v>
      </c>
      <c r="C47" s="32">
        <v>9.0</v>
      </c>
      <c r="D47" s="32">
        <v>0.0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4">C47+K47</f>
        <v>18</v>
      </c>
      <c r="N47" s="32">
        <f t="shared" si="44"/>
        <v>0</v>
      </c>
      <c r="O47" s="43" t="s">
        <v>53</v>
      </c>
      <c r="P47" s="43" t="s">
        <v>53</v>
      </c>
      <c r="Q47" s="43" t="s">
        <v>53</v>
      </c>
      <c r="R47" s="39">
        <f>if(G47=13,1,0)+VLOOKUP(B47,'070624'!B:T,17,false)</f>
        <v>0</v>
      </c>
      <c r="S47" s="39"/>
      <c r="T47" s="39">
        <f>if(G47=9,1,0)+VLOOKUP(B47,'070624'!B:T,19,false)</f>
        <v>2</v>
      </c>
    </row>
    <row r="48">
      <c r="A48" s="30">
        <f t="shared" si="3"/>
        <v>44</v>
      </c>
      <c r="B48" s="31" t="s">
        <v>106</v>
      </c>
      <c r="C48" s="32">
        <v>9.0</v>
      </c>
      <c r="D48" s="32">
        <v>0.0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5">C48+K48</f>
        <v>18</v>
      </c>
      <c r="N48" s="32">
        <f t="shared" si="45"/>
        <v>0</v>
      </c>
      <c r="O48" s="43" t="s">
        <v>53</v>
      </c>
      <c r="P48" s="43" t="s">
        <v>53</v>
      </c>
      <c r="Q48" s="43" t="s">
        <v>53</v>
      </c>
      <c r="R48" s="39">
        <f>if(G48=13,1,0)+VLOOKUP(B48,'070624'!B:T,17,false)</f>
        <v>0</v>
      </c>
      <c r="S48" s="39"/>
      <c r="T48" s="39">
        <f>if(G48=9,1,0)+VLOOKUP(B48,'070624'!B:T,19,false)</f>
        <v>2</v>
      </c>
    </row>
    <row r="49">
      <c r="A49" s="30">
        <f t="shared" si="3"/>
        <v>45</v>
      </c>
      <c r="B49" s="31" t="s">
        <v>66</v>
      </c>
      <c r="C49" s="32">
        <v>9.0</v>
      </c>
      <c r="D49" s="32">
        <v>0.0</v>
      </c>
      <c r="E49" s="37">
        <v>5.0</v>
      </c>
      <c r="F49" s="39">
        <v>0.0</v>
      </c>
      <c r="G49" s="40">
        <v>13.0</v>
      </c>
      <c r="H49" s="39">
        <v>0.0</v>
      </c>
      <c r="I49" s="39">
        <v>0.0</v>
      </c>
      <c r="J49" s="39">
        <v>0.0</v>
      </c>
      <c r="K49" s="42">
        <v>13.0</v>
      </c>
      <c r="L49" s="39">
        <v>0.0</v>
      </c>
      <c r="M49" s="32">
        <f t="shared" ref="M49:N49" si="46">C49+K49</f>
        <v>22</v>
      </c>
      <c r="N49" s="32">
        <f t="shared" si="46"/>
        <v>0</v>
      </c>
      <c r="O49" s="43" t="s">
        <v>53</v>
      </c>
      <c r="P49" s="43" t="s">
        <v>53</v>
      </c>
      <c r="Q49" s="43" t="s">
        <v>53</v>
      </c>
      <c r="R49" s="39">
        <f>if(G49=13,1,0)+VLOOKUP(B49,'070624'!B:T,17,false)</f>
        <v>1</v>
      </c>
      <c r="S49" s="39"/>
      <c r="T49" s="39">
        <f>if(G49=9,1,0)+VLOOKUP(B49,'070624'!B:T,19,false)</f>
        <v>1</v>
      </c>
    </row>
    <row r="50">
      <c r="A50" s="30">
        <f t="shared" si="3"/>
        <v>46</v>
      </c>
      <c r="B50" s="31" t="s">
        <v>123</v>
      </c>
      <c r="C50" s="32">
        <v>9.0</v>
      </c>
      <c r="D50" s="32">
        <v>0.0</v>
      </c>
      <c r="E50" s="37">
        <v>3.0</v>
      </c>
      <c r="F50" s="39">
        <v>0.0</v>
      </c>
      <c r="G50" s="40">
        <v>9.0</v>
      </c>
      <c r="H50" s="39">
        <v>0.0</v>
      </c>
      <c r="I50" s="39">
        <v>0.0</v>
      </c>
      <c r="J50" s="39">
        <v>0.0</v>
      </c>
      <c r="K50" s="42">
        <v>9.0</v>
      </c>
      <c r="L50" s="39">
        <v>0.0</v>
      </c>
      <c r="M50" s="32">
        <f t="shared" ref="M50:N50" si="47">C50+K50</f>
        <v>18</v>
      </c>
      <c r="N50" s="32">
        <f t="shared" si="47"/>
        <v>0</v>
      </c>
      <c r="O50" s="43" t="s">
        <v>53</v>
      </c>
      <c r="P50" s="43" t="s">
        <v>53</v>
      </c>
      <c r="Q50" s="43" t="s">
        <v>53</v>
      </c>
      <c r="R50" s="39">
        <f>if(G50=13,1,0)+VLOOKUP(B50,'070624'!B:T,17,false)</f>
        <v>0</v>
      </c>
      <c r="S50" s="39"/>
      <c r="T50" s="39">
        <f>if(G50=9,1,0)+VLOOKUP(B50,'070624'!B:T,19,false)</f>
        <v>2</v>
      </c>
    </row>
    <row r="51">
      <c r="A51" s="30">
        <f t="shared" si="3"/>
        <v>47</v>
      </c>
      <c r="B51" s="51" t="s">
        <v>85</v>
      </c>
      <c r="C51" s="32">
        <v>9.0</v>
      </c>
      <c r="D51" s="32">
        <v>0.0</v>
      </c>
      <c r="E51" s="37">
        <v>3.0</v>
      </c>
      <c r="F51" s="39">
        <v>0.0</v>
      </c>
      <c r="G51" s="40">
        <v>9.0</v>
      </c>
      <c r="H51" s="39">
        <v>0.0</v>
      </c>
      <c r="I51" s="39">
        <v>0.0</v>
      </c>
      <c r="J51" s="39">
        <v>0.0</v>
      </c>
      <c r="K51" s="42">
        <v>9.0</v>
      </c>
      <c r="L51" s="39">
        <v>0.0</v>
      </c>
      <c r="M51" s="32">
        <f t="shared" ref="M51:N51" si="48">C51+K51</f>
        <v>18</v>
      </c>
      <c r="N51" s="32">
        <f t="shared" si="48"/>
        <v>0</v>
      </c>
      <c r="O51" s="43" t="s">
        <v>53</v>
      </c>
      <c r="P51" s="43" t="s">
        <v>53</v>
      </c>
      <c r="Q51" s="43" t="s">
        <v>53</v>
      </c>
      <c r="R51" s="39">
        <f>if(G51=13,1,0)+VLOOKUP(B51,'070624'!B:T,17,false)</f>
        <v>0</v>
      </c>
      <c r="S51" s="39"/>
      <c r="T51" s="39">
        <f>if(G51=9,1,0)+VLOOKUP(B51,'070624'!B:T,19,false)</f>
        <v>2</v>
      </c>
    </row>
    <row r="52">
      <c r="A52" s="30">
        <f t="shared" si="3"/>
        <v>48</v>
      </c>
      <c r="B52" s="51" t="s">
        <v>108</v>
      </c>
      <c r="C52" s="32">
        <v>9.0</v>
      </c>
      <c r="D52" s="32">
        <v>0.0</v>
      </c>
      <c r="E52" s="37">
        <v>3.0</v>
      </c>
      <c r="F52" s="39">
        <v>0.0</v>
      </c>
      <c r="G52" s="40">
        <v>9.0</v>
      </c>
      <c r="H52" s="39">
        <v>0.0</v>
      </c>
      <c r="I52" s="39">
        <v>0.0</v>
      </c>
      <c r="J52" s="39">
        <v>0.0</v>
      </c>
      <c r="K52" s="42">
        <v>9.0</v>
      </c>
      <c r="L52" s="39">
        <v>0.0</v>
      </c>
      <c r="M52" s="32">
        <f t="shared" ref="M52:N52" si="49">C52+K52</f>
        <v>18</v>
      </c>
      <c r="N52" s="32">
        <f t="shared" si="49"/>
        <v>0</v>
      </c>
      <c r="O52" s="43" t="s">
        <v>53</v>
      </c>
      <c r="P52" s="43" t="s">
        <v>53</v>
      </c>
      <c r="Q52" s="43" t="s">
        <v>53</v>
      </c>
      <c r="R52" s="39">
        <f>if(G52=13,1,0)+VLOOKUP(B52,'070624'!B:T,17,false)</f>
        <v>0</v>
      </c>
      <c r="S52" s="39"/>
      <c r="T52" s="39">
        <f>if(G52=9,1,0)+VLOOKUP(B52,'070624'!B:T,19,false)</f>
        <v>2</v>
      </c>
    </row>
    <row r="53">
      <c r="A53" s="30">
        <f t="shared" si="3"/>
        <v>49</v>
      </c>
      <c r="B53" s="51" t="s">
        <v>74</v>
      </c>
      <c r="C53" s="32">
        <v>9.0</v>
      </c>
      <c r="D53" s="32">
        <v>0.0</v>
      </c>
      <c r="E53" s="37">
        <v>3.0</v>
      </c>
      <c r="F53" s="39">
        <v>0.0</v>
      </c>
      <c r="G53" s="40">
        <v>9.0</v>
      </c>
      <c r="H53" s="39">
        <v>0.0</v>
      </c>
      <c r="I53" s="39">
        <v>0.0</v>
      </c>
      <c r="J53" s="39">
        <v>0.0</v>
      </c>
      <c r="K53" s="42">
        <v>9.0</v>
      </c>
      <c r="L53" s="39">
        <v>0.0</v>
      </c>
      <c r="M53" s="32">
        <f t="shared" ref="M53:N53" si="50">C53+K53</f>
        <v>18</v>
      </c>
      <c r="N53" s="32">
        <f t="shared" si="50"/>
        <v>0</v>
      </c>
      <c r="O53" s="43" t="s">
        <v>53</v>
      </c>
      <c r="P53" s="43" t="s">
        <v>53</v>
      </c>
      <c r="Q53" s="43" t="s">
        <v>53</v>
      </c>
      <c r="R53" s="39">
        <f>if(G53=13,1,0)+VLOOKUP(B53,'070624'!B:T,17,false)</f>
        <v>0</v>
      </c>
      <c r="S53" s="39"/>
      <c r="T53" s="39">
        <f>if(G53=9,1,0)+VLOOKUP(B53,'070624'!B:T,19,false)</f>
        <v>2</v>
      </c>
    </row>
    <row r="54">
      <c r="A54" s="30">
        <f t="shared" si="3"/>
        <v>50</v>
      </c>
      <c r="B54" s="31" t="s">
        <v>79</v>
      </c>
      <c r="C54" s="32">
        <v>9.0</v>
      </c>
      <c r="D54" s="32">
        <v>0.0</v>
      </c>
      <c r="E54" s="37">
        <v>2.0</v>
      </c>
      <c r="F54" s="39"/>
      <c r="G54" s="40">
        <v>0.0</v>
      </c>
      <c r="H54" s="39">
        <v>7.0</v>
      </c>
      <c r="I54" s="39">
        <v>0.0</v>
      </c>
      <c r="J54" s="39">
        <v>3.0</v>
      </c>
      <c r="K54" s="42">
        <v>10.0</v>
      </c>
      <c r="L54" s="39">
        <v>1.0</v>
      </c>
      <c r="M54" s="32">
        <f t="shared" ref="M54:N54" si="51">C54+K54</f>
        <v>19</v>
      </c>
      <c r="N54" s="32">
        <f t="shared" si="51"/>
        <v>1</v>
      </c>
      <c r="O54" s="43" t="s">
        <v>53</v>
      </c>
      <c r="P54" s="43" t="s">
        <v>53</v>
      </c>
      <c r="Q54" s="43" t="s">
        <v>53</v>
      </c>
      <c r="R54" s="39">
        <f>if(G54=13,1,0)+VLOOKUP(B54,'070624'!B:T,17,false)</f>
        <v>0</v>
      </c>
      <c r="S54" s="39"/>
      <c r="T54" s="39">
        <f>if(G54=9,1,0)+VLOOKUP(B54,'070624'!B:T,19,false)</f>
        <v>1</v>
      </c>
    </row>
    <row r="55">
      <c r="A55" s="30">
        <f t="shared" si="3"/>
        <v>51</v>
      </c>
      <c r="B55" s="31" t="s">
        <v>63</v>
      </c>
      <c r="C55" s="32">
        <v>9.0</v>
      </c>
      <c r="D55" s="32">
        <v>0.0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2">C55+K55</f>
        <v>18</v>
      </c>
      <c r="N55" s="32">
        <f t="shared" si="52"/>
        <v>0</v>
      </c>
      <c r="O55" s="43" t="s">
        <v>53</v>
      </c>
      <c r="P55" s="43" t="s">
        <v>53</v>
      </c>
      <c r="Q55" s="43" t="s">
        <v>53</v>
      </c>
      <c r="R55" s="39">
        <f>if(G55=13,1,0)+VLOOKUP(B55,'070624'!B:T,17,false)</f>
        <v>0</v>
      </c>
      <c r="S55" s="39"/>
      <c r="T55" s="39">
        <f>if(G55=9,1,0)+VLOOKUP(B55,'070624'!B:T,19,false)</f>
        <v>2</v>
      </c>
    </row>
    <row r="56">
      <c r="A56" s="30">
        <f t="shared" si="3"/>
        <v>52</v>
      </c>
      <c r="B56" s="31" t="s">
        <v>119</v>
      </c>
      <c r="C56" s="32">
        <v>9.0</v>
      </c>
      <c r="D56" s="32">
        <v>0.0</v>
      </c>
      <c r="E56" s="37">
        <v>2.0</v>
      </c>
      <c r="F56" s="39"/>
      <c r="G56" s="40">
        <v>0.0</v>
      </c>
      <c r="H56" s="39">
        <v>7.0</v>
      </c>
      <c r="I56" s="39">
        <v>6.0</v>
      </c>
      <c r="J56" s="39">
        <v>6.0</v>
      </c>
      <c r="K56" s="42">
        <v>19.0</v>
      </c>
      <c r="L56" s="39">
        <v>3.0</v>
      </c>
      <c r="M56" s="32">
        <f t="shared" ref="M56:N56" si="53">C56+K56</f>
        <v>28</v>
      </c>
      <c r="N56" s="32">
        <f t="shared" si="53"/>
        <v>3</v>
      </c>
      <c r="O56" s="43" t="s">
        <v>53</v>
      </c>
      <c r="P56" s="43" t="s">
        <v>53</v>
      </c>
      <c r="Q56" s="43" t="s">
        <v>53</v>
      </c>
      <c r="R56" s="39">
        <f>if(G56=13,1,0)+VLOOKUP(B56,'070624'!B:T,17,false)</f>
        <v>0</v>
      </c>
      <c r="S56" s="39"/>
      <c r="T56" s="39">
        <f>if(G56=9,1,0)+VLOOKUP(B56,'070624'!B:T,19,false)</f>
        <v>1</v>
      </c>
    </row>
    <row r="57">
      <c r="A57" s="30">
        <f t="shared" si="3"/>
        <v>53</v>
      </c>
      <c r="B57" s="51" t="s">
        <v>118</v>
      </c>
      <c r="C57" s="32">
        <v>9.0</v>
      </c>
      <c r="D57" s="32">
        <v>0.0</v>
      </c>
      <c r="E57" s="37">
        <v>3.0</v>
      </c>
      <c r="F57" s="39">
        <v>0.0</v>
      </c>
      <c r="G57" s="40">
        <v>9.0</v>
      </c>
      <c r="H57" s="39">
        <v>0.0</v>
      </c>
      <c r="I57" s="39">
        <v>0.0</v>
      </c>
      <c r="J57" s="39">
        <v>0.0</v>
      </c>
      <c r="K57" s="42">
        <v>9.0</v>
      </c>
      <c r="L57" s="39">
        <v>0.0</v>
      </c>
      <c r="M57" s="32">
        <f t="shared" ref="M57:N57" si="54">C57+K57</f>
        <v>18</v>
      </c>
      <c r="N57" s="32">
        <f t="shared" si="54"/>
        <v>0</v>
      </c>
      <c r="O57" s="43" t="s">
        <v>53</v>
      </c>
      <c r="P57" s="43" t="s">
        <v>53</v>
      </c>
      <c r="Q57" s="43" t="s">
        <v>53</v>
      </c>
      <c r="R57" s="39">
        <f>if(G57=13,1,0)+VLOOKUP(B57,'070624'!B:T,17,false)</f>
        <v>0</v>
      </c>
      <c r="S57" s="39"/>
      <c r="T57" s="39">
        <f>if(G57=9,1,0)+VLOOKUP(B57,'070624'!B:T,19,false)</f>
        <v>2</v>
      </c>
    </row>
    <row r="58">
      <c r="A58" s="30">
        <f t="shared" si="3"/>
        <v>54</v>
      </c>
      <c r="B58" s="31" t="s">
        <v>56</v>
      </c>
      <c r="C58" s="32">
        <v>9.0</v>
      </c>
      <c r="D58" s="32">
        <v>0.0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5">C58+K58</f>
        <v>18</v>
      </c>
      <c r="N58" s="32">
        <f t="shared" si="55"/>
        <v>0</v>
      </c>
      <c r="O58" s="43" t="s">
        <v>53</v>
      </c>
      <c r="P58" s="43" t="s">
        <v>53</v>
      </c>
      <c r="Q58" s="43" t="s">
        <v>53</v>
      </c>
      <c r="R58" s="39">
        <f>if(G58=13,1,0)+VLOOKUP(B58,'070624'!B:T,17,false)</f>
        <v>0</v>
      </c>
      <c r="S58" s="39"/>
      <c r="T58" s="39">
        <f>if(G58=9,1,0)+VLOOKUP(B58,'070624'!B:T,19,false)</f>
        <v>2</v>
      </c>
    </row>
    <row r="59">
      <c r="A59" s="30">
        <f t="shared" si="3"/>
        <v>55</v>
      </c>
      <c r="B59" s="31" t="s">
        <v>83</v>
      </c>
      <c r="C59" s="32">
        <v>9.0</v>
      </c>
      <c r="D59" s="32">
        <v>0.0</v>
      </c>
      <c r="E59" s="37">
        <v>1.0</v>
      </c>
      <c r="F59" s="39"/>
      <c r="G59" s="40">
        <v>0.0</v>
      </c>
      <c r="H59" s="39">
        <v>6.0</v>
      </c>
      <c r="I59" s="39">
        <v>6.0</v>
      </c>
      <c r="J59" s="39">
        <v>6.0</v>
      </c>
      <c r="K59" s="42">
        <v>18.0</v>
      </c>
      <c r="L59" s="39">
        <v>3.0</v>
      </c>
      <c r="M59" s="32">
        <f t="shared" ref="M59:N59" si="56">C59+K59</f>
        <v>27</v>
      </c>
      <c r="N59" s="32">
        <f t="shared" si="56"/>
        <v>3</v>
      </c>
      <c r="O59" s="43" t="s">
        <v>53</v>
      </c>
      <c r="P59" s="43" t="s">
        <v>53</v>
      </c>
      <c r="Q59" s="43" t="s">
        <v>53</v>
      </c>
      <c r="R59" s="39">
        <f>if(G59=13,1,0)+VLOOKUP(B59,'070624'!B:T,17,false)</f>
        <v>0</v>
      </c>
      <c r="S59" s="39"/>
      <c r="T59" s="39">
        <f>if(G59=9,1,0)+VLOOKUP(B59,'070624'!B:T,19,false)</f>
        <v>1</v>
      </c>
    </row>
    <row r="60">
      <c r="A60" s="30">
        <f t="shared" si="3"/>
        <v>56</v>
      </c>
      <c r="B60" s="56" t="s">
        <v>101</v>
      </c>
      <c r="C60" s="32">
        <v>9.0</v>
      </c>
      <c r="D60" s="32">
        <v>0.0</v>
      </c>
      <c r="E60" s="37">
        <v>1.0</v>
      </c>
      <c r="F60" s="39"/>
      <c r="G60" s="40">
        <v>0.0</v>
      </c>
      <c r="H60" s="39">
        <v>4.0</v>
      </c>
      <c r="I60" s="39">
        <v>4.0</v>
      </c>
      <c r="J60" s="39">
        <v>6.0</v>
      </c>
      <c r="K60" s="42">
        <v>14.0</v>
      </c>
      <c r="L60" s="39">
        <v>1.0</v>
      </c>
      <c r="M60" s="32">
        <f t="shared" ref="M60:N60" si="57">C60+K60</f>
        <v>23</v>
      </c>
      <c r="N60" s="32">
        <f t="shared" si="57"/>
        <v>1</v>
      </c>
      <c r="O60" s="43" t="s">
        <v>53</v>
      </c>
      <c r="P60" s="43" t="s">
        <v>53</v>
      </c>
      <c r="Q60" s="43" t="s">
        <v>53</v>
      </c>
      <c r="R60" s="39">
        <f>if(G60=13,1,0)+VLOOKUP(B60,'070624'!B:T,17,false)</f>
        <v>0</v>
      </c>
      <c r="S60" s="39"/>
      <c r="T60" s="39">
        <f>if(G60=9,1,0)+VLOOKUP(B60,'070624'!B:T,19,false)</f>
        <v>1</v>
      </c>
    </row>
    <row r="61">
      <c r="A61" s="30">
        <f t="shared" si="3"/>
        <v>57</v>
      </c>
      <c r="B61" s="51" t="s">
        <v>95</v>
      </c>
      <c r="C61" s="32">
        <v>9.0</v>
      </c>
      <c r="D61" s="32">
        <v>0.0</v>
      </c>
      <c r="E61" s="37">
        <v>1.0</v>
      </c>
      <c r="F61" s="39"/>
      <c r="G61" s="40">
        <v>0.0</v>
      </c>
      <c r="H61" s="39">
        <v>4.0</v>
      </c>
      <c r="I61" s="39">
        <v>6.0</v>
      </c>
      <c r="J61" s="39">
        <v>4.0</v>
      </c>
      <c r="K61" s="42">
        <v>14.0</v>
      </c>
      <c r="L61" s="39">
        <v>1.0</v>
      </c>
      <c r="M61" s="32">
        <f t="shared" ref="M61:N61" si="58">C61+K61</f>
        <v>23</v>
      </c>
      <c r="N61" s="32">
        <f t="shared" si="58"/>
        <v>1</v>
      </c>
      <c r="O61" s="43" t="s">
        <v>53</v>
      </c>
      <c r="P61" s="43" t="s">
        <v>53</v>
      </c>
      <c r="Q61" s="43" t="s">
        <v>53</v>
      </c>
      <c r="R61" s="39">
        <f>if(G61=13,1,0)+VLOOKUP(B61,'070624'!B:T,17,false)</f>
        <v>0</v>
      </c>
      <c r="S61" s="39"/>
      <c r="T61" s="39">
        <f>if(G61=9,1,0)+VLOOKUP(B61,'070624'!B:T,19,false)</f>
        <v>1</v>
      </c>
    </row>
    <row r="62">
      <c r="A62" s="30">
        <f t="shared" si="3"/>
        <v>58</v>
      </c>
      <c r="B62" s="51" t="s">
        <v>76</v>
      </c>
      <c r="C62" s="32">
        <v>9.0</v>
      </c>
      <c r="D62" s="32">
        <v>0.0</v>
      </c>
      <c r="E62" s="37">
        <v>3.0</v>
      </c>
      <c r="F62" s="39">
        <v>0.0</v>
      </c>
      <c r="G62" s="40">
        <v>9.0</v>
      </c>
      <c r="H62" s="39">
        <v>0.0</v>
      </c>
      <c r="I62" s="39">
        <v>0.0</v>
      </c>
      <c r="J62" s="39">
        <v>0.0</v>
      </c>
      <c r="K62" s="42">
        <v>9.0</v>
      </c>
      <c r="L62" s="39">
        <v>0.0</v>
      </c>
      <c r="M62" s="32">
        <f t="shared" ref="M62:N62" si="59">C62+K62</f>
        <v>18</v>
      </c>
      <c r="N62" s="32">
        <f t="shared" si="59"/>
        <v>0</v>
      </c>
      <c r="O62" s="43" t="s">
        <v>53</v>
      </c>
      <c r="P62" s="43" t="s">
        <v>53</v>
      </c>
      <c r="Q62" s="43" t="s">
        <v>53</v>
      </c>
      <c r="R62" s="39">
        <f>if(G62=13,1,0)+VLOOKUP(B62,'070624'!B:T,17,false)</f>
        <v>0</v>
      </c>
      <c r="S62" s="39"/>
      <c r="T62" s="39">
        <f>if(G62=9,1,0)+VLOOKUP(B62,'070624'!B:T,19,false)</f>
        <v>2</v>
      </c>
    </row>
    <row r="63">
      <c r="A63" s="30">
        <f t="shared" si="3"/>
        <v>59</v>
      </c>
      <c r="B63" s="31" t="s">
        <v>91</v>
      </c>
      <c r="C63" s="32">
        <v>9.0</v>
      </c>
      <c r="D63" s="32">
        <v>0.0</v>
      </c>
      <c r="E63" s="37">
        <v>1.0</v>
      </c>
      <c r="F63" s="39"/>
      <c r="G63" s="40">
        <v>0.0</v>
      </c>
      <c r="H63" s="39">
        <v>6.0</v>
      </c>
      <c r="I63" s="39">
        <v>4.0</v>
      </c>
      <c r="J63" s="39">
        <v>4.0</v>
      </c>
      <c r="K63" s="42">
        <v>14.0</v>
      </c>
      <c r="L63" s="39">
        <v>1.0</v>
      </c>
      <c r="M63" s="32">
        <f t="shared" ref="M63:N63" si="60">C63+K63</f>
        <v>23</v>
      </c>
      <c r="N63" s="32">
        <f t="shared" si="60"/>
        <v>1</v>
      </c>
      <c r="O63" s="43" t="s">
        <v>53</v>
      </c>
      <c r="P63" s="43" t="s">
        <v>53</v>
      </c>
      <c r="Q63" s="43" t="s">
        <v>53</v>
      </c>
      <c r="R63" s="39">
        <f>if(G63=13,1,0)+VLOOKUP(B63,'070624'!B:T,17,false)</f>
        <v>0</v>
      </c>
      <c r="S63" s="39"/>
      <c r="T63" s="39">
        <f>if(G63=9,1,0)+VLOOKUP(B63,'070624'!B:T,19,false)</f>
        <v>1</v>
      </c>
    </row>
    <row r="64">
      <c r="A64" s="30">
        <f t="shared" si="3"/>
        <v>60</v>
      </c>
      <c r="B64" s="31" t="s">
        <v>98</v>
      </c>
      <c r="C64" s="32">
        <v>9.0</v>
      </c>
      <c r="D64" s="32">
        <v>0.0</v>
      </c>
      <c r="E64" s="37">
        <v>5.0</v>
      </c>
      <c r="F64" s="39">
        <v>0.0</v>
      </c>
      <c r="G64" s="40">
        <v>13.0</v>
      </c>
      <c r="H64" s="39">
        <v>0.0</v>
      </c>
      <c r="I64" s="39">
        <v>0.0</v>
      </c>
      <c r="J64" s="39">
        <v>0.0</v>
      </c>
      <c r="K64" s="42">
        <v>13.0</v>
      </c>
      <c r="L64" s="39">
        <v>0.0</v>
      </c>
      <c r="M64" s="32">
        <f t="shared" ref="M64:N64" si="61">C64+K64</f>
        <v>22</v>
      </c>
      <c r="N64" s="32">
        <f t="shared" si="61"/>
        <v>0</v>
      </c>
      <c r="O64" s="43" t="s">
        <v>53</v>
      </c>
      <c r="P64" s="43" t="s">
        <v>53</v>
      </c>
      <c r="Q64" s="43" t="s">
        <v>53</v>
      </c>
      <c r="R64" s="39">
        <f>if(G64=13,1,0)+VLOOKUP(B64,'070624'!B:T,17,false)</f>
        <v>1</v>
      </c>
      <c r="S64" s="39"/>
      <c r="T64" s="39">
        <f>if(G64=9,1,0)+VLOOKUP(B64,'070624'!B:T,19,false)</f>
        <v>1</v>
      </c>
    </row>
    <row r="65">
      <c r="A65" s="30">
        <f t="shared" si="3"/>
        <v>61</v>
      </c>
      <c r="B65" s="31" t="s">
        <v>120</v>
      </c>
      <c r="C65" s="32">
        <v>9.0</v>
      </c>
      <c r="D65" s="32">
        <v>0.0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2">C65+K65</f>
        <v>18</v>
      </c>
      <c r="N65" s="32">
        <f t="shared" si="62"/>
        <v>0</v>
      </c>
      <c r="O65" s="43" t="s">
        <v>53</v>
      </c>
      <c r="P65" s="43" t="s">
        <v>53</v>
      </c>
      <c r="Q65" s="43" t="s">
        <v>53</v>
      </c>
      <c r="R65" s="39">
        <f>if(G65=13,1,0)+VLOOKUP(B65,'070624'!B:T,17,false)</f>
        <v>0</v>
      </c>
      <c r="S65" s="39"/>
      <c r="T65" s="39">
        <f>if(G65=9,1,0)+VLOOKUP(B65,'070624'!B:T,19,false)</f>
        <v>2</v>
      </c>
    </row>
    <row r="66">
      <c r="A66" s="30">
        <f t="shared" si="3"/>
        <v>62</v>
      </c>
      <c r="B66" s="51" t="s">
        <v>80</v>
      </c>
      <c r="C66" s="32">
        <v>8.0</v>
      </c>
      <c r="D66" s="32">
        <v>1.0</v>
      </c>
      <c r="E66" s="37">
        <v>1.0</v>
      </c>
      <c r="F66" s="39"/>
      <c r="G66" s="40">
        <v>0.0</v>
      </c>
      <c r="H66" s="39">
        <v>2.0</v>
      </c>
      <c r="I66" s="39">
        <v>6.0</v>
      </c>
      <c r="J66" s="39">
        <v>2.0</v>
      </c>
      <c r="K66" s="42">
        <v>10.0</v>
      </c>
      <c r="L66" s="39">
        <v>1.0</v>
      </c>
      <c r="M66" s="32">
        <f t="shared" ref="M66:N66" si="63">C66+K66</f>
        <v>18</v>
      </c>
      <c r="N66" s="32">
        <f t="shared" si="63"/>
        <v>2</v>
      </c>
      <c r="O66" s="43" t="s">
        <v>53</v>
      </c>
      <c r="P66" s="43" t="s">
        <v>53</v>
      </c>
      <c r="Q66" s="43" t="s">
        <v>53</v>
      </c>
      <c r="R66" s="39">
        <f>if(G66=13,1,0)+VLOOKUP(B66,'070624'!B:T,17,false)</f>
        <v>0</v>
      </c>
      <c r="S66" s="39"/>
      <c r="T66" s="39">
        <f>if(G66=9,1,0)+VLOOKUP(B66,'070624'!B:T,19,false)</f>
        <v>0</v>
      </c>
    </row>
    <row r="67">
      <c r="A67" s="30">
        <f t="shared" si="3"/>
        <v>63</v>
      </c>
      <c r="B67" s="56" t="s">
        <v>51</v>
      </c>
      <c r="C67" s="32">
        <v>8.0</v>
      </c>
      <c r="D67" s="32">
        <v>1.0</v>
      </c>
      <c r="E67" s="37">
        <v>1.0</v>
      </c>
      <c r="F67" s="39"/>
      <c r="G67" s="40">
        <v>0.0</v>
      </c>
      <c r="H67" s="39">
        <v>2.0</v>
      </c>
      <c r="I67" s="39">
        <v>2.0</v>
      </c>
      <c r="J67" s="39">
        <v>6.0</v>
      </c>
      <c r="K67" s="42">
        <v>10.0</v>
      </c>
      <c r="L67" s="39">
        <v>1.0</v>
      </c>
      <c r="M67" s="32">
        <f t="shared" ref="M67:N67" si="64">C67+K67</f>
        <v>18</v>
      </c>
      <c r="N67" s="32">
        <f t="shared" si="64"/>
        <v>2</v>
      </c>
      <c r="O67" s="43" t="s">
        <v>53</v>
      </c>
      <c r="P67" s="43" t="s">
        <v>53</v>
      </c>
      <c r="Q67" s="43" t="s">
        <v>53</v>
      </c>
      <c r="R67" s="39">
        <f>if(G67=13,1,0)+VLOOKUP(B67,'070624'!B:T,17,false)</f>
        <v>0</v>
      </c>
      <c r="S67" s="39"/>
      <c r="T67" s="39">
        <f>if(G67=9,1,0)+VLOOKUP(B67,'070624'!B:T,19,false)</f>
        <v>0</v>
      </c>
    </row>
    <row r="68">
      <c r="A68" s="30">
        <f t="shared" si="3"/>
        <v>64</v>
      </c>
      <c r="B68" s="51" t="s">
        <v>104</v>
      </c>
      <c r="C68" s="32">
        <v>6.0</v>
      </c>
      <c r="D68" s="32">
        <v>0.0</v>
      </c>
      <c r="E68" s="37">
        <v>1.0</v>
      </c>
      <c r="F68" s="39"/>
      <c r="G68" s="40">
        <v>0.0</v>
      </c>
      <c r="H68" s="39">
        <v>6.0</v>
      </c>
      <c r="I68" s="39">
        <v>6.0</v>
      </c>
      <c r="J68" s="39">
        <v>6.0</v>
      </c>
      <c r="K68" s="42">
        <v>18.0</v>
      </c>
      <c r="L68" s="39">
        <v>3.0</v>
      </c>
      <c r="M68" s="32">
        <f t="shared" ref="M68:N68" si="65">C68+K68</f>
        <v>24</v>
      </c>
      <c r="N68" s="32">
        <f t="shared" si="65"/>
        <v>3</v>
      </c>
      <c r="O68" s="43" t="s">
        <v>53</v>
      </c>
      <c r="P68" s="43" t="s">
        <v>53</v>
      </c>
      <c r="Q68" s="43" t="s">
        <v>53</v>
      </c>
      <c r="R68" s="39">
        <f>if(G68=13,1,0)+VLOOKUP(B68,'070624'!B:T,17,false)</f>
        <v>0</v>
      </c>
      <c r="S68" s="39"/>
      <c r="T68" s="39">
        <f>if(G68=9,1,0)+VLOOKUP(B68,'070624'!B:T,19,false)</f>
        <v>0</v>
      </c>
    </row>
    <row r="69">
      <c r="A69" s="30">
        <f t="shared" si="3"/>
        <v>65</v>
      </c>
      <c r="B69" s="56" t="s">
        <v>115</v>
      </c>
      <c r="C69" s="32">
        <v>6.0</v>
      </c>
      <c r="D69" s="32">
        <v>0.0</v>
      </c>
      <c r="E69" s="37">
        <v>1.0</v>
      </c>
      <c r="F69" s="39"/>
      <c r="G69" s="40">
        <v>0.0</v>
      </c>
      <c r="H69" s="39">
        <v>6.0</v>
      </c>
      <c r="I69" s="39">
        <v>2.0</v>
      </c>
      <c r="J69" s="39">
        <v>2.0</v>
      </c>
      <c r="K69" s="42">
        <v>10.0</v>
      </c>
      <c r="L69" s="39">
        <v>1.0</v>
      </c>
      <c r="M69" s="32">
        <f t="shared" ref="M69:N69" si="66">C69+K69</f>
        <v>16</v>
      </c>
      <c r="N69" s="32">
        <f t="shared" si="66"/>
        <v>1</v>
      </c>
      <c r="O69" s="43" t="s">
        <v>53</v>
      </c>
      <c r="P69" s="43" t="s">
        <v>53</v>
      </c>
      <c r="Q69" s="43" t="s">
        <v>53</v>
      </c>
      <c r="R69" s="39">
        <f>if(G69=13,1,0)+VLOOKUP(B69,'070624'!B:T,17,false)</f>
        <v>0</v>
      </c>
      <c r="S69" s="39"/>
      <c r="T69" s="39">
        <f>if(G69=9,1,0)+VLOOKUP(B69,'070624'!B:T,19,false)</f>
        <v>0</v>
      </c>
    </row>
    <row r="70">
      <c r="A70" s="11"/>
      <c r="C70" s="11"/>
      <c r="D70" s="11"/>
      <c r="E70" s="11"/>
      <c r="P70" s="11"/>
    </row>
    <row r="71">
      <c r="A71" s="11"/>
      <c r="C71" s="11"/>
      <c r="D71" s="11"/>
      <c r="E71" s="11"/>
      <c r="P71" s="11"/>
    </row>
    <row r="72">
      <c r="A72" s="11"/>
      <c r="B72" s="58">
        <f>COUNTA(B5:B69)</f>
        <v>65</v>
      </c>
      <c r="C72" s="11"/>
      <c r="D72" s="11"/>
      <c r="E72" s="11"/>
      <c r="O72" s="7" t="s">
        <v>163</v>
      </c>
      <c r="P72" s="8">
        <f t="shared" ref="P72:Q72" si="67">COUNTA(P5:P69)</f>
        <v>65</v>
      </c>
      <c r="Q72" s="8">
        <f t="shared" si="67"/>
        <v>65</v>
      </c>
    </row>
    <row r="73">
      <c r="A73" s="11"/>
      <c r="C73" s="11"/>
      <c r="D73" s="11"/>
      <c r="E73" s="11"/>
      <c r="O73" s="7" t="s">
        <v>164</v>
      </c>
      <c r="P73" s="8">
        <f t="shared" ref="P73:Q73" si="68">P74-P72</f>
        <v>0</v>
      </c>
      <c r="Q73" s="8">
        <f t="shared" si="68"/>
        <v>0</v>
      </c>
    </row>
    <row r="74">
      <c r="A74" s="11"/>
      <c r="C74" s="11"/>
      <c r="D74" s="11"/>
      <c r="J74" s="49"/>
      <c r="K74" s="59"/>
      <c r="L74" s="60"/>
      <c r="O74" s="7" t="s">
        <v>60</v>
      </c>
      <c r="P74" s="8">
        <f>B72</f>
        <v>65</v>
      </c>
      <c r="Q74" s="8">
        <f>P74</f>
        <v>65</v>
      </c>
    </row>
    <row r="75">
      <c r="A75" s="11"/>
      <c r="C75" s="11"/>
      <c r="D75" s="11"/>
      <c r="E75" s="10" t="s">
        <v>127</v>
      </c>
      <c r="J75" s="49"/>
      <c r="K75" s="59"/>
      <c r="L75" s="60"/>
    </row>
    <row r="76">
      <c r="A76" s="11"/>
      <c r="C76" s="11"/>
      <c r="D76" s="11"/>
      <c r="J76" s="49"/>
      <c r="K76" s="59"/>
      <c r="L76" s="60"/>
    </row>
    <row r="77">
      <c r="A77" s="11"/>
      <c r="C77" s="11"/>
      <c r="D77" s="11"/>
      <c r="J77" s="49"/>
      <c r="K77" s="59"/>
      <c r="L77" s="60"/>
      <c r="O77" s="7" t="s">
        <v>163</v>
      </c>
      <c r="P77" s="8"/>
      <c r="Q77" s="8">
        <f>COUNTIF(Q5:Q69,"X")</f>
        <v>65</v>
      </c>
    </row>
    <row r="78">
      <c r="A78" s="11"/>
      <c r="B78" s="62" t="s">
        <v>129</v>
      </c>
      <c r="C78" s="62" t="s">
        <v>130</v>
      </c>
      <c r="D78" s="62" t="s">
        <v>131</v>
      </c>
      <c r="J78" s="49"/>
      <c r="K78" s="59"/>
      <c r="L78" s="60"/>
      <c r="O78" s="7" t="s">
        <v>132</v>
      </c>
      <c r="P78" s="8"/>
      <c r="Q78" s="8">
        <f>countif(Q5:Q69,"N")</f>
        <v>0</v>
      </c>
    </row>
    <row r="79">
      <c r="A79" s="11"/>
      <c r="B79" s="51" t="str">
        <f>IFERROR(__xludf.DUMMYFUNCTION("QUERY(B5:L69,""Select B, K, L where K &gt;= 18 order by K desc, L desc"",0)"),"Trinath Goteti")</f>
        <v>Trinath Goteti</v>
      </c>
      <c r="C79" s="71">
        <f>IFERROR(__xludf.DUMMYFUNCTION("""COMPUTED_VALUE"""),19.0)</f>
        <v>19</v>
      </c>
      <c r="D79" s="71">
        <f>IFERROR(__xludf.DUMMYFUNCTION("""COMPUTED_VALUE"""),3.0)</f>
        <v>3</v>
      </c>
      <c r="E79" s="11"/>
      <c r="K79" s="59"/>
      <c r="L79" s="60"/>
      <c r="O79" s="7" t="s">
        <v>164</v>
      </c>
      <c r="P79" s="8"/>
      <c r="Q79" s="8">
        <f>countif(Q5:Q69,"")</f>
        <v>0</v>
      </c>
    </row>
    <row r="80">
      <c r="A80" s="11"/>
      <c r="B80" s="51" t="str">
        <f>IFERROR(__xludf.DUMMYFUNCTION("""COMPUTED_VALUE"""),"Luis Hsu")</f>
        <v>Luis Hsu</v>
      </c>
      <c r="C80" s="71">
        <f>IFERROR(__xludf.DUMMYFUNCTION("""COMPUTED_VALUE"""),19.0)</f>
        <v>19</v>
      </c>
      <c r="D80" s="71">
        <f>IFERROR(__xludf.DUMMYFUNCTION("""COMPUTED_VALUE"""),2.0)</f>
        <v>2</v>
      </c>
      <c r="E80" s="11"/>
      <c r="L80" s="65"/>
      <c r="O80" s="7" t="s">
        <v>60</v>
      </c>
      <c r="P80" s="8"/>
      <c r="Q80" s="8">
        <f>sum(Q77:Q79)</f>
        <v>65</v>
      </c>
    </row>
    <row r="81">
      <c r="A81" s="11"/>
      <c r="B81" s="51" t="str">
        <f>IFERROR(__xludf.DUMMYFUNCTION("""COMPUTED_VALUE"""),"Pavan Akkimsetty")</f>
        <v>Pavan Akkimsetty</v>
      </c>
      <c r="C81" s="71">
        <f>IFERROR(__xludf.DUMMYFUNCTION("""COMPUTED_VALUE"""),18.0)</f>
        <v>18</v>
      </c>
      <c r="D81" s="71">
        <f>IFERROR(__xludf.DUMMYFUNCTION("""COMPUTED_VALUE"""),3.0)</f>
        <v>3</v>
      </c>
      <c r="E81" s="11"/>
    </row>
    <row r="82">
      <c r="A82" s="11"/>
      <c r="B82" s="51" t="str">
        <f>IFERROR(__xludf.DUMMYFUNCTION("""COMPUTED_VALUE"""),"Wayne Liu")</f>
        <v>Wayne Liu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IFERROR(__xludf.DUMMYFUNCTION("""COMPUTED_VALUE"""),"Scott Li")</f>
        <v>Scott Li</v>
      </c>
      <c r="C83" s="71">
        <f>IFERROR(__xludf.DUMMYFUNCTION("""COMPUTED_VALUE"""),18.0)</f>
        <v>18</v>
      </c>
      <c r="D83" s="71">
        <f>IFERROR(__xludf.DUMMYFUNCTION("""COMPUTED_VALUE"""),2.0)</f>
        <v>2</v>
      </c>
      <c r="E83" s="11"/>
      <c r="K83" s="10"/>
    </row>
    <row r="84">
      <c r="A84" s="11"/>
      <c r="B84" s="51"/>
      <c r="C84" s="71"/>
      <c r="D84" s="71"/>
      <c r="E84" s="11"/>
      <c r="K84" s="10"/>
    </row>
    <row r="85">
      <c r="A85" s="11"/>
      <c r="B85" s="51"/>
      <c r="C85" s="71"/>
      <c r="D85" s="71"/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</row>
    <row r="88">
      <c r="A88" s="11"/>
      <c r="B88" s="51"/>
      <c r="C88" s="71"/>
      <c r="D88" s="71"/>
      <c r="E88" s="11"/>
    </row>
    <row r="89">
      <c r="A89" s="11"/>
      <c r="C89" s="11"/>
      <c r="D89" s="11"/>
      <c r="E89" s="11"/>
    </row>
    <row r="90">
      <c r="A90" s="11"/>
      <c r="B90" s="10" t="s">
        <v>165</v>
      </c>
      <c r="C90" s="11"/>
      <c r="D90" s="11"/>
      <c r="E90" s="11"/>
    </row>
    <row r="91">
      <c r="A91" s="11"/>
      <c r="B91" s="27" t="s">
        <v>31</v>
      </c>
      <c r="C91" s="29" t="s">
        <v>2</v>
      </c>
      <c r="D91" s="29" t="s">
        <v>4</v>
      </c>
      <c r="E91" s="29" t="s">
        <v>33</v>
      </c>
      <c r="F91" s="29" t="s">
        <v>35</v>
      </c>
      <c r="G91" s="29" t="s">
        <v>36</v>
      </c>
      <c r="H91" s="29" t="s">
        <v>6</v>
      </c>
      <c r="I91" s="29" t="s">
        <v>7</v>
      </c>
      <c r="J91" s="29" t="s">
        <v>8</v>
      </c>
      <c r="K91" s="29" t="s">
        <v>2</v>
      </c>
      <c r="L91" s="29" t="s">
        <v>4</v>
      </c>
      <c r="M91" s="28" t="s">
        <v>2</v>
      </c>
      <c r="N91" s="28" t="s">
        <v>4</v>
      </c>
    </row>
    <row r="92">
      <c r="A92" s="11"/>
      <c r="B92" s="82" t="str">
        <f>IFERROR(__xludf.DUMMYFUNCTION("QUERY(B5:N69, ""Select B, C, D, E, F, G, H, I, J, K, L, M, N   where F &gt;= 1"")"),"#N/A")</f>
        <v>#N/A</v>
      </c>
      <c r="C92" s="83"/>
      <c r="D92" s="83"/>
      <c r="E92" s="83"/>
      <c r="F92" s="82"/>
      <c r="G92" s="82"/>
      <c r="H92" s="82"/>
      <c r="I92" s="82"/>
      <c r="J92" s="82"/>
      <c r="K92" s="82"/>
      <c r="L92" s="82"/>
      <c r="M92" s="82"/>
      <c r="N92" s="82"/>
    </row>
    <row r="93">
      <c r="A93" s="11"/>
      <c r="B93" s="82"/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</row>
    <row r="94">
      <c r="A94" s="11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</row>
    <row r="95">
      <c r="A95" s="11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</row>
    <row r="96">
      <c r="A96" s="11"/>
      <c r="B96" s="84"/>
      <c r="C96" s="85"/>
      <c r="D96" s="85"/>
      <c r="E96" s="85"/>
      <c r="F96" s="84"/>
      <c r="G96" s="84"/>
      <c r="H96" s="84"/>
      <c r="I96" s="84"/>
      <c r="J96" s="84"/>
      <c r="K96" s="84"/>
      <c r="L96" s="84"/>
      <c r="M96" s="84"/>
      <c r="N96" s="84"/>
    </row>
    <row r="97">
      <c r="A97" s="11"/>
      <c r="B97" s="84"/>
      <c r="C97" s="85"/>
      <c r="D97" s="85"/>
      <c r="E97" s="85"/>
      <c r="F97" s="84"/>
      <c r="G97" s="84"/>
      <c r="H97" s="84"/>
      <c r="I97" s="84"/>
      <c r="J97" s="84"/>
      <c r="K97" s="84"/>
      <c r="L97" s="84"/>
      <c r="M97" s="84"/>
      <c r="N97" s="84"/>
    </row>
    <row r="98">
      <c r="A98" s="11"/>
      <c r="B98" s="84"/>
      <c r="C98" s="85"/>
      <c r="D98" s="85"/>
      <c r="E98" s="85"/>
      <c r="F98" s="84"/>
      <c r="G98" s="84"/>
      <c r="H98" s="84"/>
      <c r="I98" s="84"/>
      <c r="J98" s="84"/>
      <c r="K98" s="84"/>
      <c r="L98" s="84"/>
      <c r="M98" s="84"/>
      <c r="N98" s="84"/>
    </row>
    <row r="99">
      <c r="A99" s="11"/>
      <c r="B99" s="84"/>
      <c r="C99" s="85"/>
      <c r="D99" s="85"/>
      <c r="E99" s="85"/>
      <c r="F99" s="84"/>
      <c r="G99" s="84"/>
      <c r="H99" s="84"/>
      <c r="I99" s="84"/>
      <c r="J99" s="84"/>
      <c r="K99" s="84"/>
      <c r="L99" s="84"/>
      <c r="M99" s="84"/>
      <c r="N99" s="84"/>
    </row>
    <row r="100">
      <c r="A100" s="11"/>
      <c r="B100" s="84"/>
      <c r="C100" s="83"/>
      <c r="D100" s="83"/>
      <c r="E100" s="83"/>
      <c r="F100" s="82"/>
      <c r="G100" s="82"/>
      <c r="H100" s="82"/>
      <c r="I100" s="82"/>
      <c r="J100" s="82"/>
      <c r="K100" s="82"/>
      <c r="L100" s="82"/>
      <c r="M100" s="82"/>
      <c r="N100" s="82"/>
    </row>
    <row r="101">
      <c r="A101" s="11"/>
      <c r="B101" s="84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</row>
    <row r="102">
      <c r="A102" s="11"/>
      <c r="B102" s="82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</row>
    <row r="103">
      <c r="A103" s="11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</row>
    <row r="104">
      <c r="A104" s="11"/>
      <c r="B104" s="84"/>
      <c r="C104" s="85"/>
      <c r="D104" s="85"/>
      <c r="E104" s="85"/>
      <c r="F104" s="84"/>
      <c r="G104" s="84"/>
      <c r="H104" s="84"/>
      <c r="I104" s="84"/>
      <c r="J104" s="84"/>
      <c r="K104" s="84"/>
      <c r="L104" s="84"/>
      <c r="M104" s="84"/>
      <c r="N104" s="84"/>
    </row>
    <row r="105">
      <c r="A105" s="11"/>
      <c r="B105" s="84"/>
      <c r="C105" s="85"/>
      <c r="D105" s="85"/>
      <c r="E105" s="85"/>
      <c r="F105" s="84"/>
      <c r="G105" s="84"/>
      <c r="H105" s="84"/>
      <c r="I105" s="84"/>
      <c r="J105" s="84"/>
      <c r="K105" s="84"/>
      <c r="L105" s="84"/>
      <c r="M105" s="84"/>
      <c r="N105" s="84"/>
    </row>
    <row r="106">
      <c r="A106" s="11"/>
      <c r="B106" s="84"/>
      <c r="C106" s="85"/>
      <c r="D106" s="85"/>
      <c r="E106" s="85"/>
      <c r="F106" s="84"/>
      <c r="G106" s="84"/>
      <c r="H106" s="84"/>
      <c r="I106" s="84"/>
      <c r="J106" s="84"/>
      <c r="K106" s="84"/>
      <c r="L106" s="84"/>
      <c r="M106" s="84"/>
      <c r="N106" s="84"/>
    </row>
    <row r="107">
      <c r="A107" s="11"/>
      <c r="B107" s="84"/>
      <c r="C107" s="85"/>
      <c r="D107" s="85"/>
      <c r="E107" s="85"/>
      <c r="F107" s="84"/>
      <c r="G107" s="84"/>
      <c r="H107" s="84"/>
      <c r="I107" s="84"/>
      <c r="J107" s="84"/>
      <c r="K107" s="84"/>
      <c r="L107" s="84"/>
      <c r="M107" s="84"/>
      <c r="N107" s="84"/>
    </row>
    <row r="108">
      <c r="A108" s="11"/>
      <c r="B108" s="82"/>
      <c r="C108" s="83"/>
      <c r="D108" s="83"/>
      <c r="E108" s="83"/>
      <c r="F108" s="82"/>
      <c r="G108" s="82"/>
      <c r="H108" s="82"/>
      <c r="I108" s="82"/>
      <c r="J108" s="82"/>
      <c r="K108" s="82"/>
      <c r="L108" s="82"/>
      <c r="M108" s="82"/>
      <c r="N108" s="82"/>
    </row>
    <row r="109">
      <c r="A109" s="11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</row>
    <row r="110">
      <c r="A110" s="11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</row>
    <row r="111">
      <c r="A111" s="11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</row>
    <row r="112">
      <c r="A112" s="11"/>
      <c r="B112" s="84"/>
      <c r="C112" s="85"/>
      <c r="D112" s="85"/>
      <c r="E112" s="85"/>
      <c r="F112" s="84"/>
      <c r="G112" s="84"/>
      <c r="H112" s="84"/>
      <c r="I112" s="84"/>
      <c r="J112" s="84"/>
      <c r="K112" s="84"/>
      <c r="L112" s="84"/>
      <c r="M112" s="84"/>
      <c r="N112" s="84"/>
    </row>
    <row r="113">
      <c r="A113" s="11"/>
      <c r="B113" s="84"/>
      <c r="C113" s="85"/>
      <c r="D113" s="85"/>
      <c r="E113" s="85"/>
      <c r="F113" s="84"/>
      <c r="G113" s="84"/>
      <c r="H113" s="84"/>
      <c r="I113" s="84"/>
      <c r="J113" s="84"/>
      <c r="K113" s="84"/>
      <c r="L113" s="84"/>
      <c r="M113" s="84"/>
      <c r="N113" s="84"/>
    </row>
    <row r="114">
      <c r="A114" s="11"/>
      <c r="B114" s="84"/>
      <c r="C114" s="85"/>
      <c r="D114" s="85"/>
      <c r="E114" s="85"/>
      <c r="F114" s="84"/>
      <c r="G114" s="84"/>
      <c r="H114" s="84"/>
      <c r="I114" s="84"/>
      <c r="J114" s="84"/>
      <c r="K114" s="84"/>
      <c r="L114" s="84"/>
      <c r="M114" s="84"/>
      <c r="N114" s="84"/>
    </row>
    <row r="115">
      <c r="A115" s="11"/>
      <c r="B115" s="84"/>
      <c r="C115" s="85"/>
      <c r="D115" s="85"/>
      <c r="E115" s="85"/>
      <c r="F115" s="84"/>
      <c r="G115" s="84"/>
      <c r="H115" s="84"/>
      <c r="I115" s="84"/>
      <c r="J115" s="84"/>
      <c r="K115" s="84"/>
      <c r="L115" s="84"/>
      <c r="M115" s="84"/>
      <c r="N115" s="84"/>
    </row>
    <row r="116">
      <c r="A116" s="11"/>
      <c r="B116" s="82"/>
      <c r="C116" s="83"/>
      <c r="D116" s="83"/>
      <c r="E116" s="83"/>
      <c r="F116" s="82"/>
      <c r="G116" s="82"/>
      <c r="H116" s="82"/>
      <c r="I116" s="82"/>
      <c r="J116" s="82"/>
      <c r="K116" s="82"/>
      <c r="L116" s="82"/>
      <c r="M116" s="82"/>
      <c r="N116" s="82"/>
    </row>
    <row r="117">
      <c r="A117" s="11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</row>
    <row r="118">
      <c r="A118" s="11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</row>
    <row r="119">
      <c r="A119" s="11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</row>
    <row r="120">
      <c r="A120" s="11"/>
      <c r="B120" s="84"/>
      <c r="C120" s="85"/>
      <c r="D120" s="85"/>
      <c r="E120" s="85"/>
      <c r="F120" s="84"/>
      <c r="G120" s="84"/>
      <c r="H120" s="84"/>
      <c r="I120" s="84"/>
      <c r="J120" s="84"/>
      <c r="K120" s="84"/>
      <c r="L120" s="84"/>
      <c r="M120" s="84"/>
      <c r="N120" s="84"/>
    </row>
    <row r="121">
      <c r="A121" s="11"/>
      <c r="B121" s="84"/>
      <c r="C121" s="85"/>
      <c r="D121" s="85"/>
      <c r="E121" s="85"/>
      <c r="F121" s="84"/>
      <c r="G121" s="84"/>
      <c r="H121" s="84"/>
      <c r="I121" s="84"/>
      <c r="J121" s="84"/>
      <c r="K121" s="84"/>
      <c r="L121" s="84"/>
      <c r="M121" s="84"/>
      <c r="N121" s="84"/>
    </row>
    <row r="122">
      <c r="A122" s="11"/>
      <c r="B122" s="84"/>
      <c r="C122" s="85"/>
      <c r="D122" s="85"/>
      <c r="E122" s="85"/>
      <c r="F122" s="84"/>
      <c r="G122" s="84"/>
      <c r="H122" s="84"/>
      <c r="I122" s="84"/>
      <c r="J122" s="84"/>
      <c r="K122" s="84"/>
      <c r="L122" s="84"/>
      <c r="M122" s="84"/>
      <c r="N122" s="84"/>
    </row>
    <row r="123">
      <c r="A123" s="11"/>
      <c r="B123" s="84"/>
      <c r="C123" s="85"/>
      <c r="D123" s="85"/>
      <c r="E123" s="85"/>
      <c r="F123" s="84"/>
      <c r="G123" s="84"/>
      <c r="H123" s="84"/>
      <c r="I123" s="84"/>
      <c r="J123" s="84"/>
      <c r="K123" s="84"/>
      <c r="L123" s="84"/>
      <c r="M123" s="84"/>
      <c r="N123" s="84"/>
    </row>
    <row r="124">
      <c r="A124" s="11"/>
      <c r="C124" s="11"/>
      <c r="D124" s="11"/>
      <c r="E124" s="11"/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B134" s="10" t="s">
        <v>166</v>
      </c>
      <c r="C134" s="11"/>
      <c r="D134" s="11"/>
      <c r="E134" s="11"/>
    </row>
    <row r="135">
      <c r="A135" s="11"/>
      <c r="B135" s="27" t="s">
        <v>31</v>
      </c>
      <c r="C135" s="29" t="s">
        <v>2</v>
      </c>
      <c r="D135" s="29" t="s">
        <v>4</v>
      </c>
      <c r="E135" s="29" t="s">
        <v>33</v>
      </c>
      <c r="F135" s="29" t="s">
        <v>35</v>
      </c>
      <c r="G135" s="29" t="s">
        <v>36</v>
      </c>
      <c r="H135" s="29" t="s">
        <v>6</v>
      </c>
      <c r="I135" s="29" t="s">
        <v>7</v>
      </c>
      <c r="J135" s="29" t="s">
        <v>8</v>
      </c>
      <c r="K135" s="29" t="s">
        <v>2</v>
      </c>
      <c r="L135" s="29" t="s">
        <v>4</v>
      </c>
      <c r="M135" s="28" t="s">
        <v>2</v>
      </c>
      <c r="N135" s="28" t="s">
        <v>4</v>
      </c>
    </row>
    <row r="136">
      <c r="A136" s="11"/>
      <c r="B136" s="82" t="str">
        <f>IFERROR(__xludf.DUMMYFUNCTION("QUERY(B5:N69, ""Select B, C, D, E, F, G, H, I, J, K, L, M, N   where F = 0"")"),"Adrian Tay")</f>
        <v>Adrian Tay</v>
      </c>
      <c r="C136" s="87">
        <f>IFERROR(__xludf.DUMMYFUNCTION("""COMPUTED_VALUE"""),19.0)</f>
        <v>19</v>
      </c>
      <c r="D136" s="87">
        <f>IFERROR(__xludf.DUMMYFUNCTION("""COMPUTED_VALUE"""),3.0)</f>
        <v>3</v>
      </c>
      <c r="E136" s="86">
        <f>IFERROR(__xludf.DUMMYFUNCTION("""COMPUTED_VALUE"""),5.0)</f>
        <v>5</v>
      </c>
      <c r="F136" s="88">
        <f>IFERROR(__xludf.DUMMYFUNCTION("""COMPUTED_VALUE"""),0.0)</f>
        <v>0</v>
      </c>
      <c r="G136" s="88">
        <f>IFERROR(__xludf.DUMMYFUNCTION("""COMPUTED_VALUE"""),13.0)</f>
        <v>13</v>
      </c>
      <c r="H136" s="88">
        <f>IFERROR(__xludf.DUMMYFUNCTION("""COMPUTED_VALUE"""),0.0)</f>
        <v>0</v>
      </c>
      <c r="I136" s="88">
        <f>IFERROR(__xludf.DUMMYFUNCTION("""COMPUTED_VALUE"""),0.0)</f>
        <v>0</v>
      </c>
      <c r="J136" s="88">
        <f>IFERROR(__xludf.DUMMYFUNCTION("""COMPUTED_VALUE"""),0.0)</f>
        <v>0</v>
      </c>
      <c r="K136" s="88">
        <f>IFERROR(__xludf.DUMMYFUNCTION("""COMPUTED_VALUE"""),13.0)</f>
        <v>13</v>
      </c>
      <c r="L136" s="88">
        <f>IFERROR(__xludf.DUMMYFUNCTION("""COMPUTED_VALUE"""),0.0)</f>
        <v>0</v>
      </c>
      <c r="M136" s="89">
        <f>IFERROR(__xludf.DUMMYFUNCTION("""COMPUTED_VALUE"""),32.0)</f>
        <v>32</v>
      </c>
      <c r="N136" s="89">
        <f>IFERROR(__xludf.DUMMYFUNCTION("""COMPUTED_VALUE"""),3.0)</f>
        <v>3</v>
      </c>
    </row>
    <row r="137">
      <c r="A137" s="11"/>
      <c r="B137" s="82" t="str">
        <f>IFERROR(__xludf.DUMMYFUNCTION("""COMPUTED_VALUE"""),"Lam Bui")</f>
        <v>Lam Bui</v>
      </c>
      <c r="C137" s="87">
        <f>IFERROR(__xludf.DUMMYFUNCTION("""COMPUTED_VALUE"""),18.0)</f>
        <v>18</v>
      </c>
      <c r="D137" s="87">
        <f>IFERROR(__xludf.DUMMYFUNCTION("""COMPUTED_VALUE"""),3.0)</f>
        <v>3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IFERROR(__xludf.DUMMYFUNCTION("""COMPUTED_VALUE"""),27.0)</f>
        <v>27</v>
      </c>
      <c r="N137" s="89">
        <f>IFERROR(__xludf.DUMMYFUNCTION("""COMPUTED_VALUE"""),3.0)</f>
        <v>3</v>
      </c>
    </row>
    <row r="138">
      <c r="A138" s="11"/>
      <c r="B138" s="82" t="str">
        <f>IFERROR(__xludf.DUMMYFUNCTION("""COMPUTED_VALUE"""),"Eric Pan")</f>
        <v>Eric Pan</v>
      </c>
      <c r="C138" s="87">
        <f>IFERROR(__xludf.DUMMYFUNCTION("""COMPUTED_VALUE"""),18.0)</f>
        <v>18</v>
      </c>
      <c r="D138" s="87">
        <f>IFERROR(__xludf.DUMMYFUNCTION("""COMPUTED_VALUE"""),3.0)</f>
        <v>3</v>
      </c>
      <c r="E138" s="86">
        <f>IFERROR(__xludf.DUMMYFUNCTION("""COMPUTED_VALUE"""),3.0)</f>
        <v>3</v>
      </c>
      <c r="F138" s="88">
        <f>IFERROR(__xludf.DUMMYFUNCTION("""COMPUTED_VALUE"""),0.0)</f>
        <v>0</v>
      </c>
      <c r="G138" s="88">
        <f>IFERROR(__xludf.DUMMYFUNCTION("""COMPUTED_VALUE"""),9.0)</f>
        <v>9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IFERROR(__xludf.DUMMYFUNCTION("""COMPUTED_VALUE"""),9.0)</f>
        <v>9</v>
      </c>
      <c r="L138" s="88">
        <f>IFERROR(__xludf.DUMMYFUNCTION("""COMPUTED_VALUE"""),0.0)</f>
        <v>0</v>
      </c>
      <c r="M138" s="89">
        <f>IFERROR(__xludf.DUMMYFUNCTION("""COMPUTED_VALUE"""),27.0)</f>
        <v>27</v>
      </c>
      <c r="N138" s="89">
        <f>IFERROR(__xludf.DUMMYFUNCTION("""COMPUTED_VALUE"""),3.0)</f>
        <v>3</v>
      </c>
    </row>
    <row r="139">
      <c r="A139" s="11"/>
      <c r="B139" s="82" t="str">
        <f>IFERROR(__xludf.DUMMYFUNCTION("""COMPUTED_VALUE"""),"Suleman Alidina")</f>
        <v>Suleman Alidina</v>
      </c>
      <c r="C139" s="87">
        <f>IFERROR(__xludf.DUMMYFUNCTION("""COMPUTED_VALUE"""),17.0)</f>
        <v>17</v>
      </c>
      <c r="D139" s="87">
        <f>IFERROR(__xludf.DUMMYFUNCTION("""COMPUTED_VALUE"""),2.0)</f>
        <v>2</v>
      </c>
      <c r="E139" s="86">
        <f>IFERROR(__xludf.DUMMYFUNCTION("""COMPUTED_VALUE"""),2.0)</f>
        <v>2</v>
      </c>
      <c r="F139" s="88">
        <f>IFERROR(__xludf.DUMMYFUNCTION("""COMPUTED_VALUE"""),0.0)</f>
        <v>0</v>
      </c>
      <c r="G139" s="88"/>
      <c r="H139" s="88">
        <f>IFERROR(__xludf.DUMMYFUNCTION("""COMPUTED_VALUE"""),6.0)</f>
        <v>6</v>
      </c>
      <c r="I139" s="88">
        <f>IFERROR(__xludf.DUMMYFUNCTION("""COMPUTED_VALUE"""),0.0)</f>
        <v>0</v>
      </c>
      <c r="J139" s="88">
        <f>IFERROR(__xludf.DUMMYFUNCTION("""COMPUTED_VALUE"""),6.0)</f>
        <v>6</v>
      </c>
      <c r="K139" s="88">
        <f>IFERROR(__xludf.DUMMYFUNCTION("""COMPUTED_VALUE"""),12.0)</f>
        <v>12</v>
      </c>
      <c r="L139" s="88">
        <f>IFERROR(__xludf.DUMMYFUNCTION("""COMPUTED_VALUE"""),1.0)</f>
        <v>1</v>
      </c>
      <c r="M139" s="89">
        <f>IFERROR(__xludf.DUMMYFUNCTION("""COMPUTED_VALUE"""),29.0)</f>
        <v>29</v>
      </c>
      <c r="N139" s="89">
        <f>IFERROR(__xludf.DUMMYFUNCTION("""COMPUTED_VALUE"""),3.0)</f>
        <v>3</v>
      </c>
    </row>
    <row r="140">
      <c r="A140" s="11"/>
      <c r="B140" s="82" t="str">
        <f>IFERROR(__xludf.DUMMYFUNCTION("""COMPUTED_VALUE"""),"Sanjaye Elayattu")</f>
        <v>Sanjaye Elayattu</v>
      </c>
      <c r="C140" s="87">
        <f>IFERROR(__xludf.DUMMYFUNCTION("""COMPUTED_VALUE"""),17.0)</f>
        <v>17</v>
      </c>
      <c r="D140" s="87">
        <f>IFERROR(__xludf.DUMMYFUNCTION("""COMPUTED_VALUE"""),2.0)</f>
        <v>2</v>
      </c>
      <c r="E140" s="86">
        <f>IFERROR(__xludf.DUMMYFUNCTION("""COMPUTED_VALUE"""),3.0)</f>
        <v>3</v>
      </c>
      <c r="F140" s="88">
        <f>IFERROR(__xludf.DUMMYFUNCTION("""COMPUTED_VALUE"""),0.0)</f>
        <v>0</v>
      </c>
      <c r="G140" s="88">
        <f>IFERROR(__xludf.DUMMYFUNCTION("""COMPUTED_VALUE"""),9.0)</f>
        <v>9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IFERROR(__xludf.DUMMYFUNCTION("""COMPUTED_VALUE"""),9.0)</f>
        <v>9</v>
      </c>
      <c r="L140" s="88">
        <f>IFERROR(__xludf.DUMMYFUNCTION("""COMPUTED_VALUE"""),0.0)</f>
        <v>0</v>
      </c>
      <c r="M140" s="89">
        <f>IFERROR(__xludf.DUMMYFUNCTION("""COMPUTED_VALUE"""),26.0)</f>
        <v>26</v>
      </c>
      <c r="N140" s="89">
        <f>IFERROR(__xludf.DUMMYFUNCTION("""COMPUTED_VALUE"""),2.0)</f>
        <v>2</v>
      </c>
    </row>
    <row r="141">
      <c r="A141" s="11"/>
      <c r="B141" s="82" t="str">
        <f>IFERROR(__xludf.DUMMYFUNCTION("""COMPUTED_VALUE"""),"Andrew Wen")</f>
        <v>Andrew Wen</v>
      </c>
      <c r="C141" s="87">
        <f>IFERROR(__xludf.DUMMYFUNCTION("""COMPUTED_VALUE"""),15.0)</f>
        <v>15</v>
      </c>
      <c r="D141" s="87">
        <f>IFERROR(__xludf.DUMMYFUNCTION("""COMPUTED_VALUE"""),2.0)</f>
        <v>2</v>
      </c>
      <c r="E141" s="86">
        <f>IFERROR(__xludf.DUMMYFUNCTION("""COMPUTED_VALUE"""),5.0)</f>
        <v>5</v>
      </c>
      <c r="F141" s="88">
        <f>IFERROR(__xludf.DUMMYFUNCTION("""COMPUTED_VALUE"""),0.0)</f>
        <v>0</v>
      </c>
      <c r="G141" s="88">
        <f>IFERROR(__xludf.DUMMYFUNCTION("""COMPUTED_VALUE"""),13.0)</f>
        <v>13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IFERROR(__xludf.DUMMYFUNCTION("""COMPUTED_VALUE"""),13.0)</f>
        <v>13</v>
      </c>
      <c r="L141" s="88">
        <f>IFERROR(__xludf.DUMMYFUNCTION("""COMPUTED_VALUE"""),0.0)</f>
        <v>0</v>
      </c>
      <c r="M141" s="89">
        <f>IFERROR(__xludf.DUMMYFUNCTION("""COMPUTED_VALUE"""),28.0)</f>
        <v>28</v>
      </c>
      <c r="N141" s="89">
        <f>IFERROR(__xludf.DUMMYFUNCTION("""COMPUTED_VALUE"""),2.0)</f>
        <v>2</v>
      </c>
    </row>
    <row r="142">
      <c r="A142" s="11"/>
      <c r="B142" s="82" t="str">
        <f>IFERROR(__xludf.DUMMYFUNCTION("""COMPUTED_VALUE"""),"Elayaraja Thangaraj ")</f>
        <v>Elayaraja Thangaraj </v>
      </c>
      <c r="C142" s="87">
        <f>IFERROR(__xludf.DUMMYFUNCTION("""COMPUTED_VALUE"""),12.0)</f>
        <v>12</v>
      </c>
      <c r="D142" s="87">
        <f>IFERROR(__xludf.DUMMYFUNCTION("""COMPUTED_VALUE"""),1.0)</f>
        <v>1</v>
      </c>
      <c r="E142" s="86">
        <f>IFERROR(__xludf.DUMMYFUNCTION("""COMPUTED_VALUE"""),5.0)</f>
        <v>5</v>
      </c>
      <c r="F142" s="88">
        <f>IFERROR(__xludf.DUMMYFUNCTION("""COMPUTED_VALUE"""),0.0)</f>
        <v>0</v>
      </c>
      <c r="G142" s="88">
        <f>IFERROR(__xludf.DUMMYFUNCTION("""COMPUTED_VALUE"""),13.0)</f>
        <v>13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IFERROR(__xludf.DUMMYFUNCTION("""COMPUTED_VALUE"""),13.0)</f>
        <v>13</v>
      </c>
      <c r="L142" s="88">
        <f>IFERROR(__xludf.DUMMYFUNCTION("""COMPUTED_VALUE"""),0.0)</f>
        <v>0</v>
      </c>
      <c r="M142" s="89">
        <f>IFERROR(__xludf.DUMMYFUNCTION("""COMPUTED_VALUE"""),25.0)</f>
        <v>25</v>
      </c>
      <c r="N142" s="89">
        <f>IFERROR(__xludf.DUMMYFUNCTION("""COMPUTED_VALUE"""),1.0)</f>
        <v>1</v>
      </c>
    </row>
    <row r="143">
      <c r="A143" s="11"/>
      <c r="B143" s="82" t="str">
        <f>IFERROR(__xludf.DUMMYFUNCTION("""COMPUTED_VALUE"""),"Trish Newlin")</f>
        <v>Trish Newlin</v>
      </c>
      <c r="C143" s="87">
        <f>IFERROR(__xludf.DUMMYFUNCTION("""COMPUTED_VALUE"""),12.0)</f>
        <v>12</v>
      </c>
      <c r="D143" s="87">
        <f>IFERROR(__xludf.DUMMYFUNCTION("""COMPUTED_VALUE"""),1.0)</f>
        <v>1</v>
      </c>
      <c r="E143" s="86">
        <f>IFERROR(__xludf.DUMMYFUNCTION("""COMPUTED_VALUE"""),3.0)</f>
        <v>3</v>
      </c>
      <c r="F143" s="88">
        <f>IFERROR(__xludf.DUMMYFUNCTION("""COMPUTED_VALUE"""),0.0)</f>
        <v>0</v>
      </c>
      <c r="G143" s="88">
        <f>IFERROR(__xludf.DUMMYFUNCTION("""COMPUTED_VALUE"""),9.0)</f>
        <v>9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IFERROR(__xludf.DUMMYFUNCTION("""COMPUTED_VALUE"""),9.0)</f>
        <v>9</v>
      </c>
      <c r="L143" s="88">
        <f>IFERROR(__xludf.DUMMYFUNCTION("""COMPUTED_VALUE"""),0.0)</f>
        <v>0</v>
      </c>
      <c r="M143" s="89">
        <f>IFERROR(__xludf.DUMMYFUNCTION("""COMPUTED_VALUE"""),21.0)</f>
        <v>21</v>
      </c>
      <c r="N143" s="89">
        <f>IFERROR(__xludf.DUMMYFUNCTION("""COMPUTED_VALUE"""),1.0)</f>
        <v>1</v>
      </c>
    </row>
    <row r="144">
      <c r="A144" s="11"/>
      <c r="B144" s="82" t="str">
        <f>IFERROR(__xludf.DUMMYFUNCTION("""COMPUTED_VALUE"""),"Vishnu Amarnath")</f>
        <v>Vishnu Amarnath</v>
      </c>
      <c r="C144" s="87">
        <f>IFERROR(__xludf.DUMMYFUNCTION("""COMPUTED_VALUE"""),11.0)</f>
        <v>11</v>
      </c>
      <c r="D144" s="87">
        <f>IFERROR(__xludf.DUMMYFUNCTION("""COMPUTED_VALUE"""),1.0)</f>
        <v>1</v>
      </c>
      <c r="E144" s="86">
        <f>IFERROR(__xludf.DUMMYFUNCTION("""COMPUTED_VALUE"""),5.0)</f>
        <v>5</v>
      </c>
      <c r="F144" s="88">
        <f>IFERROR(__xludf.DUMMYFUNCTION("""COMPUTED_VALUE"""),0.0)</f>
        <v>0</v>
      </c>
      <c r="G144" s="88">
        <f>IFERROR(__xludf.DUMMYFUNCTION("""COMPUTED_VALUE"""),13.0)</f>
        <v>13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IFERROR(__xludf.DUMMYFUNCTION("""COMPUTED_VALUE"""),13.0)</f>
        <v>13</v>
      </c>
      <c r="L144" s="88">
        <f>IFERROR(__xludf.DUMMYFUNCTION("""COMPUTED_VALUE"""),0.0)</f>
        <v>0</v>
      </c>
      <c r="M144" s="89">
        <f>IFERROR(__xludf.DUMMYFUNCTION("""COMPUTED_VALUE"""),24.0)</f>
        <v>24</v>
      </c>
      <c r="N144" s="89">
        <f>IFERROR(__xludf.DUMMYFUNCTION("""COMPUTED_VALUE"""),1.0)</f>
        <v>1</v>
      </c>
    </row>
    <row r="145">
      <c r="A145" s="11"/>
      <c r="B145" s="82" t="str">
        <f>IFERROR(__xludf.DUMMYFUNCTION("""COMPUTED_VALUE"""),"Christopher Li")</f>
        <v>Christopher Li</v>
      </c>
      <c r="C145" s="87">
        <f>IFERROR(__xludf.DUMMYFUNCTION("""COMPUTED_VALUE"""),11.0)</f>
        <v>11</v>
      </c>
      <c r="D145" s="87">
        <f>IFERROR(__xludf.DUMMYFUNCTION("""COMPUTED_VALUE"""),1.0)</f>
        <v>1</v>
      </c>
      <c r="E145" s="86">
        <f>IFERROR(__xludf.DUMMYFUNCTION("""COMPUTED_VALUE"""),5.0)</f>
        <v>5</v>
      </c>
      <c r="F145" s="88">
        <f>IFERROR(__xludf.DUMMYFUNCTION("""COMPUTED_VALUE"""),0.0)</f>
        <v>0</v>
      </c>
      <c r="G145" s="88">
        <f>IFERROR(__xludf.DUMMYFUNCTION("""COMPUTED_VALUE"""),13.0)</f>
        <v>13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IFERROR(__xludf.DUMMYFUNCTION("""COMPUTED_VALUE"""),13.0)</f>
        <v>13</v>
      </c>
      <c r="L145" s="88">
        <f>IFERROR(__xludf.DUMMYFUNCTION("""COMPUTED_VALUE"""),0.0)</f>
        <v>0</v>
      </c>
      <c r="M145" s="89">
        <f>IFERROR(__xludf.DUMMYFUNCTION("""COMPUTED_VALUE"""),24.0)</f>
        <v>24</v>
      </c>
      <c r="N145" s="89">
        <f>IFERROR(__xludf.DUMMYFUNCTION("""COMPUTED_VALUE"""),1.0)</f>
        <v>1</v>
      </c>
    </row>
    <row r="146">
      <c r="A146" s="11"/>
      <c r="B146" s="82" t="str">
        <f>IFERROR(__xludf.DUMMYFUNCTION("""COMPUTED_VALUE"""),"Kumar Palakeel")</f>
        <v>Kumar Palakeel</v>
      </c>
      <c r="C146" s="87">
        <f>IFERROR(__xludf.DUMMYFUNCTION("""COMPUTED_VALUE"""),10.0)</f>
        <v>10</v>
      </c>
      <c r="D146" s="87">
        <f>IFERROR(__xludf.DUMMYFUNCTION("""COMPUTED_VALUE"""),1.0)</f>
        <v>1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IFERROR(__xludf.DUMMYFUNCTION("""COMPUTED_VALUE"""),19.0)</f>
        <v>19</v>
      </c>
      <c r="N146" s="89">
        <f>IFERROR(__xludf.DUMMYFUNCTION("""COMPUTED_VALUE"""),1.0)</f>
        <v>1</v>
      </c>
    </row>
    <row r="147">
      <c r="A147" s="11"/>
      <c r="B147" s="82" t="str">
        <f>IFERROR(__xludf.DUMMYFUNCTION("""COMPUTED_VALUE"""),"Saravanan Veerapandian")</f>
        <v>Saravanan Veerapandian</v>
      </c>
      <c r="C147" s="87">
        <f>IFERROR(__xludf.DUMMYFUNCTION("""COMPUTED_VALUE"""),10.0)</f>
        <v>10</v>
      </c>
      <c r="D147" s="87">
        <f>IFERROR(__xludf.DUMMYFUNCTION("""COMPUTED_VALUE"""),1.0)</f>
        <v>1</v>
      </c>
      <c r="E147" s="86">
        <f>IFERROR(__xludf.DUMMYFUNCTION("""COMPUTED_VALUE"""),3.0)</f>
        <v>3</v>
      </c>
      <c r="F147" s="88">
        <f>IFERROR(__xludf.DUMMYFUNCTION("""COMPUTED_VALUE"""),0.0)</f>
        <v>0</v>
      </c>
      <c r="G147" s="88">
        <f>IFERROR(__xludf.DUMMYFUNCTION("""COMPUTED_VALUE"""),9.0)</f>
        <v>9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IFERROR(__xludf.DUMMYFUNCTION("""COMPUTED_VALUE"""),9.0)</f>
        <v>9</v>
      </c>
      <c r="L147" s="88">
        <f>IFERROR(__xludf.DUMMYFUNCTION("""COMPUTED_VALUE"""),0.0)</f>
        <v>0</v>
      </c>
      <c r="M147" s="89">
        <f>IFERROR(__xludf.DUMMYFUNCTION("""COMPUTED_VALUE"""),19.0)</f>
        <v>19</v>
      </c>
      <c r="N147" s="89">
        <f>IFERROR(__xludf.DUMMYFUNCTION("""COMPUTED_VALUE"""),1.0)</f>
        <v>1</v>
      </c>
    </row>
    <row r="148">
      <c r="A148" s="11"/>
      <c r="B148" s="82" t="str">
        <f>IFERROR(__xludf.DUMMYFUNCTION("""COMPUTED_VALUE"""),"Balaji Alahari")</f>
        <v>Balaji Alahari</v>
      </c>
      <c r="C148" s="87">
        <f>IFERROR(__xludf.DUMMYFUNCTION("""COMPUTED_VALUE"""),9.0)</f>
        <v>9</v>
      </c>
      <c r="D148" s="87">
        <f>IFERROR(__xludf.DUMMYFUNCTION("""COMPUTED_VALUE"""),1.0)</f>
        <v>1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IFERROR(__xludf.DUMMYFUNCTION("""COMPUTED_VALUE"""),18.0)</f>
        <v>18</v>
      </c>
      <c r="N148" s="89">
        <f>IFERROR(__xludf.DUMMYFUNCTION("""COMPUTED_VALUE"""),1.0)</f>
        <v>1</v>
      </c>
    </row>
    <row r="149">
      <c r="A149" s="11"/>
      <c r="B149" s="82" t="str">
        <f>IFERROR(__xludf.DUMMYFUNCTION("""COMPUTED_VALUE"""),"Nohely Mejia")</f>
        <v>Nohely Mejia</v>
      </c>
      <c r="C149" s="87">
        <f>IFERROR(__xludf.DUMMYFUNCTION("""COMPUTED_VALUE"""),9.0)</f>
        <v>9</v>
      </c>
      <c r="D149" s="87">
        <f>IFERROR(__xludf.DUMMYFUNCTION("""COMPUTED_VALUE"""),0.0)</f>
        <v>0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IFERROR(__xludf.DUMMYFUNCTION("""COMPUTED_VALUE"""),18.0)</f>
        <v>18</v>
      </c>
      <c r="N149" s="89">
        <f>IFERROR(__xludf.DUMMYFUNCTION("""COMPUTED_VALUE"""),0.0)</f>
        <v>0</v>
      </c>
    </row>
    <row r="150">
      <c r="A150" s="11"/>
      <c r="B150" s="82" t="str">
        <f>IFERROR(__xludf.DUMMYFUNCTION("""COMPUTED_VALUE"""),"Peter Homsey")</f>
        <v>Peter Homsey</v>
      </c>
      <c r="C150" s="87">
        <f>IFERROR(__xludf.DUMMYFUNCTION("""COMPUTED_VALUE"""),9.0)</f>
        <v>9</v>
      </c>
      <c r="D150" s="87">
        <f>IFERROR(__xludf.DUMMYFUNCTION("""COMPUTED_VALUE"""),0.0)</f>
        <v>0</v>
      </c>
      <c r="E150" s="86">
        <f>IFERROR(__xludf.DUMMYFUNCTION("""COMPUTED_VALUE"""),5.0)</f>
        <v>5</v>
      </c>
      <c r="F150" s="88">
        <f>IFERROR(__xludf.DUMMYFUNCTION("""COMPUTED_VALUE"""),0.0)</f>
        <v>0</v>
      </c>
      <c r="G150" s="88">
        <f>IFERROR(__xludf.DUMMYFUNCTION("""COMPUTED_VALUE"""),13.0)</f>
        <v>13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IFERROR(__xludf.DUMMYFUNCTION("""COMPUTED_VALUE"""),13.0)</f>
        <v>13</v>
      </c>
      <c r="L150" s="88">
        <f>IFERROR(__xludf.DUMMYFUNCTION("""COMPUTED_VALUE"""),0.0)</f>
        <v>0</v>
      </c>
      <c r="M150" s="89">
        <f>IFERROR(__xludf.DUMMYFUNCTION("""COMPUTED_VALUE"""),22.0)</f>
        <v>22</v>
      </c>
      <c r="N150" s="89">
        <f>IFERROR(__xludf.DUMMYFUNCTION("""COMPUTED_VALUE"""),0.0)</f>
        <v>0</v>
      </c>
    </row>
    <row r="151">
      <c r="A151" s="11"/>
      <c r="B151" s="82" t="str">
        <f>IFERROR(__xludf.DUMMYFUNCTION("""COMPUTED_VALUE"""),"Manuel Rivera")</f>
        <v>Manuel Rivera</v>
      </c>
      <c r="C151" s="87">
        <f>IFERROR(__xludf.DUMMYFUNCTION("""COMPUTED_VALUE"""),9.0)</f>
        <v>9</v>
      </c>
      <c r="D151" s="87">
        <f>IFERROR(__xludf.DUMMYFUNCTION("""COMPUTED_VALUE"""),0.0)</f>
        <v>0</v>
      </c>
      <c r="E151" s="86">
        <f>IFERROR(__xludf.DUMMYFUNCTION("""COMPUTED_VALUE"""),5.0)</f>
        <v>5</v>
      </c>
      <c r="F151" s="88">
        <f>IFERROR(__xludf.DUMMYFUNCTION("""COMPUTED_VALUE"""),0.0)</f>
        <v>0</v>
      </c>
      <c r="G151" s="88">
        <f>IFERROR(__xludf.DUMMYFUNCTION("""COMPUTED_VALUE"""),13.0)</f>
        <v>13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IFERROR(__xludf.DUMMYFUNCTION("""COMPUTED_VALUE"""),13.0)</f>
        <v>13</v>
      </c>
      <c r="L151" s="88">
        <f>IFERROR(__xludf.DUMMYFUNCTION("""COMPUTED_VALUE"""),0.0)</f>
        <v>0</v>
      </c>
      <c r="M151" s="89">
        <f>IFERROR(__xludf.DUMMYFUNCTION("""COMPUTED_VALUE"""),22.0)</f>
        <v>22</v>
      </c>
      <c r="N151" s="89">
        <f>IFERROR(__xludf.DUMMYFUNCTION("""COMPUTED_VALUE"""),0.0)</f>
        <v>0</v>
      </c>
    </row>
    <row r="152">
      <c r="A152" s="11"/>
      <c r="B152" s="82" t="str">
        <f>IFERROR(__xludf.DUMMYFUNCTION("""COMPUTED_VALUE"""),"Jimmy Awolesi")</f>
        <v>Jimmy Awolesi</v>
      </c>
      <c r="C152" s="87">
        <f>IFERROR(__xludf.DUMMYFUNCTION("""COMPUTED_VALUE"""),9.0)</f>
        <v>9</v>
      </c>
      <c r="D152" s="87">
        <f>IFERROR(__xludf.DUMMYFUNCTION("""COMPUTED_VALUE"""),0.0)</f>
        <v>0</v>
      </c>
      <c r="E152" s="86">
        <f>IFERROR(__xludf.DUMMYFUNCTION("""COMPUTED_VALUE"""),4.0)</f>
        <v>4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IFERROR(__xludf.DUMMYFUNCTION("""COMPUTED_VALUE"""),18.0)</f>
        <v>18</v>
      </c>
      <c r="N152" s="89">
        <f>IFERROR(__xludf.DUMMYFUNCTION("""COMPUTED_VALUE"""),0.0)</f>
        <v>0</v>
      </c>
    </row>
    <row r="153">
      <c r="A153" s="11"/>
      <c r="B153" s="82" t="str">
        <f>IFERROR(__xludf.DUMMYFUNCTION("""COMPUTED_VALUE"""),"Tony Lin")</f>
        <v>Tony Lin</v>
      </c>
      <c r="C153" s="87">
        <f>IFERROR(__xludf.DUMMYFUNCTION("""COMPUTED_VALUE"""),9.0)</f>
        <v>9</v>
      </c>
      <c r="D153" s="87">
        <f>IFERROR(__xludf.DUMMYFUNCTION("""COMPUTED_VALUE"""),0.0)</f>
        <v>0</v>
      </c>
      <c r="E153" s="86">
        <f>IFERROR(__xludf.DUMMYFUNCTION("""COMPUTED_VALUE"""),5.0)</f>
        <v>5</v>
      </c>
      <c r="F153" s="88">
        <f>IFERROR(__xludf.DUMMYFUNCTION("""COMPUTED_VALUE"""),0.0)</f>
        <v>0</v>
      </c>
      <c r="G153" s="88">
        <f>IFERROR(__xludf.DUMMYFUNCTION("""COMPUTED_VALUE"""),13.0)</f>
        <v>13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IFERROR(__xludf.DUMMYFUNCTION("""COMPUTED_VALUE"""),13.0)</f>
        <v>13</v>
      </c>
      <c r="L153" s="88">
        <f>IFERROR(__xludf.DUMMYFUNCTION("""COMPUTED_VALUE"""),0.0)</f>
        <v>0</v>
      </c>
      <c r="M153" s="89">
        <f>IFERROR(__xludf.DUMMYFUNCTION("""COMPUTED_VALUE"""),22.0)</f>
        <v>22</v>
      </c>
      <c r="N153" s="89">
        <f>IFERROR(__xludf.DUMMYFUNCTION("""COMPUTED_VALUE"""),0.0)</f>
        <v>0</v>
      </c>
    </row>
    <row r="154">
      <c r="A154" s="11"/>
      <c r="B154" s="82" t="str">
        <f>IFERROR(__xludf.DUMMYFUNCTION("""COMPUTED_VALUE"""),"Santosh Sundaresan ")</f>
        <v>Santosh Sundaresan </v>
      </c>
      <c r="C154" s="87">
        <f>IFERROR(__xludf.DUMMYFUNCTION("""COMPUTED_VALUE"""),9.0)</f>
        <v>9</v>
      </c>
      <c r="D154" s="87">
        <f>IFERROR(__xludf.DUMMYFUNCTION("""COMPUTED_VALUE"""),0.0)</f>
        <v>0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IFERROR(__xludf.DUMMYFUNCTION("""COMPUTED_VALUE"""),18.0)</f>
        <v>18</v>
      </c>
      <c r="N154" s="89">
        <f>IFERROR(__xludf.DUMMYFUNCTION("""COMPUTED_VALUE"""),0.0)</f>
        <v>0</v>
      </c>
    </row>
    <row r="155">
      <c r="A155" s="11"/>
      <c r="B155" s="82" t="str">
        <f>IFERROR(__xludf.DUMMYFUNCTION("""COMPUTED_VALUE"""),"David Shin")</f>
        <v>David Shin</v>
      </c>
      <c r="C155" s="87">
        <f>IFERROR(__xludf.DUMMYFUNCTION("""COMPUTED_VALUE"""),9.0)</f>
        <v>9</v>
      </c>
      <c r="D155" s="87">
        <f>IFERROR(__xludf.DUMMYFUNCTION("""COMPUTED_VALUE"""),0.0)</f>
        <v>0</v>
      </c>
      <c r="E155" s="86">
        <f>IFERROR(__xludf.DUMMYFUNCTION("""COMPUTED_VALUE"""),5.0)</f>
        <v>5</v>
      </c>
      <c r="F155" s="88">
        <f>IFERROR(__xludf.DUMMYFUNCTION("""COMPUTED_VALUE"""),0.0)</f>
        <v>0</v>
      </c>
      <c r="G155" s="88">
        <f>IFERROR(__xludf.DUMMYFUNCTION("""COMPUTED_VALUE"""),13.0)</f>
        <v>13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IFERROR(__xludf.DUMMYFUNCTION("""COMPUTED_VALUE"""),13.0)</f>
        <v>13</v>
      </c>
      <c r="L155" s="88">
        <f>IFERROR(__xludf.DUMMYFUNCTION("""COMPUTED_VALUE"""),0.0)</f>
        <v>0</v>
      </c>
      <c r="M155" s="89">
        <f>IFERROR(__xludf.DUMMYFUNCTION("""COMPUTED_VALUE"""),22.0)</f>
        <v>22</v>
      </c>
      <c r="N155" s="89">
        <f>IFERROR(__xludf.DUMMYFUNCTION("""COMPUTED_VALUE"""),0.0)</f>
        <v>0</v>
      </c>
    </row>
    <row r="156">
      <c r="A156" s="11"/>
      <c r="B156" s="82" t="str">
        <f>IFERROR(__xludf.DUMMYFUNCTION("""COMPUTED_VALUE"""),"Peter Cheng")</f>
        <v>Peter Cheng</v>
      </c>
      <c r="C156" s="87">
        <f>IFERROR(__xludf.DUMMYFUNCTION("""COMPUTED_VALUE"""),9.0)</f>
        <v>9</v>
      </c>
      <c r="D156" s="87">
        <f>IFERROR(__xludf.DUMMYFUNCTION("""COMPUTED_VALUE"""),0.0)</f>
        <v>0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IFERROR(__xludf.DUMMYFUNCTION("""COMPUTED_VALUE"""),18.0)</f>
        <v>18</v>
      </c>
      <c r="N156" s="89">
        <f>IFERROR(__xludf.DUMMYFUNCTION("""COMPUTED_VALUE"""),0.0)</f>
        <v>0</v>
      </c>
    </row>
    <row r="157">
      <c r="A157" s="11"/>
      <c r="B157" s="82" t="str">
        <f>IFERROR(__xludf.DUMMYFUNCTION("""COMPUTED_VALUE"""),"Sai Dilip Ponnaganti")</f>
        <v>Sai Dilip Ponnaganti</v>
      </c>
      <c r="C157" s="87">
        <f>IFERROR(__xludf.DUMMYFUNCTION("""COMPUTED_VALUE"""),9.0)</f>
        <v>9</v>
      </c>
      <c r="D157" s="87">
        <f>IFERROR(__xludf.DUMMYFUNCTION("""COMPUTED_VALUE"""),0.0)</f>
        <v>0</v>
      </c>
      <c r="E157" s="86">
        <f>IFERROR(__xludf.DUMMYFUNCTION("""COMPUTED_VALUE"""),3.0)</f>
        <v>3</v>
      </c>
      <c r="F157" s="88">
        <f>IFERROR(__xludf.DUMMYFUNCTION("""COMPUTED_VALUE"""),0.0)</f>
        <v>0</v>
      </c>
      <c r="G157" s="88">
        <f>IFERROR(__xludf.DUMMYFUNCTION("""COMPUTED_VALUE"""),9.0)</f>
        <v>9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IFERROR(__xludf.DUMMYFUNCTION("""COMPUTED_VALUE"""),0.0)</f>
        <v>0</v>
      </c>
      <c r="M157" s="89">
        <f>IFERROR(__xludf.DUMMYFUNCTION("""COMPUTED_VALUE"""),18.0)</f>
        <v>18</v>
      </c>
      <c r="N157" s="89">
        <f>IFERROR(__xludf.DUMMYFUNCTION("""COMPUTED_VALUE"""),0.0)</f>
        <v>0</v>
      </c>
    </row>
    <row r="158">
      <c r="A158" s="11"/>
      <c r="B158" s="82" t="str">
        <f>IFERROR(__xludf.DUMMYFUNCTION("""COMPUTED_VALUE"""),"Vamsi Lolla ")</f>
        <v>Vamsi Lolla </v>
      </c>
      <c r="C158" s="87">
        <f>IFERROR(__xludf.DUMMYFUNCTION("""COMPUTED_VALUE"""),9.0)</f>
        <v>9</v>
      </c>
      <c r="D158" s="87">
        <f>IFERROR(__xludf.DUMMYFUNCTION("""COMPUTED_VALUE"""),0.0)</f>
        <v>0</v>
      </c>
      <c r="E158" s="86">
        <f>IFERROR(__xludf.DUMMYFUNCTION("""COMPUTED_VALUE"""),5.0)</f>
        <v>5</v>
      </c>
      <c r="F158" s="88">
        <f>IFERROR(__xludf.DUMMYFUNCTION("""COMPUTED_VALUE"""),0.0)</f>
        <v>0</v>
      </c>
      <c r="G158" s="88">
        <f>IFERROR(__xludf.DUMMYFUNCTION("""COMPUTED_VALUE"""),13.0)</f>
        <v>13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IFERROR(__xludf.DUMMYFUNCTION("""COMPUTED_VALUE"""),13.0)</f>
        <v>13</v>
      </c>
      <c r="L158" s="88">
        <f>IFERROR(__xludf.DUMMYFUNCTION("""COMPUTED_VALUE"""),0.0)</f>
        <v>0</v>
      </c>
      <c r="M158" s="89">
        <f>IFERROR(__xludf.DUMMYFUNCTION("""COMPUTED_VALUE"""),22.0)</f>
        <v>22</v>
      </c>
      <c r="N158" s="89">
        <f>IFERROR(__xludf.DUMMYFUNCTION("""COMPUTED_VALUE"""),0.0)</f>
        <v>0</v>
      </c>
    </row>
    <row r="159">
      <c r="A159" s="11"/>
      <c r="B159" s="82" t="str">
        <f>IFERROR(__xludf.DUMMYFUNCTION("""COMPUTED_VALUE"""),"Manish Anand")</f>
        <v>Manish Anand</v>
      </c>
      <c r="C159" s="87">
        <f>IFERROR(__xludf.DUMMYFUNCTION("""COMPUTED_VALUE"""),9.0)</f>
        <v>9</v>
      </c>
      <c r="D159" s="87">
        <f>IFERROR(__xludf.DUMMYFUNCTION("""COMPUTED_VALUE"""),0.0)</f>
        <v>0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IFERROR(__xludf.DUMMYFUNCTION("""COMPUTED_VALUE"""),18.0)</f>
        <v>18</v>
      </c>
      <c r="N159" s="89">
        <f>IFERROR(__xludf.DUMMYFUNCTION("""COMPUTED_VALUE"""),0.0)</f>
        <v>0</v>
      </c>
    </row>
    <row r="160">
      <c r="A160" s="11"/>
      <c r="B160" s="82" t="str">
        <f>IFERROR(__xludf.DUMMYFUNCTION("""COMPUTED_VALUE"""),"James Phan")</f>
        <v>James Phan</v>
      </c>
      <c r="C160" s="87">
        <f>IFERROR(__xludf.DUMMYFUNCTION("""COMPUTED_VALUE"""),9.0)</f>
        <v>9</v>
      </c>
      <c r="D160" s="87">
        <f>IFERROR(__xludf.DUMMYFUNCTION("""COMPUTED_VALUE"""),0.0)</f>
        <v>0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IFERROR(__xludf.DUMMYFUNCTION("""COMPUTED_VALUE"""),18.0)</f>
        <v>18</v>
      </c>
      <c r="N160" s="89">
        <f>IFERROR(__xludf.DUMMYFUNCTION("""COMPUTED_VALUE"""),0.0)</f>
        <v>0</v>
      </c>
    </row>
    <row r="161">
      <c r="A161" s="11"/>
      <c r="B161" s="82" t="str">
        <f>IFERROR(__xludf.DUMMYFUNCTION("""COMPUTED_VALUE"""),"Vinz Solano")</f>
        <v>Vinz Solano</v>
      </c>
      <c r="C161" s="87">
        <f>IFERROR(__xludf.DUMMYFUNCTION("""COMPUTED_VALUE"""),9.0)</f>
        <v>9</v>
      </c>
      <c r="D161" s="87">
        <f>IFERROR(__xludf.DUMMYFUNCTION("""COMPUTED_VALUE"""),0.0)</f>
        <v>0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IFERROR(__xludf.DUMMYFUNCTION("""COMPUTED_VALUE"""),18.0)</f>
        <v>18</v>
      </c>
      <c r="N161" s="89">
        <f>IFERROR(__xludf.DUMMYFUNCTION("""COMPUTED_VALUE"""),0.0)</f>
        <v>0</v>
      </c>
    </row>
    <row r="162">
      <c r="A162" s="11"/>
      <c r="B162" s="82" t="str">
        <f>IFERROR(__xludf.DUMMYFUNCTION("""COMPUTED_VALUE"""),"Jose Ortiz")</f>
        <v>Jose Ortiz</v>
      </c>
      <c r="C162" s="87">
        <f>IFERROR(__xludf.DUMMYFUNCTION("""COMPUTED_VALUE"""),9.0)</f>
        <v>9</v>
      </c>
      <c r="D162" s="87">
        <f>IFERROR(__xludf.DUMMYFUNCTION("""COMPUTED_VALUE"""),0.0)</f>
        <v>0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IFERROR(__xludf.DUMMYFUNCTION("""COMPUTED_VALUE"""),18.0)</f>
        <v>18</v>
      </c>
      <c r="N162" s="89">
        <f>IFERROR(__xludf.DUMMYFUNCTION("""COMPUTED_VALUE"""),0.0)</f>
        <v>0</v>
      </c>
    </row>
    <row r="163">
      <c r="A163" s="11"/>
      <c r="B163" s="82" t="str">
        <f>IFERROR(__xludf.DUMMYFUNCTION("""COMPUTED_VALUE"""),"Pulkit Mathur")</f>
        <v>Pulkit Mathur</v>
      </c>
      <c r="C163" s="87">
        <f>IFERROR(__xludf.DUMMYFUNCTION("""COMPUTED_VALUE"""),9.0)</f>
        <v>9</v>
      </c>
      <c r="D163" s="87">
        <f>IFERROR(__xludf.DUMMYFUNCTION("""COMPUTED_VALUE"""),0.0)</f>
        <v>0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IFERROR(__xludf.DUMMYFUNCTION("""COMPUTED_VALUE"""),18.0)</f>
        <v>18</v>
      </c>
      <c r="N163" s="89">
        <f>IFERROR(__xludf.DUMMYFUNCTION("""COMPUTED_VALUE"""),0.0)</f>
        <v>0</v>
      </c>
    </row>
    <row r="164">
      <c r="A164" s="11"/>
      <c r="B164" s="82" t="str">
        <f>IFERROR(__xludf.DUMMYFUNCTION("""COMPUTED_VALUE"""),"Rajesh Dorairaj")</f>
        <v>Rajesh Dorairaj</v>
      </c>
      <c r="C164" s="87">
        <f>IFERROR(__xludf.DUMMYFUNCTION("""COMPUTED_VALUE"""),9.0)</f>
        <v>9</v>
      </c>
      <c r="D164" s="87">
        <f>IFERROR(__xludf.DUMMYFUNCTION("""COMPUTED_VALUE"""),0.0)</f>
        <v>0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IFERROR(__xludf.DUMMYFUNCTION("""COMPUTED_VALUE"""),18.0)</f>
        <v>18</v>
      </c>
      <c r="N164" s="89">
        <f>IFERROR(__xludf.DUMMYFUNCTION("""COMPUTED_VALUE"""),0.0)</f>
        <v>0</v>
      </c>
    </row>
    <row r="165">
      <c r="A165" s="11"/>
      <c r="B165" s="82" t="str">
        <f>IFERROR(__xludf.DUMMYFUNCTION("""COMPUTED_VALUE"""),"Susanta Mishra")</f>
        <v>Susanta Mishra</v>
      </c>
      <c r="C165" s="87">
        <f>IFERROR(__xludf.DUMMYFUNCTION("""COMPUTED_VALUE"""),9.0)</f>
        <v>9</v>
      </c>
      <c r="D165" s="87">
        <f>IFERROR(__xludf.DUMMYFUNCTION("""COMPUTED_VALUE"""),0.0)</f>
        <v>0</v>
      </c>
      <c r="E165" s="86">
        <f>IFERROR(__xludf.DUMMYFUNCTION("""COMPUTED_VALUE"""),3.0)</f>
        <v>3</v>
      </c>
      <c r="F165" s="88">
        <f>IFERROR(__xludf.DUMMYFUNCTION("""COMPUTED_VALUE"""),0.0)</f>
        <v>0</v>
      </c>
      <c r="G165" s="88">
        <f>IFERROR(__xludf.DUMMYFUNCTION("""COMPUTED_VALUE"""),9.0)</f>
        <v>9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IFERROR(__xludf.DUMMYFUNCTION("""COMPUTED_VALUE"""),9.0)</f>
        <v>9</v>
      </c>
      <c r="L165" s="88">
        <f>IFERROR(__xludf.DUMMYFUNCTION("""COMPUTED_VALUE"""),0.0)</f>
        <v>0</v>
      </c>
      <c r="M165" s="89">
        <f>IFERROR(__xludf.DUMMYFUNCTION("""COMPUTED_VALUE"""),18.0)</f>
        <v>18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IFERROR(__xludf.DUMMYFUNCTION("""COMPUTED_VALUE"""),"Chinna Ponnaganti")</f>
        <v>Chinna Ponnaganti</v>
      </c>
      <c r="C166" s="87">
        <f>IFERROR(__xludf.DUMMYFUNCTION("""COMPUTED_VALUE"""),9.0)</f>
        <v>9</v>
      </c>
      <c r="D166" s="87">
        <f>IFERROR(__xludf.DUMMYFUNCTION("""COMPUTED_VALUE"""),0.0)</f>
        <v>0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IFERROR(__xludf.DUMMYFUNCTION("""COMPUTED_VALUE"""),18.0)</f>
        <v>18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IFERROR(__xludf.DUMMYFUNCTION("""COMPUTED_VALUE"""),"Sean Chang")</f>
        <v>Sean Chang</v>
      </c>
      <c r="C167" s="86">
        <f>IFERROR(__xludf.DUMMYFUNCTION("""COMPUTED_VALUE"""),9.0)</f>
        <v>9</v>
      </c>
      <c r="D167" s="87">
        <f>IFERROR(__xludf.DUMMYFUNCTION("""COMPUTED_VALUE"""),0.0)</f>
        <v>0</v>
      </c>
      <c r="E167" s="86">
        <f>IFERROR(__xludf.DUMMYFUNCTION("""COMPUTED_VALUE"""),5.0)</f>
        <v>5</v>
      </c>
      <c r="F167" s="88">
        <f>IFERROR(__xludf.DUMMYFUNCTION("""COMPUTED_VALUE"""),0.0)</f>
        <v>0</v>
      </c>
      <c r="G167" s="88">
        <f>IFERROR(__xludf.DUMMYFUNCTION("""COMPUTED_VALUE"""),13.0)</f>
        <v>13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IFERROR(__xludf.DUMMYFUNCTION("""COMPUTED_VALUE"""),13.0)</f>
        <v>13</v>
      </c>
      <c r="L167" s="88">
        <f>IFERROR(__xludf.DUMMYFUNCTION("""COMPUTED_VALUE"""),0.0)</f>
        <v>0</v>
      </c>
      <c r="M167" s="88">
        <f>IFERROR(__xludf.DUMMYFUNCTION("""COMPUTED_VALUE"""),22.0)</f>
        <v>22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IFERROR(__xludf.DUMMYFUNCTION("""COMPUTED_VALUE"""),"Naveen Raj")</f>
        <v>Naveen Raj</v>
      </c>
      <c r="C168" s="86">
        <f>IFERROR(__xludf.DUMMYFUNCTION("""COMPUTED_VALUE"""),9.0)</f>
        <v>9</v>
      </c>
      <c r="D168" s="87">
        <f>IFERROR(__xludf.DUMMYFUNCTION("""COMPUTED_VALUE"""),0.0)</f>
        <v>0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8">
        <f>IFERROR(__xludf.DUMMYFUNCTION("""COMPUTED_VALUE"""),18.0)</f>
        <v>18</v>
      </c>
      <c r="N168" s="89">
        <f>IFERROR(__xludf.DUMMYFUNCTION("""COMPUTED_VALUE"""),0.0)</f>
        <v>0</v>
      </c>
    </row>
    <row r="169">
      <c r="A169" s="11"/>
      <c r="B169" s="82"/>
      <c r="C169" s="86"/>
      <c r="D169" s="87"/>
      <c r="E169" s="86"/>
      <c r="F169" s="88"/>
      <c r="G169" s="88"/>
      <c r="H169" s="88"/>
      <c r="I169" s="88"/>
      <c r="J169" s="88"/>
      <c r="K169" s="88"/>
      <c r="L169" s="88"/>
      <c r="M169" s="88"/>
      <c r="N169" s="89"/>
    </row>
    <row r="170">
      <c r="A170" s="11"/>
      <c r="B170" s="82"/>
      <c r="C170" s="86"/>
      <c r="D170" s="87"/>
      <c r="E170" s="86"/>
      <c r="F170" s="88"/>
      <c r="G170" s="88"/>
      <c r="H170" s="88"/>
      <c r="I170" s="88"/>
      <c r="J170" s="88"/>
      <c r="K170" s="88"/>
      <c r="L170" s="88"/>
      <c r="M170" s="88"/>
      <c r="N170" s="89"/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C201" s="11"/>
      <c r="D201" s="11"/>
      <c r="E201" s="11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B222" s="90" t="s">
        <v>167</v>
      </c>
      <c r="C222" s="11"/>
      <c r="D222" s="11"/>
      <c r="E222" s="11"/>
      <c r="U222" s="90" t="s">
        <v>168</v>
      </c>
    </row>
    <row r="223">
      <c r="A223" s="49">
        <v>1.0</v>
      </c>
      <c r="B223" s="82" t="str">
        <f>IFERROR(__xludf.DUMMYFUNCTION("QUERY(B5:Q69, ""Select B   where Q is null"")"),"#N/A")</f>
        <v>#N/A</v>
      </c>
      <c r="C223" s="11"/>
      <c r="D223" s="11"/>
      <c r="E223" s="11"/>
      <c r="T223" s="49">
        <v>1.0</v>
      </c>
      <c r="U223" s="17" t="str">
        <f>IFERROR(__xludf.DUMMYFUNCTION("QUERY(B5:Q69, ""Select B   where Q = 'N' "")"),"#N/A")</f>
        <v>#N/A</v>
      </c>
    </row>
    <row r="224">
      <c r="A224" s="11">
        <f t="shared" ref="A224:A244" si="69">A223+1</f>
        <v>2</v>
      </c>
      <c r="B224" s="82"/>
      <c r="C224" s="11"/>
      <c r="D224" s="11"/>
      <c r="E224" s="11"/>
      <c r="T224" s="11">
        <f t="shared" ref="T224:T235" si="70">T223+1</f>
        <v>2</v>
      </c>
    </row>
    <row r="225">
      <c r="A225" s="11">
        <f t="shared" si="69"/>
        <v>3</v>
      </c>
      <c r="B225" s="82"/>
      <c r="C225" s="11"/>
      <c r="D225" s="11"/>
      <c r="E225" s="11"/>
      <c r="T225" s="11">
        <f t="shared" si="70"/>
        <v>3</v>
      </c>
    </row>
    <row r="226">
      <c r="A226" s="11">
        <f t="shared" si="69"/>
        <v>4</v>
      </c>
      <c r="B226" s="82"/>
      <c r="C226" s="11"/>
      <c r="D226" s="11"/>
      <c r="E226" s="11"/>
      <c r="T226" s="11">
        <f t="shared" si="70"/>
        <v>4</v>
      </c>
    </row>
    <row r="227">
      <c r="A227" s="11">
        <f t="shared" si="69"/>
        <v>5</v>
      </c>
      <c r="B227" s="82"/>
      <c r="C227" s="11"/>
      <c r="D227" s="11"/>
      <c r="E227" s="11"/>
      <c r="T227" s="11">
        <f t="shared" si="70"/>
        <v>5</v>
      </c>
    </row>
    <row r="228">
      <c r="A228" s="11">
        <f t="shared" si="69"/>
        <v>6</v>
      </c>
      <c r="B228" s="82"/>
      <c r="C228" s="11"/>
      <c r="D228" s="11"/>
      <c r="E228" s="11"/>
      <c r="T228" s="11">
        <f t="shared" si="70"/>
        <v>6</v>
      </c>
    </row>
    <row r="229">
      <c r="A229" s="11">
        <f t="shared" si="69"/>
        <v>7</v>
      </c>
      <c r="B229" s="82"/>
      <c r="C229" s="11"/>
      <c r="D229" s="11"/>
      <c r="E229" s="11"/>
      <c r="T229" s="11">
        <f t="shared" si="70"/>
        <v>7</v>
      </c>
    </row>
    <row r="230">
      <c r="A230" s="11">
        <f t="shared" si="69"/>
        <v>8</v>
      </c>
      <c r="B230" s="82"/>
      <c r="C230" s="11"/>
      <c r="D230" s="11"/>
      <c r="E230" s="11"/>
      <c r="T230" s="11">
        <f t="shared" si="70"/>
        <v>8</v>
      </c>
    </row>
    <row r="231">
      <c r="A231" s="11">
        <f t="shared" si="69"/>
        <v>9</v>
      </c>
      <c r="B231" s="82"/>
      <c r="C231" s="11"/>
      <c r="D231" s="11"/>
      <c r="E231" s="11"/>
      <c r="T231" s="11">
        <f t="shared" si="70"/>
        <v>9</v>
      </c>
    </row>
    <row r="232">
      <c r="A232" s="11">
        <f t="shared" si="69"/>
        <v>10</v>
      </c>
      <c r="B232" s="82"/>
      <c r="C232" s="11"/>
      <c r="D232" s="11"/>
      <c r="E232" s="11"/>
      <c r="T232" s="11">
        <f t="shared" si="70"/>
        <v>10</v>
      </c>
    </row>
    <row r="233">
      <c r="A233" s="11">
        <f t="shared" si="69"/>
        <v>11</v>
      </c>
      <c r="B233" s="82"/>
      <c r="C233" s="11"/>
      <c r="D233" s="11"/>
      <c r="E233" s="11"/>
      <c r="T233" s="11">
        <f t="shared" si="70"/>
        <v>11</v>
      </c>
    </row>
    <row r="234">
      <c r="A234" s="11">
        <f t="shared" si="69"/>
        <v>12</v>
      </c>
      <c r="B234" s="82"/>
      <c r="C234" s="11"/>
      <c r="D234" s="11"/>
      <c r="E234" s="11"/>
      <c r="T234" s="11">
        <f t="shared" si="70"/>
        <v>12</v>
      </c>
    </row>
    <row r="235">
      <c r="A235" s="11">
        <f t="shared" si="69"/>
        <v>13</v>
      </c>
      <c r="B235" s="82"/>
      <c r="C235" s="11"/>
      <c r="D235" s="11"/>
      <c r="E235" s="11"/>
      <c r="T235" s="11">
        <f t="shared" si="70"/>
        <v>13</v>
      </c>
    </row>
    <row r="236">
      <c r="A236" s="11">
        <f t="shared" si="69"/>
        <v>14</v>
      </c>
      <c r="B236" s="82"/>
      <c r="C236" s="11"/>
      <c r="D236" s="11"/>
      <c r="E236" s="11"/>
    </row>
    <row r="237">
      <c r="A237" s="11">
        <f t="shared" si="69"/>
        <v>15</v>
      </c>
      <c r="B237" s="82"/>
      <c r="C237" s="11"/>
      <c r="D237" s="11"/>
      <c r="E237" s="11"/>
    </row>
    <row r="238">
      <c r="A238" s="11">
        <f t="shared" si="69"/>
        <v>16</v>
      </c>
      <c r="B238" s="82"/>
      <c r="C238" s="11"/>
      <c r="D238" s="11"/>
      <c r="E238" s="11"/>
    </row>
    <row r="239">
      <c r="A239" s="11">
        <f t="shared" si="69"/>
        <v>17</v>
      </c>
      <c r="B239" s="82"/>
      <c r="C239" s="11"/>
      <c r="D239" s="11"/>
      <c r="E239" s="11"/>
    </row>
    <row r="240">
      <c r="A240" s="11">
        <f t="shared" si="69"/>
        <v>18</v>
      </c>
      <c r="B240" s="82"/>
      <c r="C240" s="11"/>
      <c r="D240" s="11"/>
      <c r="E240" s="11"/>
    </row>
    <row r="241">
      <c r="A241" s="11">
        <f t="shared" si="69"/>
        <v>19</v>
      </c>
      <c r="B241" s="82"/>
      <c r="C241" s="11"/>
      <c r="D241" s="11"/>
      <c r="E241" s="11"/>
    </row>
    <row r="242">
      <c r="A242" s="11">
        <f t="shared" si="69"/>
        <v>20</v>
      </c>
      <c r="B242" s="82"/>
      <c r="C242" s="11"/>
      <c r="D242" s="11"/>
      <c r="E242" s="11"/>
    </row>
    <row r="243">
      <c r="A243" s="11">
        <f t="shared" si="69"/>
        <v>21</v>
      </c>
      <c r="B243" s="82"/>
      <c r="C243" s="11"/>
      <c r="D243" s="11"/>
      <c r="E243" s="11"/>
    </row>
    <row r="244">
      <c r="A244" s="11">
        <f t="shared" si="69"/>
        <v>22</v>
      </c>
      <c r="B244" s="82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1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1" priority="7" operator="containsText" text="Good">
      <formula>NOT(ISERROR(SEARCH(("Good"),(L80))))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45479.0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1.0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124</v>
      </c>
      <c r="C5" s="32">
        <v>0.0</v>
      </c>
      <c r="D5" s="32">
        <v>0.0</v>
      </c>
      <c r="E5" s="37">
        <v>3.0</v>
      </c>
      <c r="F5" s="39">
        <v>0.0</v>
      </c>
      <c r="G5" s="40">
        <v>9.0</v>
      </c>
      <c r="H5" s="39">
        <v>0.0</v>
      </c>
      <c r="I5" s="39">
        <v>0.0</v>
      </c>
      <c r="J5" s="39">
        <v>0.0</v>
      </c>
      <c r="K5" s="42">
        <v>9.0</v>
      </c>
      <c r="L5" s="39">
        <v>0.0</v>
      </c>
      <c r="M5" s="32">
        <f t="shared" ref="M5:N5" si="1">C5+K5</f>
        <v>9</v>
      </c>
      <c r="N5" s="32">
        <f t="shared" si="1"/>
        <v>0</v>
      </c>
      <c r="O5" s="43" t="s">
        <v>53</v>
      </c>
      <c r="P5" s="43" t="s">
        <v>53</v>
      </c>
      <c r="Q5" s="43" t="s">
        <v>53</v>
      </c>
      <c r="R5" s="39">
        <f>if(G5=13,1,0)+VLOOKUP(B5,'070124'!B:T,17,false)</f>
        <v>0</v>
      </c>
      <c r="S5" s="39"/>
      <c r="T5" s="39">
        <f>if(G5=9,1,0)+VLOOKUP(B5,'070124'!B:T,19,false)</f>
        <v>1</v>
      </c>
    </row>
    <row r="6">
      <c r="A6" s="30">
        <f t="shared" ref="A6:A69" si="3">A5+1</f>
        <v>2</v>
      </c>
      <c r="B6" s="31" t="s">
        <v>34</v>
      </c>
      <c r="C6" s="32">
        <v>0.0</v>
      </c>
      <c r="D6" s="32">
        <v>0.0</v>
      </c>
      <c r="E6" s="37">
        <v>3.0</v>
      </c>
      <c r="F6" s="39">
        <v>0.0</v>
      </c>
      <c r="G6" s="40">
        <v>9.0</v>
      </c>
      <c r="H6" s="39">
        <v>0.0</v>
      </c>
      <c r="I6" s="39">
        <v>0.0</v>
      </c>
      <c r="J6" s="39">
        <v>0.0</v>
      </c>
      <c r="K6" s="42">
        <v>9.0</v>
      </c>
      <c r="L6" s="39">
        <v>0.0</v>
      </c>
      <c r="M6" s="32">
        <f t="shared" ref="M6:N6" si="2">C6+K6</f>
        <v>9</v>
      </c>
      <c r="N6" s="32">
        <f t="shared" si="2"/>
        <v>0</v>
      </c>
      <c r="O6" s="43" t="s">
        <v>53</v>
      </c>
      <c r="P6" s="43" t="s">
        <v>53</v>
      </c>
      <c r="Q6" s="43" t="s">
        <v>53</v>
      </c>
      <c r="R6" s="39">
        <f>if(G6=13,1,0)+VLOOKUP(B6,'070124'!B:T,17,false)</f>
        <v>0</v>
      </c>
      <c r="S6" s="39"/>
      <c r="T6" s="39">
        <f>if(G6=9,1,0)+VLOOKUP(B6,'070124'!B:T,19,false)</f>
        <v>1</v>
      </c>
    </row>
    <row r="7">
      <c r="A7" s="30">
        <f t="shared" si="3"/>
        <v>3</v>
      </c>
      <c r="B7" s="51" t="s">
        <v>104</v>
      </c>
      <c r="C7" s="32">
        <v>0.0</v>
      </c>
      <c r="D7" s="32">
        <v>0.0</v>
      </c>
      <c r="E7" s="37">
        <v>1.0</v>
      </c>
      <c r="F7" s="39"/>
      <c r="G7" s="40">
        <v>0.0</v>
      </c>
      <c r="H7" s="39">
        <v>1.0</v>
      </c>
      <c r="I7" s="39">
        <v>3.0</v>
      </c>
      <c r="J7" s="39">
        <v>2.0</v>
      </c>
      <c r="K7" s="42">
        <v>6.0</v>
      </c>
      <c r="L7" s="39">
        <v>0.0</v>
      </c>
      <c r="M7" s="32">
        <f t="shared" ref="M7:N7" si="4">C7+K7</f>
        <v>6</v>
      </c>
      <c r="N7" s="32">
        <f t="shared" si="4"/>
        <v>0</v>
      </c>
      <c r="O7" s="43" t="s">
        <v>53</v>
      </c>
      <c r="P7" s="43" t="s">
        <v>53</v>
      </c>
      <c r="Q7" s="43" t="s">
        <v>53</v>
      </c>
      <c r="R7" s="39">
        <f>if(G7=13,1,0)+VLOOKUP(B7,'070124'!B:T,17,false)</f>
        <v>0</v>
      </c>
      <c r="S7" s="39"/>
      <c r="T7" s="39">
        <f>if(G7=9,1,0)+VLOOKUP(B7,'070124'!B:T,19,false)</f>
        <v>0</v>
      </c>
    </row>
    <row r="8">
      <c r="A8" s="30">
        <f t="shared" si="3"/>
        <v>4</v>
      </c>
      <c r="B8" s="51" t="s">
        <v>103</v>
      </c>
      <c r="C8" s="32">
        <v>0.0</v>
      </c>
      <c r="D8" s="32">
        <v>0.0</v>
      </c>
      <c r="E8" s="37">
        <v>1.0</v>
      </c>
      <c r="F8" s="39"/>
      <c r="G8" s="40">
        <v>0.0</v>
      </c>
      <c r="H8" s="39">
        <v>6.0</v>
      </c>
      <c r="I8" s="39">
        <v>6.0</v>
      </c>
      <c r="J8" s="39">
        <v>2.0</v>
      </c>
      <c r="K8" s="42">
        <v>14.0</v>
      </c>
      <c r="L8" s="39">
        <v>2.0</v>
      </c>
      <c r="M8" s="32">
        <f t="shared" ref="M8:N8" si="5">C8+K8</f>
        <v>14</v>
      </c>
      <c r="N8" s="32">
        <f t="shared" si="5"/>
        <v>2</v>
      </c>
      <c r="O8" s="43" t="s">
        <v>53</v>
      </c>
      <c r="P8" s="43" t="s">
        <v>53</v>
      </c>
      <c r="Q8" s="43" t="s">
        <v>53</v>
      </c>
      <c r="R8" s="39">
        <f>if(G8=13,1,0)+VLOOKUP(B8,'070124'!B:T,17,false)</f>
        <v>0</v>
      </c>
      <c r="S8" s="39"/>
      <c r="T8" s="39">
        <f>if(G8=9,1,0)+VLOOKUP(B8,'070124'!B:T,19,false)</f>
        <v>0</v>
      </c>
    </row>
    <row r="9">
      <c r="A9" s="30">
        <f t="shared" si="3"/>
        <v>5</v>
      </c>
      <c r="B9" s="51" t="s">
        <v>84</v>
      </c>
      <c r="C9" s="32">
        <v>0.0</v>
      </c>
      <c r="D9" s="32">
        <v>0.0</v>
      </c>
      <c r="E9" s="37">
        <v>1.0</v>
      </c>
      <c r="F9" s="39"/>
      <c r="G9" s="40">
        <v>0.0</v>
      </c>
      <c r="H9" s="39">
        <v>6.0</v>
      </c>
      <c r="I9" s="39">
        <v>3.0</v>
      </c>
      <c r="J9" s="39">
        <v>6.0</v>
      </c>
      <c r="K9" s="42">
        <v>15.0</v>
      </c>
      <c r="L9" s="39">
        <v>2.0</v>
      </c>
      <c r="M9" s="32">
        <f t="shared" ref="M9:N9" si="6">C9+K9</f>
        <v>15</v>
      </c>
      <c r="N9" s="32">
        <f t="shared" si="6"/>
        <v>2</v>
      </c>
      <c r="O9" s="43" t="s">
        <v>53</v>
      </c>
      <c r="P9" s="43" t="s">
        <v>53</v>
      </c>
      <c r="Q9" s="43" t="s">
        <v>53</v>
      </c>
      <c r="R9" s="39">
        <f>if(G9=13,1,0)+VLOOKUP(B9,'070124'!B:T,17,false)</f>
        <v>0</v>
      </c>
      <c r="S9" s="39"/>
      <c r="T9" s="39">
        <f>if(G9=9,1,0)+VLOOKUP(B9,'070124'!B:T,19,false)</f>
        <v>0</v>
      </c>
    </row>
    <row r="10">
      <c r="A10" s="30">
        <f t="shared" si="3"/>
        <v>6</v>
      </c>
      <c r="B10" s="56" t="s">
        <v>65</v>
      </c>
      <c r="C10" s="32">
        <v>0.0</v>
      </c>
      <c r="D10" s="32">
        <v>0.0</v>
      </c>
      <c r="E10" s="37">
        <v>1.0</v>
      </c>
      <c r="F10" s="39"/>
      <c r="G10" s="40">
        <v>0.0</v>
      </c>
      <c r="H10" s="39">
        <v>1.0</v>
      </c>
      <c r="I10" s="39">
        <v>6.0</v>
      </c>
      <c r="J10" s="39">
        <v>6.0</v>
      </c>
      <c r="K10" s="42">
        <v>13.0</v>
      </c>
      <c r="L10" s="39">
        <v>2.0</v>
      </c>
      <c r="M10" s="32">
        <f t="shared" ref="M10:N10" si="7">C10+K10</f>
        <v>13</v>
      </c>
      <c r="N10" s="32">
        <f t="shared" si="7"/>
        <v>2</v>
      </c>
      <c r="O10" s="43" t="s">
        <v>53</v>
      </c>
      <c r="P10" s="43" t="s">
        <v>53</v>
      </c>
      <c r="Q10" s="43" t="s">
        <v>53</v>
      </c>
      <c r="R10" s="39">
        <f>if(G10=13,1,0)+VLOOKUP(B10,'070124'!B:T,17,false)</f>
        <v>0</v>
      </c>
      <c r="S10" s="39"/>
      <c r="T10" s="39">
        <f>if(G10=9,1,0)+VLOOKUP(B10,'070124'!B:T,19,false)</f>
        <v>0</v>
      </c>
    </row>
    <row r="11">
      <c r="A11" s="30">
        <f t="shared" si="3"/>
        <v>7</v>
      </c>
      <c r="B11" s="31" t="s">
        <v>90</v>
      </c>
      <c r="C11" s="32">
        <v>0.0</v>
      </c>
      <c r="D11" s="32">
        <v>0.0</v>
      </c>
      <c r="E11" s="37">
        <v>1.0</v>
      </c>
      <c r="F11" s="39"/>
      <c r="G11" s="40">
        <v>0.0</v>
      </c>
      <c r="H11" s="39">
        <v>6.0</v>
      </c>
      <c r="I11" s="39">
        <v>5.0</v>
      </c>
      <c r="J11" s="39">
        <v>1.0</v>
      </c>
      <c r="K11" s="42">
        <v>12.0</v>
      </c>
      <c r="L11" s="39">
        <v>1.0</v>
      </c>
      <c r="M11" s="32">
        <f t="shared" ref="M11:N11" si="8">C11+K11</f>
        <v>12</v>
      </c>
      <c r="N11" s="32">
        <f t="shared" si="8"/>
        <v>1</v>
      </c>
      <c r="O11" s="43" t="s">
        <v>53</v>
      </c>
      <c r="P11" s="43" t="s">
        <v>53</v>
      </c>
      <c r="Q11" s="43" t="s">
        <v>53</v>
      </c>
      <c r="R11" s="39">
        <f>if(G11=13,1,0)+VLOOKUP(B11,'070124'!B:T,17,false)</f>
        <v>0</v>
      </c>
      <c r="S11" s="39"/>
      <c r="T11" s="39">
        <f>if(G11=9,1,0)+VLOOKUP(B11,'070124'!B:T,19,false)</f>
        <v>0</v>
      </c>
    </row>
    <row r="12">
      <c r="A12" s="30">
        <f t="shared" si="3"/>
        <v>8</v>
      </c>
      <c r="B12" s="51" t="s">
        <v>94</v>
      </c>
      <c r="C12" s="32">
        <v>0.0</v>
      </c>
      <c r="D12" s="32">
        <v>0.0</v>
      </c>
      <c r="E12" s="37">
        <v>3.0</v>
      </c>
      <c r="F12" s="39">
        <v>0.0</v>
      </c>
      <c r="G12" s="40">
        <v>9.0</v>
      </c>
      <c r="H12" s="39">
        <v>0.0</v>
      </c>
      <c r="I12" s="39">
        <v>0.0</v>
      </c>
      <c r="J12" s="39">
        <v>0.0</v>
      </c>
      <c r="K12" s="42">
        <v>9.0</v>
      </c>
      <c r="L12" s="39">
        <v>0.0</v>
      </c>
      <c r="M12" s="32">
        <f t="shared" ref="M12:N12" si="9">C12+K12</f>
        <v>9</v>
      </c>
      <c r="N12" s="32">
        <f t="shared" si="9"/>
        <v>0</v>
      </c>
      <c r="O12" s="43" t="s">
        <v>53</v>
      </c>
      <c r="P12" s="43" t="s">
        <v>53</v>
      </c>
      <c r="Q12" s="43" t="s">
        <v>53</v>
      </c>
      <c r="R12" s="39">
        <f>if(G12=13,1,0)+VLOOKUP(B12,'070124'!B:T,17,false)</f>
        <v>0</v>
      </c>
      <c r="S12" s="39"/>
      <c r="T12" s="39">
        <f>if(G12=9,1,0)+VLOOKUP(B12,'070124'!B:T,19,false)</f>
        <v>1</v>
      </c>
    </row>
    <row r="13">
      <c r="A13" s="30">
        <f t="shared" si="3"/>
        <v>9</v>
      </c>
      <c r="B13" s="31" t="s">
        <v>72</v>
      </c>
      <c r="C13" s="32">
        <v>0.0</v>
      </c>
      <c r="D13" s="32">
        <v>0.0</v>
      </c>
      <c r="E13" s="37">
        <v>4.0</v>
      </c>
      <c r="F13" s="39">
        <v>0.0</v>
      </c>
      <c r="G13" s="40">
        <v>9.0</v>
      </c>
      <c r="H13" s="39">
        <v>0.0</v>
      </c>
      <c r="I13" s="39">
        <v>0.0</v>
      </c>
      <c r="J13" s="39">
        <v>0.0</v>
      </c>
      <c r="K13" s="42">
        <v>9.0</v>
      </c>
      <c r="L13" s="39">
        <v>0.0</v>
      </c>
      <c r="M13" s="32">
        <f t="shared" ref="M13:N13" si="10">C13+K13</f>
        <v>9</v>
      </c>
      <c r="N13" s="32">
        <f t="shared" si="10"/>
        <v>0</v>
      </c>
      <c r="O13" s="43" t="s">
        <v>53</v>
      </c>
      <c r="P13" s="43" t="s">
        <v>53</v>
      </c>
      <c r="Q13" s="43" t="s">
        <v>53</v>
      </c>
      <c r="R13" s="39">
        <f>if(G13=13,1,0)+VLOOKUP(B13,'070124'!B:T,17,false)</f>
        <v>0</v>
      </c>
      <c r="S13" s="39"/>
      <c r="T13" s="39">
        <f>if(G13=9,1,0)+VLOOKUP(B13,'070124'!B:T,19,false)</f>
        <v>1</v>
      </c>
    </row>
    <row r="14">
      <c r="A14" s="30">
        <f t="shared" si="3"/>
        <v>10</v>
      </c>
      <c r="B14" s="56" t="s">
        <v>122</v>
      </c>
      <c r="C14" s="32">
        <v>0.0</v>
      </c>
      <c r="D14" s="32">
        <v>0.0</v>
      </c>
      <c r="E14" s="37">
        <v>1.0</v>
      </c>
      <c r="F14" s="39"/>
      <c r="G14" s="40">
        <v>0.0</v>
      </c>
      <c r="H14" s="39">
        <v>0.0</v>
      </c>
      <c r="I14" s="39">
        <v>5.0</v>
      </c>
      <c r="J14" s="39">
        <v>6.0</v>
      </c>
      <c r="K14" s="42">
        <v>11.0</v>
      </c>
      <c r="L14" s="39">
        <v>1.0</v>
      </c>
      <c r="M14" s="32">
        <f t="shared" ref="M14:N14" si="11">C14+K14</f>
        <v>11</v>
      </c>
      <c r="N14" s="32">
        <f t="shared" si="11"/>
        <v>1</v>
      </c>
      <c r="O14" s="43" t="s">
        <v>53</v>
      </c>
      <c r="P14" s="43" t="s">
        <v>53</v>
      </c>
      <c r="Q14" s="43" t="s">
        <v>53</v>
      </c>
      <c r="R14" s="39">
        <f>if(G14=13,1,0)+VLOOKUP(B14,'070124'!B:T,17,false)</f>
        <v>0</v>
      </c>
      <c r="S14" s="39"/>
      <c r="T14" s="39">
        <f>if(G14=9,1,0)+VLOOKUP(B14,'070124'!B:T,19,false)</f>
        <v>0</v>
      </c>
    </row>
    <row r="15">
      <c r="A15" s="30">
        <f t="shared" si="3"/>
        <v>11</v>
      </c>
      <c r="B15" s="51" t="s">
        <v>80</v>
      </c>
      <c r="C15" s="32">
        <v>0.0</v>
      </c>
      <c r="D15" s="32">
        <v>0.0</v>
      </c>
      <c r="E15" s="37">
        <v>1.0</v>
      </c>
      <c r="F15" s="39"/>
      <c r="G15" s="40">
        <v>0.0</v>
      </c>
      <c r="H15" s="39">
        <v>0.0</v>
      </c>
      <c r="I15" s="39">
        <v>7.0</v>
      </c>
      <c r="J15" s="39">
        <v>1.0</v>
      </c>
      <c r="K15" s="42">
        <v>8.0</v>
      </c>
      <c r="L15" s="39">
        <v>1.0</v>
      </c>
      <c r="M15" s="32">
        <f t="shared" ref="M15:N15" si="12">C15+K15</f>
        <v>8</v>
      </c>
      <c r="N15" s="32">
        <f t="shared" si="12"/>
        <v>1</v>
      </c>
      <c r="O15" s="43" t="s">
        <v>53</v>
      </c>
      <c r="P15" s="43" t="s">
        <v>53</v>
      </c>
      <c r="Q15" s="43" t="s">
        <v>53</v>
      </c>
      <c r="R15" s="39">
        <f>if(G15=13,1,0)+VLOOKUP(B15,'070124'!B:T,17,false)</f>
        <v>0</v>
      </c>
      <c r="S15" s="39"/>
      <c r="T15" s="39">
        <f>if(G15=9,1,0)+VLOOKUP(B15,'070124'!B:T,19,false)</f>
        <v>0</v>
      </c>
    </row>
    <row r="16">
      <c r="A16" s="30">
        <f t="shared" si="3"/>
        <v>12</v>
      </c>
      <c r="B16" s="31" t="s">
        <v>43</v>
      </c>
      <c r="C16" s="32">
        <v>0.0</v>
      </c>
      <c r="D16" s="32">
        <v>0.0</v>
      </c>
      <c r="E16" s="37">
        <v>2.0</v>
      </c>
      <c r="F16" s="39"/>
      <c r="G16" s="40">
        <v>0.0</v>
      </c>
      <c r="H16" s="39">
        <v>6.0</v>
      </c>
      <c r="I16" s="39">
        <v>7.0</v>
      </c>
      <c r="J16" s="39">
        <v>6.0</v>
      </c>
      <c r="K16" s="42">
        <v>19.0</v>
      </c>
      <c r="L16" s="39">
        <v>3.0</v>
      </c>
      <c r="M16" s="32">
        <f t="shared" ref="M16:N16" si="13">C16+K16</f>
        <v>19</v>
      </c>
      <c r="N16" s="32">
        <f t="shared" si="13"/>
        <v>3</v>
      </c>
      <c r="O16" s="43" t="s">
        <v>53</v>
      </c>
      <c r="P16" s="43" t="s">
        <v>53</v>
      </c>
      <c r="Q16" s="43" t="s">
        <v>53</v>
      </c>
      <c r="R16" s="39">
        <f>if(G16=13,1,0)+VLOOKUP(B16,'070124'!B:T,17,false)</f>
        <v>0</v>
      </c>
      <c r="S16" s="39"/>
      <c r="T16" s="39">
        <f>if(G16=9,1,0)+VLOOKUP(B16,'070124'!B:T,19,false)</f>
        <v>0</v>
      </c>
    </row>
    <row r="17">
      <c r="A17" s="30">
        <f t="shared" si="3"/>
        <v>13</v>
      </c>
      <c r="B17" s="51" t="s">
        <v>114</v>
      </c>
      <c r="C17" s="32">
        <v>0.0</v>
      </c>
      <c r="D17" s="32">
        <v>0.0</v>
      </c>
      <c r="E17" s="37">
        <v>3.0</v>
      </c>
      <c r="F17" s="39">
        <v>0.0</v>
      </c>
      <c r="G17" s="40">
        <v>9.0</v>
      </c>
      <c r="H17" s="39">
        <v>0.0</v>
      </c>
      <c r="I17" s="39">
        <v>0.0</v>
      </c>
      <c r="J17" s="39">
        <v>0.0</v>
      </c>
      <c r="K17" s="42">
        <v>9.0</v>
      </c>
      <c r="L17" s="39">
        <v>0.0</v>
      </c>
      <c r="M17" s="32">
        <f t="shared" ref="M17:N17" si="14">C17+K17</f>
        <v>9</v>
      </c>
      <c r="N17" s="32">
        <f t="shared" si="14"/>
        <v>0</v>
      </c>
      <c r="O17" s="43" t="s">
        <v>53</v>
      </c>
      <c r="P17" s="43" t="s">
        <v>53</v>
      </c>
      <c r="Q17" s="43" t="s">
        <v>53</v>
      </c>
      <c r="R17" s="39">
        <f>if(G17=13,1,0)+VLOOKUP(B17,'070124'!B:T,17,false)</f>
        <v>0</v>
      </c>
      <c r="S17" s="39"/>
      <c r="T17" s="39">
        <f>if(G17=9,1,0)+VLOOKUP(B17,'070124'!B:T,19,false)</f>
        <v>1</v>
      </c>
    </row>
    <row r="18">
      <c r="A18" s="30">
        <f t="shared" si="3"/>
        <v>14</v>
      </c>
      <c r="B18" s="31" t="s">
        <v>105</v>
      </c>
      <c r="C18" s="32">
        <v>0.0</v>
      </c>
      <c r="D18" s="32">
        <v>0.0</v>
      </c>
      <c r="E18" s="37">
        <v>3.0</v>
      </c>
      <c r="F18" s="39">
        <v>0.0</v>
      </c>
      <c r="G18" s="40">
        <v>9.0</v>
      </c>
      <c r="H18" s="39">
        <v>0.0</v>
      </c>
      <c r="I18" s="39">
        <v>0.0</v>
      </c>
      <c r="J18" s="39">
        <v>0.0</v>
      </c>
      <c r="K18" s="42">
        <v>9.0</v>
      </c>
      <c r="L18" s="39">
        <v>0.0</v>
      </c>
      <c r="M18" s="32">
        <f t="shared" ref="M18:N18" si="15">C18+K18</f>
        <v>9</v>
      </c>
      <c r="N18" s="32">
        <f t="shared" si="15"/>
        <v>0</v>
      </c>
      <c r="O18" s="43" t="s">
        <v>53</v>
      </c>
      <c r="P18" s="43" t="s">
        <v>53</v>
      </c>
      <c r="Q18" s="43" t="s">
        <v>53</v>
      </c>
      <c r="R18" s="39">
        <f>if(G18=13,1,0)+VLOOKUP(B18,'070124'!B:T,17,false)</f>
        <v>0</v>
      </c>
      <c r="S18" s="39"/>
      <c r="T18" s="39">
        <f>if(G18=9,1,0)+VLOOKUP(B18,'070124'!B:T,19,false)</f>
        <v>1</v>
      </c>
    </row>
    <row r="19">
      <c r="A19" s="30">
        <f t="shared" si="3"/>
        <v>15</v>
      </c>
      <c r="B19" s="31" t="s">
        <v>126</v>
      </c>
      <c r="C19" s="32">
        <v>0.0</v>
      </c>
      <c r="D19" s="32">
        <v>0.0</v>
      </c>
      <c r="E19" s="37">
        <v>3.0</v>
      </c>
      <c r="F19" s="39">
        <v>0.0</v>
      </c>
      <c r="G19" s="40">
        <v>9.0</v>
      </c>
      <c r="H19" s="39">
        <v>0.0</v>
      </c>
      <c r="I19" s="39">
        <v>0.0</v>
      </c>
      <c r="J19" s="39">
        <v>0.0</v>
      </c>
      <c r="K19" s="42">
        <v>9.0</v>
      </c>
      <c r="L19" s="39">
        <v>0.0</v>
      </c>
      <c r="M19" s="32">
        <f t="shared" ref="M19:N19" si="16">C19+K19</f>
        <v>9</v>
      </c>
      <c r="N19" s="32">
        <f t="shared" si="16"/>
        <v>0</v>
      </c>
      <c r="O19" s="43" t="s">
        <v>53</v>
      </c>
      <c r="P19" s="43" t="s">
        <v>53</v>
      </c>
      <c r="Q19" s="43" t="s">
        <v>53</v>
      </c>
      <c r="R19" s="39">
        <f>if(G19=13,1,0)+VLOOKUP(B19,'070124'!B:T,17,false)</f>
        <v>0</v>
      </c>
      <c r="S19" s="39"/>
      <c r="T19" s="39">
        <f>if(G19=9,1,0)+VLOOKUP(B19,'070124'!B:T,19,false)</f>
        <v>1</v>
      </c>
    </row>
    <row r="20">
      <c r="A20" s="30">
        <f t="shared" si="3"/>
        <v>16</v>
      </c>
      <c r="B20" s="31" t="s">
        <v>73</v>
      </c>
      <c r="C20" s="32">
        <v>0.0</v>
      </c>
      <c r="D20" s="32">
        <v>0.0</v>
      </c>
      <c r="E20" s="37">
        <v>3.0</v>
      </c>
      <c r="F20" s="39">
        <v>0.0</v>
      </c>
      <c r="G20" s="40">
        <v>9.0</v>
      </c>
      <c r="H20" s="39">
        <v>0.0</v>
      </c>
      <c r="I20" s="39">
        <v>0.0</v>
      </c>
      <c r="J20" s="39">
        <v>0.0</v>
      </c>
      <c r="K20" s="42">
        <v>9.0</v>
      </c>
      <c r="L20" s="39">
        <v>0.0</v>
      </c>
      <c r="M20" s="32">
        <f t="shared" ref="M20:N20" si="17">C20+K20</f>
        <v>9</v>
      </c>
      <c r="N20" s="32">
        <f t="shared" si="17"/>
        <v>0</v>
      </c>
      <c r="O20" s="43" t="s">
        <v>53</v>
      </c>
      <c r="P20" s="43" t="s">
        <v>53</v>
      </c>
      <c r="Q20" s="43" t="s">
        <v>53</v>
      </c>
      <c r="R20" s="39">
        <f>if(G20=13,1,0)+VLOOKUP(B20,'070124'!B:T,17,false)</f>
        <v>0</v>
      </c>
      <c r="S20" s="39"/>
      <c r="T20" s="39">
        <f>if(G20=9,1,0)+VLOOKUP(B20,'070124'!B:T,19,false)</f>
        <v>1</v>
      </c>
    </row>
    <row r="21">
      <c r="A21" s="30">
        <f t="shared" si="3"/>
        <v>17</v>
      </c>
      <c r="B21" s="31" t="s">
        <v>86</v>
      </c>
      <c r="C21" s="32">
        <v>0.0</v>
      </c>
      <c r="D21" s="32">
        <v>0.0</v>
      </c>
      <c r="E21" s="37">
        <v>1.0</v>
      </c>
      <c r="F21" s="39"/>
      <c r="G21" s="40">
        <v>0.0</v>
      </c>
      <c r="H21" s="39">
        <v>2.0</v>
      </c>
      <c r="I21" s="39">
        <v>1.0</v>
      </c>
      <c r="J21" s="39">
        <v>6.0</v>
      </c>
      <c r="K21" s="42">
        <v>9.0</v>
      </c>
      <c r="L21" s="39">
        <v>1.0</v>
      </c>
      <c r="M21" s="32">
        <f t="shared" ref="M21:N21" si="18">C21+K21</f>
        <v>9</v>
      </c>
      <c r="N21" s="32">
        <f t="shared" si="18"/>
        <v>1</v>
      </c>
      <c r="O21" s="43" t="s">
        <v>53</v>
      </c>
      <c r="P21" s="43" t="s">
        <v>53</v>
      </c>
      <c r="Q21" s="43" t="s">
        <v>53</v>
      </c>
      <c r="R21" s="39">
        <f>if(G21=13,1,0)+VLOOKUP(B21,'070124'!B:T,17,false)</f>
        <v>0</v>
      </c>
      <c r="S21" s="39"/>
      <c r="T21" s="39">
        <f>if(G21=9,1,0)+VLOOKUP(B21,'070124'!B:T,19,false)</f>
        <v>0</v>
      </c>
    </row>
    <row r="22">
      <c r="A22" s="30">
        <f t="shared" si="3"/>
        <v>18</v>
      </c>
      <c r="B22" s="31" t="s">
        <v>61</v>
      </c>
      <c r="C22" s="32">
        <v>0.0</v>
      </c>
      <c r="D22" s="32">
        <v>0.0</v>
      </c>
      <c r="E22" s="37">
        <v>1.0</v>
      </c>
      <c r="F22" s="39"/>
      <c r="G22" s="40">
        <v>0.0</v>
      </c>
      <c r="H22" s="39">
        <v>6.0</v>
      </c>
      <c r="I22" s="39">
        <v>6.0</v>
      </c>
      <c r="J22" s="39">
        <v>6.0</v>
      </c>
      <c r="K22" s="42">
        <v>18.0</v>
      </c>
      <c r="L22" s="39">
        <v>3.0</v>
      </c>
      <c r="M22" s="32">
        <f t="shared" ref="M22:N22" si="19">C22+K22</f>
        <v>18</v>
      </c>
      <c r="N22" s="32">
        <f t="shared" si="19"/>
        <v>3</v>
      </c>
      <c r="O22" s="43" t="s">
        <v>53</v>
      </c>
      <c r="P22" s="43" t="s">
        <v>53</v>
      </c>
      <c r="Q22" s="43" t="s">
        <v>53</v>
      </c>
      <c r="R22" s="39">
        <f>if(G22=13,1,0)+VLOOKUP(B22,'070124'!B:T,17,false)</f>
        <v>0</v>
      </c>
      <c r="S22" s="39"/>
      <c r="T22" s="39">
        <f>if(G22=9,1,0)+VLOOKUP(B22,'070124'!B:T,19,false)</f>
        <v>0</v>
      </c>
    </row>
    <row r="23">
      <c r="A23" s="30">
        <f t="shared" si="3"/>
        <v>19</v>
      </c>
      <c r="B23" s="31" t="s">
        <v>68</v>
      </c>
      <c r="C23" s="32">
        <v>0.0</v>
      </c>
      <c r="D23" s="32">
        <v>0.0</v>
      </c>
      <c r="E23" s="37">
        <v>3.0</v>
      </c>
      <c r="F23" s="39">
        <v>0.0</v>
      </c>
      <c r="G23" s="40">
        <v>9.0</v>
      </c>
      <c r="H23" s="39">
        <v>0.0</v>
      </c>
      <c r="I23" s="39">
        <v>0.0</v>
      </c>
      <c r="J23" s="39">
        <v>0.0</v>
      </c>
      <c r="K23" s="42">
        <v>9.0</v>
      </c>
      <c r="L23" s="39">
        <v>0.0</v>
      </c>
      <c r="M23" s="32">
        <f t="shared" ref="M23:N23" si="20">C23+K23</f>
        <v>9</v>
      </c>
      <c r="N23" s="32">
        <f t="shared" si="20"/>
        <v>0</v>
      </c>
      <c r="O23" s="43" t="s">
        <v>53</v>
      </c>
      <c r="P23" s="43" t="s">
        <v>53</v>
      </c>
      <c r="Q23" s="43" t="s">
        <v>53</v>
      </c>
      <c r="R23" s="39">
        <f>if(G23=13,1,0)+VLOOKUP(B23,'070124'!B:T,17,false)</f>
        <v>0</v>
      </c>
      <c r="S23" s="39"/>
      <c r="T23" s="39">
        <f>if(G23=9,1,0)+VLOOKUP(B23,'070124'!B:T,19,false)</f>
        <v>1</v>
      </c>
    </row>
    <row r="24">
      <c r="A24" s="30">
        <f t="shared" si="3"/>
        <v>20</v>
      </c>
      <c r="B24" s="56" t="s">
        <v>107</v>
      </c>
      <c r="C24" s="32">
        <v>0.0</v>
      </c>
      <c r="D24" s="32">
        <v>0.0</v>
      </c>
      <c r="E24" s="37">
        <v>1.0</v>
      </c>
      <c r="F24" s="39"/>
      <c r="G24" s="40">
        <v>0.0</v>
      </c>
      <c r="H24" s="39">
        <v>2.0</v>
      </c>
      <c r="I24" s="39">
        <v>6.0</v>
      </c>
      <c r="J24" s="39">
        <v>2.0</v>
      </c>
      <c r="K24" s="42">
        <v>10.0</v>
      </c>
      <c r="L24" s="39">
        <v>1.0</v>
      </c>
      <c r="M24" s="32">
        <f t="shared" ref="M24:N24" si="21">C24+K24</f>
        <v>10</v>
      </c>
      <c r="N24" s="32">
        <f t="shared" si="21"/>
        <v>1</v>
      </c>
      <c r="O24" s="43" t="s">
        <v>53</v>
      </c>
      <c r="P24" s="43" t="s">
        <v>53</v>
      </c>
      <c r="Q24" s="43" t="s">
        <v>53</v>
      </c>
      <c r="R24" s="39">
        <f>if(G24=13,1,0)+VLOOKUP(B24,'070124'!B:T,17,false)</f>
        <v>0</v>
      </c>
      <c r="S24" s="39"/>
      <c r="T24" s="39">
        <f>if(G24=9,1,0)+VLOOKUP(B24,'070124'!B:T,19,false)</f>
        <v>0</v>
      </c>
    </row>
    <row r="25">
      <c r="A25" s="30">
        <f t="shared" si="3"/>
        <v>21</v>
      </c>
      <c r="B25" s="31" t="s">
        <v>46</v>
      </c>
      <c r="C25" s="32">
        <v>0.0</v>
      </c>
      <c r="D25" s="32">
        <v>0.0</v>
      </c>
      <c r="E25" s="37">
        <v>4.0</v>
      </c>
      <c r="F25" s="39">
        <v>0.0</v>
      </c>
      <c r="G25" s="40">
        <v>9.0</v>
      </c>
      <c r="H25" s="39">
        <v>0.0</v>
      </c>
      <c r="I25" s="39">
        <v>0.0</v>
      </c>
      <c r="J25" s="39">
        <v>0.0</v>
      </c>
      <c r="K25" s="42">
        <v>9.0</v>
      </c>
      <c r="L25" s="39">
        <v>0.0</v>
      </c>
      <c r="M25" s="32">
        <f t="shared" ref="M25:N25" si="22">C25+K25</f>
        <v>9</v>
      </c>
      <c r="N25" s="32">
        <f t="shared" si="22"/>
        <v>0</v>
      </c>
      <c r="O25" s="43" t="s">
        <v>53</v>
      </c>
      <c r="P25" s="43" t="s">
        <v>53</v>
      </c>
      <c r="Q25" s="43" t="s">
        <v>53</v>
      </c>
      <c r="R25" s="39">
        <f>if(G25=13,1,0)+VLOOKUP(B25,'070124'!B:T,17,false)</f>
        <v>0</v>
      </c>
      <c r="S25" s="39"/>
      <c r="T25" s="39">
        <f>if(G25=9,1,0)+VLOOKUP(B25,'070124'!B:T,19,false)</f>
        <v>1</v>
      </c>
    </row>
    <row r="26">
      <c r="A26" s="30">
        <f t="shared" si="3"/>
        <v>22</v>
      </c>
      <c r="B26" s="51" t="s">
        <v>75</v>
      </c>
      <c r="C26" s="32">
        <v>0.0</v>
      </c>
      <c r="D26" s="32">
        <v>0.0</v>
      </c>
      <c r="E26" s="37">
        <v>3.0</v>
      </c>
      <c r="F26" s="39">
        <v>0.0</v>
      </c>
      <c r="G26" s="40">
        <v>9.0</v>
      </c>
      <c r="H26" s="39">
        <v>0.0</v>
      </c>
      <c r="I26" s="39">
        <v>0.0</v>
      </c>
      <c r="J26" s="39">
        <v>0.0</v>
      </c>
      <c r="K26" s="42">
        <v>9.0</v>
      </c>
      <c r="L26" s="39">
        <v>0.0</v>
      </c>
      <c r="M26" s="32">
        <f t="shared" ref="M26:N26" si="23">C26+K26</f>
        <v>9</v>
      </c>
      <c r="N26" s="32">
        <f t="shared" si="23"/>
        <v>0</v>
      </c>
      <c r="O26" s="43" t="s">
        <v>53</v>
      </c>
      <c r="P26" s="43" t="s">
        <v>53</v>
      </c>
      <c r="Q26" s="43" t="s">
        <v>53</v>
      </c>
      <c r="R26" s="39">
        <f>if(G26=13,1,0)+VLOOKUP(B26,'070124'!B:T,17,false)</f>
        <v>0</v>
      </c>
      <c r="S26" s="39"/>
      <c r="T26" s="39">
        <f>if(G26=9,1,0)+VLOOKUP(B26,'070124'!B:T,19,false)</f>
        <v>1</v>
      </c>
    </row>
    <row r="27">
      <c r="A27" s="30">
        <f t="shared" si="3"/>
        <v>23</v>
      </c>
      <c r="B27" s="31" t="s">
        <v>117</v>
      </c>
      <c r="C27" s="32">
        <v>0.0</v>
      </c>
      <c r="D27" s="32">
        <v>0.0</v>
      </c>
      <c r="E27" s="37">
        <v>3.0</v>
      </c>
      <c r="F27" s="39">
        <v>0.0</v>
      </c>
      <c r="G27" s="40">
        <v>9.0</v>
      </c>
      <c r="H27" s="39">
        <v>0.0</v>
      </c>
      <c r="I27" s="39">
        <v>0.0</v>
      </c>
      <c r="J27" s="39">
        <v>0.0</v>
      </c>
      <c r="K27" s="42">
        <v>9.0</v>
      </c>
      <c r="L27" s="39">
        <v>0.0</v>
      </c>
      <c r="M27" s="32">
        <f t="shared" ref="M27:N27" si="24">C27+K27</f>
        <v>9</v>
      </c>
      <c r="N27" s="32">
        <f t="shared" si="24"/>
        <v>0</v>
      </c>
      <c r="O27" s="43" t="s">
        <v>53</v>
      </c>
      <c r="P27" s="43" t="s">
        <v>53</v>
      </c>
      <c r="Q27" s="43" t="s">
        <v>53</v>
      </c>
      <c r="R27" s="39">
        <f>if(G27=13,1,0)+VLOOKUP(B27,'070124'!B:T,17,false)</f>
        <v>0</v>
      </c>
      <c r="S27" s="39"/>
      <c r="T27" s="39">
        <f>if(G27=9,1,0)+VLOOKUP(B27,'070124'!B:T,19,false)</f>
        <v>1</v>
      </c>
    </row>
    <row r="28">
      <c r="A28" s="30">
        <f t="shared" si="3"/>
        <v>24</v>
      </c>
      <c r="B28" s="31" t="s">
        <v>81</v>
      </c>
      <c r="C28" s="32">
        <v>0.0</v>
      </c>
      <c r="D28" s="32">
        <v>0.0</v>
      </c>
      <c r="E28" s="37">
        <v>1.0</v>
      </c>
      <c r="F28" s="39"/>
      <c r="G28" s="40">
        <v>0.0</v>
      </c>
      <c r="H28" s="39">
        <v>6.0</v>
      </c>
      <c r="I28" s="39">
        <v>1.0</v>
      </c>
      <c r="J28" s="39">
        <v>2.0</v>
      </c>
      <c r="K28" s="42">
        <v>9.0</v>
      </c>
      <c r="L28" s="39">
        <v>1.0</v>
      </c>
      <c r="M28" s="32">
        <f t="shared" ref="M28:N28" si="25">C28+K28</f>
        <v>9</v>
      </c>
      <c r="N28" s="32">
        <f t="shared" si="25"/>
        <v>1</v>
      </c>
      <c r="O28" s="43" t="s">
        <v>53</v>
      </c>
      <c r="P28" s="43" t="s">
        <v>53</v>
      </c>
      <c r="Q28" s="43" t="s">
        <v>53</v>
      </c>
      <c r="R28" s="39">
        <f>if(G28=13,1,0)+VLOOKUP(B28,'070124'!B:T,17,false)</f>
        <v>0</v>
      </c>
      <c r="S28" s="39"/>
      <c r="T28" s="39">
        <f>if(G28=9,1,0)+VLOOKUP(B28,'070124'!B:T,19,false)</f>
        <v>0</v>
      </c>
    </row>
    <row r="29">
      <c r="A29" s="30">
        <f t="shared" si="3"/>
        <v>25</v>
      </c>
      <c r="B29" s="31" t="s">
        <v>82</v>
      </c>
      <c r="C29" s="32">
        <v>0.0</v>
      </c>
      <c r="D29" s="32">
        <v>0.0</v>
      </c>
      <c r="E29" s="37">
        <v>2.0</v>
      </c>
      <c r="F29" s="39"/>
      <c r="G29" s="40">
        <v>0.0</v>
      </c>
      <c r="H29" s="39">
        <v>6.0</v>
      </c>
      <c r="I29" s="39">
        <v>6.0</v>
      </c>
      <c r="J29" s="39">
        <v>6.0</v>
      </c>
      <c r="K29" s="42">
        <v>18.0</v>
      </c>
      <c r="L29" s="39">
        <v>3.0</v>
      </c>
      <c r="M29" s="32">
        <f t="shared" ref="M29:N29" si="26">C29+K29</f>
        <v>18</v>
      </c>
      <c r="N29" s="32">
        <f t="shared" si="26"/>
        <v>3</v>
      </c>
      <c r="O29" s="43" t="s">
        <v>53</v>
      </c>
      <c r="P29" s="43" t="s">
        <v>53</v>
      </c>
      <c r="Q29" s="43" t="s">
        <v>53</v>
      </c>
      <c r="R29" s="39">
        <f>if(G29=13,1,0)+VLOOKUP(B29,'070124'!B:T,17,false)</f>
        <v>0</v>
      </c>
      <c r="S29" s="39"/>
      <c r="T29" s="39">
        <f>if(G29=9,1,0)+VLOOKUP(B29,'070124'!B:T,19,false)</f>
        <v>0</v>
      </c>
    </row>
    <row r="30">
      <c r="A30" s="30">
        <f t="shared" si="3"/>
        <v>26</v>
      </c>
      <c r="B30" s="31" t="s">
        <v>57</v>
      </c>
      <c r="C30" s="32">
        <v>0.0</v>
      </c>
      <c r="D30" s="32">
        <v>0.0</v>
      </c>
      <c r="E30" s="37">
        <v>3.0</v>
      </c>
      <c r="F30" s="39">
        <v>0.0</v>
      </c>
      <c r="G30" s="40">
        <v>9.0</v>
      </c>
      <c r="H30" s="39">
        <v>0.0</v>
      </c>
      <c r="I30" s="39">
        <v>0.0</v>
      </c>
      <c r="J30" s="39">
        <v>0.0</v>
      </c>
      <c r="K30" s="42">
        <v>9.0</v>
      </c>
      <c r="L30" s="39">
        <v>0.0</v>
      </c>
      <c r="M30" s="32">
        <f t="shared" ref="M30:N30" si="27">C30+K30</f>
        <v>9</v>
      </c>
      <c r="N30" s="32">
        <f t="shared" si="27"/>
        <v>0</v>
      </c>
      <c r="O30" s="43" t="s">
        <v>53</v>
      </c>
      <c r="P30" s="43" t="s">
        <v>53</v>
      </c>
      <c r="Q30" s="43" t="s">
        <v>53</v>
      </c>
      <c r="R30" s="39">
        <f>if(G30=13,1,0)+VLOOKUP(B30,'070124'!B:T,17,false)</f>
        <v>0</v>
      </c>
      <c r="S30" s="39"/>
      <c r="T30" s="39">
        <f>if(G30=9,1,0)+VLOOKUP(B30,'070124'!B:T,19,false)</f>
        <v>1</v>
      </c>
    </row>
    <row r="31">
      <c r="A31" s="30">
        <f t="shared" si="3"/>
        <v>27</v>
      </c>
      <c r="B31" s="31" t="s">
        <v>109</v>
      </c>
      <c r="C31" s="32">
        <v>0.0</v>
      </c>
      <c r="D31" s="32">
        <v>0.0</v>
      </c>
      <c r="E31" s="37">
        <v>3.0</v>
      </c>
      <c r="F31" s="39">
        <v>0.0</v>
      </c>
      <c r="G31" s="40">
        <v>9.0</v>
      </c>
      <c r="H31" s="39">
        <v>0.0</v>
      </c>
      <c r="I31" s="39">
        <v>0.0</v>
      </c>
      <c r="J31" s="39">
        <v>0.0</v>
      </c>
      <c r="K31" s="42">
        <v>9.0</v>
      </c>
      <c r="L31" s="39">
        <v>0.0</v>
      </c>
      <c r="M31" s="32">
        <f t="shared" ref="M31:N31" si="28">C31+K31</f>
        <v>9</v>
      </c>
      <c r="N31" s="32">
        <f t="shared" si="28"/>
        <v>0</v>
      </c>
      <c r="O31" s="43" t="s">
        <v>53</v>
      </c>
      <c r="P31" s="43" t="s">
        <v>53</v>
      </c>
      <c r="Q31" s="43" t="s">
        <v>53</v>
      </c>
      <c r="R31" s="39">
        <f>if(G31=13,1,0)+VLOOKUP(B31,'070124'!B:T,17,false)</f>
        <v>0</v>
      </c>
      <c r="S31" s="39"/>
      <c r="T31" s="39">
        <f>if(G31=9,1,0)+VLOOKUP(B31,'070124'!B:T,19,false)</f>
        <v>1</v>
      </c>
    </row>
    <row r="32">
      <c r="A32" s="30">
        <f t="shared" si="3"/>
        <v>28</v>
      </c>
      <c r="B32" s="31" t="s">
        <v>106</v>
      </c>
      <c r="C32" s="32">
        <v>0.0</v>
      </c>
      <c r="D32" s="32">
        <v>0.0</v>
      </c>
      <c r="E32" s="37">
        <v>3.0</v>
      </c>
      <c r="F32" s="39">
        <v>0.0</v>
      </c>
      <c r="G32" s="40">
        <v>9.0</v>
      </c>
      <c r="H32" s="39">
        <v>0.0</v>
      </c>
      <c r="I32" s="39">
        <v>0.0</v>
      </c>
      <c r="J32" s="39">
        <v>0.0</v>
      </c>
      <c r="K32" s="42">
        <v>9.0</v>
      </c>
      <c r="L32" s="39">
        <v>0.0</v>
      </c>
      <c r="M32" s="32">
        <f t="shared" ref="M32:N32" si="29">C32+K32</f>
        <v>9</v>
      </c>
      <c r="N32" s="32">
        <f t="shared" si="29"/>
        <v>0</v>
      </c>
      <c r="O32" s="43" t="s">
        <v>53</v>
      </c>
      <c r="P32" s="43" t="s">
        <v>53</v>
      </c>
      <c r="Q32" s="43" t="s">
        <v>53</v>
      </c>
      <c r="R32" s="39">
        <f>if(G32=13,1,0)+VLOOKUP(B32,'070124'!B:T,17,false)</f>
        <v>0</v>
      </c>
      <c r="S32" s="39"/>
      <c r="T32" s="39">
        <f>if(G32=9,1,0)+VLOOKUP(B32,'070124'!B:T,19,false)</f>
        <v>1</v>
      </c>
    </row>
    <row r="33">
      <c r="A33" s="30">
        <f t="shared" si="3"/>
        <v>29</v>
      </c>
      <c r="B33" s="31" t="s">
        <v>66</v>
      </c>
      <c r="C33" s="32">
        <v>0.0</v>
      </c>
      <c r="D33" s="32">
        <v>0.0</v>
      </c>
      <c r="E33" s="37">
        <v>3.0</v>
      </c>
      <c r="F33" s="39">
        <v>0.0</v>
      </c>
      <c r="G33" s="40">
        <v>9.0</v>
      </c>
      <c r="H33" s="39">
        <v>0.0</v>
      </c>
      <c r="I33" s="39">
        <v>0.0</v>
      </c>
      <c r="J33" s="39">
        <v>0.0</v>
      </c>
      <c r="K33" s="42">
        <v>9.0</v>
      </c>
      <c r="L33" s="39">
        <v>0.0</v>
      </c>
      <c r="M33" s="32">
        <f t="shared" ref="M33:N33" si="30">C33+K33</f>
        <v>9</v>
      </c>
      <c r="N33" s="32">
        <f t="shared" si="30"/>
        <v>0</v>
      </c>
      <c r="O33" s="43" t="s">
        <v>53</v>
      </c>
      <c r="P33" s="43" t="s">
        <v>53</v>
      </c>
      <c r="Q33" s="43" t="s">
        <v>53</v>
      </c>
      <c r="R33" s="39">
        <f>if(G33=13,1,0)+VLOOKUP(B33,'070124'!B:T,17,false)</f>
        <v>0</v>
      </c>
      <c r="S33" s="39"/>
      <c r="T33" s="39">
        <f>if(G33=9,1,0)+VLOOKUP(B33,'070124'!B:T,19,false)</f>
        <v>1</v>
      </c>
    </row>
    <row r="34">
      <c r="A34" s="30">
        <f t="shared" si="3"/>
        <v>30</v>
      </c>
      <c r="B34" s="31" t="s">
        <v>123</v>
      </c>
      <c r="C34" s="32">
        <v>0.0</v>
      </c>
      <c r="D34" s="32">
        <v>0.0</v>
      </c>
      <c r="E34" s="37">
        <v>3.0</v>
      </c>
      <c r="F34" s="39">
        <v>0.0</v>
      </c>
      <c r="G34" s="40">
        <v>9.0</v>
      </c>
      <c r="H34" s="39">
        <v>0.0</v>
      </c>
      <c r="I34" s="39">
        <v>0.0</v>
      </c>
      <c r="J34" s="39">
        <v>0.0</v>
      </c>
      <c r="K34" s="42">
        <v>9.0</v>
      </c>
      <c r="L34" s="39">
        <v>0.0</v>
      </c>
      <c r="M34" s="32">
        <f t="shared" ref="M34:N34" si="31">C34+K34</f>
        <v>9</v>
      </c>
      <c r="N34" s="32">
        <f t="shared" si="31"/>
        <v>0</v>
      </c>
      <c r="O34" s="43" t="s">
        <v>53</v>
      </c>
      <c r="P34" s="43" t="s">
        <v>53</v>
      </c>
      <c r="Q34" s="43" t="s">
        <v>53</v>
      </c>
      <c r="R34" s="39">
        <f>if(G34=13,1,0)+VLOOKUP(B34,'070124'!B:T,17,false)</f>
        <v>0</v>
      </c>
      <c r="S34" s="39"/>
      <c r="T34" s="39">
        <f>if(G34=9,1,0)+VLOOKUP(B34,'070124'!B:T,19,false)</f>
        <v>1</v>
      </c>
    </row>
    <row r="35">
      <c r="A35" s="30">
        <f t="shared" si="3"/>
        <v>31</v>
      </c>
      <c r="B35" s="51" t="s">
        <v>113</v>
      </c>
      <c r="C35" s="32">
        <v>0.0</v>
      </c>
      <c r="D35" s="32">
        <v>0.0</v>
      </c>
      <c r="E35" s="37">
        <v>1.0</v>
      </c>
      <c r="F35" s="39"/>
      <c r="G35" s="40">
        <v>0.0</v>
      </c>
      <c r="H35" s="39">
        <v>2.0</v>
      </c>
      <c r="I35" s="39">
        <v>4.0</v>
      </c>
      <c r="J35" s="39">
        <v>6.0</v>
      </c>
      <c r="K35" s="42">
        <v>12.0</v>
      </c>
      <c r="L35" s="39">
        <v>1.0</v>
      </c>
      <c r="M35" s="32">
        <f t="shared" ref="M35:N35" si="32">C35+K35</f>
        <v>12</v>
      </c>
      <c r="N35" s="32">
        <f t="shared" si="32"/>
        <v>1</v>
      </c>
      <c r="O35" s="43" t="s">
        <v>53</v>
      </c>
      <c r="P35" s="43" t="s">
        <v>53</v>
      </c>
      <c r="Q35" s="43" t="s">
        <v>53</v>
      </c>
      <c r="R35" s="39">
        <f>if(G35=13,1,0)+VLOOKUP(B35,'070124'!B:T,17,false)</f>
        <v>0</v>
      </c>
      <c r="S35" s="39"/>
      <c r="T35" s="39">
        <f>if(G35=9,1,0)+VLOOKUP(B35,'070124'!B:T,19,false)</f>
        <v>0</v>
      </c>
    </row>
    <row r="36">
      <c r="A36" s="30">
        <f t="shared" si="3"/>
        <v>32</v>
      </c>
      <c r="B36" s="51" t="s">
        <v>85</v>
      </c>
      <c r="C36" s="32">
        <v>0.0</v>
      </c>
      <c r="D36" s="32">
        <v>0.0</v>
      </c>
      <c r="E36" s="37">
        <v>3.0</v>
      </c>
      <c r="F36" s="39">
        <v>0.0</v>
      </c>
      <c r="G36" s="40">
        <v>9.0</v>
      </c>
      <c r="H36" s="39">
        <v>0.0</v>
      </c>
      <c r="I36" s="39">
        <v>0.0</v>
      </c>
      <c r="J36" s="39">
        <v>0.0</v>
      </c>
      <c r="K36" s="42">
        <v>9.0</v>
      </c>
      <c r="L36" s="39">
        <v>0.0</v>
      </c>
      <c r="M36" s="32">
        <f t="shared" ref="M36:N36" si="33">C36+K36</f>
        <v>9</v>
      </c>
      <c r="N36" s="32">
        <f t="shared" si="33"/>
        <v>0</v>
      </c>
      <c r="O36" s="43" t="s">
        <v>53</v>
      </c>
      <c r="P36" s="43" t="s">
        <v>53</v>
      </c>
      <c r="Q36" s="43" t="s">
        <v>53</v>
      </c>
      <c r="R36" s="39">
        <f>if(G36=13,1,0)+VLOOKUP(B36,'070124'!B:T,17,false)</f>
        <v>0</v>
      </c>
      <c r="S36" s="39"/>
      <c r="T36" s="39">
        <f>if(G36=9,1,0)+VLOOKUP(B36,'070124'!B:T,19,false)</f>
        <v>1</v>
      </c>
    </row>
    <row r="37">
      <c r="A37" s="30">
        <f t="shared" si="3"/>
        <v>33</v>
      </c>
      <c r="B37" s="51" t="s">
        <v>102</v>
      </c>
      <c r="C37" s="32">
        <v>0.0</v>
      </c>
      <c r="D37" s="32">
        <v>0.0</v>
      </c>
      <c r="E37" s="37">
        <v>1.0</v>
      </c>
      <c r="F37" s="39"/>
      <c r="G37" s="40">
        <v>0.0</v>
      </c>
      <c r="H37" s="39">
        <v>2.0</v>
      </c>
      <c r="I37" s="39">
        <v>6.0</v>
      </c>
      <c r="J37" s="39">
        <v>4.0</v>
      </c>
      <c r="K37" s="42">
        <v>12.0</v>
      </c>
      <c r="L37" s="39">
        <v>1.0</v>
      </c>
      <c r="M37" s="32">
        <f t="shared" ref="M37:N37" si="34">C37+K37</f>
        <v>12</v>
      </c>
      <c r="N37" s="32">
        <f t="shared" si="34"/>
        <v>1</v>
      </c>
      <c r="O37" s="43" t="s">
        <v>53</v>
      </c>
      <c r="P37" s="43" t="s">
        <v>53</v>
      </c>
      <c r="Q37" s="43" t="s">
        <v>53</v>
      </c>
      <c r="R37" s="39">
        <f>if(G37=13,1,0)+VLOOKUP(B37,'070124'!B:T,17,false)</f>
        <v>0</v>
      </c>
      <c r="S37" s="39"/>
      <c r="T37" s="39">
        <f>if(G37=9,1,0)+VLOOKUP(B37,'070124'!B:T,19,false)</f>
        <v>0</v>
      </c>
    </row>
    <row r="38">
      <c r="A38" s="30">
        <f t="shared" si="3"/>
        <v>34</v>
      </c>
      <c r="B38" s="51" t="s">
        <v>108</v>
      </c>
      <c r="C38" s="32">
        <v>0.0</v>
      </c>
      <c r="D38" s="32">
        <v>0.0</v>
      </c>
      <c r="E38" s="37">
        <v>3.0</v>
      </c>
      <c r="F38" s="39">
        <v>0.0</v>
      </c>
      <c r="G38" s="40">
        <v>9.0</v>
      </c>
      <c r="H38" s="39">
        <v>0.0</v>
      </c>
      <c r="I38" s="39">
        <v>0.0</v>
      </c>
      <c r="J38" s="39">
        <v>0.0</v>
      </c>
      <c r="K38" s="42">
        <v>9.0</v>
      </c>
      <c r="L38" s="39">
        <v>0.0</v>
      </c>
      <c r="M38" s="32">
        <f t="shared" ref="M38:N38" si="35">C38+K38</f>
        <v>9</v>
      </c>
      <c r="N38" s="32">
        <f t="shared" si="35"/>
        <v>0</v>
      </c>
      <c r="O38" s="43" t="s">
        <v>53</v>
      </c>
      <c r="P38" s="43" t="s">
        <v>53</v>
      </c>
      <c r="Q38" s="43" t="s">
        <v>53</v>
      </c>
      <c r="R38" s="39">
        <f>if(G38=13,1,0)+VLOOKUP(B38,'070124'!B:T,17,false)</f>
        <v>0</v>
      </c>
      <c r="S38" s="39"/>
      <c r="T38" s="39">
        <f>if(G38=9,1,0)+VLOOKUP(B38,'070124'!B:T,19,false)</f>
        <v>1</v>
      </c>
    </row>
    <row r="39">
      <c r="A39" s="30">
        <f t="shared" si="3"/>
        <v>35</v>
      </c>
      <c r="B39" s="51" t="s">
        <v>93</v>
      </c>
      <c r="C39" s="32">
        <v>0.0</v>
      </c>
      <c r="D39" s="32">
        <v>0.0</v>
      </c>
      <c r="E39" s="37">
        <v>1.0</v>
      </c>
      <c r="F39" s="39"/>
      <c r="G39" s="40">
        <v>0.0</v>
      </c>
      <c r="H39" s="39">
        <v>6.0</v>
      </c>
      <c r="I39" s="39">
        <v>4.0</v>
      </c>
      <c r="J39" s="39">
        <v>4.0</v>
      </c>
      <c r="K39" s="42">
        <v>14.0</v>
      </c>
      <c r="L39" s="39">
        <v>1.0</v>
      </c>
      <c r="M39" s="32">
        <f t="shared" ref="M39:N39" si="36">C39+K39</f>
        <v>14</v>
      </c>
      <c r="N39" s="32">
        <f t="shared" si="36"/>
        <v>1</v>
      </c>
      <c r="O39" s="43" t="s">
        <v>53</v>
      </c>
      <c r="P39" s="43" t="s">
        <v>53</v>
      </c>
      <c r="Q39" s="43" t="s">
        <v>53</v>
      </c>
      <c r="R39" s="39">
        <f>if(G39=13,1,0)+VLOOKUP(B39,'070124'!B:T,17,false)</f>
        <v>0</v>
      </c>
      <c r="S39" s="39"/>
      <c r="T39" s="39">
        <f>if(G39=9,1,0)+VLOOKUP(B39,'070124'!B:T,19,false)</f>
        <v>0</v>
      </c>
    </row>
    <row r="40">
      <c r="A40" s="30">
        <f t="shared" si="3"/>
        <v>36</v>
      </c>
      <c r="B40" s="51" t="s">
        <v>87</v>
      </c>
      <c r="C40" s="32">
        <v>0.0</v>
      </c>
      <c r="D40" s="32">
        <v>0.0</v>
      </c>
      <c r="E40" s="37">
        <v>2.0</v>
      </c>
      <c r="F40" s="39"/>
      <c r="G40" s="40">
        <v>0.0</v>
      </c>
      <c r="H40" s="39">
        <v>1.0</v>
      </c>
      <c r="I40" s="39">
        <v>3.0</v>
      </c>
      <c r="J40" s="39">
        <v>6.0</v>
      </c>
      <c r="K40" s="42">
        <v>10.0</v>
      </c>
      <c r="L40" s="39">
        <v>1.0</v>
      </c>
      <c r="M40" s="32">
        <f t="shared" ref="M40:N40" si="37">C40+K40</f>
        <v>10</v>
      </c>
      <c r="N40" s="32">
        <f t="shared" si="37"/>
        <v>1</v>
      </c>
      <c r="O40" s="43" t="s">
        <v>53</v>
      </c>
      <c r="P40" s="43" t="s">
        <v>53</v>
      </c>
      <c r="Q40" s="43" t="s">
        <v>53</v>
      </c>
      <c r="R40" s="39">
        <f>if(G40=13,1,0)+VLOOKUP(B40,'070124'!B:T,17,false)</f>
        <v>0</v>
      </c>
      <c r="S40" s="39"/>
      <c r="T40" s="39">
        <f>if(G40=9,1,0)+VLOOKUP(B40,'070124'!B:T,19,false)</f>
        <v>0</v>
      </c>
    </row>
    <row r="41">
      <c r="A41" s="30">
        <f t="shared" si="3"/>
        <v>37</v>
      </c>
      <c r="B41" s="51" t="s">
        <v>74</v>
      </c>
      <c r="C41" s="32">
        <v>0.0</v>
      </c>
      <c r="D41" s="32">
        <v>0.0</v>
      </c>
      <c r="E41" s="37">
        <v>3.0</v>
      </c>
      <c r="F41" s="39">
        <v>0.0</v>
      </c>
      <c r="G41" s="40">
        <v>9.0</v>
      </c>
      <c r="H41" s="39">
        <v>0.0</v>
      </c>
      <c r="I41" s="39">
        <v>0.0</v>
      </c>
      <c r="J41" s="39">
        <v>0.0</v>
      </c>
      <c r="K41" s="42">
        <v>9.0</v>
      </c>
      <c r="L41" s="39">
        <v>0.0</v>
      </c>
      <c r="M41" s="32">
        <f t="shared" ref="M41:N41" si="38">C41+K41</f>
        <v>9</v>
      </c>
      <c r="N41" s="32">
        <f t="shared" si="38"/>
        <v>0</v>
      </c>
      <c r="O41" s="43" t="s">
        <v>53</v>
      </c>
      <c r="P41" s="43" t="s">
        <v>53</v>
      </c>
      <c r="Q41" s="43" t="s">
        <v>53</v>
      </c>
      <c r="R41" s="39">
        <f>if(G41=13,1,0)+VLOOKUP(B41,'070124'!B:T,17,false)</f>
        <v>0</v>
      </c>
      <c r="S41" s="39"/>
      <c r="T41" s="39">
        <f>if(G41=9,1,0)+VLOOKUP(B41,'070124'!B:T,19,false)</f>
        <v>1</v>
      </c>
    </row>
    <row r="42">
      <c r="A42" s="30">
        <f t="shared" si="3"/>
        <v>38</v>
      </c>
      <c r="B42" s="31" t="s">
        <v>79</v>
      </c>
      <c r="C42" s="32">
        <v>0.0</v>
      </c>
      <c r="D42" s="32">
        <v>0.0</v>
      </c>
      <c r="E42" s="37">
        <v>3.0</v>
      </c>
      <c r="F42" s="39">
        <v>0.0</v>
      </c>
      <c r="G42" s="40">
        <v>9.0</v>
      </c>
      <c r="H42" s="39">
        <v>0.0</v>
      </c>
      <c r="I42" s="39">
        <v>0.0</v>
      </c>
      <c r="J42" s="39">
        <v>0.0</v>
      </c>
      <c r="K42" s="42">
        <v>9.0</v>
      </c>
      <c r="L42" s="39">
        <v>0.0</v>
      </c>
      <c r="M42" s="32">
        <f t="shared" ref="M42:N42" si="39">C42+K42</f>
        <v>9</v>
      </c>
      <c r="N42" s="32">
        <f t="shared" si="39"/>
        <v>0</v>
      </c>
      <c r="O42" s="43" t="s">
        <v>53</v>
      </c>
      <c r="P42" s="43" t="s">
        <v>53</v>
      </c>
      <c r="Q42" s="43" t="s">
        <v>53</v>
      </c>
      <c r="R42" s="39">
        <f>if(G42=13,1,0)+VLOOKUP(B42,'070124'!B:T,17,false)</f>
        <v>0</v>
      </c>
      <c r="S42" s="39"/>
      <c r="T42" s="39">
        <f>if(G42=9,1,0)+VLOOKUP(B42,'070124'!B:T,19,false)</f>
        <v>1</v>
      </c>
    </row>
    <row r="43">
      <c r="A43" s="30">
        <f t="shared" si="3"/>
        <v>39</v>
      </c>
      <c r="B43" s="31" t="s">
        <v>63</v>
      </c>
      <c r="C43" s="32">
        <v>0.0</v>
      </c>
      <c r="D43" s="32">
        <v>0.0</v>
      </c>
      <c r="E43" s="37">
        <v>3.0</v>
      </c>
      <c r="F43" s="39">
        <v>0.0</v>
      </c>
      <c r="G43" s="40">
        <v>9.0</v>
      </c>
      <c r="H43" s="39">
        <v>0.0</v>
      </c>
      <c r="I43" s="39">
        <v>0.0</v>
      </c>
      <c r="J43" s="39">
        <v>0.0</v>
      </c>
      <c r="K43" s="42">
        <v>9.0</v>
      </c>
      <c r="L43" s="39">
        <v>0.0</v>
      </c>
      <c r="M43" s="32">
        <f t="shared" ref="M43:N43" si="40">C43+K43</f>
        <v>9</v>
      </c>
      <c r="N43" s="32">
        <f t="shared" si="40"/>
        <v>0</v>
      </c>
      <c r="O43" s="43" t="s">
        <v>53</v>
      </c>
      <c r="P43" s="43" t="s">
        <v>53</v>
      </c>
      <c r="Q43" s="43" t="s">
        <v>53</v>
      </c>
      <c r="R43" s="39">
        <f>if(G43=13,1,0)+VLOOKUP(B43,'070124'!B:T,17,false)</f>
        <v>0</v>
      </c>
      <c r="S43" s="39"/>
      <c r="T43" s="39">
        <f>if(G43=9,1,0)+VLOOKUP(B43,'070124'!B:T,19,false)</f>
        <v>1</v>
      </c>
    </row>
    <row r="44">
      <c r="A44" s="30">
        <f t="shared" si="3"/>
        <v>40</v>
      </c>
      <c r="B44" s="31" t="s">
        <v>119</v>
      </c>
      <c r="C44" s="32">
        <v>0.0</v>
      </c>
      <c r="D44" s="32">
        <v>0.0</v>
      </c>
      <c r="E44" s="37">
        <v>3.0</v>
      </c>
      <c r="F44" s="39">
        <v>0.0</v>
      </c>
      <c r="G44" s="40">
        <v>9.0</v>
      </c>
      <c r="H44" s="39">
        <v>0.0</v>
      </c>
      <c r="I44" s="39">
        <v>0.0</v>
      </c>
      <c r="J44" s="39">
        <v>0.0</v>
      </c>
      <c r="K44" s="42">
        <v>9.0</v>
      </c>
      <c r="L44" s="39">
        <v>0.0</v>
      </c>
      <c r="M44" s="32">
        <f t="shared" ref="M44:N44" si="41">C44+K44</f>
        <v>9</v>
      </c>
      <c r="N44" s="32">
        <f t="shared" si="41"/>
        <v>0</v>
      </c>
      <c r="O44" s="43" t="s">
        <v>53</v>
      </c>
      <c r="P44" s="43" t="s">
        <v>53</v>
      </c>
      <c r="Q44" s="43" t="s">
        <v>53</v>
      </c>
      <c r="R44" s="39">
        <f>if(G44=13,1,0)+VLOOKUP(B44,'070124'!B:T,17,false)</f>
        <v>0</v>
      </c>
      <c r="S44" s="39"/>
      <c r="T44" s="39">
        <f>if(G44=9,1,0)+VLOOKUP(B44,'070124'!B:T,19,false)</f>
        <v>1</v>
      </c>
    </row>
    <row r="45">
      <c r="A45" s="30">
        <f t="shared" si="3"/>
        <v>41</v>
      </c>
      <c r="B45" s="51" t="s">
        <v>118</v>
      </c>
      <c r="C45" s="32">
        <v>0.0</v>
      </c>
      <c r="D45" s="32">
        <v>0.0</v>
      </c>
      <c r="E45" s="37">
        <v>3.0</v>
      </c>
      <c r="F45" s="39">
        <v>0.0</v>
      </c>
      <c r="G45" s="40">
        <v>9.0</v>
      </c>
      <c r="H45" s="39">
        <v>0.0</v>
      </c>
      <c r="I45" s="39">
        <v>0.0</v>
      </c>
      <c r="J45" s="39">
        <v>0.0</v>
      </c>
      <c r="K45" s="42">
        <v>9.0</v>
      </c>
      <c r="L45" s="39">
        <v>0.0</v>
      </c>
      <c r="M45" s="32">
        <f t="shared" ref="M45:N45" si="42">C45+K45</f>
        <v>9</v>
      </c>
      <c r="N45" s="32">
        <f t="shared" si="42"/>
        <v>0</v>
      </c>
      <c r="O45" s="43" t="s">
        <v>53</v>
      </c>
      <c r="P45" s="43" t="s">
        <v>53</v>
      </c>
      <c r="Q45" s="43" t="s">
        <v>53</v>
      </c>
      <c r="R45" s="39">
        <f>if(G45=13,1,0)+VLOOKUP(B45,'070124'!B:T,17,false)</f>
        <v>0</v>
      </c>
      <c r="S45" s="39"/>
      <c r="T45" s="39">
        <f>if(G45=9,1,0)+VLOOKUP(B45,'070124'!B:T,19,false)</f>
        <v>1</v>
      </c>
    </row>
    <row r="46">
      <c r="A46" s="30">
        <f t="shared" si="3"/>
        <v>42</v>
      </c>
      <c r="B46" s="78" t="s">
        <v>121</v>
      </c>
      <c r="C46" s="32">
        <v>0.0</v>
      </c>
      <c r="D46" s="32">
        <v>0.0</v>
      </c>
      <c r="E46" s="37">
        <v>1.0</v>
      </c>
      <c r="F46" s="39"/>
      <c r="G46" s="40">
        <v>0.0</v>
      </c>
      <c r="H46" s="39">
        <v>1.0</v>
      </c>
      <c r="I46" s="39">
        <v>6.0</v>
      </c>
      <c r="J46" s="39">
        <v>2.0</v>
      </c>
      <c r="K46" s="42">
        <v>9.0</v>
      </c>
      <c r="L46" s="39">
        <v>1.0</v>
      </c>
      <c r="M46" s="32">
        <f t="shared" ref="M46:N46" si="43">C46+K46</f>
        <v>9</v>
      </c>
      <c r="N46" s="32">
        <f t="shared" si="43"/>
        <v>1</v>
      </c>
      <c r="O46" s="43" t="s">
        <v>53</v>
      </c>
      <c r="P46" s="43" t="s">
        <v>53</v>
      </c>
      <c r="Q46" s="43" t="s">
        <v>53</v>
      </c>
      <c r="R46" s="39">
        <f>if(G46=13,1,0)+VLOOKUP(B46,'070124'!B:T,17,false)</f>
        <v>0</v>
      </c>
      <c r="S46" s="39"/>
      <c r="T46" s="39">
        <f>if(G46=9,1,0)+VLOOKUP(B46,'070124'!B:T,19,false)</f>
        <v>0</v>
      </c>
    </row>
    <row r="47">
      <c r="A47" s="30">
        <f t="shared" si="3"/>
        <v>43</v>
      </c>
      <c r="B47" s="31" t="s">
        <v>56</v>
      </c>
      <c r="C47" s="32">
        <v>0.0</v>
      </c>
      <c r="D47" s="32">
        <v>0.0</v>
      </c>
      <c r="E47" s="37">
        <v>3.0</v>
      </c>
      <c r="F47" s="39">
        <v>0.0</v>
      </c>
      <c r="G47" s="40">
        <v>9.0</v>
      </c>
      <c r="H47" s="39">
        <v>0.0</v>
      </c>
      <c r="I47" s="39">
        <v>0.0</v>
      </c>
      <c r="J47" s="39">
        <v>0.0</v>
      </c>
      <c r="K47" s="42">
        <v>9.0</v>
      </c>
      <c r="L47" s="39">
        <v>0.0</v>
      </c>
      <c r="M47" s="32">
        <f t="shared" ref="M47:N47" si="44">C47+K47</f>
        <v>9</v>
      </c>
      <c r="N47" s="32">
        <f t="shared" si="44"/>
        <v>0</v>
      </c>
      <c r="O47" s="43" t="s">
        <v>53</v>
      </c>
      <c r="P47" s="43" t="s">
        <v>53</v>
      </c>
      <c r="Q47" s="43" t="s">
        <v>53</v>
      </c>
      <c r="R47" s="39">
        <f>if(G47=13,1,0)+VLOOKUP(B47,'070124'!B:T,17,false)</f>
        <v>0</v>
      </c>
      <c r="S47" s="39"/>
      <c r="T47" s="39">
        <f>if(G47=9,1,0)+VLOOKUP(B47,'070124'!B:T,19,false)</f>
        <v>1</v>
      </c>
    </row>
    <row r="48">
      <c r="A48" s="30">
        <f t="shared" si="3"/>
        <v>44</v>
      </c>
      <c r="B48" s="31" t="s">
        <v>83</v>
      </c>
      <c r="C48" s="32">
        <v>0.0</v>
      </c>
      <c r="D48" s="32">
        <v>0.0</v>
      </c>
      <c r="E48" s="37">
        <v>3.0</v>
      </c>
      <c r="F48" s="39">
        <v>0.0</v>
      </c>
      <c r="G48" s="40">
        <v>9.0</v>
      </c>
      <c r="H48" s="39">
        <v>0.0</v>
      </c>
      <c r="I48" s="39">
        <v>0.0</v>
      </c>
      <c r="J48" s="39">
        <v>0.0</v>
      </c>
      <c r="K48" s="42">
        <v>9.0</v>
      </c>
      <c r="L48" s="39">
        <v>0.0</v>
      </c>
      <c r="M48" s="32">
        <f t="shared" ref="M48:N48" si="45">C48+K48</f>
        <v>9</v>
      </c>
      <c r="N48" s="32">
        <f t="shared" si="45"/>
        <v>0</v>
      </c>
      <c r="O48" s="43" t="s">
        <v>53</v>
      </c>
      <c r="P48" s="43" t="s">
        <v>53</v>
      </c>
      <c r="Q48" s="43" t="s">
        <v>53</v>
      </c>
      <c r="R48" s="39">
        <f>if(G48=13,1,0)+VLOOKUP(B48,'070124'!B:T,17,false)</f>
        <v>0</v>
      </c>
      <c r="S48" s="39"/>
      <c r="T48" s="39">
        <f>if(G48=9,1,0)+VLOOKUP(B48,'070124'!B:T,19,false)</f>
        <v>1</v>
      </c>
    </row>
    <row r="49">
      <c r="A49" s="30">
        <f t="shared" si="3"/>
        <v>45</v>
      </c>
      <c r="B49" s="31" t="s">
        <v>125</v>
      </c>
      <c r="C49" s="32">
        <v>0.0</v>
      </c>
      <c r="D49" s="32">
        <v>0.0</v>
      </c>
      <c r="E49" s="37">
        <v>2.0</v>
      </c>
      <c r="F49" s="39"/>
      <c r="G49" s="40">
        <v>0.0</v>
      </c>
      <c r="H49" s="39">
        <v>6.0</v>
      </c>
      <c r="I49" s="39">
        <v>6.0</v>
      </c>
      <c r="J49" s="39">
        <v>6.0</v>
      </c>
      <c r="K49" s="42">
        <v>18.0</v>
      </c>
      <c r="L49" s="39">
        <v>3.0</v>
      </c>
      <c r="M49" s="32">
        <f t="shared" ref="M49:N49" si="46">C49+K49</f>
        <v>18</v>
      </c>
      <c r="N49" s="32">
        <f t="shared" si="46"/>
        <v>3</v>
      </c>
      <c r="O49" s="43" t="s">
        <v>53</v>
      </c>
      <c r="P49" s="43" t="s">
        <v>53</v>
      </c>
      <c r="Q49" s="43" t="s">
        <v>53</v>
      </c>
      <c r="R49" s="39">
        <f>if(G49=13,1,0)+VLOOKUP(B49,'070124'!B:T,17,false)</f>
        <v>0</v>
      </c>
      <c r="S49" s="39"/>
      <c r="T49" s="39">
        <f>if(G49=9,1,0)+VLOOKUP(B49,'070124'!B:T,19,false)</f>
        <v>0</v>
      </c>
    </row>
    <row r="50">
      <c r="A50" s="30">
        <f t="shared" si="3"/>
        <v>46</v>
      </c>
      <c r="B50" s="51" t="s">
        <v>92</v>
      </c>
      <c r="C50" s="32">
        <v>0.0</v>
      </c>
      <c r="D50" s="32">
        <v>0.0</v>
      </c>
      <c r="E50" s="37">
        <v>1.0</v>
      </c>
      <c r="F50" s="39"/>
      <c r="G50" s="40">
        <v>0.0</v>
      </c>
      <c r="H50" s="39">
        <v>6.0</v>
      </c>
      <c r="I50" s="39">
        <v>3.0</v>
      </c>
      <c r="J50" s="39">
        <v>2.0</v>
      </c>
      <c r="K50" s="42">
        <v>11.0</v>
      </c>
      <c r="L50" s="39">
        <v>1.0</v>
      </c>
      <c r="M50" s="32">
        <f t="shared" ref="M50:N50" si="47">C50+K50</f>
        <v>11</v>
      </c>
      <c r="N50" s="32">
        <f t="shared" si="47"/>
        <v>1</v>
      </c>
      <c r="O50" s="43" t="s">
        <v>53</v>
      </c>
      <c r="P50" s="43" t="s">
        <v>53</v>
      </c>
      <c r="Q50" s="43" t="s">
        <v>53</v>
      </c>
      <c r="R50" s="39">
        <f>if(G50=13,1,0)+VLOOKUP(B50,'070124'!B:T,17,false)</f>
        <v>0</v>
      </c>
      <c r="S50" s="39"/>
      <c r="T50" s="39">
        <f>if(G50=9,1,0)+VLOOKUP(B50,'070124'!B:T,19,false)</f>
        <v>0</v>
      </c>
    </row>
    <row r="51">
      <c r="A51" s="30">
        <f t="shared" si="3"/>
        <v>47</v>
      </c>
      <c r="B51" s="56" t="s">
        <v>101</v>
      </c>
      <c r="C51" s="32">
        <v>0.0</v>
      </c>
      <c r="D51" s="32">
        <v>0.0</v>
      </c>
      <c r="E51" s="37">
        <v>3.0</v>
      </c>
      <c r="F51" s="39">
        <v>0.0</v>
      </c>
      <c r="G51" s="40">
        <v>9.0</v>
      </c>
      <c r="H51" s="39">
        <v>0.0</v>
      </c>
      <c r="I51" s="39">
        <v>0.0</v>
      </c>
      <c r="J51" s="39">
        <v>0.0</v>
      </c>
      <c r="K51" s="42">
        <v>9.0</v>
      </c>
      <c r="L51" s="39">
        <v>0.0</v>
      </c>
      <c r="M51" s="32">
        <f t="shared" ref="M51:N51" si="48">C51+K51</f>
        <v>9</v>
      </c>
      <c r="N51" s="32">
        <f t="shared" si="48"/>
        <v>0</v>
      </c>
      <c r="O51" s="43" t="s">
        <v>53</v>
      </c>
      <c r="P51" s="43" t="s">
        <v>53</v>
      </c>
      <c r="Q51" s="43" t="s">
        <v>53</v>
      </c>
      <c r="R51" s="39">
        <f>if(G51=13,1,0)+VLOOKUP(B51,'070124'!B:T,17,false)</f>
        <v>0</v>
      </c>
      <c r="S51" s="39"/>
      <c r="T51" s="39">
        <f>if(G51=9,1,0)+VLOOKUP(B51,'070124'!B:T,19,false)</f>
        <v>1</v>
      </c>
    </row>
    <row r="52">
      <c r="A52" s="30">
        <f t="shared" si="3"/>
        <v>48</v>
      </c>
      <c r="B52" s="51" t="s">
        <v>100</v>
      </c>
      <c r="C52" s="32">
        <v>0.0</v>
      </c>
      <c r="D52" s="32">
        <v>0.0</v>
      </c>
      <c r="E52" s="37">
        <v>1.0</v>
      </c>
      <c r="F52" s="39"/>
      <c r="G52" s="40">
        <v>0.0</v>
      </c>
      <c r="H52" s="39">
        <v>2.0</v>
      </c>
      <c r="I52" s="39">
        <v>6.0</v>
      </c>
      <c r="J52" s="39">
        <v>6.0</v>
      </c>
      <c r="K52" s="42">
        <v>14.0</v>
      </c>
      <c r="L52" s="39">
        <v>2.0</v>
      </c>
      <c r="M52" s="32">
        <f t="shared" ref="M52:N52" si="49">C52+K52</f>
        <v>14</v>
      </c>
      <c r="N52" s="32">
        <f t="shared" si="49"/>
        <v>2</v>
      </c>
      <c r="O52" s="43" t="s">
        <v>53</v>
      </c>
      <c r="P52" s="43" t="s">
        <v>53</v>
      </c>
      <c r="Q52" s="43" t="s">
        <v>53</v>
      </c>
      <c r="R52" s="39">
        <f>if(G52=13,1,0)+VLOOKUP(B52,'070124'!B:T,17,false)</f>
        <v>0</v>
      </c>
      <c r="S52" s="39"/>
      <c r="T52" s="39">
        <f>if(G52=9,1,0)+VLOOKUP(B52,'070124'!B:T,19,false)</f>
        <v>0</v>
      </c>
    </row>
    <row r="53">
      <c r="A53" s="30">
        <f t="shared" si="3"/>
        <v>49</v>
      </c>
      <c r="B53" s="31" t="s">
        <v>96</v>
      </c>
      <c r="C53" s="32">
        <v>0.0</v>
      </c>
      <c r="D53" s="32">
        <v>0.0</v>
      </c>
      <c r="E53" s="37">
        <v>2.0</v>
      </c>
      <c r="F53" s="39"/>
      <c r="G53" s="40">
        <v>0.0</v>
      </c>
      <c r="H53" s="39">
        <v>6.0</v>
      </c>
      <c r="I53" s="39">
        <v>6.0</v>
      </c>
      <c r="J53" s="39">
        <v>1.0</v>
      </c>
      <c r="K53" s="42">
        <v>13.0</v>
      </c>
      <c r="L53" s="39">
        <v>2.0</v>
      </c>
      <c r="M53" s="32">
        <f t="shared" ref="M53:N53" si="50">C53+K53</f>
        <v>13</v>
      </c>
      <c r="N53" s="32">
        <f t="shared" si="50"/>
        <v>2</v>
      </c>
      <c r="O53" s="43" t="s">
        <v>53</v>
      </c>
      <c r="P53" s="43" t="s">
        <v>53</v>
      </c>
      <c r="Q53" s="43" t="s">
        <v>53</v>
      </c>
      <c r="R53" s="39">
        <f>if(G53=13,1,0)+VLOOKUP(B53,'070124'!B:T,17,false)</f>
        <v>0</v>
      </c>
      <c r="S53" s="39"/>
      <c r="T53" s="39">
        <f>if(G53=9,1,0)+VLOOKUP(B53,'070124'!B:T,19,false)</f>
        <v>0</v>
      </c>
    </row>
    <row r="54">
      <c r="A54" s="30">
        <f t="shared" si="3"/>
        <v>50</v>
      </c>
      <c r="B54" s="31" t="s">
        <v>71</v>
      </c>
      <c r="C54" s="32">
        <v>0.0</v>
      </c>
      <c r="D54" s="32">
        <v>0.0</v>
      </c>
      <c r="E54" s="37">
        <v>1.0</v>
      </c>
      <c r="F54" s="39"/>
      <c r="G54" s="40">
        <v>0.0</v>
      </c>
      <c r="H54" s="39">
        <v>6.0</v>
      </c>
      <c r="I54" s="39">
        <v>3.0</v>
      </c>
      <c r="J54" s="39">
        <v>6.0</v>
      </c>
      <c r="K54" s="42">
        <v>15.0</v>
      </c>
      <c r="L54" s="39">
        <v>2.0</v>
      </c>
      <c r="M54" s="32">
        <f t="shared" ref="M54:N54" si="51">C54+K54</f>
        <v>15</v>
      </c>
      <c r="N54" s="32">
        <f t="shared" si="51"/>
        <v>2</v>
      </c>
      <c r="O54" s="43" t="s">
        <v>53</v>
      </c>
      <c r="P54" s="43" t="s">
        <v>53</v>
      </c>
      <c r="Q54" s="43" t="s">
        <v>53</v>
      </c>
      <c r="R54" s="39">
        <f>if(G54=13,1,0)+VLOOKUP(B54,'070124'!B:T,17,false)</f>
        <v>0</v>
      </c>
      <c r="S54" s="39"/>
      <c r="T54" s="39">
        <f>if(G54=9,1,0)+VLOOKUP(B54,'070124'!B:T,19,false)</f>
        <v>0</v>
      </c>
    </row>
    <row r="55">
      <c r="A55" s="30">
        <f t="shared" si="3"/>
        <v>51</v>
      </c>
      <c r="B55" s="51" t="s">
        <v>95</v>
      </c>
      <c r="C55" s="32">
        <v>0.0</v>
      </c>
      <c r="D55" s="32">
        <v>0.0</v>
      </c>
      <c r="E55" s="37">
        <v>3.0</v>
      </c>
      <c r="F55" s="39">
        <v>0.0</v>
      </c>
      <c r="G55" s="40">
        <v>9.0</v>
      </c>
      <c r="H55" s="39">
        <v>0.0</v>
      </c>
      <c r="I55" s="39">
        <v>0.0</v>
      </c>
      <c r="J55" s="39">
        <v>0.0</v>
      </c>
      <c r="K55" s="42">
        <v>9.0</v>
      </c>
      <c r="L55" s="39">
        <v>0.0</v>
      </c>
      <c r="M55" s="32">
        <f t="shared" ref="M55:N55" si="52">C55+K55</f>
        <v>9</v>
      </c>
      <c r="N55" s="32">
        <f t="shared" si="52"/>
        <v>0</v>
      </c>
      <c r="O55" s="43" t="s">
        <v>53</v>
      </c>
      <c r="P55" s="43" t="s">
        <v>53</v>
      </c>
      <c r="Q55" s="43" t="s">
        <v>53</v>
      </c>
      <c r="R55" s="39">
        <f>if(G55=13,1,0)+VLOOKUP(B55,'070124'!B:T,17,false)</f>
        <v>0</v>
      </c>
      <c r="S55" s="39"/>
      <c r="T55" s="39">
        <f>if(G55=9,1,0)+VLOOKUP(B55,'070124'!B:T,19,false)</f>
        <v>1</v>
      </c>
    </row>
    <row r="56">
      <c r="A56" s="30">
        <f t="shared" si="3"/>
        <v>52</v>
      </c>
      <c r="B56" s="56" t="s">
        <v>115</v>
      </c>
      <c r="C56" s="32">
        <v>0.0</v>
      </c>
      <c r="D56" s="32">
        <v>0.0</v>
      </c>
      <c r="E56" s="37">
        <v>1.0</v>
      </c>
      <c r="F56" s="39"/>
      <c r="G56" s="40">
        <v>0.0</v>
      </c>
      <c r="H56" s="39">
        <v>2.0</v>
      </c>
      <c r="I56" s="39">
        <v>3.0</v>
      </c>
      <c r="J56" s="39">
        <v>1.0</v>
      </c>
      <c r="K56" s="42">
        <v>6.0</v>
      </c>
      <c r="L56" s="39">
        <v>0.0</v>
      </c>
      <c r="M56" s="32">
        <f t="shared" ref="M56:N56" si="53">C56+K56</f>
        <v>6</v>
      </c>
      <c r="N56" s="32">
        <f t="shared" si="53"/>
        <v>0</v>
      </c>
      <c r="O56" s="43" t="s">
        <v>53</v>
      </c>
      <c r="P56" s="43" t="s">
        <v>53</v>
      </c>
      <c r="Q56" s="43" t="s">
        <v>53</v>
      </c>
      <c r="R56" s="39">
        <f>if(G56=13,1,0)+VLOOKUP(B56,'070124'!B:T,17,false)</f>
        <v>0</v>
      </c>
      <c r="S56" s="39"/>
      <c r="T56" s="39">
        <f>if(G56=9,1,0)+VLOOKUP(B56,'070124'!B:T,19,false)</f>
        <v>0</v>
      </c>
    </row>
    <row r="57">
      <c r="A57" s="30">
        <f t="shared" si="3"/>
        <v>53</v>
      </c>
      <c r="B57" s="51" t="s">
        <v>111</v>
      </c>
      <c r="C57" s="32">
        <v>0.0</v>
      </c>
      <c r="D57" s="32">
        <v>0.0</v>
      </c>
      <c r="E57" s="37">
        <v>2.0</v>
      </c>
      <c r="F57" s="39"/>
      <c r="G57" s="40">
        <v>0.0</v>
      </c>
      <c r="H57" s="39">
        <v>4.0</v>
      </c>
      <c r="I57" s="39">
        <v>2.0</v>
      </c>
      <c r="J57" s="39">
        <v>6.0</v>
      </c>
      <c r="K57" s="42">
        <v>12.0</v>
      </c>
      <c r="L57" s="39">
        <v>1.0</v>
      </c>
      <c r="M57" s="32">
        <f t="shared" ref="M57:N57" si="54">C57+K57</f>
        <v>12</v>
      </c>
      <c r="N57" s="32">
        <f t="shared" si="54"/>
        <v>1</v>
      </c>
      <c r="O57" s="43" t="s">
        <v>53</v>
      </c>
      <c r="P57" s="43" t="s">
        <v>53</v>
      </c>
      <c r="Q57" s="43" t="s">
        <v>53</v>
      </c>
      <c r="R57" s="39">
        <f>if(G57=13,1,0)+VLOOKUP(B57,'070124'!B:T,17,false)</f>
        <v>0</v>
      </c>
      <c r="S57" s="39"/>
      <c r="T57" s="39">
        <f>if(G57=9,1,0)+VLOOKUP(B57,'070124'!B:T,19,false)</f>
        <v>0</v>
      </c>
    </row>
    <row r="58">
      <c r="A58" s="30">
        <f t="shared" si="3"/>
        <v>54</v>
      </c>
      <c r="B58" s="51" t="s">
        <v>76</v>
      </c>
      <c r="C58" s="32">
        <v>0.0</v>
      </c>
      <c r="D58" s="32">
        <v>0.0</v>
      </c>
      <c r="E58" s="37">
        <v>3.0</v>
      </c>
      <c r="F58" s="39">
        <v>0.0</v>
      </c>
      <c r="G58" s="40">
        <v>9.0</v>
      </c>
      <c r="H58" s="39">
        <v>0.0</v>
      </c>
      <c r="I58" s="39">
        <v>0.0</v>
      </c>
      <c r="J58" s="39">
        <v>0.0</v>
      </c>
      <c r="K58" s="42">
        <v>9.0</v>
      </c>
      <c r="L58" s="39">
        <v>0.0</v>
      </c>
      <c r="M58" s="32">
        <f t="shared" ref="M58:N58" si="55">C58+K58</f>
        <v>9</v>
      </c>
      <c r="N58" s="32">
        <f t="shared" si="55"/>
        <v>0</v>
      </c>
      <c r="O58" s="43" t="s">
        <v>53</v>
      </c>
      <c r="P58" s="43" t="s">
        <v>53</v>
      </c>
      <c r="Q58" s="43" t="s">
        <v>53</v>
      </c>
      <c r="R58" s="39">
        <f>if(G58=13,1,0)+VLOOKUP(B58,'070124'!B:T,17,false)</f>
        <v>0</v>
      </c>
      <c r="S58" s="39"/>
      <c r="T58" s="39">
        <f>if(G58=9,1,0)+VLOOKUP(B58,'070124'!B:T,19,false)</f>
        <v>1</v>
      </c>
    </row>
    <row r="59">
      <c r="A59" s="30">
        <f t="shared" si="3"/>
        <v>55</v>
      </c>
      <c r="B59" s="51" t="s">
        <v>116</v>
      </c>
      <c r="C59" s="32">
        <v>0.0</v>
      </c>
      <c r="D59" s="32">
        <v>0.0</v>
      </c>
      <c r="E59" s="37">
        <v>1.0</v>
      </c>
      <c r="F59" s="39"/>
      <c r="G59" s="40">
        <v>0.0</v>
      </c>
      <c r="H59" s="39">
        <v>4.0</v>
      </c>
      <c r="I59" s="39">
        <v>6.0</v>
      </c>
      <c r="J59" s="39">
        <v>0.0</v>
      </c>
      <c r="K59" s="42">
        <v>10.0</v>
      </c>
      <c r="L59" s="39">
        <v>1.0</v>
      </c>
      <c r="M59" s="32">
        <f t="shared" ref="M59:N59" si="56">C59+K59</f>
        <v>10</v>
      </c>
      <c r="N59" s="32">
        <f t="shared" si="56"/>
        <v>1</v>
      </c>
      <c r="O59" s="43" t="s">
        <v>53</v>
      </c>
      <c r="P59" s="43" t="s">
        <v>53</v>
      </c>
      <c r="Q59" s="43" t="s">
        <v>53</v>
      </c>
      <c r="R59" s="39">
        <f>if(G59=13,1,0)+VLOOKUP(B59,'070124'!B:T,17,false)</f>
        <v>0</v>
      </c>
      <c r="S59" s="39"/>
      <c r="T59" s="39">
        <f>if(G59=9,1,0)+VLOOKUP(B59,'070124'!B:T,19,false)</f>
        <v>0</v>
      </c>
    </row>
    <row r="60">
      <c r="A60" s="30">
        <f t="shared" si="3"/>
        <v>56</v>
      </c>
      <c r="B60" s="56" t="s">
        <v>51</v>
      </c>
      <c r="C60" s="32">
        <v>0.0</v>
      </c>
      <c r="D60" s="32">
        <v>0.0</v>
      </c>
      <c r="E60" s="37">
        <v>1.0</v>
      </c>
      <c r="F60" s="39"/>
      <c r="G60" s="40">
        <v>0.0</v>
      </c>
      <c r="H60" s="39">
        <v>6.0</v>
      </c>
      <c r="I60" s="39">
        <v>2.0</v>
      </c>
      <c r="J60" s="39">
        <v>0.0</v>
      </c>
      <c r="K60" s="42">
        <v>8.0</v>
      </c>
      <c r="L60" s="39">
        <v>1.0</v>
      </c>
      <c r="M60" s="32">
        <f t="shared" ref="M60:N60" si="57">C60+K60</f>
        <v>8</v>
      </c>
      <c r="N60" s="32">
        <f t="shared" si="57"/>
        <v>1</v>
      </c>
      <c r="O60" s="43" t="s">
        <v>53</v>
      </c>
      <c r="P60" s="43" t="s">
        <v>53</v>
      </c>
      <c r="Q60" s="43" t="s">
        <v>53</v>
      </c>
      <c r="R60" s="39">
        <f>if(G60=13,1,0)+VLOOKUP(B60,'070124'!B:T,17,false)</f>
        <v>0</v>
      </c>
      <c r="S60" s="39"/>
      <c r="T60" s="39">
        <f>if(G60=9,1,0)+VLOOKUP(B60,'070124'!B:T,19,false)</f>
        <v>0</v>
      </c>
    </row>
    <row r="61">
      <c r="A61" s="30">
        <f t="shared" si="3"/>
        <v>57</v>
      </c>
      <c r="B61" s="51" t="s">
        <v>78</v>
      </c>
      <c r="C61" s="32">
        <v>0.0</v>
      </c>
      <c r="D61" s="32">
        <v>0.0</v>
      </c>
      <c r="E61" s="37">
        <v>1.0</v>
      </c>
      <c r="F61" s="39"/>
      <c r="G61" s="40">
        <v>0.0</v>
      </c>
      <c r="H61" s="39">
        <v>6.0</v>
      </c>
      <c r="I61" s="39">
        <v>6.0</v>
      </c>
      <c r="J61" s="39">
        <v>6.0</v>
      </c>
      <c r="K61" s="42">
        <v>18.0</v>
      </c>
      <c r="L61" s="39">
        <v>3.0</v>
      </c>
      <c r="M61" s="32">
        <f t="shared" ref="M61:N61" si="58">C61+K61</f>
        <v>18</v>
      </c>
      <c r="N61" s="32">
        <f t="shared" si="58"/>
        <v>3</v>
      </c>
      <c r="O61" s="43" t="s">
        <v>53</v>
      </c>
      <c r="P61" s="43" t="s">
        <v>53</v>
      </c>
      <c r="Q61" s="43" t="s">
        <v>53</v>
      </c>
      <c r="R61" s="39">
        <f>if(G61=13,1,0)+VLOOKUP(B61,'070124'!B:T,17,false)</f>
        <v>0</v>
      </c>
      <c r="S61" s="39"/>
      <c r="T61" s="39">
        <f>if(G61=9,1,0)+VLOOKUP(B61,'070124'!B:T,19,false)</f>
        <v>0</v>
      </c>
    </row>
    <row r="62">
      <c r="A62" s="30">
        <f t="shared" si="3"/>
        <v>58</v>
      </c>
      <c r="B62" s="51" t="s">
        <v>54</v>
      </c>
      <c r="C62" s="32">
        <v>0.0</v>
      </c>
      <c r="D62" s="32">
        <v>0.0</v>
      </c>
      <c r="E62" s="37">
        <v>1.0</v>
      </c>
      <c r="F62" s="39"/>
      <c r="G62" s="40">
        <v>0.0</v>
      </c>
      <c r="H62" s="39">
        <v>4.0</v>
      </c>
      <c r="I62" s="39">
        <v>7.0</v>
      </c>
      <c r="J62" s="39">
        <v>6.0</v>
      </c>
      <c r="K62" s="42">
        <v>17.0</v>
      </c>
      <c r="L62" s="39">
        <v>2.0</v>
      </c>
      <c r="M62" s="32">
        <f t="shared" ref="M62:N62" si="59">C62+K62</f>
        <v>17</v>
      </c>
      <c r="N62" s="32">
        <f t="shared" si="59"/>
        <v>2</v>
      </c>
      <c r="O62" s="43" t="s">
        <v>53</v>
      </c>
      <c r="P62" s="43" t="s">
        <v>53</v>
      </c>
      <c r="Q62" s="43" t="s">
        <v>53</v>
      </c>
      <c r="R62" s="39">
        <f>if(G62=13,1,0)+VLOOKUP(B62,'070124'!B:T,17,false)</f>
        <v>0</v>
      </c>
      <c r="S62" s="39"/>
      <c r="T62" s="39">
        <f>if(G62=9,1,0)+VLOOKUP(B62,'070124'!B:T,19,false)</f>
        <v>0</v>
      </c>
    </row>
    <row r="63">
      <c r="A63" s="30">
        <f t="shared" si="3"/>
        <v>59</v>
      </c>
      <c r="B63" s="51" t="s">
        <v>112</v>
      </c>
      <c r="C63" s="32">
        <v>0.0</v>
      </c>
      <c r="D63" s="32">
        <v>0.0</v>
      </c>
      <c r="E63" s="37">
        <v>1.0</v>
      </c>
      <c r="F63" s="39"/>
      <c r="G63" s="40">
        <v>0.0</v>
      </c>
      <c r="H63" s="39">
        <v>4.0</v>
      </c>
      <c r="I63" s="39">
        <v>5.0</v>
      </c>
      <c r="J63" s="39">
        <v>2.0</v>
      </c>
      <c r="K63" s="42">
        <v>11.0</v>
      </c>
      <c r="L63" s="39">
        <v>0.0</v>
      </c>
      <c r="M63" s="32">
        <f t="shared" ref="M63:N63" si="60">C63+K63</f>
        <v>11</v>
      </c>
      <c r="N63" s="32">
        <f t="shared" si="60"/>
        <v>0</v>
      </c>
      <c r="O63" s="43" t="s">
        <v>53</v>
      </c>
      <c r="P63" s="43" t="s">
        <v>53</v>
      </c>
      <c r="Q63" s="43" t="s">
        <v>53</v>
      </c>
      <c r="R63" s="39">
        <f>if(G63=13,1,0)+VLOOKUP(B63,'070124'!B:T,17,false)</f>
        <v>0</v>
      </c>
      <c r="S63" s="39"/>
      <c r="T63" s="39">
        <f>if(G63=9,1,0)+VLOOKUP(B63,'070124'!B:T,19,false)</f>
        <v>0</v>
      </c>
    </row>
    <row r="64">
      <c r="A64" s="30">
        <f t="shared" si="3"/>
        <v>60</v>
      </c>
      <c r="B64" s="31" t="s">
        <v>89</v>
      </c>
      <c r="C64" s="32">
        <v>0.0</v>
      </c>
      <c r="D64" s="32">
        <v>0.0</v>
      </c>
      <c r="E64" s="37">
        <v>5.0</v>
      </c>
      <c r="F64" s="39">
        <v>0.0</v>
      </c>
      <c r="G64" s="40">
        <v>13.0</v>
      </c>
      <c r="H64" s="39">
        <v>0.0</v>
      </c>
      <c r="I64" s="39">
        <v>0.0</v>
      </c>
      <c r="J64" s="39">
        <v>0.0</v>
      </c>
      <c r="K64" s="42">
        <v>13.0</v>
      </c>
      <c r="L64" s="39">
        <v>0.0</v>
      </c>
      <c r="M64" s="32">
        <f t="shared" ref="M64:N64" si="61">C64+K64</f>
        <v>13</v>
      </c>
      <c r="N64" s="32">
        <f t="shared" si="61"/>
        <v>0</v>
      </c>
      <c r="O64" s="43" t="s">
        <v>53</v>
      </c>
      <c r="P64" s="43" t="s">
        <v>53</v>
      </c>
      <c r="Q64" s="43" t="s">
        <v>53</v>
      </c>
      <c r="R64" s="39">
        <f>if(G64=13,1,0)+VLOOKUP(B64,'070124'!B:T,17,false)</f>
        <v>1</v>
      </c>
      <c r="S64" s="39"/>
      <c r="T64" s="39">
        <f>if(G64=9,1,0)+VLOOKUP(B64,'070124'!B:T,19,false)</f>
        <v>0</v>
      </c>
    </row>
    <row r="65">
      <c r="A65" s="30">
        <f t="shared" si="3"/>
        <v>61</v>
      </c>
      <c r="B65" s="31" t="s">
        <v>91</v>
      </c>
      <c r="C65" s="32">
        <v>0.0</v>
      </c>
      <c r="D65" s="32">
        <v>0.0</v>
      </c>
      <c r="E65" s="37">
        <v>3.0</v>
      </c>
      <c r="F65" s="39">
        <v>0.0</v>
      </c>
      <c r="G65" s="40">
        <v>9.0</v>
      </c>
      <c r="H65" s="39">
        <v>0.0</v>
      </c>
      <c r="I65" s="39">
        <v>0.0</v>
      </c>
      <c r="J65" s="39">
        <v>0.0</v>
      </c>
      <c r="K65" s="42">
        <v>9.0</v>
      </c>
      <c r="L65" s="39">
        <v>0.0</v>
      </c>
      <c r="M65" s="32">
        <f t="shared" ref="M65:N65" si="62">C65+K65</f>
        <v>9</v>
      </c>
      <c r="N65" s="32">
        <f t="shared" si="62"/>
        <v>0</v>
      </c>
      <c r="O65" s="43" t="s">
        <v>53</v>
      </c>
      <c r="P65" s="43" t="s">
        <v>53</v>
      </c>
      <c r="Q65" s="43" t="s">
        <v>53</v>
      </c>
      <c r="R65" s="39">
        <f>if(G65=13,1,0)+VLOOKUP(B65,'070124'!B:T,17,false)</f>
        <v>0</v>
      </c>
      <c r="S65" s="39"/>
      <c r="T65" s="39">
        <f>if(G65=9,1,0)+VLOOKUP(B65,'070124'!B:T,19,false)</f>
        <v>1</v>
      </c>
    </row>
    <row r="66">
      <c r="A66" s="30">
        <f t="shared" si="3"/>
        <v>62</v>
      </c>
      <c r="B66" s="56" t="s">
        <v>110</v>
      </c>
      <c r="C66" s="32">
        <v>0.0</v>
      </c>
      <c r="D66" s="32">
        <v>0.0</v>
      </c>
      <c r="E66" s="37">
        <v>2.0</v>
      </c>
      <c r="F66" s="39"/>
      <c r="G66" s="40">
        <v>0.0</v>
      </c>
      <c r="H66" s="39">
        <v>6.0</v>
      </c>
      <c r="I66" s="39">
        <v>7.0</v>
      </c>
      <c r="J66" s="39">
        <v>2.0</v>
      </c>
      <c r="K66" s="42">
        <v>15.0</v>
      </c>
      <c r="L66" s="39">
        <v>2.0</v>
      </c>
      <c r="M66" s="32">
        <f t="shared" ref="M66:N66" si="63">C66+K66</f>
        <v>15</v>
      </c>
      <c r="N66" s="32">
        <f t="shared" si="63"/>
        <v>2</v>
      </c>
      <c r="O66" s="43" t="s">
        <v>53</v>
      </c>
      <c r="P66" s="43" t="s">
        <v>53</v>
      </c>
      <c r="Q66" s="43" t="s">
        <v>53</v>
      </c>
      <c r="R66" s="39">
        <f>if(G66=13,1,0)+VLOOKUP(B66,'070124'!B:T,17,false)</f>
        <v>0</v>
      </c>
      <c r="S66" s="39"/>
      <c r="T66" s="39">
        <f>if(G66=9,1,0)+VLOOKUP(B66,'070124'!B:T,19,false)</f>
        <v>0</v>
      </c>
    </row>
    <row r="67">
      <c r="A67" s="30">
        <f t="shared" si="3"/>
        <v>63</v>
      </c>
      <c r="B67" s="31" t="s">
        <v>98</v>
      </c>
      <c r="C67" s="32">
        <v>0.0</v>
      </c>
      <c r="D67" s="32">
        <v>0.0</v>
      </c>
      <c r="E67" s="37">
        <v>3.0</v>
      </c>
      <c r="F67" s="39">
        <v>0.0</v>
      </c>
      <c r="G67" s="40">
        <v>9.0</v>
      </c>
      <c r="H67" s="39">
        <v>0.0</v>
      </c>
      <c r="I67" s="39">
        <v>0.0</v>
      </c>
      <c r="J67" s="39">
        <v>0.0</v>
      </c>
      <c r="K67" s="42">
        <v>9.0</v>
      </c>
      <c r="L67" s="39">
        <v>0.0</v>
      </c>
      <c r="M67" s="32">
        <f t="shared" ref="M67:N67" si="64">C67+K67</f>
        <v>9</v>
      </c>
      <c r="N67" s="32">
        <f t="shared" si="64"/>
        <v>0</v>
      </c>
      <c r="O67" s="43" t="s">
        <v>53</v>
      </c>
      <c r="P67" s="43" t="s">
        <v>53</v>
      </c>
      <c r="Q67" s="43" t="s">
        <v>53</v>
      </c>
      <c r="R67" s="39">
        <f>if(G67=13,1,0)+VLOOKUP(B67,'070124'!B:T,17,false)</f>
        <v>0</v>
      </c>
      <c r="S67" s="39"/>
      <c r="T67" s="39">
        <f>if(G67=9,1,0)+VLOOKUP(B67,'070124'!B:T,19,false)</f>
        <v>1</v>
      </c>
    </row>
    <row r="68">
      <c r="A68" s="30">
        <f t="shared" si="3"/>
        <v>64</v>
      </c>
      <c r="B68" s="31" t="s">
        <v>120</v>
      </c>
      <c r="C68" s="32">
        <v>0.0</v>
      </c>
      <c r="D68" s="32">
        <v>0.0</v>
      </c>
      <c r="E68" s="37">
        <v>3.0</v>
      </c>
      <c r="F68" s="39">
        <v>0.0</v>
      </c>
      <c r="G68" s="40">
        <v>9.0</v>
      </c>
      <c r="H68" s="39">
        <v>0.0</v>
      </c>
      <c r="I68" s="39">
        <v>0.0</v>
      </c>
      <c r="J68" s="39">
        <v>0.0</v>
      </c>
      <c r="K68" s="42">
        <v>9.0</v>
      </c>
      <c r="L68" s="39">
        <v>0.0</v>
      </c>
      <c r="M68" s="32">
        <f t="shared" ref="M68:N68" si="65">C68+K68</f>
        <v>9</v>
      </c>
      <c r="N68" s="32">
        <f t="shared" si="65"/>
        <v>0</v>
      </c>
      <c r="O68" s="43" t="s">
        <v>53</v>
      </c>
      <c r="P68" s="43" t="s">
        <v>53</v>
      </c>
      <c r="Q68" s="43" t="s">
        <v>53</v>
      </c>
      <c r="R68" s="39">
        <f>if(G68=13,1,0)+VLOOKUP(B68,'070124'!B:T,17,false)</f>
        <v>0</v>
      </c>
      <c r="S68" s="39"/>
      <c r="T68" s="39">
        <f>if(G68=9,1,0)+VLOOKUP(B68,'070124'!B:T,19,false)</f>
        <v>1</v>
      </c>
    </row>
    <row r="69">
      <c r="A69" s="30">
        <f t="shared" si="3"/>
        <v>65</v>
      </c>
      <c r="B69" s="31" t="s">
        <v>97</v>
      </c>
      <c r="C69" s="32">
        <v>0.0</v>
      </c>
      <c r="D69" s="32">
        <v>0.0</v>
      </c>
      <c r="E69" s="37">
        <v>1.0</v>
      </c>
      <c r="F69" s="39"/>
      <c r="G69" s="40">
        <v>0.0</v>
      </c>
      <c r="H69" s="39">
        <v>6.0</v>
      </c>
      <c r="I69" s="39">
        <v>5.0</v>
      </c>
      <c r="J69" s="39">
        <v>6.0</v>
      </c>
      <c r="K69" s="42">
        <v>17.0</v>
      </c>
      <c r="L69" s="39">
        <v>2.0</v>
      </c>
      <c r="M69" s="32">
        <f t="shared" ref="M69:N69" si="66">C69+K69</f>
        <v>17</v>
      </c>
      <c r="N69" s="32">
        <f t="shared" si="66"/>
        <v>2</v>
      </c>
      <c r="O69" s="43" t="s">
        <v>53</v>
      </c>
      <c r="P69" s="43" t="s">
        <v>53</v>
      </c>
      <c r="Q69" s="43" t="s">
        <v>53</v>
      </c>
      <c r="R69" s="39">
        <f>if(G69=13,1,0)+VLOOKUP(B69,'070124'!B:T,17,false)</f>
        <v>0</v>
      </c>
      <c r="S69" s="39"/>
      <c r="T69" s="39">
        <f>if(G69=9,1,0)+VLOOKUP(B69,'070124'!B:T,19,false)</f>
        <v>0</v>
      </c>
    </row>
    <row r="70">
      <c r="A70" s="11"/>
      <c r="C70" s="11"/>
      <c r="D70" s="11"/>
      <c r="E70" s="11"/>
      <c r="P70" s="11"/>
    </row>
    <row r="71">
      <c r="A71" s="11"/>
      <c r="C71" s="11"/>
      <c r="D71" s="11"/>
      <c r="E71" s="11"/>
      <c r="P71" s="11"/>
    </row>
    <row r="72">
      <c r="A72" s="11"/>
      <c r="B72" s="58">
        <f>COUNTA(B5:B69)</f>
        <v>65</v>
      </c>
      <c r="C72" s="11"/>
      <c r="D72" s="11"/>
      <c r="E72" s="11"/>
      <c r="O72" s="7" t="s">
        <v>163</v>
      </c>
      <c r="P72" s="8">
        <f t="shared" ref="P72:Q72" si="67">COUNTA(P5:P69)</f>
        <v>65</v>
      </c>
      <c r="Q72" s="8">
        <f t="shared" si="67"/>
        <v>65</v>
      </c>
    </row>
    <row r="73">
      <c r="A73" s="11"/>
      <c r="C73" s="11"/>
      <c r="D73" s="11"/>
      <c r="E73" s="11"/>
      <c r="O73" s="7" t="s">
        <v>164</v>
      </c>
      <c r="P73" s="8">
        <f t="shared" ref="P73:Q73" si="68">P74-P72</f>
        <v>0</v>
      </c>
      <c r="Q73" s="8">
        <f t="shared" si="68"/>
        <v>0</v>
      </c>
    </row>
    <row r="74">
      <c r="A74" s="11"/>
      <c r="C74" s="11"/>
      <c r="D74" s="11"/>
      <c r="J74" s="49"/>
      <c r="K74" s="59"/>
      <c r="L74" s="60"/>
      <c r="O74" s="7" t="s">
        <v>60</v>
      </c>
      <c r="P74" s="8">
        <f>B72</f>
        <v>65</v>
      </c>
      <c r="Q74" s="8">
        <f>P74</f>
        <v>65</v>
      </c>
    </row>
    <row r="75">
      <c r="A75" s="11"/>
      <c r="C75" s="11"/>
      <c r="D75" s="11"/>
      <c r="E75" s="10" t="s">
        <v>127</v>
      </c>
      <c r="J75" s="49"/>
      <c r="K75" s="59"/>
      <c r="L75" s="60"/>
    </row>
    <row r="76">
      <c r="A76" s="11"/>
      <c r="C76" s="11"/>
      <c r="D76" s="11"/>
      <c r="J76" s="49"/>
      <c r="K76" s="59"/>
      <c r="L76" s="60"/>
    </row>
    <row r="77">
      <c r="A77" s="11"/>
      <c r="C77" s="11"/>
      <c r="D77" s="11"/>
      <c r="J77" s="49"/>
      <c r="K77" s="59"/>
      <c r="L77" s="60"/>
      <c r="O77" s="7" t="s">
        <v>163</v>
      </c>
      <c r="P77" s="8"/>
      <c r="Q77" s="8">
        <f>COUNTIF(Q5:Q69,"X")</f>
        <v>65</v>
      </c>
    </row>
    <row r="78">
      <c r="A78" s="11"/>
      <c r="B78" s="62" t="s">
        <v>129</v>
      </c>
      <c r="C78" s="62" t="s">
        <v>130</v>
      </c>
      <c r="D78" s="62" t="s">
        <v>131</v>
      </c>
      <c r="J78" s="49"/>
      <c r="K78" s="59"/>
      <c r="L78" s="60"/>
      <c r="O78" s="7" t="s">
        <v>132</v>
      </c>
      <c r="P78" s="8"/>
      <c r="Q78" s="8">
        <f>countif(Q5:Q69,"N")</f>
        <v>0</v>
      </c>
    </row>
    <row r="79">
      <c r="A79" s="11"/>
      <c r="B79" s="51" t="str">
        <f>IFERROR(__xludf.DUMMYFUNCTION("QUERY(B5:L69,""Select B, K, L where K &gt;= 18 order by K desc, L desc"",0)"),"Adrian Tay")</f>
        <v>Adrian Tay</v>
      </c>
      <c r="C79" s="71">
        <f>IFERROR(__xludf.DUMMYFUNCTION("""COMPUTED_VALUE"""),19.0)</f>
        <v>19</v>
      </c>
      <c r="D79" s="71">
        <f>IFERROR(__xludf.DUMMYFUNCTION("""COMPUTED_VALUE"""),3.0)</f>
        <v>3</v>
      </c>
      <c r="E79" s="11"/>
      <c r="K79" s="59"/>
      <c r="L79" s="60"/>
      <c r="O79" s="7" t="s">
        <v>164</v>
      </c>
      <c r="P79" s="8"/>
      <c r="Q79" s="8">
        <f>countif(Q5:Q69,"")</f>
        <v>0</v>
      </c>
    </row>
    <row r="80">
      <c r="A80" s="11"/>
      <c r="B80" s="51" t="str">
        <f>IFERROR(__xludf.DUMMYFUNCTION("""COMPUTED_VALUE"""),"Tom Le")</f>
        <v>Tom Le</v>
      </c>
      <c r="C80" s="71">
        <f>IFERROR(__xludf.DUMMYFUNCTION("""COMPUTED_VALUE"""),18.0)</f>
        <v>18</v>
      </c>
      <c r="D80" s="71">
        <f>IFERROR(__xludf.DUMMYFUNCTION("""COMPUTED_VALUE"""),3.0)</f>
        <v>3</v>
      </c>
      <c r="E80" s="11"/>
      <c r="L80" s="65"/>
      <c r="O80" s="7" t="s">
        <v>60</v>
      </c>
      <c r="P80" s="8"/>
      <c r="Q80" s="8">
        <f>sum(Q77:Q79)</f>
        <v>65</v>
      </c>
    </row>
    <row r="81">
      <c r="A81" s="11"/>
      <c r="B81" s="51" t="str">
        <f>IFERROR(__xludf.DUMMYFUNCTION("""COMPUTED_VALUE"""),"Lam Bui")</f>
        <v>Lam Bui</v>
      </c>
      <c r="C81" s="71">
        <f>IFERROR(__xludf.DUMMYFUNCTION("""COMPUTED_VALUE"""),18.0)</f>
        <v>18</v>
      </c>
      <c r="D81" s="71">
        <f>IFERROR(__xludf.DUMMYFUNCTION("""COMPUTED_VALUE"""),3.0)</f>
        <v>3</v>
      </c>
      <c r="E81" s="11"/>
    </row>
    <row r="82">
      <c r="A82" s="11"/>
      <c r="B82" s="51" t="str">
        <f>IFERROR(__xludf.DUMMYFUNCTION("""COMPUTED_VALUE"""),"Eric Pan")</f>
        <v>Eric Pan</v>
      </c>
      <c r="C82" s="71">
        <f>IFERROR(__xludf.DUMMYFUNCTION("""COMPUTED_VALUE"""),18.0)</f>
        <v>18</v>
      </c>
      <c r="D82" s="71">
        <f>IFERROR(__xludf.DUMMYFUNCTION("""COMPUTED_VALUE"""),3.0)</f>
        <v>3</v>
      </c>
      <c r="E82" s="11"/>
    </row>
    <row r="83">
      <c r="A83" s="11"/>
      <c r="B83" s="51" t="str">
        <f>IFERROR(__xludf.DUMMYFUNCTION("""COMPUTED_VALUE"""),"Frank Moon")</f>
        <v>Frank Moon</v>
      </c>
      <c r="C83" s="71">
        <f>IFERROR(__xludf.DUMMYFUNCTION("""COMPUTED_VALUE"""),18.0)</f>
        <v>18</v>
      </c>
      <c r="D83" s="71">
        <f>IFERROR(__xludf.DUMMYFUNCTION("""COMPUTED_VALUE"""),3.0)</f>
        <v>3</v>
      </c>
      <c r="E83" s="11"/>
      <c r="K83" s="10"/>
    </row>
    <row r="84">
      <c r="A84" s="11"/>
      <c r="B84" s="51"/>
      <c r="C84" s="71"/>
      <c r="D84" s="71"/>
      <c r="E84" s="11"/>
      <c r="K84" s="10"/>
    </row>
    <row r="85">
      <c r="A85" s="11"/>
      <c r="B85" s="51"/>
      <c r="C85" s="71"/>
      <c r="D85" s="71"/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</row>
    <row r="88">
      <c r="A88" s="11"/>
      <c r="B88" s="51"/>
      <c r="C88" s="71"/>
      <c r="D88" s="71"/>
      <c r="E88" s="11"/>
    </row>
    <row r="89">
      <c r="A89" s="11"/>
      <c r="C89" s="11"/>
      <c r="D89" s="11"/>
      <c r="E89" s="11"/>
    </row>
    <row r="90">
      <c r="A90" s="11"/>
      <c r="B90" s="10" t="s">
        <v>165</v>
      </c>
      <c r="C90" s="11"/>
      <c r="D90" s="11"/>
      <c r="E90" s="11"/>
    </row>
    <row r="91">
      <c r="A91" s="11"/>
      <c r="B91" s="27" t="s">
        <v>31</v>
      </c>
      <c r="C91" s="29" t="s">
        <v>2</v>
      </c>
      <c r="D91" s="29" t="s">
        <v>4</v>
      </c>
      <c r="E91" s="29" t="s">
        <v>33</v>
      </c>
      <c r="F91" s="29" t="s">
        <v>35</v>
      </c>
      <c r="G91" s="29" t="s">
        <v>36</v>
      </c>
      <c r="H91" s="29" t="s">
        <v>6</v>
      </c>
      <c r="I91" s="29" t="s">
        <v>7</v>
      </c>
      <c r="J91" s="29" t="s">
        <v>8</v>
      </c>
      <c r="K91" s="29" t="s">
        <v>2</v>
      </c>
      <c r="L91" s="29" t="s">
        <v>4</v>
      </c>
      <c r="M91" s="28" t="s">
        <v>2</v>
      </c>
      <c r="N91" s="28" t="s">
        <v>4</v>
      </c>
    </row>
    <row r="92">
      <c r="A92" s="11"/>
      <c r="B92" s="82" t="str">
        <f>IFERROR(__xludf.DUMMYFUNCTION("QUERY(B5:N69, ""Select B, C, D, E, F, G, H, I, J, K, L, M, N   where F &gt;= 1"")"),"#N/A")</f>
        <v>#N/A</v>
      </c>
      <c r="C92" s="83"/>
      <c r="D92" s="83"/>
      <c r="E92" s="83"/>
      <c r="F92" s="82"/>
      <c r="G92" s="82"/>
      <c r="H92" s="82"/>
      <c r="I92" s="82"/>
      <c r="J92" s="82"/>
      <c r="K92" s="82"/>
      <c r="L92" s="82"/>
      <c r="M92" s="82"/>
      <c r="N92" s="82"/>
    </row>
    <row r="93">
      <c r="A93" s="11"/>
      <c r="B93" s="82"/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</row>
    <row r="94">
      <c r="A94" s="11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</row>
    <row r="95">
      <c r="A95" s="11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</row>
    <row r="96">
      <c r="A96" s="11"/>
      <c r="B96" s="84"/>
      <c r="C96" s="85"/>
      <c r="D96" s="85"/>
      <c r="E96" s="85"/>
      <c r="F96" s="84"/>
      <c r="G96" s="84"/>
      <c r="H96" s="84"/>
      <c r="I96" s="84"/>
      <c r="J96" s="84"/>
      <c r="K96" s="84"/>
      <c r="L96" s="84"/>
      <c r="M96" s="84"/>
      <c r="N96" s="84"/>
    </row>
    <row r="97">
      <c r="A97" s="11"/>
      <c r="B97" s="84"/>
      <c r="C97" s="85"/>
      <c r="D97" s="85"/>
      <c r="E97" s="85"/>
      <c r="F97" s="84"/>
      <c r="G97" s="84"/>
      <c r="H97" s="84"/>
      <c r="I97" s="84"/>
      <c r="J97" s="84"/>
      <c r="K97" s="84"/>
      <c r="L97" s="84"/>
      <c r="M97" s="84"/>
      <c r="N97" s="84"/>
    </row>
    <row r="98">
      <c r="A98" s="11"/>
      <c r="B98" s="84"/>
      <c r="C98" s="85"/>
      <c r="D98" s="85"/>
      <c r="E98" s="85"/>
      <c r="F98" s="84"/>
      <c r="G98" s="84"/>
      <c r="H98" s="84"/>
      <c r="I98" s="84"/>
      <c r="J98" s="84"/>
      <c r="K98" s="84"/>
      <c r="L98" s="84"/>
      <c r="M98" s="84"/>
      <c r="N98" s="84"/>
    </row>
    <row r="99">
      <c r="A99" s="11"/>
      <c r="B99" s="84"/>
      <c r="C99" s="85"/>
      <c r="D99" s="85"/>
      <c r="E99" s="85"/>
      <c r="F99" s="84"/>
      <c r="G99" s="84"/>
      <c r="H99" s="84"/>
      <c r="I99" s="84"/>
      <c r="J99" s="84"/>
      <c r="K99" s="84"/>
      <c r="L99" s="84"/>
      <c r="M99" s="84"/>
      <c r="N99" s="84"/>
    </row>
    <row r="100">
      <c r="A100" s="11"/>
      <c r="B100" s="84"/>
      <c r="C100" s="83"/>
      <c r="D100" s="83"/>
      <c r="E100" s="83"/>
      <c r="F100" s="82"/>
      <c r="G100" s="82"/>
      <c r="H100" s="82"/>
      <c r="I100" s="82"/>
      <c r="J100" s="82"/>
      <c r="K100" s="82"/>
      <c r="L100" s="82"/>
      <c r="M100" s="82"/>
      <c r="N100" s="82"/>
    </row>
    <row r="101">
      <c r="A101" s="11"/>
      <c r="B101" s="84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</row>
    <row r="102">
      <c r="A102" s="11"/>
      <c r="B102" s="82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</row>
    <row r="103">
      <c r="A103" s="11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</row>
    <row r="104">
      <c r="A104" s="11"/>
      <c r="B104" s="84"/>
      <c r="C104" s="85"/>
      <c r="D104" s="85"/>
      <c r="E104" s="85"/>
      <c r="F104" s="84"/>
      <c r="G104" s="84"/>
      <c r="H104" s="84"/>
      <c r="I104" s="84"/>
      <c r="J104" s="84"/>
      <c r="K104" s="84"/>
      <c r="L104" s="84"/>
      <c r="M104" s="84"/>
      <c r="N104" s="84"/>
    </row>
    <row r="105">
      <c r="A105" s="11"/>
      <c r="B105" s="84"/>
      <c r="C105" s="85"/>
      <c r="D105" s="85"/>
      <c r="E105" s="85"/>
      <c r="F105" s="84"/>
      <c r="G105" s="84"/>
      <c r="H105" s="84"/>
      <c r="I105" s="84"/>
      <c r="J105" s="84"/>
      <c r="K105" s="84"/>
      <c r="L105" s="84"/>
      <c r="M105" s="84"/>
      <c r="N105" s="84"/>
    </row>
    <row r="106">
      <c r="A106" s="11"/>
      <c r="B106" s="84"/>
      <c r="C106" s="85"/>
      <c r="D106" s="85"/>
      <c r="E106" s="85"/>
      <c r="F106" s="84"/>
      <c r="G106" s="84"/>
      <c r="H106" s="84"/>
      <c r="I106" s="84"/>
      <c r="J106" s="84"/>
      <c r="K106" s="84"/>
      <c r="L106" s="84"/>
      <c r="M106" s="84"/>
      <c r="N106" s="84"/>
    </row>
    <row r="107">
      <c r="A107" s="11"/>
      <c r="B107" s="84"/>
      <c r="C107" s="85"/>
      <c r="D107" s="85"/>
      <c r="E107" s="85"/>
      <c r="F107" s="84"/>
      <c r="G107" s="84"/>
      <c r="H107" s="84"/>
      <c r="I107" s="84"/>
      <c r="J107" s="84"/>
      <c r="K107" s="84"/>
      <c r="L107" s="84"/>
      <c r="M107" s="84"/>
      <c r="N107" s="84"/>
    </row>
    <row r="108">
      <c r="A108" s="11"/>
      <c r="B108" s="82"/>
      <c r="C108" s="83"/>
      <c r="D108" s="83"/>
      <c r="E108" s="83"/>
      <c r="F108" s="82"/>
      <c r="G108" s="82"/>
      <c r="H108" s="82"/>
      <c r="I108" s="82"/>
      <c r="J108" s="82"/>
      <c r="K108" s="82"/>
      <c r="L108" s="82"/>
      <c r="M108" s="82"/>
      <c r="N108" s="82"/>
    </row>
    <row r="109">
      <c r="A109" s="11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</row>
    <row r="110">
      <c r="A110" s="11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</row>
    <row r="111">
      <c r="A111" s="11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</row>
    <row r="112">
      <c r="A112" s="11"/>
      <c r="B112" s="84"/>
      <c r="C112" s="85"/>
      <c r="D112" s="85"/>
      <c r="E112" s="85"/>
      <c r="F112" s="84"/>
      <c r="G112" s="84"/>
      <c r="H112" s="84"/>
      <c r="I112" s="84"/>
      <c r="J112" s="84"/>
      <c r="K112" s="84"/>
      <c r="L112" s="84"/>
      <c r="M112" s="84"/>
      <c r="N112" s="84"/>
    </row>
    <row r="113">
      <c r="A113" s="11"/>
      <c r="B113" s="84"/>
      <c r="C113" s="85"/>
      <c r="D113" s="85"/>
      <c r="E113" s="85"/>
      <c r="F113" s="84"/>
      <c r="G113" s="84"/>
      <c r="H113" s="84"/>
      <c r="I113" s="84"/>
      <c r="J113" s="84"/>
      <c r="K113" s="84"/>
      <c r="L113" s="84"/>
      <c r="M113" s="84"/>
      <c r="N113" s="84"/>
    </row>
    <row r="114">
      <c r="A114" s="11"/>
      <c r="B114" s="84"/>
      <c r="C114" s="85"/>
      <c r="D114" s="85"/>
      <c r="E114" s="85"/>
      <c r="F114" s="84"/>
      <c r="G114" s="84"/>
      <c r="H114" s="84"/>
      <c r="I114" s="84"/>
      <c r="J114" s="84"/>
      <c r="K114" s="84"/>
      <c r="L114" s="84"/>
      <c r="M114" s="84"/>
      <c r="N114" s="84"/>
    </row>
    <row r="115">
      <c r="A115" s="11"/>
      <c r="B115" s="84"/>
      <c r="C115" s="85"/>
      <c r="D115" s="85"/>
      <c r="E115" s="85"/>
      <c r="F115" s="84"/>
      <c r="G115" s="84"/>
      <c r="H115" s="84"/>
      <c r="I115" s="84"/>
      <c r="J115" s="84"/>
      <c r="K115" s="84"/>
      <c r="L115" s="84"/>
      <c r="M115" s="84"/>
      <c r="N115" s="84"/>
    </row>
    <row r="116">
      <c r="A116" s="11"/>
      <c r="B116" s="82"/>
      <c r="C116" s="83"/>
      <c r="D116" s="83"/>
      <c r="E116" s="83"/>
      <c r="F116" s="82"/>
      <c r="G116" s="82"/>
      <c r="H116" s="82"/>
      <c r="I116" s="82"/>
      <c r="J116" s="82"/>
      <c r="K116" s="82"/>
      <c r="L116" s="82"/>
      <c r="M116" s="82"/>
      <c r="N116" s="82"/>
    </row>
    <row r="117">
      <c r="A117" s="11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</row>
    <row r="118">
      <c r="A118" s="11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</row>
    <row r="119">
      <c r="A119" s="11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</row>
    <row r="120">
      <c r="A120" s="11"/>
      <c r="B120" s="84"/>
      <c r="C120" s="85"/>
      <c r="D120" s="85"/>
      <c r="E120" s="85"/>
      <c r="F120" s="84"/>
      <c r="G120" s="84"/>
      <c r="H120" s="84"/>
      <c r="I120" s="84"/>
      <c r="J120" s="84"/>
      <c r="K120" s="84"/>
      <c r="L120" s="84"/>
      <c r="M120" s="84"/>
      <c r="N120" s="84"/>
    </row>
    <row r="121">
      <c r="A121" s="11"/>
      <c r="B121" s="84"/>
      <c r="C121" s="85"/>
      <c r="D121" s="85"/>
      <c r="E121" s="85"/>
      <c r="F121" s="84"/>
      <c r="G121" s="84"/>
      <c r="H121" s="84"/>
      <c r="I121" s="84"/>
      <c r="J121" s="84"/>
      <c r="K121" s="84"/>
      <c r="L121" s="84"/>
      <c r="M121" s="84"/>
      <c r="N121" s="84"/>
    </row>
    <row r="122">
      <c r="A122" s="11"/>
      <c r="B122" s="84"/>
      <c r="C122" s="85"/>
      <c r="D122" s="85"/>
      <c r="E122" s="85"/>
      <c r="F122" s="84"/>
      <c r="G122" s="84"/>
      <c r="H122" s="84"/>
      <c r="I122" s="84"/>
      <c r="J122" s="84"/>
      <c r="K122" s="84"/>
      <c r="L122" s="84"/>
      <c r="M122" s="84"/>
      <c r="N122" s="84"/>
    </row>
    <row r="123">
      <c r="A123" s="11"/>
      <c r="B123" s="84"/>
      <c r="C123" s="85"/>
      <c r="D123" s="85"/>
      <c r="E123" s="85"/>
      <c r="F123" s="84"/>
      <c r="G123" s="84"/>
      <c r="H123" s="84"/>
      <c r="I123" s="84"/>
      <c r="J123" s="84"/>
      <c r="K123" s="84"/>
      <c r="L123" s="84"/>
      <c r="M123" s="84"/>
      <c r="N123" s="84"/>
    </row>
    <row r="124">
      <c r="A124" s="11"/>
      <c r="C124" s="11"/>
      <c r="D124" s="11"/>
      <c r="E124" s="11"/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B134" s="10" t="s">
        <v>166</v>
      </c>
      <c r="C134" s="11"/>
      <c r="D134" s="11"/>
      <c r="E134" s="11"/>
    </row>
    <row r="135">
      <c r="A135" s="11"/>
      <c r="B135" s="27" t="s">
        <v>31</v>
      </c>
      <c r="C135" s="29" t="s">
        <v>2</v>
      </c>
      <c r="D135" s="29" t="s">
        <v>4</v>
      </c>
      <c r="E135" s="29" t="s">
        <v>33</v>
      </c>
      <c r="F135" s="29" t="s">
        <v>35</v>
      </c>
      <c r="G135" s="29" t="s">
        <v>36</v>
      </c>
      <c r="H135" s="29" t="s">
        <v>6</v>
      </c>
      <c r="I135" s="29" t="s">
        <v>7</v>
      </c>
      <c r="J135" s="29" t="s">
        <v>8</v>
      </c>
      <c r="K135" s="29" t="s">
        <v>2</v>
      </c>
      <c r="L135" s="29" t="s">
        <v>4</v>
      </c>
      <c r="M135" s="28" t="s">
        <v>2</v>
      </c>
      <c r="N135" s="28" t="s">
        <v>4</v>
      </c>
    </row>
    <row r="136">
      <c r="A136" s="11"/>
      <c r="B136" s="82" t="str">
        <f>IFERROR(__xludf.DUMMYFUNCTION("QUERY(B5:N69, ""Select B, C, D, E, F, G, H, I, J, K, L, M, N   where F = 0"")"),"Nohely Mejia")</f>
        <v>Nohely Mejia</v>
      </c>
      <c r="C136" s="87">
        <f>IFERROR(__xludf.DUMMYFUNCTION("""COMPUTED_VALUE"""),0.0)</f>
        <v>0</v>
      </c>
      <c r="D136" s="87">
        <f>IFERROR(__xludf.DUMMYFUNCTION("""COMPUTED_VALUE"""),0.0)</f>
        <v>0</v>
      </c>
      <c r="E136" s="86">
        <f>IFERROR(__xludf.DUMMYFUNCTION("""COMPUTED_VALUE"""),3.0)</f>
        <v>3</v>
      </c>
      <c r="F136" s="88">
        <f>IFERROR(__xludf.DUMMYFUNCTION("""COMPUTED_VALUE"""),0.0)</f>
        <v>0</v>
      </c>
      <c r="G136" s="88">
        <f>IFERROR(__xludf.DUMMYFUNCTION("""COMPUTED_VALUE"""),9.0)</f>
        <v>9</v>
      </c>
      <c r="H136" s="88">
        <f>IFERROR(__xludf.DUMMYFUNCTION("""COMPUTED_VALUE"""),0.0)</f>
        <v>0</v>
      </c>
      <c r="I136" s="88">
        <f>IFERROR(__xludf.DUMMYFUNCTION("""COMPUTED_VALUE"""),0.0)</f>
        <v>0</v>
      </c>
      <c r="J136" s="88">
        <f>IFERROR(__xludf.DUMMYFUNCTION("""COMPUTED_VALUE"""),0.0)</f>
        <v>0</v>
      </c>
      <c r="K136" s="88">
        <f>IFERROR(__xludf.DUMMYFUNCTION("""COMPUTED_VALUE"""),9.0)</f>
        <v>9</v>
      </c>
      <c r="L136" s="88">
        <f>IFERROR(__xludf.DUMMYFUNCTION("""COMPUTED_VALUE"""),0.0)</f>
        <v>0</v>
      </c>
      <c r="M136" s="89">
        <f>IFERROR(__xludf.DUMMYFUNCTION("""COMPUTED_VALUE"""),9.0)</f>
        <v>9</v>
      </c>
      <c r="N136" s="89">
        <f>IFERROR(__xludf.DUMMYFUNCTION("""COMPUTED_VALUE"""),0.0)</f>
        <v>0</v>
      </c>
    </row>
    <row r="137">
      <c r="A137" s="11"/>
      <c r="B137" s="82" t="str">
        <f>IFERROR(__xludf.DUMMYFUNCTION("""COMPUTED_VALUE"""),"Alejandro Mejia")</f>
        <v>Alejandro Mejia</v>
      </c>
      <c r="C137" s="87">
        <f>IFERROR(__xludf.DUMMYFUNCTION("""COMPUTED_VALUE"""),0.0)</f>
        <v>0</v>
      </c>
      <c r="D137" s="87">
        <f>IFERROR(__xludf.DUMMYFUNCTION("""COMPUTED_VALUE"""),0.0)</f>
        <v>0</v>
      </c>
      <c r="E137" s="86">
        <f>IFERROR(__xludf.DUMMYFUNCTION("""COMPUTED_VALUE"""),3.0)</f>
        <v>3</v>
      </c>
      <c r="F137" s="88">
        <f>IFERROR(__xludf.DUMMYFUNCTION("""COMPUTED_VALUE"""),0.0)</f>
        <v>0</v>
      </c>
      <c r="G137" s="88">
        <f>IFERROR(__xludf.DUMMYFUNCTION("""COMPUTED_VALUE"""),9.0)</f>
        <v>9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IFERROR(__xludf.DUMMYFUNCTION("""COMPUTED_VALUE"""),9.0)</f>
        <v>9</v>
      </c>
      <c r="L137" s="88">
        <f>IFERROR(__xludf.DUMMYFUNCTION("""COMPUTED_VALUE"""),0.0)</f>
        <v>0</v>
      </c>
      <c r="M137" s="89">
        <f>IFERROR(__xludf.DUMMYFUNCTION("""COMPUTED_VALUE"""),9.0)</f>
        <v>9</v>
      </c>
      <c r="N137" s="89">
        <f>IFERROR(__xludf.DUMMYFUNCTION("""COMPUTED_VALUE"""),0.0)</f>
        <v>0</v>
      </c>
    </row>
    <row r="138">
      <c r="A138" s="11"/>
      <c r="B138" s="82" t="str">
        <f>IFERROR(__xludf.DUMMYFUNCTION("""COMPUTED_VALUE"""),"Troy Wong")</f>
        <v>Troy Wong</v>
      </c>
      <c r="C138" s="87">
        <f>IFERROR(__xludf.DUMMYFUNCTION("""COMPUTED_VALUE"""),0.0)</f>
        <v>0</v>
      </c>
      <c r="D138" s="87">
        <f>IFERROR(__xludf.DUMMYFUNCTION("""COMPUTED_VALUE"""),0.0)</f>
        <v>0</v>
      </c>
      <c r="E138" s="86">
        <f>IFERROR(__xludf.DUMMYFUNCTION("""COMPUTED_VALUE"""),3.0)</f>
        <v>3</v>
      </c>
      <c r="F138" s="88">
        <f>IFERROR(__xludf.DUMMYFUNCTION("""COMPUTED_VALUE"""),0.0)</f>
        <v>0</v>
      </c>
      <c r="G138" s="88">
        <f>IFERROR(__xludf.DUMMYFUNCTION("""COMPUTED_VALUE"""),9.0)</f>
        <v>9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IFERROR(__xludf.DUMMYFUNCTION("""COMPUTED_VALUE"""),9.0)</f>
        <v>9</v>
      </c>
      <c r="L138" s="88">
        <f>IFERROR(__xludf.DUMMYFUNCTION("""COMPUTED_VALUE"""),0.0)</f>
        <v>0</v>
      </c>
      <c r="M138" s="89">
        <f>IFERROR(__xludf.DUMMYFUNCTION("""COMPUTED_VALUE"""),9.0)</f>
        <v>9</v>
      </c>
      <c r="N138" s="89">
        <f>IFERROR(__xludf.DUMMYFUNCTION("""COMPUTED_VALUE"""),0.0)</f>
        <v>0</v>
      </c>
    </row>
    <row r="139">
      <c r="A139" s="11"/>
      <c r="B139" s="82" t="str">
        <f>IFERROR(__xludf.DUMMYFUNCTION("""COMPUTED_VALUE"""),"Peter Homsey")</f>
        <v>Peter Homsey</v>
      </c>
      <c r="C139" s="87">
        <f>IFERROR(__xludf.DUMMYFUNCTION("""COMPUTED_VALUE"""),0.0)</f>
        <v>0</v>
      </c>
      <c r="D139" s="87">
        <f>IFERROR(__xludf.DUMMYFUNCTION("""COMPUTED_VALUE"""),0.0)</f>
        <v>0</v>
      </c>
      <c r="E139" s="86">
        <f>IFERROR(__xludf.DUMMYFUNCTION("""COMPUTED_VALUE"""),4.0)</f>
        <v>4</v>
      </c>
      <c r="F139" s="88">
        <f>IFERROR(__xludf.DUMMYFUNCTION("""COMPUTED_VALUE"""),0.0)</f>
        <v>0</v>
      </c>
      <c r="G139" s="88">
        <f>IFERROR(__xludf.DUMMYFUNCTION("""COMPUTED_VALUE"""),9.0)</f>
        <v>9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IFERROR(__xludf.DUMMYFUNCTION("""COMPUTED_VALUE"""),9.0)</f>
        <v>9</v>
      </c>
      <c r="L139" s="88">
        <f>IFERROR(__xludf.DUMMYFUNCTION("""COMPUTED_VALUE"""),0.0)</f>
        <v>0</v>
      </c>
      <c r="M139" s="89">
        <f>IFERROR(__xludf.DUMMYFUNCTION("""COMPUTED_VALUE"""),9.0)</f>
        <v>9</v>
      </c>
      <c r="N139" s="89">
        <f>IFERROR(__xludf.DUMMYFUNCTION("""COMPUTED_VALUE"""),0.0)</f>
        <v>0</v>
      </c>
    </row>
    <row r="140">
      <c r="A140" s="11"/>
      <c r="B140" s="82" t="str">
        <f>IFERROR(__xludf.DUMMYFUNCTION("""COMPUTED_VALUE"""),"Coco Yan")</f>
        <v>Coco Yan</v>
      </c>
      <c r="C140" s="87">
        <f>IFERROR(__xludf.DUMMYFUNCTION("""COMPUTED_VALUE"""),0.0)</f>
        <v>0</v>
      </c>
      <c r="D140" s="87">
        <f>IFERROR(__xludf.DUMMYFUNCTION("""COMPUTED_VALUE"""),0.0)</f>
        <v>0</v>
      </c>
      <c r="E140" s="86">
        <f>IFERROR(__xludf.DUMMYFUNCTION("""COMPUTED_VALUE"""),3.0)</f>
        <v>3</v>
      </c>
      <c r="F140" s="88">
        <f>IFERROR(__xludf.DUMMYFUNCTION("""COMPUTED_VALUE"""),0.0)</f>
        <v>0</v>
      </c>
      <c r="G140" s="88">
        <f>IFERROR(__xludf.DUMMYFUNCTION("""COMPUTED_VALUE"""),9.0)</f>
        <v>9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IFERROR(__xludf.DUMMYFUNCTION("""COMPUTED_VALUE"""),9.0)</f>
        <v>9</v>
      </c>
      <c r="L140" s="88">
        <f>IFERROR(__xludf.DUMMYFUNCTION("""COMPUTED_VALUE"""),0.0)</f>
        <v>0</v>
      </c>
      <c r="M140" s="89">
        <f>IFERROR(__xludf.DUMMYFUNCTION("""COMPUTED_VALUE"""),9.0)</f>
        <v>9</v>
      </c>
      <c r="N140" s="89">
        <f>IFERROR(__xludf.DUMMYFUNCTION("""COMPUTED_VALUE"""),0.0)</f>
        <v>0</v>
      </c>
    </row>
    <row r="141">
      <c r="A141" s="11"/>
      <c r="B141" s="82" t="str">
        <f>IFERROR(__xludf.DUMMYFUNCTION("""COMPUTED_VALUE"""),"Oscar Bonilla")</f>
        <v>Oscar Bonilla</v>
      </c>
      <c r="C141" s="87">
        <f>IFERROR(__xludf.DUMMYFUNCTION("""COMPUTED_VALUE"""),0.0)</f>
        <v>0</v>
      </c>
      <c r="D141" s="87">
        <f>IFERROR(__xludf.DUMMYFUNCTION("""COMPUTED_VALUE"""),0.0)</f>
        <v>0</v>
      </c>
      <c r="E141" s="86">
        <f>IFERROR(__xludf.DUMMYFUNCTION("""COMPUTED_VALUE"""),3.0)</f>
        <v>3</v>
      </c>
      <c r="F141" s="88">
        <f>IFERROR(__xludf.DUMMYFUNCTION("""COMPUTED_VALUE"""),0.0)</f>
        <v>0</v>
      </c>
      <c r="G141" s="88">
        <f>IFERROR(__xludf.DUMMYFUNCTION("""COMPUTED_VALUE"""),9.0)</f>
        <v>9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IFERROR(__xludf.DUMMYFUNCTION("""COMPUTED_VALUE"""),9.0)</f>
        <v>9</v>
      </c>
      <c r="L141" s="88">
        <f>IFERROR(__xludf.DUMMYFUNCTION("""COMPUTED_VALUE"""),0.0)</f>
        <v>0</v>
      </c>
      <c r="M141" s="89">
        <f>IFERROR(__xludf.DUMMYFUNCTION("""COMPUTED_VALUE"""),9.0)</f>
        <v>9</v>
      </c>
      <c r="N141" s="89">
        <f>IFERROR(__xludf.DUMMYFUNCTION("""COMPUTED_VALUE"""),0.0)</f>
        <v>0</v>
      </c>
    </row>
    <row r="142">
      <c r="A142" s="11"/>
      <c r="B142" s="82" t="str">
        <f>IFERROR(__xludf.DUMMYFUNCTION("""COMPUTED_VALUE"""),"Amit Patel")</f>
        <v>Amit Patel</v>
      </c>
      <c r="C142" s="87">
        <f>IFERROR(__xludf.DUMMYFUNCTION("""COMPUTED_VALUE"""),0.0)</f>
        <v>0</v>
      </c>
      <c r="D142" s="87">
        <f>IFERROR(__xludf.DUMMYFUNCTION("""COMPUTED_VALUE"""),0.0)</f>
        <v>0</v>
      </c>
      <c r="E142" s="86">
        <f>IFERROR(__xludf.DUMMYFUNCTION("""COMPUTED_VALUE"""),3.0)</f>
        <v>3</v>
      </c>
      <c r="F142" s="88">
        <f>IFERROR(__xludf.DUMMYFUNCTION("""COMPUTED_VALUE"""),0.0)</f>
        <v>0</v>
      </c>
      <c r="G142" s="88">
        <f>IFERROR(__xludf.DUMMYFUNCTION("""COMPUTED_VALUE"""),9.0)</f>
        <v>9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IFERROR(__xludf.DUMMYFUNCTION("""COMPUTED_VALUE"""),9.0)</f>
        <v>9</v>
      </c>
      <c r="L142" s="88">
        <f>IFERROR(__xludf.DUMMYFUNCTION("""COMPUTED_VALUE"""),0.0)</f>
        <v>0</v>
      </c>
      <c r="M142" s="89">
        <f>IFERROR(__xludf.DUMMYFUNCTION("""COMPUTED_VALUE"""),9.0)</f>
        <v>9</v>
      </c>
      <c r="N142" s="89">
        <f>IFERROR(__xludf.DUMMYFUNCTION("""COMPUTED_VALUE"""),0.0)</f>
        <v>0</v>
      </c>
    </row>
    <row r="143">
      <c r="A143" s="11"/>
      <c r="B143" s="82" t="str">
        <f>IFERROR(__xludf.DUMMYFUNCTION("""COMPUTED_VALUE"""),"Manuel Rivera")</f>
        <v>Manuel Rivera</v>
      </c>
      <c r="C143" s="87">
        <f>IFERROR(__xludf.DUMMYFUNCTION("""COMPUTED_VALUE"""),0.0)</f>
        <v>0</v>
      </c>
      <c r="D143" s="87">
        <f>IFERROR(__xludf.DUMMYFUNCTION("""COMPUTED_VALUE"""),0.0)</f>
        <v>0</v>
      </c>
      <c r="E143" s="86">
        <f>IFERROR(__xludf.DUMMYFUNCTION("""COMPUTED_VALUE"""),3.0)</f>
        <v>3</v>
      </c>
      <c r="F143" s="88">
        <f>IFERROR(__xludf.DUMMYFUNCTION("""COMPUTED_VALUE"""),0.0)</f>
        <v>0</v>
      </c>
      <c r="G143" s="88">
        <f>IFERROR(__xludf.DUMMYFUNCTION("""COMPUTED_VALUE"""),9.0)</f>
        <v>9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IFERROR(__xludf.DUMMYFUNCTION("""COMPUTED_VALUE"""),9.0)</f>
        <v>9</v>
      </c>
      <c r="L143" s="88">
        <f>IFERROR(__xludf.DUMMYFUNCTION("""COMPUTED_VALUE"""),0.0)</f>
        <v>0</v>
      </c>
      <c r="M143" s="89">
        <f>IFERROR(__xludf.DUMMYFUNCTION("""COMPUTED_VALUE"""),9.0)</f>
        <v>9</v>
      </c>
      <c r="N143" s="89">
        <f>IFERROR(__xludf.DUMMYFUNCTION("""COMPUTED_VALUE"""),0.0)</f>
        <v>0</v>
      </c>
    </row>
    <row r="144">
      <c r="A144" s="11"/>
      <c r="B144" s="82" t="str">
        <f>IFERROR(__xludf.DUMMYFUNCTION("""COMPUTED_VALUE"""),"Rajasekar Ramasamy")</f>
        <v>Rajasekar Ramasamy</v>
      </c>
      <c r="C144" s="87">
        <f>IFERROR(__xludf.DUMMYFUNCTION("""COMPUTED_VALUE"""),0.0)</f>
        <v>0</v>
      </c>
      <c r="D144" s="87">
        <f>IFERROR(__xludf.DUMMYFUNCTION("""COMPUTED_VALUE"""),0.0)</f>
        <v>0</v>
      </c>
      <c r="E144" s="86">
        <f>IFERROR(__xludf.DUMMYFUNCTION("""COMPUTED_VALUE"""),3.0)</f>
        <v>3</v>
      </c>
      <c r="F144" s="88">
        <f>IFERROR(__xludf.DUMMYFUNCTION("""COMPUTED_VALUE"""),0.0)</f>
        <v>0</v>
      </c>
      <c r="G144" s="88">
        <f>IFERROR(__xludf.DUMMYFUNCTION("""COMPUTED_VALUE"""),9.0)</f>
        <v>9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IFERROR(__xludf.DUMMYFUNCTION("""COMPUTED_VALUE"""),9.0)</f>
        <v>9</v>
      </c>
      <c r="L144" s="88">
        <f>IFERROR(__xludf.DUMMYFUNCTION("""COMPUTED_VALUE"""),0.0)</f>
        <v>0</v>
      </c>
      <c r="M144" s="89">
        <f>IFERROR(__xludf.DUMMYFUNCTION("""COMPUTED_VALUE"""),9.0)</f>
        <v>9</v>
      </c>
      <c r="N144" s="89">
        <f>IFERROR(__xludf.DUMMYFUNCTION("""COMPUTED_VALUE"""),0.0)</f>
        <v>0</v>
      </c>
    </row>
    <row r="145">
      <c r="A145" s="11"/>
      <c r="B145" s="82" t="str">
        <f>IFERROR(__xludf.DUMMYFUNCTION("""COMPUTED_VALUE"""),"Jimmy Awolesi")</f>
        <v>Jimmy Awolesi</v>
      </c>
      <c r="C145" s="87">
        <f>IFERROR(__xludf.DUMMYFUNCTION("""COMPUTED_VALUE"""),0.0)</f>
        <v>0</v>
      </c>
      <c r="D145" s="87">
        <f>IFERROR(__xludf.DUMMYFUNCTION("""COMPUTED_VALUE"""),0.0)</f>
        <v>0</v>
      </c>
      <c r="E145" s="86">
        <f>IFERROR(__xludf.DUMMYFUNCTION("""COMPUTED_VALUE"""),4.0)</f>
        <v>4</v>
      </c>
      <c r="F145" s="88">
        <f>IFERROR(__xludf.DUMMYFUNCTION("""COMPUTED_VALUE"""),0.0)</f>
        <v>0</v>
      </c>
      <c r="G145" s="88">
        <f>IFERROR(__xludf.DUMMYFUNCTION("""COMPUTED_VALUE"""),9.0)</f>
        <v>9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IFERROR(__xludf.DUMMYFUNCTION("""COMPUTED_VALUE"""),9.0)</f>
        <v>9</v>
      </c>
      <c r="L145" s="88">
        <f>IFERROR(__xludf.DUMMYFUNCTION("""COMPUTED_VALUE"""),0.0)</f>
        <v>0</v>
      </c>
      <c r="M145" s="89">
        <f>IFERROR(__xludf.DUMMYFUNCTION("""COMPUTED_VALUE"""),9.0)</f>
        <v>9</v>
      </c>
      <c r="N145" s="89">
        <f>IFERROR(__xludf.DUMMYFUNCTION("""COMPUTED_VALUE"""),0.0)</f>
        <v>0</v>
      </c>
    </row>
    <row r="146">
      <c r="A146" s="11"/>
      <c r="B146" s="82" t="str">
        <f>IFERROR(__xludf.DUMMYFUNCTION("""COMPUTED_VALUE"""),"Tony Lin")</f>
        <v>Tony Lin</v>
      </c>
      <c r="C146" s="87">
        <f>IFERROR(__xludf.DUMMYFUNCTION("""COMPUTED_VALUE"""),0.0)</f>
        <v>0</v>
      </c>
      <c r="D146" s="87">
        <f>IFERROR(__xludf.DUMMYFUNCTION("""COMPUTED_VALUE"""),0.0)</f>
        <v>0</v>
      </c>
      <c r="E146" s="86">
        <f>IFERROR(__xludf.DUMMYFUNCTION("""COMPUTED_VALUE"""),3.0)</f>
        <v>3</v>
      </c>
      <c r="F146" s="88">
        <f>IFERROR(__xludf.DUMMYFUNCTION("""COMPUTED_VALUE"""),0.0)</f>
        <v>0</v>
      </c>
      <c r="G146" s="88">
        <f>IFERROR(__xludf.DUMMYFUNCTION("""COMPUTED_VALUE"""),9.0)</f>
        <v>9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IFERROR(__xludf.DUMMYFUNCTION("""COMPUTED_VALUE"""),9.0)</f>
        <v>9</v>
      </c>
      <c r="L146" s="88">
        <f>IFERROR(__xludf.DUMMYFUNCTION("""COMPUTED_VALUE"""),0.0)</f>
        <v>0</v>
      </c>
      <c r="M146" s="89">
        <f>IFERROR(__xludf.DUMMYFUNCTION("""COMPUTED_VALUE"""),9.0)</f>
        <v>9</v>
      </c>
      <c r="N146" s="89">
        <f>IFERROR(__xludf.DUMMYFUNCTION("""COMPUTED_VALUE"""),0.0)</f>
        <v>0</v>
      </c>
    </row>
    <row r="147">
      <c r="A147" s="11"/>
      <c r="B147" s="82" t="str">
        <f>IFERROR(__xludf.DUMMYFUNCTION("""COMPUTED_VALUE"""),"Santosh Sundaresan ")</f>
        <v>Santosh Sundaresan </v>
      </c>
      <c r="C147" s="87">
        <f>IFERROR(__xludf.DUMMYFUNCTION("""COMPUTED_VALUE"""),0.0)</f>
        <v>0</v>
      </c>
      <c r="D147" s="87">
        <f>IFERROR(__xludf.DUMMYFUNCTION("""COMPUTED_VALUE"""),0.0)</f>
        <v>0</v>
      </c>
      <c r="E147" s="86">
        <f>IFERROR(__xludf.DUMMYFUNCTION("""COMPUTED_VALUE"""),3.0)</f>
        <v>3</v>
      </c>
      <c r="F147" s="88">
        <f>IFERROR(__xludf.DUMMYFUNCTION("""COMPUTED_VALUE"""),0.0)</f>
        <v>0</v>
      </c>
      <c r="G147" s="88">
        <f>IFERROR(__xludf.DUMMYFUNCTION("""COMPUTED_VALUE"""),9.0)</f>
        <v>9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IFERROR(__xludf.DUMMYFUNCTION("""COMPUTED_VALUE"""),9.0)</f>
        <v>9</v>
      </c>
      <c r="L147" s="88">
        <f>IFERROR(__xludf.DUMMYFUNCTION("""COMPUTED_VALUE"""),0.0)</f>
        <v>0</v>
      </c>
      <c r="M147" s="89">
        <f>IFERROR(__xludf.DUMMYFUNCTION("""COMPUTED_VALUE"""),9.0)</f>
        <v>9</v>
      </c>
      <c r="N147" s="89">
        <f>IFERROR(__xludf.DUMMYFUNCTION("""COMPUTED_VALUE"""),0.0)</f>
        <v>0</v>
      </c>
    </row>
    <row r="148">
      <c r="A148" s="11"/>
      <c r="B148" s="82" t="str">
        <f>IFERROR(__xludf.DUMMYFUNCTION("""COMPUTED_VALUE"""),"David Shin")</f>
        <v>David Shin</v>
      </c>
      <c r="C148" s="87">
        <f>IFERROR(__xludf.DUMMYFUNCTION("""COMPUTED_VALUE"""),0.0)</f>
        <v>0</v>
      </c>
      <c r="D148" s="87">
        <f>IFERROR(__xludf.DUMMYFUNCTION("""COMPUTED_VALUE"""),0.0)</f>
        <v>0</v>
      </c>
      <c r="E148" s="86">
        <f>IFERROR(__xludf.DUMMYFUNCTION("""COMPUTED_VALUE"""),3.0)</f>
        <v>3</v>
      </c>
      <c r="F148" s="88">
        <f>IFERROR(__xludf.DUMMYFUNCTION("""COMPUTED_VALUE"""),0.0)</f>
        <v>0</v>
      </c>
      <c r="G148" s="88">
        <f>IFERROR(__xludf.DUMMYFUNCTION("""COMPUTED_VALUE"""),9.0)</f>
        <v>9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IFERROR(__xludf.DUMMYFUNCTION("""COMPUTED_VALUE"""),9.0)</f>
        <v>9</v>
      </c>
      <c r="L148" s="88">
        <f>IFERROR(__xludf.DUMMYFUNCTION("""COMPUTED_VALUE"""),0.0)</f>
        <v>0</v>
      </c>
      <c r="M148" s="89">
        <f>IFERROR(__xludf.DUMMYFUNCTION("""COMPUTED_VALUE"""),9.0)</f>
        <v>9</v>
      </c>
      <c r="N148" s="89">
        <f>IFERROR(__xludf.DUMMYFUNCTION("""COMPUTED_VALUE"""),0.0)</f>
        <v>0</v>
      </c>
    </row>
    <row r="149">
      <c r="A149" s="11"/>
      <c r="B149" s="82" t="str">
        <f>IFERROR(__xludf.DUMMYFUNCTION("""COMPUTED_VALUE"""),"Peter Cheng")</f>
        <v>Peter Cheng</v>
      </c>
      <c r="C149" s="87">
        <f>IFERROR(__xludf.DUMMYFUNCTION("""COMPUTED_VALUE"""),0.0)</f>
        <v>0</v>
      </c>
      <c r="D149" s="87">
        <f>IFERROR(__xludf.DUMMYFUNCTION("""COMPUTED_VALUE"""),0.0)</f>
        <v>0</v>
      </c>
      <c r="E149" s="86">
        <f>IFERROR(__xludf.DUMMYFUNCTION("""COMPUTED_VALUE"""),3.0)</f>
        <v>3</v>
      </c>
      <c r="F149" s="88">
        <f>IFERROR(__xludf.DUMMYFUNCTION("""COMPUTED_VALUE"""),0.0)</f>
        <v>0</v>
      </c>
      <c r="G149" s="88">
        <f>IFERROR(__xludf.DUMMYFUNCTION("""COMPUTED_VALUE"""),9.0)</f>
        <v>9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IFERROR(__xludf.DUMMYFUNCTION("""COMPUTED_VALUE"""),9.0)</f>
        <v>9</v>
      </c>
      <c r="L149" s="88">
        <f>IFERROR(__xludf.DUMMYFUNCTION("""COMPUTED_VALUE"""),0.0)</f>
        <v>0</v>
      </c>
      <c r="M149" s="89">
        <f>IFERROR(__xludf.DUMMYFUNCTION("""COMPUTED_VALUE"""),9.0)</f>
        <v>9</v>
      </c>
      <c r="N149" s="89">
        <f>IFERROR(__xludf.DUMMYFUNCTION("""COMPUTED_VALUE"""),0.0)</f>
        <v>0</v>
      </c>
    </row>
    <row r="150">
      <c r="A150" s="11"/>
      <c r="B150" s="82" t="str">
        <f>IFERROR(__xludf.DUMMYFUNCTION("""COMPUTED_VALUE"""),"Sai Dilip Ponnaganti")</f>
        <v>Sai Dilip Ponnaganti</v>
      </c>
      <c r="C150" s="87">
        <f>IFERROR(__xludf.DUMMYFUNCTION("""COMPUTED_VALUE"""),0.0)</f>
        <v>0</v>
      </c>
      <c r="D150" s="87">
        <f>IFERROR(__xludf.DUMMYFUNCTION("""COMPUTED_VALUE"""),0.0)</f>
        <v>0</v>
      </c>
      <c r="E150" s="86">
        <f>IFERROR(__xludf.DUMMYFUNCTION("""COMPUTED_VALUE"""),3.0)</f>
        <v>3</v>
      </c>
      <c r="F150" s="88">
        <f>IFERROR(__xludf.DUMMYFUNCTION("""COMPUTED_VALUE"""),0.0)</f>
        <v>0</v>
      </c>
      <c r="G150" s="88">
        <f>IFERROR(__xludf.DUMMYFUNCTION("""COMPUTED_VALUE"""),9.0)</f>
        <v>9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IFERROR(__xludf.DUMMYFUNCTION("""COMPUTED_VALUE"""),9.0)</f>
        <v>9</v>
      </c>
      <c r="L150" s="88">
        <f>IFERROR(__xludf.DUMMYFUNCTION("""COMPUTED_VALUE"""),0.0)</f>
        <v>0</v>
      </c>
      <c r="M150" s="89">
        <f>IFERROR(__xludf.DUMMYFUNCTION("""COMPUTED_VALUE"""),9.0)</f>
        <v>9</v>
      </c>
      <c r="N150" s="89">
        <f>IFERROR(__xludf.DUMMYFUNCTION("""COMPUTED_VALUE"""),0.0)</f>
        <v>0</v>
      </c>
    </row>
    <row r="151">
      <c r="A151" s="11"/>
      <c r="B151" s="82" t="str">
        <f>IFERROR(__xludf.DUMMYFUNCTION("""COMPUTED_VALUE"""),"Vamsi Lolla ")</f>
        <v>Vamsi Lolla </v>
      </c>
      <c r="C151" s="87">
        <f>IFERROR(__xludf.DUMMYFUNCTION("""COMPUTED_VALUE"""),0.0)</f>
        <v>0</v>
      </c>
      <c r="D151" s="87">
        <f>IFERROR(__xludf.DUMMYFUNCTION("""COMPUTED_VALUE"""),0.0)</f>
        <v>0</v>
      </c>
      <c r="E151" s="86">
        <f>IFERROR(__xludf.DUMMYFUNCTION("""COMPUTED_VALUE"""),3.0)</f>
        <v>3</v>
      </c>
      <c r="F151" s="88">
        <f>IFERROR(__xludf.DUMMYFUNCTION("""COMPUTED_VALUE"""),0.0)</f>
        <v>0</v>
      </c>
      <c r="G151" s="88">
        <f>IFERROR(__xludf.DUMMYFUNCTION("""COMPUTED_VALUE"""),9.0)</f>
        <v>9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IFERROR(__xludf.DUMMYFUNCTION("""COMPUTED_VALUE"""),9.0)</f>
        <v>9</v>
      </c>
      <c r="L151" s="88">
        <f>IFERROR(__xludf.DUMMYFUNCTION("""COMPUTED_VALUE"""),0.0)</f>
        <v>0</v>
      </c>
      <c r="M151" s="89">
        <f>IFERROR(__xludf.DUMMYFUNCTION("""COMPUTED_VALUE"""),9.0)</f>
        <v>9</v>
      </c>
      <c r="N151" s="89">
        <f>IFERROR(__xludf.DUMMYFUNCTION("""COMPUTED_VALUE"""),0.0)</f>
        <v>0</v>
      </c>
    </row>
    <row r="152">
      <c r="A152" s="11"/>
      <c r="B152" s="82" t="str">
        <f>IFERROR(__xludf.DUMMYFUNCTION("""COMPUTED_VALUE"""),"Manish Anand")</f>
        <v>Manish Anand</v>
      </c>
      <c r="C152" s="87">
        <f>IFERROR(__xludf.DUMMYFUNCTION("""COMPUTED_VALUE"""),0.0)</f>
        <v>0</v>
      </c>
      <c r="D152" s="87">
        <f>IFERROR(__xludf.DUMMYFUNCTION("""COMPUTED_VALUE"""),0.0)</f>
        <v>0</v>
      </c>
      <c r="E152" s="86">
        <f>IFERROR(__xludf.DUMMYFUNCTION("""COMPUTED_VALUE"""),3.0)</f>
        <v>3</v>
      </c>
      <c r="F152" s="88">
        <f>IFERROR(__xludf.DUMMYFUNCTION("""COMPUTED_VALUE"""),0.0)</f>
        <v>0</v>
      </c>
      <c r="G152" s="88">
        <f>IFERROR(__xludf.DUMMYFUNCTION("""COMPUTED_VALUE"""),9.0)</f>
        <v>9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IFERROR(__xludf.DUMMYFUNCTION("""COMPUTED_VALUE"""),9.0)</f>
        <v>9</v>
      </c>
      <c r="L152" s="88">
        <f>IFERROR(__xludf.DUMMYFUNCTION("""COMPUTED_VALUE"""),0.0)</f>
        <v>0</v>
      </c>
      <c r="M152" s="89">
        <f>IFERROR(__xludf.DUMMYFUNCTION("""COMPUTED_VALUE"""),9.0)</f>
        <v>9</v>
      </c>
      <c r="N152" s="89">
        <f>IFERROR(__xludf.DUMMYFUNCTION("""COMPUTED_VALUE"""),0.0)</f>
        <v>0</v>
      </c>
    </row>
    <row r="153">
      <c r="A153" s="11"/>
      <c r="B153" s="82" t="str">
        <f>IFERROR(__xludf.DUMMYFUNCTION("""COMPUTED_VALUE"""),"James Phan")</f>
        <v>James Phan</v>
      </c>
      <c r="C153" s="87">
        <f>IFERROR(__xludf.DUMMYFUNCTION("""COMPUTED_VALUE"""),0.0)</f>
        <v>0</v>
      </c>
      <c r="D153" s="87">
        <f>IFERROR(__xludf.DUMMYFUNCTION("""COMPUTED_VALUE"""),0.0)</f>
        <v>0</v>
      </c>
      <c r="E153" s="86">
        <f>IFERROR(__xludf.DUMMYFUNCTION("""COMPUTED_VALUE"""),3.0)</f>
        <v>3</v>
      </c>
      <c r="F153" s="88">
        <f>IFERROR(__xludf.DUMMYFUNCTION("""COMPUTED_VALUE"""),0.0)</f>
        <v>0</v>
      </c>
      <c r="G153" s="88">
        <f>IFERROR(__xludf.DUMMYFUNCTION("""COMPUTED_VALUE"""),9.0)</f>
        <v>9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IFERROR(__xludf.DUMMYFUNCTION("""COMPUTED_VALUE"""),9.0)</f>
        <v>9</v>
      </c>
      <c r="L153" s="88">
        <f>IFERROR(__xludf.DUMMYFUNCTION("""COMPUTED_VALUE"""),0.0)</f>
        <v>0</v>
      </c>
      <c r="M153" s="89">
        <f>IFERROR(__xludf.DUMMYFUNCTION("""COMPUTED_VALUE"""),9.0)</f>
        <v>9</v>
      </c>
      <c r="N153" s="89">
        <f>IFERROR(__xludf.DUMMYFUNCTION("""COMPUTED_VALUE"""),0.0)</f>
        <v>0</v>
      </c>
    </row>
    <row r="154">
      <c r="A154" s="11"/>
      <c r="B154" s="82" t="str">
        <f>IFERROR(__xludf.DUMMYFUNCTION("""COMPUTED_VALUE"""),"Vinz Solano")</f>
        <v>Vinz Solano</v>
      </c>
      <c r="C154" s="87">
        <f>IFERROR(__xludf.DUMMYFUNCTION("""COMPUTED_VALUE"""),0.0)</f>
        <v>0</v>
      </c>
      <c r="D154" s="87">
        <f>IFERROR(__xludf.DUMMYFUNCTION("""COMPUTED_VALUE"""),0.0)</f>
        <v>0</v>
      </c>
      <c r="E154" s="86">
        <f>IFERROR(__xludf.DUMMYFUNCTION("""COMPUTED_VALUE"""),3.0)</f>
        <v>3</v>
      </c>
      <c r="F154" s="88">
        <f>IFERROR(__xludf.DUMMYFUNCTION("""COMPUTED_VALUE"""),0.0)</f>
        <v>0</v>
      </c>
      <c r="G154" s="88">
        <f>IFERROR(__xludf.DUMMYFUNCTION("""COMPUTED_VALUE"""),9.0)</f>
        <v>9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IFERROR(__xludf.DUMMYFUNCTION("""COMPUTED_VALUE"""),9.0)</f>
        <v>9</v>
      </c>
      <c r="L154" s="88">
        <f>IFERROR(__xludf.DUMMYFUNCTION("""COMPUTED_VALUE"""),0.0)</f>
        <v>0</v>
      </c>
      <c r="M154" s="89">
        <f>IFERROR(__xludf.DUMMYFUNCTION("""COMPUTED_VALUE"""),9.0)</f>
        <v>9</v>
      </c>
      <c r="N154" s="89">
        <f>IFERROR(__xludf.DUMMYFUNCTION("""COMPUTED_VALUE"""),0.0)</f>
        <v>0</v>
      </c>
    </row>
    <row r="155">
      <c r="A155" s="11"/>
      <c r="B155" s="82" t="str">
        <f>IFERROR(__xludf.DUMMYFUNCTION("""COMPUTED_VALUE"""),"Jose Ortiz")</f>
        <v>Jose Ortiz</v>
      </c>
      <c r="C155" s="87">
        <f>IFERROR(__xludf.DUMMYFUNCTION("""COMPUTED_VALUE"""),0.0)</f>
        <v>0</v>
      </c>
      <c r="D155" s="87">
        <f>IFERROR(__xludf.DUMMYFUNCTION("""COMPUTED_VALUE"""),0.0)</f>
        <v>0</v>
      </c>
      <c r="E155" s="86">
        <f>IFERROR(__xludf.DUMMYFUNCTION("""COMPUTED_VALUE"""),3.0)</f>
        <v>3</v>
      </c>
      <c r="F155" s="88">
        <f>IFERROR(__xludf.DUMMYFUNCTION("""COMPUTED_VALUE"""),0.0)</f>
        <v>0</v>
      </c>
      <c r="G155" s="88">
        <f>IFERROR(__xludf.DUMMYFUNCTION("""COMPUTED_VALUE"""),9.0)</f>
        <v>9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IFERROR(__xludf.DUMMYFUNCTION("""COMPUTED_VALUE"""),9.0)</f>
        <v>9</v>
      </c>
      <c r="L155" s="88">
        <f>IFERROR(__xludf.DUMMYFUNCTION("""COMPUTED_VALUE"""),0.0)</f>
        <v>0</v>
      </c>
      <c r="M155" s="89">
        <f>IFERROR(__xludf.DUMMYFUNCTION("""COMPUTED_VALUE"""),9.0)</f>
        <v>9</v>
      </c>
      <c r="N155" s="89">
        <f>IFERROR(__xludf.DUMMYFUNCTION("""COMPUTED_VALUE"""),0.0)</f>
        <v>0</v>
      </c>
    </row>
    <row r="156">
      <c r="A156" s="11"/>
      <c r="B156" s="82" t="str">
        <f>IFERROR(__xludf.DUMMYFUNCTION("""COMPUTED_VALUE"""),"Mauricio Palacios")</f>
        <v>Mauricio Palacios</v>
      </c>
      <c r="C156" s="87">
        <f>IFERROR(__xludf.DUMMYFUNCTION("""COMPUTED_VALUE"""),0.0)</f>
        <v>0</v>
      </c>
      <c r="D156" s="87">
        <f>IFERROR(__xludf.DUMMYFUNCTION("""COMPUTED_VALUE"""),0.0)</f>
        <v>0</v>
      </c>
      <c r="E156" s="86">
        <f>IFERROR(__xludf.DUMMYFUNCTION("""COMPUTED_VALUE"""),3.0)</f>
        <v>3</v>
      </c>
      <c r="F156" s="88">
        <f>IFERROR(__xludf.DUMMYFUNCTION("""COMPUTED_VALUE"""),0.0)</f>
        <v>0</v>
      </c>
      <c r="G156" s="88">
        <f>IFERROR(__xludf.DUMMYFUNCTION("""COMPUTED_VALUE"""),9.0)</f>
        <v>9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IFERROR(__xludf.DUMMYFUNCTION("""COMPUTED_VALUE"""),9.0)</f>
        <v>9</v>
      </c>
      <c r="L156" s="88">
        <f>IFERROR(__xludf.DUMMYFUNCTION("""COMPUTED_VALUE"""),0.0)</f>
        <v>0</v>
      </c>
      <c r="M156" s="89">
        <f>IFERROR(__xludf.DUMMYFUNCTION("""COMPUTED_VALUE"""),9.0)</f>
        <v>9</v>
      </c>
      <c r="N156" s="89">
        <f>IFERROR(__xludf.DUMMYFUNCTION("""COMPUTED_VALUE"""),0.0)</f>
        <v>0</v>
      </c>
    </row>
    <row r="157">
      <c r="A157" s="11"/>
      <c r="B157" s="82" t="str">
        <f>IFERROR(__xludf.DUMMYFUNCTION("""COMPUTED_VALUE"""),"Pulkit Mathur")</f>
        <v>Pulkit Mathur</v>
      </c>
      <c r="C157" s="87">
        <f>IFERROR(__xludf.DUMMYFUNCTION("""COMPUTED_VALUE"""),0.0)</f>
        <v>0</v>
      </c>
      <c r="D157" s="87">
        <f>IFERROR(__xludf.DUMMYFUNCTION("""COMPUTED_VALUE"""),0.0)</f>
        <v>0</v>
      </c>
      <c r="E157" s="86">
        <f>IFERROR(__xludf.DUMMYFUNCTION("""COMPUTED_VALUE"""),3.0)</f>
        <v>3</v>
      </c>
      <c r="F157" s="88">
        <f>IFERROR(__xludf.DUMMYFUNCTION("""COMPUTED_VALUE"""),0.0)</f>
        <v>0</v>
      </c>
      <c r="G157" s="88">
        <f>IFERROR(__xludf.DUMMYFUNCTION("""COMPUTED_VALUE"""),9.0)</f>
        <v>9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IFERROR(__xludf.DUMMYFUNCTION("""COMPUTED_VALUE"""),9.0)</f>
        <v>9</v>
      </c>
      <c r="L157" s="88">
        <f>IFERROR(__xludf.DUMMYFUNCTION("""COMPUTED_VALUE"""),0.0)</f>
        <v>0</v>
      </c>
      <c r="M157" s="89">
        <f>IFERROR(__xludf.DUMMYFUNCTION("""COMPUTED_VALUE"""),9.0)</f>
        <v>9</v>
      </c>
      <c r="N157" s="89">
        <f>IFERROR(__xludf.DUMMYFUNCTION("""COMPUTED_VALUE"""),0.0)</f>
        <v>0</v>
      </c>
    </row>
    <row r="158">
      <c r="A158" s="11"/>
      <c r="B158" s="82" t="str">
        <f>IFERROR(__xludf.DUMMYFUNCTION("""COMPUTED_VALUE"""),"Trinath Goteti")</f>
        <v>Trinath Goteti</v>
      </c>
      <c r="C158" s="87">
        <f>IFERROR(__xludf.DUMMYFUNCTION("""COMPUTED_VALUE"""),0.0)</f>
        <v>0</v>
      </c>
      <c r="D158" s="87">
        <f>IFERROR(__xludf.DUMMYFUNCTION("""COMPUTED_VALUE"""),0.0)</f>
        <v>0</v>
      </c>
      <c r="E158" s="86">
        <f>IFERROR(__xludf.DUMMYFUNCTION("""COMPUTED_VALUE"""),3.0)</f>
        <v>3</v>
      </c>
      <c r="F158" s="88">
        <f>IFERROR(__xludf.DUMMYFUNCTION("""COMPUTED_VALUE"""),0.0)</f>
        <v>0</v>
      </c>
      <c r="G158" s="88">
        <f>IFERROR(__xludf.DUMMYFUNCTION("""COMPUTED_VALUE"""),9.0)</f>
        <v>9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IFERROR(__xludf.DUMMYFUNCTION("""COMPUTED_VALUE"""),9.0)</f>
        <v>9</v>
      </c>
      <c r="L158" s="88">
        <f>IFERROR(__xludf.DUMMYFUNCTION("""COMPUTED_VALUE"""),0.0)</f>
        <v>0</v>
      </c>
      <c r="M158" s="89">
        <f>IFERROR(__xludf.DUMMYFUNCTION("""COMPUTED_VALUE"""),9.0)</f>
        <v>9</v>
      </c>
      <c r="N158" s="89">
        <f>IFERROR(__xludf.DUMMYFUNCTION("""COMPUTED_VALUE"""),0.0)</f>
        <v>0</v>
      </c>
    </row>
    <row r="159">
      <c r="A159" s="11"/>
      <c r="B159" s="82" t="str">
        <f>IFERROR(__xludf.DUMMYFUNCTION("""COMPUTED_VALUE"""),"Rajesh Dorairaj")</f>
        <v>Rajesh Dorairaj</v>
      </c>
      <c r="C159" s="87">
        <f>IFERROR(__xludf.DUMMYFUNCTION("""COMPUTED_VALUE"""),0.0)</f>
        <v>0</v>
      </c>
      <c r="D159" s="87">
        <f>IFERROR(__xludf.DUMMYFUNCTION("""COMPUTED_VALUE"""),0.0)</f>
        <v>0</v>
      </c>
      <c r="E159" s="86">
        <f>IFERROR(__xludf.DUMMYFUNCTION("""COMPUTED_VALUE"""),3.0)</f>
        <v>3</v>
      </c>
      <c r="F159" s="88">
        <f>IFERROR(__xludf.DUMMYFUNCTION("""COMPUTED_VALUE"""),0.0)</f>
        <v>0</v>
      </c>
      <c r="G159" s="88">
        <f>IFERROR(__xludf.DUMMYFUNCTION("""COMPUTED_VALUE"""),9.0)</f>
        <v>9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IFERROR(__xludf.DUMMYFUNCTION("""COMPUTED_VALUE"""),9.0)</f>
        <v>9</v>
      </c>
      <c r="L159" s="88">
        <f>IFERROR(__xludf.DUMMYFUNCTION("""COMPUTED_VALUE"""),0.0)</f>
        <v>0</v>
      </c>
      <c r="M159" s="89">
        <f>IFERROR(__xludf.DUMMYFUNCTION("""COMPUTED_VALUE"""),9.0)</f>
        <v>9</v>
      </c>
      <c r="N159" s="89">
        <f>IFERROR(__xludf.DUMMYFUNCTION("""COMPUTED_VALUE"""),0.0)</f>
        <v>0</v>
      </c>
    </row>
    <row r="160">
      <c r="A160" s="11"/>
      <c r="B160" s="82" t="str">
        <f>IFERROR(__xludf.DUMMYFUNCTION("""COMPUTED_VALUE"""),"Susanta Mishra")</f>
        <v>Susanta Mishra</v>
      </c>
      <c r="C160" s="87">
        <f>IFERROR(__xludf.DUMMYFUNCTION("""COMPUTED_VALUE"""),0.0)</f>
        <v>0</v>
      </c>
      <c r="D160" s="87">
        <f>IFERROR(__xludf.DUMMYFUNCTION("""COMPUTED_VALUE"""),0.0)</f>
        <v>0</v>
      </c>
      <c r="E160" s="86">
        <f>IFERROR(__xludf.DUMMYFUNCTION("""COMPUTED_VALUE"""),3.0)</f>
        <v>3</v>
      </c>
      <c r="F160" s="88">
        <f>IFERROR(__xludf.DUMMYFUNCTION("""COMPUTED_VALUE"""),0.0)</f>
        <v>0</v>
      </c>
      <c r="G160" s="88">
        <f>IFERROR(__xludf.DUMMYFUNCTION("""COMPUTED_VALUE"""),9.0)</f>
        <v>9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IFERROR(__xludf.DUMMYFUNCTION("""COMPUTED_VALUE"""),9.0)</f>
        <v>9</v>
      </c>
      <c r="L160" s="88">
        <f>IFERROR(__xludf.DUMMYFUNCTION("""COMPUTED_VALUE"""),0.0)</f>
        <v>0</v>
      </c>
      <c r="M160" s="89">
        <f>IFERROR(__xludf.DUMMYFUNCTION("""COMPUTED_VALUE"""),9.0)</f>
        <v>9</v>
      </c>
      <c r="N160" s="89">
        <f>IFERROR(__xludf.DUMMYFUNCTION("""COMPUTED_VALUE"""),0.0)</f>
        <v>0</v>
      </c>
    </row>
    <row r="161">
      <c r="A161" s="11"/>
      <c r="B161" s="82" t="str">
        <f>IFERROR(__xludf.DUMMYFUNCTION("""COMPUTED_VALUE"""),"Pavan Akkimsetty")</f>
        <v>Pavan Akkimsetty</v>
      </c>
      <c r="C161" s="87">
        <f>IFERROR(__xludf.DUMMYFUNCTION("""COMPUTED_VALUE"""),0.0)</f>
        <v>0</v>
      </c>
      <c r="D161" s="87">
        <f>IFERROR(__xludf.DUMMYFUNCTION("""COMPUTED_VALUE"""),0.0)</f>
        <v>0</v>
      </c>
      <c r="E161" s="86">
        <f>IFERROR(__xludf.DUMMYFUNCTION("""COMPUTED_VALUE"""),3.0)</f>
        <v>3</v>
      </c>
      <c r="F161" s="88">
        <f>IFERROR(__xludf.DUMMYFUNCTION("""COMPUTED_VALUE"""),0.0)</f>
        <v>0</v>
      </c>
      <c r="G161" s="88">
        <f>IFERROR(__xludf.DUMMYFUNCTION("""COMPUTED_VALUE"""),9.0)</f>
        <v>9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IFERROR(__xludf.DUMMYFUNCTION("""COMPUTED_VALUE"""),9.0)</f>
        <v>9</v>
      </c>
      <c r="L161" s="88">
        <f>IFERROR(__xludf.DUMMYFUNCTION("""COMPUTED_VALUE"""),0.0)</f>
        <v>0</v>
      </c>
      <c r="M161" s="89">
        <f>IFERROR(__xludf.DUMMYFUNCTION("""COMPUTED_VALUE"""),9.0)</f>
        <v>9</v>
      </c>
      <c r="N161" s="89">
        <f>IFERROR(__xludf.DUMMYFUNCTION("""COMPUTED_VALUE"""),0.0)</f>
        <v>0</v>
      </c>
    </row>
    <row r="162">
      <c r="A162" s="11"/>
      <c r="B162" s="82" t="str">
        <f>IFERROR(__xludf.DUMMYFUNCTION("""COMPUTED_VALUE"""),"Ramesh Bandaru")</f>
        <v>Ramesh Bandaru</v>
      </c>
      <c r="C162" s="87">
        <f>IFERROR(__xludf.DUMMYFUNCTION("""COMPUTED_VALUE"""),0.0)</f>
        <v>0</v>
      </c>
      <c r="D162" s="87">
        <f>IFERROR(__xludf.DUMMYFUNCTION("""COMPUTED_VALUE"""),0.0)</f>
        <v>0</v>
      </c>
      <c r="E162" s="86">
        <f>IFERROR(__xludf.DUMMYFUNCTION("""COMPUTED_VALUE"""),3.0)</f>
        <v>3</v>
      </c>
      <c r="F162" s="88">
        <f>IFERROR(__xludf.DUMMYFUNCTION("""COMPUTED_VALUE"""),0.0)</f>
        <v>0</v>
      </c>
      <c r="G162" s="88">
        <f>IFERROR(__xludf.DUMMYFUNCTION("""COMPUTED_VALUE"""),9.0)</f>
        <v>9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IFERROR(__xludf.DUMMYFUNCTION("""COMPUTED_VALUE"""),9.0)</f>
        <v>9</v>
      </c>
      <c r="L162" s="88">
        <f>IFERROR(__xludf.DUMMYFUNCTION("""COMPUTED_VALUE"""),0.0)</f>
        <v>0</v>
      </c>
      <c r="M162" s="89">
        <f>IFERROR(__xludf.DUMMYFUNCTION("""COMPUTED_VALUE"""),9.0)</f>
        <v>9</v>
      </c>
      <c r="N162" s="89">
        <f>IFERROR(__xludf.DUMMYFUNCTION("""COMPUTED_VALUE"""),0.0)</f>
        <v>0</v>
      </c>
    </row>
    <row r="163">
      <c r="A163" s="11"/>
      <c r="B163" s="82" t="str">
        <f>IFERROR(__xludf.DUMMYFUNCTION("""COMPUTED_VALUE"""),"Cid Macaraeg")</f>
        <v>Cid Macaraeg</v>
      </c>
      <c r="C163" s="87">
        <f>IFERROR(__xludf.DUMMYFUNCTION("""COMPUTED_VALUE"""),0.0)</f>
        <v>0</v>
      </c>
      <c r="D163" s="87">
        <f>IFERROR(__xludf.DUMMYFUNCTION("""COMPUTED_VALUE"""),0.0)</f>
        <v>0</v>
      </c>
      <c r="E163" s="86">
        <f>IFERROR(__xludf.DUMMYFUNCTION("""COMPUTED_VALUE"""),3.0)</f>
        <v>3</v>
      </c>
      <c r="F163" s="88">
        <f>IFERROR(__xludf.DUMMYFUNCTION("""COMPUTED_VALUE"""),0.0)</f>
        <v>0</v>
      </c>
      <c r="G163" s="88">
        <f>IFERROR(__xludf.DUMMYFUNCTION("""COMPUTED_VALUE"""),9.0)</f>
        <v>9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IFERROR(__xludf.DUMMYFUNCTION("""COMPUTED_VALUE"""),9.0)</f>
        <v>9</v>
      </c>
      <c r="L163" s="88">
        <f>IFERROR(__xludf.DUMMYFUNCTION("""COMPUTED_VALUE"""),0.0)</f>
        <v>0</v>
      </c>
      <c r="M163" s="89">
        <f>IFERROR(__xludf.DUMMYFUNCTION("""COMPUTED_VALUE"""),9.0)</f>
        <v>9</v>
      </c>
      <c r="N163" s="89">
        <f>IFERROR(__xludf.DUMMYFUNCTION("""COMPUTED_VALUE"""),0.0)</f>
        <v>0</v>
      </c>
    </row>
    <row r="164">
      <c r="A164" s="11"/>
      <c r="B164" s="82" t="str">
        <f>IFERROR(__xludf.DUMMYFUNCTION("""COMPUTED_VALUE"""),"Chinna Ponnaganti")</f>
        <v>Chinna Ponnaganti</v>
      </c>
      <c r="C164" s="87">
        <f>IFERROR(__xludf.DUMMYFUNCTION("""COMPUTED_VALUE"""),0.0)</f>
        <v>0</v>
      </c>
      <c r="D164" s="87">
        <f>IFERROR(__xludf.DUMMYFUNCTION("""COMPUTED_VALUE"""),0.0)</f>
        <v>0</v>
      </c>
      <c r="E164" s="86">
        <f>IFERROR(__xludf.DUMMYFUNCTION("""COMPUTED_VALUE"""),3.0)</f>
        <v>3</v>
      </c>
      <c r="F164" s="88">
        <f>IFERROR(__xludf.DUMMYFUNCTION("""COMPUTED_VALUE"""),0.0)</f>
        <v>0</v>
      </c>
      <c r="G164" s="88">
        <f>IFERROR(__xludf.DUMMYFUNCTION("""COMPUTED_VALUE"""),9.0)</f>
        <v>9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IFERROR(__xludf.DUMMYFUNCTION("""COMPUTED_VALUE"""),9.0)</f>
        <v>9</v>
      </c>
      <c r="L164" s="88">
        <f>IFERROR(__xludf.DUMMYFUNCTION("""COMPUTED_VALUE"""),0.0)</f>
        <v>0</v>
      </c>
      <c r="M164" s="89">
        <f>IFERROR(__xludf.DUMMYFUNCTION("""COMPUTED_VALUE"""),9.0)</f>
        <v>9</v>
      </c>
      <c r="N164" s="89">
        <f>IFERROR(__xludf.DUMMYFUNCTION("""COMPUTED_VALUE"""),0.0)</f>
        <v>0</v>
      </c>
    </row>
    <row r="165">
      <c r="A165" s="11"/>
      <c r="B165" s="82" t="str">
        <f>IFERROR(__xludf.DUMMYFUNCTION("""COMPUTED_VALUE"""),"Robert Chang")</f>
        <v>Robert Chang</v>
      </c>
      <c r="C165" s="87">
        <f>IFERROR(__xludf.DUMMYFUNCTION("""COMPUTED_VALUE"""),0.0)</f>
        <v>0</v>
      </c>
      <c r="D165" s="87">
        <f>IFERROR(__xludf.DUMMYFUNCTION("""COMPUTED_VALUE"""),0.0)</f>
        <v>0</v>
      </c>
      <c r="E165" s="86">
        <f>IFERROR(__xludf.DUMMYFUNCTION("""COMPUTED_VALUE"""),5.0)</f>
        <v>5</v>
      </c>
      <c r="F165" s="88">
        <f>IFERROR(__xludf.DUMMYFUNCTION("""COMPUTED_VALUE"""),0.0)</f>
        <v>0</v>
      </c>
      <c r="G165" s="88">
        <f>IFERROR(__xludf.DUMMYFUNCTION("""COMPUTED_VALUE"""),13.0)</f>
        <v>13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IFERROR(__xludf.DUMMYFUNCTION("""COMPUTED_VALUE"""),13.0)</f>
        <v>13</v>
      </c>
      <c r="L165" s="88">
        <f>IFERROR(__xludf.DUMMYFUNCTION("""COMPUTED_VALUE"""),0.0)</f>
        <v>0</v>
      </c>
      <c r="M165" s="89">
        <f>IFERROR(__xludf.DUMMYFUNCTION("""COMPUTED_VALUE"""),13.0)</f>
        <v>13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IFERROR(__xludf.DUMMYFUNCTION("""COMPUTED_VALUE"""),"Jonathan Phan")</f>
        <v>Jonathan Phan</v>
      </c>
      <c r="C166" s="87">
        <f>IFERROR(__xludf.DUMMYFUNCTION("""COMPUTED_VALUE"""),0.0)</f>
        <v>0</v>
      </c>
      <c r="D166" s="87">
        <f>IFERROR(__xludf.DUMMYFUNCTION("""COMPUTED_VALUE"""),0.0)</f>
        <v>0</v>
      </c>
      <c r="E166" s="86">
        <f>IFERROR(__xludf.DUMMYFUNCTION("""COMPUTED_VALUE"""),3.0)</f>
        <v>3</v>
      </c>
      <c r="F166" s="88">
        <f>IFERROR(__xludf.DUMMYFUNCTION("""COMPUTED_VALUE"""),0.0)</f>
        <v>0</v>
      </c>
      <c r="G166" s="88">
        <f>IFERROR(__xludf.DUMMYFUNCTION("""COMPUTED_VALUE"""),9.0)</f>
        <v>9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IFERROR(__xludf.DUMMYFUNCTION("""COMPUTED_VALUE"""),9.0)</f>
        <v>9</v>
      </c>
      <c r="L166" s="88">
        <f>IFERROR(__xludf.DUMMYFUNCTION("""COMPUTED_VALUE"""),0.0)</f>
        <v>0</v>
      </c>
      <c r="M166" s="89">
        <f>IFERROR(__xludf.DUMMYFUNCTION("""COMPUTED_VALUE"""),9.0)</f>
        <v>9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IFERROR(__xludf.DUMMYFUNCTION("""COMPUTED_VALUE"""),"Sean Chang")</f>
        <v>Sean Chang</v>
      </c>
      <c r="C167" s="86">
        <f>IFERROR(__xludf.DUMMYFUNCTION("""COMPUTED_VALUE"""),0.0)</f>
        <v>0</v>
      </c>
      <c r="D167" s="87">
        <f>IFERROR(__xludf.DUMMYFUNCTION("""COMPUTED_VALUE"""),0.0)</f>
        <v>0</v>
      </c>
      <c r="E167" s="86">
        <f>IFERROR(__xludf.DUMMYFUNCTION("""COMPUTED_VALUE"""),3.0)</f>
        <v>3</v>
      </c>
      <c r="F167" s="88">
        <f>IFERROR(__xludf.DUMMYFUNCTION("""COMPUTED_VALUE"""),0.0)</f>
        <v>0</v>
      </c>
      <c r="G167" s="88">
        <f>IFERROR(__xludf.DUMMYFUNCTION("""COMPUTED_VALUE"""),9.0)</f>
        <v>9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IFERROR(__xludf.DUMMYFUNCTION("""COMPUTED_VALUE"""),9.0)</f>
        <v>9</v>
      </c>
      <c r="L167" s="88">
        <f>IFERROR(__xludf.DUMMYFUNCTION("""COMPUTED_VALUE"""),0.0)</f>
        <v>0</v>
      </c>
      <c r="M167" s="88">
        <f>IFERROR(__xludf.DUMMYFUNCTION("""COMPUTED_VALUE"""),9.0)</f>
        <v>9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IFERROR(__xludf.DUMMYFUNCTION("""COMPUTED_VALUE"""),"Naveen Raj")</f>
        <v>Naveen Raj</v>
      </c>
      <c r="C168" s="86">
        <f>IFERROR(__xludf.DUMMYFUNCTION("""COMPUTED_VALUE"""),0.0)</f>
        <v>0</v>
      </c>
      <c r="D168" s="87">
        <f>IFERROR(__xludf.DUMMYFUNCTION("""COMPUTED_VALUE"""),0.0)</f>
        <v>0</v>
      </c>
      <c r="E168" s="86">
        <f>IFERROR(__xludf.DUMMYFUNCTION("""COMPUTED_VALUE"""),3.0)</f>
        <v>3</v>
      </c>
      <c r="F168" s="88">
        <f>IFERROR(__xludf.DUMMYFUNCTION("""COMPUTED_VALUE"""),0.0)</f>
        <v>0</v>
      </c>
      <c r="G168" s="88">
        <f>IFERROR(__xludf.DUMMYFUNCTION("""COMPUTED_VALUE"""),9.0)</f>
        <v>9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IFERROR(__xludf.DUMMYFUNCTION("""COMPUTED_VALUE"""),9.0)</f>
        <v>9</v>
      </c>
      <c r="L168" s="88">
        <f>IFERROR(__xludf.DUMMYFUNCTION("""COMPUTED_VALUE"""),0.0)</f>
        <v>0</v>
      </c>
      <c r="M168" s="88">
        <f>IFERROR(__xludf.DUMMYFUNCTION("""COMPUTED_VALUE"""),9.0)</f>
        <v>9</v>
      </c>
      <c r="N168" s="89">
        <f>IFERROR(__xludf.DUMMYFUNCTION("""COMPUTED_VALUE"""),0.0)</f>
        <v>0</v>
      </c>
    </row>
    <row r="169">
      <c r="A169" s="11"/>
      <c r="B169" s="82"/>
      <c r="C169" s="86"/>
      <c r="D169" s="87"/>
      <c r="E169" s="86"/>
      <c r="F169" s="88"/>
      <c r="G169" s="88"/>
      <c r="H169" s="88"/>
      <c r="I169" s="88"/>
      <c r="J169" s="88"/>
      <c r="K169" s="88"/>
      <c r="L169" s="88"/>
      <c r="M169" s="88"/>
      <c r="N169" s="89"/>
    </row>
    <row r="170">
      <c r="A170" s="11"/>
      <c r="B170" s="82"/>
      <c r="C170" s="86"/>
      <c r="D170" s="87"/>
      <c r="E170" s="86"/>
      <c r="F170" s="88"/>
      <c r="G170" s="88"/>
      <c r="H170" s="88"/>
      <c r="I170" s="88"/>
      <c r="J170" s="88"/>
      <c r="K170" s="88"/>
      <c r="L170" s="88"/>
      <c r="M170" s="88"/>
      <c r="N170" s="89"/>
    </row>
    <row r="171">
      <c r="A171" s="11"/>
      <c r="B171" s="82"/>
      <c r="C171" s="86"/>
      <c r="D171" s="87"/>
      <c r="E171" s="86"/>
      <c r="F171" s="88"/>
      <c r="G171" s="88"/>
      <c r="H171" s="88"/>
      <c r="I171" s="88"/>
      <c r="J171" s="88"/>
      <c r="K171" s="88"/>
      <c r="L171" s="88"/>
      <c r="M171" s="88"/>
      <c r="N171" s="89"/>
    </row>
    <row r="172">
      <c r="A172" s="11"/>
      <c r="B172" s="82"/>
      <c r="C172" s="86"/>
      <c r="D172" s="87"/>
      <c r="E172" s="86"/>
      <c r="F172" s="88"/>
      <c r="G172" s="88"/>
      <c r="H172" s="88"/>
      <c r="I172" s="88"/>
      <c r="J172" s="88"/>
      <c r="K172" s="88"/>
      <c r="L172" s="88"/>
      <c r="M172" s="88"/>
      <c r="N172" s="89"/>
    </row>
    <row r="173">
      <c r="A173" s="11"/>
      <c r="B173" s="82"/>
      <c r="C173" s="86"/>
      <c r="D173" s="87"/>
      <c r="E173" s="86"/>
      <c r="F173" s="88"/>
      <c r="G173" s="88"/>
      <c r="H173" s="88"/>
      <c r="I173" s="88"/>
      <c r="J173" s="88"/>
      <c r="K173" s="88"/>
      <c r="L173" s="88"/>
      <c r="M173" s="88"/>
      <c r="N173" s="89"/>
    </row>
    <row r="174">
      <c r="A174" s="11"/>
      <c r="B174" s="82"/>
      <c r="C174" s="86"/>
      <c r="D174" s="87"/>
      <c r="E174" s="86"/>
      <c r="F174" s="88"/>
      <c r="G174" s="88"/>
      <c r="H174" s="88"/>
      <c r="I174" s="88"/>
      <c r="J174" s="88"/>
      <c r="K174" s="88"/>
      <c r="L174" s="88"/>
      <c r="M174" s="88"/>
      <c r="N174" s="89"/>
    </row>
    <row r="175">
      <c r="A175" s="11"/>
      <c r="B175" s="82"/>
      <c r="C175" s="86"/>
      <c r="D175" s="87"/>
      <c r="E175" s="86"/>
      <c r="F175" s="88"/>
      <c r="G175" s="88"/>
      <c r="H175" s="88"/>
      <c r="I175" s="88"/>
      <c r="J175" s="88"/>
      <c r="K175" s="88"/>
      <c r="L175" s="88"/>
      <c r="M175" s="88"/>
      <c r="N175" s="89"/>
    </row>
    <row r="176">
      <c r="A176" s="11"/>
      <c r="B176" s="82"/>
      <c r="C176" s="86"/>
      <c r="D176" s="87"/>
      <c r="E176" s="86"/>
      <c r="F176" s="88"/>
      <c r="G176" s="88"/>
      <c r="H176" s="88"/>
      <c r="I176" s="88"/>
      <c r="J176" s="88"/>
      <c r="K176" s="88"/>
      <c r="L176" s="88"/>
      <c r="M176" s="88"/>
      <c r="N176" s="89"/>
    </row>
    <row r="177">
      <c r="A177" s="11"/>
      <c r="B177" s="82"/>
      <c r="C177" s="86"/>
      <c r="D177" s="87"/>
      <c r="E177" s="86"/>
      <c r="F177" s="88"/>
      <c r="G177" s="88"/>
      <c r="H177" s="88"/>
      <c r="I177" s="88"/>
      <c r="J177" s="88"/>
      <c r="K177" s="88"/>
      <c r="L177" s="88"/>
      <c r="M177" s="88"/>
      <c r="N177" s="89"/>
    </row>
    <row r="178">
      <c r="A178" s="11"/>
      <c r="B178" s="82"/>
      <c r="C178" s="86"/>
      <c r="D178" s="87"/>
      <c r="E178" s="86"/>
      <c r="F178" s="88"/>
      <c r="G178" s="88"/>
      <c r="H178" s="88"/>
      <c r="I178" s="88"/>
      <c r="J178" s="88"/>
      <c r="K178" s="88"/>
      <c r="L178" s="88"/>
      <c r="M178" s="88"/>
      <c r="N178" s="89"/>
    </row>
    <row r="179">
      <c r="A179" s="11"/>
      <c r="B179" s="82"/>
      <c r="C179" s="86"/>
      <c r="D179" s="87"/>
      <c r="E179" s="86"/>
      <c r="F179" s="88"/>
      <c r="G179" s="88"/>
      <c r="H179" s="88"/>
      <c r="I179" s="88"/>
      <c r="J179" s="88"/>
      <c r="K179" s="88"/>
      <c r="L179" s="88"/>
      <c r="M179" s="88"/>
      <c r="N179" s="89"/>
    </row>
    <row r="180">
      <c r="A180" s="11"/>
      <c r="B180" s="82"/>
      <c r="C180" s="86"/>
      <c r="D180" s="87"/>
      <c r="E180" s="86"/>
      <c r="F180" s="88"/>
      <c r="G180" s="88"/>
      <c r="H180" s="88"/>
      <c r="I180" s="88"/>
      <c r="J180" s="88"/>
      <c r="K180" s="88"/>
      <c r="L180" s="88"/>
      <c r="M180" s="88"/>
      <c r="N180" s="89"/>
    </row>
    <row r="181">
      <c r="A181" s="11"/>
      <c r="B181" s="82"/>
      <c r="C181" s="86"/>
      <c r="D181" s="87"/>
      <c r="E181" s="86"/>
      <c r="F181" s="88"/>
      <c r="G181" s="88"/>
      <c r="H181" s="88"/>
      <c r="I181" s="88"/>
      <c r="J181" s="88"/>
      <c r="K181" s="88"/>
      <c r="L181" s="88"/>
      <c r="M181" s="88"/>
      <c r="N181" s="89"/>
    </row>
    <row r="182">
      <c r="A182" s="11"/>
      <c r="B182" s="82"/>
      <c r="C182" s="86"/>
      <c r="D182" s="87"/>
      <c r="E182" s="86"/>
      <c r="F182" s="88"/>
      <c r="G182" s="88"/>
      <c r="H182" s="88"/>
      <c r="I182" s="88"/>
      <c r="J182" s="88"/>
      <c r="K182" s="88"/>
      <c r="L182" s="88"/>
      <c r="M182" s="88"/>
      <c r="N182" s="89"/>
    </row>
    <row r="183">
      <c r="A183" s="11"/>
      <c r="B183" s="82"/>
      <c r="C183" s="86"/>
      <c r="D183" s="87"/>
      <c r="E183" s="86"/>
      <c r="F183" s="88"/>
      <c r="G183" s="88"/>
      <c r="H183" s="88"/>
      <c r="I183" s="88"/>
      <c r="J183" s="88"/>
      <c r="K183" s="88"/>
      <c r="L183" s="88"/>
      <c r="M183" s="88"/>
      <c r="N183" s="89"/>
    </row>
    <row r="184">
      <c r="A184" s="11"/>
      <c r="B184" s="82"/>
      <c r="C184" s="86"/>
      <c r="D184" s="87"/>
      <c r="E184" s="86"/>
      <c r="F184" s="88"/>
      <c r="G184" s="88"/>
      <c r="H184" s="88"/>
      <c r="I184" s="88"/>
      <c r="J184" s="88"/>
      <c r="K184" s="88"/>
      <c r="L184" s="88"/>
      <c r="M184" s="88"/>
      <c r="N184" s="89"/>
    </row>
    <row r="185">
      <c r="A185" s="11"/>
      <c r="B185" s="82"/>
      <c r="C185" s="86"/>
      <c r="D185" s="87"/>
      <c r="E185" s="86"/>
      <c r="F185" s="88"/>
      <c r="G185" s="88"/>
      <c r="H185" s="88"/>
      <c r="I185" s="88"/>
      <c r="J185" s="88"/>
      <c r="K185" s="88"/>
      <c r="L185" s="88"/>
      <c r="M185" s="88"/>
      <c r="N185" s="89"/>
    </row>
    <row r="186">
      <c r="A186" s="11"/>
      <c r="B186" s="82"/>
      <c r="C186" s="86"/>
      <c r="D186" s="87"/>
      <c r="E186" s="86"/>
      <c r="F186" s="88"/>
      <c r="G186" s="88"/>
      <c r="H186" s="88"/>
      <c r="I186" s="88"/>
      <c r="J186" s="88"/>
      <c r="K186" s="88"/>
      <c r="L186" s="88"/>
      <c r="M186" s="88"/>
      <c r="N186" s="89"/>
    </row>
    <row r="187">
      <c r="A187" s="11"/>
      <c r="B187" s="82"/>
      <c r="C187" s="86"/>
      <c r="D187" s="87"/>
      <c r="E187" s="86"/>
      <c r="F187" s="88"/>
      <c r="G187" s="88"/>
      <c r="H187" s="88"/>
      <c r="I187" s="88"/>
      <c r="J187" s="88"/>
      <c r="K187" s="88"/>
      <c r="L187" s="88"/>
      <c r="M187" s="88"/>
      <c r="N187" s="89"/>
    </row>
    <row r="188">
      <c r="A188" s="11"/>
      <c r="B188" s="82"/>
      <c r="C188" s="86"/>
      <c r="D188" s="87"/>
      <c r="E188" s="86"/>
      <c r="F188" s="88"/>
      <c r="G188" s="88"/>
      <c r="H188" s="88"/>
      <c r="I188" s="88"/>
      <c r="J188" s="88"/>
      <c r="K188" s="88"/>
      <c r="L188" s="88"/>
      <c r="M188" s="88"/>
      <c r="N188" s="89"/>
    </row>
    <row r="189">
      <c r="A189" s="11"/>
      <c r="B189" s="82"/>
      <c r="C189" s="86"/>
      <c r="D189" s="87"/>
      <c r="E189" s="86"/>
      <c r="F189" s="88"/>
      <c r="G189" s="88"/>
      <c r="H189" s="88"/>
      <c r="I189" s="88"/>
      <c r="J189" s="88"/>
      <c r="K189" s="88"/>
      <c r="L189" s="88"/>
      <c r="M189" s="88"/>
      <c r="N189" s="89"/>
    </row>
    <row r="190">
      <c r="A190" s="11"/>
      <c r="B190" s="82"/>
      <c r="C190" s="86"/>
      <c r="D190" s="87"/>
      <c r="E190" s="86"/>
      <c r="F190" s="88"/>
      <c r="G190" s="88"/>
      <c r="H190" s="88"/>
      <c r="I190" s="88"/>
      <c r="J190" s="88"/>
      <c r="K190" s="88"/>
      <c r="L190" s="88"/>
      <c r="M190" s="88"/>
      <c r="N190" s="89"/>
    </row>
    <row r="191">
      <c r="A191" s="11"/>
      <c r="B191" s="82"/>
      <c r="C191" s="86"/>
      <c r="D191" s="87"/>
      <c r="E191" s="86"/>
      <c r="F191" s="88"/>
      <c r="G191" s="88"/>
      <c r="H191" s="88"/>
      <c r="I191" s="88"/>
      <c r="J191" s="88"/>
      <c r="K191" s="88"/>
      <c r="L191" s="88"/>
      <c r="M191" s="88"/>
      <c r="N191" s="89"/>
    </row>
    <row r="192">
      <c r="A192" s="11"/>
      <c r="B192" s="82"/>
      <c r="C192" s="86"/>
      <c r="D192" s="87"/>
      <c r="E192" s="86"/>
      <c r="F192" s="88"/>
      <c r="G192" s="88"/>
      <c r="H192" s="88"/>
      <c r="I192" s="88"/>
      <c r="J192" s="88"/>
      <c r="K192" s="88"/>
      <c r="L192" s="88"/>
      <c r="M192" s="88"/>
      <c r="N192" s="89"/>
    </row>
    <row r="193">
      <c r="A193" s="11"/>
      <c r="B193" s="82"/>
      <c r="C193" s="86"/>
      <c r="D193" s="87"/>
      <c r="E193" s="86"/>
      <c r="F193" s="88"/>
      <c r="G193" s="88"/>
      <c r="H193" s="88"/>
      <c r="I193" s="88"/>
      <c r="J193" s="88"/>
      <c r="K193" s="88"/>
      <c r="L193" s="88"/>
      <c r="M193" s="88"/>
      <c r="N193" s="89"/>
    </row>
    <row r="194">
      <c r="A194" s="11"/>
      <c r="B194" s="82"/>
      <c r="C194" s="86"/>
      <c r="D194" s="87"/>
      <c r="E194" s="86"/>
      <c r="F194" s="88"/>
      <c r="G194" s="88"/>
      <c r="H194" s="88"/>
      <c r="I194" s="88"/>
      <c r="J194" s="88"/>
      <c r="K194" s="88"/>
      <c r="L194" s="88"/>
      <c r="M194" s="88"/>
      <c r="N194" s="89"/>
    </row>
    <row r="195">
      <c r="A195" s="11"/>
      <c r="B195" s="82"/>
      <c r="C195" s="86"/>
      <c r="D195" s="87"/>
      <c r="E195" s="86"/>
      <c r="F195" s="88"/>
      <c r="G195" s="88"/>
      <c r="H195" s="88"/>
      <c r="I195" s="88"/>
      <c r="J195" s="88"/>
      <c r="K195" s="88"/>
      <c r="L195" s="88"/>
      <c r="M195" s="88"/>
      <c r="N195" s="89"/>
    </row>
    <row r="196">
      <c r="A196" s="11"/>
      <c r="B196" s="82"/>
      <c r="C196" s="86"/>
      <c r="D196" s="87"/>
      <c r="E196" s="86"/>
      <c r="F196" s="88"/>
      <c r="G196" s="88"/>
      <c r="H196" s="88"/>
      <c r="I196" s="88"/>
      <c r="J196" s="88"/>
      <c r="K196" s="88"/>
      <c r="L196" s="88"/>
      <c r="M196" s="88"/>
      <c r="N196" s="89"/>
    </row>
    <row r="197">
      <c r="A197" s="11"/>
      <c r="B197" s="82"/>
      <c r="C197" s="86"/>
      <c r="D197" s="87"/>
      <c r="E197" s="86"/>
      <c r="F197" s="88"/>
      <c r="G197" s="88"/>
      <c r="H197" s="88"/>
      <c r="I197" s="88"/>
      <c r="J197" s="88"/>
      <c r="K197" s="88"/>
      <c r="L197" s="88"/>
      <c r="M197" s="88"/>
      <c r="N197" s="89"/>
    </row>
    <row r="198">
      <c r="A198" s="11"/>
      <c r="B198" s="82"/>
      <c r="C198" s="86"/>
      <c r="D198" s="87"/>
      <c r="E198" s="86"/>
      <c r="F198" s="88"/>
      <c r="G198" s="88"/>
      <c r="H198" s="88"/>
      <c r="I198" s="88"/>
      <c r="J198" s="88"/>
      <c r="K198" s="88"/>
      <c r="L198" s="88"/>
      <c r="M198" s="88"/>
      <c r="N198" s="89"/>
    </row>
    <row r="199">
      <c r="A199" s="11"/>
      <c r="B199" s="82"/>
      <c r="C199" s="86"/>
      <c r="D199" s="87"/>
      <c r="E199" s="86"/>
      <c r="F199" s="88"/>
      <c r="G199" s="88"/>
      <c r="H199" s="88"/>
      <c r="I199" s="88"/>
      <c r="J199" s="88"/>
      <c r="K199" s="88"/>
      <c r="L199" s="88"/>
      <c r="M199" s="88"/>
      <c r="N199" s="89"/>
    </row>
    <row r="200">
      <c r="A200" s="11"/>
      <c r="B200" s="82"/>
      <c r="C200" s="86"/>
      <c r="D200" s="87"/>
      <c r="E200" s="86"/>
      <c r="F200" s="88"/>
      <c r="G200" s="88"/>
      <c r="H200" s="88"/>
      <c r="I200" s="88"/>
      <c r="J200" s="88"/>
      <c r="K200" s="88"/>
      <c r="L200" s="88"/>
      <c r="M200" s="88"/>
      <c r="N200" s="89"/>
    </row>
    <row r="201">
      <c r="A201" s="11"/>
      <c r="C201" s="11"/>
      <c r="D201" s="11"/>
      <c r="E201" s="11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B222" s="90" t="s">
        <v>167</v>
      </c>
      <c r="C222" s="11"/>
      <c r="D222" s="11"/>
      <c r="E222" s="11"/>
      <c r="U222" s="90" t="s">
        <v>168</v>
      </c>
    </row>
    <row r="223">
      <c r="A223" s="49">
        <v>1.0</v>
      </c>
      <c r="B223" s="82" t="str">
        <f>IFERROR(__xludf.DUMMYFUNCTION("QUERY(B5:Q69, ""Select B   where Q is null"")"),"#N/A")</f>
        <v>#N/A</v>
      </c>
      <c r="C223" s="11"/>
      <c r="D223" s="11"/>
      <c r="E223" s="11"/>
      <c r="T223" s="49">
        <v>1.0</v>
      </c>
      <c r="U223" s="17" t="str">
        <f>IFERROR(__xludf.DUMMYFUNCTION("QUERY(B5:Q69, ""Select B   where Q = 'N' "")"),"#N/A")</f>
        <v>#N/A</v>
      </c>
    </row>
    <row r="224">
      <c r="A224" s="11">
        <f t="shared" ref="A224:A244" si="69">A223+1</f>
        <v>2</v>
      </c>
      <c r="B224" s="82"/>
      <c r="C224" s="11"/>
      <c r="D224" s="11"/>
      <c r="E224" s="11"/>
      <c r="T224" s="11">
        <f t="shared" ref="T224:T235" si="70">T223+1</f>
        <v>2</v>
      </c>
    </row>
    <row r="225">
      <c r="A225" s="11">
        <f t="shared" si="69"/>
        <v>3</v>
      </c>
      <c r="B225" s="82"/>
      <c r="C225" s="11"/>
      <c r="D225" s="11"/>
      <c r="E225" s="11"/>
      <c r="T225" s="11">
        <f t="shared" si="70"/>
        <v>3</v>
      </c>
    </row>
    <row r="226">
      <c r="A226" s="11">
        <f t="shared" si="69"/>
        <v>4</v>
      </c>
      <c r="B226" s="82"/>
      <c r="C226" s="11"/>
      <c r="D226" s="11"/>
      <c r="E226" s="11"/>
      <c r="T226" s="11">
        <f t="shared" si="70"/>
        <v>4</v>
      </c>
    </row>
    <row r="227">
      <c r="A227" s="11">
        <f t="shared" si="69"/>
        <v>5</v>
      </c>
      <c r="B227" s="82"/>
      <c r="C227" s="11"/>
      <c r="D227" s="11"/>
      <c r="E227" s="11"/>
      <c r="T227" s="11">
        <f t="shared" si="70"/>
        <v>5</v>
      </c>
    </row>
    <row r="228">
      <c r="A228" s="11">
        <f t="shared" si="69"/>
        <v>6</v>
      </c>
      <c r="B228" s="82"/>
      <c r="C228" s="11"/>
      <c r="D228" s="11"/>
      <c r="E228" s="11"/>
      <c r="T228" s="11">
        <f t="shared" si="70"/>
        <v>6</v>
      </c>
    </row>
    <row r="229">
      <c r="A229" s="11">
        <f t="shared" si="69"/>
        <v>7</v>
      </c>
      <c r="B229" s="82"/>
      <c r="C229" s="11"/>
      <c r="D229" s="11"/>
      <c r="E229" s="11"/>
      <c r="T229" s="11">
        <f t="shared" si="70"/>
        <v>7</v>
      </c>
    </row>
    <row r="230">
      <c r="A230" s="11">
        <f t="shared" si="69"/>
        <v>8</v>
      </c>
      <c r="B230" s="82"/>
      <c r="C230" s="11"/>
      <c r="D230" s="11"/>
      <c r="E230" s="11"/>
      <c r="T230" s="11">
        <f t="shared" si="70"/>
        <v>8</v>
      </c>
    </row>
    <row r="231">
      <c r="A231" s="11">
        <f t="shared" si="69"/>
        <v>9</v>
      </c>
      <c r="B231" s="82"/>
      <c r="C231" s="11"/>
      <c r="D231" s="11"/>
      <c r="E231" s="11"/>
      <c r="T231" s="11">
        <f t="shared" si="70"/>
        <v>9</v>
      </c>
    </row>
    <row r="232">
      <c r="A232" s="11">
        <f t="shared" si="69"/>
        <v>10</v>
      </c>
      <c r="B232" s="82"/>
      <c r="C232" s="11"/>
      <c r="D232" s="11"/>
      <c r="E232" s="11"/>
      <c r="T232" s="11">
        <f t="shared" si="70"/>
        <v>10</v>
      </c>
    </row>
    <row r="233">
      <c r="A233" s="11">
        <f t="shared" si="69"/>
        <v>11</v>
      </c>
      <c r="B233" s="82"/>
      <c r="C233" s="11"/>
      <c r="D233" s="11"/>
      <c r="E233" s="11"/>
      <c r="T233" s="11">
        <f t="shared" si="70"/>
        <v>11</v>
      </c>
    </row>
    <row r="234">
      <c r="A234" s="11">
        <f t="shared" si="69"/>
        <v>12</v>
      </c>
      <c r="B234" s="82"/>
      <c r="C234" s="11"/>
      <c r="D234" s="11"/>
      <c r="E234" s="11"/>
      <c r="T234" s="11">
        <f t="shared" si="70"/>
        <v>12</v>
      </c>
    </row>
    <row r="235">
      <c r="A235" s="11">
        <f t="shared" si="69"/>
        <v>13</v>
      </c>
      <c r="B235" s="82"/>
      <c r="C235" s="11"/>
      <c r="D235" s="11"/>
      <c r="E235" s="11"/>
      <c r="T235" s="11">
        <f t="shared" si="70"/>
        <v>13</v>
      </c>
    </row>
    <row r="236">
      <c r="A236" s="11">
        <f t="shared" si="69"/>
        <v>14</v>
      </c>
      <c r="B236" s="82"/>
      <c r="C236" s="11"/>
      <c r="D236" s="11"/>
      <c r="E236" s="11"/>
    </row>
    <row r="237">
      <c r="A237" s="11">
        <f t="shared" si="69"/>
        <v>15</v>
      </c>
      <c r="B237" s="82"/>
      <c r="C237" s="11"/>
      <c r="D237" s="11"/>
      <c r="E237" s="11"/>
    </row>
    <row r="238">
      <c r="A238" s="11">
        <f t="shared" si="69"/>
        <v>16</v>
      </c>
      <c r="B238" s="82"/>
      <c r="C238" s="11"/>
      <c r="D238" s="11"/>
      <c r="E238" s="11"/>
    </row>
    <row r="239">
      <c r="A239" s="11">
        <f t="shared" si="69"/>
        <v>17</v>
      </c>
      <c r="B239" s="82"/>
      <c r="C239" s="11"/>
      <c r="D239" s="11"/>
      <c r="E239" s="11"/>
    </row>
    <row r="240">
      <c r="A240" s="11">
        <f t="shared" si="69"/>
        <v>18</v>
      </c>
      <c r="B240" s="82"/>
      <c r="C240" s="11"/>
      <c r="D240" s="11"/>
      <c r="E240" s="11"/>
    </row>
    <row r="241">
      <c r="A241" s="11">
        <f t="shared" si="69"/>
        <v>19</v>
      </c>
      <c r="B241" s="82"/>
      <c r="C241" s="11"/>
      <c r="D241" s="11"/>
      <c r="E241" s="11"/>
    </row>
    <row r="242">
      <c r="A242" s="11">
        <f t="shared" si="69"/>
        <v>20</v>
      </c>
      <c r="B242" s="82"/>
      <c r="C242" s="11"/>
      <c r="D242" s="11"/>
      <c r="E242" s="11"/>
    </row>
    <row r="243">
      <c r="A243" s="11">
        <f t="shared" si="69"/>
        <v>21</v>
      </c>
      <c r="B243" s="82"/>
      <c r="C243" s="11"/>
      <c r="D243" s="11"/>
      <c r="E243" s="11"/>
    </row>
    <row r="244">
      <c r="A244" s="11">
        <f t="shared" si="69"/>
        <v>22</v>
      </c>
      <c r="B244" s="82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1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1" priority="7" operator="containsText" text="Good">
      <formula>NOT(ISERROR(SEARCH(("Good"),(L80))))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5"/>
    <col customWidth="1" min="2" max="2" width="30.75"/>
    <col customWidth="1" min="3" max="3" width="10.13"/>
    <col customWidth="1" min="4" max="4" width="5.75"/>
    <col customWidth="1" min="5" max="5" width="9.38"/>
    <col customWidth="1" min="6" max="6" width="6.88"/>
    <col customWidth="1" min="7" max="8" width="5.63"/>
    <col customWidth="1" min="9" max="9" width="5.0"/>
    <col customWidth="1" min="10" max="10" width="5.13"/>
    <col customWidth="1" min="11" max="11" width="9.38"/>
    <col customWidth="1" min="12" max="12" width="6.13"/>
    <col customWidth="1" min="13" max="13" width="9.0"/>
    <col customWidth="1" min="14" max="15" width="8.25"/>
    <col customWidth="1" min="16" max="16" width="6.38"/>
    <col customWidth="1" min="17" max="18" width="6.75"/>
    <col customWidth="1" min="19" max="19" width="8.0"/>
    <col customWidth="1" min="20" max="20" width="8.75"/>
    <col customWidth="1" min="21" max="21" width="23.0"/>
  </cols>
  <sheetData>
    <row r="1">
      <c r="A1" s="11"/>
      <c r="B1" s="12" t="s">
        <v>23</v>
      </c>
      <c r="C1" s="81">
        <v>45472.0</v>
      </c>
      <c r="F1" s="14"/>
      <c r="G1" s="14"/>
      <c r="H1" s="14"/>
      <c r="K1" s="14"/>
      <c r="M1" s="14"/>
    </row>
    <row r="2">
      <c r="A2" s="11"/>
      <c r="B2" s="18" t="s">
        <v>24</v>
      </c>
      <c r="D2" s="19">
        <v>0.0</v>
      </c>
      <c r="E2" s="11"/>
    </row>
    <row r="3" ht="27.75" customHeight="1">
      <c r="A3" s="11"/>
      <c r="C3" s="21" t="s">
        <v>25</v>
      </c>
      <c r="D3" s="23"/>
      <c r="E3" s="91" t="s">
        <v>26</v>
      </c>
      <c r="F3" s="22"/>
      <c r="G3" s="22"/>
      <c r="H3" s="22"/>
      <c r="I3" s="22"/>
      <c r="J3" s="22"/>
      <c r="K3" s="22"/>
      <c r="L3" s="23"/>
      <c r="M3" s="24" t="s">
        <v>27</v>
      </c>
      <c r="N3" s="23"/>
      <c r="P3" s="25" t="s">
        <v>169</v>
      </c>
      <c r="Q3" s="25" t="s">
        <v>28</v>
      </c>
    </row>
    <row r="4">
      <c r="A4" s="26" t="s">
        <v>30</v>
      </c>
      <c r="B4" s="27" t="s">
        <v>31</v>
      </c>
      <c r="C4" s="29" t="s">
        <v>2</v>
      </c>
      <c r="D4" s="29" t="s">
        <v>4</v>
      </c>
      <c r="E4" s="29" t="s">
        <v>33</v>
      </c>
      <c r="F4" s="29" t="s">
        <v>35</v>
      </c>
      <c r="G4" s="29" t="s">
        <v>36</v>
      </c>
      <c r="H4" s="29" t="s">
        <v>6</v>
      </c>
      <c r="I4" s="29" t="s">
        <v>7</v>
      </c>
      <c r="J4" s="29" t="s">
        <v>8</v>
      </c>
      <c r="K4" s="29" t="s">
        <v>2</v>
      </c>
      <c r="L4" s="29" t="s">
        <v>4</v>
      </c>
      <c r="M4" s="28" t="s">
        <v>2</v>
      </c>
      <c r="N4" s="28" t="s">
        <v>4</v>
      </c>
      <c r="O4" s="29" t="s">
        <v>37</v>
      </c>
      <c r="P4" s="29" t="s">
        <v>38</v>
      </c>
      <c r="Q4" s="29" t="s">
        <v>38</v>
      </c>
      <c r="R4" s="29" t="s">
        <v>39</v>
      </c>
      <c r="S4" s="29" t="s">
        <v>40</v>
      </c>
      <c r="T4" s="29" t="s">
        <v>41</v>
      </c>
    </row>
    <row r="5">
      <c r="A5" s="30">
        <v>1.0</v>
      </c>
      <c r="B5" s="31" t="s">
        <v>43</v>
      </c>
      <c r="C5" s="40"/>
      <c r="D5" s="32"/>
      <c r="E5" s="37">
        <f>if(isna(VLOOKUP(B5,Checkin!A:B,2,false)),0,VLOOKUP(B5,Checkin!A:B,2,false))</f>
        <v>0</v>
      </c>
      <c r="F5" s="39">
        <f>if(OR($E5=1, $E5=2),VLOOKUP($B5,Courts!$B$2:$K$50,10,false),0)</f>
        <v>0</v>
      </c>
      <c r="G5" s="40">
        <f t="shared" ref="G5:G69" si="2">IF(OR(E5=3,E5=4),9,IF(E5=5,13,0))</f>
        <v>0</v>
      </c>
      <c r="H5" s="39">
        <f>if(OR($E5=1, $E5=2),VLOOKUP($B5,Courts!$B$2:$J$50,5,false),0)</f>
        <v>0</v>
      </c>
      <c r="I5" s="39">
        <f>if(OR($E5=1, $E5=2),VLOOKUP($B5,Courts!$B$2:$J$50,6,false),0)</f>
        <v>0</v>
      </c>
      <c r="J5" s="39">
        <f>if(OR($E5=1, $E5=2),VLOOKUP($B5,Courts!$B$2:$J$50,7,false),0)</f>
        <v>0</v>
      </c>
      <c r="K5" s="42">
        <f t="shared" ref="K5:K69" si="3">G5+H5+I5+J5</f>
        <v>0</v>
      </c>
      <c r="L5" s="39">
        <f>if(OR($E5=1, $E5=2),VLOOKUP($B5,Courts!$B$2:$J$50,9,false),0)</f>
        <v>0</v>
      </c>
      <c r="M5" s="40">
        <f t="shared" ref="M5:N5" si="1">C5+K5</f>
        <v>0</v>
      </c>
      <c r="N5" s="32">
        <f t="shared" si="1"/>
        <v>0</v>
      </c>
      <c r="O5" s="43" t="s">
        <v>53</v>
      </c>
      <c r="P5" s="43" t="s">
        <v>53</v>
      </c>
      <c r="Q5" s="43" t="s">
        <v>53</v>
      </c>
      <c r="R5" s="39"/>
      <c r="S5" s="39"/>
      <c r="T5" s="39"/>
    </row>
    <row r="6">
      <c r="A6" s="30">
        <f t="shared" ref="A6:A69" si="5">A5+1</f>
        <v>2</v>
      </c>
      <c r="B6" s="31" t="s">
        <v>109</v>
      </c>
      <c r="C6" s="40"/>
      <c r="D6" s="32"/>
      <c r="E6" s="37">
        <f>if(isna(VLOOKUP(B6,Checkin!A:B,2,false)),0,VLOOKUP(B6,Checkin!A:B,2,false))</f>
        <v>0</v>
      </c>
      <c r="F6" s="39">
        <f>if(OR($E6=1, $E6=2),VLOOKUP($B6,Courts!$B$2:$K$50,10,false),0)</f>
        <v>0</v>
      </c>
      <c r="G6" s="40">
        <f t="shared" si="2"/>
        <v>0</v>
      </c>
      <c r="H6" s="39">
        <f>if(OR($E6=1, $E6=2),VLOOKUP($B6,Courts!$B$2:$J$50,5,false),0)</f>
        <v>0</v>
      </c>
      <c r="I6" s="39">
        <f>if(OR($E6=1, $E6=2),VLOOKUP($B6,Courts!$B$2:$J$50,6,false),0)</f>
        <v>0</v>
      </c>
      <c r="J6" s="39">
        <f>if(OR($E6=1, $E6=2),VLOOKUP($B6,Courts!$B$2:$J$50,7,false),0)</f>
        <v>0</v>
      </c>
      <c r="K6" s="42">
        <f t="shared" si="3"/>
        <v>0</v>
      </c>
      <c r="L6" s="39">
        <f>if(OR($E6=1, $E6=2),VLOOKUP($B6,Courts!$B$2:$J$50,9,false),0)</f>
        <v>0</v>
      </c>
      <c r="M6" s="40">
        <f t="shared" ref="M6:N6" si="4">C6+K6</f>
        <v>0</v>
      </c>
      <c r="N6" s="32">
        <f t="shared" si="4"/>
        <v>0</v>
      </c>
      <c r="O6" s="43" t="s">
        <v>53</v>
      </c>
      <c r="P6" s="43" t="s">
        <v>53</v>
      </c>
      <c r="Q6" s="43" t="s">
        <v>53</v>
      </c>
      <c r="R6" s="39"/>
      <c r="S6" s="39"/>
      <c r="T6" s="39"/>
    </row>
    <row r="7">
      <c r="A7" s="30">
        <f t="shared" si="5"/>
        <v>3</v>
      </c>
      <c r="B7" s="51" t="s">
        <v>92</v>
      </c>
      <c r="C7" s="40"/>
      <c r="D7" s="32"/>
      <c r="E7" s="37">
        <f>if(isna(VLOOKUP(B7,Checkin!A:B,2,false)),0,VLOOKUP(B7,Checkin!A:B,2,false))</f>
        <v>0</v>
      </c>
      <c r="F7" s="39">
        <f>if(OR($E7=1, $E7=2),VLOOKUP($B7,Courts!$B$2:$K$50,10,false),0)</f>
        <v>0</v>
      </c>
      <c r="G7" s="40">
        <f t="shared" si="2"/>
        <v>0</v>
      </c>
      <c r="H7" s="39">
        <f>if(OR($E7=1, $E7=2),VLOOKUP($B7,Courts!$B$2:$J$50,5,false),0)</f>
        <v>0</v>
      </c>
      <c r="I7" s="39">
        <f>if(OR($E7=1, $E7=2),VLOOKUP($B7,Courts!$B$2:$J$50,6,false),0)</f>
        <v>0</v>
      </c>
      <c r="J7" s="39">
        <f>if(OR($E7=1, $E7=2),VLOOKUP($B7,Courts!$B$2:$J$50,7,false),0)</f>
        <v>0</v>
      </c>
      <c r="K7" s="42">
        <f t="shared" si="3"/>
        <v>0</v>
      </c>
      <c r="L7" s="39">
        <f>if(OR($E7=1, $E7=2),VLOOKUP($B7,Courts!$B$2:$J$50,9,false),0)</f>
        <v>0</v>
      </c>
      <c r="M7" s="40">
        <f t="shared" ref="M7:N7" si="6">C7+K7</f>
        <v>0</v>
      </c>
      <c r="N7" s="32">
        <f t="shared" si="6"/>
        <v>0</v>
      </c>
      <c r="O7" s="43" t="s">
        <v>53</v>
      </c>
      <c r="P7" s="43" t="s">
        <v>53</v>
      </c>
      <c r="Q7" s="43" t="s">
        <v>53</v>
      </c>
      <c r="R7" s="39"/>
      <c r="S7" s="39"/>
      <c r="T7" s="39"/>
    </row>
    <row r="8">
      <c r="A8" s="30">
        <f t="shared" si="5"/>
        <v>4</v>
      </c>
      <c r="B8" s="51" t="s">
        <v>54</v>
      </c>
      <c r="C8" s="40"/>
      <c r="D8" s="32"/>
      <c r="E8" s="37">
        <f>if(isna(VLOOKUP(B8,Checkin!A:B,2,false)),0,VLOOKUP(B8,Checkin!A:B,2,false))</f>
        <v>0</v>
      </c>
      <c r="F8" s="39">
        <f>if(OR($E8=1, $E8=2),VLOOKUP($B8,Courts!$B$2:$K$50,10,false),0)</f>
        <v>0</v>
      </c>
      <c r="G8" s="40">
        <f t="shared" si="2"/>
        <v>0</v>
      </c>
      <c r="H8" s="39">
        <f>if(OR($E8=1, $E8=2),VLOOKUP($B8,Courts!$B$2:$J$50,5,false),0)</f>
        <v>0</v>
      </c>
      <c r="I8" s="39">
        <f>if(OR($E8=1, $E8=2),VLOOKUP($B8,Courts!$B$2:$J$50,6,false),0)</f>
        <v>0</v>
      </c>
      <c r="J8" s="39">
        <f>if(OR($E8=1, $E8=2),VLOOKUP($B8,Courts!$B$2:$J$50,7,false),0)</f>
        <v>0</v>
      </c>
      <c r="K8" s="42">
        <f t="shared" si="3"/>
        <v>0</v>
      </c>
      <c r="L8" s="39">
        <f>if(OR($E8=1, $E8=2),VLOOKUP($B8,Courts!$B$2:$J$50,9,false),0)</f>
        <v>0</v>
      </c>
      <c r="M8" s="40">
        <f t="shared" ref="M8:N8" si="7">C8+K8</f>
        <v>0</v>
      </c>
      <c r="N8" s="32">
        <f t="shared" si="7"/>
        <v>0</v>
      </c>
      <c r="O8" s="43" t="s">
        <v>53</v>
      </c>
      <c r="P8" s="43" t="s">
        <v>53</v>
      </c>
      <c r="Q8" s="43" t="s">
        <v>53</v>
      </c>
      <c r="R8" s="39"/>
      <c r="S8" s="39"/>
      <c r="T8" s="39"/>
    </row>
    <row r="9">
      <c r="A9" s="30">
        <f t="shared" si="5"/>
        <v>5</v>
      </c>
      <c r="B9" s="51" t="s">
        <v>100</v>
      </c>
      <c r="C9" s="40"/>
      <c r="D9" s="32"/>
      <c r="E9" s="37">
        <f>if(isna(VLOOKUP(B9,Checkin!A:B,2,false)),0,VLOOKUP(B9,Checkin!A:B,2,false))</f>
        <v>0</v>
      </c>
      <c r="F9" s="39">
        <f>if(OR($E9=1, $E9=2),VLOOKUP($B9,Courts!$B$2:$K$50,10,false),0)</f>
        <v>0</v>
      </c>
      <c r="G9" s="40">
        <f t="shared" si="2"/>
        <v>0</v>
      </c>
      <c r="H9" s="39">
        <f>if(OR($E9=1, $E9=2),VLOOKUP($B9,Courts!$B$2:$J$50,5,false),0)</f>
        <v>0</v>
      </c>
      <c r="I9" s="39">
        <f>if(OR($E9=1, $E9=2),VLOOKUP($B9,Courts!$B$2:$J$50,6,false),0)</f>
        <v>0</v>
      </c>
      <c r="J9" s="39">
        <f>if(OR($E9=1, $E9=2),VLOOKUP($B9,Courts!$B$2:$J$50,7,false),0)</f>
        <v>0</v>
      </c>
      <c r="K9" s="42">
        <f t="shared" si="3"/>
        <v>0</v>
      </c>
      <c r="L9" s="39">
        <f>if(OR($E9=1, $E9=2),VLOOKUP($B9,Courts!$B$2:$J$50,9,false),0)</f>
        <v>0</v>
      </c>
      <c r="M9" s="40">
        <f t="shared" ref="M9:N9" si="8">C9+K9</f>
        <v>0</v>
      </c>
      <c r="N9" s="32">
        <f t="shared" si="8"/>
        <v>0</v>
      </c>
      <c r="O9" s="43" t="s">
        <v>53</v>
      </c>
      <c r="P9" s="43" t="s">
        <v>53</v>
      </c>
      <c r="Q9" s="43" t="s">
        <v>53</v>
      </c>
      <c r="R9" s="39"/>
      <c r="S9" s="39"/>
      <c r="T9" s="39"/>
    </row>
    <row r="10">
      <c r="A10" s="30">
        <f t="shared" si="5"/>
        <v>6</v>
      </c>
      <c r="B10" s="31" t="s">
        <v>72</v>
      </c>
      <c r="C10" s="40"/>
      <c r="D10" s="32"/>
      <c r="E10" s="37">
        <f>if(isna(VLOOKUP(B10,Checkin!A:B,2,false)),0,VLOOKUP(B10,Checkin!A:B,2,false))</f>
        <v>0</v>
      </c>
      <c r="F10" s="39">
        <f>if(OR($E10=1, $E10=2),VLOOKUP($B10,Courts!$B$2:$K$50,10,false),0)</f>
        <v>0</v>
      </c>
      <c r="G10" s="40">
        <f t="shared" si="2"/>
        <v>0</v>
      </c>
      <c r="H10" s="39">
        <f>if(OR($E10=1, $E10=2),VLOOKUP($B10,Courts!$B$2:$J$50,5,false),0)</f>
        <v>0</v>
      </c>
      <c r="I10" s="39">
        <f>if(OR($E10=1, $E10=2),VLOOKUP($B10,Courts!$B$2:$J$50,6,false),0)</f>
        <v>0</v>
      </c>
      <c r="J10" s="39">
        <f>if(OR($E10=1, $E10=2),VLOOKUP($B10,Courts!$B$2:$J$50,7,false),0)</f>
        <v>0</v>
      </c>
      <c r="K10" s="42">
        <f t="shared" si="3"/>
        <v>0</v>
      </c>
      <c r="L10" s="39">
        <f>if(OR($E10=1, $E10=2),VLOOKUP($B10,Courts!$B$2:$J$50,9,false),0)</f>
        <v>0</v>
      </c>
      <c r="M10" s="40">
        <f t="shared" ref="M10:N10" si="9">C10+K10</f>
        <v>0</v>
      </c>
      <c r="N10" s="32">
        <f t="shared" si="9"/>
        <v>0</v>
      </c>
      <c r="O10" s="43" t="s">
        <v>53</v>
      </c>
      <c r="P10" s="43" t="s">
        <v>53</v>
      </c>
      <c r="Q10" s="43" t="s">
        <v>53</v>
      </c>
      <c r="R10" s="39"/>
      <c r="S10" s="39"/>
      <c r="T10" s="39"/>
    </row>
    <row r="11">
      <c r="A11" s="30">
        <f t="shared" si="5"/>
        <v>7</v>
      </c>
      <c r="B11" s="31" t="s">
        <v>82</v>
      </c>
      <c r="C11" s="40"/>
      <c r="D11" s="32"/>
      <c r="E11" s="37">
        <f>if(isna(VLOOKUP(B11,Checkin!A:B,2,false)),0,VLOOKUP(B11,Checkin!A:B,2,false))</f>
        <v>0</v>
      </c>
      <c r="F11" s="39">
        <f>if(OR($E11=1, $E11=2),VLOOKUP($B11,Courts!$B$2:$K$50,10,false),0)</f>
        <v>0</v>
      </c>
      <c r="G11" s="40">
        <f t="shared" si="2"/>
        <v>0</v>
      </c>
      <c r="H11" s="39">
        <f>if(OR($E11=1, $E11=2),VLOOKUP($B11,Courts!$B$2:$J$50,5,false),0)</f>
        <v>0</v>
      </c>
      <c r="I11" s="39">
        <f>if(OR($E11=1, $E11=2),VLOOKUP($B11,Courts!$B$2:$J$50,6,false),0)</f>
        <v>0</v>
      </c>
      <c r="J11" s="39">
        <f>if(OR($E11=1, $E11=2),VLOOKUP($B11,Courts!$B$2:$J$50,7,false),0)</f>
        <v>0</v>
      </c>
      <c r="K11" s="42">
        <f t="shared" si="3"/>
        <v>0</v>
      </c>
      <c r="L11" s="39">
        <f>if(OR($E11=1, $E11=2),VLOOKUP($B11,Courts!$B$2:$J$50,9,false),0)</f>
        <v>0</v>
      </c>
      <c r="M11" s="40">
        <f t="shared" ref="M11:N11" si="10">C11+K11</f>
        <v>0</v>
      </c>
      <c r="N11" s="32">
        <f t="shared" si="10"/>
        <v>0</v>
      </c>
      <c r="O11" s="43" t="s">
        <v>53</v>
      </c>
      <c r="P11" s="43" t="s">
        <v>53</v>
      </c>
      <c r="Q11" s="43" t="s">
        <v>53</v>
      </c>
      <c r="R11" s="39"/>
      <c r="S11" s="39"/>
      <c r="T11" s="39"/>
    </row>
    <row r="12">
      <c r="A12" s="30">
        <f t="shared" si="5"/>
        <v>8</v>
      </c>
      <c r="B12" s="31" t="s">
        <v>57</v>
      </c>
      <c r="C12" s="40"/>
      <c r="D12" s="32"/>
      <c r="E12" s="37">
        <f>if(isna(VLOOKUP(B12,Checkin!A:B,2,false)),0,VLOOKUP(B12,Checkin!A:B,2,false))</f>
        <v>0</v>
      </c>
      <c r="F12" s="39">
        <f>if(OR($E12=1, $E12=2),VLOOKUP($B12,Courts!$B$2:$K$50,10,false),0)</f>
        <v>0</v>
      </c>
      <c r="G12" s="40">
        <f t="shared" si="2"/>
        <v>0</v>
      </c>
      <c r="H12" s="39">
        <f>if(OR($E12=1, $E12=2),VLOOKUP($B12,Courts!$B$2:$J$50,5,false),0)</f>
        <v>0</v>
      </c>
      <c r="I12" s="39">
        <f>if(OR($E12=1, $E12=2),VLOOKUP($B12,Courts!$B$2:$J$50,6,false),0)</f>
        <v>0</v>
      </c>
      <c r="J12" s="39">
        <f>if(OR($E12=1, $E12=2),VLOOKUP($B12,Courts!$B$2:$J$50,7,false),0)</f>
        <v>0</v>
      </c>
      <c r="K12" s="42">
        <f t="shared" si="3"/>
        <v>0</v>
      </c>
      <c r="L12" s="39">
        <f>if(OR($E12=1, $E12=2),VLOOKUP($B12,Courts!$B$2:$J$50,9,false),0)</f>
        <v>0</v>
      </c>
      <c r="M12" s="40">
        <f t="shared" ref="M12:N12" si="11">C12+K12</f>
        <v>0</v>
      </c>
      <c r="N12" s="32">
        <f t="shared" si="11"/>
        <v>0</v>
      </c>
      <c r="O12" s="43" t="s">
        <v>53</v>
      </c>
      <c r="P12" s="43" t="s">
        <v>53</v>
      </c>
      <c r="Q12" s="43" t="s">
        <v>53</v>
      </c>
      <c r="R12" s="39"/>
      <c r="S12" s="39"/>
      <c r="T12" s="39"/>
    </row>
    <row r="13">
      <c r="A13" s="30">
        <f t="shared" si="5"/>
        <v>9</v>
      </c>
      <c r="B13" s="31" t="s">
        <v>91</v>
      </c>
      <c r="C13" s="40"/>
      <c r="D13" s="32"/>
      <c r="E13" s="37">
        <f>if(isna(VLOOKUP(B13,Checkin!A:B,2,false)),0,VLOOKUP(B13,Checkin!A:B,2,false))</f>
        <v>0</v>
      </c>
      <c r="F13" s="39">
        <f>if(OR($E13=1, $E13=2),VLOOKUP($B13,Courts!$B$2:$K$50,10,false),0)</f>
        <v>0</v>
      </c>
      <c r="G13" s="40">
        <f t="shared" si="2"/>
        <v>0</v>
      </c>
      <c r="H13" s="39">
        <f>if(OR($E13=1, $E13=2),VLOOKUP($B13,Courts!$B$2:$J$50,5,false),0)</f>
        <v>0</v>
      </c>
      <c r="I13" s="39">
        <f>if(OR($E13=1, $E13=2),VLOOKUP($B13,Courts!$B$2:$J$50,6,false),0)</f>
        <v>0</v>
      </c>
      <c r="J13" s="39">
        <f>if(OR($E13=1, $E13=2),VLOOKUP($B13,Courts!$B$2:$J$50,7,false),0)</f>
        <v>0</v>
      </c>
      <c r="K13" s="42">
        <f t="shared" si="3"/>
        <v>0</v>
      </c>
      <c r="L13" s="39">
        <f>if(OR($E13=1, $E13=2),VLOOKUP($B13,Courts!$B$2:$J$50,9,false),0)</f>
        <v>0</v>
      </c>
      <c r="M13" s="40">
        <f t="shared" ref="M13:N13" si="12">C13+K13</f>
        <v>0</v>
      </c>
      <c r="N13" s="32">
        <f t="shared" si="12"/>
        <v>0</v>
      </c>
      <c r="O13" s="43" t="s">
        <v>53</v>
      </c>
      <c r="P13" s="43" t="s">
        <v>53</v>
      </c>
      <c r="Q13" s="43" t="s">
        <v>53</v>
      </c>
      <c r="R13" s="39"/>
      <c r="S13" s="39"/>
      <c r="T13" s="39"/>
    </row>
    <row r="14">
      <c r="A14" s="30">
        <f t="shared" si="5"/>
        <v>10</v>
      </c>
      <c r="B14" s="31" t="s">
        <v>71</v>
      </c>
      <c r="C14" s="40"/>
      <c r="D14" s="32"/>
      <c r="E14" s="37">
        <f>if(isna(VLOOKUP(B14,Checkin!A:B,2,false)),0,VLOOKUP(B14,Checkin!A:B,2,false))</f>
        <v>0</v>
      </c>
      <c r="F14" s="39">
        <f>if(OR($E14=1, $E14=2),VLOOKUP($B14,Courts!$B$2:$K$50,10,false),0)</f>
        <v>0</v>
      </c>
      <c r="G14" s="40">
        <f t="shared" si="2"/>
        <v>0</v>
      </c>
      <c r="H14" s="39">
        <f>if(OR($E14=1, $E14=2),VLOOKUP($B14,Courts!$B$2:$J$50,5,false),0)</f>
        <v>0</v>
      </c>
      <c r="I14" s="39">
        <f>if(OR($E14=1, $E14=2),VLOOKUP($B14,Courts!$B$2:$J$50,6,false),0)</f>
        <v>0</v>
      </c>
      <c r="J14" s="39">
        <f>if(OR($E14=1, $E14=2),VLOOKUP($B14,Courts!$B$2:$J$50,7,false),0)</f>
        <v>0</v>
      </c>
      <c r="K14" s="42">
        <f t="shared" si="3"/>
        <v>0</v>
      </c>
      <c r="L14" s="39">
        <f>if(OR($E14=1, $E14=2),VLOOKUP($B14,Courts!$B$2:$J$50,9,false),0)</f>
        <v>0</v>
      </c>
      <c r="M14" s="40">
        <f t="shared" ref="M14:N14" si="13">C14+K14</f>
        <v>0</v>
      </c>
      <c r="N14" s="32">
        <f t="shared" si="13"/>
        <v>0</v>
      </c>
      <c r="O14" s="43" t="s">
        <v>53</v>
      </c>
      <c r="P14" s="43" t="s">
        <v>53</v>
      </c>
      <c r="Q14" s="43" t="s">
        <v>53</v>
      </c>
      <c r="R14" s="39"/>
      <c r="S14" s="39"/>
      <c r="T14" s="39"/>
    </row>
    <row r="15">
      <c r="A15" s="30">
        <f t="shared" si="5"/>
        <v>11</v>
      </c>
      <c r="B15" s="31" t="s">
        <v>98</v>
      </c>
      <c r="C15" s="40"/>
      <c r="D15" s="32"/>
      <c r="E15" s="37">
        <f>if(isna(VLOOKUP(B15,Checkin!A:B,2,false)),0,VLOOKUP(B15,Checkin!A:B,2,false))</f>
        <v>0</v>
      </c>
      <c r="F15" s="39">
        <f>if(OR($E15=1, $E15=2),VLOOKUP($B15,Courts!$B$2:$K$50,10,false),0)</f>
        <v>0</v>
      </c>
      <c r="G15" s="40">
        <f t="shared" si="2"/>
        <v>0</v>
      </c>
      <c r="H15" s="39">
        <f>if(OR($E15=1, $E15=2),VLOOKUP($B15,Courts!$B$2:$J$50,5,false),0)</f>
        <v>0</v>
      </c>
      <c r="I15" s="39">
        <f>if(OR($E15=1, $E15=2),VLOOKUP($B15,Courts!$B$2:$J$50,6,false),0)</f>
        <v>0</v>
      </c>
      <c r="J15" s="39">
        <f>if(OR($E15=1, $E15=2),VLOOKUP($B15,Courts!$B$2:$J$50,7,false),0)</f>
        <v>0</v>
      </c>
      <c r="K15" s="42">
        <f t="shared" si="3"/>
        <v>0</v>
      </c>
      <c r="L15" s="39">
        <f>if(OR($E15=1, $E15=2),VLOOKUP($B15,Courts!$B$2:$J$50,9,false),0)</f>
        <v>0</v>
      </c>
      <c r="M15" s="40">
        <f t="shared" ref="M15:N15" si="14">C15+K15</f>
        <v>0</v>
      </c>
      <c r="N15" s="32">
        <f t="shared" si="14"/>
        <v>0</v>
      </c>
      <c r="O15" s="43" t="s">
        <v>53</v>
      </c>
      <c r="P15" s="43" t="s">
        <v>53</v>
      </c>
      <c r="Q15" s="43" t="s">
        <v>53</v>
      </c>
      <c r="R15" s="39"/>
      <c r="S15" s="39"/>
      <c r="T15" s="39"/>
    </row>
    <row r="16">
      <c r="A16" s="30">
        <f t="shared" si="5"/>
        <v>12</v>
      </c>
      <c r="B16" s="31" t="s">
        <v>96</v>
      </c>
      <c r="C16" s="40"/>
      <c r="D16" s="32"/>
      <c r="E16" s="37">
        <f>if(isna(VLOOKUP(B16,Checkin!A:B,2,false)),0,VLOOKUP(B16,Checkin!A:B,2,false))</f>
        <v>0</v>
      </c>
      <c r="F16" s="39">
        <f>if(OR($E16=1, $E16=2),VLOOKUP($B16,Courts!$B$2:$K$50,10,false),0)</f>
        <v>0</v>
      </c>
      <c r="G16" s="40">
        <f t="shared" si="2"/>
        <v>0</v>
      </c>
      <c r="H16" s="39">
        <f>if(OR($E16=1, $E16=2),VLOOKUP($B16,Courts!$B$2:$J$50,5,false),0)</f>
        <v>0</v>
      </c>
      <c r="I16" s="39">
        <f>if(OR($E16=1, $E16=2),VLOOKUP($B16,Courts!$B$2:$J$50,6,false),0)</f>
        <v>0</v>
      </c>
      <c r="J16" s="39">
        <f>if(OR($E16=1, $E16=2),VLOOKUP($B16,Courts!$B$2:$J$50,7,false),0)</f>
        <v>0</v>
      </c>
      <c r="K16" s="42">
        <f t="shared" si="3"/>
        <v>0</v>
      </c>
      <c r="L16" s="39">
        <f>if(OR($E16=1, $E16=2),VLOOKUP($B16,Courts!$B$2:$J$50,9,false),0)</f>
        <v>0</v>
      </c>
      <c r="M16" s="40">
        <f t="shared" ref="M16:N16" si="15">C16+K16</f>
        <v>0</v>
      </c>
      <c r="N16" s="32">
        <f t="shared" si="15"/>
        <v>0</v>
      </c>
      <c r="O16" s="43" t="s">
        <v>53</v>
      </c>
      <c r="P16" s="43" t="s">
        <v>53</v>
      </c>
      <c r="Q16" s="43" t="s">
        <v>53</v>
      </c>
      <c r="R16" s="39"/>
      <c r="S16" s="39"/>
      <c r="T16" s="39"/>
    </row>
    <row r="17">
      <c r="A17" s="30">
        <f t="shared" si="5"/>
        <v>13</v>
      </c>
      <c r="B17" s="31" t="s">
        <v>83</v>
      </c>
      <c r="C17" s="40"/>
      <c r="D17" s="32"/>
      <c r="E17" s="37">
        <f>if(isna(VLOOKUP(B17,Checkin!A:B,2,false)),0,VLOOKUP(B17,Checkin!A:B,2,false))</f>
        <v>0</v>
      </c>
      <c r="F17" s="39">
        <f>if(OR($E17=1, $E17=2),VLOOKUP($B17,Courts!$B$2:$K$50,10,false),0)</f>
        <v>0</v>
      </c>
      <c r="G17" s="40">
        <f t="shared" si="2"/>
        <v>0</v>
      </c>
      <c r="H17" s="39">
        <f>if(OR($E17=1, $E17=2),VLOOKUP($B17,Courts!$B$2:$J$50,5,false),0)</f>
        <v>0</v>
      </c>
      <c r="I17" s="39">
        <f>if(OR($E17=1, $E17=2),VLOOKUP($B17,Courts!$B$2:$J$50,6,false),0)</f>
        <v>0</v>
      </c>
      <c r="J17" s="39">
        <f>if(OR($E17=1, $E17=2),VLOOKUP($B17,Courts!$B$2:$J$50,7,false),0)</f>
        <v>0</v>
      </c>
      <c r="K17" s="42">
        <f t="shared" si="3"/>
        <v>0</v>
      </c>
      <c r="L17" s="39">
        <f>if(OR($E17=1, $E17=2),VLOOKUP($B17,Courts!$B$2:$J$50,9,false),0)</f>
        <v>0</v>
      </c>
      <c r="M17" s="40">
        <f t="shared" ref="M17:N17" si="16">C17+K17</f>
        <v>0</v>
      </c>
      <c r="N17" s="32">
        <f t="shared" si="16"/>
        <v>0</v>
      </c>
      <c r="O17" s="43" t="s">
        <v>53</v>
      </c>
      <c r="P17" s="43" t="s">
        <v>53</v>
      </c>
      <c r="Q17" s="43" t="s">
        <v>53</v>
      </c>
      <c r="R17" s="39"/>
      <c r="S17" s="39"/>
      <c r="T17" s="39"/>
    </row>
    <row r="18">
      <c r="A18" s="30">
        <f t="shared" si="5"/>
        <v>14</v>
      </c>
      <c r="B18" s="31" t="s">
        <v>125</v>
      </c>
      <c r="C18" s="40"/>
      <c r="D18" s="32"/>
      <c r="E18" s="37">
        <f>if(isna(VLOOKUP(B18,Checkin!A:B,2,false)),0,VLOOKUP(B18,Checkin!A:B,2,false))</f>
        <v>0</v>
      </c>
      <c r="F18" s="39">
        <f>if(OR($E18=1, $E18=2),VLOOKUP($B18,Courts!$B$2:$K$50,10,false),0)</f>
        <v>0</v>
      </c>
      <c r="G18" s="40">
        <f t="shared" si="2"/>
        <v>0</v>
      </c>
      <c r="H18" s="39">
        <f>if(OR($E18=1, $E18=2),VLOOKUP($B18,Courts!$B$2:$J$50,5,false),0)</f>
        <v>0</v>
      </c>
      <c r="I18" s="39">
        <f>if(OR($E18=1, $E18=2),VLOOKUP($B18,Courts!$B$2:$J$50,6,false),0)</f>
        <v>0</v>
      </c>
      <c r="J18" s="39">
        <f>if(OR($E18=1, $E18=2),VLOOKUP($B18,Courts!$B$2:$J$50,7,false),0)</f>
        <v>0</v>
      </c>
      <c r="K18" s="42">
        <f t="shared" si="3"/>
        <v>0</v>
      </c>
      <c r="L18" s="39">
        <f>if(OR($E18=1, $E18=2),VLOOKUP($B18,Courts!$B$2:$J$50,9,false),0)</f>
        <v>0</v>
      </c>
      <c r="M18" s="40">
        <f t="shared" ref="M18:N18" si="17">C18+K18</f>
        <v>0</v>
      </c>
      <c r="N18" s="32">
        <f t="shared" si="17"/>
        <v>0</v>
      </c>
      <c r="O18" s="43" t="s">
        <v>53</v>
      </c>
      <c r="P18" s="43" t="s">
        <v>53</v>
      </c>
      <c r="Q18" s="43" t="s">
        <v>53</v>
      </c>
      <c r="R18" s="39"/>
      <c r="S18" s="39"/>
      <c r="T18" s="39"/>
    </row>
    <row r="19">
      <c r="A19" s="30">
        <f t="shared" si="5"/>
        <v>15</v>
      </c>
      <c r="B19" s="31" t="s">
        <v>56</v>
      </c>
      <c r="C19" s="40"/>
      <c r="D19" s="32"/>
      <c r="E19" s="37">
        <f>if(isna(VLOOKUP(B19,Checkin!A:B,2,false)),0,VLOOKUP(B19,Checkin!A:B,2,false))</f>
        <v>0</v>
      </c>
      <c r="F19" s="39">
        <f>if(OR($E19=1, $E19=2),VLOOKUP($B19,Courts!$B$2:$K$50,10,false),0)</f>
        <v>0</v>
      </c>
      <c r="G19" s="40">
        <f t="shared" si="2"/>
        <v>0</v>
      </c>
      <c r="H19" s="39">
        <f>if(OR($E19=1, $E19=2),VLOOKUP($B19,Courts!$B$2:$J$50,5,false),0)</f>
        <v>0</v>
      </c>
      <c r="I19" s="39">
        <f>if(OR($E19=1, $E19=2),VLOOKUP($B19,Courts!$B$2:$J$50,6,false),0)</f>
        <v>0</v>
      </c>
      <c r="J19" s="39">
        <f>if(OR($E19=1, $E19=2),VLOOKUP($B19,Courts!$B$2:$J$50,7,false),0)</f>
        <v>0</v>
      </c>
      <c r="K19" s="42">
        <f t="shared" si="3"/>
        <v>0</v>
      </c>
      <c r="L19" s="39">
        <f>if(OR($E19=1, $E19=2),VLOOKUP($B19,Courts!$B$2:$J$50,9,false),0)</f>
        <v>0</v>
      </c>
      <c r="M19" s="40">
        <f t="shared" ref="M19:N19" si="18">C19+K19</f>
        <v>0</v>
      </c>
      <c r="N19" s="32">
        <f t="shared" si="18"/>
        <v>0</v>
      </c>
      <c r="O19" s="43" t="s">
        <v>53</v>
      </c>
      <c r="P19" s="43" t="s">
        <v>53</v>
      </c>
      <c r="Q19" s="43" t="s">
        <v>53</v>
      </c>
      <c r="R19" s="39"/>
      <c r="S19" s="39"/>
      <c r="T19" s="39"/>
    </row>
    <row r="20">
      <c r="A20" s="30">
        <f t="shared" si="5"/>
        <v>16</v>
      </c>
      <c r="B20" s="31" t="s">
        <v>86</v>
      </c>
      <c r="C20" s="40"/>
      <c r="D20" s="32"/>
      <c r="E20" s="37">
        <f>if(isna(VLOOKUP(B20,Checkin!A:B,2,false)),0,VLOOKUP(B20,Checkin!A:B,2,false))</f>
        <v>0</v>
      </c>
      <c r="F20" s="39">
        <f>if(OR($E20=1, $E20=2),VLOOKUP($B20,Courts!$B$2:$K$50,10,false),0)</f>
        <v>0</v>
      </c>
      <c r="G20" s="40">
        <f t="shared" si="2"/>
        <v>0</v>
      </c>
      <c r="H20" s="39">
        <f>if(OR($E20=1, $E20=2),VLOOKUP($B20,Courts!$B$2:$J$50,5,false),0)</f>
        <v>0</v>
      </c>
      <c r="I20" s="39">
        <f>if(OR($E20=1, $E20=2),VLOOKUP($B20,Courts!$B$2:$J$50,6,false),0)</f>
        <v>0</v>
      </c>
      <c r="J20" s="39">
        <f>if(OR($E20=1, $E20=2),VLOOKUP($B20,Courts!$B$2:$J$50,7,false),0)</f>
        <v>0</v>
      </c>
      <c r="K20" s="42">
        <f t="shared" si="3"/>
        <v>0</v>
      </c>
      <c r="L20" s="39">
        <f>if(OR($E20=1, $E20=2),VLOOKUP($B20,Courts!$B$2:$J$50,9,false),0)</f>
        <v>0</v>
      </c>
      <c r="M20" s="40">
        <f t="shared" ref="M20:N20" si="19">C20+K20</f>
        <v>0</v>
      </c>
      <c r="N20" s="32">
        <f t="shared" si="19"/>
        <v>0</v>
      </c>
      <c r="O20" s="43" t="s">
        <v>53</v>
      </c>
      <c r="P20" s="43" t="s">
        <v>53</v>
      </c>
      <c r="Q20" s="43" t="s">
        <v>53</v>
      </c>
      <c r="R20" s="39"/>
      <c r="S20" s="39"/>
      <c r="T20" s="39"/>
    </row>
    <row r="21">
      <c r="A21" s="30">
        <f t="shared" si="5"/>
        <v>17</v>
      </c>
      <c r="B21" s="51" t="s">
        <v>76</v>
      </c>
      <c r="C21" s="40"/>
      <c r="D21" s="32"/>
      <c r="E21" s="37">
        <f>if(isna(VLOOKUP(B21,Checkin!A:B,2,false)),0,VLOOKUP(B21,Checkin!A:B,2,false))</f>
        <v>0</v>
      </c>
      <c r="F21" s="39">
        <f>if(OR($E21=1, $E21=2),VLOOKUP($B21,Courts!$B$2:$K$50,10,false),0)</f>
        <v>0</v>
      </c>
      <c r="G21" s="40">
        <f t="shared" si="2"/>
        <v>0</v>
      </c>
      <c r="H21" s="39">
        <f>if(OR($E21=1, $E21=2),VLOOKUP($B21,Courts!$B$2:$J$50,5,false),0)</f>
        <v>0</v>
      </c>
      <c r="I21" s="39">
        <f>if(OR($E21=1, $E21=2),VLOOKUP($B21,Courts!$B$2:$J$50,6,false),0)</f>
        <v>0</v>
      </c>
      <c r="J21" s="39">
        <f>if(OR($E21=1, $E21=2),VLOOKUP($B21,Courts!$B$2:$J$50,7,false),0)</f>
        <v>0</v>
      </c>
      <c r="K21" s="42">
        <f t="shared" si="3"/>
        <v>0</v>
      </c>
      <c r="L21" s="39">
        <f>if(OR($E21=1, $E21=2),VLOOKUP($B21,Courts!$B$2:$J$50,9,false),0)</f>
        <v>0</v>
      </c>
      <c r="M21" s="40">
        <f t="shared" ref="M21:N21" si="20">C21+K21</f>
        <v>0</v>
      </c>
      <c r="N21" s="32">
        <f t="shared" si="20"/>
        <v>0</v>
      </c>
      <c r="O21" s="43" t="s">
        <v>53</v>
      </c>
      <c r="P21" s="43" t="s">
        <v>53</v>
      </c>
      <c r="Q21" s="43" t="s">
        <v>53</v>
      </c>
      <c r="R21" s="39"/>
      <c r="S21" s="39"/>
      <c r="T21" s="39"/>
    </row>
    <row r="22">
      <c r="A22" s="30">
        <f t="shared" si="5"/>
        <v>18</v>
      </c>
      <c r="B22" s="31" t="s">
        <v>61</v>
      </c>
      <c r="C22" s="40"/>
      <c r="D22" s="32"/>
      <c r="E22" s="37">
        <f>if(isna(VLOOKUP(B22,Checkin!A:B,2,false)),0,VLOOKUP(B22,Checkin!A:B,2,false))</f>
        <v>0</v>
      </c>
      <c r="F22" s="39">
        <f>if(OR($E22=1, $E22=2),VLOOKUP($B22,Courts!$B$2:$K$50,10,false),0)</f>
        <v>0</v>
      </c>
      <c r="G22" s="40">
        <f t="shared" si="2"/>
        <v>0</v>
      </c>
      <c r="H22" s="39">
        <f>if(OR($E22=1, $E22=2),VLOOKUP($B22,Courts!$B$2:$J$50,5,false),0)</f>
        <v>0</v>
      </c>
      <c r="I22" s="39">
        <f>if(OR($E22=1, $E22=2),VLOOKUP($B22,Courts!$B$2:$J$50,6,false),0)</f>
        <v>0</v>
      </c>
      <c r="J22" s="39">
        <f>if(OR($E22=1, $E22=2),VLOOKUP($B22,Courts!$B$2:$J$50,7,false),0)</f>
        <v>0</v>
      </c>
      <c r="K22" s="42">
        <f t="shared" si="3"/>
        <v>0</v>
      </c>
      <c r="L22" s="39">
        <f>if(OR($E22=1, $E22=2),VLOOKUP($B22,Courts!$B$2:$J$50,9,false),0)</f>
        <v>0</v>
      </c>
      <c r="M22" s="40">
        <f t="shared" ref="M22:N22" si="21">C22+K22</f>
        <v>0</v>
      </c>
      <c r="N22" s="32">
        <f t="shared" si="21"/>
        <v>0</v>
      </c>
      <c r="O22" s="43" t="s">
        <v>53</v>
      </c>
      <c r="P22" s="43" t="s">
        <v>53</v>
      </c>
      <c r="Q22" s="43" t="s">
        <v>53</v>
      </c>
      <c r="R22" s="39"/>
      <c r="S22" s="39"/>
      <c r="T22" s="39"/>
    </row>
    <row r="23">
      <c r="A23" s="30">
        <f t="shared" si="5"/>
        <v>19</v>
      </c>
      <c r="B23" s="31" t="s">
        <v>105</v>
      </c>
      <c r="C23" s="40"/>
      <c r="D23" s="32"/>
      <c r="E23" s="37">
        <f>if(isna(VLOOKUP(B23,Checkin!A:B,2,false)),0,VLOOKUP(B23,Checkin!A:B,2,false))</f>
        <v>0</v>
      </c>
      <c r="F23" s="39">
        <f>if(OR($E23=1, $E23=2),VLOOKUP($B23,Courts!$B$2:$K$50,10,false),0)</f>
        <v>0</v>
      </c>
      <c r="G23" s="40">
        <f t="shared" si="2"/>
        <v>0</v>
      </c>
      <c r="H23" s="39">
        <f>if(OR($E23=1, $E23=2),VLOOKUP($B23,Courts!$B$2:$J$50,5,false),0)</f>
        <v>0</v>
      </c>
      <c r="I23" s="39">
        <f>if(OR($E23=1, $E23=2),VLOOKUP($B23,Courts!$B$2:$J$50,6,false),0)</f>
        <v>0</v>
      </c>
      <c r="J23" s="39">
        <f>if(OR($E23=1, $E23=2),VLOOKUP($B23,Courts!$B$2:$J$50,7,false),0)</f>
        <v>0</v>
      </c>
      <c r="K23" s="42">
        <f t="shared" si="3"/>
        <v>0</v>
      </c>
      <c r="L23" s="39">
        <f>if(OR($E23=1, $E23=2),VLOOKUP($B23,Courts!$B$2:$J$50,9,false),0)</f>
        <v>0</v>
      </c>
      <c r="M23" s="40">
        <f t="shared" ref="M23:N23" si="22">C23+K23</f>
        <v>0</v>
      </c>
      <c r="N23" s="32">
        <f t="shared" si="22"/>
        <v>0</v>
      </c>
      <c r="O23" s="43" t="s">
        <v>53</v>
      </c>
      <c r="P23" s="43" t="s">
        <v>53</v>
      </c>
      <c r="Q23" s="43" t="s">
        <v>53</v>
      </c>
      <c r="R23" s="39"/>
      <c r="S23" s="39"/>
      <c r="T23" s="39"/>
    </row>
    <row r="24">
      <c r="A24" s="30">
        <f t="shared" si="5"/>
        <v>20</v>
      </c>
      <c r="B24" s="31" t="s">
        <v>79</v>
      </c>
      <c r="C24" s="40"/>
      <c r="D24" s="32"/>
      <c r="E24" s="37">
        <f>if(isna(VLOOKUP(B24,Checkin!A:B,2,false)),0,VLOOKUP(B24,Checkin!A:B,2,false))</f>
        <v>0</v>
      </c>
      <c r="F24" s="39">
        <f>if(OR($E24=1, $E24=2),VLOOKUP($B24,Courts!$B$2:$K$50,10,false),0)</f>
        <v>0</v>
      </c>
      <c r="G24" s="40">
        <f t="shared" si="2"/>
        <v>0</v>
      </c>
      <c r="H24" s="39">
        <f>if(OR($E24=1, $E24=2),VLOOKUP($B24,Courts!$B$2:$J$50,5,false),0)</f>
        <v>0</v>
      </c>
      <c r="I24" s="39">
        <f>if(OR($E24=1, $E24=2),VLOOKUP($B24,Courts!$B$2:$J$50,6,false),0)</f>
        <v>0</v>
      </c>
      <c r="J24" s="39">
        <f>if(OR($E24=1, $E24=2),VLOOKUP($B24,Courts!$B$2:$J$50,7,false),0)</f>
        <v>0</v>
      </c>
      <c r="K24" s="42">
        <f t="shared" si="3"/>
        <v>0</v>
      </c>
      <c r="L24" s="39">
        <f>if(OR($E24=1, $E24=2),VLOOKUP($B24,Courts!$B$2:$J$50,9,false),0)</f>
        <v>0</v>
      </c>
      <c r="M24" s="40">
        <f t="shared" ref="M24:N24" si="23">C24+K24</f>
        <v>0</v>
      </c>
      <c r="N24" s="32">
        <f t="shared" si="23"/>
        <v>0</v>
      </c>
      <c r="O24" s="43" t="s">
        <v>53</v>
      </c>
      <c r="P24" s="43" t="s">
        <v>53</v>
      </c>
      <c r="Q24" s="43" t="s">
        <v>53</v>
      </c>
      <c r="R24" s="39"/>
      <c r="S24" s="39"/>
      <c r="T24" s="39"/>
    </row>
    <row r="25">
      <c r="A25" s="30">
        <f t="shared" si="5"/>
        <v>21</v>
      </c>
      <c r="B25" s="51" t="s">
        <v>103</v>
      </c>
      <c r="C25" s="40"/>
      <c r="D25" s="32"/>
      <c r="E25" s="37">
        <f>if(isna(VLOOKUP(B25,Checkin!A:B,2,false)),0,VLOOKUP(B25,Checkin!A:B,2,false))</f>
        <v>0</v>
      </c>
      <c r="F25" s="39">
        <f>if(OR($E25=1, $E25=2),VLOOKUP($B25,Courts!$B$2:$K$50,10,false),0)</f>
        <v>0</v>
      </c>
      <c r="G25" s="40">
        <f t="shared" si="2"/>
        <v>0</v>
      </c>
      <c r="H25" s="39">
        <f>if(OR($E25=1, $E25=2),VLOOKUP($B25,Courts!$B$2:$J$50,5,false),0)</f>
        <v>0</v>
      </c>
      <c r="I25" s="39">
        <f>if(OR($E25=1, $E25=2),VLOOKUP($B25,Courts!$B$2:$J$50,6,false),0)</f>
        <v>0</v>
      </c>
      <c r="J25" s="39">
        <f>if(OR($E25=1, $E25=2),VLOOKUP($B25,Courts!$B$2:$J$50,7,false),0)</f>
        <v>0</v>
      </c>
      <c r="K25" s="42">
        <f t="shared" si="3"/>
        <v>0</v>
      </c>
      <c r="L25" s="39">
        <f>if(OR($E25=1, $E25=2),VLOOKUP($B25,Courts!$B$2:$J$50,9,false),0)</f>
        <v>0</v>
      </c>
      <c r="M25" s="40">
        <f t="shared" ref="M25:N25" si="24">C25+K25</f>
        <v>0</v>
      </c>
      <c r="N25" s="32">
        <f t="shared" si="24"/>
        <v>0</v>
      </c>
      <c r="O25" s="43" t="s">
        <v>53</v>
      </c>
      <c r="P25" s="43" t="s">
        <v>53</v>
      </c>
      <c r="Q25" s="43" t="s">
        <v>53</v>
      </c>
      <c r="R25" s="39"/>
      <c r="S25" s="39"/>
      <c r="T25" s="39"/>
    </row>
    <row r="26">
      <c r="A26" s="30">
        <f t="shared" si="5"/>
        <v>22</v>
      </c>
      <c r="B26" s="56" t="s">
        <v>122</v>
      </c>
      <c r="C26" s="40"/>
      <c r="D26" s="32"/>
      <c r="E26" s="37">
        <f>if(isna(VLOOKUP(B26,Checkin!A:B,2,false)),0,VLOOKUP(B26,Checkin!A:B,2,false))</f>
        <v>0</v>
      </c>
      <c r="F26" s="39">
        <f>if(OR($E26=1, $E26=2),VLOOKUP($B26,Courts!$B$2:$K$50,10,false),0)</f>
        <v>0</v>
      </c>
      <c r="G26" s="40">
        <f t="shared" si="2"/>
        <v>0</v>
      </c>
      <c r="H26" s="39">
        <f>if(OR($E26=1, $E26=2),VLOOKUP($B26,Courts!$B$2:$J$50,5,false),0)</f>
        <v>0</v>
      </c>
      <c r="I26" s="39">
        <f>if(OR($E26=1, $E26=2),VLOOKUP($B26,Courts!$B$2:$J$50,6,false),0)</f>
        <v>0</v>
      </c>
      <c r="J26" s="39">
        <f>if(OR($E26=1, $E26=2),VLOOKUP($B26,Courts!$B$2:$J$50,7,false),0)</f>
        <v>0</v>
      </c>
      <c r="K26" s="42">
        <f t="shared" si="3"/>
        <v>0</v>
      </c>
      <c r="L26" s="39">
        <f>if(OR($E26=1, $E26=2),VLOOKUP($B26,Courts!$B$2:$J$50,9,false),0)</f>
        <v>0</v>
      </c>
      <c r="M26" s="40">
        <f t="shared" ref="M26:N26" si="25">C26+K26</f>
        <v>0</v>
      </c>
      <c r="N26" s="32">
        <f t="shared" si="25"/>
        <v>0</v>
      </c>
      <c r="O26" s="43" t="s">
        <v>53</v>
      </c>
      <c r="P26" s="43" t="s">
        <v>53</v>
      </c>
      <c r="Q26" s="43" t="s">
        <v>53</v>
      </c>
      <c r="R26" s="39"/>
      <c r="S26" s="39"/>
      <c r="T26" s="39"/>
    </row>
    <row r="27">
      <c r="A27" s="30">
        <f t="shared" si="5"/>
        <v>23</v>
      </c>
      <c r="B27" s="31" t="s">
        <v>63</v>
      </c>
      <c r="C27" s="40"/>
      <c r="D27" s="32"/>
      <c r="E27" s="37">
        <f>if(isna(VLOOKUP(B27,Checkin!A:B,2,false)),0,VLOOKUP(B27,Checkin!A:B,2,false))</f>
        <v>0</v>
      </c>
      <c r="F27" s="39">
        <f>if(OR($E27=1, $E27=2),VLOOKUP($B27,Courts!$B$2:$K$50,10,false),0)</f>
        <v>0</v>
      </c>
      <c r="G27" s="40">
        <f t="shared" si="2"/>
        <v>0</v>
      </c>
      <c r="H27" s="39">
        <f>if(OR($E27=1, $E27=2),VLOOKUP($B27,Courts!$B$2:$J$50,5,false),0)</f>
        <v>0</v>
      </c>
      <c r="I27" s="39">
        <f>if(OR($E27=1, $E27=2),VLOOKUP($B27,Courts!$B$2:$J$50,6,false),0)</f>
        <v>0</v>
      </c>
      <c r="J27" s="39">
        <f>if(OR($E27=1, $E27=2),VLOOKUP($B27,Courts!$B$2:$J$50,7,false),0)</f>
        <v>0</v>
      </c>
      <c r="K27" s="42">
        <f t="shared" si="3"/>
        <v>0</v>
      </c>
      <c r="L27" s="39">
        <f>if(OR($E27=1, $E27=2),VLOOKUP($B27,Courts!$B$2:$J$50,9,false),0)</f>
        <v>0</v>
      </c>
      <c r="M27" s="40">
        <f t="shared" ref="M27:N27" si="26">C27+K27</f>
        <v>0</v>
      </c>
      <c r="N27" s="32">
        <f t="shared" si="26"/>
        <v>0</v>
      </c>
      <c r="O27" s="43" t="s">
        <v>53</v>
      </c>
      <c r="P27" s="43" t="s">
        <v>53</v>
      </c>
      <c r="Q27" s="43" t="s">
        <v>53</v>
      </c>
      <c r="R27" s="39"/>
      <c r="S27" s="39"/>
      <c r="T27" s="39"/>
    </row>
    <row r="28">
      <c r="A28" s="30">
        <f t="shared" si="5"/>
        <v>24</v>
      </c>
      <c r="B28" s="56" t="s">
        <v>110</v>
      </c>
      <c r="C28" s="40"/>
      <c r="D28" s="32"/>
      <c r="E28" s="37">
        <f>if(isna(VLOOKUP(B28,Checkin!A:B,2,false)),0,VLOOKUP(B28,Checkin!A:B,2,false))</f>
        <v>0</v>
      </c>
      <c r="F28" s="39">
        <f>if(OR($E28=1, $E28=2),VLOOKUP($B28,Courts!$B$2:$K$50,10,false),0)</f>
        <v>0</v>
      </c>
      <c r="G28" s="40">
        <f t="shared" si="2"/>
        <v>0</v>
      </c>
      <c r="H28" s="39">
        <f>if(OR($E28=1, $E28=2),VLOOKUP($B28,Courts!$B$2:$J$50,5,false),0)</f>
        <v>0</v>
      </c>
      <c r="I28" s="39">
        <f>if(OR($E28=1, $E28=2),VLOOKUP($B28,Courts!$B$2:$J$50,6,false),0)</f>
        <v>0</v>
      </c>
      <c r="J28" s="39">
        <f>if(OR($E28=1, $E28=2),VLOOKUP($B28,Courts!$B$2:$J$50,7,false),0)</f>
        <v>0</v>
      </c>
      <c r="K28" s="42">
        <f t="shared" si="3"/>
        <v>0</v>
      </c>
      <c r="L28" s="39">
        <f>if(OR($E28=1, $E28=2),VLOOKUP($B28,Courts!$B$2:$J$50,9,false),0)</f>
        <v>0</v>
      </c>
      <c r="M28" s="40">
        <f t="shared" ref="M28:N28" si="27">C28+K28</f>
        <v>0</v>
      </c>
      <c r="N28" s="32">
        <f t="shared" si="27"/>
        <v>0</v>
      </c>
      <c r="O28" s="43" t="s">
        <v>53</v>
      </c>
      <c r="P28" s="43" t="s">
        <v>53</v>
      </c>
      <c r="Q28" s="43" t="s">
        <v>53</v>
      </c>
      <c r="R28" s="39"/>
      <c r="S28" s="39"/>
      <c r="T28" s="39"/>
    </row>
    <row r="29">
      <c r="A29" s="30">
        <f t="shared" si="5"/>
        <v>25</v>
      </c>
      <c r="B29" s="56" t="s">
        <v>101</v>
      </c>
      <c r="C29" s="40"/>
      <c r="D29" s="32"/>
      <c r="E29" s="37">
        <f>if(isna(VLOOKUP(B29,Checkin!A:B,2,false)),0,VLOOKUP(B29,Checkin!A:B,2,false))</f>
        <v>0</v>
      </c>
      <c r="F29" s="39">
        <f>if(OR($E29=1, $E29=2),VLOOKUP($B29,Courts!$B$2:$K$50,10,false),0)</f>
        <v>0</v>
      </c>
      <c r="G29" s="40">
        <f t="shared" si="2"/>
        <v>0</v>
      </c>
      <c r="H29" s="39">
        <f>if(OR($E29=1, $E29=2),VLOOKUP($B29,Courts!$B$2:$J$50,5,false),0)</f>
        <v>0</v>
      </c>
      <c r="I29" s="39">
        <f>if(OR($E29=1, $E29=2),VLOOKUP($B29,Courts!$B$2:$J$50,6,false),0)</f>
        <v>0</v>
      </c>
      <c r="J29" s="39">
        <f>if(OR($E29=1, $E29=2),VLOOKUP($B29,Courts!$B$2:$J$50,7,false),0)</f>
        <v>0</v>
      </c>
      <c r="K29" s="42">
        <f t="shared" si="3"/>
        <v>0</v>
      </c>
      <c r="L29" s="39">
        <f>if(OR($E29=1, $E29=2),VLOOKUP($B29,Courts!$B$2:$J$50,9,false),0)</f>
        <v>0</v>
      </c>
      <c r="M29" s="40">
        <f t="shared" ref="M29:N29" si="28">C29+K29</f>
        <v>0</v>
      </c>
      <c r="N29" s="32">
        <f t="shared" si="28"/>
        <v>0</v>
      </c>
      <c r="O29" s="43" t="s">
        <v>53</v>
      </c>
      <c r="P29" s="43" t="s">
        <v>53</v>
      </c>
      <c r="Q29" s="43" t="s">
        <v>53</v>
      </c>
      <c r="R29" s="39"/>
      <c r="S29" s="39"/>
      <c r="T29" s="39"/>
    </row>
    <row r="30">
      <c r="A30" s="30">
        <f t="shared" si="5"/>
        <v>26</v>
      </c>
      <c r="B30" s="31" t="s">
        <v>119</v>
      </c>
      <c r="C30" s="40"/>
      <c r="D30" s="32"/>
      <c r="E30" s="37">
        <f>if(isna(VLOOKUP(B30,Checkin!A:B,2,false)),0,VLOOKUP(B30,Checkin!A:B,2,false))</f>
        <v>0</v>
      </c>
      <c r="F30" s="39">
        <f>if(OR($E30=1, $E30=2),VLOOKUP($B30,Courts!$B$2:$K$50,10,false),0)</f>
        <v>0</v>
      </c>
      <c r="G30" s="40">
        <f t="shared" si="2"/>
        <v>0</v>
      </c>
      <c r="H30" s="39">
        <f>if(OR($E30=1, $E30=2),VLOOKUP($B30,Courts!$B$2:$J$50,5,false),0)</f>
        <v>0</v>
      </c>
      <c r="I30" s="39">
        <f>if(OR($E30=1, $E30=2),VLOOKUP($B30,Courts!$B$2:$J$50,6,false),0)</f>
        <v>0</v>
      </c>
      <c r="J30" s="39">
        <f>if(OR($E30=1, $E30=2),VLOOKUP($B30,Courts!$B$2:$J$50,7,false),0)</f>
        <v>0</v>
      </c>
      <c r="K30" s="42">
        <f t="shared" si="3"/>
        <v>0</v>
      </c>
      <c r="L30" s="39">
        <f>if(OR($E30=1, $E30=2),VLOOKUP($B30,Courts!$B$2:$J$50,9,false),0)</f>
        <v>0</v>
      </c>
      <c r="M30" s="40">
        <f t="shared" ref="M30:N30" si="29">C30+K30</f>
        <v>0</v>
      </c>
      <c r="N30" s="32">
        <f t="shared" si="29"/>
        <v>0</v>
      </c>
      <c r="O30" s="43" t="s">
        <v>53</v>
      </c>
      <c r="P30" s="43" t="s">
        <v>53</v>
      </c>
      <c r="Q30" s="43" t="s">
        <v>88</v>
      </c>
      <c r="R30" s="39"/>
      <c r="S30" s="39"/>
      <c r="T30" s="39"/>
    </row>
    <row r="31">
      <c r="A31" s="30">
        <f t="shared" si="5"/>
        <v>27</v>
      </c>
      <c r="B31" s="51" t="s">
        <v>102</v>
      </c>
      <c r="C31" s="40"/>
      <c r="D31" s="32"/>
      <c r="E31" s="37">
        <f>if(isna(VLOOKUP(B31,Checkin!A:B,2,false)),0,VLOOKUP(B31,Checkin!A:B,2,false))</f>
        <v>0</v>
      </c>
      <c r="F31" s="39">
        <f>if(OR($E31=1, $E31=2),VLOOKUP($B31,Courts!$B$2:$K$50,10,false),0)</f>
        <v>0</v>
      </c>
      <c r="G31" s="40">
        <f t="shared" si="2"/>
        <v>0</v>
      </c>
      <c r="H31" s="39">
        <f>if(OR($E31=1, $E31=2),VLOOKUP($B31,Courts!$B$2:$J$50,5,false),0)</f>
        <v>0</v>
      </c>
      <c r="I31" s="39">
        <f>if(OR($E31=1, $E31=2),VLOOKUP($B31,Courts!$B$2:$J$50,6,false),0)</f>
        <v>0</v>
      </c>
      <c r="J31" s="39">
        <f>if(OR($E31=1, $E31=2),VLOOKUP($B31,Courts!$B$2:$J$50,7,false),0)</f>
        <v>0</v>
      </c>
      <c r="K31" s="42">
        <f t="shared" si="3"/>
        <v>0</v>
      </c>
      <c r="L31" s="39">
        <f>if(OR($E31=1, $E31=2),VLOOKUP($B31,Courts!$B$2:$J$50,9,false),0)</f>
        <v>0</v>
      </c>
      <c r="M31" s="40">
        <f t="shared" ref="M31:N31" si="30">C31+K31</f>
        <v>0</v>
      </c>
      <c r="N31" s="32">
        <f t="shared" si="30"/>
        <v>0</v>
      </c>
      <c r="O31" s="43" t="s">
        <v>53</v>
      </c>
      <c r="P31" s="43" t="s">
        <v>53</v>
      </c>
      <c r="Q31" s="43" t="s">
        <v>53</v>
      </c>
      <c r="R31" s="39"/>
      <c r="S31" s="39"/>
      <c r="T31" s="39"/>
    </row>
    <row r="32">
      <c r="A32" s="30">
        <f t="shared" si="5"/>
        <v>28</v>
      </c>
      <c r="B32" s="31" t="s">
        <v>46</v>
      </c>
      <c r="C32" s="40"/>
      <c r="D32" s="32"/>
      <c r="E32" s="37">
        <f>if(isna(VLOOKUP(B32,Checkin!A:B,2,false)),0,VLOOKUP(B32,Checkin!A:B,2,false))</f>
        <v>0</v>
      </c>
      <c r="F32" s="39">
        <f>if(OR($E32=1, $E32=2),VLOOKUP($B32,Courts!$B$2:$K$50,10,false),0)</f>
        <v>0</v>
      </c>
      <c r="G32" s="40">
        <f t="shared" si="2"/>
        <v>0</v>
      </c>
      <c r="H32" s="39">
        <f>if(OR($E32=1, $E32=2),VLOOKUP($B32,Courts!$B$2:$J$50,5,false),0)</f>
        <v>0</v>
      </c>
      <c r="I32" s="39">
        <f>if(OR($E32=1, $E32=2),VLOOKUP($B32,Courts!$B$2:$J$50,6,false),0)</f>
        <v>0</v>
      </c>
      <c r="J32" s="39">
        <f>if(OR($E32=1, $E32=2),VLOOKUP($B32,Courts!$B$2:$J$50,7,false),0)</f>
        <v>0</v>
      </c>
      <c r="K32" s="42">
        <f t="shared" si="3"/>
        <v>0</v>
      </c>
      <c r="L32" s="39">
        <f>if(OR($E32=1, $E32=2),VLOOKUP($B32,Courts!$B$2:$J$50,9,false),0)</f>
        <v>0</v>
      </c>
      <c r="M32" s="40">
        <f t="shared" ref="M32:N32" si="31">C32+K32</f>
        <v>0</v>
      </c>
      <c r="N32" s="32">
        <f t="shared" si="31"/>
        <v>0</v>
      </c>
      <c r="O32" s="43" t="s">
        <v>53</v>
      </c>
      <c r="P32" s="43" t="s">
        <v>53</v>
      </c>
      <c r="Q32" s="43" t="s">
        <v>53</v>
      </c>
      <c r="R32" s="39"/>
      <c r="S32" s="39"/>
      <c r="T32" s="39"/>
    </row>
    <row r="33">
      <c r="A33" s="30">
        <f t="shared" si="5"/>
        <v>29</v>
      </c>
      <c r="B33" s="31" t="s">
        <v>66</v>
      </c>
      <c r="C33" s="40"/>
      <c r="D33" s="32"/>
      <c r="E33" s="37">
        <f>if(isna(VLOOKUP(B33,Checkin!A:B,2,false)),0,VLOOKUP(B33,Checkin!A:B,2,false))</f>
        <v>0</v>
      </c>
      <c r="F33" s="39">
        <f>if(OR($E33=1, $E33=2),VLOOKUP($B33,Courts!$B$2:$K$50,10,false),0)</f>
        <v>0</v>
      </c>
      <c r="G33" s="40">
        <f t="shared" si="2"/>
        <v>0</v>
      </c>
      <c r="H33" s="39">
        <f>if(OR($E33=1, $E33=2),VLOOKUP($B33,Courts!$B$2:$J$50,5,false),0)</f>
        <v>0</v>
      </c>
      <c r="I33" s="39">
        <f>if(OR($E33=1, $E33=2),VLOOKUP($B33,Courts!$B$2:$J$50,6,false),0)</f>
        <v>0</v>
      </c>
      <c r="J33" s="39">
        <f>if(OR($E33=1, $E33=2),VLOOKUP($B33,Courts!$B$2:$J$50,7,false),0)</f>
        <v>0</v>
      </c>
      <c r="K33" s="42">
        <f t="shared" si="3"/>
        <v>0</v>
      </c>
      <c r="L33" s="39">
        <f>if(OR($E33=1, $E33=2),VLOOKUP($B33,Courts!$B$2:$J$50,9,false),0)</f>
        <v>0</v>
      </c>
      <c r="M33" s="40">
        <f t="shared" ref="M33:N33" si="32">C33+K33</f>
        <v>0</v>
      </c>
      <c r="N33" s="32">
        <f t="shared" si="32"/>
        <v>0</v>
      </c>
      <c r="O33" s="43" t="s">
        <v>53</v>
      </c>
      <c r="P33" s="43" t="s">
        <v>53</v>
      </c>
      <c r="Q33" s="43" t="s">
        <v>53</v>
      </c>
      <c r="R33" s="39"/>
      <c r="S33" s="39"/>
      <c r="T33" s="39"/>
    </row>
    <row r="34">
      <c r="A34" s="30">
        <f t="shared" si="5"/>
        <v>30</v>
      </c>
      <c r="B34" s="56" t="s">
        <v>115</v>
      </c>
      <c r="C34" s="40"/>
      <c r="D34" s="32"/>
      <c r="E34" s="37">
        <f>if(isna(VLOOKUP(B34,Checkin!A:B,2,false)),0,VLOOKUP(B34,Checkin!A:B,2,false))</f>
        <v>0</v>
      </c>
      <c r="F34" s="39">
        <f>if(OR($E34=1, $E34=2),VLOOKUP($B34,Courts!$B$2:$K$50,10,false),0)</f>
        <v>0</v>
      </c>
      <c r="G34" s="40">
        <f t="shared" si="2"/>
        <v>0</v>
      </c>
      <c r="H34" s="39">
        <f>if(OR($E34=1, $E34=2),VLOOKUP($B34,Courts!$B$2:$J$50,5,false),0)</f>
        <v>0</v>
      </c>
      <c r="I34" s="39">
        <f>if(OR($E34=1, $E34=2),VLOOKUP($B34,Courts!$B$2:$J$50,6,false),0)</f>
        <v>0</v>
      </c>
      <c r="J34" s="39">
        <f>if(OR($E34=1, $E34=2),VLOOKUP($B34,Courts!$B$2:$J$50,7,false),0)</f>
        <v>0</v>
      </c>
      <c r="K34" s="42">
        <f t="shared" si="3"/>
        <v>0</v>
      </c>
      <c r="L34" s="39">
        <f>if(OR($E34=1, $E34=2),VLOOKUP($B34,Courts!$B$2:$J$50,9,false),0)</f>
        <v>0</v>
      </c>
      <c r="M34" s="40">
        <f t="shared" ref="M34:N34" si="33">C34+K34</f>
        <v>0</v>
      </c>
      <c r="N34" s="32">
        <f t="shared" si="33"/>
        <v>0</v>
      </c>
      <c r="O34" s="43" t="s">
        <v>53</v>
      </c>
      <c r="P34" s="43" t="s">
        <v>53</v>
      </c>
      <c r="Q34" s="43" t="s">
        <v>53</v>
      </c>
      <c r="R34" s="39"/>
      <c r="S34" s="39"/>
      <c r="T34" s="39"/>
    </row>
    <row r="35">
      <c r="A35" s="30">
        <f t="shared" si="5"/>
        <v>31</v>
      </c>
      <c r="B35" s="31" t="s">
        <v>73</v>
      </c>
      <c r="C35" s="40"/>
      <c r="D35" s="32"/>
      <c r="E35" s="37">
        <f>if(isna(VLOOKUP(B35,Checkin!A:B,2,false)),0,VLOOKUP(B35,Checkin!A:B,2,false))</f>
        <v>0</v>
      </c>
      <c r="F35" s="39">
        <f>if(OR($E35=1, $E35=2),VLOOKUP($B35,Courts!$B$2:$K$50,10,false),0)</f>
        <v>0</v>
      </c>
      <c r="G35" s="40">
        <f t="shared" si="2"/>
        <v>0</v>
      </c>
      <c r="H35" s="39">
        <f>if(OR($E35=1, $E35=2),VLOOKUP($B35,Courts!$B$2:$J$50,5,false),0)</f>
        <v>0</v>
      </c>
      <c r="I35" s="39">
        <f>if(OR($E35=1, $E35=2),VLOOKUP($B35,Courts!$B$2:$J$50,6,false),0)</f>
        <v>0</v>
      </c>
      <c r="J35" s="39">
        <f>if(OR($E35=1, $E35=2),VLOOKUP($B35,Courts!$B$2:$J$50,7,false),0)</f>
        <v>0</v>
      </c>
      <c r="K35" s="42">
        <f t="shared" si="3"/>
        <v>0</v>
      </c>
      <c r="L35" s="39">
        <f>if(OR($E35=1, $E35=2),VLOOKUP($B35,Courts!$B$2:$J$50,9,false),0)</f>
        <v>0</v>
      </c>
      <c r="M35" s="40">
        <f t="shared" ref="M35:N35" si="34">C35+K35</f>
        <v>0</v>
      </c>
      <c r="N35" s="32">
        <f t="shared" si="34"/>
        <v>0</v>
      </c>
      <c r="O35" s="43" t="s">
        <v>53</v>
      </c>
      <c r="P35" s="43" t="s">
        <v>53</v>
      </c>
      <c r="Q35" s="43" t="s">
        <v>53</v>
      </c>
      <c r="R35" s="39"/>
      <c r="S35" s="39"/>
      <c r="T35" s="39"/>
    </row>
    <row r="36">
      <c r="A36" s="30">
        <f t="shared" si="5"/>
        <v>32</v>
      </c>
      <c r="B36" s="56" t="s">
        <v>65</v>
      </c>
      <c r="C36" s="40"/>
      <c r="D36" s="32"/>
      <c r="E36" s="37">
        <f>if(isna(VLOOKUP(B36,Checkin!A:B,2,false)),0,VLOOKUP(B36,Checkin!A:B,2,false))</f>
        <v>0</v>
      </c>
      <c r="F36" s="39">
        <f>if(OR($E36=1, $E36=2),VLOOKUP($B36,Courts!$B$2:$K$50,10,false),0)</f>
        <v>0</v>
      </c>
      <c r="G36" s="40">
        <f t="shared" si="2"/>
        <v>0</v>
      </c>
      <c r="H36" s="39">
        <f>if(OR($E36=1, $E36=2),VLOOKUP($B36,Courts!$B$2:$J$50,5,false),0)</f>
        <v>0</v>
      </c>
      <c r="I36" s="39">
        <f>if(OR($E36=1, $E36=2),VLOOKUP($B36,Courts!$B$2:$J$50,6,false),0)</f>
        <v>0</v>
      </c>
      <c r="J36" s="39">
        <f>if(OR($E36=1, $E36=2),VLOOKUP($B36,Courts!$B$2:$J$50,7,false),0)</f>
        <v>0</v>
      </c>
      <c r="K36" s="42">
        <f t="shared" si="3"/>
        <v>0</v>
      </c>
      <c r="L36" s="39">
        <f>if(OR($E36=1, $E36=2),VLOOKUP($B36,Courts!$B$2:$J$50,9,false),0)</f>
        <v>0</v>
      </c>
      <c r="M36" s="40">
        <f t="shared" ref="M36:N36" si="35">C36+K36</f>
        <v>0</v>
      </c>
      <c r="N36" s="32">
        <f t="shared" si="35"/>
        <v>0</v>
      </c>
      <c r="O36" s="43" t="s">
        <v>53</v>
      </c>
      <c r="P36" s="43" t="s">
        <v>53</v>
      </c>
      <c r="Q36" s="43" t="s">
        <v>53</v>
      </c>
      <c r="R36" s="39"/>
      <c r="S36" s="39"/>
      <c r="T36" s="39"/>
    </row>
    <row r="37">
      <c r="A37" s="30">
        <f t="shared" si="5"/>
        <v>33</v>
      </c>
      <c r="B37" s="51" t="s">
        <v>112</v>
      </c>
      <c r="C37" s="40"/>
      <c r="D37" s="32"/>
      <c r="E37" s="37">
        <f>if(isna(VLOOKUP(B37,Checkin!A:B,2,false)),0,VLOOKUP(B37,Checkin!A:B,2,false))</f>
        <v>0</v>
      </c>
      <c r="F37" s="39">
        <f>if(OR($E37=1, $E37=2),VLOOKUP($B37,Courts!$B$2:$K$50,10,false),0)</f>
        <v>0</v>
      </c>
      <c r="G37" s="40">
        <f t="shared" si="2"/>
        <v>0</v>
      </c>
      <c r="H37" s="39">
        <f>if(OR($E37=1, $E37=2),VLOOKUP($B37,Courts!$B$2:$J$50,5,false),0)</f>
        <v>0</v>
      </c>
      <c r="I37" s="39">
        <f>if(OR($E37=1, $E37=2),VLOOKUP($B37,Courts!$B$2:$J$50,6,false),0)</f>
        <v>0</v>
      </c>
      <c r="J37" s="39">
        <f>if(OR($E37=1, $E37=2),VLOOKUP($B37,Courts!$B$2:$J$50,7,false),0)</f>
        <v>0</v>
      </c>
      <c r="K37" s="42">
        <f t="shared" si="3"/>
        <v>0</v>
      </c>
      <c r="L37" s="39">
        <f>if(OR($E37=1, $E37=2),VLOOKUP($B37,Courts!$B$2:$J$50,9,false),0)</f>
        <v>0</v>
      </c>
      <c r="M37" s="40">
        <f t="shared" ref="M37:N37" si="36">C37+K37</f>
        <v>0</v>
      </c>
      <c r="N37" s="32">
        <f t="shared" si="36"/>
        <v>0</v>
      </c>
      <c r="O37" s="43" t="s">
        <v>53</v>
      </c>
      <c r="P37" s="43" t="s">
        <v>53</v>
      </c>
      <c r="Q37" s="43" t="s">
        <v>53</v>
      </c>
      <c r="R37" s="39"/>
      <c r="S37" s="39"/>
      <c r="T37" s="39"/>
    </row>
    <row r="38">
      <c r="A38" s="30">
        <f t="shared" si="5"/>
        <v>34</v>
      </c>
      <c r="B38" s="31" t="s">
        <v>90</v>
      </c>
      <c r="C38" s="40"/>
      <c r="D38" s="32"/>
      <c r="E38" s="37">
        <f>if(isna(VLOOKUP(B38,Checkin!A:B,2,false)),0,VLOOKUP(B38,Checkin!A:B,2,false))</f>
        <v>0</v>
      </c>
      <c r="F38" s="39">
        <f>if(OR($E38=1, $E38=2),VLOOKUP($B38,Courts!$B$2:$K$50,10,false),0)</f>
        <v>0</v>
      </c>
      <c r="G38" s="40">
        <f t="shared" si="2"/>
        <v>0</v>
      </c>
      <c r="H38" s="39">
        <f>if(OR($E38=1, $E38=2),VLOOKUP($B38,Courts!$B$2:$J$50,5,false),0)</f>
        <v>0</v>
      </c>
      <c r="I38" s="39">
        <f>if(OR($E38=1, $E38=2),VLOOKUP($B38,Courts!$B$2:$J$50,6,false),0)</f>
        <v>0</v>
      </c>
      <c r="J38" s="39">
        <f>if(OR($E38=1, $E38=2),VLOOKUP($B38,Courts!$B$2:$J$50,7,false),0)</f>
        <v>0</v>
      </c>
      <c r="K38" s="42">
        <f t="shared" si="3"/>
        <v>0</v>
      </c>
      <c r="L38" s="39">
        <f>if(OR($E38=1, $E38=2),VLOOKUP($B38,Courts!$B$2:$J$50,9,false),0)</f>
        <v>0</v>
      </c>
      <c r="M38" s="40">
        <f t="shared" ref="M38:N38" si="37">C38+K38</f>
        <v>0</v>
      </c>
      <c r="N38" s="32">
        <f t="shared" si="37"/>
        <v>0</v>
      </c>
      <c r="O38" s="43" t="s">
        <v>53</v>
      </c>
      <c r="P38" s="43" t="s">
        <v>53</v>
      </c>
      <c r="Q38" s="43" t="s">
        <v>53</v>
      </c>
      <c r="R38" s="39"/>
      <c r="S38" s="39"/>
      <c r="T38" s="39"/>
    </row>
    <row r="39">
      <c r="A39" s="30">
        <f t="shared" si="5"/>
        <v>35</v>
      </c>
      <c r="B39" s="56" t="s">
        <v>107</v>
      </c>
      <c r="C39" s="40"/>
      <c r="D39" s="32"/>
      <c r="E39" s="37">
        <f>if(isna(VLOOKUP(B39,Checkin!A:B,2,false)),0,VLOOKUP(B39,Checkin!A:B,2,false))</f>
        <v>0</v>
      </c>
      <c r="F39" s="39">
        <f>if(OR($E39=1, $E39=2),VLOOKUP($B39,Courts!$B$2:$K$50,10,false),0)</f>
        <v>0</v>
      </c>
      <c r="G39" s="40">
        <f t="shared" si="2"/>
        <v>0</v>
      </c>
      <c r="H39" s="39">
        <f>if(OR($E39=1, $E39=2),VLOOKUP($B39,Courts!$B$2:$J$50,5,false),0)</f>
        <v>0</v>
      </c>
      <c r="I39" s="39">
        <f>if(OR($E39=1, $E39=2),VLOOKUP($B39,Courts!$B$2:$J$50,6,false),0)</f>
        <v>0</v>
      </c>
      <c r="J39" s="39">
        <f>if(OR($E39=1, $E39=2),VLOOKUP($B39,Courts!$B$2:$J$50,7,false),0)</f>
        <v>0</v>
      </c>
      <c r="K39" s="42">
        <f t="shared" si="3"/>
        <v>0</v>
      </c>
      <c r="L39" s="39">
        <f>if(OR($E39=1, $E39=2),VLOOKUP($B39,Courts!$B$2:$J$50,9,false),0)</f>
        <v>0</v>
      </c>
      <c r="M39" s="40">
        <f t="shared" ref="M39:N39" si="38">C39+K39</f>
        <v>0</v>
      </c>
      <c r="N39" s="32">
        <f t="shared" si="38"/>
        <v>0</v>
      </c>
      <c r="O39" s="43" t="s">
        <v>53</v>
      </c>
      <c r="P39" s="43" t="s">
        <v>53</v>
      </c>
      <c r="Q39" s="43" t="s">
        <v>53</v>
      </c>
      <c r="R39" s="39"/>
      <c r="S39" s="39"/>
      <c r="T39" s="39"/>
    </row>
    <row r="40">
      <c r="A40" s="30">
        <f t="shared" si="5"/>
        <v>36</v>
      </c>
      <c r="B40" s="31" t="s">
        <v>124</v>
      </c>
      <c r="C40" s="40"/>
      <c r="D40" s="32"/>
      <c r="E40" s="37">
        <f>if(isna(VLOOKUP(B40,Checkin!A:B,2,false)),0,VLOOKUP(B40,Checkin!A:B,2,false))</f>
        <v>0</v>
      </c>
      <c r="F40" s="39">
        <f>if(OR($E40=1, $E40=2),VLOOKUP($B40,Courts!$B$2:$K$50,10,false),0)</f>
        <v>0</v>
      </c>
      <c r="G40" s="40">
        <f t="shared" si="2"/>
        <v>0</v>
      </c>
      <c r="H40" s="39">
        <f>if(OR($E40=1, $E40=2),VLOOKUP($B40,Courts!$B$2:$J$50,5,false),0)</f>
        <v>0</v>
      </c>
      <c r="I40" s="39">
        <f>if(OR($E40=1, $E40=2),VLOOKUP($B40,Courts!$B$2:$J$50,6,false),0)</f>
        <v>0</v>
      </c>
      <c r="J40" s="39">
        <f>if(OR($E40=1, $E40=2),VLOOKUP($B40,Courts!$B$2:$J$50,7,false),0)</f>
        <v>0</v>
      </c>
      <c r="K40" s="42">
        <f t="shared" si="3"/>
        <v>0</v>
      </c>
      <c r="L40" s="39">
        <f>if(OR($E40=1, $E40=2),VLOOKUP($B40,Courts!$B$2:$J$50,9,false),0)</f>
        <v>0</v>
      </c>
      <c r="M40" s="40">
        <f t="shared" ref="M40:N40" si="39">C40+K40</f>
        <v>0</v>
      </c>
      <c r="N40" s="32">
        <f t="shared" si="39"/>
        <v>0</v>
      </c>
      <c r="O40" s="43" t="s">
        <v>53</v>
      </c>
      <c r="P40" s="43" t="s">
        <v>53</v>
      </c>
      <c r="Q40" s="43" t="s">
        <v>53</v>
      </c>
      <c r="R40" s="39"/>
      <c r="S40" s="39"/>
      <c r="T40" s="39"/>
    </row>
    <row r="41">
      <c r="A41" s="30">
        <f t="shared" si="5"/>
        <v>37</v>
      </c>
      <c r="B41" s="31" t="s">
        <v>68</v>
      </c>
      <c r="C41" s="40"/>
      <c r="D41" s="32"/>
      <c r="E41" s="37">
        <f>if(isna(VLOOKUP(B41,Checkin!A:B,2,false)),0,VLOOKUP(B41,Checkin!A:B,2,false))</f>
        <v>0</v>
      </c>
      <c r="F41" s="39">
        <f>if(OR($E41=1, $E41=2),VLOOKUP($B41,Courts!$B$2:$K$50,10,false),0)</f>
        <v>0</v>
      </c>
      <c r="G41" s="40">
        <f t="shared" si="2"/>
        <v>0</v>
      </c>
      <c r="H41" s="39">
        <f>if(OR($E41=1, $E41=2),VLOOKUP($B41,Courts!$B$2:$J$50,5,false),0)</f>
        <v>0</v>
      </c>
      <c r="I41" s="39">
        <f>if(OR($E41=1, $E41=2),VLOOKUP($B41,Courts!$B$2:$J$50,6,false),0)</f>
        <v>0</v>
      </c>
      <c r="J41" s="39">
        <f>if(OR($E41=1, $E41=2),VLOOKUP($B41,Courts!$B$2:$J$50,7,false),0)</f>
        <v>0</v>
      </c>
      <c r="K41" s="42">
        <f t="shared" si="3"/>
        <v>0</v>
      </c>
      <c r="L41" s="39">
        <f>if(OR($E41=1, $E41=2),VLOOKUP($B41,Courts!$B$2:$J$50,9,false),0)</f>
        <v>0</v>
      </c>
      <c r="M41" s="40">
        <f t="shared" ref="M41:N41" si="40">C41+K41</f>
        <v>0</v>
      </c>
      <c r="N41" s="32">
        <f t="shared" si="40"/>
        <v>0</v>
      </c>
      <c r="O41" s="43" t="s">
        <v>53</v>
      </c>
      <c r="P41" s="43" t="s">
        <v>53</v>
      </c>
      <c r="Q41" s="43" t="s">
        <v>53</v>
      </c>
      <c r="R41" s="39"/>
      <c r="S41" s="39"/>
      <c r="T41" s="39"/>
    </row>
    <row r="42">
      <c r="A42" s="30">
        <f t="shared" si="5"/>
        <v>38</v>
      </c>
      <c r="B42" s="31" t="s">
        <v>123</v>
      </c>
      <c r="C42" s="40"/>
      <c r="D42" s="32"/>
      <c r="E42" s="37">
        <f>if(isna(VLOOKUP(B42,Checkin!A:B,2,false)),0,VLOOKUP(B42,Checkin!A:B,2,false))</f>
        <v>0</v>
      </c>
      <c r="F42" s="39">
        <f>if(OR($E42=1, $E42=2),VLOOKUP($B42,Courts!$B$2:$K$50,10,false),0)</f>
        <v>0</v>
      </c>
      <c r="G42" s="40">
        <f t="shared" si="2"/>
        <v>0</v>
      </c>
      <c r="H42" s="39">
        <f>if(OR($E42=1, $E42=2),VLOOKUP($B42,Courts!$B$2:$J$50,5,false),0)</f>
        <v>0</v>
      </c>
      <c r="I42" s="39">
        <f>if(OR($E42=1, $E42=2),VLOOKUP($B42,Courts!$B$2:$J$50,6,false),0)</f>
        <v>0</v>
      </c>
      <c r="J42" s="39">
        <f>if(OR($E42=1, $E42=2),VLOOKUP($B42,Courts!$B$2:$J$50,7,false),0)</f>
        <v>0</v>
      </c>
      <c r="K42" s="42">
        <f t="shared" si="3"/>
        <v>0</v>
      </c>
      <c r="L42" s="39">
        <f>if(OR($E42=1, $E42=2),VLOOKUP($B42,Courts!$B$2:$J$50,9,false),0)</f>
        <v>0</v>
      </c>
      <c r="M42" s="40">
        <f t="shared" ref="M42:N42" si="41">C42+K42</f>
        <v>0</v>
      </c>
      <c r="N42" s="32">
        <f t="shared" si="41"/>
        <v>0</v>
      </c>
      <c r="O42" s="43" t="s">
        <v>53</v>
      </c>
      <c r="P42" s="43" t="s">
        <v>53</v>
      </c>
      <c r="Q42" s="43" t="s">
        <v>88</v>
      </c>
      <c r="R42" s="39"/>
      <c r="S42" s="39"/>
      <c r="T42" s="39"/>
    </row>
    <row r="43">
      <c r="A43" s="30">
        <f t="shared" si="5"/>
        <v>39</v>
      </c>
      <c r="B43" s="31" t="s">
        <v>34</v>
      </c>
      <c r="C43" s="40"/>
      <c r="D43" s="32"/>
      <c r="E43" s="37">
        <f>if(isna(VLOOKUP(B43,Checkin!A:B,2,false)),0,VLOOKUP(B43,Checkin!A:B,2,false))</f>
        <v>0</v>
      </c>
      <c r="F43" s="39">
        <f>if(OR($E43=1, $E43=2),VLOOKUP($B43,Courts!$B$2:$K$50,10,false),0)</f>
        <v>0</v>
      </c>
      <c r="G43" s="40">
        <f t="shared" si="2"/>
        <v>0</v>
      </c>
      <c r="H43" s="39">
        <f>if(OR($E43=1, $E43=2),VLOOKUP($B43,Courts!$B$2:$J$50,5,false),0)</f>
        <v>0</v>
      </c>
      <c r="I43" s="39">
        <f>if(OR($E43=1, $E43=2),VLOOKUP($B43,Courts!$B$2:$J$50,6,false),0)</f>
        <v>0</v>
      </c>
      <c r="J43" s="39">
        <f>if(OR($E43=1, $E43=2),VLOOKUP($B43,Courts!$B$2:$J$50,7,false),0)</f>
        <v>0</v>
      </c>
      <c r="K43" s="42">
        <f t="shared" si="3"/>
        <v>0</v>
      </c>
      <c r="L43" s="39">
        <f>if(OR($E43=1, $E43=2),VLOOKUP($B43,Courts!$B$2:$J$50,9,false),0)</f>
        <v>0</v>
      </c>
      <c r="M43" s="40">
        <f t="shared" ref="M43:N43" si="42">C43+K43</f>
        <v>0</v>
      </c>
      <c r="N43" s="32">
        <f t="shared" si="42"/>
        <v>0</v>
      </c>
      <c r="O43" s="43" t="s">
        <v>53</v>
      </c>
      <c r="P43" s="43" t="s">
        <v>53</v>
      </c>
      <c r="Q43" s="43" t="s">
        <v>53</v>
      </c>
      <c r="R43" s="39"/>
      <c r="S43" s="39"/>
      <c r="T43" s="39"/>
    </row>
    <row r="44">
      <c r="A44" s="30">
        <f t="shared" si="5"/>
        <v>40</v>
      </c>
      <c r="B44" s="31" t="s">
        <v>81</v>
      </c>
      <c r="C44" s="40"/>
      <c r="D44" s="32"/>
      <c r="E44" s="37">
        <f>if(isna(VLOOKUP(B44,Checkin!A:B,2,false)),0,VLOOKUP(B44,Checkin!A:B,2,false))</f>
        <v>0</v>
      </c>
      <c r="F44" s="39">
        <f>if(OR($E44=1, $E44=2),VLOOKUP($B44,Courts!$B$2:$K$50,10,false),0)</f>
        <v>0</v>
      </c>
      <c r="G44" s="40">
        <f t="shared" si="2"/>
        <v>0</v>
      </c>
      <c r="H44" s="39">
        <f>if(OR($E44=1, $E44=2),VLOOKUP($B44,Courts!$B$2:$J$50,5,false),0)</f>
        <v>0</v>
      </c>
      <c r="I44" s="39">
        <f>if(OR($E44=1, $E44=2),VLOOKUP($B44,Courts!$B$2:$J$50,6,false),0)</f>
        <v>0</v>
      </c>
      <c r="J44" s="39">
        <f>if(OR($E44=1, $E44=2),VLOOKUP($B44,Courts!$B$2:$J$50,7,false),0)</f>
        <v>0</v>
      </c>
      <c r="K44" s="42">
        <f t="shared" si="3"/>
        <v>0</v>
      </c>
      <c r="L44" s="39">
        <f>if(OR($E44=1, $E44=2),VLOOKUP($B44,Courts!$B$2:$J$50,9,false),0)</f>
        <v>0</v>
      </c>
      <c r="M44" s="40">
        <f t="shared" ref="M44:N44" si="43">C44+K44</f>
        <v>0</v>
      </c>
      <c r="N44" s="32">
        <f t="shared" si="43"/>
        <v>0</v>
      </c>
      <c r="O44" s="43" t="s">
        <v>53</v>
      </c>
      <c r="P44" s="43" t="s">
        <v>53</v>
      </c>
      <c r="Q44" s="43" t="s">
        <v>88</v>
      </c>
      <c r="R44" s="39"/>
      <c r="S44" s="39"/>
      <c r="T44" s="39"/>
    </row>
    <row r="45">
      <c r="A45" s="30">
        <f t="shared" si="5"/>
        <v>41</v>
      </c>
      <c r="B45" s="56" t="s">
        <v>51</v>
      </c>
      <c r="C45" s="40"/>
      <c r="D45" s="32"/>
      <c r="E45" s="37">
        <f>if(isna(VLOOKUP(B45,Checkin!A:B,2,false)),0,VLOOKUP(B45,Checkin!A:B,2,false))</f>
        <v>0</v>
      </c>
      <c r="F45" s="39">
        <f>if(OR($E45=1, $E45=2),VLOOKUP($B45,Courts!$B$2:$K$50,10,false),0)</f>
        <v>0</v>
      </c>
      <c r="G45" s="40">
        <f t="shared" si="2"/>
        <v>0</v>
      </c>
      <c r="H45" s="39">
        <f>if(OR($E45=1, $E45=2),VLOOKUP($B45,Courts!$B$2:$J$50,5,false),0)</f>
        <v>0</v>
      </c>
      <c r="I45" s="39">
        <f>if(OR($E45=1, $E45=2),VLOOKUP($B45,Courts!$B$2:$J$50,6,false),0)</f>
        <v>0</v>
      </c>
      <c r="J45" s="39">
        <f>if(OR($E45=1, $E45=2),VLOOKUP($B45,Courts!$B$2:$J$50,7,false),0)</f>
        <v>0</v>
      </c>
      <c r="K45" s="42">
        <f t="shared" si="3"/>
        <v>0</v>
      </c>
      <c r="L45" s="39">
        <f>if(OR($E45=1, $E45=2),VLOOKUP($B45,Courts!$B$2:$J$50,9,false),0)</f>
        <v>0</v>
      </c>
      <c r="M45" s="40">
        <f t="shared" ref="M45:N45" si="44">C45+K45</f>
        <v>0</v>
      </c>
      <c r="N45" s="32">
        <f t="shared" si="44"/>
        <v>0</v>
      </c>
      <c r="O45" s="43" t="s">
        <v>53</v>
      </c>
      <c r="P45" s="43" t="s">
        <v>53</v>
      </c>
      <c r="Q45" s="43" t="s">
        <v>53</v>
      </c>
      <c r="R45" s="39"/>
      <c r="S45" s="39"/>
      <c r="T45" s="39"/>
    </row>
    <row r="46">
      <c r="A46" s="30">
        <f t="shared" si="5"/>
        <v>42</v>
      </c>
      <c r="B46" s="57" t="s">
        <v>120</v>
      </c>
      <c r="C46" s="40"/>
      <c r="D46" s="32"/>
      <c r="E46" s="37">
        <f>if(isna(VLOOKUP(B46,Checkin!A:B,2,false)),0,VLOOKUP(B46,Checkin!A:B,2,false))</f>
        <v>0</v>
      </c>
      <c r="F46" s="39">
        <f>if(OR($E46=1, $E46=2),VLOOKUP($B46,Courts!$B$2:$K$50,10,false),0)</f>
        <v>0</v>
      </c>
      <c r="G46" s="40">
        <f t="shared" si="2"/>
        <v>0</v>
      </c>
      <c r="H46" s="39">
        <f>if(OR($E46=1, $E46=2),VLOOKUP($B46,Courts!$B$2:$J$50,5,false),0)</f>
        <v>0</v>
      </c>
      <c r="I46" s="39">
        <f>if(OR($E46=1, $E46=2),VLOOKUP($B46,Courts!$B$2:$J$50,6,false),0)</f>
        <v>0</v>
      </c>
      <c r="J46" s="39">
        <f>if(OR($E46=1, $E46=2),VLOOKUP($B46,Courts!$B$2:$J$50,7,false),0)</f>
        <v>0</v>
      </c>
      <c r="K46" s="42">
        <f t="shared" si="3"/>
        <v>0</v>
      </c>
      <c r="L46" s="39">
        <f>if(OR($E46=1, $E46=2),VLOOKUP($B46,Courts!$B$2:$J$50,9,false),0)</f>
        <v>0</v>
      </c>
      <c r="M46" s="40">
        <f t="shared" ref="M46:N46" si="45">C46+K46</f>
        <v>0</v>
      </c>
      <c r="N46" s="32">
        <f t="shared" si="45"/>
        <v>0</v>
      </c>
      <c r="O46" s="43" t="s">
        <v>53</v>
      </c>
      <c r="P46" s="43" t="s">
        <v>53</v>
      </c>
      <c r="Q46" s="43" t="s">
        <v>88</v>
      </c>
      <c r="R46" s="39"/>
      <c r="S46" s="39"/>
      <c r="T46" s="39"/>
    </row>
    <row r="47">
      <c r="A47" s="30">
        <f t="shared" si="5"/>
        <v>43</v>
      </c>
      <c r="B47" s="31" t="s">
        <v>97</v>
      </c>
      <c r="C47" s="40"/>
      <c r="D47" s="32"/>
      <c r="E47" s="37">
        <f>if(isna(VLOOKUP(B47,Checkin!A:B,2,false)),0,VLOOKUP(B47,Checkin!A:B,2,false))</f>
        <v>0</v>
      </c>
      <c r="F47" s="39">
        <f>if(OR($E47=1, $E47=2),VLOOKUP($B47,Courts!$B$2:$K$50,10,false),0)</f>
        <v>0</v>
      </c>
      <c r="G47" s="40">
        <f t="shared" si="2"/>
        <v>0</v>
      </c>
      <c r="H47" s="39">
        <f>if(OR($E47=1, $E47=2),VLOOKUP($B47,Courts!$B$2:$J$50,5,false),0)</f>
        <v>0</v>
      </c>
      <c r="I47" s="39">
        <f>if(OR($E47=1, $E47=2),VLOOKUP($B47,Courts!$B$2:$J$50,6,false),0)</f>
        <v>0</v>
      </c>
      <c r="J47" s="39">
        <f>if(OR($E47=1, $E47=2),VLOOKUP($B47,Courts!$B$2:$J$50,7,false),0)</f>
        <v>0</v>
      </c>
      <c r="K47" s="42">
        <f t="shared" si="3"/>
        <v>0</v>
      </c>
      <c r="L47" s="39">
        <f>if(OR($E47=1, $E47=2),VLOOKUP($B47,Courts!$B$2:$J$50,9,false),0)</f>
        <v>0</v>
      </c>
      <c r="M47" s="40">
        <f t="shared" ref="M47:N47" si="46">C47+K47</f>
        <v>0</v>
      </c>
      <c r="N47" s="32">
        <f t="shared" si="46"/>
        <v>0</v>
      </c>
      <c r="O47" s="43" t="s">
        <v>53</v>
      </c>
      <c r="P47" s="43" t="s">
        <v>53</v>
      </c>
      <c r="Q47" s="43" t="s">
        <v>88</v>
      </c>
      <c r="R47" s="39"/>
      <c r="S47" s="39"/>
      <c r="T47" s="39"/>
    </row>
    <row r="48">
      <c r="A48" s="30">
        <f t="shared" si="5"/>
        <v>44</v>
      </c>
      <c r="B48" s="31" t="s">
        <v>126</v>
      </c>
      <c r="C48" s="40"/>
      <c r="D48" s="32"/>
      <c r="E48" s="37">
        <f>if(isna(VLOOKUP(B48,Checkin!A:B,2,false)),0,VLOOKUP(B48,Checkin!A:B,2,false))</f>
        <v>0</v>
      </c>
      <c r="F48" s="39">
        <f>if(OR($E48=1, $E48=2),VLOOKUP($B48,Courts!$B$2:$K$50,10,false),0)</f>
        <v>0</v>
      </c>
      <c r="G48" s="40">
        <f t="shared" si="2"/>
        <v>0</v>
      </c>
      <c r="H48" s="39">
        <f>if(OR($E48=1, $E48=2),VLOOKUP($B48,Courts!$B$2:$J$50,5,false),0)</f>
        <v>0</v>
      </c>
      <c r="I48" s="39">
        <f>if(OR($E48=1, $E48=2),VLOOKUP($B48,Courts!$B$2:$J$50,6,false),0)</f>
        <v>0</v>
      </c>
      <c r="J48" s="39">
        <f>if(OR($E48=1, $E48=2),VLOOKUP($B48,Courts!$B$2:$J$50,7,false),0)</f>
        <v>0</v>
      </c>
      <c r="K48" s="42">
        <f t="shared" si="3"/>
        <v>0</v>
      </c>
      <c r="L48" s="39">
        <f>if(OR($E48=1, $E48=2),VLOOKUP($B48,Courts!$B$2:$J$50,9,false),0)</f>
        <v>0</v>
      </c>
      <c r="M48" s="40">
        <f t="shared" ref="M48:N48" si="47">C48+K48</f>
        <v>0</v>
      </c>
      <c r="N48" s="32">
        <f t="shared" si="47"/>
        <v>0</v>
      </c>
      <c r="O48" s="43" t="s">
        <v>53</v>
      </c>
      <c r="P48" s="43" t="s">
        <v>53</v>
      </c>
      <c r="Q48" s="43" t="s">
        <v>53</v>
      </c>
      <c r="R48" s="39"/>
      <c r="S48" s="39"/>
      <c r="T48" s="39"/>
    </row>
    <row r="49">
      <c r="A49" s="30">
        <f t="shared" si="5"/>
        <v>45</v>
      </c>
      <c r="B49" s="31" t="s">
        <v>89</v>
      </c>
      <c r="C49" s="40"/>
      <c r="D49" s="32"/>
      <c r="E49" s="37">
        <f>if(isna(VLOOKUP(B49,Checkin!A:B,2,false)),0,VLOOKUP(B49,Checkin!A:B,2,false))</f>
        <v>0</v>
      </c>
      <c r="F49" s="39">
        <f>if(OR($E49=1, $E49=2),VLOOKUP($B49,Courts!$B$2:$K$50,10,false),0)</f>
        <v>0</v>
      </c>
      <c r="G49" s="40">
        <f t="shared" si="2"/>
        <v>0</v>
      </c>
      <c r="H49" s="39">
        <f>if(OR($E49=1, $E49=2),VLOOKUP($B49,Courts!$B$2:$J$50,5,false),0)</f>
        <v>0</v>
      </c>
      <c r="I49" s="39">
        <f>if(OR($E49=1, $E49=2),VLOOKUP($B49,Courts!$B$2:$J$50,6,false),0)</f>
        <v>0</v>
      </c>
      <c r="J49" s="39">
        <f>if(OR($E49=1, $E49=2),VLOOKUP($B49,Courts!$B$2:$J$50,7,false),0)</f>
        <v>0</v>
      </c>
      <c r="K49" s="42">
        <f t="shared" si="3"/>
        <v>0</v>
      </c>
      <c r="L49" s="39">
        <f>if(OR($E49=1, $E49=2),VLOOKUP($B49,Courts!$B$2:$J$50,9,false),0)</f>
        <v>0</v>
      </c>
      <c r="M49" s="40">
        <f t="shared" ref="M49:N49" si="48">C49+K49</f>
        <v>0</v>
      </c>
      <c r="N49" s="32">
        <f t="shared" si="48"/>
        <v>0</v>
      </c>
      <c r="O49" s="43" t="s">
        <v>53</v>
      </c>
      <c r="P49" s="43" t="s">
        <v>53</v>
      </c>
      <c r="Q49" s="43" t="s">
        <v>53</v>
      </c>
      <c r="R49" s="39"/>
      <c r="S49" s="39"/>
      <c r="T49" s="39"/>
    </row>
    <row r="50">
      <c r="A50" s="30">
        <f t="shared" si="5"/>
        <v>46</v>
      </c>
      <c r="B50" s="51" t="s">
        <v>94</v>
      </c>
      <c r="C50" s="40"/>
      <c r="D50" s="32"/>
      <c r="E50" s="37">
        <f>if(isna(VLOOKUP(B50,Checkin!A:B,2,false)),0,VLOOKUP(B50,Checkin!A:B,2,false))</f>
        <v>0</v>
      </c>
      <c r="F50" s="39">
        <f>if(OR($E50=1, $E50=2),VLOOKUP($B50,Courts!$B$2:$K$50,10,false),0)</f>
        <v>0</v>
      </c>
      <c r="G50" s="40">
        <f t="shared" si="2"/>
        <v>0</v>
      </c>
      <c r="H50" s="39">
        <f>if(OR($E50=1, $E50=2),VLOOKUP($B50,Courts!$B$2:$J$50,5,false),0)</f>
        <v>0</v>
      </c>
      <c r="I50" s="39">
        <f>if(OR($E50=1, $E50=2),VLOOKUP($B50,Courts!$B$2:$J$50,6,false),0)</f>
        <v>0</v>
      </c>
      <c r="J50" s="39">
        <f>if(OR($E50=1, $E50=2),VLOOKUP($B50,Courts!$B$2:$J$50,7,false),0)</f>
        <v>0</v>
      </c>
      <c r="K50" s="42">
        <f t="shared" si="3"/>
        <v>0</v>
      </c>
      <c r="L50" s="39">
        <f>if(OR($E50=1, $E50=2),VLOOKUP($B50,Courts!$B$2:$J$50,9,false),0)</f>
        <v>0</v>
      </c>
      <c r="M50" s="40">
        <f t="shared" ref="M50:N50" si="49">C50+K50</f>
        <v>0</v>
      </c>
      <c r="N50" s="32">
        <f t="shared" si="49"/>
        <v>0</v>
      </c>
      <c r="O50" s="43" t="s">
        <v>53</v>
      </c>
      <c r="P50" s="43" t="s">
        <v>53</v>
      </c>
      <c r="Q50" s="43" t="s">
        <v>53</v>
      </c>
      <c r="R50" s="39"/>
      <c r="S50" s="39"/>
      <c r="T50" s="39"/>
    </row>
    <row r="51">
      <c r="A51" s="30">
        <f t="shared" si="5"/>
        <v>47</v>
      </c>
      <c r="B51" s="31" t="s">
        <v>117</v>
      </c>
      <c r="C51" s="40"/>
      <c r="D51" s="32"/>
      <c r="E51" s="37">
        <f>if(isna(VLOOKUP(B51,Checkin!A:B,2,false)),0,VLOOKUP(B51,Checkin!A:B,2,false))</f>
        <v>0</v>
      </c>
      <c r="F51" s="39">
        <f>if(OR($E51=1, $E51=2),VLOOKUP($B51,Courts!$B$2:$K$50,10,false),0)</f>
        <v>0</v>
      </c>
      <c r="G51" s="40">
        <f t="shared" si="2"/>
        <v>0</v>
      </c>
      <c r="H51" s="39">
        <f>if(OR($E51=1, $E51=2),VLOOKUP($B51,Courts!$B$2:$J$50,5,false),0)</f>
        <v>0</v>
      </c>
      <c r="I51" s="39">
        <f>if(OR($E51=1, $E51=2),VLOOKUP($B51,Courts!$B$2:$J$50,6,false),0)</f>
        <v>0</v>
      </c>
      <c r="J51" s="39">
        <f>if(OR($E51=1, $E51=2),VLOOKUP($B51,Courts!$B$2:$J$50,7,false),0)</f>
        <v>0</v>
      </c>
      <c r="K51" s="42">
        <f t="shared" si="3"/>
        <v>0</v>
      </c>
      <c r="L51" s="39">
        <f>if(OR($E51=1, $E51=2),VLOOKUP($B51,Courts!$B$2:$J$50,9,false),0)</f>
        <v>0</v>
      </c>
      <c r="M51" s="40">
        <f t="shared" ref="M51:N51" si="50">C51+K51</f>
        <v>0</v>
      </c>
      <c r="N51" s="32">
        <f t="shared" si="50"/>
        <v>0</v>
      </c>
      <c r="O51" s="43" t="s">
        <v>53</v>
      </c>
      <c r="P51" s="43" t="s">
        <v>53</v>
      </c>
      <c r="Q51" s="43" t="s">
        <v>53</v>
      </c>
      <c r="R51" s="39"/>
      <c r="S51" s="39"/>
      <c r="T51" s="39"/>
    </row>
    <row r="52">
      <c r="A52" s="30">
        <f t="shared" si="5"/>
        <v>48</v>
      </c>
      <c r="B52" s="51" t="s">
        <v>75</v>
      </c>
      <c r="C52" s="40"/>
      <c r="D52" s="32"/>
      <c r="E52" s="37">
        <f>if(isna(VLOOKUP(B52,Checkin!A:B,2,false)),0,VLOOKUP(B52,Checkin!A:B,2,false))</f>
        <v>0</v>
      </c>
      <c r="F52" s="39">
        <f>if(OR($E52=1, $E52=2),VLOOKUP($B52,Courts!$B$2:$K$50,10,false),0)</f>
        <v>0</v>
      </c>
      <c r="G52" s="40">
        <f t="shared" si="2"/>
        <v>0</v>
      </c>
      <c r="H52" s="39">
        <f>if(OR($E52=1, $E52=2),VLOOKUP($B52,Courts!$B$2:$J$50,5,false),0)</f>
        <v>0</v>
      </c>
      <c r="I52" s="39">
        <f>if(OR($E52=1, $E52=2),VLOOKUP($B52,Courts!$B$2:$J$50,6,false),0)</f>
        <v>0</v>
      </c>
      <c r="J52" s="39">
        <f>if(OR($E52=1, $E52=2),VLOOKUP($B52,Courts!$B$2:$J$50,7,false),0)</f>
        <v>0</v>
      </c>
      <c r="K52" s="42">
        <f t="shared" si="3"/>
        <v>0</v>
      </c>
      <c r="L52" s="39">
        <f>if(OR($E52=1, $E52=2),VLOOKUP($B52,Courts!$B$2:$J$50,9,false),0)</f>
        <v>0</v>
      </c>
      <c r="M52" s="40">
        <f t="shared" ref="M52:N52" si="51">C52+K52</f>
        <v>0</v>
      </c>
      <c r="N52" s="32">
        <f t="shared" si="51"/>
        <v>0</v>
      </c>
      <c r="O52" s="43" t="s">
        <v>53</v>
      </c>
      <c r="P52" s="43" t="s">
        <v>53</v>
      </c>
      <c r="Q52" s="43" t="s">
        <v>88</v>
      </c>
      <c r="R52" s="39"/>
      <c r="S52" s="39"/>
      <c r="T52" s="39"/>
    </row>
    <row r="53">
      <c r="A53" s="30">
        <f t="shared" si="5"/>
        <v>49</v>
      </c>
      <c r="B53" s="51" t="s">
        <v>80</v>
      </c>
      <c r="C53" s="40"/>
      <c r="D53" s="32"/>
      <c r="E53" s="37">
        <f>if(isna(VLOOKUP(B53,Checkin!A:B,2,false)),0,VLOOKUP(B53,Checkin!A:B,2,false))</f>
        <v>0</v>
      </c>
      <c r="F53" s="39">
        <f>if(OR($E53=1, $E53=2),VLOOKUP($B53,Courts!$B$2:$K$50,10,false),0)</f>
        <v>0</v>
      </c>
      <c r="G53" s="40">
        <f t="shared" si="2"/>
        <v>0</v>
      </c>
      <c r="H53" s="39">
        <f>if(OR($E53=1, $E53=2),VLOOKUP($B53,Courts!$B$2:$J$50,5,false),0)</f>
        <v>0</v>
      </c>
      <c r="I53" s="39">
        <f>if(OR($E53=1, $E53=2),VLOOKUP($B53,Courts!$B$2:$J$50,6,false),0)</f>
        <v>0</v>
      </c>
      <c r="J53" s="39">
        <f>if(OR($E53=1, $E53=2),VLOOKUP($B53,Courts!$B$2:$J$50,7,false),0)</f>
        <v>0</v>
      </c>
      <c r="K53" s="42">
        <f t="shared" si="3"/>
        <v>0</v>
      </c>
      <c r="L53" s="39">
        <f>if(OR($E53=1, $E53=2),VLOOKUP($B53,Courts!$B$2:$J$50,9,false),0)</f>
        <v>0</v>
      </c>
      <c r="M53" s="40">
        <f t="shared" ref="M53:N53" si="52">C53+K53</f>
        <v>0</v>
      </c>
      <c r="N53" s="32">
        <f t="shared" si="52"/>
        <v>0</v>
      </c>
      <c r="O53" s="43" t="s">
        <v>53</v>
      </c>
      <c r="P53" s="43" t="s">
        <v>53</v>
      </c>
      <c r="Q53" s="43" t="s">
        <v>53</v>
      </c>
      <c r="R53" s="39"/>
      <c r="S53" s="39"/>
      <c r="T53" s="39"/>
    </row>
    <row r="54">
      <c r="A54" s="30">
        <f t="shared" si="5"/>
        <v>50</v>
      </c>
      <c r="B54" s="51" t="s">
        <v>114</v>
      </c>
      <c r="C54" s="40"/>
      <c r="D54" s="32"/>
      <c r="E54" s="37">
        <f>if(isna(VLOOKUP(B54,Checkin!A:B,2,false)),0,VLOOKUP(B54,Checkin!A:B,2,false))</f>
        <v>0</v>
      </c>
      <c r="F54" s="39">
        <f>if(OR($E54=1, $E54=2),VLOOKUP($B54,Courts!$B$2:$K$50,10,false),0)</f>
        <v>0</v>
      </c>
      <c r="G54" s="40">
        <f t="shared" si="2"/>
        <v>0</v>
      </c>
      <c r="H54" s="39">
        <f>if(OR($E54=1, $E54=2),VLOOKUP($B54,Courts!$B$2:$J$50,5,false),0)</f>
        <v>0</v>
      </c>
      <c r="I54" s="39">
        <f>if(OR($E54=1, $E54=2),VLOOKUP($B54,Courts!$B$2:$J$50,6,false),0)</f>
        <v>0</v>
      </c>
      <c r="J54" s="39">
        <f>if(OR($E54=1, $E54=2),VLOOKUP($B54,Courts!$B$2:$J$50,7,false),0)</f>
        <v>0</v>
      </c>
      <c r="K54" s="42">
        <f t="shared" si="3"/>
        <v>0</v>
      </c>
      <c r="L54" s="39">
        <f>if(OR($E54=1, $E54=2),VLOOKUP($B54,Courts!$B$2:$J$50,9,false),0)</f>
        <v>0</v>
      </c>
      <c r="M54" s="40">
        <f t="shared" ref="M54:N54" si="53">C54+K54</f>
        <v>0</v>
      </c>
      <c r="N54" s="32">
        <f t="shared" si="53"/>
        <v>0</v>
      </c>
      <c r="O54" s="43" t="s">
        <v>53</v>
      </c>
      <c r="P54" s="43" t="s">
        <v>53</v>
      </c>
      <c r="Q54" s="43" t="s">
        <v>53</v>
      </c>
      <c r="R54" s="39"/>
      <c r="S54" s="39"/>
      <c r="T54" s="39"/>
    </row>
    <row r="55">
      <c r="A55" s="30">
        <f t="shared" si="5"/>
        <v>51</v>
      </c>
      <c r="B55" s="31" t="s">
        <v>106</v>
      </c>
      <c r="C55" s="40"/>
      <c r="D55" s="32"/>
      <c r="E55" s="37">
        <f>if(isna(VLOOKUP(B55,Checkin!A:B,2,false)),0,VLOOKUP(B55,Checkin!A:B,2,false))</f>
        <v>0</v>
      </c>
      <c r="F55" s="39">
        <f>if(OR($E55=1, $E55=2),VLOOKUP($B55,Courts!$B$2:$K$50,10,false),0)</f>
        <v>0</v>
      </c>
      <c r="G55" s="40">
        <f t="shared" si="2"/>
        <v>0</v>
      </c>
      <c r="H55" s="39">
        <f>if(OR($E55=1, $E55=2),VLOOKUP($B55,Courts!$B$2:$J$50,5,false),0)</f>
        <v>0</v>
      </c>
      <c r="I55" s="39">
        <f>if(OR($E55=1, $E55=2),VLOOKUP($B55,Courts!$B$2:$J$50,6,false),0)</f>
        <v>0</v>
      </c>
      <c r="J55" s="39">
        <f>if(OR($E55=1, $E55=2),VLOOKUP($B55,Courts!$B$2:$J$50,7,false),0)</f>
        <v>0</v>
      </c>
      <c r="K55" s="42">
        <f t="shared" si="3"/>
        <v>0</v>
      </c>
      <c r="L55" s="39">
        <f>if(OR($E55=1, $E55=2),VLOOKUP($B55,Courts!$B$2:$J$50,9,false),0)</f>
        <v>0</v>
      </c>
      <c r="M55" s="40">
        <f t="shared" ref="M55:N55" si="54">C55+K55</f>
        <v>0</v>
      </c>
      <c r="N55" s="32">
        <f t="shared" si="54"/>
        <v>0</v>
      </c>
      <c r="O55" s="43" t="s">
        <v>53</v>
      </c>
      <c r="P55" s="43" t="s">
        <v>53</v>
      </c>
      <c r="Q55" s="43" t="s">
        <v>88</v>
      </c>
      <c r="R55" s="39"/>
      <c r="S55" s="39"/>
      <c r="T55" s="39"/>
    </row>
    <row r="56">
      <c r="A56" s="30">
        <f t="shared" si="5"/>
        <v>52</v>
      </c>
      <c r="B56" s="51" t="s">
        <v>74</v>
      </c>
      <c r="C56" s="40"/>
      <c r="D56" s="32"/>
      <c r="E56" s="37">
        <f>if(isna(VLOOKUP(B56,Checkin!A:B,2,false)),0,VLOOKUP(B56,Checkin!A:B,2,false))</f>
        <v>0</v>
      </c>
      <c r="F56" s="39">
        <f>if(OR($E56=1, $E56=2),VLOOKUP($B56,Courts!$B$2:$K$50,10,false),0)</f>
        <v>0</v>
      </c>
      <c r="G56" s="40">
        <f t="shared" si="2"/>
        <v>0</v>
      </c>
      <c r="H56" s="39">
        <f>if(OR($E56=1, $E56=2),VLOOKUP($B56,Courts!$B$2:$J$50,5,false),0)</f>
        <v>0</v>
      </c>
      <c r="I56" s="39">
        <f>if(OR($E56=1, $E56=2),VLOOKUP($B56,Courts!$B$2:$J$50,6,false),0)</f>
        <v>0</v>
      </c>
      <c r="J56" s="39">
        <f>if(OR($E56=1, $E56=2),VLOOKUP($B56,Courts!$B$2:$J$50,7,false),0)</f>
        <v>0</v>
      </c>
      <c r="K56" s="42">
        <f t="shared" si="3"/>
        <v>0</v>
      </c>
      <c r="L56" s="39">
        <f>if(OR($E56=1, $E56=2),VLOOKUP($B56,Courts!$B$2:$J$50,9,false),0)</f>
        <v>0</v>
      </c>
      <c r="M56" s="40">
        <f t="shared" ref="M56:N56" si="55">C56+K56</f>
        <v>0</v>
      </c>
      <c r="N56" s="32">
        <f t="shared" si="55"/>
        <v>0</v>
      </c>
      <c r="O56" s="43" t="s">
        <v>53</v>
      </c>
      <c r="P56" s="43" t="s">
        <v>53</v>
      </c>
      <c r="Q56" s="43" t="s">
        <v>53</v>
      </c>
      <c r="R56" s="39"/>
      <c r="S56" s="39"/>
      <c r="T56" s="39"/>
    </row>
    <row r="57">
      <c r="A57" s="30">
        <f t="shared" si="5"/>
        <v>53</v>
      </c>
      <c r="B57" s="51" t="s">
        <v>113</v>
      </c>
      <c r="C57" s="40"/>
      <c r="D57" s="32"/>
      <c r="E57" s="37">
        <f>if(isna(VLOOKUP(B57,Checkin!A:B,2,false)),0,VLOOKUP(B57,Checkin!A:B,2,false))</f>
        <v>0</v>
      </c>
      <c r="F57" s="39">
        <f>if(OR($E57=1, $E57=2),VLOOKUP($B57,Courts!$B$2:$K$50,10,false),0)</f>
        <v>0</v>
      </c>
      <c r="G57" s="40">
        <f t="shared" si="2"/>
        <v>0</v>
      </c>
      <c r="H57" s="39">
        <f>if(OR($E57=1, $E57=2),VLOOKUP($B57,Courts!$B$2:$J$50,5,false),0)</f>
        <v>0</v>
      </c>
      <c r="I57" s="39">
        <f>if(OR($E57=1, $E57=2),VLOOKUP($B57,Courts!$B$2:$J$50,6,false),0)</f>
        <v>0</v>
      </c>
      <c r="J57" s="39">
        <f>if(OR($E57=1, $E57=2),VLOOKUP($B57,Courts!$B$2:$J$50,7,false),0)</f>
        <v>0</v>
      </c>
      <c r="K57" s="42">
        <f t="shared" si="3"/>
        <v>0</v>
      </c>
      <c r="L57" s="39">
        <f>if(OR($E57=1, $E57=2),VLOOKUP($B57,Courts!$B$2:$J$50,9,false),0)</f>
        <v>0</v>
      </c>
      <c r="M57" s="40">
        <f t="shared" ref="M57:N57" si="56">C57+K57</f>
        <v>0</v>
      </c>
      <c r="N57" s="32">
        <f t="shared" si="56"/>
        <v>0</v>
      </c>
      <c r="O57" s="43" t="s">
        <v>53</v>
      </c>
      <c r="P57" s="43" t="s">
        <v>53</v>
      </c>
      <c r="Q57" s="43" t="s">
        <v>88</v>
      </c>
      <c r="R57" s="39"/>
      <c r="S57" s="39"/>
      <c r="T57" s="39"/>
    </row>
    <row r="58">
      <c r="A58" s="30">
        <f t="shared" si="5"/>
        <v>54</v>
      </c>
      <c r="B58" s="51" t="s">
        <v>121</v>
      </c>
      <c r="C58" s="40"/>
      <c r="D58" s="32"/>
      <c r="E58" s="37">
        <f>if(isna(VLOOKUP(B58,Checkin!A:B,2,false)),0,VLOOKUP(B58,Checkin!A:B,2,false))</f>
        <v>0</v>
      </c>
      <c r="F58" s="39">
        <f>if(OR($E58=1, $E58=2),VLOOKUP($B58,Courts!$B$2:$K$50,10,false),0)</f>
        <v>0</v>
      </c>
      <c r="G58" s="40">
        <f t="shared" si="2"/>
        <v>0</v>
      </c>
      <c r="H58" s="39">
        <f>if(OR($E58=1, $E58=2),VLOOKUP($B58,Courts!$B$2:$J$50,5,false),0)</f>
        <v>0</v>
      </c>
      <c r="I58" s="39">
        <f>if(OR($E58=1, $E58=2),VLOOKUP($B58,Courts!$B$2:$J$50,6,false),0)</f>
        <v>0</v>
      </c>
      <c r="J58" s="39">
        <f>if(OR($E58=1, $E58=2),VLOOKUP($B58,Courts!$B$2:$J$50,7,false),0)</f>
        <v>0</v>
      </c>
      <c r="K58" s="42">
        <f t="shared" si="3"/>
        <v>0</v>
      </c>
      <c r="L58" s="39">
        <f>if(OR($E58=1, $E58=2),VLOOKUP($B58,Courts!$B$2:$J$50,9,false),0)</f>
        <v>0</v>
      </c>
      <c r="M58" s="40">
        <f t="shared" ref="M58:N58" si="57">C58+K58</f>
        <v>0</v>
      </c>
      <c r="N58" s="32">
        <f t="shared" si="57"/>
        <v>0</v>
      </c>
      <c r="O58" s="43" t="s">
        <v>53</v>
      </c>
      <c r="P58" s="43" t="s">
        <v>53</v>
      </c>
      <c r="Q58" s="43" t="s">
        <v>88</v>
      </c>
      <c r="R58" s="39"/>
      <c r="S58" s="39"/>
      <c r="T58" s="39"/>
    </row>
    <row r="59">
      <c r="A59" s="30">
        <f t="shared" si="5"/>
        <v>55</v>
      </c>
      <c r="B59" s="51" t="s">
        <v>84</v>
      </c>
      <c r="C59" s="40"/>
      <c r="D59" s="32"/>
      <c r="E59" s="37">
        <f>if(isna(VLOOKUP(B59,Checkin!A:B,2,false)),0,VLOOKUP(B59,Checkin!A:B,2,false))</f>
        <v>0</v>
      </c>
      <c r="F59" s="39">
        <f>if(OR($E59=1, $E59=2),VLOOKUP($B59,Courts!$B$2:$K$50,10,false),0)</f>
        <v>0</v>
      </c>
      <c r="G59" s="40">
        <f t="shared" si="2"/>
        <v>0</v>
      </c>
      <c r="H59" s="39">
        <f>if(OR($E59=1, $E59=2),VLOOKUP($B59,Courts!$B$2:$J$50,5,false),0)</f>
        <v>0</v>
      </c>
      <c r="I59" s="39">
        <f>if(OR($E59=1, $E59=2),VLOOKUP($B59,Courts!$B$2:$J$50,6,false),0)</f>
        <v>0</v>
      </c>
      <c r="J59" s="39">
        <f>if(OR($E59=1, $E59=2),VLOOKUP($B59,Courts!$B$2:$J$50,7,false),0)</f>
        <v>0</v>
      </c>
      <c r="K59" s="42">
        <f t="shared" si="3"/>
        <v>0</v>
      </c>
      <c r="L59" s="39">
        <f>if(OR($E59=1, $E59=2),VLOOKUP($B59,Courts!$B$2:$J$50,9,false),0)</f>
        <v>0</v>
      </c>
      <c r="M59" s="40">
        <f t="shared" ref="M59:N59" si="58">C59+K59</f>
        <v>0</v>
      </c>
      <c r="N59" s="32">
        <f t="shared" si="58"/>
        <v>0</v>
      </c>
      <c r="O59" s="43" t="s">
        <v>53</v>
      </c>
      <c r="P59" s="43" t="s">
        <v>53</v>
      </c>
      <c r="Q59" s="43" t="s">
        <v>53</v>
      </c>
      <c r="R59" s="39"/>
      <c r="S59" s="39"/>
      <c r="T59" s="39"/>
    </row>
    <row r="60">
      <c r="A60" s="30">
        <f t="shared" si="5"/>
        <v>56</v>
      </c>
      <c r="B60" s="51" t="s">
        <v>87</v>
      </c>
      <c r="C60" s="40"/>
      <c r="D60" s="32"/>
      <c r="E60" s="37">
        <f>if(isna(VLOOKUP(B60,Checkin!A:B,2,false)),0,VLOOKUP(B60,Checkin!A:B,2,false))</f>
        <v>0</v>
      </c>
      <c r="F60" s="39">
        <f>if(OR($E60=1, $E60=2),VLOOKUP($B60,Courts!$B$2:$K$50,10,false),0)</f>
        <v>0</v>
      </c>
      <c r="G60" s="40">
        <f t="shared" si="2"/>
        <v>0</v>
      </c>
      <c r="H60" s="39">
        <f>if(OR($E60=1, $E60=2),VLOOKUP($B60,Courts!$B$2:$J$50,5,false),0)</f>
        <v>0</v>
      </c>
      <c r="I60" s="39">
        <f>if(OR($E60=1, $E60=2),VLOOKUP($B60,Courts!$B$2:$J$50,6,false),0)</f>
        <v>0</v>
      </c>
      <c r="J60" s="39">
        <f>if(OR($E60=1, $E60=2),VLOOKUP($B60,Courts!$B$2:$J$50,7,false),0)</f>
        <v>0</v>
      </c>
      <c r="K60" s="42">
        <f t="shared" si="3"/>
        <v>0</v>
      </c>
      <c r="L60" s="39">
        <f>if(OR($E60=1, $E60=2),VLOOKUP($B60,Courts!$B$2:$J$50,9,false),0)</f>
        <v>0</v>
      </c>
      <c r="M60" s="40">
        <f t="shared" ref="M60:N60" si="59">C60+K60</f>
        <v>0</v>
      </c>
      <c r="N60" s="32">
        <f t="shared" si="59"/>
        <v>0</v>
      </c>
      <c r="O60" s="43" t="s">
        <v>53</v>
      </c>
      <c r="P60" s="43" t="s">
        <v>53</v>
      </c>
      <c r="Q60" s="43" t="s">
        <v>53</v>
      </c>
      <c r="R60" s="39"/>
      <c r="S60" s="39"/>
      <c r="T60" s="39"/>
    </row>
    <row r="61">
      <c r="A61" s="30">
        <f t="shared" si="5"/>
        <v>57</v>
      </c>
      <c r="B61" s="51" t="s">
        <v>118</v>
      </c>
      <c r="C61" s="40"/>
      <c r="D61" s="32"/>
      <c r="E61" s="37">
        <f>if(isna(VLOOKUP(B61,Checkin!A:B,2,false)),0,VLOOKUP(B61,Checkin!A:B,2,false))</f>
        <v>0</v>
      </c>
      <c r="F61" s="39">
        <f>if(OR($E61=1, $E61=2),VLOOKUP($B61,Courts!$B$2:$K$50,10,false),0)</f>
        <v>0</v>
      </c>
      <c r="G61" s="40">
        <f t="shared" si="2"/>
        <v>0</v>
      </c>
      <c r="H61" s="39">
        <f>if(OR($E61=1, $E61=2),VLOOKUP($B61,Courts!$B$2:$J$50,5,false),0)</f>
        <v>0</v>
      </c>
      <c r="I61" s="39">
        <f>if(OR($E61=1, $E61=2),VLOOKUP($B61,Courts!$B$2:$J$50,6,false),0)</f>
        <v>0</v>
      </c>
      <c r="J61" s="39">
        <f>if(OR($E61=1, $E61=2),VLOOKUP($B61,Courts!$B$2:$J$50,7,false),0)</f>
        <v>0</v>
      </c>
      <c r="K61" s="42">
        <f t="shared" si="3"/>
        <v>0</v>
      </c>
      <c r="L61" s="39">
        <f>if(OR($E61=1, $E61=2),VLOOKUP($B61,Courts!$B$2:$J$50,9,false),0)</f>
        <v>0</v>
      </c>
      <c r="M61" s="40">
        <f t="shared" ref="M61:N61" si="60">C61+K61</f>
        <v>0</v>
      </c>
      <c r="N61" s="32">
        <f t="shared" si="60"/>
        <v>0</v>
      </c>
      <c r="O61" s="43" t="s">
        <v>53</v>
      </c>
      <c r="P61" s="43" t="s">
        <v>53</v>
      </c>
      <c r="Q61" s="43" t="s">
        <v>53</v>
      </c>
      <c r="R61" s="39"/>
      <c r="S61" s="39"/>
      <c r="T61" s="39"/>
    </row>
    <row r="62">
      <c r="A62" s="30">
        <f t="shared" si="5"/>
        <v>58</v>
      </c>
      <c r="B62" s="51" t="s">
        <v>104</v>
      </c>
      <c r="C62" s="40"/>
      <c r="D62" s="32"/>
      <c r="E62" s="37">
        <f>if(isna(VLOOKUP(B62,Checkin!A:B,2,false)),0,VLOOKUP(B62,Checkin!A:B,2,false))</f>
        <v>0</v>
      </c>
      <c r="F62" s="39">
        <f>if(OR($E62=1, $E62=2),VLOOKUP($B62,Courts!$B$2:$K$50,10,false),0)</f>
        <v>0</v>
      </c>
      <c r="G62" s="40">
        <f t="shared" si="2"/>
        <v>0</v>
      </c>
      <c r="H62" s="39">
        <f>if(OR($E62=1, $E62=2),VLOOKUP($B62,Courts!$B$2:$J$50,5,false),0)</f>
        <v>0</v>
      </c>
      <c r="I62" s="39">
        <f>if(OR($E62=1, $E62=2),VLOOKUP($B62,Courts!$B$2:$J$50,6,false),0)</f>
        <v>0</v>
      </c>
      <c r="J62" s="39">
        <f>if(OR($E62=1, $E62=2),VLOOKUP($B62,Courts!$B$2:$J$50,7,false),0)</f>
        <v>0</v>
      </c>
      <c r="K62" s="42">
        <f t="shared" si="3"/>
        <v>0</v>
      </c>
      <c r="L62" s="39">
        <f>if(OR($E62=1, $E62=2),VLOOKUP($B62,Courts!$B$2:$J$50,9,false),0)</f>
        <v>0</v>
      </c>
      <c r="M62" s="40">
        <f t="shared" ref="M62:N62" si="61">C62+K62</f>
        <v>0</v>
      </c>
      <c r="N62" s="32">
        <f t="shared" si="61"/>
        <v>0</v>
      </c>
      <c r="O62" s="43" t="s">
        <v>53</v>
      </c>
      <c r="P62" s="43" t="s">
        <v>53</v>
      </c>
      <c r="Q62" s="43" t="s">
        <v>88</v>
      </c>
      <c r="R62" s="39"/>
      <c r="S62" s="39"/>
      <c r="T62" s="39"/>
    </row>
    <row r="63">
      <c r="A63" s="30">
        <f t="shared" si="5"/>
        <v>59</v>
      </c>
      <c r="B63" s="51" t="s">
        <v>108</v>
      </c>
      <c r="C63" s="40"/>
      <c r="D63" s="32"/>
      <c r="E63" s="37">
        <f>if(isna(VLOOKUP(B63,Checkin!A:B,2,false)),0,VLOOKUP(B63,Checkin!A:B,2,false))</f>
        <v>0</v>
      </c>
      <c r="F63" s="39">
        <f>if(OR($E63=1, $E63=2),VLOOKUP($B63,Courts!$B$2:$K$50,10,false),0)</f>
        <v>0</v>
      </c>
      <c r="G63" s="40">
        <f t="shared" si="2"/>
        <v>0</v>
      </c>
      <c r="H63" s="39">
        <f>if(OR($E63=1, $E63=2),VLOOKUP($B63,Courts!$B$2:$J$50,5,false),0)</f>
        <v>0</v>
      </c>
      <c r="I63" s="39">
        <f>if(OR($E63=1, $E63=2),VLOOKUP($B63,Courts!$B$2:$J$50,6,false),0)</f>
        <v>0</v>
      </c>
      <c r="J63" s="39">
        <f>if(OR($E63=1, $E63=2),VLOOKUP($B63,Courts!$B$2:$J$50,7,false),0)</f>
        <v>0</v>
      </c>
      <c r="K63" s="42">
        <f t="shared" si="3"/>
        <v>0</v>
      </c>
      <c r="L63" s="39">
        <f>if(OR($E63=1, $E63=2),VLOOKUP($B63,Courts!$B$2:$J$50,9,false),0)</f>
        <v>0</v>
      </c>
      <c r="M63" s="40">
        <f t="shared" ref="M63:N63" si="62">C63+K63</f>
        <v>0</v>
      </c>
      <c r="N63" s="32">
        <f t="shared" si="62"/>
        <v>0</v>
      </c>
      <c r="O63" s="43" t="s">
        <v>53</v>
      </c>
      <c r="P63" s="43" t="s">
        <v>53</v>
      </c>
      <c r="Q63" s="43" t="s">
        <v>88</v>
      </c>
      <c r="R63" s="39"/>
      <c r="S63" s="39"/>
      <c r="T63" s="39"/>
    </row>
    <row r="64">
      <c r="A64" s="30">
        <f t="shared" si="5"/>
        <v>60</v>
      </c>
      <c r="B64" s="51" t="s">
        <v>93</v>
      </c>
      <c r="C64" s="40"/>
      <c r="D64" s="32"/>
      <c r="E64" s="37">
        <f>if(isna(VLOOKUP(B64,Checkin!A:B,2,false)),0,VLOOKUP(B64,Checkin!A:B,2,false))</f>
        <v>0</v>
      </c>
      <c r="F64" s="39">
        <f>if(OR($E64=1, $E64=2),VLOOKUP($B64,Courts!$B$2:$K$50,10,false),0)</f>
        <v>0</v>
      </c>
      <c r="G64" s="40">
        <f t="shared" si="2"/>
        <v>0</v>
      </c>
      <c r="H64" s="39">
        <f>if(OR($E64=1, $E64=2),VLOOKUP($B64,Courts!$B$2:$J$50,5,false),0)</f>
        <v>0</v>
      </c>
      <c r="I64" s="39">
        <f>if(OR($E64=1, $E64=2),VLOOKUP($B64,Courts!$B$2:$J$50,6,false),0)</f>
        <v>0</v>
      </c>
      <c r="J64" s="39">
        <f>if(OR($E64=1, $E64=2),VLOOKUP($B64,Courts!$B$2:$J$50,7,false),0)</f>
        <v>0</v>
      </c>
      <c r="K64" s="42">
        <f t="shared" si="3"/>
        <v>0</v>
      </c>
      <c r="L64" s="39">
        <f>if(OR($E64=1, $E64=2),VLOOKUP($B64,Courts!$B$2:$J$50,9,false),0)</f>
        <v>0</v>
      </c>
      <c r="M64" s="40">
        <f t="shared" ref="M64:N64" si="63">C64+K64</f>
        <v>0</v>
      </c>
      <c r="N64" s="32">
        <f t="shared" si="63"/>
        <v>0</v>
      </c>
      <c r="O64" s="43" t="s">
        <v>53</v>
      </c>
      <c r="P64" s="43" t="s">
        <v>53</v>
      </c>
      <c r="Q64" s="43" t="s">
        <v>53</v>
      </c>
      <c r="R64" s="39"/>
      <c r="S64" s="39"/>
      <c r="T64" s="39"/>
    </row>
    <row r="65">
      <c r="A65" s="30">
        <f t="shared" si="5"/>
        <v>61</v>
      </c>
      <c r="B65" s="51" t="s">
        <v>111</v>
      </c>
      <c r="C65" s="40"/>
      <c r="D65" s="32"/>
      <c r="E65" s="37">
        <f>if(isna(VLOOKUP(B65,Checkin!A:B,2,false)),0,VLOOKUP(B65,Checkin!A:B,2,false))</f>
        <v>0</v>
      </c>
      <c r="F65" s="39">
        <f>if(OR($E65=1, $E65=2),VLOOKUP($B65,Courts!$B$2:$K$50,10,false),0)</f>
        <v>0</v>
      </c>
      <c r="G65" s="40">
        <f t="shared" si="2"/>
        <v>0</v>
      </c>
      <c r="H65" s="39">
        <f>if(OR($E65=1, $E65=2),VLOOKUP($B65,Courts!$B$2:$J$50,5,false),0)</f>
        <v>0</v>
      </c>
      <c r="I65" s="39">
        <f>if(OR($E65=1, $E65=2),VLOOKUP($B65,Courts!$B$2:$J$50,6,false),0)</f>
        <v>0</v>
      </c>
      <c r="J65" s="39">
        <f>if(OR($E65=1, $E65=2),VLOOKUP($B65,Courts!$B$2:$J$50,7,false),0)</f>
        <v>0</v>
      </c>
      <c r="K65" s="42">
        <f t="shared" si="3"/>
        <v>0</v>
      </c>
      <c r="L65" s="39">
        <f>if(OR($E65=1, $E65=2),VLOOKUP($B65,Courts!$B$2:$J$50,9,false),0)</f>
        <v>0</v>
      </c>
      <c r="M65" s="40">
        <f t="shared" ref="M65:N65" si="64">C65+K65</f>
        <v>0</v>
      </c>
      <c r="N65" s="32">
        <f t="shared" si="64"/>
        <v>0</v>
      </c>
      <c r="O65" s="43" t="s">
        <v>53</v>
      </c>
      <c r="P65" s="43" t="s">
        <v>53</v>
      </c>
      <c r="Q65" s="43" t="s">
        <v>88</v>
      </c>
      <c r="R65" s="39"/>
      <c r="S65" s="39"/>
      <c r="T65" s="39"/>
    </row>
    <row r="66">
      <c r="A66" s="30">
        <f t="shared" si="5"/>
        <v>62</v>
      </c>
      <c r="B66" s="51" t="s">
        <v>78</v>
      </c>
      <c r="C66" s="40"/>
      <c r="D66" s="32"/>
      <c r="E66" s="37">
        <f>if(isna(VLOOKUP(B66,Checkin!A:B,2,false)),0,VLOOKUP(B66,Checkin!A:B,2,false))</f>
        <v>0</v>
      </c>
      <c r="F66" s="39">
        <f>if(OR($E66=1, $E66=2),VLOOKUP($B66,Courts!$B$2:$K$50,10,false),0)</f>
        <v>0</v>
      </c>
      <c r="G66" s="40">
        <f t="shared" si="2"/>
        <v>0</v>
      </c>
      <c r="H66" s="39">
        <f>if(OR($E66=1, $E66=2),VLOOKUP($B66,Courts!$B$2:$J$50,5,false),0)</f>
        <v>0</v>
      </c>
      <c r="I66" s="39">
        <f>if(OR($E66=1, $E66=2),VLOOKUP($B66,Courts!$B$2:$J$50,6,false),0)</f>
        <v>0</v>
      </c>
      <c r="J66" s="39">
        <f>if(OR($E66=1, $E66=2),VLOOKUP($B66,Courts!$B$2:$J$50,7,false),0)</f>
        <v>0</v>
      </c>
      <c r="K66" s="42">
        <f t="shared" si="3"/>
        <v>0</v>
      </c>
      <c r="L66" s="39">
        <f>if(OR($E66=1, $E66=2),VLOOKUP($B66,Courts!$B$2:$J$50,9,false),0)</f>
        <v>0</v>
      </c>
      <c r="M66" s="40">
        <f t="shared" ref="M66:N66" si="65">C66+K66</f>
        <v>0</v>
      </c>
      <c r="N66" s="32">
        <f t="shared" si="65"/>
        <v>0</v>
      </c>
      <c r="O66" s="43" t="s">
        <v>53</v>
      </c>
      <c r="P66" s="43" t="s">
        <v>53</v>
      </c>
      <c r="Q66" s="43" t="s">
        <v>53</v>
      </c>
      <c r="R66" s="39"/>
      <c r="S66" s="39"/>
      <c r="T66" s="39"/>
    </row>
    <row r="67">
      <c r="A67" s="30">
        <f t="shared" si="5"/>
        <v>63</v>
      </c>
      <c r="B67" s="51" t="s">
        <v>95</v>
      </c>
      <c r="C67" s="40"/>
      <c r="D67" s="32"/>
      <c r="E67" s="37">
        <f>if(isna(VLOOKUP(B67,Checkin!A:B,2,false)),0,VLOOKUP(B67,Checkin!A:B,2,false))</f>
        <v>0</v>
      </c>
      <c r="F67" s="39">
        <f>if(OR($E67=1, $E67=2),VLOOKUP($B67,Courts!$B$2:$K$50,10,false),0)</f>
        <v>0</v>
      </c>
      <c r="G67" s="40">
        <f t="shared" si="2"/>
        <v>0</v>
      </c>
      <c r="H67" s="39">
        <f>if(OR($E67=1, $E67=2),VLOOKUP($B67,Courts!$B$2:$J$50,5,false),0)</f>
        <v>0</v>
      </c>
      <c r="I67" s="39">
        <f>if(OR($E67=1, $E67=2),VLOOKUP($B67,Courts!$B$2:$J$50,6,false),0)</f>
        <v>0</v>
      </c>
      <c r="J67" s="39">
        <f>if(OR($E67=1, $E67=2),VLOOKUP($B67,Courts!$B$2:$J$50,7,false),0)</f>
        <v>0</v>
      </c>
      <c r="K67" s="42">
        <f t="shared" si="3"/>
        <v>0</v>
      </c>
      <c r="L67" s="39">
        <f>if(OR($E67=1, $E67=2),VLOOKUP($B67,Courts!$B$2:$J$50,9,false),0)</f>
        <v>0</v>
      </c>
      <c r="M67" s="40">
        <f t="shared" ref="M67:N67" si="66">C67+K67</f>
        <v>0</v>
      </c>
      <c r="N67" s="32">
        <f t="shared" si="66"/>
        <v>0</v>
      </c>
      <c r="O67" s="43" t="s">
        <v>53</v>
      </c>
      <c r="P67" s="43" t="s">
        <v>53</v>
      </c>
      <c r="Q67" s="43" t="s">
        <v>88</v>
      </c>
      <c r="R67" s="39"/>
      <c r="S67" s="39"/>
      <c r="T67" s="39"/>
    </row>
    <row r="68">
      <c r="A68" s="30">
        <f t="shared" si="5"/>
        <v>64</v>
      </c>
      <c r="B68" s="51" t="s">
        <v>85</v>
      </c>
      <c r="C68" s="40"/>
      <c r="D68" s="32"/>
      <c r="E68" s="37">
        <f>if(isna(VLOOKUP(B68,Checkin!A:B,2,false)),0,VLOOKUP(B68,Checkin!A:B,2,false))</f>
        <v>0</v>
      </c>
      <c r="F68" s="39">
        <f>if(OR($E68=1, $E68=2),VLOOKUP($B68,Courts!$B$2:$K$50,10,false),0)</f>
        <v>0</v>
      </c>
      <c r="G68" s="40">
        <f t="shared" si="2"/>
        <v>0</v>
      </c>
      <c r="H68" s="39">
        <f>if(OR($E68=1, $E68=2),VLOOKUP($B68,Courts!$B$2:$J$50,5,false),0)</f>
        <v>0</v>
      </c>
      <c r="I68" s="39">
        <f>if(OR($E68=1, $E68=2),VLOOKUP($B68,Courts!$B$2:$J$50,6,false),0)</f>
        <v>0</v>
      </c>
      <c r="J68" s="39">
        <f>if(OR($E68=1, $E68=2),VLOOKUP($B68,Courts!$B$2:$J$50,7,false),0)</f>
        <v>0</v>
      </c>
      <c r="K68" s="42">
        <f t="shared" si="3"/>
        <v>0</v>
      </c>
      <c r="L68" s="39">
        <f>if(OR($E68=1, $E68=2),VLOOKUP($B68,Courts!$B$2:$J$50,9,false),0)</f>
        <v>0</v>
      </c>
      <c r="M68" s="40">
        <f t="shared" ref="M68:N68" si="67">C68+K68</f>
        <v>0</v>
      </c>
      <c r="N68" s="32">
        <f t="shared" si="67"/>
        <v>0</v>
      </c>
      <c r="O68" s="43" t="s">
        <v>53</v>
      </c>
      <c r="P68" s="43" t="s">
        <v>53</v>
      </c>
      <c r="Q68" s="43" t="s">
        <v>53</v>
      </c>
      <c r="R68" s="39"/>
      <c r="S68" s="39"/>
      <c r="T68" s="39"/>
    </row>
    <row r="69">
      <c r="A69" s="30">
        <f t="shared" si="5"/>
        <v>65</v>
      </c>
      <c r="B69" s="51" t="s">
        <v>116</v>
      </c>
      <c r="C69" s="40"/>
      <c r="D69" s="32"/>
      <c r="E69" s="37">
        <f>if(isna(VLOOKUP(B69,Checkin!A:B,2,false)),0,VLOOKUP(B69,Checkin!A:B,2,false))</f>
        <v>0</v>
      </c>
      <c r="F69" s="39">
        <f>if(OR($E69=1, $E69=2),VLOOKUP($B69,Courts!$B$2:$K$50,10,false),0)</f>
        <v>0</v>
      </c>
      <c r="G69" s="40">
        <f t="shared" si="2"/>
        <v>0</v>
      </c>
      <c r="H69" s="39">
        <f>if(OR($E69=1, $E69=2),VLOOKUP($B69,Courts!$B$2:$J$50,5,false),0)</f>
        <v>0</v>
      </c>
      <c r="I69" s="39">
        <f>if(OR($E69=1, $E69=2),VLOOKUP($B69,Courts!$B$2:$J$50,6,false),0)</f>
        <v>0</v>
      </c>
      <c r="J69" s="39">
        <f>if(OR($E69=1, $E69=2),VLOOKUP($B69,Courts!$B$2:$J$50,7,false),0)</f>
        <v>0</v>
      </c>
      <c r="K69" s="42">
        <f t="shared" si="3"/>
        <v>0</v>
      </c>
      <c r="L69" s="39">
        <f>if(OR($E69=1, $E69=2),VLOOKUP($B69,Courts!$B$2:$J$50,9,false),0)</f>
        <v>0</v>
      </c>
      <c r="M69" s="40">
        <f t="shared" ref="M69:N69" si="68">C69+K69</f>
        <v>0</v>
      </c>
      <c r="N69" s="32">
        <f t="shared" si="68"/>
        <v>0</v>
      </c>
      <c r="O69" s="43" t="s">
        <v>53</v>
      </c>
      <c r="P69" s="43" t="s">
        <v>53</v>
      </c>
      <c r="Q69" s="43" t="s">
        <v>53</v>
      </c>
      <c r="R69" s="39"/>
      <c r="S69" s="39"/>
      <c r="T69" s="39"/>
    </row>
    <row r="70">
      <c r="A70" s="11"/>
      <c r="C70" s="11"/>
      <c r="D70" s="11"/>
      <c r="E70" s="11"/>
      <c r="P70" s="11"/>
    </row>
    <row r="71">
      <c r="A71" s="11"/>
      <c r="C71" s="11"/>
      <c r="D71" s="11"/>
      <c r="E71" s="11"/>
      <c r="P71" s="11"/>
    </row>
    <row r="72">
      <c r="A72" s="11"/>
      <c r="B72" s="58">
        <f>COUNTA(B5:B69)</f>
        <v>65</v>
      </c>
      <c r="C72" s="11"/>
      <c r="D72" s="11"/>
      <c r="E72" s="11"/>
      <c r="O72" s="7" t="s">
        <v>163</v>
      </c>
      <c r="P72" s="8">
        <f t="shared" ref="P72:Q72" si="69">COUNTA(P5:P69)</f>
        <v>65</v>
      </c>
      <c r="Q72" s="8">
        <f t="shared" si="69"/>
        <v>65</v>
      </c>
    </row>
    <row r="73">
      <c r="A73" s="11"/>
      <c r="C73" s="11"/>
      <c r="D73" s="11"/>
      <c r="E73" s="11"/>
      <c r="O73" s="7" t="s">
        <v>164</v>
      </c>
      <c r="P73" s="8">
        <f t="shared" ref="P73:Q73" si="70">P74-P72</f>
        <v>0</v>
      </c>
      <c r="Q73" s="8">
        <f t="shared" si="70"/>
        <v>0</v>
      </c>
    </row>
    <row r="74">
      <c r="A74" s="11"/>
      <c r="C74" s="11"/>
      <c r="D74" s="11"/>
      <c r="J74" s="49"/>
      <c r="K74" s="59"/>
      <c r="L74" s="60"/>
      <c r="O74" s="7" t="s">
        <v>60</v>
      </c>
      <c r="P74" s="8">
        <f>B72</f>
        <v>65</v>
      </c>
      <c r="Q74" s="8">
        <f>P74</f>
        <v>65</v>
      </c>
    </row>
    <row r="75">
      <c r="A75" s="11"/>
      <c r="C75" s="11"/>
      <c r="D75" s="11"/>
      <c r="E75" s="10" t="s">
        <v>127</v>
      </c>
      <c r="J75" s="49"/>
      <c r="K75" s="59"/>
      <c r="L75" s="60"/>
    </row>
    <row r="76">
      <c r="A76" s="11"/>
      <c r="C76" s="11"/>
      <c r="D76" s="11"/>
      <c r="J76" s="49"/>
      <c r="K76" s="59"/>
      <c r="L76" s="60"/>
    </row>
    <row r="77">
      <c r="A77" s="11"/>
      <c r="C77" s="11"/>
      <c r="D77" s="11"/>
      <c r="J77" s="49"/>
      <c r="K77" s="59"/>
      <c r="L77" s="60"/>
      <c r="O77" s="7" t="s">
        <v>163</v>
      </c>
      <c r="P77" s="8"/>
      <c r="Q77" s="8">
        <f>COUNTIF(Q5:Q69,"X")</f>
        <v>52</v>
      </c>
    </row>
    <row r="78">
      <c r="A78" s="11"/>
      <c r="B78" s="62" t="s">
        <v>129</v>
      </c>
      <c r="C78" s="62" t="s">
        <v>130</v>
      </c>
      <c r="D78" s="62" t="s">
        <v>131</v>
      </c>
      <c r="J78" s="49"/>
      <c r="K78" s="59"/>
      <c r="L78" s="60"/>
      <c r="O78" s="7" t="s">
        <v>132</v>
      </c>
      <c r="P78" s="8"/>
      <c r="Q78" s="8">
        <f>countif(Q5:Q69,"N")</f>
        <v>13</v>
      </c>
    </row>
    <row r="79">
      <c r="A79" s="11"/>
      <c r="B79" s="51" t="str">
        <f>IFERROR(__xludf.DUMMYFUNCTION("QUERY(B5:L69,""Select B, K, L where K &gt;= 18 order by K desc, L desc"",0)"),"#N/A")</f>
        <v>#N/A</v>
      </c>
      <c r="C79" s="51"/>
      <c r="D79" s="51"/>
      <c r="E79" s="11"/>
      <c r="K79" s="59"/>
      <c r="L79" s="60"/>
      <c r="O79" s="7" t="s">
        <v>164</v>
      </c>
      <c r="P79" s="8"/>
      <c r="Q79" s="8">
        <f>countif(Q5:Q69,"")</f>
        <v>0</v>
      </c>
    </row>
    <row r="80">
      <c r="A80" s="11"/>
      <c r="B80" s="51"/>
      <c r="C80" s="51"/>
      <c r="D80" s="51"/>
      <c r="E80" s="11"/>
      <c r="L80" s="65"/>
      <c r="O80" s="7" t="s">
        <v>60</v>
      </c>
      <c r="P80" s="8"/>
      <c r="Q80" s="8">
        <f>sum(Q77:Q79)</f>
        <v>65</v>
      </c>
    </row>
    <row r="81">
      <c r="A81" s="11"/>
      <c r="B81" s="51"/>
      <c r="C81" s="51"/>
      <c r="D81" s="51"/>
      <c r="E81" s="11"/>
    </row>
    <row r="82">
      <c r="A82" s="11"/>
      <c r="B82" s="51"/>
      <c r="C82" s="51"/>
      <c r="D82" s="51"/>
      <c r="E82" s="11"/>
    </row>
    <row r="83">
      <c r="A83" s="11"/>
      <c r="B83" s="51"/>
      <c r="C83" s="71"/>
      <c r="D83" s="71"/>
      <c r="E83" s="11"/>
      <c r="K83" s="10"/>
    </row>
    <row r="84">
      <c r="A84" s="11"/>
      <c r="B84" s="51"/>
      <c r="C84" s="71"/>
      <c r="D84" s="71"/>
      <c r="E84" s="11"/>
      <c r="K84" s="10"/>
    </row>
    <row r="85">
      <c r="A85" s="11"/>
      <c r="B85" s="51"/>
      <c r="C85" s="71"/>
      <c r="D85" s="71"/>
      <c r="E85" s="11"/>
      <c r="K85" s="10"/>
    </row>
    <row r="86">
      <c r="A86" s="11"/>
      <c r="B86" s="51"/>
      <c r="C86" s="71"/>
      <c r="D86" s="71"/>
      <c r="E86" s="11"/>
      <c r="K86" s="10"/>
    </row>
    <row r="87">
      <c r="A87" s="11"/>
      <c r="B87" s="51"/>
      <c r="C87" s="71"/>
      <c r="D87" s="71"/>
      <c r="E87" s="11"/>
    </row>
    <row r="88">
      <c r="A88" s="11"/>
      <c r="B88" s="51"/>
      <c r="C88" s="71"/>
      <c r="D88" s="71"/>
      <c r="E88" s="11"/>
    </row>
    <row r="89">
      <c r="A89" s="11"/>
      <c r="C89" s="11"/>
      <c r="D89" s="11"/>
      <c r="E89" s="11"/>
    </row>
    <row r="90">
      <c r="A90" s="11"/>
      <c r="B90" s="10" t="s">
        <v>165</v>
      </c>
      <c r="C90" s="11"/>
      <c r="D90" s="11"/>
      <c r="E90" s="11"/>
    </row>
    <row r="91">
      <c r="A91" s="11"/>
      <c r="B91" s="27" t="s">
        <v>31</v>
      </c>
      <c r="C91" s="29" t="s">
        <v>2</v>
      </c>
      <c r="D91" s="29" t="s">
        <v>4</v>
      </c>
      <c r="E91" s="29" t="s">
        <v>33</v>
      </c>
      <c r="F91" s="29" t="s">
        <v>35</v>
      </c>
      <c r="G91" s="29" t="s">
        <v>36</v>
      </c>
      <c r="H91" s="29" t="s">
        <v>6</v>
      </c>
      <c r="I91" s="29" t="s">
        <v>7</v>
      </c>
      <c r="J91" s="29" t="s">
        <v>8</v>
      </c>
      <c r="K91" s="29" t="s">
        <v>2</v>
      </c>
      <c r="L91" s="29" t="s">
        <v>4</v>
      </c>
      <c r="M91" s="28" t="s">
        <v>2</v>
      </c>
      <c r="N91" s="28" t="s">
        <v>4</v>
      </c>
    </row>
    <row r="92">
      <c r="A92" s="11"/>
      <c r="B92" s="82" t="str">
        <f>IFERROR(__xludf.DUMMYFUNCTION("QUERY(B5:N69, ""Select B, C, D, E, F, G, H, I, J, K, L, M, N   where F &gt;= 1"")"),"#N/A")</f>
        <v>#N/A</v>
      </c>
      <c r="C92" s="83"/>
      <c r="D92" s="83"/>
      <c r="E92" s="83"/>
      <c r="F92" s="82"/>
      <c r="G92" s="82"/>
      <c r="H92" s="82"/>
      <c r="I92" s="82"/>
      <c r="J92" s="82"/>
      <c r="K92" s="82"/>
      <c r="L92" s="82"/>
      <c r="M92" s="82"/>
      <c r="N92" s="82"/>
    </row>
    <row r="93">
      <c r="A93" s="11"/>
      <c r="B93" s="82"/>
      <c r="C93" s="83"/>
      <c r="D93" s="83"/>
      <c r="E93" s="83"/>
      <c r="F93" s="82"/>
      <c r="G93" s="82"/>
      <c r="H93" s="82"/>
      <c r="I93" s="82"/>
      <c r="J93" s="82"/>
      <c r="K93" s="82"/>
      <c r="L93" s="82"/>
      <c r="M93" s="82"/>
      <c r="N93" s="82"/>
    </row>
    <row r="94">
      <c r="A94" s="11"/>
      <c r="B94" s="82"/>
      <c r="C94" s="83"/>
      <c r="D94" s="83"/>
      <c r="E94" s="83"/>
      <c r="F94" s="82"/>
      <c r="G94" s="82"/>
      <c r="H94" s="82"/>
      <c r="I94" s="82"/>
      <c r="J94" s="82"/>
      <c r="K94" s="82"/>
      <c r="L94" s="82"/>
      <c r="M94" s="82"/>
      <c r="N94" s="82"/>
    </row>
    <row r="95">
      <c r="A95" s="11"/>
      <c r="B95" s="82"/>
      <c r="C95" s="83"/>
      <c r="D95" s="83"/>
      <c r="E95" s="83"/>
      <c r="F95" s="82"/>
      <c r="G95" s="82"/>
      <c r="H95" s="82"/>
      <c r="I95" s="82"/>
      <c r="J95" s="82"/>
      <c r="K95" s="82"/>
      <c r="L95" s="82"/>
      <c r="M95" s="82"/>
      <c r="N95" s="82"/>
    </row>
    <row r="96">
      <c r="A96" s="11"/>
      <c r="B96" s="84"/>
      <c r="C96" s="85"/>
      <c r="D96" s="85"/>
      <c r="E96" s="85"/>
      <c r="F96" s="84"/>
      <c r="G96" s="84"/>
      <c r="H96" s="84"/>
      <c r="I96" s="84"/>
      <c r="J96" s="84"/>
      <c r="K96" s="84"/>
      <c r="L96" s="84"/>
      <c r="M96" s="84"/>
      <c r="N96" s="84"/>
    </row>
    <row r="97">
      <c r="A97" s="11"/>
      <c r="B97" s="84"/>
      <c r="C97" s="85"/>
      <c r="D97" s="85"/>
      <c r="E97" s="85"/>
      <c r="F97" s="84"/>
      <c r="G97" s="84"/>
      <c r="H97" s="84"/>
      <c r="I97" s="84"/>
      <c r="J97" s="84"/>
      <c r="K97" s="84"/>
      <c r="L97" s="84"/>
      <c r="M97" s="84"/>
      <c r="N97" s="84"/>
    </row>
    <row r="98">
      <c r="A98" s="11"/>
      <c r="B98" s="84"/>
      <c r="C98" s="85"/>
      <c r="D98" s="85"/>
      <c r="E98" s="85"/>
      <c r="F98" s="84"/>
      <c r="G98" s="84"/>
      <c r="H98" s="84"/>
      <c r="I98" s="84"/>
      <c r="J98" s="84"/>
      <c r="K98" s="84"/>
      <c r="L98" s="84"/>
      <c r="M98" s="84"/>
      <c r="N98" s="84"/>
    </row>
    <row r="99">
      <c r="A99" s="11"/>
      <c r="B99" s="84"/>
      <c r="C99" s="85"/>
      <c r="D99" s="85"/>
      <c r="E99" s="85"/>
      <c r="F99" s="84"/>
      <c r="G99" s="84"/>
      <c r="H99" s="84"/>
      <c r="I99" s="84"/>
      <c r="J99" s="84"/>
      <c r="K99" s="84"/>
      <c r="L99" s="84"/>
      <c r="M99" s="84"/>
      <c r="N99" s="84"/>
    </row>
    <row r="100">
      <c r="A100" s="11"/>
      <c r="B100" s="84"/>
      <c r="C100" s="83"/>
      <c r="D100" s="83"/>
      <c r="E100" s="83"/>
      <c r="F100" s="82"/>
      <c r="G100" s="82"/>
      <c r="H100" s="82"/>
      <c r="I100" s="82"/>
      <c r="J100" s="82"/>
      <c r="K100" s="82"/>
      <c r="L100" s="82"/>
      <c r="M100" s="82"/>
      <c r="N100" s="82"/>
    </row>
    <row r="101">
      <c r="A101" s="11"/>
      <c r="B101" s="84"/>
      <c r="C101" s="83"/>
      <c r="D101" s="83"/>
      <c r="E101" s="83"/>
      <c r="F101" s="82"/>
      <c r="G101" s="82"/>
      <c r="H101" s="82"/>
      <c r="I101" s="82"/>
      <c r="J101" s="82"/>
      <c r="K101" s="82"/>
      <c r="L101" s="82"/>
      <c r="M101" s="82"/>
      <c r="N101" s="82"/>
    </row>
    <row r="102">
      <c r="A102" s="11"/>
      <c r="B102" s="82"/>
      <c r="C102" s="83"/>
      <c r="D102" s="83"/>
      <c r="E102" s="83"/>
      <c r="F102" s="82"/>
      <c r="G102" s="82"/>
      <c r="H102" s="82"/>
      <c r="I102" s="82"/>
      <c r="J102" s="82"/>
      <c r="K102" s="82"/>
      <c r="L102" s="82"/>
      <c r="M102" s="82"/>
      <c r="N102" s="82"/>
    </row>
    <row r="103">
      <c r="A103" s="11"/>
      <c r="B103" s="82"/>
      <c r="C103" s="83"/>
      <c r="D103" s="83"/>
      <c r="E103" s="83"/>
      <c r="F103" s="82"/>
      <c r="G103" s="82"/>
      <c r="H103" s="82"/>
      <c r="I103" s="82"/>
      <c r="J103" s="82"/>
      <c r="K103" s="82"/>
      <c r="L103" s="82"/>
      <c r="M103" s="82"/>
      <c r="N103" s="82"/>
    </row>
    <row r="104">
      <c r="A104" s="11"/>
      <c r="B104" s="84"/>
      <c r="C104" s="85"/>
      <c r="D104" s="85"/>
      <c r="E104" s="85"/>
      <c r="F104" s="84"/>
      <c r="G104" s="84"/>
      <c r="H104" s="84"/>
      <c r="I104" s="84"/>
      <c r="J104" s="84"/>
      <c r="K104" s="84"/>
      <c r="L104" s="84"/>
      <c r="M104" s="84"/>
      <c r="N104" s="84"/>
    </row>
    <row r="105">
      <c r="A105" s="11"/>
      <c r="B105" s="84"/>
      <c r="C105" s="85"/>
      <c r="D105" s="85"/>
      <c r="E105" s="85"/>
      <c r="F105" s="84"/>
      <c r="G105" s="84"/>
      <c r="H105" s="84"/>
      <c r="I105" s="84"/>
      <c r="J105" s="84"/>
      <c r="K105" s="84"/>
      <c r="L105" s="84"/>
      <c r="M105" s="84"/>
      <c r="N105" s="84"/>
    </row>
    <row r="106">
      <c r="A106" s="11"/>
      <c r="B106" s="84"/>
      <c r="C106" s="85"/>
      <c r="D106" s="85"/>
      <c r="E106" s="85"/>
      <c r="F106" s="84"/>
      <c r="G106" s="84"/>
      <c r="H106" s="84"/>
      <c r="I106" s="84"/>
      <c r="J106" s="84"/>
      <c r="K106" s="84"/>
      <c r="L106" s="84"/>
      <c r="M106" s="84"/>
      <c r="N106" s="84"/>
    </row>
    <row r="107">
      <c r="A107" s="11"/>
      <c r="B107" s="84"/>
      <c r="C107" s="85"/>
      <c r="D107" s="85"/>
      <c r="E107" s="85"/>
      <c r="F107" s="84"/>
      <c r="G107" s="84"/>
      <c r="H107" s="84"/>
      <c r="I107" s="84"/>
      <c r="J107" s="84"/>
      <c r="K107" s="84"/>
      <c r="L107" s="84"/>
      <c r="M107" s="84"/>
      <c r="N107" s="84"/>
    </row>
    <row r="108">
      <c r="A108" s="11"/>
      <c r="B108" s="82"/>
      <c r="C108" s="83"/>
      <c r="D108" s="83"/>
      <c r="E108" s="83"/>
      <c r="F108" s="82"/>
      <c r="G108" s="82"/>
      <c r="H108" s="82"/>
      <c r="I108" s="82"/>
      <c r="J108" s="82"/>
      <c r="K108" s="82"/>
      <c r="L108" s="82"/>
      <c r="M108" s="82"/>
      <c r="N108" s="82"/>
    </row>
    <row r="109">
      <c r="A109" s="11"/>
      <c r="B109" s="82"/>
      <c r="C109" s="83"/>
      <c r="D109" s="83"/>
      <c r="E109" s="83"/>
      <c r="F109" s="82"/>
      <c r="G109" s="82"/>
      <c r="H109" s="82"/>
      <c r="I109" s="82"/>
      <c r="J109" s="82"/>
      <c r="K109" s="82"/>
      <c r="L109" s="82"/>
      <c r="M109" s="82"/>
      <c r="N109" s="82"/>
    </row>
    <row r="110">
      <c r="A110" s="11"/>
      <c r="B110" s="82"/>
      <c r="C110" s="83"/>
      <c r="D110" s="83"/>
      <c r="E110" s="83"/>
      <c r="F110" s="82"/>
      <c r="G110" s="82"/>
      <c r="H110" s="82"/>
      <c r="I110" s="82"/>
      <c r="J110" s="82"/>
      <c r="K110" s="82"/>
      <c r="L110" s="82"/>
      <c r="M110" s="82"/>
      <c r="N110" s="82"/>
    </row>
    <row r="111">
      <c r="A111" s="11"/>
      <c r="B111" s="82"/>
      <c r="C111" s="83"/>
      <c r="D111" s="83"/>
      <c r="E111" s="83"/>
      <c r="F111" s="82"/>
      <c r="G111" s="82"/>
      <c r="H111" s="82"/>
      <c r="I111" s="82"/>
      <c r="J111" s="82"/>
      <c r="K111" s="82"/>
      <c r="L111" s="82"/>
      <c r="M111" s="82"/>
      <c r="N111" s="82"/>
    </row>
    <row r="112">
      <c r="A112" s="11"/>
      <c r="B112" s="84"/>
      <c r="C112" s="85"/>
      <c r="D112" s="85"/>
      <c r="E112" s="85"/>
      <c r="F112" s="84"/>
      <c r="G112" s="84"/>
      <c r="H112" s="84"/>
      <c r="I112" s="84"/>
      <c r="J112" s="84"/>
      <c r="K112" s="84"/>
      <c r="L112" s="84"/>
      <c r="M112" s="84"/>
      <c r="N112" s="84"/>
    </row>
    <row r="113">
      <c r="A113" s="11"/>
      <c r="B113" s="84"/>
      <c r="C113" s="85"/>
      <c r="D113" s="85"/>
      <c r="E113" s="85"/>
      <c r="F113" s="84"/>
      <c r="G113" s="84"/>
      <c r="H113" s="84"/>
      <c r="I113" s="84"/>
      <c r="J113" s="84"/>
      <c r="K113" s="84"/>
      <c r="L113" s="84"/>
      <c r="M113" s="84"/>
      <c r="N113" s="84"/>
    </row>
    <row r="114">
      <c r="A114" s="11"/>
      <c r="B114" s="84"/>
      <c r="C114" s="85"/>
      <c r="D114" s="85"/>
      <c r="E114" s="85"/>
      <c r="F114" s="84"/>
      <c r="G114" s="84"/>
      <c r="H114" s="84"/>
      <c r="I114" s="84"/>
      <c r="J114" s="84"/>
      <c r="K114" s="84"/>
      <c r="L114" s="84"/>
      <c r="M114" s="84"/>
      <c r="N114" s="84"/>
    </row>
    <row r="115">
      <c r="A115" s="11"/>
      <c r="B115" s="84"/>
      <c r="C115" s="85"/>
      <c r="D115" s="85"/>
      <c r="E115" s="85"/>
      <c r="F115" s="84"/>
      <c r="G115" s="84"/>
      <c r="H115" s="84"/>
      <c r="I115" s="84"/>
      <c r="J115" s="84"/>
      <c r="K115" s="84"/>
      <c r="L115" s="84"/>
      <c r="M115" s="84"/>
      <c r="N115" s="84"/>
    </row>
    <row r="116">
      <c r="A116" s="11"/>
      <c r="B116" s="82"/>
      <c r="C116" s="83"/>
      <c r="D116" s="83"/>
      <c r="E116" s="83"/>
      <c r="F116" s="82"/>
      <c r="G116" s="82"/>
      <c r="H116" s="82"/>
      <c r="I116" s="82"/>
      <c r="J116" s="82"/>
      <c r="K116" s="82"/>
      <c r="L116" s="82"/>
      <c r="M116" s="82"/>
      <c r="N116" s="82"/>
    </row>
    <row r="117">
      <c r="A117" s="11"/>
      <c r="B117" s="82"/>
      <c r="C117" s="83"/>
      <c r="D117" s="83"/>
      <c r="E117" s="83"/>
      <c r="F117" s="82"/>
      <c r="G117" s="82"/>
      <c r="H117" s="82"/>
      <c r="I117" s="82"/>
      <c r="J117" s="82"/>
      <c r="K117" s="82"/>
      <c r="L117" s="82"/>
      <c r="M117" s="82"/>
      <c r="N117" s="82"/>
    </row>
    <row r="118">
      <c r="A118" s="11"/>
      <c r="B118" s="82"/>
      <c r="C118" s="83"/>
      <c r="D118" s="83"/>
      <c r="E118" s="83"/>
      <c r="F118" s="82"/>
      <c r="G118" s="82"/>
      <c r="H118" s="82"/>
      <c r="I118" s="82"/>
      <c r="J118" s="82"/>
      <c r="K118" s="82"/>
      <c r="L118" s="82"/>
      <c r="M118" s="82"/>
      <c r="N118" s="82"/>
    </row>
    <row r="119">
      <c r="A119" s="11"/>
      <c r="B119" s="82"/>
      <c r="C119" s="83"/>
      <c r="D119" s="83"/>
      <c r="E119" s="83"/>
      <c r="F119" s="82"/>
      <c r="G119" s="82"/>
      <c r="H119" s="82"/>
      <c r="I119" s="82"/>
      <c r="J119" s="82"/>
      <c r="K119" s="82"/>
      <c r="L119" s="82"/>
      <c r="M119" s="82"/>
      <c r="N119" s="82"/>
    </row>
    <row r="120">
      <c r="A120" s="11"/>
      <c r="B120" s="84"/>
      <c r="C120" s="85"/>
      <c r="D120" s="85"/>
      <c r="E120" s="85"/>
      <c r="F120" s="84"/>
      <c r="G120" s="84"/>
      <c r="H120" s="84"/>
      <c r="I120" s="84"/>
      <c r="J120" s="84"/>
      <c r="K120" s="84"/>
      <c r="L120" s="84"/>
      <c r="M120" s="84"/>
      <c r="N120" s="84"/>
    </row>
    <row r="121">
      <c r="A121" s="11"/>
      <c r="B121" s="84"/>
      <c r="C121" s="85"/>
      <c r="D121" s="85"/>
      <c r="E121" s="85"/>
      <c r="F121" s="84"/>
      <c r="G121" s="84"/>
      <c r="H121" s="84"/>
      <c r="I121" s="84"/>
      <c r="J121" s="84"/>
      <c r="K121" s="84"/>
      <c r="L121" s="84"/>
      <c r="M121" s="84"/>
      <c r="N121" s="84"/>
    </row>
    <row r="122">
      <c r="A122" s="11"/>
      <c r="B122" s="84"/>
      <c r="C122" s="85"/>
      <c r="D122" s="85"/>
      <c r="E122" s="85"/>
      <c r="F122" s="84"/>
      <c r="G122" s="84"/>
      <c r="H122" s="84"/>
      <c r="I122" s="84"/>
      <c r="J122" s="84"/>
      <c r="K122" s="84"/>
      <c r="L122" s="84"/>
      <c r="M122" s="84"/>
      <c r="N122" s="84"/>
    </row>
    <row r="123">
      <c r="A123" s="11"/>
      <c r="B123" s="84"/>
      <c r="C123" s="85"/>
      <c r="D123" s="85"/>
      <c r="E123" s="85"/>
      <c r="F123" s="84"/>
      <c r="G123" s="84"/>
      <c r="H123" s="84"/>
      <c r="I123" s="84"/>
      <c r="J123" s="84"/>
      <c r="K123" s="84"/>
      <c r="L123" s="84"/>
      <c r="M123" s="84"/>
      <c r="N123" s="84"/>
    </row>
    <row r="124">
      <c r="A124" s="11"/>
      <c r="C124" s="11"/>
      <c r="D124" s="11"/>
      <c r="E124" s="11"/>
    </row>
    <row r="125">
      <c r="A125" s="11"/>
      <c r="C125" s="11"/>
      <c r="D125" s="11"/>
      <c r="E125" s="11"/>
    </row>
    <row r="126">
      <c r="A126" s="11"/>
      <c r="C126" s="11"/>
      <c r="D126" s="11"/>
      <c r="E126" s="11"/>
    </row>
    <row r="127">
      <c r="A127" s="11"/>
      <c r="C127" s="11"/>
      <c r="D127" s="11"/>
      <c r="E127" s="11"/>
    </row>
    <row r="128">
      <c r="A128" s="11"/>
      <c r="C128" s="11"/>
      <c r="D128" s="11"/>
      <c r="E128" s="11"/>
    </row>
    <row r="129">
      <c r="A129" s="11"/>
      <c r="C129" s="11"/>
      <c r="D129" s="11"/>
      <c r="E129" s="11"/>
    </row>
    <row r="130">
      <c r="A130" s="11"/>
      <c r="C130" s="11"/>
      <c r="D130" s="11"/>
      <c r="E130" s="11"/>
    </row>
    <row r="131">
      <c r="A131" s="11"/>
      <c r="C131" s="11"/>
      <c r="D131" s="11"/>
      <c r="E131" s="11"/>
    </row>
    <row r="132">
      <c r="A132" s="11"/>
      <c r="C132" s="11"/>
      <c r="D132" s="11"/>
      <c r="E132" s="11"/>
    </row>
    <row r="133">
      <c r="A133" s="11"/>
      <c r="C133" s="11"/>
      <c r="D133" s="11"/>
      <c r="E133" s="11"/>
    </row>
    <row r="134">
      <c r="A134" s="11"/>
      <c r="B134" s="10" t="s">
        <v>166</v>
      </c>
      <c r="C134" s="11"/>
      <c r="D134" s="11"/>
      <c r="E134" s="11"/>
    </row>
    <row r="135">
      <c r="A135" s="11"/>
      <c r="B135" s="27" t="s">
        <v>31</v>
      </c>
      <c r="C135" s="29" t="s">
        <v>2</v>
      </c>
      <c r="D135" s="29" t="s">
        <v>4</v>
      </c>
      <c r="E135" s="29" t="s">
        <v>33</v>
      </c>
      <c r="F135" s="29" t="s">
        <v>35</v>
      </c>
      <c r="G135" s="29" t="s">
        <v>36</v>
      </c>
      <c r="H135" s="29" t="s">
        <v>6</v>
      </c>
      <c r="I135" s="29" t="s">
        <v>7</v>
      </c>
      <c r="J135" s="29" t="s">
        <v>8</v>
      </c>
      <c r="K135" s="29" t="s">
        <v>2</v>
      </c>
      <c r="L135" s="29" t="s">
        <v>4</v>
      </c>
      <c r="M135" s="28" t="s">
        <v>2</v>
      </c>
      <c r="N135" s="28" t="s">
        <v>4</v>
      </c>
    </row>
    <row r="136">
      <c r="A136" s="11"/>
      <c r="B136" s="82" t="str">
        <f>IFERROR(__xludf.DUMMYFUNCTION("QUERY(B5:N69, ""Select B, C, D, E, F, G, H, I, J, K, L, M, N   where F = 0"")"),"Adrian Tay")</f>
        <v>Adrian Tay</v>
      </c>
      <c r="C136" s="83"/>
      <c r="D136" s="83"/>
      <c r="E136" s="86">
        <f>IFERROR(__xludf.DUMMYFUNCTION("""COMPUTED_VALUE"""),0.0)</f>
        <v>0</v>
      </c>
      <c r="F136" s="88">
        <f>IFERROR(__xludf.DUMMYFUNCTION("""COMPUTED_VALUE"""),0.0)</f>
        <v>0</v>
      </c>
      <c r="G136" s="88">
        <f>IFERROR(__xludf.DUMMYFUNCTION("""COMPUTED_VALUE"""),0.0)</f>
        <v>0</v>
      </c>
      <c r="H136" s="88">
        <f>IFERROR(__xludf.DUMMYFUNCTION("""COMPUTED_VALUE"""),0.0)</f>
        <v>0</v>
      </c>
      <c r="I136" s="88">
        <f>IFERROR(__xludf.DUMMYFUNCTION("""COMPUTED_VALUE"""),0.0)</f>
        <v>0</v>
      </c>
      <c r="J136" s="88">
        <f>IFERROR(__xludf.DUMMYFUNCTION("""COMPUTED_VALUE"""),0.0)</f>
        <v>0</v>
      </c>
      <c r="K136" s="88">
        <f>IFERROR(__xludf.DUMMYFUNCTION("""COMPUTED_VALUE"""),0.0)</f>
        <v>0</v>
      </c>
      <c r="L136" s="88">
        <f>IFERROR(__xludf.DUMMYFUNCTION("""COMPUTED_VALUE"""),0.0)</f>
        <v>0</v>
      </c>
      <c r="M136" s="88">
        <f>IFERROR(__xludf.DUMMYFUNCTION("""COMPUTED_VALUE"""),0.0)</f>
        <v>0</v>
      </c>
      <c r="N136" s="89">
        <f>IFERROR(__xludf.DUMMYFUNCTION("""COMPUTED_VALUE"""),0.0)</f>
        <v>0</v>
      </c>
    </row>
    <row r="137">
      <c r="A137" s="11"/>
      <c r="B137" s="82" t="str">
        <f>IFERROR(__xludf.DUMMYFUNCTION("""COMPUTED_VALUE"""),"Peter Cheng")</f>
        <v>Peter Cheng</v>
      </c>
      <c r="C137" s="83"/>
      <c r="D137" s="83"/>
      <c r="E137" s="86">
        <f>IFERROR(__xludf.DUMMYFUNCTION("""COMPUTED_VALUE"""),0.0)</f>
        <v>0</v>
      </c>
      <c r="F137" s="88">
        <f>IFERROR(__xludf.DUMMYFUNCTION("""COMPUTED_VALUE"""),0.0)</f>
        <v>0</v>
      </c>
      <c r="G137" s="88">
        <f>IFERROR(__xludf.DUMMYFUNCTION("""COMPUTED_VALUE"""),0.0)</f>
        <v>0</v>
      </c>
      <c r="H137" s="88">
        <f>IFERROR(__xludf.DUMMYFUNCTION("""COMPUTED_VALUE"""),0.0)</f>
        <v>0</v>
      </c>
      <c r="I137" s="88">
        <f>IFERROR(__xludf.DUMMYFUNCTION("""COMPUTED_VALUE"""),0.0)</f>
        <v>0</v>
      </c>
      <c r="J137" s="88">
        <f>IFERROR(__xludf.DUMMYFUNCTION("""COMPUTED_VALUE"""),0.0)</f>
        <v>0</v>
      </c>
      <c r="K137" s="88">
        <f>IFERROR(__xludf.DUMMYFUNCTION("""COMPUTED_VALUE"""),0.0)</f>
        <v>0</v>
      </c>
      <c r="L137" s="88">
        <f>IFERROR(__xludf.DUMMYFUNCTION("""COMPUTED_VALUE"""),0.0)</f>
        <v>0</v>
      </c>
      <c r="M137" s="88">
        <f>IFERROR(__xludf.DUMMYFUNCTION("""COMPUTED_VALUE"""),0.0)</f>
        <v>0</v>
      </c>
      <c r="N137" s="89">
        <f>IFERROR(__xludf.DUMMYFUNCTION("""COMPUTED_VALUE"""),0.0)</f>
        <v>0</v>
      </c>
    </row>
    <row r="138">
      <c r="A138" s="11"/>
      <c r="B138" s="82" t="str">
        <f>IFERROR(__xludf.DUMMYFUNCTION("""COMPUTED_VALUE"""),"Christopher Li")</f>
        <v>Christopher Li</v>
      </c>
      <c r="C138" s="83"/>
      <c r="D138" s="83"/>
      <c r="E138" s="86">
        <f>IFERROR(__xludf.DUMMYFUNCTION("""COMPUTED_VALUE"""),0.0)</f>
        <v>0</v>
      </c>
      <c r="F138" s="88">
        <f>IFERROR(__xludf.DUMMYFUNCTION("""COMPUTED_VALUE"""),0.0)</f>
        <v>0</v>
      </c>
      <c r="G138" s="88">
        <f>IFERROR(__xludf.DUMMYFUNCTION("""COMPUTED_VALUE"""),0.0)</f>
        <v>0</v>
      </c>
      <c r="H138" s="88">
        <f>IFERROR(__xludf.DUMMYFUNCTION("""COMPUTED_VALUE"""),0.0)</f>
        <v>0</v>
      </c>
      <c r="I138" s="88">
        <f>IFERROR(__xludf.DUMMYFUNCTION("""COMPUTED_VALUE"""),0.0)</f>
        <v>0</v>
      </c>
      <c r="J138" s="88">
        <f>IFERROR(__xludf.DUMMYFUNCTION("""COMPUTED_VALUE"""),0.0)</f>
        <v>0</v>
      </c>
      <c r="K138" s="88">
        <f>IFERROR(__xludf.DUMMYFUNCTION("""COMPUTED_VALUE"""),0.0)</f>
        <v>0</v>
      </c>
      <c r="L138" s="88">
        <f>IFERROR(__xludf.DUMMYFUNCTION("""COMPUTED_VALUE"""),0.0)</f>
        <v>0</v>
      </c>
      <c r="M138" s="88">
        <f>IFERROR(__xludf.DUMMYFUNCTION("""COMPUTED_VALUE"""),0.0)</f>
        <v>0</v>
      </c>
      <c r="N138" s="89">
        <f>IFERROR(__xludf.DUMMYFUNCTION("""COMPUTED_VALUE"""),0.0)</f>
        <v>0</v>
      </c>
    </row>
    <row r="139">
      <c r="A139" s="11"/>
      <c r="B139" s="82" t="str">
        <f>IFERROR(__xludf.DUMMYFUNCTION("""COMPUTED_VALUE"""),"Suleman Alidina")</f>
        <v>Suleman Alidina</v>
      </c>
      <c r="C139" s="83"/>
      <c r="D139" s="83"/>
      <c r="E139" s="86">
        <f>IFERROR(__xludf.DUMMYFUNCTION("""COMPUTED_VALUE"""),0.0)</f>
        <v>0</v>
      </c>
      <c r="F139" s="88">
        <f>IFERROR(__xludf.DUMMYFUNCTION("""COMPUTED_VALUE"""),0.0)</f>
        <v>0</v>
      </c>
      <c r="G139" s="88">
        <f>IFERROR(__xludf.DUMMYFUNCTION("""COMPUTED_VALUE"""),0.0)</f>
        <v>0</v>
      </c>
      <c r="H139" s="88">
        <f>IFERROR(__xludf.DUMMYFUNCTION("""COMPUTED_VALUE"""),0.0)</f>
        <v>0</v>
      </c>
      <c r="I139" s="88">
        <f>IFERROR(__xludf.DUMMYFUNCTION("""COMPUTED_VALUE"""),0.0)</f>
        <v>0</v>
      </c>
      <c r="J139" s="88">
        <f>IFERROR(__xludf.DUMMYFUNCTION("""COMPUTED_VALUE"""),0.0)</f>
        <v>0</v>
      </c>
      <c r="K139" s="88">
        <f>IFERROR(__xludf.DUMMYFUNCTION("""COMPUTED_VALUE"""),0.0)</f>
        <v>0</v>
      </c>
      <c r="L139" s="88">
        <f>IFERROR(__xludf.DUMMYFUNCTION("""COMPUTED_VALUE"""),0.0)</f>
        <v>0</v>
      </c>
      <c r="M139" s="88">
        <f>IFERROR(__xludf.DUMMYFUNCTION("""COMPUTED_VALUE"""),0.0)</f>
        <v>0</v>
      </c>
      <c r="N139" s="89">
        <f>IFERROR(__xludf.DUMMYFUNCTION("""COMPUTED_VALUE"""),0.0)</f>
        <v>0</v>
      </c>
    </row>
    <row r="140">
      <c r="A140" s="11"/>
      <c r="B140" s="82" t="str">
        <f>IFERROR(__xludf.DUMMYFUNCTION("""COMPUTED_VALUE"""),"Luis Hsu")</f>
        <v>Luis Hsu</v>
      </c>
      <c r="C140" s="83"/>
      <c r="D140" s="83"/>
      <c r="E140" s="86">
        <f>IFERROR(__xludf.DUMMYFUNCTION("""COMPUTED_VALUE"""),0.0)</f>
        <v>0</v>
      </c>
      <c r="F140" s="88">
        <f>IFERROR(__xludf.DUMMYFUNCTION("""COMPUTED_VALUE"""),0.0)</f>
        <v>0</v>
      </c>
      <c r="G140" s="88">
        <f>IFERROR(__xludf.DUMMYFUNCTION("""COMPUTED_VALUE"""),0.0)</f>
        <v>0</v>
      </c>
      <c r="H140" s="88">
        <f>IFERROR(__xludf.DUMMYFUNCTION("""COMPUTED_VALUE"""),0.0)</f>
        <v>0</v>
      </c>
      <c r="I140" s="88">
        <f>IFERROR(__xludf.DUMMYFUNCTION("""COMPUTED_VALUE"""),0.0)</f>
        <v>0</v>
      </c>
      <c r="J140" s="88">
        <f>IFERROR(__xludf.DUMMYFUNCTION("""COMPUTED_VALUE"""),0.0)</f>
        <v>0</v>
      </c>
      <c r="K140" s="88">
        <f>IFERROR(__xludf.DUMMYFUNCTION("""COMPUTED_VALUE"""),0.0)</f>
        <v>0</v>
      </c>
      <c r="L140" s="88">
        <f>IFERROR(__xludf.DUMMYFUNCTION("""COMPUTED_VALUE"""),0.0)</f>
        <v>0</v>
      </c>
      <c r="M140" s="88">
        <f>IFERROR(__xludf.DUMMYFUNCTION("""COMPUTED_VALUE"""),0.0)</f>
        <v>0</v>
      </c>
      <c r="N140" s="89">
        <f>IFERROR(__xludf.DUMMYFUNCTION("""COMPUTED_VALUE"""),0.0)</f>
        <v>0</v>
      </c>
    </row>
    <row r="141">
      <c r="A141" s="11"/>
      <c r="B141" s="82" t="str">
        <f>IFERROR(__xludf.DUMMYFUNCTION("""COMPUTED_VALUE"""),"Peter Homsey")</f>
        <v>Peter Homsey</v>
      </c>
      <c r="C141" s="83"/>
      <c r="D141" s="83"/>
      <c r="E141" s="86">
        <f>IFERROR(__xludf.DUMMYFUNCTION("""COMPUTED_VALUE"""),0.0)</f>
        <v>0</v>
      </c>
      <c r="F141" s="88">
        <f>IFERROR(__xludf.DUMMYFUNCTION("""COMPUTED_VALUE"""),0.0)</f>
        <v>0</v>
      </c>
      <c r="G141" s="88">
        <f>IFERROR(__xludf.DUMMYFUNCTION("""COMPUTED_VALUE"""),0.0)</f>
        <v>0</v>
      </c>
      <c r="H141" s="88">
        <f>IFERROR(__xludf.DUMMYFUNCTION("""COMPUTED_VALUE"""),0.0)</f>
        <v>0</v>
      </c>
      <c r="I141" s="88">
        <f>IFERROR(__xludf.DUMMYFUNCTION("""COMPUTED_VALUE"""),0.0)</f>
        <v>0</v>
      </c>
      <c r="J141" s="88">
        <f>IFERROR(__xludf.DUMMYFUNCTION("""COMPUTED_VALUE"""),0.0)</f>
        <v>0</v>
      </c>
      <c r="K141" s="88">
        <f>IFERROR(__xludf.DUMMYFUNCTION("""COMPUTED_VALUE"""),0.0)</f>
        <v>0</v>
      </c>
      <c r="L141" s="88">
        <f>IFERROR(__xludf.DUMMYFUNCTION("""COMPUTED_VALUE"""),0.0)</f>
        <v>0</v>
      </c>
      <c r="M141" s="88">
        <f>IFERROR(__xludf.DUMMYFUNCTION("""COMPUTED_VALUE"""),0.0)</f>
        <v>0</v>
      </c>
      <c r="N141" s="89">
        <f>IFERROR(__xludf.DUMMYFUNCTION("""COMPUTED_VALUE"""),0.0)</f>
        <v>0</v>
      </c>
    </row>
    <row r="142">
      <c r="A142" s="11"/>
      <c r="B142" s="82" t="str">
        <f>IFERROR(__xludf.DUMMYFUNCTION("""COMPUTED_VALUE"""),"Lam Bui")</f>
        <v>Lam Bui</v>
      </c>
      <c r="C142" s="83"/>
      <c r="D142" s="83"/>
      <c r="E142" s="86">
        <f>IFERROR(__xludf.DUMMYFUNCTION("""COMPUTED_VALUE"""),0.0)</f>
        <v>0</v>
      </c>
      <c r="F142" s="88">
        <f>IFERROR(__xludf.DUMMYFUNCTION("""COMPUTED_VALUE"""),0.0)</f>
        <v>0</v>
      </c>
      <c r="G142" s="88">
        <f>IFERROR(__xludf.DUMMYFUNCTION("""COMPUTED_VALUE"""),0.0)</f>
        <v>0</v>
      </c>
      <c r="H142" s="88">
        <f>IFERROR(__xludf.DUMMYFUNCTION("""COMPUTED_VALUE"""),0.0)</f>
        <v>0</v>
      </c>
      <c r="I142" s="88">
        <f>IFERROR(__xludf.DUMMYFUNCTION("""COMPUTED_VALUE"""),0.0)</f>
        <v>0</v>
      </c>
      <c r="J142" s="88">
        <f>IFERROR(__xludf.DUMMYFUNCTION("""COMPUTED_VALUE"""),0.0)</f>
        <v>0</v>
      </c>
      <c r="K142" s="88">
        <f>IFERROR(__xludf.DUMMYFUNCTION("""COMPUTED_VALUE"""),0.0)</f>
        <v>0</v>
      </c>
      <c r="L142" s="88">
        <f>IFERROR(__xludf.DUMMYFUNCTION("""COMPUTED_VALUE"""),0.0)</f>
        <v>0</v>
      </c>
      <c r="M142" s="88">
        <f>IFERROR(__xludf.DUMMYFUNCTION("""COMPUTED_VALUE"""),0.0)</f>
        <v>0</v>
      </c>
      <c r="N142" s="89">
        <f>IFERROR(__xludf.DUMMYFUNCTION("""COMPUTED_VALUE"""),0.0)</f>
        <v>0</v>
      </c>
    </row>
    <row r="143">
      <c r="A143" s="11"/>
      <c r="B143" s="82" t="str">
        <f>IFERROR(__xludf.DUMMYFUNCTION("""COMPUTED_VALUE"""),"David Shin")</f>
        <v>David Shin</v>
      </c>
      <c r="C143" s="83"/>
      <c r="D143" s="83"/>
      <c r="E143" s="86">
        <f>IFERROR(__xludf.DUMMYFUNCTION("""COMPUTED_VALUE"""),0.0)</f>
        <v>0</v>
      </c>
      <c r="F143" s="88">
        <f>IFERROR(__xludf.DUMMYFUNCTION("""COMPUTED_VALUE"""),0.0)</f>
        <v>0</v>
      </c>
      <c r="G143" s="88">
        <f>IFERROR(__xludf.DUMMYFUNCTION("""COMPUTED_VALUE"""),0.0)</f>
        <v>0</v>
      </c>
      <c r="H143" s="88">
        <f>IFERROR(__xludf.DUMMYFUNCTION("""COMPUTED_VALUE"""),0.0)</f>
        <v>0</v>
      </c>
      <c r="I143" s="88">
        <f>IFERROR(__xludf.DUMMYFUNCTION("""COMPUTED_VALUE"""),0.0)</f>
        <v>0</v>
      </c>
      <c r="J143" s="88">
        <f>IFERROR(__xludf.DUMMYFUNCTION("""COMPUTED_VALUE"""),0.0)</f>
        <v>0</v>
      </c>
      <c r="K143" s="88">
        <f>IFERROR(__xludf.DUMMYFUNCTION("""COMPUTED_VALUE"""),0.0)</f>
        <v>0</v>
      </c>
      <c r="L143" s="88">
        <f>IFERROR(__xludf.DUMMYFUNCTION("""COMPUTED_VALUE"""),0.0)</f>
        <v>0</v>
      </c>
      <c r="M143" s="88">
        <f>IFERROR(__xludf.DUMMYFUNCTION("""COMPUTED_VALUE"""),0.0)</f>
        <v>0</v>
      </c>
      <c r="N143" s="89">
        <f>IFERROR(__xludf.DUMMYFUNCTION("""COMPUTED_VALUE"""),0.0)</f>
        <v>0</v>
      </c>
    </row>
    <row r="144">
      <c r="A144" s="11"/>
      <c r="B144" s="82" t="str">
        <f>IFERROR(__xludf.DUMMYFUNCTION("""COMPUTED_VALUE"""),"Jonathan Phan")</f>
        <v>Jonathan Phan</v>
      </c>
      <c r="C144" s="83"/>
      <c r="D144" s="83"/>
      <c r="E144" s="86">
        <f>IFERROR(__xludf.DUMMYFUNCTION("""COMPUTED_VALUE"""),0.0)</f>
        <v>0</v>
      </c>
      <c r="F144" s="88">
        <f>IFERROR(__xludf.DUMMYFUNCTION("""COMPUTED_VALUE"""),0.0)</f>
        <v>0</v>
      </c>
      <c r="G144" s="88">
        <f>IFERROR(__xludf.DUMMYFUNCTION("""COMPUTED_VALUE"""),0.0)</f>
        <v>0</v>
      </c>
      <c r="H144" s="88">
        <f>IFERROR(__xludf.DUMMYFUNCTION("""COMPUTED_VALUE"""),0.0)</f>
        <v>0</v>
      </c>
      <c r="I144" s="88">
        <f>IFERROR(__xludf.DUMMYFUNCTION("""COMPUTED_VALUE"""),0.0)</f>
        <v>0</v>
      </c>
      <c r="J144" s="88">
        <f>IFERROR(__xludf.DUMMYFUNCTION("""COMPUTED_VALUE"""),0.0)</f>
        <v>0</v>
      </c>
      <c r="K144" s="88">
        <f>IFERROR(__xludf.DUMMYFUNCTION("""COMPUTED_VALUE"""),0.0)</f>
        <v>0</v>
      </c>
      <c r="L144" s="88">
        <f>IFERROR(__xludf.DUMMYFUNCTION("""COMPUTED_VALUE"""),0.0)</f>
        <v>0</v>
      </c>
      <c r="M144" s="88">
        <f>IFERROR(__xludf.DUMMYFUNCTION("""COMPUTED_VALUE"""),0.0)</f>
        <v>0</v>
      </c>
      <c r="N144" s="89">
        <f>IFERROR(__xludf.DUMMYFUNCTION("""COMPUTED_VALUE"""),0.0)</f>
        <v>0</v>
      </c>
    </row>
    <row r="145">
      <c r="A145" s="11"/>
      <c r="B145" s="82" t="str">
        <f>IFERROR(__xludf.DUMMYFUNCTION("""COMPUTED_VALUE"""),"Ted Shen")</f>
        <v>Ted Shen</v>
      </c>
      <c r="C145" s="83"/>
      <c r="D145" s="83"/>
      <c r="E145" s="86">
        <f>IFERROR(__xludf.DUMMYFUNCTION("""COMPUTED_VALUE"""),0.0)</f>
        <v>0</v>
      </c>
      <c r="F145" s="88">
        <f>IFERROR(__xludf.DUMMYFUNCTION("""COMPUTED_VALUE"""),0.0)</f>
        <v>0</v>
      </c>
      <c r="G145" s="88">
        <f>IFERROR(__xludf.DUMMYFUNCTION("""COMPUTED_VALUE"""),0.0)</f>
        <v>0</v>
      </c>
      <c r="H145" s="88">
        <f>IFERROR(__xludf.DUMMYFUNCTION("""COMPUTED_VALUE"""),0.0)</f>
        <v>0</v>
      </c>
      <c r="I145" s="88">
        <f>IFERROR(__xludf.DUMMYFUNCTION("""COMPUTED_VALUE"""),0.0)</f>
        <v>0</v>
      </c>
      <c r="J145" s="88">
        <f>IFERROR(__xludf.DUMMYFUNCTION("""COMPUTED_VALUE"""),0.0)</f>
        <v>0</v>
      </c>
      <c r="K145" s="88">
        <f>IFERROR(__xludf.DUMMYFUNCTION("""COMPUTED_VALUE"""),0.0)</f>
        <v>0</v>
      </c>
      <c r="L145" s="88">
        <f>IFERROR(__xludf.DUMMYFUNCTION("""COMPUTED_VALUE"""),0.0)</f>
        <v>0</v>
      </c>
      <c r="M145" s="88">
        <f>IFERROR(__xludf.DUMMYFUNCTION("""COMPUTED_VALUE"""),0.0)</f>
        <v>0</v>
      </c>
      <c r="N145" s="89">
        <f>IFERROR(__xludf.DUMMYFUNCTION("""COMPUTED_VALUE"""),0.0)</f>
        <v>0</v>
      </c>
    </row>
    <row r="146">
      <c r="A146" s="11"/>
      <c r="B146" s="82" t="str">
        <f>IFERROR(__xludf.DUMMYFUNCTION("""COMPUTED_VALUE"""),"Sean Chang")</f>
        <v>Sean Chang</v>
      </c>
      <c r="C146" s="83"/>
      <c r="D146" s="83"/>
      <c r="E146" s="86">
        <f>IFERROR(__xludf.DUMMYFUNCTION("""COMPUTED_VALUE"""),0.0)</f>
        <v>0</v>
      </c>
      <c r="F146" s="88">
        <f>IFERROR(__xludf.DUMMYFUNCTION("""COMPUTED_VALUE"""),0.0)</f>
        <v>0</v>
      </c>
      <c r="G146" s="88">
        <f>IFERROR(__xludf.DUMMYFUNCTION("""COMPUTED_VALUE"""),0.0)</f>
        <v>0</v>
      </c>
      <c r="H146" s="88">
        <f>IFERROR(__xludf.DUMMYFUNCTION("""COMPUTED_VALUE"""),0.0)</f>
        <v>0</v>
      </c>
      <c r="I146" s="88">
        <f>IFERROR(__xludf.DUMMYFUNCTION("""COMPUTED_VALUE"""),0.0)</f>
        <v>0</v>
      </c>
      <c r="J146" s="88">
        <f>IFERROR(__xludf.DUMMYFUNCTION("""COMPUTED_VALUE"""),0.0)</f>
        <v>0</v>
      </c>
      <c r="K146" s="88">
        <f>IFERROR(__xludf.DUMMYFUNCTION("""COMPUTED_VALUE"""),0.0)</f>
        <v>0</v>
      </c>
      <c r="L146" s="88">
        <f>IFERROR(__xludf.DUMMYFUNCTION("""COMPUTED_VALUE"""),0.0)</f>
        <v>0</v>
      </c>
      <c r="M146" s="88">
        <f>IFERROR(__xludf.DUMMYFUNCTION("""COMPUTED_VALUE"""),0.0)</f>
        <v>0</v>
      </c>
      <c r="N146" s="89">
        <f>IFERROR(__xludf.DUMMYFUNCTION("""COMPUTED_VALUE"""),0.0)</f>
        <v>0</v>
      </c>
    </row>
    <row r="147">
      <c r="A147" s="11"/>
      <c r="B147" s="82" t="str">
        <f>IFERROR(__xludf.DUMMYFUNCTION("""COMPUTED_VALUE"""),"Erik Hoeckmann")</f>
        <v>Erik Hoeckmann</v>
      </c>
      <c r="C147" s="83"/>
      <c r="D147" s="83"/>
      <c r="E147" s="86">
        <f>IFERROR(__xludf.DUMMYFUNCTION("""COMPUTED_VALUE"""),0.0)</f>
        <v>0</v>
      </c>
      <c r="F147" s="88">
        <f>IFERROR(__xludf.DUMMYFUNCTION("""COMPUTED_VALUE"""),0.0)</f>
        <v>0</v>
      </c>
      <c r="G147" s="88">
        <f>IFERROR(__xludf.DUMMYFUNCTION("""COMPUTED_VALUE"""),0.0)</f>
        <v>0</v>
      </c>
      <c r="H147" s="88">
        <f>IFERROR(__xludf.DUMMYFUNCTION("""COMPUTED_VALUE"""),0.0)</f>
        <v>0</v>
      </c>
      <c r="I147" s="88">
        <f>IFERROR(__xludf.DUMMYFUNCTION("""COMPUTED_VALUE"""),0.0)</f>
        <v>0</v>
      </c>
      <c r="J147" s="88">
        <f>IFERROR(__xludf.DUMMYFUNCTION("""COMPUTED_VALUE"""),0.0)</f>
        <v>0</v>
      </c>
      <c r="K147" s="88">
        <f>IFERROR(__xludf.DUMMYFUNCTION("""COMPUTED_VALUE"""),0.0)</f>
        <v>0</v>
      </c>
      <c r="L147" s="88">
        <f>IFERROR(__xludf.DUMMYFUNCTION("""COMPUTED_VALUE"""),0.0)</f>
        <v>0</v>
      </c>
      <c r="M147" s="88">
        <f>IFERROR(__xludf.DUMMYFUNCTION("""COMPUTED_VALUE"""),0.0)</f>
        <v>0</v>
      </c>
      <c r="N147" s="89">
        <f>IFERROR(__xludf.DUMMYFUNCTION("""COMPUTED_VALUE"""),0.0)</f>
        <v>0</v>
      </c>
    </row>
    <row r="148">
      <c r="A148" s="11"/>
      <c r="B148" s="82" t="str">
        <f>IFERROR(__xludf.DUMMYFUNCTION("""COMPUTED_VALUE"""),"Pavan Akkimsetty")</f>
        <v>Pavan Akkimsetty</v>
      </c>
      <c r="C148" s="83"/>
      <c r="D148" s="83"/>
      <c r="E148" s="86">
        <f>IFERROR(__xludf.DUMMYFUNCTION("""COMPUTED_VALUE"""),0.0)</f>
        <v>0</v>
      </c>
      <c r="F148" s="88">
        <f>IFERROR(__xludf.DUMMYFUNCTION("""COMPUTED_VALUE"""),0.0)</f>
        <v>0</v>
      </c>
      <c r="G148" s="88">
        <f>IFERROR(__xludf.DUMMYFUNCTION("""COMPUTED_VALUE"""),0.0)</f>
        <v>0</v>
      </c>
      <c r="H148" s="88">
        <f>IFERROR(__xludf.DUMMYFUNCTION("""COMPUTED_VALUE"""),0.0)</f>
        <v>0</v>
      </c>
      <c r="I148" s="88">
        <f>IFERROR(__xludf.DUMMYFUNCTION("""COMPUTED_VALUE"""),0.0)</f>
        <v>0</v>
      </c>
      <c r="J148" s="88">
        <f>IFERROR(__xludf.DUMMYFUNCTION("""COMPUTED_VALUE"""),0.0)</f>
        <v>0</v>
      </c>
      <c r="K148" s="88">
        <f>IFERROR(__xludf.DUMMYFUNCTION("""COMPUTED_VALUE"""),0.0)</f>
        <v>0</v>
      </c>
      <c r="L148" s="88">
        <f>IFERROR(__xludf.DUMMYFUNCTION("""COMPUTED_VALUE"""),0.0)</f>
        <v>0</v>
      </c>
      <c r="M148" s="88">
        <f>IFERROR(__xludf.DUMMYFUNCTION("""COMPUTED_VALUE"""),0.0)</f>
        <v>0</v>
      </c>
      <c r="N148" s="89">
        <f>IFERROR(__xludf.DUMMYFUNCTION("""COMPUTED_VALUE"""),0.0)</f>
        <v>0</v>
      </c>
    </row>
    <row r="149">
      <c r="A149" s="11"/>
      <c r="B149" s="82" t="str">
        <f>IFERROR(__xludf.DUMMYFUNCTION("""COMPUTED_VALUE"""),"Eric Pan")</f>
        <v>Eric Pan</v>
      </c>
      <c r="C149" s="83"/>
      <c r="D149" s="83"/>
      <c r="E149" s="86">
        <f>IFERROR(__xludf.DUMMYFUNCTION("""COMPUTED_VALUE"""),0.0)</f>
        <v>0</v>
      </c>
      <c r="F149" s="88">
        <f>IFERROR(__xludf.DUMMYFUNCTION("""COMPUTED_VALUE"""),0.0)</f>
        <v>0</v>
      </c>
      <c r="G149" s="88">
        <f>IFERROR(__xludf.DUMMYFUNCTION("""COMPUTED_VALUE"""),0.0)</f>
        <v>0</v>
      </c>
      <c r="H149" s="88">
        <f>IFERROR(__xludf.DUMMYFUNCTION("""COMPUTED_VALUE"""),0.0)</f>
        <v>0</v>
      </c>
      <c r="I149" s="88">
        <f>IFERROR(__xludf.DUMMYFUNCTION("""COMPUTED_VALUE"""),0.0)</f>
        <v>0</v>
      </c>
      <c r="J149" s="88">
        <f>IFERROR(__xludf.DUMMYFUNCTION("""COMPUTED_VALUE"""),0.0)</f>
        <v>0</v>
      </c>
      <c r="K149" s="88">
        <f>IFERROR(__xludf.DUMMYFUNCTION("""COMPUTED_VALUE"""),0.0)</f>
        <v>0</v>
      </c>
      <c r="L149" s="88">
        <f>IFERROR(__xludf.DUMMYFUNCTION("""COMPUTED_VALUE"""),0.0)</f>
        <v>0</v>
      </c>
      <c r="M149" s="88">
        <f>IFERROR(__xludf.DUMMYFUNCTION("""COMPUTED_VALUE"""),0.0)</f>
        <v>0</v>
      </c>
      <c r="N149" s="89">
        <f>IFERROR(__xludf.DUMMYFUNCTION("""COMPUTED_VALUE"""),0.0)</f>
        <v>0</v>
      </c>
    </row>
    <row r="150">
      <c r="A150" s="11"/>
      <c r="B150" s="82" t="str">
        <f>IFERROR(__xludf.DUMMYFUNCTION("""COMPUTED_VALUE"""),"Susanta Mishra")</f>
        <v>Susanta Mishra</v>
      </c>
      <c r="C150" s="83"/>
      <c r="D150" s="83"/>
      <c r="E150" s="86">
        <f>IFERROR(__xludf.DUMMYFUNCTION("""COMPUTED_VALUE"""),0.0)</f>
        <v>0</v>
      </c>
      <c r="F150" s="88">
        <f>IFERROR(__xludf.DUMMYFUNCTION("""COMPUTED_VALUE"""),0.0)</f>
        <v>0</v>
      </c>
      <c r="G150" s="88">
        <f>IFERROR(__xludf.DUMMYFUNCTION("""COMPUTED_VALUE"""),0.0)</f>
        <v>0</v>
      </c>
      <c r="H150" s="88">
        <f>IFERROR(__xludf.DUMMYFUNCTION("""COMPUTED_VALUE"""),0.0)</f>
        <v>0</v>
      </c>
      <c r="I150" s="88">
        <f>IFERROR(__xludf.DUMMYFUNCTION("""COMPUTED_VALUE"""),0.0)</f>
        <v>0</v>
      </c>
      <c r="J150" s="88">
        <f>IFERROR(__xludf.DUMMYFUNCTION("""COMPUTED_VALUE"""),0.0)</f>
        <v>0</v>
      </c>
      <c r="K150" s="88">
        <f>IFERROR(__xludf.DUMMYFUNCTION("""COMPUTED_VALUE"""),0.0)</f>
        <v>0</v>
      </c>
      <c r="L150" s="88">
        <f>IFERROR(__xludf.DUMMYFUNCTION("""COMPUTED_VALUE"""),0.0)</f>
        <v>0</v>
      </c>
      <c r="M150" s="88">
        <f>IFERROR(__xludf.DUMMYFUNCTION("""COMPUTED_VALUE"""),0.0)</f>
        <v>0</v>
      </c>
      <c r="N150" s="89">
        <f>IFERROR(__xludf.DUMMYFUNCTION("""COMPUTED_VALUE"""),0.0)</f>
        <v>0</v>
      </c>
    </row>
    <row r="151">
      <c r="A151" s="11"/>
      <c r="B151" s="82" t="str">
        <f>IFERROR(__xludf.DUMMYFUNCTION("""COMPUTED_VALUE"""),"Joe Luzzi")</f>
        <v>Joe Luzzi</v>
      </c>
      <c r="C151" s="83"/>
      <c r="D151" s="83"/>
      <c r="E151" s="86">
        <f>IFERROR(__xludf.DUMMYFUNCTION("""COMPUTED_VALUE"""),0.0)</f>
        <v>0</v>
      </c>
      <c r="F151" s="88">
        <f>IFERROR(__xludf.DUMMYFUNCTION("""COMPUTED_VALUE"""),0.0)</f>
        <v>0</v>
      </c>
      <c r="G151" s="88">
        <f>IFERROR(__xludf.DUMMYFUNCTION("""COMPUTED_VALUE"""),0.0)</f>
        <v>0</v>
      </c>
      <c r="H151" s="88">
        <f>IFERROR(__xludf.DUMMYFUNCTION("""COMPUTED_VALUE"""),0.0)</f>
        <v>0</v>
      </c>
      <c r="I151" s="88">
        <f>IFERROR(__xludf.DUMMYFUNCTION("""COMPUTED_VALUE"""),0.0)</f>
        <v>0</v>
      </c>
      <c r="J151" s="88">
        <f>IFERROR(__xludf.DUMMYFUNCTION("""COMPUTED_VALUE"""),0.0)</f>
        <v>0</v>
      </c>
      <c r="K151" s="88">
        <f>IFERROR(__xludf.DUMMYFUNCTION("""COMPUTED_VALUE"""),0.0)</f>
        <v>0</v>
      </c>
      <c r="L151" s="88">
        <f>IFERROR(__xludf.DUMMYFUNCTION("""COMPUTED_VALUE"""),0.0)</f>
        <v>0</v>
      </c>
      <c r="M151" s="88">
        <f>IFERROR(__xludf.DUMMYFUNCTION("""COMPUTED_VALUE"""),0.0)</f>
        <v>0</v>
      </c>
      <c r="N151" s="89">
        <f>IFERROR(__xludf.DUMMYFUNCTION("""COMPUTED_VALUE"""),0.0)</f>
        <v>0</v>
      </c>
    </row>
    <row r="152">
      <c r="A152" s="11"/>
      <c r="B152" s="82" t="str">
        <f>IFERROR(__xludf.DUMMYFUNCTION("""COMPUTED_VALUE"""),"Chinna Ponnaganti")</f>
        <v>Chinna Ponnaganti</v>
      </c>
      <c r="C152" s="83"/>
      <c r="D152" s="83"/>
      <c r="E152" s="86">
        <f>IFERROR(__xludf.DUMMYFUNCTION("""COMPUTED_VALUE"""),0.0)</f>
        <v>0</v>
      </c>
      <c r="F152" s="88">
        <f>IFERROR(__xludf.DUMMYFUNCTION("""COMPUTED_VALUE"""),0.0)</f>
        <v>0</v>
      </c>
      <c r="G152" s="88">
        <f>IFERROR(__xludf.DUMMYFUNCTION("""COMPUTED_VALUE"""),0.0)</f>
        <v>0</v>
      </c>
      <c r="H152" s="88">
        <f>IFERROR(__xludf.DUMMYFUNCTION("""COMPUTED_VALUE"""),0.0)</f>
        <v>0</v>
      </c>
      <c r="I152" s="88">
        <f>IFERROR(__xludf.DUMMYFUNCTION("""COMPUTED_VALUE"""),0.0)</f>
        <v>0</v>
      </c>
      <c r="J152" s="88">
        <f>IFERROR(__xludf.DUMMYFUNCTION("""COMPUTED_VALUE"""),0.0)</f>
        <v>0</v>
      </c>
      <c r="K152" s="88">
        <f>IFERROR(__xludf.DUMMYFUNCTION("""COMPUTED_VALUE"""),0.0)</f>
        <v>0</v>
      </c>
      <c r="L152" s="88">
        <f>IFERROR(__xludf.DUMMYFUNCTION("""COMPUTED_VALUE"""),0.0)</f>
        <v>0</v>
      </c>
      <c r="M152" s="88">
        <f>IFERROR(__xludf.DUMMYFUNCTION("""COMPUTED_VALUE"""),0.0)</f>
        <v>0</v>
      </c>
      <c r="N152" s="89">
        <f>IFERROR(__xludf.DUMMYFUNCTION("""COMPUTED_VALUE"""),0.0)</f>
        <v>0</v>
      </c>
    </row>
    <row r="153">
      <c r="A153" s="11"/>
      <c r="B153" s="82" t="str">
        <f>IFERROR(__xludf.DUMMYFUNCTION("""COMPUTED_VALUE"""),"Tom Le")</f>
        <v>Tom Le</v>
      </c>
      <c r="C153" s="83"/>
      <c r="D153" s="83"/>
      <c r="E153" s="86">
        <f>IFERROR(__xludf.DUMMYFUNCTION("""COMPUTED_VALUE"""),0.0)</f>
        <v>0</v>
      </c>
      <c r="F153" s="88">
        <f>IFERROR(__xludf.DUMMYFUNCTION("""COMPUTED_VALUE"""),0.0)</f>
        <v>0</v>
      </c>
      <c r="G153" s="88">
        <f>IFERROR(__xludf.DUMMYFUNCTION("""COMPUTED_VALUE"""),0.0)</f>
        <v>0</v>
      </c>
      <c r="H153" s="88">
        <f>IFERROR(__xludf.DUMMYFUNCTION("""COMPUTED_VALUE"""),0.0)</f>
        <v>0</v>
      </c>
      <c r="I153" s="88">
        <f>IFERROR(__xludf.DUMMYFUNCTION("""COMPUTED_VALUE"""),0.0)</f>
        <v>0</v>
      </c>
      <c r="J153" s="88">
        <f>IFERROR(__xludf.DUMMYFUNCTION("""COMPUTED_VALUE"""),0.0)</f>
        <v>0</v>
      </c>
      <c r="K153" s="88">
        <f>IFERROR(__xludf.DUMMYFUNCTION("""COMPUTED_VALUE"""),0.0)</f>
        <v>0</v>
      </c>
      <c r="L153" s="88">
        <f>IFERROR(__xludf.DUMMYFUNCTION("""COMPUTED_VALUE"""),0.0)</f>
        <v>0</v>
      </c>
      <c r="M153" s="88">
        <f>IFERROR(__xludf.DUMMYFUNCTION("""COMPUTED_VALUE"""),0.0)</f>
        <v>0</v>
      </c>
      <c r="N153" s="89">
        <f>IFERROR(__xludf.DUMMYFUNCTION("""COMPUTED_VALUE"""),0.0)</f>
        <v>0</v>
      </c>
    </row>
    <row r="154">
      <c r="A154" s="11"/>
      <c r="B154" s="82" t="str">
        <f>IFERROR(__xludf.DUMMYFUNCTION("""COMPUTED_VALUE"""),"Oscar Bonilla")</f>
        <v>Oscar Bonilla</v>
      </c>
      <c r="C154" s="83"/>
      <c r="D154" s="83"/>
      <c r="E154" s="86">
        <f>IFERROR(__xludf.DUMMYFUNCTION("""COMPUTED_VALUE"""),0.0)</f>
        <v>0</v>
      </c>
      <c r="F154" s="88">
        <f>IFERROR(__xludf.DUMMYFUNCTION("""COMPUTED_VALUE"""),0.0)</f>
        <v>0</v>
      </c>
      <c r="G154" s="88">
        <f>IFERROR(__xludf.DUMMYFUNCTION("""COMPUTED_VALUE"""),0.0)</f>
        <v>0</v>
      </c>
      <c r="H154" s="88">
        <f>IFERROR(__xludf.DUMMYFUNCTION("""COMPUTED_VALUE"""),0.0)</f>
        <v>0</v>
      </c>
      <c r="I154" s="88">
        <f>IFERROR(__xludf.DUMMYFUNCTION("""COMPUTED_VALUE"""),0.0)</f>
        <v>0</v>
      </c>
      <c r="J154" s="88">
        <f>IFERROR(__xludf.DUMMYFUNCTION("""COMPUTED_VALUE"""),0.0)</f>
        <v>0</v>
      </c>
      <c r="K154" s="88">
        <f>IFERROR(__xludf.DUMMYFUNCTION("""COMPUTED_VALUE"""),0.0)</f>
        <v>0</v>
      </c>
      <c r="L154" s="88">
        <f>IFERROR(__xludf.DUMMYFUNCTION("""COMPUTED_VALUE"""),0.0)</f>
        <v>0</v>
      </c>
      <c r="M154" s="88">
        <f>IFERROR(__xludf.DUMMYFUNCTION("""COMPUTED_VALUE"""),0.0)</f>
        <v>0</v>
      </c>
      <c r="N154" s="89">
        <f>IFERROR(__xludf.DUMMYFUNCTION("""COMPUTED_VALUE"""),0.0)</f>
        <v>0</v>
      </c>
    </row>
    <row r="155">
      <c r="A155" s="11"/>
      <c r="B155" s="82" t="str">
        <f>IFERROR(__xludf.DUMMYFUNCTION("""COMPUTED_VALUE"""),"Mauricio Palacios")</f>
        <v>Mauricio Palacios</v>
      </c>
      <c r="C155" s="83"/>
      <c r="D155" s="83"/>
      <c r="E155" s="86">
        <f>IFERROR(__xludf.DUMMYFUNCTION("""COMPUTED_VALUE"""),0.0)</f>
        <v>0</v>
      </c>
      <c r="F155" s="88">
        <f>IFERROR(__xludf.DUMMYFUNCTION("""COMPUTED_VALUE"""),0.0)</f>
        <v>0</v>
      </c>
      <c r="G155" s="88">
        <f>IFERROR(__xludf.DUMMYFUNCTION("""COMPUTED_VALUE"""),0.0)</f>
        <v>0</v>
      </c>
      <c r="H155" s="88">
        <f>IFERROR(__xludf.DUMMYFUNCTION("""COMPUTED_VALUE"""),0.0)</f>
        <v>0</v>
      </c>
      <c r="I155" s="88">
        <f>IFERROR(__xludf.DUMMYFUNCTION("""COMPUTED_VALUE"""),0.0)</f>
        <v>0</v>
      </c>
      <c r="J155" s="88">
        <f>IFERROR(__xludf.DUMMYFUNCTION("""COMPUTED_VALUE"""),0.0)</f>
        <v>0</v>
      </c>
      <c r="K155" s="88">
        <f>IFERROR(__xludf.DUMMYFUNCTION("""COMPUTED_VALUE"""),0.0)</f>
        <v>0</v>
      </c>
      <c r="L155" s="88">
        <f>IFERROR(__xludf.DUMMYFUNCTION("""COMPUTED_VALUE"""),0.0)</f>
        <v>0</v>
      </c>
      <c r="M155" s="88">
        <f>IFERROR(__xludf.DUMMYFUNCTION("""COMPUTED_VALUE"""),0.0)</f>
        <v>0</v>
      </c>
      <c r="N155" s="89">
        <f>IFERROR(__xludf.DUMMYFUNCTION("""COMPUTED_VALUE"""),0.0)</f>
        <v>0</v>
      </c>
    </row>
    <row r="156">
      <c r="A156" s="11"/>
      <c r="B156" s="82" t="str">
        <f>IFERROR(__xludf.DUMMYFUNCTION("""COMPUTED_VALUE"""),"Lloyd Sagar")</f>
        <v>Lloyd Sagar</v>
      </c>
      <c r="C156" s="83"/>
      <c r="D156" s="83"/>
      <c r="E156" s="86">
        <f>IFERROR(__xludf.DUMMYFUNCTION("""COMPUTED_VALUE"""),0.0)</f>
        <v>0</v>
      </c>
      <c r="F156" s="88">
        <f>IFERROR(__xludf.DUMMYFUNCTION("""COMPUTED_VALUE"""),0.0)</f>
        <v>0</v>
      </c>
      <c r="G156" s="88">
        <f>IFERROR(__xludf.DUMMYFUNCTION("""COMPUTED_VALUE"""),0.0)</f>
        <v>0</v>
      </c>
      <c r="H156" s="88">
        <f>IFERROR(__xludf.DUMMYFUNCTION("""COMPUTED_VALUE"""),0.0)</f>
        <v>0</v>
      </c>
      <c r="I156" s="88">
        <f>IFERROR(__xludf.DUMMYFUNCTION("""COMPUTED_VALUE"""),0.0)</f>
        <v>0</v>
      </c>
      <c r="J156" s="88">
        <f>IFERROR(__xludf.DUMMYFUNCTION("""COMPUTED_VALUE"""),0.0)</f>
        <v>0</v>
      </c>
      <c r="K156" s="88">
        <f>IFERROR(__xludf.DUMMYFUNCTION("""COMPUTED_VALUE"""),0.0)</f>
        <v>0</v>
      </c>
      <c r="L156" s="88">
        <f>IFERROR(__xludf.DUMMYFUNCTION("""COMPUTED_VALUE"""),0.0)</f>
        <v>0</v>
      </c>
      <c r="M156" s="88">
        <f>IFERROR(__xludf.DUMMYFUNCTION("""COMPUTED_VALUE"""),0.0)</f>
        <v>0</v>
      </c>
      <c r="N156" s="89">
        <f>IFERROR(__xludf.DUMMYFUNCTION("""COMPUTED_VALUE"""),0.0)</f>
        <v>0</v>
      </c>
    </row>
    <row r="157">
      <c r="A157" s="11"/>
      <c r="B157" s="82" t="str">
        <f>IFERROR(__xludf.DUMMYFUNCTION("""COMPUTED_VALUE"""),"Vishnu Amarnath")</f>
        <v>Vishnu Amarnath</v>
      </c>
      <c r="C157" s="83"/>
      <c r="D157" s="83"/>
      <c r="E157" s="86">
        <f>IFERROR(__xludf.DUMMYFUNCTION("""COMPUTED_VALUE"""),0.0)</f>
        <v>0</v>
      </c>
      <c r="F157" s="88">
        <f>IFERROR(__xludf.DUMMYFUNCTION("""COMPUTED_VALUE"""),0.0)</f>
        <v>0</v>
      </c>
      <c r="G157" s="88">
        <f>IFERROR(__xludf.DUMMYFUNCTION("""COMPUTED_VALUE"""),0.0)</f>
        <v>0</v>
      </c>
      <c r="H157" s="88">
        <f>IFERROR(__xludf.DUMMYFUNCTION("""COMPUTED_VALUE"""),0.0)</f>
        <v>0</v>
      </c>
      <c r="I157" s="88">
        <f>IFERROR(__xludf.DUMMYFUNCTION("""COMPUTED_VALUE"""),0.0)</f>
        <v>0</v>
      </c>
      <c r="J157" s="88">
        <f>IFERROR(__xludf.DUMMYFUNCTION("""COMPUTED_VALUE"""),0.0)</f>
        <v>0</v>
      </c>
      <c r="K157" s="88">
        <f>IFERROR(__xludf.DUMMYFUNCTION("""COMPUTED_VALUE"""),0.0)</f>
        <v>0</v>
      </c>
      <c r="L157" s="88">
        <f>IFERROR(__xludf.DUMMYFUNCTION("""COMPUTED_VALUE"""),0.0)</f>
        <v>0</v>
      </c>
      <c r="M157" s="88">
        <f>IFERROR(__xludf.DUMMYFUNCTION("""COMPUTED_VALUE"""),0.0)</f>
        <v>0</v>
      </c>
      <c r="N157" s="89">
        <f>IFERROR(__xludf.DUMMYFUNCTION("""COMPUTED_VALUE"""),0.0)</f>
        <v>0</v>
      </c>
    </row>
    <row r="158">
      <c r="A158" s="11"/>
      <c r="B158" s="82" t="str">
        <f>IFERROR(__xludf.DUMMYFUNCTION("""COMPUTED_VALUE"""),"Pulkit Mathur")</f>
        <v>Pulkit Mathur</v>
      </c>
      <c r="C158" s="83"/>
      <c r="D158" s="83"/>
      <c r="E158" s="86">
        <f>IFERROR(__xludf.DUMMYFUNCTION("""COMPUTED_VALUE"""),0.0)</f>
        <v>0</v>
      </c>
      <c r="F158" s="88">
        <f>IFERROR(__xludf.DUMMYFUNCTION("""COMPUTED_VALUE"""),0.0)</f>
        <v>0</v>
      </c>
      <c r="G158" s="88">
        <f>IFERROR(__xludf.DUMMYFUNCTION("""COMPUTED_VALUE"""),0.0)</f>
        <v>0</v>
      </c>
      <c r="H158" s="88">
        <f>IFERROR(__xludf.DUMMYFUNCTION("""COMPUTED_VALUE"""),0.0)</f>
        <v>0</v>
      </c>
      <c r="I158" s="88">
        <f>IFERROR(__xludf.DUMMYFUNCTION("""COMPUTED_VALUE"""),0.0)</f>
        <v>0</v>
      </c>
      <c r="J158" s="88">
        <f>IFERROR(__xludf.DUMMYFUNCTION("""COMPUTED_VALUE"""),0.0)</f>
        <v>0</v>
      </c>
      <c r="K158" s="88">
        <f>IFERROR(__xludf.DUMMYFUNCTION("""COMPUTED_VALUE"""),0.0)</f>
        <v>0</v>
      </c>
      <c r="L158" s="88">
        <f>IFERROR(__xludf.DUMMYFUNCTION("""COMPUTED_VALUE"""),0.0)</f>
        <v>0</v>
      </c>
      <c r="M158" s="88">
        <f>IFERROR(__xludf.DUMMYFUNCTION("""COMPUTED_VALUE"""),0.0)</f>
        <v>0</v>
      </c>
      <c r="N158" s="89">
        <f>IFERROR(__xludf.DUMMYFUNCTION("""COMPUTED_VALUE"""),0.0)</f>
        <v>0</v>
      </c>
    </row>
    <row r="159">
      <c r="A159" s="11"/>
      <c r="B159" s="82" t="str">
        <f>IFERROR(__xludf.DUMMYFUNCTION("""COMPUTED_VALUE"""),"Andrew Wen")</f>
        <v>Andrew Wen</v>
      </c>
      <c r="C159" s="83"/>
      <c r="D159" s="83"/>
      <c r="E159" s="86">
        <f>IFERROR(__xludf.DUMMYFUNCTION("""COMPUTED_VALUE"""),0.0)</f>
        <v>0</v>
      </c>
      <c r="F159" s="88">
        <f>IFERROR(__xludf.DUMMYFUNCTION("""COMPUTED_VALUE"""),0.0)</f>
        <v>0</v>
      </c>
      <c r="G159" s="88">
        <f>IFERROR(__xludf.DUMMYFUNCTION("""COMPUTED_VALUE"""),0.0)</f>
        <v>0</v>
      </c>
      <c r="H159" s="88">
        <f>IFERROR(__xludf.DUMMYFUNCTION("""COMPUTED_VALUE"""),0.0)</f>
        <v>0</v>
      </c>
      <c r="I159" s="88">
        <f>IFERROR(__xludf.DUMMYFUNCTION("""COMPUTED_VALUE"""),0.0)</f>
        <v>0</v>
      </c>
      <c r="J159" s="88">
        <f>IFERROR(__xludf.DUMMYFUNCTION("""COMPUTED_VALUE"""),0.0)</f>
        <v>0</v>
      </c>
      <c r="K159" s="88">
        <f>IFERROR(__xludf.DUMMYFUNCTION("""COMPUTED_VALUE"""),0.0)</f>
        <v>0</v>
      </c>
      <c r="L159" s="88">
        <f>IFERROR(__xludf.DUMMYFUNCTION("""COMPUTED_VALUE"""),0.0)</f>
        <v>0</v>
      </c>
      <c r="M159" s="88">
        <f>IFERROR(__xludf.DUMMYFUNCTION("""COMPUTED_VALUE"""),0.0)</f>
        <v>0</v>
      </c>
      <c r="N159" s="89">
        <f>IFERROR(__xludf.DUMMYFUNCTION("""COMPUTED_VALUE"""),0.0)</f>
        <v>0</v>
      </c>
    </row>
    <row r="160">
      <c r="A160" s="11"/>
      <c r="B160" s="82" t="str">
        <f>IFERROR(__xludf.DUMMYFUNCTION("""COMPUTED_VALUE"""),"Ramesh Bandaru")</f>
        <v>Ramesh Bandaru</v>
      </c>
      <c r="C160" s="83"/>
      <c r="D160" s="83"/>
      <c r="E160" s="86">
        <f>IFERROR(__xludf.DUMMYFUNCTION("""COMPUTED_VALUE"""),0.0)</f>
        <v>0</v>
      </c>
      <c r="F160" s="88">
        <f>IFERROR(__xludf.DUMMYFUNCTION("""COMPUTED_VALUE"""),0.0)</f>
        <v>0</v>
      </c>
      <c r="G160" s="88">
        <f>IFERROR(__xludf.DUMMYFUNCTION("""COMPUTED_VALUE"""),0.0)</f>
        <v>0</v>
      </c>
      <c r="H160" s="88">
        <f>IFERROR(__xludf.DUMMYFUNCTION("""COMPUTED_VALUE"""),0.0)</f>
        <v>0</v>
      </c>
      <c r="I160" s="88">
        <f>IFERROR(__xludf.DUMMYFUNCTION("""COMPUTED_VALUE"""),0.0)</f>
        <v>0</v>
      </c>
      <c r="J160" s="88">
        <f>IFERROR(__xludf.DUMMYFUNCTION("""COMPUTED_VALUE"""),0.0)</f>
        <v>0</v>
      </c>
      <c r="K160" s="88">
        <f>IFERROR(__xludf.DUMMYFUNCTION("""COMPUTED_VALUE"""),0.0)</f>
        <v>0</v>
      </c>
      <c r="L160" s="88">
        <f>IFERROR(__xludf.DUMMYFUNCTION("""COMPUTED_VALUE"""),0.0)</f>
        <v>0</v>
      </c>
      <c r="M160" s="88">
        <f>IFERROR(__xludf.DUMMYFUNCTION("""COMPUTED_VALUE"""),0.0)</f>
        <v>0</v>
      </c>
      <c r="N160" s="89">
        <f>IFERROR(__xludf.DUMMYFUNCTION("""COMPUTED_VALUE"""),0.0)</f>
        <v>0</v>
      </c>
    </row>
    <row r="161">
      <c r="A161" s="11"/>
      <c r="B161" s="82" t="str">
        <f>IFERROR(__xludf.DUMMYFUNCTION("""COMPUTED_VALUE"""),"Trinath Goteti")</f>
        <v>Trinath Goteti</v>
      </c>
      <c r="C161" s="83"/>
      <c r="D161" s="83"/>
      <c r="E161" s="86">
        <f>IFERROR(__xludf.DUMMYFUNCTION("""COMPUTED_VALUE"""),0.0)</f>
        <v>0</v>
      </c>
      <c r="F161" s="88">
        <f>IFERROR(__xludf.DUMMYFUNCTION("""COMPUTED_VALUE"""),0.0)</f>
        <v>0</v>
      </c>
      <c r="G161" s="88">
        <f>IFERROR(__xludf.DUMMYFUNCTION("""COMPUTED_VALUE"""),0.0)</f>
        <v>0</v>
      </c>
      <c r="H161" s="88">
        <f>IFERROR(__xludf.DUMMYFUNCTION("""COMPUTED_VALUE"""),0.0)</f>
        <v>0</v>
      </c>
      <c r="I161" s="88">
        <f>IFERROR(__xludf.DUMMYFUNCTION("""COMPUTED_VALUE"""),0.0)</f>
        <v>0</v>
      </c>
      <c r="J161" s="88">
        <f>IFERROR(__xludf.DUMMYFUNCTION("""COMPUTED_VALUE"""),0.0)</f>
        <v>0</v>
      </c>
      <c r="K161" s="88">
        <f>IFERROR(__xludf.DUMMYFUNCTION("""COMPUTED_VALUE"""),0.0)</f>
        <v>0</v>
      </c>
      <c r="L161" s="88">
        <f>IFERROR(__xludf.DUMMYFUNCTION("""COMPUTED_VALUE"""),0.0)</f>
        <v>0</v>
      </c>
      <c r="M161" s="88">
        <f>IFERROR(__xludf.DUMMYFUNCTION("""COMPUTED_VALUE"""),0.0)</f>
        <v>0</v>
      </c>
      <c r="N161" s="89">
        <f>IFERROR(__xludf.DUMMYFUNCTION("""COMPUTED_VALUE"""),0.0)</f>
        <v>0</v>
      </c>
    </row>
    <row r="162">
      <c r="A162" s="11"/>
      <c r="B162" s="82" t="str">
        <f>IFERROR(__xludf.DUMMYFUNCTION("""COMPUTED_VALUE"""),"Elayaraja Thangaraj ")</f>
        <v>Elayaraja Thangaraj </v>
      </c>
      <c r="C162" s="83"/>
      <c r="D162" s="83"/>
      <c r="E162" s="86">
        <f>IFERROR(__xludf.DUMMYFUNCTION("""COMPUTED_VALUE"""),0.0)</f>
        <v>0</v>
      </c>
      <c r="F162" s="88">
        <f>IFERROR(__xludf.DUMMYFUNCTION("""COMPUTED_VALUE"""),0.0)</f>
        <v>0</v>
      </c>
      <c r="G162" s="88">
        <f>IFERROR(__xludf.DUMMYFUNCTION("""COMPUTED_VALUE"""),0.0)</f>
        <v>0</v>
      </c>
      <c r="H162" s="88">
        <f>IFERROR(__xludf.DUMMYFUNCTION("""COMPUTED_VALUE"""),0.0)</f>
        <v>0</v>
      </c>
      <c r="I162" s="88">
        <f>IFERROR(__xludf.DUMMYFUNCTION("""COMPUTED_VALUE"""),0.0)</f>
        <v>0</v>
      </c>
      <c r="J162" s="88">
        <f>IFERROR(__xludf.DUMMYFUNCTION("""COMPUTED_VALUE"""),0.0)</f>
        <v>0</v>
      </c>
      <c r="K162" s="88">
        <f>IFERROR(__xludf.DUMMYFUNCTION("""COMPUTED_VALUE"""),0.0)</f>
        <v>0</v>
      </c>
      <c r="L162" s="88">
        <f>IFERROR(__xludf.DUMMYFUNCTION("""COMPUTED_VALUE"""),0.0)</f>
        <v>0</v>
      </c>
      <c r="M162" s="88">
        <f>IFERROR(__xludf.DUMMYFUNCTION("""COMPUTED_VALUE"""),0.0)</f>
        <v>0</v>
      </c>
      <c r="N162" s="89">
        <f>IFERROR(__xludf.DUMMYFUNCTION("""COMPUTED_VALUE"""),0.0)</f>
        <v>0</v>
      </c>
    </row>
    <row r="163">
      <c r="A163" s="11"/>
      <c r="B163" s="82" t="str">
        <f>IFERROR(__xludf.DUMMYFUNCTION("""COMPUTED_VALUE"""),"Jimmy Awolesi")</f>
        <v>Jimmy Awolesi</v>
      </c>
      <c r="C163" s="83"/>
      <c r="D163" s="83"/>
      <c r="E163" s="86">
        <f>IFERROR(__xludf.DUMMYFUNCTION("""COMPUTED_VALUE"""),0.0)</f>
        <v>0</v>
      </c>
      <c r="F163" s="88">
        <f>IFERROR(__xludf.DUMMYFUNCTION("""COMPUTED_VALUE"""),0.0)</f>
        <v>0</v>
      </c>
      <c r="G163" s="88">
        <f>IFERROR(__xludf.DUMMYFUNCTION("""COMPUTED_VALUE"""),0.0)</f>
        <v>0</v>
      </c>
      <c r="H163" s="88">
        <f>IFERROR(__xludf.DUMMYFUNCTION("""COMPUTED_VALUE"""),0.0)</f>
        <v>0</v>
      </c>
      <c r="I163" s="88">
        <f>IFERROR(__xludf.DUMMYFUNCTION("""COMPUTED_VALUE"""),0.0)</f>
        <v>0</v>
      </c>
      <c r="J163" s="88">
        <f>IFERROR(__xludf.DUMMYFUNCTION("""COMPUTED_VALUE"""),0.0)</f>
        <v>0</v>
      </c>
      <c r="K163" s="88">
        <f>IFERROR(__xludf.DUMMYFUNCTION("""COMPUTED_VALUE"""),0.0)</f>
        <v>0</v>
      </c>
      <c r="L163" s="88">
        <f>IFERROR(__xludf.DUMMYFUNCTION("""COMPUTED_VALUE"""),0.0)</f>
        <v>0</v>
      </c>
      <c r="M163" s="88">
        <f>IFERROR(__xludf.DUMMYFUNCTION("""COMPUTED_VALUE"""),0.0)</f>
        <v>0</v>
      </c>
      <c r="N163" s="89">
        <f>IFERROR(__xludf.DUMMYFUNCTION("""COMPUTED_VALUE"""),0.0)</f>
        <v>0</v>
      </c>
    </row>
    <row r="164">
      <c r="A164" s="11"/>
      <c r="B164" s="82" t="str">
        <f>IFERROR(__xludf.DUMMYFUNCTION("""COMPUTED_VALUE"""),"Vamsi Lolla ")</f>
        <v>Vamsi Lolla </v>
      </c>
      <c r="C164" s="83"/>
      <c r="D164" s="83"/>
      <c r="E164" s="86">
        <f>IFERROR(__xludf.DUMMYFUNCTION("""COMPUTED_VALUE"""),0.0)</f>
        <v>0</v>
      </c>
      <c r="F164" s="88">
        <f>IFERROR(__xludf.DUMMYFUNCTION("""COMPUTED_VALUE"""),0.0)</f>
        <v>0</v>
      </c>
      <c r="G164" s="88">
        <f>IFERROR(__xludf.DUMMYFUNCTION("""COMPUTED_VALUE"""),0.0)</f>
        <v>0</v>
      </c>
      <c r="H164" s="88">
        <f>IFERROR(__xludf.DUMMYFUNCTION("""COMPUTED_VALUE"""),0.0)</f>
        <v>0</v>
      </c>
      <c r="I164" s="88">
        <f>IFERROR(__xludf.DUMMYFUNCTION("""COMPUTED_VALUE"""),0.0)</f>
        <v>0</v>
      </c>
      <c r="J164" s="88">
        <f>IFERROR(__xludf.DUMMYFUNCTION("""COMPUTED_VALUE"""),0.0)</f>
        <v>0</v>
      </c>
      <c r="K164" s="88">
        <f>IFERROR(__xludf.DUMMYFUNCTION("""COMPUTED_VALUE"""),0.0)</f>
        <v>0</v>
      </c>
      <c r="L164" s="88">
        <f>IFERROR(__xludf.DUMMYFUNCTION("""COMPUTED_VALUE"""),0.0)</f>
        <v>0</v>
      </c>
      <c r="M164" s="88">
        <f>IFERROR(__xludf.DUMMYFUNCTION("""COMPUTED_VALUE"""),0.0)</f>
        <v>0</v>
      </c>
      <c r="N164" s="89">
        <f>IFERROR(__xludf.DUMMYFUNCTION("""COMPUTED_VALUE"""),0.0)</f>
        <v>0</v>
      </c>
    </row>
    <row r="165">
      <c r="A165" s="11"/>
      <c r="B165" s="82" t="str">
        <f>IFERROR(__xludf.DUMMYFUNCTION("""COMPUTED_VALUE"""),"Eric Tan")</f>
        <v>Eric Tan</v>
      </c>
      <c r="C165" s="83"/>
      <c r="D165" s="83"/>
      <c r="E165" s="86">
        <f>IFERROR(__xludf.DUMMYFUNCTION("""COMPUTED_VALUE"""),0.0)</f>
        <v>0</v>
      </c>
      <c r="F165" s="88">
        <f>IFERROR(__xludf.DUMMYFUNCTION("""COMPUTED_VALUE"""),0.0)</f>
        <v>0</v>
      </c>
      <c r="G165" s="88">
        <f>IFERROR(__xludf.DUMMYFUNCTION("""COMPUTED_VALUE"""),0.0)</f>
        <v>0</v>
      </c>
      <c r="H165" s="88">
        <f>IFERROR(__xludf.DUMMYFUNCTION("""COMPUTED_VALUE"""),0.0)</f>
        <v>0</v>
      </c>
      <c r="I165" s="88">
        <f>IFERROR(__xludf.DUMMYFUNCTION("""COMPUTED_VALUE"""),0.0)</f>
        <v>0</v>
      </c>
      <c r="J165" s="88">
        <f>IFERROR(__xludf.DUMMYFUNCTION("""COMPUTED_VALUE"""),0.0)</f>
        <v>0</v>
      </c>
      <c r="K165" s="88">
        <f>IFERROR(__xludf.DUMMYFUNCTION("""COMPUTED_VALUE"""),0.0)</f>
        <v>0</v>
      </c>
      <c r="L165" s="88">
        <f>IFERROR(__xludf.DUMMYFUNCTION("""COMPUTED_VALUE"""),0.0)</f>
        <v>0</v>
      </c>
      <c r="M165" s="88">
        <f>IFERROR(__xludf.DUMMYFUNCTION("""COMPUTED_VALUE"""),0.0)</f>
        <v>0</v>
      </c>
      <c r="N165" s="89">
        <f>IFERROR(__xludf.DUMMYFUNCTION("""COMPUTED_VALUE"""),0.0)</f>
        <v>0</v>
      </c>
    </row>
    <row r="166">
      <c r="A166" s="11"/>
      <c r="B166" s="82" t="str">
        <f>IFERROR(__xludf.DUMMYFUNCTION("""COMPUTED_VALUE"""),"Manuel Rivera")</f>
        <v>Manuel Rivera</v>
      </c>
      <c r="C166" s="83"/>
      <c r="D166" s="83"/>
      <c r="E166" s="86">
        <f>IFERROR(__xludf.DUMMYFUNCTION("""COMPUTED_VALUE"""),0.0)</f>
        <v>0</v>
      </c>
      <c r="F166" s="88">
        <f>IFERROR(__xludf.DUMMYFUNCTION("""COMPUTED_VALUE"""),0.0)</f>
        <v>0</v>
      </c>
      <c r="G166" s="88">
        <f>IFERROR(__xludf.DUMMYFUNCTION("""COMPUTED_VALUE"""),0.0)</f>
        <v>0</v>
      </c>
      <c r="H166" s="88">
        <f>IFERROR(__xludf.DUMMYFUNCTION("""COMPUTED_VALUE"""),0.0)</f>
        <v>0</v>
      </c>
      <c r="I166" s="88">
        <f>IFERROR(__xludf.DUMMYFUNCTION("""COMPUTED_VALUE"""),0.0)</f>
        <v>0</v>
      </c>
      <c r="J166" s="88">
        <f>IFERROR(__xludf.DUMMYFUNCTION("""COMPUTED_VALUE"""),0.0)</f>
        <v>0</v>
      </c>
      <c r="K166" s="88">
        <f>IFERROR(__xludf.DUMMYFUNCTION("""COMPUTED_VALUE"""),0.0)</f>
        <v>0</v>
      </c>
      <c r="L166" s="88">
        <f>IFERROR(__xludf.DUMMYFUNCTION("""COMPUTED_VALUE"""),0.0)</f>
        <v>0</v>
      </c>
      <c r="M166" s="88">
        <f>IFERROR(__xludf.DUMMYFUNCTION("""COMPUTED_VALUE"""),0.0)</f>
        <v>0</v>
      </c>
      <c r="N166" s="89">
        <f>IFERROR(__xludf.DUMMYFUNCTION("""COMPUTED_VALUE"""),0.0)</f>
        <v>0</v>
      </c>
    </row>
    <row r="167">
      <c r="A167" s="11"/>
      <c r="B167" s="82" t="str">
        <f>IFERROR(__xludf.DUMMYFUNCTION("""COMPUTED_VALUE"""),"Scott Li")</f>
        <v>Scott Li</v>
      </c>
      <c r="C167" s="86"/>
      <c r="D167" s="87"/>
      <c r="E167" s="86">
        <f>IFERROR(__xludf.DUMMYFUNCTION("""COMPUTED_VALUE"""),0.0)</f>
        <v>0</v>
      </c>
      <c r="F167" s="88">
        <f>IFERROR(__xludf.DUMMYFUNCTION("""COMPUTED_VALUE"""),0.0)</f>
        <v>0</v>
      </c>
      <c r="G167" s="88">
        <f>IFERROR(__xludf.DUMMYFUNCTION("""COMPUTED_VALUE"""),0.0)</f>
        <v>0</v>
      </c>
      <c r="H167" s="88">
        <f>IFERROR(__xludf.DUMMYFUNCTION("""COMPUTED_VALUE"""),0.0)</f>
        <v>0</v>
      </c>
      <c r="I167" s="88">
        <f>IFERROR(__xludf.DUMMYFUNCTION("""COMPUTED_VALUE"""),0.0)</f>
        <v>0</v>
      </c>
      <c r="J167" s="88">
        <f>IFERROR(__xludf.DUMMYFUNCTION("""COMPUTED_VALUE"""),0.0)</f>
        <v>0</v>
      </c>
      <c r="K167" s="88">
        <f>IFERROR(__xludf.DUMMYFUNCTION("""COMPUTED_VALUE"""),0.0)</f>
        <v>0</v>
      </c>
      <c r="L167" s="88">
        <f>IFERROR(__xludf.DUMMYFUNCTION("""COMPUTED_VALUE"""),0.0)</f>
        <v>0</v>
      </c>
      <c r="M167" s="88">
        <f>IFERROR(__xludf.DUMMYFUNCTION("""COMPUTED_VALUE"""),0.0)</f>
        <v>0</v>
      </c>
      <c r="N167" s="89">
        <f>IFERROR(__xludf.DUMMYFUNCTION("""COMPUTED_VALUE"""),0.0)</f>
        <v>0</v>
      </c>
    </row>
    <row r="168">
      <c r="A168" s="11"/>
      <c r="B168" s="82" t="str">
        <f>IFERROR(__xludf.DUMMYFUNCTION("""COMPUTED_VALUE"""),"Sandy Weyant")</f>
        <v>Sandy Weyant</v>
      </c>
      <c r="C168" s="86"/>
      <c r="D168" s="87"/>
      <c r="E168" s="86">
        <f>IFERROR(__xludf.DUMMYFUNCTION("""COMPUTED_VALUE"""),0.0)</f>
        <v>0</v>
      </c>
      <c r="F168" s="88">
        <f>IFERROR(__xludf.DUMMYFUNCTION("""COMPUTED_VALUE"""),0.0)</f>
        <v>0</v>
      </c>
      <c r="G168" s="88">
        <f>IFERROR(__xludf.DUMMYFUNCTION("""COMPUTED_VALUE"""),0.0)</f>
        <v>0</v>
      </c>
      <c r="H168" s="88">
        <f>IFERROR(__xludf.DUMMYFUNCTION("""COMPUTED_VALUE"""),0.0)</f>
        <v>0</v>
      </c>
      <c r="I168" s="88">
        <f>IFERROR(__xludf.DUMMYFUNCTION("""COMPUTED_VALUE"""),0.0)</f>
        <v>0</v>
      </c>
      <c r="J168" s="88">
        <f>IFERROR(__xludf.DUMMYFUNCTION("""COMPUTED_VALUE"""),0.0)</f>
        <v>0</v>
      </c>
      <c r="K168" s="88">
        <f>IFERROR(__xludf.DUMMYFUNCTION("""COMPUTED_VALUE"""),0.0)</f>
        <v>0</v>
      </c>
      <c r="L168" s="88">
        <f>IFERROR(__xludf.DUMMYFUNCTION("""COMPUTED_VALUE"""),0.0)</f>
        <v>0</v>
      </c>
      <c r="M168" s="88">
        <f>IFERROR(__xludf.DUMMYFUNCTION("""COMPUTED_VALUE"""),0.0)</f>
        <v>0</v>
      </c>
      <c r="N168" s="89">
        <f>IFERROR(__xludf.DUMMYFUNCTION("""COMPUTED_VALUE"""),0.0)</f>
        <v>0</v>
      </c>
    </row>
    <row r="169">
      <c r="A169" s="11"/>
      <c r="B169" s="82" t="str">
        <f>IFERROR(__xludf.DUMMYFUNCTION("""COMPUTED_VALUE"""),"Matthew Huang")</f>
        <v>Matthew Huang</v>
      </c>
      <c r="C169" s="86"/>
      <c r="D169" s="87"/>
      <c r="E169" s="86">
        <f>IFERROR(__xludf.DUMMYFUNCTION("""COMPUTED_VALUE"""),0.0)</f>
        <v>0</v>
      </c>
      <c r="F169" s="88">
        <f>IFERROR(__xludf.DUMMYFUNCTION("""COMPUTED_VALUE"""),0.0)</f>
        <v>0</v>
      </c>
      <c r="G169" s="88">
        <f>IFERROR(__xludf.DUMMYFUNCTION("""COMPUTED_VALUE"""),0.0)</f>
        <v>0</v>
      </c>
      <c r="H169" s="88">
        <f>IFERROR(__xludf.DUMMYFUNCTION("""COMPUTED_VALUE"""),0.0)</f>
        <v>0</v>
      </c>
      <c r="I169" s="88">
        <f>IFERROR(__xludf.DUMMYFUNCTION("""COMPUTED_VALUE"""),0.0)</f>
        <v>0</v>
      </c>
      <c r="J169" s="88">
        <f>IFERROR(__xludf.DUMMYFUNCTION("""COMPUTED_VALUE"""),0.0)</f>
        <v>0</v>
      </c>
      <c r="K169" s="88">
        <f>IFERROR(__xludf.DUMMYFUNCTION("""COMPUTED_VALUE"""),0.0)</f>
        <v>0</v>
      </c>
      <c r="L169" s="88">
        <f>IFERROR(__xludf.DUMMYFUNCTION("""COMPUTED_VALUE"""),0.0)</f>
        <v>0</v>
      </c>
      <c r="M169" s="88">
        <f>IFERROR(__xludf.DUMMYFUNCTION("""COMPUTED_VALUE"""),0.0)</f>
        <v>0</v>
      </c>
      <c r="N169" s="89">
        <f>IFERROR(__xludf.DUMMYFUNCTION("""COMPUTED_VALUE"""),0.0)</f>
        <v>0</v>
      </c>
    </row>
    <row r="170">
      <c r="A170" s="11"/>
      <c r="B170" s="82" t="str">
        <f>IFERROR(__xludf.DUMMYFUNCTION("""COMPUTED_VALUE"""),"Kumar Palakeel")</f>
        <v>Kumar Palakeel</v>
      </c>
      <c r="C170" s="86"/>
      <c r="D170" s="87"/>
      <c r="E170" s="86">
        <f>IFERROR(__xludf.DUMMYFUNCTION("""COMPUTED_VALUE"""),0.0)</f>
        <v>0</v>
      </c>
      <c r="F170" s="88">
        <f>IFERROR(__xludf.DUMMYFUNCTION("""COMPUTED_VALUE"""),0.0)</f>
        <v>0</v>
      </c>
      <c r="G170" s="88">
        <f>IFERROR(__xludf.DUMMYFUNCTION("""COMPUTED_VALUE"""),0.0)</f>
        <v>0</v>
      </c>
      <c r="H170" s="88">
        <f>IFERROR(__xludf.DUMMYFUNCTION("""COMPUTED_VALUE"""),0.0)</f>
        <v>0</v>
      </c>
      <c r="I170" s="88">
        <f>IFERROR(__xludf.DUMMYFUNCTION("""COMPUTED_VALUE"""),0.0)</f>
        <v>0</v>
      </c>
      <c r="J170" s="88">
        <f>IFERROR(__xludf.DUMMYFUNCTION("""COMPUTED_VALUE"""),0.0)</f>
        <v>0</v>
      </c>
      <c r="K170" s="88">
        <f>IFERROR(__xludf.DUMMYFUNCTION("""COMPUTED_VALUE"""),0.0)</f>
        <v>0</v>
      </c>
      <c r="L170" s="88">
        <f>IFERROR(__xludf.DUMMYFUNCTION("""COMPUTED_VALUE"""),0.0)</f>
        <v>0</v>
      </c>
      <c r="M170" s="88">
        <f>IFERROR(__xludf.DUMMYFUNCTION("""COMPUTED_VALUE"""),0.0)</f>
        <v>0</v>
      </c>
      <c r="N170" s="89">
        <f>IFERROR(__xludf.DUMMYFUNCTION("""COMPUTED_VALUE"""),0.0)</f>
        <v>0</v>
      </c>
    </row>
    <row r="171">
      <c r="A171" s="11"/>
      <c r="B171" s="82" t="str">
        <f>IFERROR(__xludf.DUMMYFUNCTION("""COMPUTED_VALUE"""),"Nohely Mejia")</f>
        <v>Nohely Mejia</v>
      </c>
      <c r="C171" s="86"/>
      <c r="D171" s="87"/>
      <c r="E171" s="86">
        <f>IFERROR(__xludf.DUMMYFUNCTION("""COMPUTED_VALUE"""),0.0)</f>
        <v>0</v>
      </c>
      <c r="F171" s="88">
        <f>IFERROR(__xludf.DUMMYFUNCTION("""COMPUTED_VALUE"""),0.0)</f>
        <v>0</v>
      </c>
      <c r="G171" s="88">
        <f>IFERROR(__xludf.DUMMYFUNCTION("""COMPUTED_VALUE"""),0.0)</f>
        <v>0</v>
      </c>
      <c r="H171" s="88">
        <f>IFERROR(__xludf.DUMMYFUNCTION("""COMPUTED_VALUE"""),0.0)</f>
        <v>0</v>
      </c>
      <c r="I171" s="88">
        <f>IFERROR(__xludf.DUMMYFUNCTION("""COMPUTED_VALUE"""),0.0)</f>
        <v>0</v>
      </c>
      <c r="J171" s="88">
        <f>IFERROR(__xludf.DUMMYFUNCTION("""COMPUTED_VALUE"""),0.0)</f>
        <v>0</v>
      </c>
      <c r="K171" s="88">
        <f>IFERROR(__xludf.DUMMYFUNCTION("""COMPUTED_VALUE"""),0.0)</f>
        <v>0</v>
      </c>
      <c r="L171" s="88">
        <f>IFERROR(__xludf.DUMMYFUNCTION("""COMPUTED_VALUE"""),0.0)</f>
        <v>0</v>
      </c>
      <c r="M171" s="88">
        <f>IFERROR(__xludf.DUMMYFUNCTION("""COMPUTED_VALUE"""),0.0)</f>
        <v>0</v>
      </c>
      <c r="N171" s="89">
        <f>IFERROR(__xludf.DUMMYFUNCTION("""COMPUTED_VALUE"""),0.0)</f>
        <v>0</v>
      </c>
    </row>
    <row r="172">
      <c r="A172" s="11"/>
      <c r="B172" s="82" t="str">
        <f>IFERROR(__xludf.DUMMYFUNCTION("""COMPUTED_VALUE"""),"Rajasekar Ramasamy")</f>
        <v>Rajasekar Ramasamy</v>
      </c>
      <c r="C172" s="86"/>
      <c r="D172" s="87"/>
      <c r="E172" s="86">
        <f>IFERROR(__xludf.DUMMYFUNCTION("""COMPUTED_VALUE"""),0.0)</f>
        <v>0</v>
      </c>
      <c r="F172" s="88">
        <f>IFERROR(__xludf.DUMMYFUNCTION("""COMPUTED_VALUE"""),0.0)</f>
        <v>0</v>
      </c>
      <c r="G172" s="88">
        <f>IFERROR(__xludf.DUMMYFUNCTION("""COMPUTED_VALUE"""),0.0)</f>
        <v>0</v>
      </c>
      <c r="H172" s="88">
        <f>IFERROR(__xludf.DUMMYFUNCTION("""COMPUTED_VALUE"""),0.0)</f>
        <v>0</v>
      </c>
      <c r="I172" s="88">
        <f>IFERROR(__xludf.DUMMYFUNCTION("""COMPUTED_VALUE"""),0.0)</f>
        <v>0</v>
      </c>
      <c r="J172" s="88">
        <f>IFERROR(__xludf.DUMMYFUNCTION("""COMPUTED_VALUE"""),0.0)</f>
        <v>0</v>
      </c>
      <c r="K172" s="88">
        <f>IFERROR(__xludf.DUMMYFUNCTION("""COMPUTED_VALUE"""),0.0)</f>
        <v>0</v>
      </c>
      <c r="L172" s="88">
        <f>IFERROR(__xludf.DUMMYFUNCTION("""COMPUTED_VALUE"""),0.0)</f>
        <v>0</v>
      </c>
      <c r="M172" s="88">
        <f>IFERROR(__xludf.DUMMYFUNCTION("""COMPUTED_VALUE"""),0.0)</f>
        <v>0</v>
      </c>
      <c r="N172" s="89">
        <f>IFERROR(__xludf.DUMMYFUNCTION("""COMPUTED_VALUE"""),0.0)</f>
        <v>0</v>
      </c>
    </row>
    <row r="173">
      <c r="A173" s="11"/>
      <c r="B173" s="82" t="str">
        <f>IFERROR(__xludf.DUMMYFUNCTION("""COMPUTED_VALUE"""),"Manish Anand")</f>
        <v>Manish Anand</v>
      </c>
      <c r="C173" s="86"/>
      <c r="D173" s="87"/>
      <c r="E173" s="86">
        <f>IFERROR(__xludf.DUMMYFUNCTION("""COMPUTED_VALUE"""),0.0)</f>
        <v>0</v>
      </c>
      <c r="F173" s="88">
        <f>IFERROR(__xludf.DUMMYFUNCTION("""COMPUTED_VALUE"""),0.0)</f>
        <v>0</v>
      </c>
      <c r="G173" s="88">
        <f>IFERROR(__xludf.DUMMYFUNCTION("""COMPUTED_VALUE"""),0.0)</f>
        <v>0</v>
      </c>
      <c r="H173" s="88">
        <f>IFERROR(__xludf.DUMMYFUNCTION("""COMPUTED_VALUE"""),0.0)</f>
        <v>0</v>
      </c>
      <c r="I173" s="88">
        <f>IFERROR(__xludf.DUMMYFUNCTION("""COMPUTED_VALUE"""),0.0)</f>
        <v>0</v>
      </c>
      <c r="J173" s="88">
        <f>IFERROR(__xludf.DUMMYFUNCTION("""COMPUTED_VALUE"""),0.0)</f>
        <v>0</v>
      </c>
      <c r="K173" s="88">
        <f>IFERROR(__xludf.DUMMYFUNCTION("""COMPUTED_VALUE"""),0.0)</f>
        <v>0</v>
      </c>
      <c r="L173" s="88">
        <f>IFERROR(__xludf.DUMMYFUNCTION("""COMPUTED_VALUE"""),0.0)</f>
        <v>0</v>
      </c>
      <c r="M173" s="88">
        <f>IFERROR(__xludf.DUMMYFUNCTION("""COMPUTED_VALUE"""),0.0)</f>
        <v>0</v>
      </c>
      <c r="N173" s="89">
        <f>IFERROR(__xludf.DUMMYFUNCTION("""COMPUTED_VALUE"""),0.0)</f>
        <v>0</v>
      </c>
    </row>
    <row r="174">
      <c r="A174" s="11"/>
      <c r="B174" s="82" t="str">
        <f>IFERROR(__xludf.DUMMYFUNCTION("""COMPUTED_VALUE"""),"Alejandro Mejia")</f>
        <v>Alejandro Mejia</v>
      </c>
      <c r="C174" s="86"/>
      <c r="D174" s="87"/>
      <c r="E174" s="86">
        <f>IFERROR(__xludf.DUMMYFUNCTION("""COMPUTED_VALUE"""),0.0)</f>
        <v>0</v>
      </c>
      <c r="F174" s="88">
        <f>IFERROR(__xludf.DUMMYFUNCTION("""COMPUTED_VALUE"""),0.0)</f>
        <v>0</v>
      </c>
      <c r="G174" s="88">
        <f>IFERROR(__xludf.DUMMYFUNCTION("""COMPUTED_VALUE"""),0.0)</f>
        <v>0</v>
      </c>
      <c r="H174" s="88">
        <f>IFERROR(__xludf.DUMMYFUNCTION("""COMPUTED_VALUE"""),0.0)</f>
        <v>0</v>
      </c>
      <c r="I174" s="88">
        <f>IFERROR(__xludf.DUMMYFUNCTION("""COMPUTED_VALUE"""),0.0)</f>
        <v>0</v>
      </c>
      <c r="J174" s="88">
        <f>IFERROR(__xludf.DUMMYFUNCTION("""COMPUTED_VALUE"""),0.0)</f>
        <v>0</v>
      </c>
      <c r="K174" s="88">
        <f>IFERROR(__xludf.DUMMYFUNCTION("""COMPUTED_VALUE"""),0.0)</f>
        <v>0</v>
      </c>
      <c r="L174" s="88">
        <f>IFERROR(__xludf.DUMMYFUNCTION("""COMPUTED_VALUE"""),0.0)</f>
        <v>0</v>
      </c>
      <c r="M174" s="88">
        <f>IFERROR(__xludf.DUMMYFUNCTION("""COMPUTED_VALUE"""),0.0)</f>
        <v>0</v>
      </c>
      <c r="N174" s="89">
        <f>IFERROR(__xludf.DUMMYFUNCTION("""COMPUTED_VALUE"""),0.0)</f>
        <v>0</v>
      </c>
    </row>
    <row r="175">
      <c r="A175" s="11"/>
      <c r="B175" s="82" t="str">
        <f>IFERROR(__xludf.DUMMYFUNCTION("""COMPUTED_VALUE"""),"Balaji Alahari")</f>
        <v>Balaji Alahari</v>
      </c>
      <c r="C175" s="86"/>
      <c r="D175" s="87"/>
      <c r="E175" s="86">
        <f>IFERROR(__xludf.DUMMYFUNCTION("""COMPUTED_VALUE"""),0.0)</f>
        <v>0</v>
      </c>
      <c r="F175" s="88">
        <f>IFERROR(__xludf.DUMMYFUNCTION("""COMPUTED_VALUE"""),0.0)</f>
        <v>0</v>
      </c>
      <c r="G175" s="88">
        <f>IFERROR(__xludf.DUMMYFUNCTION("""COMPUTED_VALUE"""),0.0)</f>
        <v>0</v>
      </c>
      <c r="H175" s="88">
        <f>IFERROR(__xludf.DUMMYFUNCTION("""COMPUTED_VALUE"""),0.0)</f>
        <v>0</v>
      </c>
      <c r="I175" s="88">
        <f>IFERROR(__xludf.DUMMYFUNCTION("""COMPUTED_VALUE"""),0.0)</f>
        <v>0</v>
      </c>
      <c r="J175" s="88">
        <f>IFERROR(__xludf.DUMMYFUNCTION("""COMPUTED_VALUE"""),0.0)</f>
        <v>0</v>
      </c>
      <c r="K175" s="88">
        <f>IFERROR(__xludf.DUMMYFUNCTION("""COMPUTED_VALUE"""),0.0)</f>
        <v>0</v>
      </c>
      <c r="L175" s="88">
        <f>IFERROR(__xludf.DUMMYFUNCTION("""COMPUTED_VALUE"""),0.0)</f>
        <v>0</v>
      </c>
      <c r="M175" s="88">
        <f>IFERROR(__xludf.DUMMYFUNCTION("""COMPUTED_VALUE"""),0.0)</f>
        <v>0</v>
      </c>
      <c r="N175" s="89">
        <f>IFERROR(__xludf.DUMMYFUNCTION("""COMPUTED_VALUE"""),0.0)</f>
        <v>0</v>
      </c>
    </row>
    <row r="176">
      <c r="A176" s="11"/>
      <c r="B176" s="82" t="str">
        <f>IFERROR(__xludf.DUMMYFUNCTION("""COMPUTED_VALUE"""),"Vinaya Kajla")</f>
        <v>Vinaya Kajla</v>
      </c>
      <c r="C176" s="86"/>
      <c r="D176" s="87"/>
      <c r="E176" s="86">
        <f>IFERROR(__xludf.DUMMYFUNCTION("""COMPUTED_VALUE"""),0.0)</f>
        <v>0</v>
      </c>
      <c r="F176" s="88">
        <f>IFERROR(__xludf.DUMMYFUNCTION("""COMPUTED_VALUE"""),0.0)</f>
        <v>0</v>
      </c>
      <c r="G176" s="88">
        <f>IFERROR(__xludf.DUMMYFUNCTION("""COMPUTED_VALUE"""),0.0)</f>
        <v>0</v>
      </c>
      <c r="H176" s="88">
        <f>IFERROR(__xludf.DUMMYFUNCTION("""COMPUTED_VALUE"""),0.0)</f>
        <v>0</v>
      </c>
      <c r="I176" s="88">
        <f>IFERROR(__xludf.DUMMYFUNCTION("""COMPUTED_VALUE"""),0.0)</f>
        <v>0</v>
      </c>
      <c r="J176" s="88">
        <f>IFERROR(__xludf.DUMMYFUNCTION("""COMPUTED_VALUE"""),0.0)</f>
        <v>0</v>
      </c>
      <c r="K176" s="88">
        <f>IFERROR(__xludf.DUMMYFUNCTION("""COMPUTED_VALUE"""),0.0)</f>
        <v>0</v>
      </c>
      <c r="L176" s="88">
        <f>IFERROR(__xludf.DUMMYFUNCTION("""COMPUTED_VALUE"""),0.0)</f>
        <v>0</v>
      </c>
      <c r="M176" s="88">
        <f>IFERROR(__xludf.DUMMYFUNCTION("""COMPUTED_VALUE"""),0.0)</f>
        <v>0</v>
      </c>
      <c r="N176" s="89">
        <f>IFERROR(__xludf.DUMMYFUNCTION("""COMPUTED_VALUE"""),0.0)</f>
        <v>0</v>
      </c>
    </row>
    <row r="177">
      <c r="A177" s="11"/>
      <c r="B177" s="82" t="str">
        <f>IFERROR(__xludf.DUMMYFUNCTION("""COMPUTED_VALUE"""),"Naveen Raj")</f>
        <v>Naveen Raj</v>
      </c>
      <c r="C177" s="86"/>
      <c r="D177" s="87"/>
      <c r="E177" s="86">
        <f>IFERROR(__xludf.DUMMYFUNCTION("""COMPUTED_VALUE"""),0.0)</f>
        <v>0</v>
      </c>
      <c r="F177" s="88">
        <f>IFERROR(__xludf.DUMMYFUNCTION("""COMPUTED_VALUE"""),0.0)</f>
        <v>0</v>
      </c>
      <c r="G177" s="88">
        <f>IFERROR(__xludf.DUMMYFUNCTION("""COMPUTED_VALUE"""),0.0)</f>
        <v>0</v>
      </c>
      <c r="H177" s="88">
        <f>IFERROR(__xludf.DUMMYFUNCTION("""COMPUTED_VALUE"""),0.0)</f>
        <v>0</v>
      </c>
      <c r="I177" s="88">
        <f>IFERROR(__xludf.DUMMYFUNCTION("""COMPUTED_VALUE"""),0.0)</f>
        <v>0</v>
      </c>
      <c r="J177" s="88">
        <f>IFERROR(__xludf.DUMMYFUNCTION("""COMPUTED_VALUE"""),0.0)</f>
        <v>0</v>
      </c>
      <c r="K177" s="88">
        <f>IFERROR(__xludf.DUMMYFUNCTION("""COMPUTED_VALUE"""),0.0)</f>
        <v>0</v>
      </c>
      <c r="L177" s="88">
        <f>IFERROR(__xludf.DUMMYFUNCTION("""COMPUTED_VALUE"""),0.0)</f>
        <v>0</v>
      </c>
      <c r="M177" s="88">
        <f>IFERROR(__xludf.DUMMYFUNCTION("""COMPUTED_VALUE"""),0.0)</f>
        <v>0</v>
      </c>
      <c r="N177" s="89">
        <f>IFERROR(__xludf.DUMMYFUNCTION("""COMPUTED_VALUE"""),0.0)</f>
        <v>0</v>
      </c>
    </row>
    <row r="178">
      <c r="A178" s="11"/>
      <c r="B178" s="82" t="str">
        <f>IFERROR(__xludf.DUMMYFUNCTION("""COMPUTED_VALUE"""),"Sanjaye Elayattu")</f>
        <v>Sanjaye Elayattu</v>
      </c>
      <c r="C178" s="86"/>
      <c r="D178" s="87"/>
      <c r="E178" s="86">
        <f>IFERROR(__xludf.DUMMYFUNCTION("""COMPUTED_VALUE"""),0.0)</f>
        <v>0</v>
      </c>
      <c r="F178" s="88">
        <f>IFERROR(__xludf.DUMMYFUNCTION("""COMPUTED_VALUE"""),0.0)</f>
        <v>0</v>
      </c>
      <c r="G178" s="88">
        <f>IFERROR(__xludf.DUMMYFUNCTION("""COMPUTED_VALUE"""),0.0)</f>
        <v>0</v>
      </c>
      <c r="H178" s="88">
        <f>IFERROR(__xludf.DUMMYFUNCTION("""COMPUTED_VALUE"""),0.0)</f>
        <v>0</v>
      </c>
      <c r="I178" s="88">
        <f>IFERROR(__xludf.DUMMYFUNCTION("""COMPUTED_VALUE"""),0.0)</f>
        <v>0</v>
      </c>
      <c r="J178" s="88">
        <f>IFERROR(__xludf.DUMMYFUNCTION("""COMPUTED_VALUE"""),0.0)</f>
        <v>0</v>
      </c>
      <c r="K178" s="88">
        <f>IFERROR(__xludf.DUMMYFUNCTION("""COMPUTED_VALUE"""),0.0)</f>
        <v>0</v>
      </c>
      <c r="L178" s="88">
        <f>IFERROR(__xludf.DUMMYFUNCTION("""COMPUTED_VALUE"""),0.0)</f>
        <v>0</v>
      </c>
      <c r="M178" s="88">
        <f>IFERROR(__xludf.DUMMYFUNCTION("""COMPUTED_VALUE"""),0.0)</f>
        <v>0</v>
      </c>
      <c r="N178" s="89">
        <f>IFERROR(__xludf.DUMMYFUNCTION("""COMPUTED_VALUE"""),0.0)</f>
        <v>0</v>
      </c>
    </row>
    <row r="179">
      <c r="A179" s="11"/>
      <c r="B179" s="82" t="str">
        <f>IFERROR(__xludf.DUMMYFUNCTION("""COMPUTED_VALUE"""),"Amit Patel")</f>
        <v>Amit Patel</v>
      </c>
      <c r="C179" s="86"/>
      <c r="D179" s="87"/>
      <c r="E179" s="86">
        <f>IFERROR(__xludf.DUMMYFUNCTION("""COMPUTED_VALUE"""),0.0)</f>
        <v>0</v>
      </c>
      <c r="F179" s="88">
        <f>IFERROR(__xludf.DUMMYFUNCTION("""COMPUTED_VALUE"""),0.0)</f>
        <v>0</v>
      </c>
      <c r="G179" s="88">
        <f>IFERROR(__xludf.DUMMYFUNCTION("""COMPUTED_VALUE"""),0.0)</f>
        <v>0</v>
      </c>
      <c r="H179" s="88">
        <f>IFERROR(__xludf.DUMMYFUNCTION("""COMPUTED_VALUE"""),0.0)</f>
        <v>0</v>
      </c>
      <c r="I179" s="88">
        <f>IFERROR(__xludf.DUMMYFUNCTION("""COMPUTED_VALUE"""),0.0)</f>
        <v>0</v>
      </c>
      <c r="J179" s="88">
        <f>IFERROR(__xludf.DUMMYFUNCTION("""COMPUTED_VALUE"""),0.0)</f>
        <v>0</v>
      </c>
      <c r="K179" s="88">
        <f>IFERROR(__xludf.DUMMYFUNCTION("""COMPUTED_VALUE"""),0.0)</f>
        <v>0</v>
      </c>
      <c r="L179" s="88">
        <f>IFERROR(__xludf.DUMMYFUNCTION("""COMPUTED_VALUE"""),0.0)</f>
        <v>0</v>
      </c>
      <c r="M179" s="88">
        <f>IFERROR(__xludf.DUMMYFUNCTION("""COMPUTED_VALUE"""),0.0)</f>
        <v>0</v>
      </c>
      <c r="N179" s="89">
        <f>IFERROR(__xludf.DUMMYFUNCTION("""COMPUTED_VALUE"""),0.0)</f>
        <v>0</v>
      </c>
    </row>
    <row r="180">
      <c r="A180" s="11"/>
      <c r="B180" s="82" t="str">
        <f>IFERROR(__xludf.DUMMYFUNCTION("""COMPUTED_VALUE"""),"Robert Chang")</f>
        <v>Robert Chang</v>
      </c>
      <c r="C180" s="86"/>
      <c r="D180" s="87"/>
      <c r="E180" s="86">
        <f>IFERROR(__xludf.DUMMYFUNCTION("""COMPUTED_VALUE"""),0.0)</f>
        <v>0</v>
      </c>
      <c r="F180" s="88">
        <f>IFERROR(__xludf.DUMMYFUNCTION("""COMPUTED_VALUE"""),0.0)</f>
        <v>0</v>
      </c>
      <c r="G180" s="88">
        <f>IFERROR(__xludf.DUMMYFUNCTION("""COMPUTED_VALUE"""),0.0)</f>
        <v>0</v>
      </c>
      <c r="H180" s="88">
        <f>IFERROR(__xludf.DUMMYFUNCTION("""COMPUTED_VALUE"""),0.0)</f>
        <v>0</v>
      </c>
      <c r="I180" s="88">
        <f>IFERROR(__xludf.DUMMYFUNCTION("""COMPUTED_VALUE"""),0.0)</f>
        <v>0</v>
      </c>
      <c r="J180" s="88">
        <f>IFERROR(__xludf.DUMMYFUNCTION("""COMPUTED_VALUE"""),0.0)</f>
        <v>0</v>
      </c>
      <c r="K180" s="88">
        <f>IFERROR(__xludf.DUMMYFUNCTION("""COMPUTED_VALUE"""),0.0)</f>
        <v>0</v>
      </c>
      <c r="L180" s="88">
        <f>IFERROR(__xludf.DUMMYFUNCTION("""COMPUTED_VALUE"""),0.0)</f>
        <v>0</v>
      </c>
      <c r="M180" s="88">
        <f>IFERROR(__xludf.DUMMYFUNCTION("""COMPUTED_VALUE"""),0.0)</f>
        <v>0</v>
      </c>
      <c r="N180" s="89">
        <f>IFERROR(__xludf.DUMMYFUNCTION("""COMPUTED_VALUE"""),0.0)</f>
        <v>0</v>
      </c>
    </row>
    <row r="181">
      <c r="A181" s="11"/>
      <c r="B181" s="82" t="str">
        <f>IFERROR(__xludf.DUMMYFUNCTION("""COMPUTED_VALUE"""),"Troy Wong")</f>
        <v>Troy Wong</v>
      </c>
      <c r="C181" s="86"/>
      <c r="D181" s="87"/>
      <c r="E181" s="86">
        <f>IFERROR(__xludf.DUMMYFUNCTION("""COMPUTED_VALUE"""),0.0)</f>
        <v>0</v>
      </c>
      <c r="F181" s="88">
        <f>IFERROR(__xludf.DUMMYFUNCTION("""COMPUTED_VALUE"""),0.0)</f>
        <v>0</v>
      </c>
      <c r="G181" s="88">
        <f>IFERROR(__xludf.DUMMYFUNCTION("""COMPUTED_VALUE"""),0.0)</f>
        <v>0</v>
      </c>
      <c r="H181" s="88">
        <f>IFERROR(__xludf.DUMMYFUNCTION("""COMPUTED_VALUE"""),0.0)</f>
        <v>0</v>
      </c>
      <c r="I181" s="88">
        <f>IFERROR(__xludf.DUMMYFUNCTION("""COMPUTED_VALUE"""),0.0)</f>
        <v>0</v>
      </c>
      <c r="J181" s="88">
        <f>IFERROR(__xludf.DUMMYFUNCTION("""COMPUTED_VALUE"""),0.0)</f>
        <v>0</v>
      </c>
      <c r="K181" s="88">
        <f>IFERROR(__xludf.DUMMYFUNCTION("""COMPUTED_VALUE"""),0.0)</f>
        <v>0</v>
      </c>
      <c r="L181" s="88">
        <f>IFERROR(__xludf.DUMMYFUNCTION("""COMPUTED_VALUE"""),0.0)</f>
        <v>0</v>
      </c>
      <c r="M181" s="88">
        <f>IFERROR(__xludf.DUMMYFUNCTION("""COMPUTED_VALUE"""),0.0)</f>
        <v>0</v>
      </c>
      <c r="N181" s="89">
        <f>IFERROR(__xludf.DUMMYFUNCTION("""COMPUTED_VALUE"""),0.0)</f>
        <v>0</v>
      </c>
    </row>
    <row r="182">
      <c r="A182" s="11"/>
      <c r="B182" s="82" t="str">
        <f>IFERROR(__xludf.DUMMYFUNCTION("""COMPUTED_VALUE"""),"Santosh Sundaresan ")</f>
        <v>Santosh Sundaresan </v>
      </c>
      <c r="C182" s="86"/>
      <c r="D182" s="87"/>
      <c r="E182" s="86">
        <f>IFERROR(__xludf.DUMMYFUNCTION("""COMPUTED_VALUE"""),0.0)</f>
        <v>0</v>
      </c>
      <c r="F182" s="88">
        <f>IFERROR(__xludf.DUMMYFUNCTION("""COMPUTED_VALUE"""),0.0)</f>
        <v>0</v>
      </c>
      <c r="G182" s="88">
        <f>IFERROR(__xludf.DUMMYFUNCTION("""COMPUTED_VALUE"""),0.0)</f>
        <v>0</v>
      </c>
      <c r="H182" s="88">
        <f>IFERROR(__xludf.DUMMYFUNCTION("""COMPUTED_VALUE"""),0.0)</f>
        <v>0</v>
      </c>
      <c r="I182" s="88">
        <f>IFERROR(__xludf.DUMMYFUNCTION("""COMPUTED_VALUE"""),0.0)</f>
        <v>0</v>
      </c>
      <c r="J182" s="88">
        <f>IFERROR(__xludf.DUMMYFUNCTION("""COMPUTED_VALUE"""),0.0)</f>
        <v>0</v>
      </c>
      <c r="K182" s="88">
        <f>IFERROR(__xludf.DUMMYFUNCTION("""COMPUTED_VALUE"""),0.0)</f>
        <v>0</v>
      </c>
      <c r="L182" s="88">
        <f>IFERROR(__xludf.DUMMYFUNCTION("""COMPUTED_VALUE"""),0.0)</f>
        <v>0</v>
      </c>
      <c r="M182" s="88">
        <f>IFERROR(__xludf.DUMMYFUNCTION("""COMPUTED_VALUE"""),0.0)</f>
        <v>0</v>
      </c>
      <c r="N182" s="89">
        <f>IFERROR(__xludf.DUMMYFUNCTION("""COMPUTED_VALUE"""),0.0)</f>
        <v>0</v>
      </c>
    </row>
    <row r="183">
      <c r="A183" s="11"/>
      <c r="B183" s="82" t="str">
        <f>IFERROR(__xludf.DUMMYFUNCTION("""COMPUTED_VALUE"""),"Tony Lin")</f>
        <v>Tony Lin</v>
      </c>
      <c r="C183" s="86"/>
      <c r="D183" s="87"/>
      <c r="E183" s="86">
        <f>IFERROR(__xludf.DUMMYFUNCTION("""COMPUTED_VALUE"""),0.0)</f>
        <v>0</v>
      </c>
      <c r="F183" s="88">
        <f>IFERROR(__xludf.DUMMYFUNCTION("""COMPUTED_VALUE"""),0.0)</f>
        <v>0</v>
      </c>
      <c r="G183" s="88">
        <f>IFERROR(__xludf.DUMMYFUNCTION("""COMPUTED_VALUE"""),0.0)</f>
        <v>0</v>
      </c>
      <c r="H183" s="88">
        <f>IFERROR(__xludf.DUMMYFUNCTION("""COMPUTED_VALUE"""),0.0)</f>
        <v>0</v>
      </c>
      <c r="I183" s="88">
        <f>IFERROR(__xludf.DUMMYFUNCTION("""COMPUTED_VALUE"""),0.0)</f>
        <v>0</v>
      </c>
      <c r="J183" s="88">
        <f>IFERROR(__xludf.DUMMYFUNCTION("""COMPUTED_VALUE"""),0.0)</f>
        <v>0</v>
      </c>
      <c r="K183" s="88">
        <f>IFERROR(__xludf.DUMMYFUNCTION("""COMPUTED_VALUE"""),0.0)</f>
        <v>0</v>
      </c>
      <c r="L183" s="88">
        <f>IFERROR(__xludf.DUMMYFUNCTION("""COMPUTED_VALUE"""),0.0)</f>
        <v>0</v>
      </c>
      <c r="M183" s="88">
        <f>IFERROR(__xludf.DUMMYFUNCTION("""COMPUTED_VALUE"""),0.0)</f>
        <v>0</v>
      </c>
      <c r="N183" s="89">
        <f>IFERROR(__xludf.DUMMYFUNCTION("""COMPUTED_VALUE"""),0.0)</f>
        <v>0</v>
      </c>
    </row>
    <row r="184">
      <c r="A184" s="11"/>
      <c r="B184" s="82" t="str">
        <f>IFERROR(__xludf.DUMMYFUNCTION("""COMPUTED_VALUE"""),"Joyce Zhu")</f>
        <v>Joyce Zhu</v>
      </c>
      <c r="C184" s="86"/>
      <c r="D184" s="87"/>
      <c r="E184" s="86">
        <f>IFERROR(__xludf.DUMMYFUNCTION("""COMPUTED_VALUE"""),0.0)</f>
        <v>0</v>
      </c>
      <c r="F184" s="88">
        <f>IFERROR(__xludf.DUMMYFUNCTION("""COMPUTED_VALUE"""),0.0)</f>
        <v>0</v>
      </c>
      <c r="G184" s="88">
        <f>IFERROR(__xludf.DUMMYFUNCTION("""COMPUTED_VALUE"""),0.0)</f>
        <v>0</v>
      </c>
      <c r="H184" s="88">
        <f>IFERROR(__xludf.DUMMYFUNCTION("""COMPUTED_VALUE"""),0.0)</f>
        <v>0</v>
      </c>
      <c r="I184" s="88">
        <f>IFERROR(__xludf.DUMMYFUNCTION("""COMPUTED_VALUE"""),0.0)</f>
        <v>0</v>
      </c>
      <c r="J184" s="88">
        <f>IFERROR(__xludf.DUMMYFUNCTION("""COMPUTED_VALUE"""),0.0)</f>
        <v>0</v>
      </c>
      <c r="K184" s="88">
        <f>IFERROR(__xludf.DUMMYFUNCTION("""COMPUTED_VALUE"""),0.0)</f>
        <v>0</v>
      </c>
      <c r="L184" s="88">
        <f>IFERROR(__xludf.DUMMYFUNCTION("""COMPUTED_VALUE"""),0.0)</f>
        <v>0</v>
      </c>
      <c r="M184" s="88">
        <f>IFERROR(__xludf.DUMMYFUNCTION("""COMPUTED_VALUE"""),0.0)</f>
        <v>0</v>
      </c>
      <c r="N184" s="89">
        <f>IFERROR(__xludf.DUMMYFUNCTION("""COMPUTED_VALUE"""),0.0)</f>
        <v>0</v>
      </c>
    </row>
    <row r="185">
      <c r="A185" s="11"/>
      <c r="B185" s="82" t="str">
        <f>IFERROR(__xludf.DUMMYFUNCTION("""COMPUTED_VALUE"""),"Coco Yan")</f>
        <v>Coco Yan</v>
      </c>
      <c r="C185" s="86"/>
      <c r="D185" s="87"/>
      <c r="E185" s="86">
        <f>IFERROR(__xludf.DUMMYFUNCTION("""COMPUTED_VALUE"""),0.0)</f>
        <v>0</v>
      </c>
      <c r="F185" s="88">
        <f>IFERROR(__xludf.DUMMYFUNCTION("""COMPUTED_VALUE"""),0.0)</f>
        <v>0</v>
      </c>
      <c r="G185" s="88">
        <f>IFERROR(__xludf.DUMMYFUNCTION("""COMPUTED_VALUE"""),0.0)</f>
        <v>0</v>
      </c>
      <c r="H185" s="88">
        <f>IFERROR(__xludf.DUMMYFUNCTION("""COMPUTED_VALUE"""),0.0)</f>
        <v>0</v>
      </c>
      <c r="I185" s="88">
        <f>IFERROR(__xludf.DUMMYFUNCTION("""COMPUTED_VALUE"""),0.0)</f>
        <v>0</v>
      </c>
      <c r="J185" s="88">
        <f>IFERROR(__xludf.DUMMYFUNCTION("""COMPUTED_VALUE"""),0.0)</f>
        <v>0</v>
      </c>
      <c r="K185" s="88">
        <f>IFERROR(__xludf.DUMMYFUNCTION("""COMPUTED_VALUE"""),0.0)</f>
        <v>0</v>
      </c>
      <c r="L185" s="88">
        <f>IFERROR(__xludf.DUMMYFUNCTION("""COMPUTED_VALUE"""),0.0)</f>
        <v>0</v>
      </c>
      <c r="M185" s="88">
        <f>IFERROR(__xludf.DUMMYFUNCTION("""COMPUTED_VALUE"""),0.0)</f>
        <v>0</v>
      </c>
      <c r="N185" s="89">
        <f>IFERROR(__xludf.DUMMYFUNCTION("""COMPUTED_VALUE"""),0.0)</f>
        <v>0</v>
      </c>
    </row>
    <row r="186">
      <c r="A186" s="11"/>
      <c r="B186" s="82" t="str">
        <f>IFERROR(__xludf.DUMMYFUNCTION("""COMPUTED_VALUE"""),"Sai Dilip Ponnaganti")</f>
        <v>Sai Dilip Ponnaganti</v>
      </c>
      <c r="C186" s="86"/>
      <c r="D186" s="87"/>
      <c r="E186" s="86">
        <f>IFERROR(__xludf.DUMMYFUNCTION("""COMPUTED_VALUE"""),0.0)</f>
        <v>0</v>
      </c>
      <c r="F186" s="88">
        <f>IFERROR(__xludf.DUMMYFUNCTION("""COMPUTED_VALUE"""),0.0)</f>
        <v>0</v>
      </c>
      <c r="G186" s="88">
        <f>IFERROR(__xludf.DUMMYFUNCTION("""COMPUTED_VALUE"""),0.0)</f>
        <v>0</v>
      </c>
      <c r="H186" s="88">
        <f>IFERROR(__xludf.DUMMYFUNCTION("""COMPUTED_VALUE"""),0.0)</f>
        <v>0</v>
      </c>
      <c r="I186" s="88">
        <f>IFERROR(__xludf.DUMMYFUNCTION("""COMPUTED_VALUE"""),0.0)</f>
        <v>0</v>
      </c>
      <c r="J186" s="88">
        <f>IFERROR(__xludf.DUMMYFUNCTION("""COMPUTED_VALUE"""),0.0)</f>
        <v>0</v>
      </c>
      <c r="K186" s="88">
        <f>IFERROR(__xludf.DUMMYFUNCTION("""COMPUTED_VALUE"""),0.0)</f>
        <v>0</v>
      </c>
      <c r="L186" s="88">
        <f>IFERROR(__xludf.DUMMYFUNCTION("""COMPUTED_VALUE"""),0.0)</f>
        <v>0</v>
      </c>
      <c r="M186" s="88">
        <f>IFERROR(__xludf.DUMMYFUNCTION("""COMPUTED_VALUE"""),0.0)</f>
        <v>0</v>
      </c>
      <c r="N186" s="89">
        <f>IFERROR(__xludf.DUMMYFUNCTION("""COMPUTED_VALUE"""),0.0)</f>
        <v>0</v>
      </c>
    </row>
    <row r="187">
      <c r="A187" s="11"/>
      <c r="B187" s="82" t="str">
        <f>IFERROR(__xludf.DUMMYFUNCTION("""COMPUTED_VALUE"""),"Jose Ortiz")</f>
        <v>Jose Ortiz</v>
      </c>
      <c r="C187" s="86"/>
      <c r="D187" s="87"/>
      <c r="E187" s="86">
        <f>IFERROR(__xludf.DUMMYFUNCTION("""COMPUTED_VALUE"""),0.0)</f>
        <v>0</v>
      </c>
      <c r="F187" s="88">
        <f>IFERROR(__xludf.DUMMYFUNCTION("""COMPUTED_VALUE"""),0.0)</f>
        <v>0</v>
      </c>
      <c r="G187" s="88">
        <f>IFERROR(__xludf.DUMMYFUNCTION("""COMPUTED_VALUE"""),0.0)</f>
        <v>0</v>
      </c>
      <c r="H187" s="88">
        <f>IFERROR(__xludf.DUMMYFUNCTION("""COMPUTED_VALUE"""),0.0)</f>
        <v>0</v>
      </c>
      <c r="I187" s="88">
        <f>IFERROR(__xludf.DUMMYFUNCTION("""COMPUTED_VALUE"""),0.0)</f>
        <v>0</v>
      </c>
      <c r="J187" s="88">
        <f>IFERROR(__xludf.DUMMYFUNCTION("""COMPUTED_VALUE"""),0.0)</f>
        <v>0</v>
      </c>
      <c r="K187" s="88">
        <f>IFERROR(__xludf.DUMMYFUNCTION("""COMPUTED_VALUE"""),0.0)</f>
        <v>0</v>
      </c>
      <c r="L187" s="88">
        <f>IFERROR(__xludf.DUMMYFUNCTION("""COMPUTED_VALUE"""),0.0)</f>
        <v>0</v>
      </c>
      <c r="M187" s="88">
        <f>IFERROR(__xludf.DUMMYFUNCTION("""COMPUTED_VALUE"""),0.0)</f>
        <v>0</v>
      </c>
      <c r="N187" s="89">
        <f>IFERROR(__xludf.DUMMYFUNCTION("""COMPUTED_VALUE"""),0.0)</f>
        <v>0</v>
      </c>
    </row>
    <row r="188">
      <c r="A188" s="11"/>
      <c r="B188" s="82" t="str">
        <f>IFERROR(__xludf.DUMMYFUNCTION("""COMPUTED_VALUE"""),"Nicole Ni")</f>
        <v>Nicole Ni</v>
      </c>
      <c r="C188" s="86"/>
      <c r="D188" s="87"/>
      <c r="E188" s="86">
        <f>IFERROR(__xludf.DUMMYFUNCTION("""COMPUTED_VALUE"""),0.0)</f>
        <v>0</v>
      </c>
      <c r="F188" s="88">
        <f>IFERROR(__xludf.DUMMYFUNCTION("""COMPUTED_VALUE"""),0.0)</f>
        <v>0</v>
      </c>
      <c r="G188" s="88">
        <f>IFERROR(__xludf.DUMMYFUNCTION("""COMPUTED_VALUE"""),0.0)</f>
        <v>0</v>
      </c>
      <c r="H188" s="88">
        <f>IFERROR(__xludf.DUMMYFUNCTION("""COMPUTED_VALUE"""),0.0)</f>
        <v>0</v>
      </c>
      <c r="I188" s="88">
        <f>IFERROR(__xludf.DUMMYFUNCTION("""COMPUTED_VALUE"""),0.0)</f>
        <v>0</v>
      </c>
      <c r="J188" s="88">
        <f>IFERROR(__xludf.DUMMYFUNCTION("""COMPUTED_VALUE"""),0.0)</f>
        <v>0</v>
      </c>
      <c r="K188" s="88">
        <f>IFERROR(__xludf.DUMMYFUNCTION("""COMPUTED_VALUE"""),0.0)</f>
        <v>0</v>
      </c>
      <c r="L188" s="88">
        <f>IFERROR(__xludf.DUMMYFUNCTION("""COMPUTED_VALUE"""),0.0)</f>
        <v>0</v>
      </c>
      <c r="M188" s="88">
        <f>IFERROR(__xludf.DUMMYFUNCTION("""COMPUTED_VALUE"""),0.0)</f>
        <v>0</v>
      </c>
      <c r="N188" s="89">
        <f>IFERROR(__xludf.DUMMYFUNCTION("""COMPUTED_VALUE"""),0.0)</f>
        <v>0</v>
      </c>
    </row>
    <row r="189">
      <c r="A189" s="11"/>
      <c r="B189" s="82" t="str">
        <f>IFERROR(__xludf.DUMMYFUNCTION("""COMPUTED_VALUE"""),"Leigh-Anh Nguyen")</f>
        <v>Leigh-Anh Nguyen</v>
      </c>
      <c r="C189" s="86"/>
      <c r="D189" s="87"/>
      <c r="E189" s="86">
        <f>IFERROR(__xludf.DUMMYFUNCTION("""COMPUTED_VALUE"""),0.0)</f>
        <v>0</v>
      </c>
      <c r="F189" s="88">
        <f>IFERROR(__xludf.DUMMYFUNCTION("""COMPUTED_VALUE"""),0.0)</f>
        <v>0</v>
      </c>
      <c r="G189" s="88">
        <f>IFERROR(__xludf.DUMMYFUNCTION("""COMPUTED_VALUE"""),0.0)</f>
        <v>0</v>
      </c>
      <c r="H189" s="88">
        <f>IFERROR(__xludf.DUMMYFUNCTION("""COMPUTED_VALUE"""),0.0)</f>
        <v>0</v>
      </c>
      <c r="I189" s="88">
        <f>IFERROR(__xludf.DUMMYFUNCTION("""COMPUTED_VALUE"""),0.0)</f>
        <v>0</v>
      </c>
      <c r="J189" s="88">
        <f>IFERROR(__xludf.DUMMYFUNCTION("""COMPUTED_VALUE"""),0.0)</f>
        <v>0</v>
      </c>
      <c r="K189" s="88">
        <f>IFERROR(__xludf.DUMMYFUNCTION("""COMPUTED_VALUE"""),0.0)</f>
        <v>0</v>
      </c>
      <c r="L189" s="88">
        <f>IFERROR(__xludf.DUMMYFUNCTION("""COMPUTED_VALUE"""),0.0)</f>
        <v>0</v>
      </c>
      <c r="M189" s="88">
        <f>IFERROR(__xludf.DUMMYFUNCTION("""COMPUTED_VALUE"""),0.0)</f>
        <v>0</v>
      </c>
      <c r="N189" s="89">
        <f>IFERROR(__xludf.DUMMYFUNCTION("""COMPUTED_VALUE"""),0.0)</f>
        <v>0</v>
      </c>
    </row>
    <row r="190">
      <c r="A190" s="11"/>
      <c r="B190" s="82" t="str">
        <f>IFERROR(__xludf.DUMMYFUNCTION("""COMPUTED_VALUE"""),"Herman Au")</f>
        <v>Herman Au</v>
      </c>
      <c r="C190" s="86"/>
      <c r="D190" s="87"/>
      <c r="E190" s="86">
        <f>IFERROR(__xludf.DUMMYFUNCTION("""COMPUTED_VALUE"""),0.0)</f>
        <v>0</v>
      </c>
      <c r="F190" s="88">
        <f>IFERROR(__xludf.DUMMYFUNCTION("""COMPUTED_VALUE"""),0.0)</f>
        <v>0</v>
      </c>
      <c r="G190" s="88">
        <f>IFERROR(__xludf.DUMMYFUNCTION("""COMPUTED_VALUE"""),0.0)</f>
        <v>0</v>
      </c>
      <c r="H190" s="88">
        <f>IFERROR(__xludf.DUMMYFUNCTION("""COMPUTED_VALUE"""),0.0)</f>
        <v>0</v>
      </c>
      <c r="I190" s="88">
        <f>IFERROR(__xludf.DUMMYFUNCTION("""COMPUTED_VALUE"""),0.0)</f>
        <v>0</v>
      </c>
      <c r="J190" s="88">
        <f>IFERROR(__xludf.DUMMYFUNCTION("""COMPUTED_VALUE"""),0.0)</f>
        <v>0</v>
      </c>
      <c r="K190" s="88">
        <f>IFERROR(__xludf.DUMMYFUNCTION("""COMPUTED_VALUE"""),0.0)</f>
        <v>0</v>
      </c>
      <c r="L190" s="88">
        <f>IFERROR(__xludf.DUMMYFUNCTION("""COMPUTED_VALUE"""),0.0)</f>
        <v>0</v>
      </c>
      <c r="M190" s="88">
        <f>IFERROR(__xludf.DUMMYFUNCTION("""COMPUTED_VALUE"""),0.0)</f>
        <v>0</v>
      </c>
      <c r="N190" s="89">
        <f>IFERROR(__xludf.DUMMYFUNCTION("""COMPUTED_VALUE"""),0.0)</f>
        <v>0</v>
      </c>
    </row>
    <row r="191">
      <c r="A191" s="11"/>
      <c r="B191" s="82" t="str">
        <f>IFERROR(__xludf.DUMMYFUNCTION("""COMPUTED_VALUE"""),"Arun Mallikarjuna")</f>
        <v>Arun Mallikarjuna</v>
      </c>
      <c r="C191" s="86"/>
      <c r="D191" s="87"/>
      <c r="E191" s="86">
        <f>IFERROR(__xludf.DUMMYFUNCTION("""COMPUTED_VALUE"""),0.0)</f>
        <v>0</v>
      </c>
      <c r="F191" s="88">
        <f>IFERROR(__xludf.DUMMYFUNCTION("""COMPUTED_VALUE"""),0.0)</f>
        <v>0</v>
      </c>
      <c r="G191" s="88">
        <f>IFERROR(__xludf.DUMMYFUNCTION("""COMPUTED_VALUE"""),0.0)</f>
        <v>0</v>
      </c>
      <c r="H191" s="88">
        <f>IFERROR(__xludf.DUMMYFUNCTION("""COMPUTED_VALUE"""),0.0)</f>
        <v>0</v>
      </c>
      <c r="I191" s="88">
        <f>IFERROR(__xludf.DUMMYFUNCTION("""COMPUTED_VALUE"""),0.0)</f>
        <v>0</v>
      </c>
      <c r="J191" s="88">
        <f>IFERROR(__xludf.DUMMYFUNCTION("""COMPUTED_VALUE"""),0.0)</f>
        <v>0</v>
      </c>
      <c r="K191" s="88">
        <f>IFERROR(__xludf.DUMMYFUNCTION("""COMPUTED_VALUE"""),0.0)</f>
        <v>0</v>
      </c>
      <c r="L191" s="88">
        <f>IFERROR(__xludf.DUMMYFUNCTION("""COMPUTED_VALUE"""),0.0)</f>
        <v>0</v>
      </c>
      <c r="M191" s="88">
        <f>IFERROR(__xludf.DUMMYFUNCTION("""COMPUTED_VALUE"""),0.0)</f>
        <v>0</v>
      </c>
      <c r="N191" s="89">
        <f>IFERROR(__xludf.DUMMYFUNCTION("""COMPUTED_VALUE"""),0.0)</f>
        <v>0</v>
      </c>
    </row>
    <row r="192">
      <c r="A192" s="11"/>
      <c r="B192" s="82" t="str">
        <f>IFERROR(__xludf.DUMMYFUNCTION("""COMPUTED_VALUE"""),"Rajesh Dorairaj")</f>
        <v>Rajesh Dorairaj</v>
      </c>
      <c r="C192" s="86"/>
      <c r="D192" s="87"/>
      <c r="E192" s="86">
        <f>IFERROR(__xludf.DUMMYFUNCTION("""COMPUTED_VALUE"""),0.0)</f>
        <v>0</v>
      </c>
      <c r="F192" s="88">
        <f>IFERROR(__xludf.DUMMYFUNCTION("""COMPUTED_VALUE"""),0.0)</f>
        <v>0</v>
      </c>
      <c r="G192" s="88">
        <f>IFERROR(__xludf.DUMMYFUNCTION("""COMPUTED_VALUE"""),0.0)</f>
        <v>0</v>
      </c>
      <c r="H192" s="88">
        <f>IFERROR(__xludf.DUMMYFUNCTION("""COMPUTED_VALUE"""),0.0)</f>
        <v>0</v>
      </c>
      <c r="I192" s="88">
        <f>IFERROR(__xludf.DUMMYFUNCTION("""COMPUTED_VALUE"""),0.0)</f>
        <v>0</v>
      </c>
      <c r="J192" s="88">
        <f>IFERROR(__xludf.DUMMYFUNCTION("""COMPUTED_VALUE"""),0.0)</f>
        <v>0</v>
      </c>
      <c r="K192" s="88">
        <f>IFERROR(__xludf.DUMMYFUNCTION("""COMPUTED_VALUE"""),0.0)</f>
        <v>0</v>
      </c>
      <c r="L192" s="88">
        <f>IFERROR(__xludf.DUMMYFUNCTION("""COMPUTED_VALUE"""),0.0)</f>
        <v>0</v>
      </c>
      <c r="M192" s="88">
        <f>IFERROR(__xludf.DUMMYFUNCTION("""COMPUTED_VALUE"""),0.0)</f>
        <v>0</v>
      </c>
      <c r="N192" s="89">
        <f>IFERROR(__xludf.DUMMYFUNCTION("""COMPUTED_VALUE"""),0.0)</f>
        <v>0</v>
      </c>
    </row>
    <row r="193">
      <c r="A193" s="11"/>
      <c r="B193" s="82" t="str">
        <f>IFERROR(__xludf.DUMMYFUNCTION("""COMPUTED_VALUE"""),"Wayne Liu")</f>
        <v>Wayne Liu</v>
      </c>
      <c r="C193" s="86"/>
      <c r="D193" s="87"/>
      <c r="E193" s="86">
        <f>IFERROR(__xludf.DUMMYFUNCTION("""COMPUTED_VALUE"""),0.0)</f>
        <v>0</v>
      </c>
      <c r="F193" s="88">
        <f>IFERROR(__xludf.DUMMYFUNCTION("""COMPUTED_VALUE"""),0.0)</f>
        <v>0</v>
      </c>
      <c r="G193" s="88">
        <f>IFERROR(__xludf.DUMMYFUNCTION("""COMPUTED_VALUE"""),0.0)</f>
        <v>0</v>
      </c>
      <c r="H193" s="88">
        <f>IFERROR(__xludf.DUMMYFUNCTION("""COMPUTED_VALUE"""),0.0)</f>
        <v>0</v>
      </c>
      <c r="I193" s="88">
        <f>IFERROR(__xludf.DUMMYFUNCTION("""COMPUTED_VALUE"""),0.0)</f>
        <v>0</v>
      </c>
      <c r="J193" s="88">
        <f>IFERROR(__xludf.DUMMYFUNCTION("""COMPUTED_VALUE"""),0.0)</f>
        <v>0</v>
      </c>
      <c r="K193" s="88">
        <f>IFERROR(__xludf.DUMMYFUNCTION("""COMPUTED_VALUE"""),0.0)</f>
        <v>0</v>
      </c>
      <c r="L193" s="88">
        <f>IFERROR(__xludf.DUMMYFUNCTION("""COMPUTED_VALUE"""),0.0)</f>
        <v>0</v>
      </c>
      <c r="M193" s="88">
        <f>IFERROR(__xludf.DUMMYFUNCTION("""COMPUTED_VALUE"""),0.0)</f>
        <v>0</v>
      </c>
      <c r="N193" s="89">
        <f>IFERROR(__xludf.DUMMYFUNCTION("""COMPUTED_VALUE"""),0.0)</f>
        <v>0</v>
      </c>
    </row>
    <row r="194">
      <c r="A194" s="11"/>
      <c r="B194" s="82" t="str">
        <f>IFERROR(__xludf.DUMMYFUNCTION("""COMPUTED_VALUE"""),"Vinz Solano")</f>
        <v>Vinz Solano</v>
      </c>
      <c r="C194" s="86"/>
      <c r="D194" s="87"/>
      <c r="E194" s="86">
        <f>IFERROR(__xludf.DUMMYFUNCTION("""COMPUTED_VALUE"""),0.0)</f>
        <v>0</v>
      </c>
      <c r="F194" s="88">
        <f>IFERROR(__xludf.DUMMYFUNCTION("""COMPUTED_VALUE"""),0.0)</f>
        <v>0</v>
      </c>
      <c r="G194" s="88">
        <f>IFERROR(__xludf.DUMMYFUNCTION("""COMPUTED_VALUE"""),0.0)</f>
        <v>0</v>
      </c>
      <c r="H194" s="88">
        <f>IFERROR(__xludf.DUMMYFUNCTION("""COMPUTED_VALUE"""),0.0)</f>
        <v>0</v>
      </c>
      <c r="I194" s="88">
        <f>IFERROR(__xludf.DUMMYFUNCTION("""COMPUTED_VALUE"""),0.0)</f>
        <v>0</v>
      </c>
      <c r="J194" s="88">
        <f>IFERROR(__xludf.DUMMYFUNCTION("""COMPUTED_VALUE"""),0.0)</f>
        <v>0</v>
      </c>
      <c r="K194" s="88">
        <f>IFERROR(__xludf.DUMMYFUNCTION("""COMPUTED_VALUE"""),0.0)</f>
        <v>0</v>
      </c>
      <c r="L194" s="88">
        <f>IFERROR(__xludf.DUMMYFUNCTION("""COMPUTED_VALUE"""),0.0)</f>
        <v>0</v>
      </c>
      <c r="M194" s="88">
        <f>IFERROR(__xludf.DUMMYFUNCTION("""COMPUTED_VALUE"""),0.0)</f>
        <v>0</v>
      </c>
      <c r="N194" s="89">
        <f>IFERROR(__xludf.DUMMYFUNCTION("""COMPUTED_VALUE"""),0.0)</f>
        <v>0</v>
      </c>
    </row>
    <row r="195">
      <c r="A195" s="11"/>
      <c r="B195" s="82" t="str">
        <f>IFERROR(__xludf.DUMMYFUNCTION("""COMPUTED_VALUE"""),"Alex Hou")</f>
        <v>Alex Hou</v>
      </c>
      <c r="C195" s="86"/>
      <c r="D195" s="87"/>
      <c r="E195" s="86">
        <f>IFERROR(__xludf.DUMMYFUNCTION("""COMPUTED_VALUE"""),0.0)</f>
        <v>0</v>
      </c>
      <c r="F195" s="88">
        <f>IFERROR(__xludf.DUMMYFUNCTION("""COMPUTED_VALUE"""),0.0)</f>
        <v>0</v>
      </c>
      <c r="G195" s="88">
        <f>IFERROR(__xludf.DUMMYFUNCTION("""COMPUTED_VALUE"""),0.0)</f>
        <v>0</v>
      </c>
      <c r="H195" s="88">
        <f>IFERROR(__xludf.DUMMYFUNCTION("""COMPUTED_VALUE"""),0.0)</f>
        <v>0</v>
      </c>
      <c r="I195" s="88">
        <f>IFERROR(__xludf.DUMMYFUNCTION("""COMPUTED_VALUE"""),0.0)</f>
        <v>0</v>
      </c>
      <c r="J195" s="88">
        <f>IFERROR(__xludf.DUMMYFUNCTION("""COMPUTED_VALUE"""),0.0)</f>
        <v>0</v>
      </c>
      <c r="K195" s="88">
        <f>IFERROR(__xludf.DUMMYFUNCTION("""COMPUTED_VALUE"""),0.0)</f>
        <v>0</v>
      </c>
      <c r="L195" s="88">
        <f>IFERROR(__xludf.DUMMYFUNCTION("""COMPUTED_VALUE"""),0.0)</f>
        <v>0</v>
      </c>
      <c r="M195" s="88">
        <f>IFERROR(__xludf.DUMMYFUNCTION("""COMPUTED_VALUE"""),0.0)</f>
        <v>0</v>
      </c>
      <c r="N195" s="89">
        <f>IFERROR(__xludf.DUMMYFUNCTION("""COMPUTED_VALUE"""),0.0)</f>
        <v>0</v>
      </c>
    </row>
    <row r="196">
      <c r="A196" s="11"/>
      <c r="B196" s="82" t="str">
        <f>IFERROR(__xludf.DUMMYFUNCTION("""COMPUTED_VALUE"""),"Trish Newlin")</f>
        <v>Trish Newlin</v>
      </c>
      <c r="C196" s="86"/>
      <c r="D196" s="87"/>
      <c r="E196" s="86">
        <f>IFERROR(__xludf.DUMMYFUNCTION("""COMPUTED_VALUE"""),0.0)</f>
        <v>0</v>
      </c>
      <c r="F196" s="88">
        <f>IFERROR(__xludf.DUMMYFUNCTION("""COMPUTED_VALUE"""),0.0)</f>
        <v>0</v>
      </c>
      <c r="G196" s="88">
        <f>IFERROR(__xludf.DUMMYFUNCTION("""COMPUTED_VALUE"""),0.0)</f>
        <v>0</v>
      </c>
      <c r="H196" s="88">
        <f>IFERROR(__xludf.DUMMYFUNCTION("""COMPUTED_VALUE"""),0.0)</f>
        <v>0</v>
      </c>
      <c r="I196" s="88">
        <f>IFERROR(__xludf.DUMMYFUNCTION("""COMPUTED_VALUE"""),0.0)</f>
        <v>0</v>
      </c>
      <c r="J196" s="88">
        <f>IFERROR(__xludf.DUMMYFUNCTION("""COMPUTED_VALUE"""),0.0)</f>
        <v>0</v>
      </c>
      <c r="K196" s="88">
        <f>IFERROR(__xludf.DUMMYFUNCTION("""COMPUTED_VALUE"""),0.0)</f>
        <v>0</v>
      </c>
      <c r="L196" s="88">
        <f>IFERROR(__xludf.DUMMYFUNCTION("""COMPUTED_VALUE"""),0.0)</f>
        <v>0</v>
      </c>
      <c r="M196" s="88">
        <f>IFERROR(__xludf.DUMMYFUNCTION("""COMPUTED_VALUE"""),0.0)</f>
        <v>0</v>
      </c>
      <c r="N196" s="89">
        <f>IFERROR(__xludf.DUMMYFUNCTION("""COMPUTED_VALUE"""),0.0)</f>
        <v>0</v>
      </c>
    </row>
    <row r="197">
      <c r="A197" s="11"/>
      <c r="B197" s="82" t="str">
        <f>IFERROR(__xludf.DUMMYFUNCTION("""COMPUTED_VALUE"""),"Frank Moon")</f>
        <v>Frank Moon</v>
      </c>
      <c r="C197" s="86"/>
      <c r="D197" s="87"/>
      <c r="E197" s="86">
        <f>IFERROR(__xludf.DUMMYFUNCTION("""COMPUTED_VALUE"""),0.0)</f>
        <v>0</v>
      </c>
      <c r="F197" s="88">
        <f>IFERROR(__xludf.DUMMYFUNCTION("""COMPUTED_VALUE"""),0.0)</f>
        <v>0</v>
      </c>
      <c r="G197" s="88">
        <f>IFERROR(__xludf.DUMMYFUNCTION("""COMPUTED_VALUE"""),0.0)</f>
        <v>0</v>
      </c>
      <c r="H197" s="88">
        <f>IFERROR(__xludf.DUMMYFUNCTION("""COMPUTED_VALUE"""),0.0)</f>
        <v>0</v>
      </c>
      <c r="I197" s="88">
        <f>IFERROR(__xludf.DUMMYFUNCTION("""COMPUTED_VALUE"""),0.0)</f>
        <v>0</v>
      </c>
      <c r="J197" s="88">
        <f>IFERROR(__xludf.DUMMYFUNCTION("""COMPUTED_VALUE"""),0.0)</f>
        <v>0</v>
      </c>
      <c r="K197" s="88">
        <f>IFERROR(__xludf.DUMMYFUNCTION("""COMPUTED_VALUE"""),0.0)</f>
        <v>0</v>
      </c>
      <c r="L197" s="88">
        <f>IFERROR(__xludf.DUMMYFUNCTION("""COMPUTED_VALUE"""),0.0)</f>
        <v>0</v>
      </c>
      <c r="M197" s="88">
        <f>IFERROR(__xludf.DUMMYFUNCTION("""COMPUTED_VALUE"""),0.0)</f>
        <v>0</v>
      </c>
      <c r="N197" s="89">
        <f>IFERROR(__xludf.DUMMYFUNCTION("""COMPUTED_VALUE"""),0.0)</f>
        <v>0</v>
      </c>
    </row>
    <row r="198">
      <c r="A198" s="11"/>
      <c r="B198" s="82" t="str">
        <f>IFERROR(__xludf.DUMMYFUNCTION("""COMPUTED_VALUE"""),"Cid Macaraeg")</f>
        <v>Cid Macaraeg</v>
      </c>
      <c r="C198" s="86"/>
      <c r="D198" s="87"/>
      <c r="E198" s="86">
        <f>IFERROR(__xludf.DUMMYFUNCTION("""COMPUTED_VALUE"""),0.0)</f>
        <v>0</v>
      </c>
      <c r="F198" s="88">
        <f>IFERROR(__xludf.DUMMYFUNCTION("""COMPUTED_VALUE"""),0.0)</f>
        <v>0</v>
      </c>
      <c r="G198" s="88">
        <f>IFERROR(__xludf.DUMMYFUNCTION("""COMPUTED_VALUE"""),0.0)</f>
        <v>0</v>
      </c>
      <c r="H198" s="88">
        <f>IFERROR(__xludf.DUMMYFUNCTION("""COMPUTED_VALUE"""),0.0)</f>
        <v>0</v>
      </c>
      <c r="I198" s="88">
        <f>IFERROR(__xludf.DUMMYFUNCTION("""COMPUTED_VALUE"""),0.0)</f>
        <v>0</v>
      </c>
      <c r="J198" s="88">
        <f>IFERROR(__xludf.DUMMYFUNCTION("""COMPUTED_VALUE"""),0.0)</f>
        <v>0</v>
      </c>
      <c r="K198" s="88">
        <f>IFERROR(__xludf.DUMMYFUNCTION("""COMPUTED_VALUE"""),0.0)</f>
        <v>0</v>
      </c>
      <c r="L198" s="88">
        <f>IFERROR(__xludf.DUMMYFUNCTION("""COMPUTED_VALUE"""),0.0)</f>
        <v>0</v>
      </c>
      <c r="M198" s="88">
        <f>IFERROR(__xludf.DUMMYFUNCTION("""COMPUTED_VALUE"""),0.0)</f>
        <v>0</v>
      </c>
      <c r="N198" s="89">
        <f>IFERROR(__xludf.DUMMYFUNCTION("""COMPUTED_VALUE"""),0.0)</f>
        <v>0</v>
      </c>
    </row>
    <row r="199">
      <c r="A199" s="11"/>
      <c r="B199" s="82" t="str">
        <f>IFERROR(__xludf.DUMMYFUNCTION("""COMPUTED_VALUE"""),"James Phan")</f>
        <v>James Phan</v>
      </c>
      <c r="C199" s="86"/>
      <c r="D199" s="87"/>
      <c r="E199" s="86">
        <f>IFERROR(__xludf.DUMMYFUNCTION("""COMPUTED_VALUE"""),0.0)</f>
        <v>0</v>
      </c>
      <c r="F199" s="88">
        <f>IFERROR(__xludf.DUMMYFUNCTION("""COMPUTED_VALUE"""),0.0)</f>
        <v>0</v>
      </c>
      <c r="G199" s="88">
        <f>IFERROR(__xludf.DUMMYFUNCTION("""COMPUTED_VALUE"""),0.0)</f>
        <v>0</v>
      </c>
      <c r="H199" s="88">
        <f>IFERROR(__xludf.DUMMYFUNCTION("""COMPUTED_VALUE"""),0.0)</f>
        <v>0</v>
      </c>
      <c r="I199" s="88">
        <f>IFERROR(__xludf.DUMMYFUNCTION("""COMPUTED_VALUE"""),0.0)</f>
        <v>0</v>
      </c>
      <c r="J199" s="88">
        <f>IFERROR(__xludf.DUMMYFUNCTION("""COMPUTED_VALUE"""),0.0)</f>
        <v>0</v>
      </c>
      <c r="K199" s="88">
        <f>IFERROR(__xludf.DUMMYFUNCTION("""COMPUTED_VALUE"""),0.0)</f>
        <v>0</v>
      </c>
      <c r="L199" s="88">
        <f>IFERROR(__xludf.DUMMYFUNCTION("""COMPUTED_VALUE"""),0.0)</f>
        <v>0</v>
      </c>
      <c r="M199" s="88">
        <f>IFERROR(__xludf.DUMMYFUNCTION("""COMPUTED_VALUE"""),0.0)</f>
        <v>0</v>
      </c>
      <c r="N199" s="89">
        <f>IFERROR(__xludf.DUMMYFUNCTION("""COMPUTED_VALUE"""),0.0)</f>
        <v>0</v>
      </c>
    </row>
    <row r="200">
      <c r="A200" s="11"/>
      <c r="B200" s="82" t="str">
        <f>IFERROR(__xludf.DUMMYFUNCTION("""COMPUTED_VALUE"""),"Saravanan Veerapandian")</f>
        <v>Saravanan Veerapandian</v>
      </c>
      <c r="C200" s="86"/>
      <c r="D200" s="87"/>
      <c r="E200" s="86">
        <f>IFERROR(__xludf.DUMMYFUNCTION("""COMPUTED_VALUE"""),0.0)</f>
        <v>0</v>
      </c>
      <c r="F200" s="88">
        <f>IFERROR(__xludf.DUMMYFUNCTION("""COMPUTED_VALUE"""),0.0)</f>
        <v>0</v>
      </c>
      <c r="G200" s="88">
        <f>IFERROR(__xludf.DUMMYFUNCTION("""COMPUTED_VALUE"""),0.0)</f>
        <v>0</v>
      </c>
      <c r="H200" s="88">
        <f>IFERROR(__xludf.DUMMYFUNCTION("""COMPUTED_VALUE"""),0.0)</f>
        <v>0</v>
      </c>
      <c r="I200" s="88">
        <f>IFERROR(__xludf.DUMMYFUNCTION("""COMPUTED_VALUE"""),0.0)</f>
        <v>0</v>
      </c>
      <c r="J200" s="88">
        <f>IFERROR(__xludf.DUMMYFUNCTION("""COMPUTED_VALUE"""),0.0)</f>
        <v>0</v>
      </c>
      <c r="K200" s="88">
        <f>IFERROR(__xludf.DUMMYFUNCTION("""COMPUTED_VALUE"""),0.0)</f>
        <v>0</v>
      </c>
      <c r="L200" s="88">
        <f>IFERROR(__xludf.DUMMYFUNCTION("""COMPUTED_VALUE"""),0.0)</f>
        <v>0</v>
      </c>
      <c r="M200" s="88">
        <f>IFERROR(__xludf.DUMMYFUNCTION("""COMPUTED_VALUE"""),0.0)</f>
        <v>0</v>
      </c>
      <c r="N200" s="89">
        <f>IFERROR(__xludf.DUMMYFUNCTION("""COMPUTED_VALUE"""),0.0)</f>
        <v>0</v>
      </c>
    </row>
    <row r="201">
      <c r="A201" s="11"/>
      <c r="C201" s="11"/>
      <c r="D201" s="11"/>
      <c r="E201" s="11"/>
    </row>
    <row r="202">
      <c r="A202" s="11"/>
      <c r="C202" s="11"/>
      <c r="D202" s="11"/>
      <c r="E202" s="11"/>
    </row>
    <row r="203">
      <c r="A203" s="11"/>
      <c r="C203" s="11"/>
      <c r="D203" s="11"/>
      <c r="E203" s="11"/>
    </row>
    <row r="204">
      <c r="A204" s="11"/>
      <c r="C204" s="11"/>
      <c r="D204" s="11"/>
      <c r="E204" s="11"/>
    </row>
    <row r="205">
      <c r="A205" s="11"/>
      <c r="C205" s="11"/>
      <c r="D205" s="11"/>
      <c r="E205" s="11"/>
    </row>
    <row r="206">
      <c r="A206" s="11"/>
      <c r="C206" s="11"/>
      <c r="D206" s="11"/>
      <c r="E206" s="11"/>
    </row>
    <row r="207">
      <c r="A207" s="11"/>
      <c r="C207" s="11"/>
      <c r="D207" s="11"/>
      <c r="E207" s="11"/>
    </row>
    <row r="208">
      <c r="A208" s="11"/>
      <c r="C208" s="11"/>
      <c r="D208" s="11"/>
      <c r="E208" s="11"/>
    </row>
    <row r="209">
      <c r="A209" s="11"/>
      <c r="C209" s="11"/>
      <c r="D209" s="11"/>
      <c r="E209" s="11"/>
    </row>
    <row r="210">
      <c r="A210" s="11"/>
      <c r="C210" s="11"/>
      <c r="D210" s="11"/>
      <c r="E210" s="11"/>
    </row>
    <row r="211">
      <c r="A211" s="11"/>
      <c r="C211" s="11"/>
      <c r="D211" s="11"/>
      <c r="E211" s="11"/>
    </row>
    <row r="212">
      <c r="A212" s="11"/>
      <c r="C212" s="11"/>
      <c r="D212" s="11"/>
      <c r="E212" s="11"/>
    </row>
    <row r="213">
      <c r="A213" s="11"/>
      <c r="C213" s="11"/>
      <c r="D213" s="11"/>
      <c r="E213" s="11"/>
    </row>
    <row r="214">
      <c r="A214" s="11"/>
      <c r="C214" s="11"/>
      <c r="D214" s="11"/>
      <c r="E214" s="11"/>
    </row>
    <row r="215">
      <c r="A215" s="11"/>
      <c r="C215" s="11"/>
      <c r="D215" s="11"/>
      <c r="E215" s="11"/>
    </row>
    <row r="216">
      <c r="A216" s="11"/>
      <c r="C216" s="11"/>
      <c r="D216" s="11"/>
      <c r="E216" s="11"/>
    </row>
    <row r="217">
      <c r="A217" s="11"/>
      <c r="C217" s="11"/>
      <c r="D217" s="11"/>
      <c r="E217" s="11"/>
    </row>
    <row r="218">
      <c r="A218" s="11"/>
      <c r="C218" s="11"/>
      <c r="D218" s="11"/>
      <c r="E218" s="11"/>
    </row>
    <row r="219">
      <c r="A219" s="11"/>
      <c r="C219" s="11"/>
      <c r="D219" s="11"/>
      <c r="E219" s="11"/>
    </row>
    <row r="220">
      <c r="A220" s="11"/>
      <c r="C220" s="11"/>
      <c r="D220" s="11"/>
      <c r="E220" s="11"/>
    </row>
    <row r="221">
      <c r="A221" s="11"/>
      <c r="C221" s="11"/>
      <c r="D221" s="11"/>
      <c r="E221" s="11"/>
    </row>
    <row r="222">
      <c r="A222" s="11"/>
      <c r="B222" s="90" t="s">
        <v>167</v>
      </c>
      <c r="C222" s="11"/>
      <c r="D222" s="11"/>
      <c r="E222" s="11"/>
      <c r="U222" s="90" t="s">
        <v>168</v>
      </c>
    </row>
    <row r="223">
      <c r="A223" s="49">
        <v>1.0</v>
      </c>
      <c r="B223" s="82" t="str">
        <f>IFERROR(__xludf.DUMMYFUNCTION("QUERY(B5:Q69, ""Select B   where Q is null"")"),"#N/A")</f>
        <v>#N/A</v>
      </c>
      <c r="C223" s="11"/>
      <c r="D223" s="11"/>
      <c r="E223" s="11"/>
      <c r="T223" s="49">
        <v>1.0</v>
      </c>
      <c r="U223" s="17" t="str">
        <f>IFERROR(__xludf.DUMMYFUNCTION("QUERY(B5:Q69, ""Select B   where Q = 'N' "")"),"Trinath Goteti")</f>
        <v>Trinath Goteti</v>
      </c>
    </row>
    <row r="224">
      <c r="A224" s="11">
        <f t="shared" ref="A224:A244" si="71">A223+1</f>
        <v>2</v>
      </c>
      <c r="B224" s="82"/>
      <c r="C224" s="11"/>
      <c r="D224" s="11"/>
      <c r="E224" s="11"/>
      <c r="T224" s="11">
        <f t="shared" ref="T224:T235" si="72">T223+1</f>
        <v>2</v>
      </c>
      <c r="U224" s="17" t="str">
        <f>IFERROR(__xludf.DUMMYFUNCTION("""COMPUTED_VALUE"""),"Manish Anand")</f>
        <v>Manish Anand</v>
      </c>
    </row>
    <row r="225">
      <c r="A225" s="11">
        <f t="shared" si="71"/>
        <v>3</v>
      </c>
      <c r="B225" s="82"/>
      <c r="C225" s="11"/>
      <c r="D225" s="11"/>
      <c r="E225" s="11"/>
      <c r="T225" s="11">
        <f t="shared" si="72"/>
        <v>3</v>
      </c>
      <c r="U225" s="17" t="str">
        <f>IFERROR(__xludf.DUMMYFUNCTION("""COMPUTED_VALUE"""),"Balaji Alahari")</f>
        <v>Balaji Alahari</v>
      </c>
    </row>
    <row r="226">
      <c r="A226" s="11">
        <f t="shared" si="71"/>
        <v>4</v>
      </c>
      <c r="B226" s="82"/>
      <c r="C226" s="11"/>
      <c r="D226" s="11"/>
      <c r="E226" s="11"/>
      <c r="T226" s="11">
        <f t="shared" si="72"/>
        <v>4</v>
      </c>
      <c r="U226" s="17" t="str">
        <f>IFERROR(__xludf.DUMMYFUNCTION("""COMPUTED_VALUE"""),"Naveen Raj")</f>
        <v>Naveen Raj</v>
      </c>
    </row>
    <row r="227">
      <c r="A227" s="11">
        <f t="shared" si="71"/>
        <v>5</v>
      </c>
      <c r="B227" s="82"/>
      <c r="C227" s="11"/>
      <c r="D227" s="11"/>
      <c r="E227" s="11"/>
      <c r="T227" s="11">
        <f t="shared" si="72"/>
        <v>5</v>
      </c>
      <c r="U227" s="17" t="str">
        <f>IFERROR(__xludf.DUMMYFUNCTION("""COMPUTED_VALUE"""),"Sanjaye Elayattu")</f>
        <v>Sanjaye Elayattu</v>
      </c>
    </row>
    <row r="228">
      <c r="A228" s="11">
        <f t="shared" si="71"/>
        <v>6</v>
      </c>
      <c r="B228" s="82"/>
      <c r="C228" s="11"/>
      <c r="D228" s="11"/>
      <c r="E228" s="11"/>
      <c r="T228" s="11">
        <f t="shared" si="72"/>
        <v>6</v>
      </c>
      <c r="U228" s="17" t="str">
        <f>IFERROR(__xludf.DUMMYFUNCTION("""COMPUTED_VALUE"""),"Tony Lin")</f>
        <v>Tony Lin</v>
      </c>
    </row>
    <row r="229">
      <c r="A229" s="11">
        <f t="shared" si="71"/>
        <v>7</v>
      </c>
      <c r="B229" s="82"/>
      <c r="C229" s="11"/>
      <c r="D229" s="11"/>
      <c r="E229" s="11"/>
      <c r="T229" s="11">
        <f t="shared" si="72"/>
        <v>7</v>
      </c>
      <c r="U229" s="17" t="str">
        <f>IFERROR(__xludf.DUMMYFUNCTION("""COMPUTED_VALUE"""),"Sai Dilip Ponnaganti")</f>
        <v>Sai Dilip Ponnaganti</v>
      </c>
    </row>
    <row r="230">
      <c r="A230" s="11">
        <f t="shared" si="71"/>
        <v>8</v>
      </c>
      <c r="B230" s="82"/>
      <c r="C230" s="11"/>
      <c r="D230" s="11"/>
      <c r="E230" s="11"/>
      <c r="T230" s="11">
        <f t="shared" si="72"/>
        <v>8</v>
      </c>
      <c r="U230" s="17" t="str">
        <f>IFERROR(__xludf.DUMMYFUNCTION("""COMPUTED_VALUE"""),"Nicole Ni")</f>
        <v>Nicole Ni</v>
      </c>
    </row>
    <row r="231">
      <c r="A231" s="11">
        <f t="shared" si="71"/>
        <v>9</v>
      </c>
      <c r="B231" s="82"/>
      <c r="C231" s="11"/>
      <c r="D231" s="11"/>
      <c r="E231" s="11"/>
      <c r="T231" s="11">
        <f t="shared" si="72"/>
        <v>9</v>
      </c>
      <c r="U231" s="17" t="str">
        <f>IFERROR(__xludf.DUMMYFUNCTION("""COMPUTED_VALUE"""),"Leigh-Anh Nguyen")</f>
        <v>Leigh-Anh Nguyen</v>
      </c>
    </row>
    <row r="232">
      <c r="A232" s="11">
        <f t="shared" si="71"/>
        <v>10</v>
      </c>
      <c r="B232" s="82"/>
      <c r="C232" s="11"/>
      <c r="D232" s="11"/>
      <c r="E232" s="11"/>
      <c r="T232" s="11">
        <f t="shared" si="72"/>
        <v>10</v>
      </c>
      <c r="U232" s="17" t="str">
        <f>IFERROR(__xludf.DUMMYFUNCTION("""COMPUTED_VALUE"""),"Wayne Liu")</f>
        <v>Wayne Liu</v>
      </c>
    </row>
    <row r="233">
      <c r="A233" s="11">
        <f t="shared" si="71"/>
        <v>11</v>
      </c>
      <c r="B233" s="82"/>
      <c r="C233" s="11"/>
      <c r="D233" s="11"/>
      <c r="E233" s="11"/>
      <c r="T233" s="11">
        <f t="shared" si="72"/>
        <v>11</v>
      </c>
      <c r="U233" s="17" t="str">
        <f>IFERROR(__xludf.DUMMYFUNCTION("""COMPUTED_VALUE"""),"Vinz Solano")</f>
        <v>Vinz Solano</v>
      </c>
    </row>
    <row r="234">
      <c r="A234" s="11">
        <f t="shared" si="71"/>
        <v>12</v>
      </c>
      <c r="B234" s="82"/>
      <c r="C234" s="11"/>
      <c r="D234" s="11"/>
      <c r="E234" s="11"/>
      <c r="T234" s="11">
        <f t="shared" si="72"/>
        <v>12</v>
      </c>
      <c r="U234" s="17" t="str">
        <f>IFERROR(__xludf.DUMMYFUNCTION("""COMPUTED_VALUE"""),"Trish Newlin")</f>
        <v>Trish Newlin</v>
      </c>
    </row>
    <row r="235">
      <c r="A235" s="11">
        <f t="shared" si="71"/>
        <v>13</v>
      </c>
      <c r="B235" s="82"/>
      <c r="C235" s="11"/>
      <c r="D235" s="11"/>
      <c r="E235" s="11"/>
      <c r="T235" s="11">
        <f t="shared" si="72"/>
        <v>13</v>
      </c>
      <c r="U235" s="17" t="str">
        <f>IFERROR(__xludf.DUMMYFUNCTION("""COMPUTED_VALUE"""),"Cid Macaraeg")</f>
        <v>Cid Macaraeg</v>
      </c>
    </row>
    <row r="236">
      <c r="A236" s="11">
        <f t="shared" si="71"/>
        <v>14</v>
      </c>
      <c r="B236" s="82"/>
      <c r="C236" s="11"/>
      <c r="D236" s="11"/>
      <c r="E236" s="11"/>
    </row>
    <row r="237">
      <c r="A237" s="11">
        <f t="shared" si="71"/>
        <v>15</v>
      </c>
      <c r="B237" s="82"/>
      <c r="C237" s="11"/>
      <c r="D237" s="11"/>
      <c r="E237" s="11"/>
    </row>
    <row r="238">
      <c r="A238" s="11">
        <f t="shared" si="71"/>
        <v>16</v>
      </c>
      <c r="B238" s="82"/>
      <c r="C238" s="11"/>
      <c r="D238" s="11"/>
      <c r="E238" s="11"/>
    </row>
    <row r="239">
      <c r="A239" s="11">
        <f t="shared" si="71"/>
        <v>17</v>
      </c>
      <c r="B239" s="82"/>
      <c r="C239" s="11"/>
      <c r="D239" s="11"/>
      <c r="E239" s="11"/>
    </row>
    <row r="240">
      <c r="A240" s="11">
        <f t="shared" si="71"/>
        <v>18</v>
      </c>
      <c r="B240" s="82"/>
      <c r="C240" s="11"/>
      <c r="D240" s="11"/>
      <c r="E240" s="11"/>
    </row>
    <row r="241">
      <c r="A241" s="11">
        <f t="shared" si="71"/>
        <v>19</v>
      </c>
      <c r="B241" s="82"/>
      <c r="C241" s="11"/>
      <c r="D241" s="11"/>
      <c r="E241" s="11"/>
    </row>
    <row r="242">
      <c r="A242" s="11">
        <f t="shared" si="71"/>
        <v>20</v>
      </c>
      <c r="B242" s="82"/>
      <c r="C242" s="11"/>
      <c r="D242" s="11"/>
      <c r="E242" s="11"/>
    </row>
    <row r="243">
      <c r="A243" s="11">
        <f t="shared" si="71"/>
        <v>21</v>
      </c>
      <c r="B243" s="82"/>
      <c r="C243" s="11"/>
      <c r="D243" s="11"/>
      <c r="E243" s="11"/>
    </row>
    <row r="244">
      <c r="A244" s="11">
        <f t="shared" si="71"/>
        <v>22</v>
      </c>
      <c r="B244" s="82"/>
      <c r="C244" s="11"/>
      <c r="D244" s="11"/>
      <c r="E244" s="11"/>
    </row>
    <row r="245">
      <c r="A245" s="11"/>
      <c r="C245" s="11"/>
      <c r="D245" s="11"/>
      <c r="E245" s="11"/>
    </row>
    <row r="246">
      <c r="A246" s="11"/>
      <c r="C246" s="11"/>
      <c r="D246" s="11"/>
      <c r="E246" s="11"/>
    </row>
    <row r="247">
      <c r="A247" s="11"/>
      <c r="C247" s="11"/>
      <c r="D247" s="11"/>
      <c r="E247" s="11"/>
    </row>
    <row r="248">
      <c r="A248" s="11"/>
      <c r="C248" s="11"/>
      <c r="D248" s="11"/>
      <c r="E248" s="11"/>
    </row>
    <row r="249">
      <c r="A249" s="11"/>
      <c r="C249" s="11"/>
      <c r="D249" s="11"/>
      <c r="E249" s="11"/>
    </row>
    <row r="250">
      <c r="A250" s="11"/>
      <c r="C250" s="11"/>
      <c r="D250" s="11"/>
      <c r="E250" s="11"/>
    </row>
    <row r="251">
      <c r="A251" s="11"/>
      <c r="C251" s="11"/>
      <c r="D251" s="11"/>
      <c r="E251" s="11"/>
    </row>
    <row r="252">
      <c r="A252" s="11"/>
      <c r="C252" s="11"/>
      <c r="D252" s="11"/>
      <c r="E252" s="11"/>
    </row>
    <row r="253">
      <c r="A253" s="11"/>
      <c r="C253" s="11"/>
      <c r="D253" s="11"/>
      <c r="E253" s="11"/>
    </row>
    <row r="254">
      <c r="A254" s="11"/>
      <c r="C254" s="11"/>
      <c r="D254" s="11"/>
      <c r="E254" s="11"/>
    </row>
    <row r="255">
      <c r="A255" s="11"/>
      <c r="C255" s="11"/>
      <c r="D255" s="11"/>
      <c r="E255" s="11"/>
    </row>
    <row r="256">
      <c r="A256" s="11"/>
      <c r="C256" s="11"/>
      <c r="D256" s="11"/>
      <c r="E256" s="11"/>
    </row>
    <row r="257">
      <c r="A257" s="11"/>
      <c r="C257" s="11"/>
      <c r="D257" s="11"/>
      <c r="E257" s="11"/>
    </row>
    <row r="258">
      <c r="A258" s="11"/>
      <c r="C258" s="11"/>
      <c r="D258" s="11"/>
      <c r="E258" s="11"/>
    </row>
    <row r="259">
      <c r="A259" s="11"/>
      <c r="C259" s="11"/>
      <c r="D259" s="11"/>
      <c r="E259" s="11"/>
    </row>
    <row r="260">
      <c r="A260" s="11"/>
      <c r="C260" s="11"/>
      <c r="D260" s="11"/>
      <c r="E260" s="11"/>
    </row>
    <row r="261">
      <c r="A261" s="11"/>
      <c r="C261" s="11"/>
      <c r="D261" s="11"/>
      <c r="E261" s="11"/>
    </row>
    <row r="262">
      <c r="A262" s="11"/>
      <c r="C262" s="11"/>
      <c r="D262" s="11"/>
      <c r="E262" s="11"/>
    </row>
    <row r="263">
      <c r="A263" s="11"/>
      <c r="C263" s="11"/>
      <c r="D263" s="11"/>
      <c r="E263" s="11"/>
    </row>
    <row r="264">
      <c r="A264" s="11"/>
      <c r="C264" s="11"/>
      <c r="D264" s="11"/>
      <c r="E264" s="11"/>
    </row>
    <row r="265">
      <c r="A265" s="11"/>
      <c r="C265" s="11"/>
      <c r="D265" s="11"/>
      <c r="E265" s="11"/>
    </row>
    <row r="266">
      <c r="A266" s="11"/>
      <c r="C266" s="11"/>
      <c r="D266" s="11"/>
      <c r="E266" s="11"/>
    </row>
    <row r="267">
      <c r="A267" s="11"/>
      <c r="C267" s="11"/>
      <c r="D267" s="11"/>
      <c r="E267" s="11"/>
    </row>
    <row r="268">
      <c r="A268" s="11"/>
      <c r="C268" s="11"/>
      <c r="D268" s="11"/>
      <c r="E268" s="11"/>
    </row>
    <row r="269">
      <c r="A269" s="11"/>
      <c r="C269" s="11"/>
      <c r="D269" s="11"/>
      <c r="E269" s="11"/>
    </row>
    <row r="270">
      <c r="A270" s="11"/>
      <c r="C270" s="11"/>
      <c r="D270" s="11"/>
      <c r="E270" s="11"/>
    </row>
    <row r="271">
      <c r="A271" s="11"/>
      <c r="C271" s="11"/>
      <c r="D271" s="11"/>
      <c r="E271" s="11"/>
    </row>
    <row r="272">
      <c r="A272" s="11"/>
      <c r="C272" s="11"/>
      <c r="D272" s="11"/>
      <c r="E272" s="11"/>
    </row>
    <row r="273">
      <c r="A273" s="11"/>
      <c r="C273" s="11"/>
      <c r="D273" s="11"/>
      <c r="E273" s="11"/>
    </row>
    <row r="274">
      <c r="A274" s="11"/>
      <c r="C274" s="11"/>
      <c r="D274" s="11"/>
      <c r="E274" s="11"/>
    </row>
    <row r="275">
      <c r="A275" s="11"/>
      <c r="C275" s="11"/>
      <c r="D275" s="11"/>
      <c r="E275" s="11"/>
    </row>
    <row r="276">
      <c r="A276" s="11"/>
      <c r="C276" s="11"/>
      <c r="D276" s="11"/>
      <c r="E276" s="11"/>
    </row>
    <row r="277">
      <c r="A277" s="11"/>
      <c r="C277" s="11"/>
      <c r="D277" s="11"/>
      <c r="E277" s="11"/>
    </row>
    <row r="278">
      <c r="A278" s="11"/>
      <c r="C278" s="11"/>
      <c r="D278" s="11"/>
      <c r="E278" s="11"/>
    </row>
    <row r="279">
      <c r="A279" s="11"/>
      <c r="C279" s="11"/>
      <c r="D279" s="11"/>
      <c r="E279" s="11"/>
    </row>
    <row r="280">
      <c r="A280" s="11"/>
      <c r="C280" s="11"/>
      <c r="D280" s="11"/>
      <c r="E280" s="11"/>
    </row>
    <row r="281">
      <c r="A281" s="11"/>
      <c r="C281" s="11"/>
      <c r="D281" s="11"/>
      <c r="E281" s="11"/>
    </row>
    <row r="282">
      <c r="A282" s="11"/>
      <c r="C282" s="11"/>
      <c r="D282" s="11"/>
      <c r="E282" s="11"/>
    </row>
    <row r="283">
      <c r="A283" s="11"/>
      <c r="C283" s="11"/>
      <c r="D283" s="11"/>
      <c r="E283" s="11"/>
    </row>
    <row r="284">
      <c r="A284" s="11"/>
      <c r="C284" s="11"/>
      <c r="D284" s="11"/>
      <c r="E284" s="11"/>
    </row>
    <row r="285">
      <c r="A285" s="11"/>
      <c r="C285" s="11"/>
      <c r="D285" s="11"/>
      <c r="E285" s="11"/>
    </row>
    <row r="286">
      <c r="A286" s="11"/>
      <c r="C286" s="11"/>
      <c r="D286" s="11"/>
      <c r="E286" s="11"/>
    </row>
    <row r="287">
      <c r="A287" s="11"/>
      <c r="C287" s="11"/>
      <c r="D287" s="11"/>
      <c r="E287" s="11"/>
    </row>
    <row r="288">
      <c r="A288" s="11"/>
      <c r="C288" s="11"/>
      <c r="D288" s="11"/>
      <c r="E288" s="11"/>
    </row>
    <row r="289">
      <c r="A289" s="11"/>
      <c r="C289" s="11"/>
      <c r="D289" s="11"/>
      <c r="E289" s="11"/>
    </row>
    <row r="290">
      <c r="A290" s="11"/>
      <c r="C290" s="11"/>
      <c r="D290" s="11"/>
      <c r="E290" s="11"/>
    </row>
    <row r="291">
      <c r="A291" s="11"/>
      <c r="C291" s="11"/>
      <c r="D291" s="11"/>
      <c r="E291" s="11"/>
    </row>
    <row r="292">
      <c r="A292" s="11"/>
      <c r="C292" s="11"/>
      <c r="D292" s="11"/>
      <c r="E292" s="11"/>
    </row>
    <row r="293">
      <c r="A293" s="11"/>
      <c r="C293" s="11"/>
      <c r="D293" s="11"/>
      <c r="E293" s="11"/>
    </row>
    <row r="294">
      <c r="A294" s="11"/>
      <c r="C294" s="11"/>
      <c r="D294" s="11"/>
      <c r="E294" s="11"/>
    </row>
    <row r="295">
      <c r="A295" s="11"/>
      <c r="C295" s="11"/>
      <c r="D295" s="11"/>
      <c r="E295" s="11"/>
    </row>
    <row r="296">
      <c r="A296" s="11"/>
      <c r="C296" s="11"/>
      <c r="D296" s="11"/>
      <c r="E296" s="11"/>
    </row>
    <row r="297">
      <c r="A297" s="11"/>
      <c r="C297" s="11"/>
      <c r="D297" s="11"/>
      <c r="E297" s="11"/>
    </row>
    <row r="298">
      <c r="A298" s="11"/>
      <c r="C298" s="11"/>
      <c r="D298" s="11"/>
      <c r="E298" s="11"/>
    </row>
    <row r="299">
      <c r="A299" s="11"/>
      <c r="C299" s="11"/>
      <c r="D299" s="11"/>
      <c r="E299" s="11"/>
    </row>
    <row r="300">
      <c r="A300" s="11"/>
      <c r="C300" s="11"/>
      <c r="D300" s="11"/>
      <c r="E300" s="11"/>
    </row>
    <row r="301">
      <c r="A301" s="11"/>
      <c r="C301" s="11"/>
      <c r="D301" s="11"/>
      <c r="E301" s="11"/>
    </row>
    <row r="302">
      <c r="A302" s="11"/>
      <c r="C302" s="11"/>
      <c r="D302" s="11"/>
      <c r="E302" s="11"/>
    </row>
    <row r="303">
      <c r="A303" s="11"/>
      <c r="C303" s="11"/>
      <c r="D303" s="11"/>
      <c r="E303" s="11"/>
    </row>
    <row r="304">
      <c r="A304" s="11"/>
      <c r="C304" s="11"/>
      <c r="D304" s="11"/>
      <c r="E304" s="11"/>
    </row>
    <row r="305">
      <c r="A305" s="11"/>
      <c r="C305" s="11"/>
      <c r="D305" s="11"/>
      <c r="E305" s="11"/>
    </row>
    <row r="306">
      <c r="A306" s="11"/>
      <c r="C306" s="11"/>
      <c r="D306" s="11"/>
      <c r="E306" s="11"/>
    </row>
    <row r="307">
      <c r="A307" s="11"/>
      <c r="C307" s="11"/>
      <c r="D307" s="11"/>
      <c r="E307" s="11"/>
    </row>
    <row r="308">
      <c r="A308" s="11"/>
      <c r="C308" s="11"/>
      <c r="D308" s="11"/>
      <c r="E308" s="11"/>
    </row>
    <row r="309">
      <c r="A309" s="11"/>
      <c r="C309" s="11"/>
      <c r="D309" s="11"/>
      <c r="E309" s="11"/>
    </row>
    <row r="310">
      <c r="A310" s="11"/>
      <c r="C310" s="11"/>
      <c r="D310" s="11"/>
      <c r="E310" s="11"/>
    </row>
    <row r="311">
      <c r="A311" s="11"/>
      <c r="C311" s="11"/>
      <c r="D311" s="11"/>
      <c r="E311" s="11"/>
    </row>
    <row r="312">
      <c r="A312" s="11"/>
      <c r="C312" s="11"/>
      <c r="D312" s="11"/>
      <c r="E312" s="11"/>
    </row>
    <row r="313">
      <c r="A313" s="11"/>
      <c r="C313" s="11"/>
      <c r="D313" s="11"/>
      <c r="E313" s="11"/>
    </row>
    <row r="314">
      <c r="A314" s="11"/>
      <c r="C314" s="11"/>
      <c r="D314" s="11"/>
      <c r="E314" s="11"/>
    </row>
    <row r="315">
      <c r="A315" s="11"/>
      <c r="C315" s="11"/>
      <c r="D315" s="11"/>
      <c r="E315" s="11"/>
    </row>
    <row r="316">
      <c r="A316" s="11"/>
      <c r="C316" s="11"/>
      <c r="D316" s="11"/>
      <c r="E316" s="11"/>
    </row>
    <row r="317">
      <c r="A317" s="11"/>
      <c r="C317" s="11"/>
      <c r="D317" s="11"/>
      <c r="E317" s="11"/>
    </row>
    <row r="318">
      <c r="A318" s="11"/>
      <c r="C318" s="11"/>
      <c r="D318" s="11"/>
      <c r="E318" s="11"/>
    </row>
    <row r="319">
      <c r="A319" s="11"/>
      <c r="C319" s="11"/>
      <c r="D319" s="11"/>
      <c r="E319" s="11"/>
    </row>
    <row r="320">
      <c r="A320" s="11"/>
      <c r="C320" s="11"/>
      <c r="D320" s="11"/>
      <c r="E320" s="11"/>
    </row>
    <row r="321">
      <c r="A321" s="11"/>
      <c r="C321" s="11"/>
      <c r="D321" s="11"/>
      <c r="E321" s="11"/>
    </row>
    <row r="322">
      <c r="A322" s="11"/>
      <c r="C322" s="11"/>
      <c r="D322" s="11"/>
      <c r="E322" s="11"/>
    </row>
    <row r="323">
      <c r="A323" s="11"/>
      <c r="C323" s="11"/>
      <c r="D323" s="11"/>
      <c r="E323" s="11"/>
    </row>
    <row r="324">
      <c r="A324" s="11"/>
      <c r="C324" s="11"/>
      <c r="D324" s="11"/>
      <c r="E324" s="11"/>
    </row>
    <row r="325">
      <c r="A325" s="11"/>
      <c r="C325" s="11"/>
      <c r="D325" s="11"/>
      <c r="E325" s="11"/>
    </row>
    <row r="326">
      <c r="A326" s="11"/>
      <c r="C326" s="11"/>
      <c r="D326" s="11"/>
      <c r="E326" s="11"/>
    </row>
    <row r="327">
      <c r="A327" s="11"/>
      <c r="C327" s="11"/>
      <c r="D327" s="11"/>
      <c r="E327" s="11"/>
    </row>
    <row r="328">
      <c r="A328" s="11"/>
      <c r="C328" s="11"/>
      <c r="D328" s="11"/>
      <c r="E328" s="11"/>
    </row>
    <row r="329">
      <c r="A329" s="11"/>
      <c r="C329" s="11"/>
      <c r="D329" s="11"/>
      <c r="E329" s="11"/>
    </row>
    <row r="330">
      <c r="A330" s="11"/>
      <c r="C330" s="11"/>
      <c r="D330" s="11"/>
      <c r="E330" s="11"/>
    </row>
    <row r="331">
      <c r="A331" s="11"/>
      <c r="C331" s="11"/>
      <c r="D331" s="11"/>
      <c r="E331" s="11"/>
    </row>
    <row r="332">
      <c r="A332" s="11"/>
      <c r="C332" s="11"/>
      <c r="D332" s="11"/>
      <c r="E332" s="11"/>
    </row>
    <row r="333">
      <c r="A333" s="11"/>
      <c r="C333" s="11"/>
      <c r="D333" s="11"/>
      <c r="E333" s="11"/>
    </row>
    <row r="334">
      <c r="A334" s="11"/>
      <c r="C334" s="11"/>
      <c r="D334" s="11"/>
      <c r="E334" s="11"/>
    </row>
    <row r="335">
      <c r="A335" s="11"/>
      <c r="C335" s="11"/>
      <c r="D335" s="11"/>
      <c r="E335" s="11"/>
    </row>
    <row r="336">
      <c r="A336" s="11"/>
      <c r="C336" s="11"/>
      <c r="D336" s="11"/>
      <c r="E336" s="11"/>
    </row>
    <row r="337">
      <c r="A337" s="11"/>
      <c r="C337" s="11"/>
      <c r="D337" s="11"/>
      <c r="E337" s="11"/>
    </row>
    <row r="338">
      <c r="A338" s="11"/>
      <c r="C338" s="11"/>
      <c r="D338" s="11"/>
      <c r="E338" s="11"/>
    </row>
    <row r="339">
      <c r="A339" s="11"/>
      <c r="C339" s="11"/>
      <c r="D339" s="11"/>
      <c r="E339" s="11"/>
    </row>
    <row r="340">
      <c r="A340" s="11"/>
      <c r="C340" s="11"/>
      <c r="D340" s="11"/>
      <c r="E340" s="11"/>
    </row>
    <row r="341">
      <c r="A341" s="11"/>
      <c r="C341" s="11"/>
      <c r="D341" s="11"/>
      <c r="E341" s="11"/>
    </row>
    <row r="342">
      <c r="A342" s="11"/>
      <c r="C342" s="11"/>
      <c r="D342" s="11"/>
      <c r="E342" s="11"/>
    </row>
    <row r="343">
      <c r="A343" s="11"/>
      <c r="C343" s="11"/>
      <c r="D343" s="11"/>
      <c r="E343" s="11"/>
    </row>
    <row r="344">
      <c r="A344" s="11"/>
      <c r="C344" s="11"/>
      <c r="D344" s="11"/>
      <c r="E344" s="11"/>
    </row>
    <row r="345">
      <c r="A345" s="11"/>
      <c r="C345" s="11"/>
      <c r="D345" s="11"/>
      <c r="E345" s="11"/>
    </row>
    <row r="346">
      <c r="A346" s="11"/>
      <c r="C346" s="11"/>
      <c r="D346" s="11"/>
      <c r="E346" s="11"/>
    </row>
    <row r="347">
      <c r="A347" s="11"/>
      <c r="C347" s="11"/>
      <c r="D347" s="11"/>
      <c r="E347" s="11"/>
    </row>
    <row r="348">
      <c r="A348" s="11"/>
      <c r="C348" s="11"/>
      <c r="D348" s="11"/>
      <c r="E348" s="11"/>
    </row>
    <row r="349">
      <c r="A349" s="11"/>
      <c r="C349" s="11"/>
      <c r="D349" s="11"/>
      <c r="E349" s="11"/>
    </row>
    <row r="350">
      <c r="A350" s="11"/>
      <c r="C350" s="11"/>
      <c r="D350" s="11"/>
      <c r="E350" s="11"/>
    </row>
    <row r="351">
      <c r="A351" s="11"/>
      <c r="C351" s="11"/>
      <c r="D351" s="11"/>
      <c r="E351" s="11"/>
    </row>
    <row r="352">
      <c r="A352" s="11"/>
      <c r="C352" s="11"/>
      <c r="D352" s="11"/>
      <c r="E352" s="11"/>
    </row>
    <row r="353">
      <c r="A353" s="11"/>
      <c r="C353" s="11"/>
      <c r="D353" s="11"/>
      <c r="E353" s="11"/>
    </row>
    <row r="354">
      <c r="A354" s="11"/>
      <c r="C354" s="11"/>
      <c r="D354" s="11"/>
      <c r="E354" s="11"/>
    </row>
    <row r="355">
      <c r="A355" s="11"/>
      <c r="C355" s="11"/>
      <c r="D355" s="11"/>
      <c r="E355" s="11"/>
    </row>
    <row r="356">
      <c r="A356" s="11"/>
      <c r="C356" s="11"/>
      <c r="D356" s="11"/>
      <c r="E356" s="11"/>
    </row>
    <row r="357">
      <c r="A357" s="11"/>
      <c r="C357" s="11"/>
      <c r="D357" s="11"/>
      <c r="E357" s="11"/>
    </row>
    <row r="358">
      <c r="A358" s="11"/>
      <c r="C358" s="11"/>
      <c r="D358" s="11"/>
      <c r="E358" s="11"/>
    </row>
    <row r="359">
      <c r="A359" s="11"/>
      <c r="C359" s="11"/>
      <c r="D359" s="11"/>
      <c r="E359" s="11"/>
    </row>
    <row r="360">
      <c r="A360" s="11"/>
      <c r="C360" s="11"/>
      <c r="D360" s="11"/>
      <c r="E360" s="11"/>
    </row>
    <row r="361">
      <c r="A361" s="11"/>
      <c r="C361" s="11"/>
      <c r="D361" s="11"/>
      <c r="E361" s="11"/>
    </row>
    <row r="362">
      <c r="A362" s="11"/>
      <c r="C362" s="11"/>
      <c r="D362" s="11"/>
      <c r="E362" s="11"/>
    </row>
    <row r="363">
      <c r="A363" s="11"/>
      <c r="C363" s="11"/>
      <c r="D363" s="11"/>
      <c r="E363" s="11"/>
    </row>
    <row r="364">
      <c r="A364" s="11"/>
      <c r="C364" s="11"/>
      <c r="D364" s="11"/>
      <c r="E364" s="11"/>
    </row>
    <row r="365">
      <c r="A365" s="11"/>
      <c r="C365" s="11"/>
      <c r="D365" s="11"/>
      <c r="E365" s="11"/>
    </row>
    <row r="366">
      <c r="A366" s="11"/>
      <c r="C366" s="11"/>
      <c r="D366" s="11"/>
      <c r="E366" s="11"/>
    </row>
    <row r="367">
      <c r="A367" s="11"/>
      <c r="C367" s="11"/>
      <c r="D367" s="11"/>
      <c r="E367" s="11"/>
    </row>
    <row r="368">
      <c r="A368" s="11"/>
      <c r="C368" s="11"/>
      <c r="D368" s="11"/>
      <c r="E368" s="11"/>
    </row>
    <row r="369">
      <c r="A369" s="11"/>
      <c r="C369" s="11"/>
      <c r="D369" s="11"/>
      <c r="E369" s="11"/>
    </row>
    <row r="370">
      <c r="A370" s="11"/>
      <c r="C370" s="11"/>
      <c r="D370" s="11"/>
      <c r="E370" s="11"/>
    </row>
    <row r="371">
      <c r="A371" s="11"/>
      <c r="C371" s="11"/>
      <c r="D371" s="11"/>
      <c r="E371" s="11"/>
    </row>
    <row r="372">
      <c r="A372" s="11"/>
      <c r="C372" s="11"/>
      <c r="D372" s="11"/>
      <c r="E372" s="11"/>
    </row>
    <row r="373">
      <c r="A373" s="11"/>
      <c r="C373" s="11"/>
      <c r="D373" s="11"/>
      <c r="E373" s="11"/>
    </row>
    <row r="374">
      <c r="A374" s="11"/>
      <c r="C374" s="11"/>
      <c r="D374" s="11"/>
      <c r="E374" s="11"/>
    </row>
    <row r="375">
      <c r="A375" s="11"/>
      <c r="C375" s="11"/>
      <c r="D375" s="11"/>
      <c r="E375" s="11"/>
    </row>
    <row r="376">
      <c r="A376" s="11"/>
      <c r="C376" s="11"/>
      <c r="D376" s="11"/>
      <c r="E376" s="11"/>
    </row>
    <row r="377">
      <c r="A377" s="11"/>
      <c r="C377" s="11"/>
      <c r="D377" s="11"/>
      <c r="E377" s="11"/>
    </row>
    <row r="378">
      <c r="A378" s="11"/>
      <c r="C378" s="11"/>
      <c r="D378" s="11"/>
      <c r="E378" s="11"/>
    </row>
    <row r="379">
      <c r="A379" s="11"/>
      <c r="C379" s="11"/>
      <c r="D379" s="11"/>
      <c r="E379" s="11"/>
    </row>
    <row r="380">
      <c r="A380" s="11"/>
      <c r="C380" s="11"/>
      <c r="D380" s="11"/>
      <c r="E380" s="11"/>
    </row>
    <row r="381">
      <c r="A381" s="11"/>
      <c r="C381" s="11"/>
      <c r="D381" s="11"/>
      <c r="E381" s="11"/>
    </row>
    <row r="382">
      <c r="A382" s="11"/>
      <c r="C382" s="11"/>
      <c r="D382" s="11"/>
      <c r="E382" s="11"/>
    </row>
    <row r="383">
      <c r="A383" s="11"/>
      <c r="C383" s="11"/>
      <c r="D383" s="11"/>
      <c r="E383" s="11"/>
    </row>
    <row r="384">
      <c r="A384" s="11"/>
      <c r="C384" s="11"/>
      <c r="D384" s="11"/>
      <c r="E384" s="11"/>
    </row>
    <row r="385">
      <c r="A385" s="11"/>
      <c r="C385" s="11"/>
      <c r="D385" s="11"/>
      <c r="E385" s="11"/>
    </row>
    <row r="386">
      <c r="A386" s="11"/>
      <c r="C386" s="11"/>
      <c r="D386" s="11"/>
      <c r="E386" s="11"/>
    </row>
    <row r="387">
      <c r="A387" s="11"/>
      <c r="C387" s="11"/>
      <c r="D387" s="11"/>
      <c r="E387" s="11"/>
    </row>
    <row r="388">
      <c r="A388" s="11"/>
      <c r="C388" s="11"/>
      <c r="D388" s="11"/>
      <c r="E388" s="11"/>
    </row>
    <row r="389">
      <c r="A389" s="11"/>
      <c r="C389" s="11"/>
      <c r="D389" s="11"/>
      <c r="E389" s="11"/>
    </row>
    <row r="390">
      <c r="A390" s="11"/>
      <c r="C390" s="11"/>
      <c r="D390" s="11"/>
      <c r="E390" s="11"/>
    </row>
    <row r="391">
      <c r="A391" s="11"/>
      <c r="C391" s="11"/>
      <c r="D391" s="11"/>
      <c r="E391" s="11"/>
    </row>
    <row r="392">
      <c r="A392" s="11"/>
      <c r="C392" s="11"/>
      <c r="D392" s="11"/>
      <c r="E392" s="11"/>
    </row>
    <row r="393">
      <c r="A393" s="11"/>
      <c r="C393" s="11"/>
      <c r="D393" s="11"/>
      <c r="E393" s="11"/>
    </row>
    <row r="394">
      <c r="A394" s="11"/>
      <c r="C394" s="11"/>
      <c r="D394" s="11"/>
      <c r="E394" s="11"/>
    </row>
    <row r="395">
      <c r="A395" s="11"/>
      <c r="C395" s="11"/>
      <c r="D395" s="11"/>
      <c r="E395" s="11"/>
    </row>
    <row r="396">
      <c r="A396" s="11"/>
      <c r="C396" s="11"/>
      <c r="D396" s="11"/>
      <c r="E396" s="11"/>
    </row>
    <row r="397">
      <c r="A397" s="11"/>
      <c r="C397" s="11"/>
      <c r="D397" s="11"/>
      <c r="E397" s="11"/>
    </row>
    <row r="398">
      <c r="A398" s="11"/>
      <c r="C398" s="11"/>
      <c r="D398" s="11"/>
      <c r="E398" s="11"/>
    </row>
    <row r="399">
      <c r="A399" s="11"/>
      <c r="C399" s="11"/>
      <c r="D399" s="11"/>
      <c r="E399" s="11"/>
    </row>
    <row r="400">
      <c r="A400" s="11"/>
      <c r="C400" s="11"/>
      <c r="D400" s="11"/>
      <c r="E400" s="11"/>
    </row>
    <row r="401">
      <c r="A401" s="11"/>
      <c r="C401" s="11"/>
      <c r="D401" s="11"/>
      <c r="E401" s="11"/>
    </row>
    <row r="402">
      <c r="A402" s="11"/>
      <c r="C402" s="11"/>
      <c r="D402" s="11"/>
      <c r="E402" s="11"/>
    </row>
    <row r="403">
      <c r="A403" s="11"/>
      <c r="C403" s="11"/>
      <c r="D403" s="11"/>
      <c r="E403" s="11"/>
    </row>
    <row r="404">
      <c r="A404" s="11"/>
      <c r="C404" s="11"/>
      <c r="D404" s="11"/>
      <c r="E404" s="11"/>
    </row>
    <row r="405">
      <c r="A405" s="11"/>
      <c r="C405" s="11"/>
      <c r="D405" s="11"/>
      <c r="E405" s="11"/>
    </row>
    <row r="406">
      <c r="A406" s="11"/>
      <c r="C406" s="11"/>
      <c r="D406" s="11"/>
      <c r="E406" s="11"/>
    </row>
    <row r="407">
      <c r="A407" s="11"/>
      <c r="C407" s="11"/>
      <c r="D407" s="11"/>
      <c r="E407" s="11"/>
    </row>
    <row r="408">
      <c r="A408" s="11"/>
      <c r="C408" s="11"/>
      <c r="D408" s="11"/>
      <c r="E408" s="11"/>
    </row>
    <row r="409">
      <c r="A409" s="11"/>
      <c r="C409" s="11"/>
      <c r="D409" s="11"/>
      <c r="E409" s="11"/>
    </row>
    <row r="410">
      <c r="A410" s="11"/>
      <c r="C410" s="11"/>
      <c r="D410" s="11"/>
      <c r="E410" s="11"/>
    </row>
    <row r="411">
      <c r="A411" s="11"/>
      <c r="C411" s="11"/>
      <c r="D411" s="11"/>
      <c r="E411" s="11"/>
    </row>
    <row r="412">
      <c r="A412" s="11"/>
      <c r="C412" s="11"/>
      <c r="D412" s="11"/>
      <c r="E412" s="11"/>
    </row>
    <row r="413">
      <c r="A413" s="11"/>
      <c r="C413" s="11"/>
      <c r="D413" s="11"/>
      <c r="E413" s="11"/>
    </row>
    <row r="414">
      <c r="A414" s="11"/>
      <c r="C414" s="11"/>
      <c r="D414" s="11"/>
      <c r="E414" s="11"/>
    </row>
    <row r="415">
      <c r="A415" s="11"/>
      <c r="C415" s="11"/>
      <c r="D415" s="11"/>
      <c r="E415" s="11"/>
    </row>
    <row r="416">
      <c r="A416" s="11"/>
      <c r="C416" s="11"/>
      <c r="D416" s="11"/>
      <c r="E416" s="11"/>
    </row>
    <row r="417">
      <c r="A417" s="11"/>
      <c r="C417" s="11"/>
      <c r="D417" s="11"/>
      <c r="E417" s="11"/>
    </row>
    <row r="418">
      <c r="A418" s="11"/>
      <c r="C418" s="11"/>
      <c r="D418" s="11"/>
      <c r="E418" s="11"/>
    </row>
    <row r="419">
      <c r="A419" s="11"/>
      <c r="C419" s="11"/>
      <c r="D419" s="11"/>
      <c r="E419" s="11"/>
    </row>
    <row r="420">
      <c r="A420" s="11"/>
      <c r="C420" s="11"/>
      <c r="D420" s="11"/>
      <c r="E420" s="11"/>
    </row>
    <row r="421">
      <c r="A421" s="11"/>
      <c r="C421" s="11"/>
      <c r="D421" s="11"/>
      <c r="E421" s="11"/>
    </row>
    <row r="422">
      <c r="A422" s="11"/>
      <c r="C422" s="11"/>
      <c r="D422" s="11"/>
      <c r="E422" s="11"/>
    </row>
    <row r="423">
      <c r="A423" s="11"/>
      <c r="C423" s="11"/>
      <c r="D423" s="11"/>
      <c r="E423" s="11"/>
    </row>
    <row r="424">
      <c r="A424" s="11"/>
      <c r="C424" s="11"/>
      <c r="D424" s="11"/>
      <c r="E424" s="11"/>
    </row>
    <row r="425">
      <c r="A425" s="11"/>
      <c r="C425" s="11"/>
      <c r="D425" s="11"/>
      <c r="E425" s="11"/>
    </row>
    <row r="426">
      <c r="A426" s="11"/>
      <c r="C426" s="11"/>
      <c r="D426" s="11"/>
      <c r="E426" s="11"/>
    </row>
    <row r="427">
      <c r="A427" s="11"/>
      <c r="C427" s="11"/>
      <c r="D427" s="11"/>
      <c r="E427" s="11"/>
    </row>
    <row r="428">
      <c r="A428" s="11"/>
      <c r="C428" s="11"/>
      <c r="D428" s="11"/>
      <c r="E428" s="11"/>
    </row>
    <row r="429">
      <c r="A429" s="11"/>
      <c r="C429" s="11"/>
      <c r="D429" s="11"/>
      <c r="E429" s="11"/>
    </row>
    <row r="430">
      <c r="A430" s="11"/>
      <c r="C430" s="11"/>
      <c r="D430" s="11"/>
      <c r="E430" s="11"/>
    </row>
    <row r="431">
      <c r="A431" s="11"/>
      <c r="C431" s="11"/>
      <c r="D431" s="11"/>
      <c r="E431" s="11"/>
    </row>
    <row r="432">
      <c r="A432" s="11"/>
      <c r="C432" s="11"/>
      <c r="D432" s="11"/>
      <c r="E432" s="11"/>
    </row>
    <row r="433">
      <c r="A433" s="11"/>
      <c r="C433" s="11"/>
      <c r="D433" s="11"/>
      <c r="E433" s="11"/>
    </row>
    <row r="434">
      <c r="A434" s="11"/>
      <c r="C434" s="11"/>
      <c r="D434" s="11"/>
      <c r="E434" s="11"/>
    </row>
    <row r="435">
      <c r="A435" s="11"/>
      <c r="C435" s="11"/>
      <c r="D435" s="11"/>
      <c r="E435" s="11"/>
    </row>
    <row r="436">
      <c r="A436" s="11"/>
      <c r="C436" s="11"/>
      <c r="D436" s="11"/>
      <c r="E436" s="11"/>
    </row>
    <row r="437">
      <c r="A437" s="11"/>
      <c r="C437" s="11"/>
      <c r="D437" s="11"/>
      <c r="E437" s="11"/>
    </row>
    <row r="438">
      <c r="A438" s="11"/>
      <c r="C438" s="11"/>
      <c r="D438" s="11"/>
      <c r="E438" s="11"/>
    </row>
    <row r="439">
      <c r="A439" s="11"/>
      <c r="C439" s="11"/>
      <c r="D439" s="11"/>
      <c r="E439" s="11"/>
    </row>
    <row r="440">
      <c r="A440" s="11"/>
      <c r="C440" s="11"/>
      <c r="D440" s="11"/>
      <c r="E440" s="11"/>
    </row>
    <row r="441">
      <c r="A441" s="11"/>
      <c r="C441" s="11"/>
      <c r="D441" s="11"/>
      <c r="E441" s="11"/>
    </row>
    <row r="442">
      <c r="A442" s="11"/>
      <c r="C442" s="11"/>
      <c r="D442" s="11"/>
      <c r="E442" s="11"/>
    </row>
    <row r="443">
      <c r="A443" s="11"/>
      <c r="C443" s="11"/>
      <c r="D443" s="11"/>
      <c r="E443" s="11"/>
    </row>
    <row r="444">
      <c r="A444" s="11"/>
      <c r="C444" s="11"/>
      <c r="D444" s="11"/>
      <c r="E444" s="11"/>
    </row>
    <row r="445">
      <c r="A445" s="11"/>
      <c r="C445" s="11"/>
      <c r="D445" s="11"/>
      <c r="E445" s="11"/>
    </row>
    <row r="446">
      <c r="A446" s="11"/>
      <c r="C446" s="11"/>
      <c r="D446" s="11"/>
      <c r="E446" s="11"/>
    </row>
    <row r="447">
      <c r="A447" s="11"/>
      <c r="C447" s="11"/>
      <c r="D447" s="11"/>
      <c r="E447" s="11"/>
    </row>
    <row r="448">
      <c r="A448" s="11"/>
      <c r="C448" s="11"/>
      <c r="D448" s="11"/>
      <c r="E448" s="11"/>
    </row>
    <row r="449">
      <c r="A449" s="11"/>
      <c r="C449" s="11"/>
      <c r="D449" s="11"/>
      <c r="E449" s="11"/>
    </row>
    <row r="450">
      <c r="A450" s="11"/>
      <c r="C450" s="11"/>
      <c r="D450" s="11"/>
      <c r="E450" s="11"/>
    </row>
    <row r="451">
      <c r="A451" s="11"/>
      <c r="C451" s="11"/>
      <c r="D451" s="11"/>
      <c r="E451" s="11"/>
    </row>
    <row r="452">
      <c r="A452" s="11"/>
      <c r="C452" s="11"/>
      <c r="D452" s="11"/>
      <c r="E452" s="11"/>
    </row>
    <row r="453">
      <c r="A453" s="11"/>
      <c r="C453" s="11"/>
      <c r="D453" s="11"/>
      <c r="E453" s="11"/>
    </row>
    <row r="454">
      <c r="A454" s="11"/>
      <c r="C454" s="11"/>
      <c r="D454" s="11"/>
      <c r="E454" s="11"/>
    </row>
    <row r="455">
      <c r="A455" s="11"/>
      <c r="C455" s="11"/>
      <c r="D455" s="11"/>
      <c r="E455" s="11"/>
    </row>
    <row r="456">
      <c r="A456" s="11"/>
      <c r="C456" s="11"/>
      <c r="D456" s="11"/>
      <c r="E456" s="11"/>
    </row>
    <row r="457">
      <c r="A457" s="11"/>
      <c r="C457" s="11"/>
      <c r="D457" s="11"/>
      <c r="E457" s="11"/>
    </row>
    <row r="458">
      <c r="A458" s="11"/>
      <c r="C458" s="11"/>
      <c r="D458" s="11"/>
      <c r="E458" s="11"/>
    </row>
    <row r="459">
      <c r="A459" s="11"/>
      <c r="C459" s="11"/>
      <c r="D459" s="11"/>
      <c r="E459" s="11"/>
    </row>
    <row r="460">
      <c r="A460" s="11"/>
      <c r="C460" s="11"/>
      <c r="D460" s="11"/>
      <c r="E460" s="11"/>
    </row>
    <row r="461">
      <c r="A461" s="11"/>
      <c r="C461" s="11"/>
      <c r="D461" s="11"/>
      <c r="E461" s="11"/>
    </row>
    <row r="462">
      <c r="A462" s="11"/>
      <c r="C462" s="11"/>
      <c r="D462" s="11"/>
      <c r="E462" s="11"/>
    </row>
    <row r="463">
      <c r="A463" s="11"/>
      <c r="C463" s="11"/>
      <c r="D463" s="11"/>
      <c r="E463" s="11"/>
    </row>
    <row r="464">
      <c r="A464" s="11"/>
      <c r="C464" s="11"/>
      <c r="D464" s="11"/>
      <c r="E464" s="11"/>
    </row>
    <row r="465">
      <c r="A465" s="11"/>
      <c r="C465" s="11"/>
      <c r="D465" s="11"/>
      <c r="E465" s="11"/>
    </row>
    <row r="466">
      <c r="A466" s="11"/>
      <c r="C466" s="11"/>
      <c r="D466" s="11"/>
      <c r="E466" s="11"/>
    </row>
    <row r="467">
      <c r="A467" s="11"/>
      <c r="C467" s="11"/>
      <c r="D467" s="11"/>
      <c r="E467" s="11"/>
    </row>
    <row r="468">
      <c r="A468" s="11"/>
      <c r="C468" s="11"/>
      <c r="D468" s="11"/>
      <c r="E468" s="11"/>
    </row>
    <row r="469">
      <c r="A469" s="11"/>
      <c r="C469" s="11"/>
      <c r="D469" s="11"/>
      <c r="E469" s="11"/>
    </row>
    <row r="470">
      <c r="A470" s="11"/>
      <c r="C470" s="11"/>
      <c r="D470" s="11"/>
      <c r="E470" s="11"/>
    </row>
    <row r="471">
      <c r="A471" s="11"/>
      <c r="C471" s="11"/>
      <c r="D471" s="11"/>
      <c r="E471" s="11"/>
    </row>
    <row r="472">
      <c r="A472" s="11"/>
      <c r="C472" s="11"/>
      <c r="D472" s="11"/>
      <c r="E472" s="11"/>
    </row>
    <row r="473">
      <c r="A473" s="11"/>
      <c r="C473" s="11"/>
      <c r="D473" s="11"/>
      <c r="E473" s="11"/>
    </row>
    <row r="474">
      <c r="A474" s="11"/>
      <c r="C474" s="11"/>
      <c r="D474" s="11"/>
      <c r="E474" s="11"/>
    </row>
    <row r="475">
      <c r="A475" s="11"/>
      <c r="C475" s="11"/>
      <c r="D475" s="11"/>
      <c r="E475" s="11"/>
    </row>
    <row r="476">
      <c r="A476" s="11"/>
      <c r="C476" s="11"/>
      <c r="D476" s="11"/>
      <c r="E476" s="11"/>
    </row>
    <row r="477">
      <c r="A477" s="11"/>
      <c r="C477" s="11"/>
      <c r="D477" s="11"/>
      <c r="E477" s="11"/>
    </row>
    <row r="478">
      <c r="A478" s="11"/>
      <c r="C478" s="11"/>
      <c r="D478" s="11"/>
      <c r="E478" s="11"/>
    </row>
    <row r="479">
      <c r="A479" s="11"/>
      <c r="C479" s="11"/>
      <c r="D479" s="11"/>
      <c r="E479" s="11"/>
    </row>
    <row r="480">
      <c r="A480" s="11"/>
      <c r="C480" s="11"/>
      <c r="D480" s="11"/>
      <c r="E480" s="11"/>
    </row>
    <row r="481">
      <c r="A481" s="11"/>
      <c r="C481" s="11"/>
      <c r="D481" s="11"/>
      <c r="E481" s="11"/>
    </row>
    <row r="482">
      <c r="A482" s="11"/>
      <c r="C482" s="11"/>
      <c r="D482" s="11"/>
      <c r="E482" s="11"/>
    </row>
    <row r="483">
      <c r="A483" s="11"/>
      <c r="C483" s="11"/>
      <c r="D483" s="11"/>
      <c r="E483" s="11"/>
    </row>
    <row r="484">
      <c r="A484" s="11"/>
      <c r="C484" s="11"/>
      <c r="D484" s="11"/>
      <c r="E484" s="11"/>
    </row>
    <row r="485">
      <c r="A485" s="11"/>
      <c r="C485" s="11"/>
      <c r="D485" s="11"/>
      <c r="E485" s="11"/>
    </row>
    <row r="486">
      <c r="A486" s="11"/>
      <c r="C486" s="11"/>
      <c r="D486" s="11"/>
      <c r="E486" s="11"/>
    </row>
    <row r="487">
      <c r="A487" s="11"/>
      <c r="C487" s="11"/>
      <c r="D487" s="11"/>
      <c r="E487" s="11"/>
    </row>
    <row r="488">
      <c r="A488" s="11"/>
      <c r="C488" s="11"/>
      <c r="D488" s="11"/>
      <c r="E488" s="11"/>
    </row>
    <row r="489">
      <c r="A489" s="11"/>
      <c r="C489" s="11"/>
      <c r="D489" s="11"/>
      <c r="E489" s="11"/>
    </row>
    <row r="490">
      <c r="A490" s="11"/>
      <c r="C490" s="11"/>
      <c r="D490" s="11"/>
      <c r="E490" s="11"/>
    </row>
    <row r="491">
      <c r="A491" s="11"/>
      <c r="C491" s="11"/>
      <c r="D491" s="11"/>
      <c r="E491" s="11"/>
    </row>
    <row r="492">
      <c r="A492" s="11"/>
      <c r="C492" s="11"/>
      <c r="D492" s="11"/>
      <c r="E492" s="11"/>
    </row>
    <row r="493">
      <c r="A493" s="11"/>
      <c r="C493" s="11"/>
      <c r="D493" s="11"/>
      <c r="E493" s="11"/>
    </row>
    <row r="494">
      <c r="A494" s="11"/>
      <c r="C494" s="11"/>
      <c r="D494" s="11"/>
      <c r="E494" s="11"/>
    </row>
    <row r="495">
      <c r="A495" s="11"/>
      <c r="C495" s="11"/>
      <c r="D495" s="11"/>
      <c r="E495" s="11"/>
    </row>
    <row r="496">
      <c r="A496" s="11"/>
      <c r="C496" s="11"/>
      <c r="D496" s="11"/>
      <c r="E496" s="11"/>
    </row>
    <row r="497">
      <c r="A497" s="11"/>
      <c r="C497" s="11"/>
      <c r="D497" s="11"/>
      <c r="E497" s="11"/>
    </row>
    <row r="498">
      <c r="A498" s="11"/>
      <c r="C498" s="11"/>
      <c r="D498" s="11"/>
      <c r="E498" s="11"/>
    </row>
    <row r="499">
      <c r="A499" s="11"/>
      <c r="C499" s="11"/>
      <c r="D499" s="11"/>
      <c r="E499" s="11"/>
    </row>
    <row r="500">
      <c r="A500" s="11"/>
      <c r="C500" s="11"/>
      <c r="D500" s="11"/>
      <c r="E500" s="11"/>
    </row>
    <row r="501">
      <c r="A501" s="11"/>
      <c r="C501" s="11"/>
      <c r="D501" s="11"/>
      <c r="E501" s="11"/>
    </row>
    <row r="502">
      <c r="A502" s="11"/>
      <c r="C502" s="11"/>
      <c r="D502" s="11"/>
      <c r="E502" s="11"/>
    </row>
    <row r="503">
      <c r="A503" s="11"/>
      <c r="C503" s="11"/>
      <c r="D503" s="11"/>
      <c r="E503" s="11"/>
    </row>
    <row r="504">
      <c r="A504" s="11"/>
      <c r="C504" s="11"/>
      <c r="D504" s="11"/>
      <c r="E504" s="11"/>
    </row>
    <row r="505">
      <c r="A505" s="11"/>
      <c r="C505" s="11"/>
      <c r="D505" s="11"/>
      <c r="E505" s="11"/>
    </row>
    <row r="506">
      <c r="A506" s="11"/>
      <c r="C506" s="11"/>
      <c r="D506" s="11"/>
      <c r="E506" s="11"/>
    </row>
    <row r="507">
      <c r="A507" s="11"/>
      <c r="C507" s="11"/>
      <c r="D507" s="11"/>
      <c r="E507" s="11"/>
    </row>
    <row r="508">
      <c r="A508" s="11"/>
      <c r="C508" s="11"/>
      <c r="D508" s="11"/>
      <c r="E508" s="11"/>
    </row>
    <row r="509">
      <c r="A509" s="11"/>
      <c r="C509" s="11"/>
      <c r="D509" s="11"/>
      <c r="E509" s="11"/>
    </row>
    <row r="510">
      <c r="A510" s="11"/>
      <c r="C510" s="11"/>
      <c r="D510" s="11"/>
      <c r="E510" s="11"/>
    </row>
    <row r="511">
      <c r="A511" s="11"/>
      <c r="C511" s="11"/>
      <c r="D511" s="11"/>
      <c r="E511" s="11"/>
    </row>
    <row r="512">
      <c r="A512" s="11"/>
      <c r="C512" s="11"/>
      <c r="D512" s="11"/>
      <c r="E512" s="11"/>
    </row>
    <row r="513">
      <c r="A513" s="11"/>
      <c r="C513" s="11"/>
      <c r="D513" s="11"/>
      <c r="E513" s="11"/>
    </row>
    <row r="514">
      <c r="A514" s="11"/>
      <c r="C514" s="11"/>
      <c r="D514" s="11"/>
      <c r="E514" s="11"/>
    </row>
    <row r="515">
      <c r="A515" s="11"/>
      <c r="C515" s="11"/>
      <c r="D515" s="11"/>
      <c r="E515" s="11"/>
    </row>
    <row r="516">
      <c r="A516" s="11"/>
      <c r="C516" s="11"/>
      <c r="D516" s="11"/>
      <c r="E516" s="11"/>
    </row>
    <row r="517">
      <c r="A517" s="11"/>
      <c r="C517" s="11"/>
      <c r="D517" s="11"/>
      <c r="E517" s="11"/>
    </row>
    <row r="518">
      <c r="A518" s="11"/>
      <c r="C518" s="11"/>
      <c r="D518" s="11"/>
      <c r="E518" s="11"/>
    </row>
    <row r="519">
      <c r="A519" s="11"/>
      <c r="C519" s="11"/>
      <c r="D519" s="11"/>
      <c r="E519" s="11"/>
    </row>
    <row r="520">
      <c r="A520" s="11"/>
      <c r="C520" s="11"/>
      <c r="D520" s="11"/>
      <c r="E520" s="11"/>
    </row>
    <row r="521">
      <c r="A521" s="11"/>
      <c r="C521" s="11"/>
      <c r="D521" s="11"/>
      <c r="E521" s="11"/>
    </row>
    <row r="522">
      <c r="A522" s="11"/>
      <c r="C522" s="11"/>
      <c r="D522" s="11"/>
      <c r="E522" s="11"/>
    </row>
    <row r="523">
      <c r="A523" s="11"/>
      <c r="C523" s="11"/>
      <c r="D523" s="11"/>
      <c r="E523" s="11"/>
    </row>
    <row r="524">
      <c r="A524" s="11"/>
      <c r="C524" s="11"/>
      <c r="D524" s="11"/>
      <c r="E524" s="11"/>
    </row>
    <row r="525">
      <c r="A525" s="11"/>
      <c r="C525" s="11"/>
      <c r="D525" s="11"/>
      <c r="E525" s="11"/>
    </row>
    <row r="526">
      <c r="A526" s="11"/>
      <c r="C526" s="11"/>
      <c r="D526" s="11"/>
      <c r="E526" s="11"/>
    </row>
    <row r="527">
      <c r="A527" s="11"/>
      <c r="C527" s="11"/>
      <c r="D527" s="11"/>
      <c r="E527" s="11"/>
    </row>
    <row r="528">
      <c r="A528" s="11"/>
      <c r="C528" s="11"/>
      <c r="D528" s="11"/>
      <c r="E528" s="11"/>
    </row>
    <row r="529">
      <c r="A529" s="11"/>
      <c r="C529" s="11"/>
      <c r="D529" s="11"/>
      <c r="E529" s="11"/>
    </row>
    <row r="530">
      <c r="A530" s="11"/>
      <c r="C530" s="11"/>
      <c r="D530" s="11"/>
      <c r="E530" s="11"/>
    </row>
    <row r="531">
      <c r="A531" s="11"/>
      <c r="C531" s="11"/>
      <c r="D531" s="11"/>
      <c r="E531" s="11"/>
    </row>
    <row r="532">
      <c r="A532" s="11"/>
      <c r="C532" s="11"/>
      <c r="D532" s="11"/>
      <c r="E532" s="11"/>
    </row>
    <row r="533">
      <c r="A533" s="11"/>
      <c r="C533" s="11"/>
      <c r="D533" s="11"/>
      <c r="E533" s="11"/>
    </row>
    <row r="534">
      <c r="A534" s="11"/>
      <c r="C534" s="11"/>
      <c r="D534" s="11"/>
      <c r="E534" s="11"/>
    </row>
    <row r="535">
      <c r="A535" s="11"/>
      <c r="C535" s="11"/>
      <c r="D535" s="11"/>
      <c r="E535" s="11"/>
    </row>
    <row r="536">
      <c r="A536" s="11"/>
      <c r="C536" s="11"/>
      <c r="D536" s="11"/>
      <c r="E536" s="11"/>
    </row>
    <row r="537">
      <c r="A537" s="11"/>
      <c r="C537" s="11"/>
      <c r="D537" s="11"/>
      <c r="E537" s="11"/>
    </row>
    <row r="538">
      <c r="A538" s="11"/>
      <c r="C538" s="11"/>
      <c r="D538" s="11"/>
      <c r="E538" s="11"/>
    </row>
    <row r="539">
      <c r="A539" s="11"/>
      <c r="C539" s="11"/>
      <c r="D539" s="11"/>
      <c r="E539" s="11"/>
    </row>
    <row r="540">
      <c r="A540" s="11"/>
      <c r="C540" s="11"/>
      <c r="D540" s="11"/>
      <c r="E540" s="11"/>
    </row>
    <row r="541">
      <c r="A541" s="11"/>
      <c r="C541" s="11"/>
      <c r="D541" s="11"/>
      <c r="E541" s="11"/>
    </row>
    <row r="542">
      <c r="A542" s="11"/>
      <c r="C542" s="11"/>
      <c r="D542" s="11"/>
      <c r="E542" s="11"/>
    </row>
    <row r="543">
      <c r="A543" s="11"/>
      <c r="C543" s="11"/>
      <c r="D543" s="11"/>
      <c r="E543" s="11"/>
    </row>
    <row r="544">
      <c r="A544" s="11"/>
      <c r="C544" s="11"/>
      <c r="D544" s="11"/>
      <c r="E544" s="11"/>
    </row>
    <row r="545">
      <c r="A545" s="11"/>
      <c r="C545" s="11"/>
      <c r="D545" s="11"/>
      <c r="E545" s="11"/>
    </row>
    <row r="546">
      <c r="A546" s="11"/>
      <c r="C546" s="11"/>
      <c r="D546" s="11"/>
      <c r="E546" s="11"/>
    </row>
    <row r="547">
      <c r="A547" s="11"/>
      <c r="C547" s="11"/>
      <c r="D547" s="11"/>
      <c r="E547" s="11"/>
    </row>
    <row r="548">
      <c r="A548" s="11"/>
      <c r="C548" s="11"/>
      <c r="D548" s="11"/>
      <c r="E548" s="11"/>
    </row>
    <row r="549">
      <c r="A549" s="11"/>
      <c r="C549" s="11"/>
      <c r="D549" s="11"/>
      <c r="E549" s="11"/>
    </row>
    <row r="550">
      <c r="A550" s="11"/>
      <c r="C550" s="11"/>
      <c r="D550" s="11"/>
      <c r="E550" s="11"/>
    </row>
    <row r="551">
      <c r="A551" s="11"/>
      <c r="C551" s="11"/>
      <c r="D551" s="11"/>
      <c r="E551" s="11"/>
    </row>
    <row r="552">
      <c r="A552" s="11"/>
      <c r="C552" s="11"/>
      <c r="D552" s="11"/>
      <c r="E552" s="11"/>
    </row>
    <row r="553">
      <c r="A553" s="11"/>
      <c r="C553" s="11"/>
      <c r="D553" s="11"/>
      <c r="E553" s="11"/>
    </row>
    <row r="554">
      <c r="A554" s="11"/>
      <c r="C554" s="11"/>
      <c r="D554" s="11"/>
      <c r="E554" s="11"/>
    </row>
    <row r="555">
      <c r="A555" s="11"/>
      <c r="C555" s="11"/>
      <c r="D555" s="11"/>
      <c r="E555" s="11"/>
    </row>
    <row r="556">
      <c r="A556" s="11"/>
      <c r="C556" s="11"/>
      <c r="D556" s="11"/>
      <c r="E556" s="11"/>
    </row>
    <row r="557">
      <c r="A557" s="11"/>
      <c r="C557" s="11"/>
      <c r="D557" s="11"/>
      <c r="E557" s="11"/>
    </row>
    <row r="558">
      <c r="A558" s="11"/>
      <c r="C558" s="11"/>
      <c r="D558" s="11"/>
      <c r="E558" s="11"/>
    </row>
    <row r="559">
      <c r="A559" s="11"/>
      <c r="C559" s="11"/>
      <c r="D559" s="11"/>
      <c r="E559" s="11"/>
    </row>
    <row r="560">
      <c r="A560" s="11"/>
      <c r="C560" s="11"/>
      <c r="D560" s="11"/>
      <c r="E560" s="11"/>
    </row>
    <row r="561">
      <c r="A561" s="11"/>
      <c r="C561" s="11"/>
      <c r="D561" s="11"/>
      <c r="E561" s="11"/>
    </row>
    <row r="562">
      <c r="A562" s="11"/>
      <c r="C562" s="11"/>
      <c r="D562" s="11"/>
      <c r="E562" s="11"/>
    </row>
    <row r="563">
      <c r="A563" s="11"/>
      <c r="C563" s="11"/>
      <c r="D563" s="11"/>
      <c r="E563" s="11"/>
    </row>
    <row r="564">
      <c r="A564" s="11"/>
      <c r="C564" s="11"/>
      <c r="D564" s="11"/>
      <c r="E564" s="11"/>
    </row>
    <row r="565">
      <c r="A565" s="11"/>
      <c r="C565" s="11"/>
      <c r="D565" s="11"/>
      <c r="E565" s="11"/>
    </row>
    <row r="566">
      <c r="A566" s="11"/>
      <c r="C566" s="11"/>
      <c r="D566" s="11"/>
      <c r="E566" s="11"/>
    </row>
    <row r="567">
      <c r="A567" s="11"/>
      <c r="C567" s="11"/>
      <c r="D567" s="11"/>
      <c r="E567" s="11"/>
    </row>
    <row r="568">
      <c r="A568" s="11"/>
      <c r="C568" s="11"/>
      <c r="D568" s="11"/>
      <c r="E568" s="11"/>
    </row>
    <row r="569">
      <c r="A569" s="11"/>
      <c r="C569" s="11"/>
      <c r="D569" s="11"/>
      <c r="E569" s="11"/>
    </row>
    <row r="570">
      <c r="A570" s="11"/>
      <c r="C570" s="11"/>
      <c r="D570" s="11"/>
      <c r="E570" s="11"/>
    </row>
    <row r="571">
      <c r="A571" s="11"/>
      <c r="C571" s="11"/>
      <c r="D571" s="11"/>
      <c r="E571" s="11"/>
    </row>
    <row r="572">
      <c r="A572" s="11"/>
      <c r="C572" s="11"/>
      <c r="D572" s="11"/>
      <c r="E572" s="11"/>
    </row>
    <row r="573">
      <c r="A573" s="11"/>
      <c r="C573" s="11"/>
      <c r="D573" s="11"/>
      <c r="E573" s="11"/>
    </row>
    <row r="574">
      <c r="A574" s="11"/>
      <c r="C574" s="11"/>
      <c r="D574" s="11"/>
      <c r="E574" s="11"/>
    </row>
    <row r="575">
      <c r="A575" s="11"/>
      <c r="C575" s="11"/>
      <c r="D575" s="11"/>
      <c r="E575" s="11"/>
    </row>
    <row r="576">
      <c r="A576" s="11"/>
      <c r="C576" s="11"/>
      <c r="D576" s="11"/>
      <c r="E576" s="11"/>
    </row>
    <row r="577">
      <c r="A577" s="11"/>
      <c r="C577" s="11"/>
      <c r="D577" s="11"/>
      <c r="E577" s="11"/>
    </row>
    <row r="578">
      <c r="A578" s="11"/>
      <c r="C578" s="11"/>
      <c r="D578" s="11"/>
      <c r="E578" s="11"/>
    </row>
    <row r="579">
      <c r="A579" s="11"/>
      <c r="C579" s="11"/>
      <c r="D579" s="11"/>
      <c r="E579" s="11"/>
    </row>
    <row r="580">
      <c r="A580" s="11"/>
      <c r="C580" s="11"/>
      <c r="D580" s="11"/>
      <c r="E580" s="11"/>
    </row>
    <row r="581">
      <c r="A581" s="11"/>
      <c r="C581" s="11"/>
      <c r="D581" s="11"/>
      <c r="E581" s="11"/>
    </row>
    <row r="582">
      <c r="A582" s="11"/>
      <c r="C582" s="11"/>
      <c r="D582" s="11"/>
      <c r="E582" s="11"/>
    </row>
    <row r="583">
      <c r="A583" s="11"/>
      <c r="C583" s="11"/>
      <c r="D583" s="11"/>
      <c r="E583" s="11"/>
    </row>
    <row r="584">
      <c r="A584" s="11"/>
      <c r="C584" s="11"/>
      <c r="D584" s="11"/>
      <c r="E584" s="11"/>
    </row>
    <row r="585">
      <c r="A585" s="11"/>
      <c r="C585" s="11"/>
      <c r="D585" s="11"/>
      <c r="E585" s="11"/>
    </row>
    <row r="586">
      <c r="A586" s="11"/>
      <c r="C586" s="11"/>
      <c r="D586" s="11"/>
      <c r="E586" s="11"/>
    </row>
    <row r="587">
      <c r="A587" s="11"/>
      <c r="C587" s="11"/>
      <c r="D587" s="11"/>
      <c r="E587" s="11"/>
    </row>
    <row r="588">
      <c r="A588" s="11"/>
      <c r="C588" s="11"/>
      <c r="D588" s="11"/>
      <c r="E588" s="11"/>
    </row>
    <row r="589">
      <c r="A589" s="11"/>
      <c r="C589" s="11"/>
      <c r="D589" s="11"/>
      <c r="E589" s="11"/>
    </row>
    <row r="590">
      <c r="A590" s="11"/>
      <c r="C590" s="11"/>
      <c r="D590" s="11"/>
      <c r="E590" s="11"/>
    </row>
    <row r="591">
      <c r="A591" s="11"/>
      <c r="C591" s="11"/>
      <c r="D591" s="11"/>
      <c r="E591" s="11"/>
    </row>
    <row r="592">
      <c r="A592" s="11"/>
      <c r="C592" s="11"/>
      <c r="D592" s="11"/>
      <c r="E592" s="11"/>
    </row>
    <row r="593">
      <c r="A593" s="11"/>
      <c r="C593" s="11"/>
      <c r="D593" s="11"/>
      <c r="E593" s="11"/>
    </row>
    <row r="594">
      <c r="A594" s="11"/>
      <c r="C594" s="11"/>
      <c r="D594" s="11"/>
      <c r="E594" s="11"/>
    </row>
    <row r="595">
      <c r="A595" s="11"/>
      <c r="C595" s="11"/>
      <c r="D595" s="11"/>
      <c r="E595" s="11"/>
    </row>
    <row r="596">
      <c r="A596" s="11"/>
      <c r="C596" s="11"/>
      <c r="D596" s="11"/>
      <c r="E596" s="11"/>
    </row>
    <row r="597">
      <c r="A597" s="11"/>
      <c r="C597" s="11"/>
      <c r="D597" s="11"/>
      <c r="E597" s="11"/>
    </row>
    <row r="598">
      <c r="A598" s="11"/>
      <c r="C598" s="11"/>
      <c r="D598" s="11"/>
      <c r="E598" s="11"/>
    </row>
    <row r="599">
      <c r="A599" s="11"/>
      <c r="C599" s="11"/>
      <c r="D599" s="11"/>
      <c r="E599" s="11"/>
    </row>
    <row r="600">
      <c r="A600" s="11"/>
      <c r="C600" s="11"/>
      <c r="D600" s="11"/>
      <c r="E600" s="11"/>
    </row>
    <row r="601">
      <c r="A601" s="11"/>
      <c r="C601" s="11"/>
      <c r="D601" s="11"/>
      <c r="E601" s="11"/>
    </row>
    <row r="602">
      <c r="A602" s="11"/>
      <c r="C602" s="11"/>
      <c r="D602" s="11"/>
      <c r="E602" s="11"/>
    </row>
    <row r="603">
      <c r="A603" s="11"/>
      <c r="C603" s="11"/>
      <c r="D603" s="11"/>
      <c r="E603" s="11"/>
    </row>
    <row r="604">
      <c r="A604" s="11"/>
      <c r="C604" s="11"/>
      <c r="D604" s="11"/>
      <c r="E604" s="11"/>
    </row>
    <row r="605">
      <c r="A605" s="11"/>
      <c r="C605" s="11"/>
      <c r="D605" s="11"/>
      <c r="E605" s="11"/>
    </row>
    <row r="606">
      <c r="A606" s="11"/>
      <c r="C606" s="11"/>
      <c r="D606" s="11"/>
      <c r="E606" s="11"/>
    </row>
    <row r="607">
      <c r="A607" s="11"/>
      <c r="C607" s="11"/>
      <c r="D607" s="11"/>
      <c r="E607" s="11"/>
    </row>
    <row r="608">
      <c r="A608" s="11"/>
      <c r="C608" s="11"/>
      <c r="D608" s="11"/>
      <c r="E608" s="11"/>
    </row>
    <row r="609">
      <c r="A609" s="11"/>
      <c r="C609" s="11"/>
      <c r="D609" s="11"/>
      <c r="E609" s="11"/>
    </row>
    <row r="610">
      <c r="A610" s="11"/>
      <c r="C610" s="11"/>
      <c r="D610" s="11"/>
      <c r="E610" s="11"/>
    </row>
    <row r="611">
      <c r="A611" s="11"/>
      <c r="C611" s="11"/>
      <c r="D611" s="11"/>
      <c r="E611" s="11"/>
    </row>
    <row r="612">
      <c r="A612" s="11"/>
      <c r="C612" s="11"/>
      <c r="D612" s="11"/>
      <c r="E612" s="11"/>
    </row>
    <row r="613">
      <c r="A613" s="11"/>
      <c r="C613" s="11"/>
      <c r="D613" s="11"/>
      <c r="E613" s="11"/>
    </row>
    <row r="614">
      <c r="A614" s="11"/>
      <c r="C614" s="11"/>
      <c r="D614" s="11"/>
      <c r="E614" s="11"/>
    </row>
    <row r="615">
      <c r="A615" s="11"/>
      <c r="C615" s="11"/>
      <c r="D615" s="11"/>
      <c r="E615" s="11"/>
    </row>
    <row r="616">
      <c r="A616" s="11"/>
      <c r="C616" s="11"/>
      <c r="D616" s="11"/>
      <c r="E616" s="11"/>
    </row>
    <row r="617">
      <c r="A617" s="11"/>
      <c r="C617" s="11"/>
      <c r="D617" s="11"/>
      <c r="E617" s="11"/>
    </row>
    <row r="618">
      <c r="A618" s="11"/>
      <c r="C618" s="11"/>
      <c r="D618" s="11"/>
      <c r="E618" s="11"/>
    </row>
    <row r="619">
      <c r="A619" s="11"/>
      <c r="C619" s="11"/>
      <c r="D619" s="11"/>
      <c r="E619" s="11"/>
    </row>
    <row r="620">
      <c r="A620" s="11"/>
      <c r="C620" s="11"/>
      <c r="D620" s="11"/>
      <c r="E620" s="11"/>
    </row>
    <row r="621">
      <c r="A621" s="11"/>
      <c r="C621" s="11"/>
      <c r="D621" s="11"/>
      <c r="E621" s="11"/>
    </row>
    <row r="622">
      <c r="A622" s="11"/>
      <c r="C622" s="11"/>
      <c r="D622" s="11"/>
      <c r="E622" s="11"/>
    </row>
    <row r="623">
      <c r="A623" s="11"/>
      <c r="C623" s="11"/>
      <c r="D623" s="11"/>
      <c r="E623" s="11"/>
    </row>
    <row r="624">
      <c r="A624" s="11"/>
      <c r="C624" s="11"/>
      <c r="D624" s="11"/>
      <c r="E624" s="11"/>
    </row>
    <row r="625">
      <c r="A625" s="11"/>
      <c r="C625" s="11"/>
      <c r="D625" s="11"/>
      <c r="E625" s="11"/>
    </row>
    <row r="626">
      <c r="A626" s="11"/>
      <c r="C626" s="11"/>
      <c r="D626" s="11"/>
      <c r="E626" s="11"/>
    </row>
    <row r="627">
      <c r="A627" s="11"/>
      <c r="C627" s="11"/>
      <c r="D627" s="11"/>
      <c r="E627" s="11"/>
    </row>
    <row r="628">
      <c r="A628" s="11"/>
      <c r="C628" s="11"/>
      <c r="D628" s="11"/>
      <c r="E628" s="11"/>
    </row>
    <row r="629">
      <c r="A629" s="11"/>
      <c r="C629" s="11"/>
      <c r="D629" s="11"/>
      <c r="E629" s="11"/>
    </row>
    <row r="630">
      <c r="A630" s="11"/>
      <c r="C630" s="11"/>
      <c r="D630" s="11"/>
      <c r="E630" s="11"/>
    </row>
    <row r="631">
      <c r="A631" s="11"/>
      <c r="C631" s="11"/>
      <c r="D631" s="11"/>
      <c r="E631" s="11"/>
    </row>
    <row r="632">
      <c r="A632" s="11"/>
      <c r="C632" s="11"/>
      <c r="D632" s="11"/>
      <c r="E632" s="11"/>
    </row>
    <row r="633">
      <c r="A633" s="11"/>
      <c r="C633" s="11"/>
      <c r="D633" s="11"/>
      <c r="E633" s="11"/>
    </row>
    <row r="634">
      <c r="A634" s="11"/>
      <c r="C634" s="11"/>
      <c r="D634" s="11"/>
      <c r="E634" s="11"/>
    </row>
    <row r="635">
      <c r="A635" s="11"/>
      <c r="C635" s="11"/>
      <c r="D635" s="11"/>
      <c r="E635" s="11"/>
    </row>
    <row r="636">
      <c r="A636" s="11"/>
      <c r="C636" s="11"/>
      <c r="D636" s="11"/>
      <c r="E636" s="11"/>
    </row>
    <row r="637">
      <c r="A637" s="11"/>
      <c r="C637" s="11"/>
      <c r="D637" s="11"/>
      <c r="E637" s="11"/>
    </row>
    <row r="638">
      <c r="A638" s="11"/>
      <c r="C638" s="11"/>
      <c r="D638" s="11"/>
      <c r="E638" s="11"/>
    </row>
    <row r="639">
      <c r="A639" s="11"/>
      <c r="C639" s="11"/>
      <c r="D639" s="11"/>
      <c r="E639" s="11"/>
    </row>
    <row r="640">
      <c r="A640" s="11"/>
      <c r="C640" s="11"/>
      <c r="D640" s="11"/>
      <c r="E640" s="11"/>
    </row>
    <row r="641">
      <c r="A641" s="11"/>
      <c r="C641" s="11"/>
      <c r="D641" s="11"/>
      <c r="E641" s="11"/>
    </row>
    <row r="642">
      <c r="A642" s="11"/>
      <c r="C642" s="11"/>
      <c r="D642" s="11"/>
      <c r="E642" s="11"/>
    </row>
    <row r="643">
      <c r="A643" s="11"/>
      <c r="C643" s="11"/>
      <c r="D643" s="11"/>
      <c r="E643" s="11"/>
    </row>
    <row r="644">
      <c r="A644" s="11"/>
      <c r="C644" s="11"/>
      <c r="D644" s="11"/>
      <c r="E644" s="11"/>
    </row>
    <row r="645">
      <c r="A645" s="11"/>
      <c r="C645" s="11"/>
      <c r="D645" s="11"/>
      <c r="E645" s="11"/>
    </row>
    <row r="646">
      <c r="A646" s="11"/>
      <c r="C646" s="11"/>
      <c r="D646" s="11"/>
      <c r="E646" s="11"/>
    </row>
    <row r="647">
      <c r="A647" s="11"/>
      <c r="C647" s="11"/>
      <c r="D647" s="11"/>
      <c r="E647" s="11"/>
    </row>
    <row r="648">
      <c r="A648" s="11"/>
      <c r="C648" s="11"/>
      <c r="D648" s="11"/>
      <c r="E648" s="11"/>
    </row>
    <row r="649">
      <c r="A649" s="11"/>
      <c r="C649" s="11"/>
      <c r="D649" s="11"/>
      <c r="E649" s="11"/>
    </row>
    <row r="650">
      <c r="A650" s="11"/>
      <c r="C650" s="11"/>
      <c r="D650" s="11"/>
      <c r="E650" s="11"/>
    </row>
    <row r="651">
      <c r="A651" s="11"/>
      <c r="C651" s="11"/>
      <c r="D651" s="11"/>
      <c r="E651" s="11"/>
    </row>
    <row r="652">
      <c r="A652" s="11"/>
      <c r="C652" s="11"/>
      <c r="D652" s="11"/>
      <c r="E652" s="11"/>
    </row>
    <row r="653">
      <c r="A653" s="11"/>
      <c r="C653" s="11"/>
      <c r="D653" s="11"/>
      <c r="E653" s="11"/>
    </row>
    <row r="654">
      <c r="A654" s="11"/>
      <c r="C654" s="11"/>
      <c r="D654" s="11"/>
      <c r="E654" s="11"/>
    </row>
    <row r="655">
      <c r="A655" s="11"/>
      <c r="C655" s="11"/>
      <c r="D655" s="11"/>
      <c r="E655" s="11"/>
    </row>
    <row r="656">
      <c r="A656" s="11"/>
      <c r="C656" s="11"/>
      <c r="D656" s="11"/>
      <c r="E656" s="11"/>
    </row>
    <row r="657">
      <c r="A657" s="11"/>
      <c r="C657" s="11"/>
      <c r="D657" s="11"/>
      <c r="E657" s="11"/>
    </row>
    <row r="658">
      <c r="A658" s="11"/>
      <c r="C658" s="11"/>
      <c r="D658" s="11"/>
      <c r="E658" s="11"/>
    </row>
    <row r="659">
      <c r="A659" s="11"/>
      <c r="C659" s="11"/>
      <c r="D659" s="11"/>
      <c r="E659" s="11"/>
    </row>
    <row r="660">
      <c r="A660" s="11"/>
      <c r="C660" s="11"/>
      <c r="D660" s="11"/>
      <c r="E660" s="11"/>
    </row>
    <row r="661">
      <c r="A661" s="11"/>
      <c r="C661" s="11"/>
      <c r="D661" s="11"/>
      <c r="E661" s="11"/>
    </row>
    <row r="662">
      <c r="A662" s="11"/>
      <c r="C662" s="11"/>
      <c r="D662" s="11"/>
      <c r="E662" s="11"/>
    </row>
    <row r="663">
      <c r="A663" s="11"/>
      <c r="C663" s="11"/>
      <c r="D663" s="11"/>
      <c r="E663" s="11"/>
    </row>
    <row r="664">
      <c r="A664" s="11"/>
      <c r="C664" s="11"/>
      <c r="D664" s="11"/>
      <c r="E664" s="11"/>
    </row>
    <row r="665">
      <c r="A665" s="11"/>
      <c r="C665" s="11"/>
      <c r="D665" s="11"/>
      <c r="E665" s="11"/>
    </row>
    <row r="666">
      <c r="A666" s="11"/>
      <c r="C666" s="11"/>
      <c r="D666" s="11"/>
      <c r="E666" s="11"/>
    </row>
    <row r="667">
      <c r="A667" s="11"/>
      <c r="C667" s="11"/>
      <c r="D667" s="11"/>
      <c r="E667" s="11"/>
    </row>
    <row r="668">
      <c r="A668" s="11"/>
      <c r="C668" s="11"/>
      <c r="D668" s="11"/>
      <c r="E668" s="11"/>
    </row>
    <row r="669">
      <c r="A669" s="11"/>
      <c r="C669" s="11"/>
      <c r="D669" s="11"/>
      <c r="E669" s="11"/>
    </row>
    <row r="670">
      <c r="A670" s="11"/>
      <c r="C670" s="11"/>
      <c r="D670" s="11"/>
      <c r="E670" s="11"/>
    </row>
    <row r="671">
      <c r="A671" s="11"/>
      <c r="C671" s="11"/>
      <c r="D671" s="11"/>
      <c r="E671" s="11"/>
    </row>
    <row r="672">
      <c r="A672" s="11"/>
      <c r="C672" s="11"/>
      <c r="D672" s="11"/>
      <c r="E672" s="11"/>
    </row>
    <row r="673">
      <c r="A673" s="11"/>
      <c r="C673" s="11"/>
      <c r="D673" s="11"/>
      <c r="E673" s="11"/>
    </row>
    <row r="674">
      <c r="A674" s="11"/>
      <c r="C674" s="11"/>
      <c r="D674" s="11"/>
      <c r="E674" s="11"/>
    </row>
    <row r="675">
      <c r="A675" s="11"/>
      <c r="C675" s="11"/>
      <c r="D675" s="11"/>
      <c r="E675" s="11"/>
    </row>
    <row r="676">
      <c r="A676" s="11"/>
      <c r="C676" s="11"/>
      <c r="D676" s="11"/>
      <c r="E676" s="11"/>
    </row>
    <row r="677">
      <c r="A677" s="11"/>
      <c r="C677" s="11"/>
      <c r="D677" s="11"/>
      <c r="E677" s="11"/>
    </row>
    <row r="678">
      <c r="A678" s="11"/>
      <c r="C678" s="11"/>
      <c r="D678" s="11"/>
      <c r="E678" s="11"/>
    </row>
    <row r="679">
      <c r="A679" s="11"/>
      <c r="C679" s="11"/>
      <c r="D679" s="11"/>
      <c r="E679" s="11"/>
    </row>
    <row r="680">
      <c r="A680" s="11"/>
      <c r="C680" s="11"/>
      <c r="D680" s="11"/>
      <c r="E680" s="11"/>
    </row>
    <row r="681">
      <c r="A681" s="11"/>
      <c r="C681" s="11"/>
      <c r="D681" s="11"/>
      <c r="E681" s="11"/>
    </row>
    <row r="682">
      <c r="A682" s="11"/>
      <c r="C682" s="11"/>
      <c r="D682" s="11"/>
      <c r="E682" s="11"/>
    </row>
    <row r="683">
      <c r="A683" s="11"/>
      <c r="C683" s="11"/>
      <c r="D683" s="11"/>
      <c r="E683" s="11"/>
    </row>
    <row r="684">
      <c r="A684" s="11"/>
      <c r="C684" s="11"/>
      <c r="D684" s="11"/>
      <c r="E684" s="11"/>
    </row>
    <row r="685">
      <c r="A685" s="11"/>
      <c r="C685" s="11"/>
      <c r="D685" s="11"/>
      <c r="E685" s="11"/>
    </row>
    <row r="686">
      <c r="A686" s="11"/>
      <c r="C686" s="11"/>
      <c r="D686" s="11"/>
      <c r="E686" s="11"/>
    </row>
    <row r="687">
      <c r="A687" s="11"/>
      <c r="C687" s="11"/>
      <c r="D687" s="11"/>
      <c r="E687" s="11"/>
    </row>
    <row r="688">
      <c r="A688" s="11"/>
      <c r="C688" s="11"/>
      <c r="D688" s="11"/>
      <c r="E688" s="11"/>
    </row>
    <row r="689">
      <c r="A689" s="11"/>
      <c r="C689" s="11"/>
      <c r="D689" s="11"/>
      <c r="E689" s="11"/>
    </row>
    <row r="690">
      <c r="A690" s="11"/>
      <c r="C690" s="11"/>
      <c r="D690" s="11"/>
      <c r="E690" s="11"/>
    </row>
    <row r="691">
      <c r="A691" s="11"/>
      <c r="C691" s="11"/>
      <c r="D691" s="11"/>
      <c r="E691" s="11"/>
    </row>
    <row r="692">
      <c r="A692" s="11"/>
      <c r="C692" s="11"/>
      <c r="D692" s="11"/>
      <c r="E692" s="11"/>
    </row>
    <row r="693">
      <c r="A693" s="11"/>
      <c r="C693" s="11"/>
      <c r="D693" s="11"/>
      <c r="E693" s="11"/>
    </row>
    <row r="694">
      <c r="A694" s="11"/>
      <c r="C694" s="11"/>
      <c r="D694" s="11"/>
      <c r="E694" s="11"/>
    </row>
    <row r="695">
      <c r="A695" s="11"/>
      <c r="C695" s="11"/>
      <c r="D695" s="11"/>
      <c r="E695" s="11"/>
    </row>
    <row r="696">
      <c r="A696" s="11"/>
      <c r="C696" s="11"/>
      <c r="D696" s="11"/>
      <c r="E696" s="11"/>
    </row>
    <row r="697">
      <c r="A697" s="11"/>
      <c r="C697" s="11"/>
      <c r="D697" s="11"/>
      <c r="E697" s="11"/>
    </row>
    <row r="698">
      <c r="A698" s="11"/>
      <c r="C698" s="11"/>
      <c r="D698" s="11"/>
      <c r="E698" s="11"/>
    </row>
    <row r="699">
      <c r="A699" s="11"/>
      <c r="C699" s="11"/>
      <c r="D699" s="11"/>
      <c r="E699" s="11"/>
    </row>
    <row r="700">
      <c r="A700" s="11"/>
      <c r="C700" s="11"/>
      <c r="D700" s="11"/>
      <c r="E700" s="11"/>
    </row>
    <row r="701">
      <c r="A701" s="11"/>
      <c r="C701" s="11"/>
      <c r="D701" s="11"/>
      <c r="E701" s="11"/>
    </row>
    <row r="702">
      <c r="A702" s="11"/>
      <c r="C702" s="11"/>
      <c r="D702" s="11"/>
      <c r="E702" s="11"/>
    </row>
    <row r="703">
      <c r="A703" s="11"/>
      <c r="C703" s="11"/>
      <c r="D703" s="11"/>
      <c r="E703" s="11"/>
    </row>
    <row r="704">
      <c r="A704" s="11"/>
      <c r="C704" s="11"/>
      <c r="D704" s="11"/>
      <c r="E704" s="11"/>
    </row>
    <row r="705">
      <c r="A705" s="11"/>
      <c r="C705" s="11"/>
      <c r="D705" s="11"/>
      <c r="E705" s="11"/>
    </row>
    <row r="706">
      <c r="A706" s="11"/>
      <c r="C706" s="11"/>
      <c r="D706" s="11"/>
      <c r="E706" s="11"/>
    </row>
    <row r="707">
      <c r="A707" s="11"/>
      <c r="C707" s="11"/>
      <c r="D707" s="11"/>
      <c r="E707" s="11"/>
    </row>
    <row r="708">
      <c r="A708" s="11"/>
      <c r="C708" s="11"/>
      <c r="D708" s="11"/>
      <c r="E708" s="11"/>
    </row>
    <row r="709">
      <c r="A709" s="11"/>
      <c r="C709" s="11"/>
      <c r="D709" s="11"/>
      <c r="E709" s="11"/>
    </row>
    <row r="710">
      <c r="A710" s="11"/>
      <c r="C710" s="11"/>
      <c r="D710" s="11"/>
      <c r="E710" s="11"/>
    </row>
    <row r="711">
      <c r="A711" s="11"/>
      <c r="C711" s="11"/>
      <c r="D711" s="11"/>
      <c r="E711" s="11"/>
    </row>
    <row r="712">
      <c r="A712" s="11"/>
      <c r="C712" s="11"/>
      <c r="D712" s="11"/>
      <c r="E712" s="11"/>
    </row>
    <row r="713">
      <c r="A713" s="11"/>
      <c r="C713" s="11"/>
      <c r="D713" s="11"/>
      <c r="E713" s="11"/>
    </row>
    <row r="714">
      <c r="A714" s="11"/>
      <c r="C714" s="11"/>
      <c r="D714" s="11"/>
      <c r="E714" s="11"/>
    </row>
    <row r="715">
      <c r="A715" s="11"/>
      <c r="C715" s="11"/>
      <c r="D715" s="11"/>
      <c r="E715" s="11"/>
    </row>
    <row r="716">
      <c r="A716" s="11"/>
      <c r="C716" s="11"/>
      <c r="D716" s="11"/>
      <c r="E716" s="11"/>
    </row>
    <row r="717">
      <c r="A717" s="11"/>
      <c r="C717" s="11"/>
      <c r="D717" s="11"/>
      <c r="E717" s="11"/>
    </row>
    <row r="718">
      <c r="A718" s="11"/>
      <c r="C718" s="11"/>
      <c r="D718" s="11"/>
      <c r="E718" s="11"/>
    </row>
    <row r="719">
      <c r="A719" s="11"/>
      <c r="C719" s="11"/>
      <c r="D719" s="11"/>
      <c r="E719" s="11"/>
    </row>
    <row r="720">
      <c r="A720" s="11"/>
      <c r="C720" s="11"/>
      <c r="D720" s="11"/>
      <c r="E720" s="11"/>
    </row>
    <row r="721">
      <c r="A721" s="11"/>
      <c r="C721" s="11"/>
      <c r="D721" s="11"/>
      <c r="E721" s="11"/>
    </row>
    <row r="722">
      <c r="A722" s="11"/>
      <c r="C722" s="11"/>
      <c r="D722" s="11"/>
      <c r="E722" s="11"/>
    </row>
    <row r="723">
      <c r="A723" s="11"/>
      <c r="C723" s="11"/>
      <c r="D723" s="11"/>
      <c r="E723" s="11"/>
    </row>
    <row r="724">
      <c r="A724" s="11"/>
      <c r="C724" s="11"/>
      <c r="D724" s="11"/>
      <c r="E724" s="11"/>
    </row>
    <row r="725">
      <c r="A725" s="11"/>
      <c r="C725" s="11"/>
      <c r="D725" s="11"/>
      <c r="E725" s="11"/>
    </row>
    <row r="726">
      <c r="A726" s="11"/>
      <c r="C726" s="11"/>
      <c r="D726" s="11"/>
      <c r="E726" s="11"/>
    </row>
    <row r="727">
      <c r="A727" s="11"/>
      <c r="C727" s="11"/>
      <c r="D727" s="11"/>
      <c r="E727" s="11"/>
    </row>
    <row r="728">
      <c r="A728" s="11"/>
      <c r="C728" s="11"/>
      <c r="D728" s="11"/>
      <c r="E728" s="11"/>
    </row>
    <row r="729">
      <c r="A729" s="11"/>
      <c r="C729" s="11"/>
      <c r="D729" s="11"/>
      <c r="E729" s="11"/>
    </row>
    <row r="730">
      <c r="A730" s="11"/>
      <c r="C730" s="11"/>
      <c r="D730" s="11"/>
      <c r="E730" s="11"/>
    </row>
    <row r="731">
      <c r="A731" s="11"/>
      <c r="C731" s="11"/>
      <c r="D731" s="11"/>
      <c r="E731" s="11"/>
    </row>
    <row r="732">
      <c r="A732" s="11"/>
      <c r="C732" s="11"/>
      <c r="D732" s="11"/>
      <c r="E732" s="11"/>
    </row>
    <row r="733">
      <c r="A733" s="11"/>
      <c r="C733" s="11"/>
      <c r="D733" s="11"/>
      <c r="E733" s="11"/>
    </row>
    <row r="734">
      <c r="A734" s="11"/>
      <c r="C734" s="11"/>
      <c r="D734" s="11"/>
      <c r="E734" s="11"/>
    </row>
    <row r="735">
      <c r="A735" s="11"/>
      <c r="C735" s="11"/>
      <c r="D735" s="11"/>
      <c r="E735" s="11"/>
    </row>
    <row r="736">
      <c r="A736" s="11"/>
      <c r="C736" s="11"/>
      <c r="D736" s="11"/>
      <c r="E736" s="11"/>
    </row>
    <row r="737">
      <c r="A737" s="11"/>
      <c r="C737" s="11"/>
      <c r="D737" s="11"/>
      <c r="E737" s="11"/>
    </row>
    <row r="738">
      <c r="A738" s="11"/>
      <c r="C738" s="11"/>
      <c r="D738" s="11"/>
      <c r="E738" s="11"/>
    </row>
    <row r="739">
      <c r="A739" s="11"/>
      <c r="C739" s="11"/>
      <c r="D739" s="11"/>
      <c r="E739" s="11"/>
    </row>
    <row r="740">
      <c r="A740" s="11"/>
      <c r="C740" s="11"/>
      <c r="D740" s="11"/>
      <c r="E740" s="11"/>
    </row>
    <row r="741">
      <c r="A741" s="11"/>
      <c r="C741" s="11"/>
      <c r="D741" s="11"/>
      <c r="E741" s="11"/>
    </row>
    <row r="742">
      <c r="A742" s="11"/>
      <c r="C742" s="11"/>
      <c r="D742" s="11"/>
      <c r="E742" s="11"/>
    </row>
    <row r="743">
      <c r="A743" s="11"/>
      <c r="C743" s="11"/>
      <c r="D743" s="11"/>
      <c r="E743" s="11"/>
    </row>
    <row r="744">
      <c r="A744" s="11"/>
      <c r="C744" s="11"/>
      <c r="D744" s="11"/>
      <c r="E744" s="11"/>
    </row>
    <row r="745">
      <c r="A745" s="11"/>
      <c r="C745" s="11"/>
      <c r="D745" s="11"/>
      <c r="E745" s="11"/>
    </row>
    <row r="746">
      <c r="A746" s="11"/>
      <c r="C746" s="11"/>
      <c r="D746" s="11"/>
      <c r="E746" s="11"/>
    </row>
    <row r="747">
      <c r="A747" s="11"/>
      <c r="C747" s="11"/>
      <c r="D747" s="11"/>
      <c r="E747" s="11"/>
    </row>
    <row r="748">
      <c r="A748" s="11"/>
      <c r="C748" s="11"/>
      <c r="D748" s="11"/>
      <c r="E748" s="11"/>
    </row>
    <row r="749">
      <c r="A749" s="11"/>
      <c r="C749" s="11"/>
      <c r="D749" s="11"/>
      <c r="E749" s="11"/>
    </row>
    <row r="750">
      <c r="A750" s="11"/>
      <c r="C750" s="11"/>
      <c r="D750" s="11"/>
      <c r="E750" s="11"/>
    </row>
    <row r="751">
      <c r="A751" s="11"/>
      <c r="C751" s="11"/>
      <c r="D751" s="11"/>
      <c r="E751" s="11"/>
    </row>
    <row r="752">
      <c r="A752" s="11"/>
      <c r="C752" s="11"/>
      <c r="D752" s="11"/>
      <c r="E752" s="11"/>
    </row>
    <row r="753">
      <c r="A753" s="11"/>
      <c r="C753" s="11"/>
      <c r="D753" s="11"/>
      <c r="E753" s="11"/>
    </row>
    <row r="754">
      <c r="A754" s="11"/>
      <c r="C754" s="11"/>
      <c r="D754" s="11"/>
      <c r="E754" s="11"/>
    </row>
    <row r="755">
      <c r="A755" s="11"/>
      <c r="C755" s="11"/>
      <c r="D755" s="11"/>
      <c r="E755" s="11"/>
    </row>
    <row r="756">
      <c r="A756" s="11"/>
      <c r="C756" s="11"/>
      <c r="D756" s="11"/>
      <c r="E756" s="11"/>
    </row>
    <row r="757">
      <c r="A757" s="11"/>
      <c r="C757" s="11"/>
      <c r="D757" s="11"/>
      <c r="E757" s="11"/>
    </row>
    <row r="758">
      <c r="A758" s="11"/>
      <c r="C758" s="11"/>
      <c r="D758" s="11"/>
      <c r="E758" s="11"/>
    </row>
    <row r="759">
      <c r="A759" s="11"/>
      <c r="C759" s="11"/>
      <c r="D759" s="11"/>
      <c r="E759" s="11"/>
    </row>
    <row r="760">
      <c r="A760" s="11"/>
      <c r="C760" s="11"/>
      <c r="D760" s="11"/>
      <c r="E760" s="11"/>
    </row>
    <row r="761">
      <c r="A761" s="11"/>
      <c r="C761" s="11"/>
      <c r="D761" s="11"/>
      <c r="E761" s="11"/>
    </row>
    <row r="762">
      <c r="A762" s="11"/>
      <c r="C762" s="11"/>
      <c r="D762" s="11"/>
      <c r="E762" s="11"/>
    </row>
    <row r="763">
      <c r="A763" s="11"/>
      <c r="C763" s="11"/>
      <c r="D763" s="11"/>
      <c r="E763" s="11"/>
    </row>
    <row r="764">
      <c r="A764" s="11"/>
      <c r="C764" s="11"/>
      <c r="D764" s="11"/>
      <c r="E764" s="11"/>
    </row>
    <row r="765">
      <c r="A765" s="11"/>
      <c r="C765" s="11"/>
      <c r="D765" s="11"/>
      <c r="E765" s="11"/>
    </row>
    <row r="766">
      <c r="A766" s="11"/>
      <c r="C766" s="11"/>
      <c r="D766" s="11"/>
      <c r="E766" s="11"/>
    </row>
    <row r="767">
      <c r="A767" s="11"/>
      <c r="C767" s="11"/>
      <c r="D767" s="11"/>
      <c r="E767" s="11"/>
    </row>
    <row r="768">
      <c r="A768" s="11"/>
      <c r="C768" s="11"/>
      <c r="D768" s="11"/>
      <c r="E768" s="11"/>
    </row>
    <row r="769">
      <c r="A769" s="11"/>
      <c r="C769" s="11"/>
      <c r="D769" s="11"/>
      <c r="E769" s="11"/>
    </row>
    <row r="770">
      <c r="A770" s="11"/>
      <c r="C770" s="11"/>
      <c r="D770" s="11"/>
      <c r="E770" s="11"/>
    </row>
    <row r="771">
      <c r="A771" s="11"/>
      <c r="C771" s="11"/>
      <c r="D771" s="11"/>
      <c r="E771" s="11"/>
    </row>
    <row r="772">
      <c r="A772" s="11"/>
      <c r="C772" s="11"/>
      <c r="D772" s="11"/>
      <c r="E772" s="11"/>
    </row>
    <row r="773">
      <c r="A773" s="11"/>
      <c r="C773" s="11"/>
      <c r="D773" s="11"/>
      <c r="E773" s="11"/>
    </row>
    <row r="774">
      <c r="A774" s="11"/>
      <c r="C774" s="11"/>
      <c r="D774" s="11"/>
      <c r="E774" s="11"/>
    </row>
    <row r="775">
      <c r="A775" s="11"/>
      <c r="C775" s="11"/>
      <c r="D775" s="11"/>
      <c r="E775" s="11"/>
    </row>
    <row r="776">
      <c r="A776" s="11"/>
      <c r="C776" s="11"/>
      <c r="D776" s="11"/>
      <c r="E776" s="11"/>
    </row>
    <row r="777">
      <c r="A777" s="11"/>
      <c r="C777" s="11"/>
      <c r="D777" s="11"/>
      <c r="E777" s="11"/>
    </row>
    <row r="778">
      <c r="A778" s="11"/>
      <c r="C778" s="11"/>
      <c r="D778" s="11"/>
      <c r="E778" s="11"/>
    </row>
    <row r="779">
      <c r="A779" s="11"/>
      <c r="C779" s="11"/>
      <c r="D779" s="11"/>
      <c r="E779" s="11"/>
    </row>
    <row r="780">
      <c r="A780" s="11"/>
      <c r="C780" s="11"/>
      <c r="D780" s="11"/>
      <c r="E780" s="11"/>
    </row>
    <row r="781">
      <c r="A781" s="11"/>
      <c r="C781" s="11"/>
      <c r="D781" s="11"/>
      <c r="E781" s="11"/>
    </row>
    <row r="782">
      <c r="A782" s="11"/>
      <c r="C782" s="11"/>
      <c r="D782" s="11"/>
      <c r="E782" s="11"/>
    </row>
    <row r="783">
      <c r="A783" s="11"/>
      <c r="C783" s="11"/>
      <c r="D783" s="11"/>
      <c r="E783" s="11"/>
    </row>
    <row r="784">
      <c r="A784" s="11"/>
      <c r="C784" s="11"/>
      <c r="D784" s="11"/>
      <c r="E784" s="11"/>
    </row>
    <row r="785">
      <c r="A785" s="11"/>
      <c r="C785" s="11"/>
      <c r="D785" s="11"/>
      <c r="E785" s="11"/>
    </row>
    <row r="786">
      <c r="A786" s="11"/>
      <c r="C786" s="11"/>
      <c r="D786" s="11"/>
      <c r="E786" s="11"/>
    </row>
    <row r="787">
      <c r="A787" s="11"/>
      <c r="C787" s="11"/>
      <c r="D787" s="11"/>
      <c r="E787" s="11"/>
    </row>
    <row r="788">
      <c r="A788" s="11"/>
      <c r="C788" s="11"/>
      <c r="D788" s="11"/>
      <c r="E788" s="11"/>
    </row>
    <row r="789">
      <c r="A789" s="11"/>
      <c r="C789" s="11"/>
      <c r="D789" s="11"/>
      <c r="E789" s="11"/>
    </row>
    <row r="790">
      <c r="A790" s="11"/>
      <c r="C790" s="11"/>
      <c r="D790" s="11"/>
      <c r="E790" s="11"/>
    </row>
    <row r="791">
      <c r="A791" s="11"/>
      <c r="C791" s="11"/>
      <c r="D791" s="11"/>
      <c r="E791" s="11"/>
    </row>
    <row r="792">
      <c r="A792" s="11"/>
      <c r="C792" s="11"/>
      <c r="D792" s="11"/>
      <c r="E792" s="11"/>
    </row>
    <row r="793">
      <c r="A793" s="11"/>
      <c r="C793" s="11"/>
      <c r="D793" s="11"/>
      <c r="E793" s="11"/>
    </row>
    <row r="794">
      <c r="A794" s="11"/>
      <c r="C794" s="11"/>
      <c r="D794" s="11"/>
      <c r="E794" s="11"/>
    </row>
    <row r="795">
      <c r="A795" s="11"/>
      <c r="C795" s="11"/>
      <c r="D795" s="11"/>
      <c r="E795" s="11"/>
    </row>
    <row r="796">
      <c r="A796" s="11"/>
      <c r="C796" s="11"/>
      <c r="D796" s="11"/>
      <c r="E796" s="11"/>
    </row>
    <row r="797">
      <c r="A797" s="11"/>
      <c r="C797" s="11"/>
      <c r="D797" s="11"/>
      <c r="E797" s="11"/>
    </row>
    <row r="798">
      <c r="A798" s="11"/>
      <c r="C798" s="11"/>
      <c r="D798" s="11"/>
      <c r="E798" s="11"/>
    </row>
    <row r="799">
      <c r="A799" s="11"/>
      <c r="C799" s="11"/>
      <c r="D799" s="11"/>
      <c r="E799" s="11"/>
    </row>
    <row r="800">
      <c r="A800" s="11"/>
      <c r="C800" s="11"/>
      <c r="D800" s="11"/>
      <c r="E800" s="11"/>
    </row>
    <row r="801">
      <c r="A801" s="11"/>
      <c r="C801" s="11"/>
      <c r="D801" s="11"/>
      <c r="E801" s="11"/>
    </row>
    <row r="802">
      <c r="A802" s="11"/>
      <c r="C802" s="11"/>
      <c r="D802" s="11"/>
      <c r="E802" s="11"/>
    </row>
    <row r="803">
      <c r="A803" s="11"/>
      <c r="C803" s="11"/>
      <c r="D803" s="11"/>
      <c r="E803" s="11"/>
    </row>
    <row r="804">
      <c r="A804" s="11"/>
      <c r="C804" s="11"/>
      <c r="D804" s="11"/>
      <c r="E804" s="11"/>
    </row>
    <row r="805">
      <c r="A805" s="11"/>
      <c r="C805" s="11"/>
      <c r="D805" s="11"/>
      <c r="E805" s="11"/>
    </row>
    <row r="806">
      <c r="A806" s="11"/>
      <c r="C806" s="11"/>
      <c r="D806" s="11"/>
      <c r="E806" s="11"/>
    </row>
    <row r="807">
      <c r="A807" s="11"/>
      <c r="C807" s="11"/>
      <c r="D807" s="11"/>
      <c r="E807" s="11"/>
    </row>
    <row r="808">
      <c r="A808" s="11"/>
      <c r="C808" s="11"/>
      <c r="D808" s="11"/>
      <c r="E808" s="11"/>
    </row>
    <row r="809">
      <c r="A809" s="11"/>
      <c r="C809" s="11"/>
      <c r="D809" s="11"/>
      <c r="E809" s="11"/>
    </row>
    <row r="810">
      <c r="A810" s="11"/>
      <c r="C810" s="11"/>
      <c r="D810" s="11"/>
      <c r="E810" s="11"/>
    </row>
    <row r="811">
      <c r="A811" s="11"/>
      <c r="C811" s="11"/>
      <c r="D811" s="11"/>
      <c r="E811" s="11"/>
    </row>
    <row r="812">
      <c r="A812" s="11"/>
      <c r="C812" s="11"/>
      <c r="D812" s="11"/>
      <c r="E812" s="11"/>
    </row>
    <row r="813">
      <c r="A813" s="11"/>
      <c r="C813" s="11"/>
      <c r="D813" s="11"/>
      <c r="E813" s="11"/>
    </row>
    <row r="814">
      <c r="A814" s="11"/>
      <c r="C814" s="11"/>
      <c r="D814" s="11"/>
      <c r="E814" s="11"/>
    </row>
    <row r="815">
      <c r="A815" s="11"/>
      <c r="C815" s="11"/>
      <c r="D815" s="11"/>
      <c r="E815" s="11"/>
    </row>
    <row r="816">
      <c r="A816" s="11"/>
      <c r="C816" s="11"/>
      <c r="D816" s="11"/>
      <c r="E816" s="11"/>
    </row>
    <row r="817">
      <c r="A817" s="11"/>
      <c r="C817" s="11"/>
      <c r="D817" s="11"/>
      <c r="E817" s="11"/>
    </row>
    <row r="818">
      <c r="A818" s="11"/>
      <c r="C818" s="11"/>
      <c r="D818" s="11"/>
      <c r="E818" s="11"/>
    </row>
    <row r="819">
      <c r="A819" s="11"/>
      <c r="C819" s="11"/>
      <c r="D819" s="11"/>
      <c r="E819" s="11"/>
    </row>
    <row r="820">
      <c r="A820" s="11"/>
      <c r="C820" s="11"/>
      <c r="D820" s="11"/>
      <c r="E820" s="11"/>
    </row>
    <row r="821">
      <c r="A821" s="11"/>
      <c r="C821" s="11"/>
      <c r="D821" s="11"/>
      <c r="E821" s="11"/>
    </row>
    <row r="822">
      <c r="A822" s="11"/>
      <c r="C822" s="11"/>
      <c r="D822" s="11"/>
      <c r="E822" s="11"/>
    </row>
    <row r="823">
      <c r="A823" s="11"/>
      <c r="C823" s="11"/>
      <c r="D823" s="11"/>
      <c r="E823" s="11"/>
    </row>
    <row r="824">
      <c r="A824" s="11"/>
      <c r="C824" s="11"/>
      <c r="D824" s="11"/>
      <c r="E824" s="11"/>
    </row>
    <row r="825">
      <c r="A825" s="11"/>
      <c r="C825" s="11"/>
      <c r="D825" s="11"/>
      <c r="E825" s="11"/>
    </row>
    <row r="826">
      <c r="A826" s="11"/>
      <c r="C826" s="11"/>
      <c r="D826" s="11"/>
      <c r="E826" s="11"/>
    </row>
    <row r="827">
      <c r="A827" s="11"/>
      <c r="C827" s="11"/>
      <c r="D827" s="11"/>
      <c r="E827" s="11"/>
    </row>
    <row r="828">
      <c r="A828" s="11"/>
      <c r="C828" s="11"/>
      <c r="D828" s="11"/>
      <c r="E828" s="11"/>
    </row>
    <row r="829">
      <c r="A829" s="11"/>
      <c r="C829" s="11"/>
      <c r="D829" s="11"/>
      <c r="E829" s="11"/>
    </row>
    <row r="830">
      <c r="A830" s="11"/>
      <c r="C830" s="11"/>
      <c r="D830" s="11"/>
      <c r="E830" s="11"/>
    </row>
    <row r="831">
      <c r="A831" s="11"/>
      <c r="C831" s="11"/>
      <c r="D831" s="11"/>
      <c r="E831" s="11"/>
    </row>
    <row r="832">
      <c r="A832" s="11"/>
      <c r="C832" s="11"/>
      <c r="D832" s="11"/>
      <c r="E832" s="11"/>
    </row>
    <row r="833">
      <c r="A833" s="11"/>
      <c r="C833" s="11"/>
      <c r="D833" s="11"/>
      <c r="E833" s="11"/>
    </row>
    <row r="834">
      <c r="A834" s="11"/>
      <c r="C834" s="11"/>
      <c r="D834" s="11"/>
      <c r="E834" s="11"/>
    </row>
    <row r="835">
      <c r="A835" s="11"/>
      <c r="C835" s="11"/>
      <c r="D835" s="11"/>
      <c r="E835" s="11"/>
    </row>
    <row r="836">
      <c r="A836" s="11"/>
      <c r="C836" s="11"/>
      <c r="D836" s="11"/>
      <c r="E836" s="11"/>
    </row>
    <row r="837">
      <c r="A837" s="11"/>
      <c r="C837" s="11"/>
      <c r="D837" s="11"/>
      <c r="E837" s="11"/>
    </row>
    <row r="838">
      <c r="A838" s="11"/>
      <c r="C838" s="11"/>
      <c r="D838" s="11"/>
      <c r="E838" s="11"/>
    </row>
    <row r="839">
      <c r="A839" s="11"/>
      <c r="C839" s="11"/>
      <c r="D839" s="11"/>
      <c r="E839" s="11"/>
    </row>
    <row r="840">
      <c r="A840" s="11"/>
      <c r="C840" s="11"/>
      <c r="D840" s="11"/>
      <c r="E840" s="11"/>
    </row>
    <row r="841">
      <c r="A841" s="11"/>
      <c r="C841" s="11"/>
      <c r="D841" s="11"/>
      <c r="E841" s="11"/>
    </row>
    <row r="842">
      <c r="A842" s="11"/>
      <c r="C842" s="11"/>
      <c r="D842" s="11"/>
      <c r="E842" s="11"/>
    </row>
    <row r="843">
      <c r="A843" s="11"/>
      <c r="C843" s="11"/>
      <c r="D843" s="11"/>
      <c r="E843" s="11"/>
    </row>
    <row r="844">
      <c r="A844" s="11"/>
      <c r="C844" s="11"/>
      <c r="D844" s="11"/>
      <c r="E844" s="11"/>
    </row>
    <row r="845">
      <c r="A845" s="11"/>
      <c r="C845" s="11"/>
      <c r="D845" s="11"/>
      <c r="E845" s="11"/>
    </row>
    <row r="846">
      <c r="A846" s="11"/>
      <c r="C846" s="11"/>
      <c r="D846" s="11"/>
      <c r="E846" s="11"/>
    </row>
    <row r="847">
      <c r="A847" s="11"/>
      <c r="C847" s="11"/>
      <c r="D847" s="11"/>
      <c r="E847" s="11"/>
    </row>
    <row r="848">
      <c r="A848" s="11"/>
      <c r="C848" s="11"/>
      <c r="D848" s="11"/>
      <c r="E848" s="11"/>
    </row>
    <row r="849">
      <c r="A849" s="11"/>
      <c r="C849" s="11"/>
      <c r="D849" s="11"/>
      <c r="E849" s="11"/>
    </row>
    <row r="850">
      <c r="A850" s="11"/>
      <c r="C850" s="11"/>
      <c r="D850" s="11"/>
      <c r="E850" s="11"/>
    </row>
    <row r="851">
      <c r="A851" s="11"/>
      <c r="C851" s="11"/>
      <c r="D851" s="11"/>
      <c r="E851" s="11"/>
    </row>
    <row r="852">
      <c r="A852" s="11"/>
      <c r="C852" s="11"/>
      <c r="D852" s="11"/>
      <c r="E852" s="11"/>
    </row>
    <row r="853">
      <c r="A853" s="11"/>
      <c r="C853" s="11"/>
      <c r="D853" s="11"/>
      <c r="E853" s="11"/>
    </row>
    <row r="854">
      <c r="A854" s="11"/>
      <c r="C854" s="11"/>
      <c r="D854" s="11"/>
      <c r="E854" s="11"/>
    </row>
    <row r="855">
      <c r="A855" s="11"/>
      <c r="C855" s="11"/>
      <c r="D855" s="11"/>
      <c r="E855" s="11"/>
    </row>
    <row r="856">
      <c r="A856" s="11"/>
      <c r="C856" s="11"/>
      <c r="D856" s="11"/>
      <c r="E856" s="11"/>
    </row>
    <row r="857">
      <c r="A857" s="11"/>
      <c r="C857" s="11"/>
      <c r="D857" s="11"/>
      <c r="E857" s="11"/>
    </row>
    <row r="858">
      <c r="A858" s="11"/>
      <c r="C858" s="11"/>
      <c r="D858" s="11"/>
      <c r="E858" s="11"/>
    </row>
    <row r="859">
      <c r="A859" s="11"/>
      <c r="C859" s="11"/>
      <c r="D859" s="11"/>
      <c r="E859" s="11"/>
    </row>
    <row r="860">
      <c r="A860" s="11"/>
      <c r="C860" s="11"/>
      <c r="D860" s="11"/>
      <c r="E860" s="11"/>
    </row>
    <row r="861">
      <c r="A861" s="11"/>
      <c r="C861" s="11"/>
      <c r="D861" s="11"/>
      <c r="E861" s="11"/>
    </row>
    <row r="862">
      <c r="A862" s="11"/>
      <c r="C862" s="11"/>
      <c r="D862" s="11"/>
      <c r="E862" s="11"/>
    </row>
    <row r="863">
      <c r="A863" s="11"/>
      <c r="C863" s="11"/>
      <c r="D863" s="11"/>
      <c r="E863" s="11"/>
    </row>
    <row r="864">
      <c r="A864" s="11"/>
      <c r="C864" s="11"/>
      <c r="D864" s="11"/>
      <c r="E864" s="11"/>
    </row>
    <row r="865">
      <c r="A865" s="11"/>
      <c r="C865" s="11"/>
      <c r="D865" s="11"/>
      <c r="E865" s="11"/>
    </row>
    <row r="866">
      <c r="A866" s="11"/>
      <c r="C866" s="11"/>
      <c r="D866" s="11"/>
      <c r="E866" s="11"/>
    </row>
    <row r="867">
      <c r="A867" s="11"/>
      <c r="C867" s="11"/>
      <c r="D867" s="11"/>
      <c r="E867" s="11"/>
    </row>
    <row r="868">
      <c r="A868" s="11"/>
      <c r="C868" s="11"/>
      <c r="D868" s="11"/>
      <c r="E868" s="11"/>
    </row>
    <row r="869">
      <c r="A869" s="11"/>
      <c r="C869" s="11"/>
      <c r="D869" s="11"/>
      <c r="E869" s="11"/>
    </row>
    <row r="870">
      <c r="A870" s="11"/>
      <c r="C870" s="11"/>
      <c r="D870" s="11"/>
      <c r="E870" s="11"/>
    </row>
    <row r="871">
      <c r="A871" s="11"/>
      <c r="C871" s="11"/>
      <c r="D871" s="11"/>
      <c r="E871" s="11"/>
    </row>
    <row r="872">
      <c r="A872" s="11"/>
      <c r="C872" s="11"/>
      <c r="D872" s="11"/>
      <c r="E872" s="11"/>
    </row>
    <row r="873">
      <c r="A873" s="11"/>
      <c r="C873" s="11"/>
      <c r="D873" s="11"/>
      <c r="E873" s="11"/>
    </row>
    <row r="874">
      <c r="A874" s="11"/>
      <c r="C874" s="11"/>
      <c r="D874" s="11"/>
      <c r="E874" s="11"/>
    </row>
    <row r="875">
      <c r="A875" s="11"/>
      <c r="C875" s="11"/>
      <c r="D875" s="11"/>
      <c r="E875" s="11"/>
    </row>
    <row r="876">
      <c r="A876" s="11"/>
      <c r="C876" s="11"/>
      <c r="D876" s="11"/>
      <c r="E876" s="11"/>
    </row>
    <row r="877">
      <c r="A877" s="11"/>
      <c r="C877" s="11"/>
      <c r="D877" s="11"/>
      <c r="E877" s="11"/>
    </row>
    <row r="878">
      <c r="A878" s="11"/>
      <c r="C878" s="11"/>
      <c r="D878" s="11"/>
      <c r="E878" s="11"/>
    </row>
    <row r="879">
      <c r="A879" s="11"/>
      <c r="C879" s="11"/>
      <c r="D879" s="11"/>
      <c r="E879" s="11"/>
    </row>
    <row r="880">
      <c r="A880" s="11"/>
      <c r="C880" s="11"/>
      <c r="D880" s="11"/>
      <c r="E880" s="11"/>
    </row>
    <row r="881">
      <c r="A881" s="11"/>
      <c r="C881" s="11"/>
      <c r="D881" s="11"/>
      <c r="E881" s="11"/>
    </row>
    <row r="882">
      <c r="A882" s="11"/>
      <c r="C882" s="11"/>
      <c r="D882" s="11"/>
      <c r="E882" s="11"/>
    </row>
    <row r="883">
      <c r="A883" s="11"/>
      <c r="C883" s="11"/>
      <c r="D883" s="11"/>
      <c r="E883" s="11"/>
    </row>
    <row r="884">
      <c r="A884" s="11"/>
      <c r="C884" s="11"/>
      <c r="D884" s="11"/>
      <c r="E884" s="11"/>
    </row>
    <row r="885">
      <c r="A885" s="11"/>
      <c r="C885" s="11"/>
      <c r="D885" s="11"/>
      <c r="E885" s="11"/>
    </row>
    <row r="886">
      <c r="A886" s="11"/>
      <c r="C886" s="11"/>
      <c r="D886" s="11"/>
      <c r="E886" s="11"/>
    </row>
    <row r="887">
      <c r="A887" s="11"/>
      <c r="C887" s="11"/>
      <c r="D887" s="11"/>
      <c r="E887" s="11"/>
    </row>
    <row r="888">
      <c r="A888" s="11"/>
      <c r="C888" s="11"/>
      <c r="D888" s="11"/>
      <c r="E888" s="11"/>
    </row>
    <row r="889">
      <c r="A889" s="11"/>
      <c r="C889" s="11"/>
      <c r="D889" s="11"/>
      <c r="E889" s="11"/>
    </row>
    <row r="890">
      <c r="A890" s="11"/>
      <c r="C890" s="11"/>
      <c r="D890" s="11"/>
      <c r="E890" s="11"/>
    </row>
    <row r="891">
      <c r="A891" s="11"/>
      <c r="C891" s="11"/>
      <c r="D891" s="11"/>
      <c r="E891" s="11"/>
    </row>
    <row r="892">
      <c r="A892" s="11"/>
      <c r="C892" s="11"/>
      <c r="D892" s="11"/>
      <c r="E892" s="11"/>
    </row>
    <row r="893">
      <c r="A893" s="11"/>
      <c r="C893" s="11"/>
      <c r="D893" s="11"/>
      <c r="E893" s="11"/>
    </row>
    <row r="894">
      <c r="A894" s="11"/>
      <c r="C894" s="11"/>
      <c r="D894" s="11"/>
      <c r="E894" s="11"/>
    </row>
    <row r="895">
      <c r="A895" s="11"/>
      <c r="C895" s="11"/>
      <c r="D895" s="11"/>
      <c r="E895" s="11"/>
    </row>
    <row r="896">
      <c r="A896" s="11"/>
      <c r="C896" s="11"/>
      <c r="D896" s="11"/>
      <c r="E896" s="11"/>
    </row>
    <row r="897">
      <c r="A897" s="11"/>
      <c r="C897" s="11"/>
      <c r="D897" s="11"/>
      <c r="E897" s="11"/>
    </row>
    <row r="898">
      <c r="A898" s="11"/>
      <c r="C898" s="11"/>
      <c r="D898" s="11"/>
      <c r="E898" s="11"/>
    </row>
    <row r="899">
      <c r="A899" s="11"/>
      <c r="C899" s="11"/>
      <c r="D899" s="11"/>
      <c r="E899" s="11"/>
    </row>
    <row r="900">
      <c r="A900" s="11"/>
      <c r="C900" s="11"/>
      <c r="D900" s="11"/>
      <c r="E900" s="11"/>
    </row>
    <row r="901">
      <c r="A901" s="11"/>
      <c r="C901" s="11"/>
      <c r="D901" s="11"/>
      <c r="E901" s="11"/>
    </row>
    <row r="902">
      <c r="A902" s="11"/>
      <c r="C902" s="11"/>
      <c r="D902" s="11"/>
      <c r="E902" s="11"/>
    </row>
    <row r="903">
      <c r="A903" s="11"/>
      <c r="C903" s="11"/>
      <c r="D903" s="11"/>
      <c r="E903" s="11"/>
    </row>
    <row r="904">
      <c r="A904" s="11"/>
      <c r="C904" s="11"/>
      <c r="D904" s="11"/>
      <c r="E904" s="11"/>
    </row>
    <row r="905">
      <c r="A905" s="11"/>
      <c r="C905" s="11"/>
      <c r="D905" s="11"/>
      <c r="E905" s="11"/>
    </row>
    <row r="906">
      <c r="A906" s="11"/>
      <c r="C906" s="11"/>
      <c r="D906" s="11"/>
      <c r="E906" s="11"/>
    </row>
    <row r="907">
      <c r="A907" s="11"/>
      <c r="C907" s="11"/>
      <c r="D907" s="11"/>
      <c r="E907" s="11"/>
    </row>
    <row r="908">
      <c r="A908" s="11"/>
      <c r="C908" s="11"/>
      <c r="D908" s="11"/>
      <c r="E908" s="11"/>
    </row>
    <row r="909">
      <c r="A909" s="11"/>
      <c r="C909" s="11"/>
      <c r="D909" s="11"/>
      <c r="E909" s="11"/>
    </row>
    <row r="910">
      <c r="A910" s="11"/>
      <c r="C910" s="11"/>
      <c r="D910" s="11"/>
      <c r="E910" s="11"/>
    </row>
    <row r="911">
      <c r="A911" s="11"/>
      <c r="C911" s="11"/>
      <c r="D911" s="11"/>
      <c r="E911" s="11"/>
    </row>
    <row r="912">
      <c r="A912" s="11"/>
      <c r="C912" s="11"/>
      <c r="D912" s="11"/>
      <c r="E912" s="11"/>
    </row>
    <row r="913">
      <c r="A913" s="11"/>
      <c r="C913" s="11"/>
      <c r="D913" s="11"/>
      <c r="E913" s="11"/>
    </row>
    <row r="914">
      <c r="A914" s="11"/>
      <c r="C914" s="11"/>
      <c r="D914" s="11"/>
      <c r="E914" s="11"/>
    </row>
    <row r="915">
      <c r="A915" s="11"/>
      <c r="C915" s="11"/>
      <c r="D915" s="11"/>
      <c r="E915" s="11"/>
    </row>
    <row r="916">
      <c r="A916" s="11"/>
      <c r="C916" s="11"/>
      <c r="D916" s="11"/>
      <c r="E916" s="11"/>
    </row>
    <row r="917">
      <c r="A917" s="11"/>
      <c r="C917" s="11"/>
      <c r="D917" s="11"/>
      <c r="E917" s="11"/>
    </row>
    <row r="918">
      <c r="A918" s="11"/>
      <c r="C918" s="11"/>
      <c r="D918" s="11"/>
      <c r="E918" s="11"/>
    </row>
    <row r="919">
      <c r="A919" s="11"/>
      <c r="C919" s="11"/>
      <c r="D919" s="11"/>
      <c r="E919" s="11"/>
    </row>
    <row r="920">
      <c r="A920" s="11"/>
      <c r="C920" s="11"/>
      <c r="D920" s="11"/>
      <c r="E920" s="11"/>
    </row>
    <row r="921">
      <c r="A921" s="11"/>
      <c r="C921" s="11"/>
      <c r="D921" s="11"/>
      <c r="E921" s="11"/>
    </row>
    <row r="922">
      <c r="A922" s="11"/>
      <c r="C922" s="11"/>
      <c r="D922" s="11"/>
      <c r="E922" s="11"/>
    </row>
    <row r="923">
      <c r="A923" s="11"/>
      <c r="C923" s="11"/>
      <c r="D923" s="11"/>
      <c r="E923" s="11"/>
    </row>
    <row r="924">
      <c r="A924" s="11"/>
      <c r="C924" s="11"/>
      <c r="D924" s="11"/>
      <c r="E924" s="11"/>
    </row>
    <row r="925">
      <c r="A925" s="11"/>
      <c r="C925" s="11"/>
      <c r="D925" s="11"/>
      <c r="E925" s="11"/>
    </row>
    <row r="926">
      <c r="A926" s="11"/>
      <c r="C926" s="11"/>
      <c r="D926" s="11"/>
      <c r="E926" s="11"/>
    </row>
    <row r="927">
      <c r="A927" s="11"/>
      <c r="C927" s="11"/>
      <c r="D927" s="11"/>
      <c r="E927" s="11"/>
    </row>
    <row r="928">
      <c r="A928" s="11"/>
      <c r="C928" s="11"/>
      <c r="D928" s="11"/>
      <c r="E928" s="11"/>
    </row>
    <row r="929">
      <c r="A929" s="11"/>
      <c r="C929" s="11"/>
      <c r="D929" s="11"/>
      <c r="E929" s="11"/>
    </row>
    <row r="930">
      <c r="A930" s="11"/>
      <c r="C930" s="11"/>
      <c r="D930" s="11"/>
      <c r="E930" s="11"/>
    </row>
    <row r="931">
      <c r="A931" s="11"/>
      <c r="C931" s="11"/>
      <c r="D931" s="11"/>
      <c r="E931" s="11"/>
    </row>
    <row r="932">
      <c r="A932" s="11"/>
      <c r="C932" s="11"/>
      <c r="D932" s="11"/>
      <c r="E932" s="11"/>
    </row>
    <row r="933">
      <c r="A933" s="11"/>
      <c r="C933" s="11"/>
      <c r="D933" s="11"/>
      <c r="E933" s="11"/>
    </row>
    <row r="934">
      <c r="A934" s="11"/>
      <c r="C934" s="11"/>
      <c r="D934" s="11"/>
      <c r="E934" s="11"/>
    </row>
    <row r="935">
      <c r="A935" s="11"/>
      <c r="C935" s="11"/>
      <c r="D935" s="11"/>
      <c r="E935" s="11"/>
    </row>
    <row r="936">
      <c r="A936" s="11"/>
      <c r="C936" s="11"/>
      <c r="D936" s="11"/>
      <c r="E936" s="11"/>
    </row>
    <row r="937">
      <c r="A937" s="11"/>
      <c r="C937" s="11"/>
      <c r="D937" s="11"/>
      <c r="E937" s="11"/>
    </row>
    <row r="938">
      <c r="A938" s="11"/>
      <c r="C938" s="11"/>
      <c r="D938" s="11"/>
      <c r="E938" s="11"/>
    </row>
    <row r="939">
      <c r="A939" s="11"/>
      <c r="C939" s="11"/>
      <c r="D939" s="11"/>
      <c r="E939" s="11"/>
    </row>
    <row r="940">
      <c r="A940" s="11"/>
      <c r="C940" s="11"/>
      <c r="D940" s="11"/>
      <c r="E940" s="11"/>
    </row>
    <row r="941">
      <c r="A941" s="11"/>
      <c r="C941" s="11"/>
      <c r="D941" s="11"/>
      <c r="E941" s="11"/>
    </row>
    <row r="942">
      <c r="A942" s="11"/>
      <c r="C942" s="11"/>
      <c r="D942" s="11"/>
      <c r="E942" s="11"/>
    </row>
    <row r="943">
      <c r="A943" s="11"/>
      <c r="C943" s="11"/>
      <c r="D943" s="11"/>
      <c r="E943" s="11"/>
    </row>
    <row r="944">
      <c r="A944" s="11"/>
      <c r="C944" s="11"/>
      <c r="D944" s="11"/>
      <c r="E944" s="11"/>
    </row>
    <row r="945">
      <c r="A945" s="11"/>
      <c r="C945" s="11"/>
      <c r="D945" s="11"/>
      <c r="E945" s="11"/>
    </row>
    <row r="946">
      <c r="A946" s="11"/>
      <c r="C946" s="11"/>
      <c r="D946" s="11"/>
      <c r="E946" s="11"/>
    </row>
    <row r="947">
      <c r="A947" s="11"/>
      <c r="C947" s="11"/>
      <c r="D947" s="11"/>
      <c r="E947" s="11"/>
    </row>
    <row r="948">
      <c r="A948" s="11"/>
      <c r="C948" s="11"/>
      <c r="D948" s="11"/>
      <c r="E948" s="11"/>
    </row>
    <row r="949">
      <c r="A949" s="11"/>
      <c r="C949" s="11"/>
      <c r="D949" s="11"/>
      <c r="E949" s="11"/>
    </row>
    <row r="950">
      <c r="A950" s="11"/>
      <c r="C950" s="11"/>
      <c r="D950" s="11"/>
      <c r="E950" s="11"/>
    </row>
    <row r="951">
      <c r="A951" s="11"/>
      <c r="C951" s="11"/>
      <c r="D951" s="11"/>
      <c r="E951" s="11"/>
    </row>
    <row r="952">
      <c r="A952" s="11"/>
      <c r="C952" s="11"/>
      <c r="D952" s="11"/>
      <c r="E952" s="11"/>
    </row>
    <row r="953">
      <c r="A953" s="11"/>
      <c r="C953" s="11"/>
      <c r="D953" s="11"/>
      <c r="E953" s="11"/>
    </row>
    <row r="954">
      <c r="A954" s="11"/>
      <c r="C954" s="11"/>
      <c r="D954" s="11"/>
      <c r="E954" s="11"/>
    </row>
    <row r="955">
      <c r="A955" s="11"/>
      <c r="C955" s="11"/>
      <c r="D955" s="11"/>
      <c r="E955" s="11"/>
    </row>
    <row r="956">
      <c r="A956" s="11"/>
      <c r="C956" s="11"/>
      <c r="D956" s="11"/>
      <c r="E956" s="11"/>
    </row>
    <row r="957">
      <c r="A957" s="11"/>
      <c r="C957" s="11"/>
      <c r="D957" s="11"/>
      <c r="E957" s="11"/>
    </row>
    <row r="958">
      <c r="A958" s="11"/>
      <c r="C958" s="11"/>
      <c r="D958" s="11"/>
      <c r="E958" s="11"/>
    </row>
    <row r="959">
      <c r="A959" s="11"/>
      <c r="C959" s="11"/>
      <c r="D959" s="11"/>
      <c r="E959" s="11"/>
    </row>
    <row r="960">
      <c r="A960" s="11"/>
      <c r="C960" s="11"/>
      <c r="D960" s="11"/>
      <c r="E960" s="11"/>
    </row>
    <row r="961">
      <c r="A961" s="11"/>
      <c r="C961" s="11"/>
      <c r="D961" s="11"/>
      <c r="E961" s="11"/>
    </row>
    <row r="962">
      <c r="A962" s="11"/>
      <c r="C962" s="11"/>
      <c r="D962" s="11"/>
      <c r="E962" s="11"/>
    </row>
    <row r="963">
      <c r="A963" s="11"/>
      <c r="C963" s="11"/>
      <c r="D963" s="11"/>
      <c r="E963" s="11"/>
    </row>
    <row r="964">
      <c r="A964" s="11"/>
      <c r="C964" s="11"/>
      <c r="D964" s="11"/>
      <c r="E964" s="11"/>
    </row>
    <row r="965">
      <c r="A965" s="11"/>
      <c r="C965" s="11"/>
      <c r="D965" s="11"/>
      <c r="E965" s="11"/>
    </row>
    <row r="966">
      <c r="A966" s="11"/>
      <c r="C966" s="11"/>
      <c r="D966" s="11"/>
      <c r="E966" s="11"/>
    </row>
    <row r="967">
      <c r="A967" s="11"/>
      <c r="C967" s="11"/>
      <c r="D967" s="11"/>
      <c r="E967" s="11"/>
    </row>
    <row r="968">
      <c r="A968" s="11"/>
      <c r="C968" s="11"/>
      <c r="D968" s="11"/>
      <c r="E968" s="11"/>
    </row>
    <row r="969">
      <c r="A969" s="11"/>
      <c r="C969" s="11"/>
      <c r="D969" s="11"/>
      <c r="E969" s="11"/>
    </row>
    <row r="970">
      <c r="A970" s="11"/>
      <c r="C970" s="11"/>
      <c r="D970" s="11"/>
      <c r="E970" s="11"/>
    </row>
    <row r="971">
      <c r="A971" s="11"/>
      <c r="C971" s="11"/>
      <c r="D971" s="11"/>
      <c r="E971" s="11"/>
    </row>
    <row r="972">
      <c r="A972" s="11"/>
      <c r="C972" s="11"/>
      <c r="D972" s="11"/>
      <c r="E972" s="11"/>
    </row>
    <row r="973">
      <c r="A973" s="11"/>
      <c r="C973" s="11"/>
      <c r="D973" s="11"/>
      <c r="E973" s="11"/>
    </row>
    <row r="974">
      <c r="A974" s="11"/>
      <c r="C974" s="11"/>
      <c r="D974" s="11"/>
      <c r="E974" s="11"/>
    </row>
    <row r="975">
      <c r="A975" s="11"/>
      <c r="C975" s="11"/>
      <c r="D975" s="11"/>
      <c r="E975" s="11"/>
    </row>
    <row r="976">
      <c r="A976" s="11"/>
      <c r="C976" s="11"/>
      <c r="D976" s="11"/>
      <c r="E976" s="11"/>
    </row>
    <row r="977">
      <c r="A977" s="11"/>
      <c r="C977" s="11"/>
      <c r="D977" s="11"/>
      <c r="E977" s="11"/>
    </row>
    <row r="978">
      <c r="A978" s="11"/>
      <c r="C978" s="11"/>
      <c r="D978" s="11"/>
      <c r="E978" s="11"/>
    </row>
    <row r="979">
      <c r="A979" s="11"/>
      <c r="C979" s="11"/>
      <c r="D979" s="11"/>
      <c r="E979" s="11"/>
    </row>
    <row r="980">
      <c r="A980" s="11"/>
      <c r="C980" s="11"/>
      <c r="D980" s="11"/>
      <c r="E980" s="11"/>
    </row>
    <row r="981">
      <c r="A981" s="11"/>
      <c r="C981" s="11"/>
      <c r="D981" s="11"/>
      <c r="E981" s="11"/>
    </row>
    <row r="982">
      <c r="A982" s="11"/>
      <c r="C982" s="11"/>
      <c r="D982" s="11"/>
      <c r="E982" s="11"/>
    </row>
    <row r="983">
      <c r="A983" s="11"/>
      <c r="C983" s="11"/>
      <c r="D983" s="11"/>
      <c r="E983" s="11"/>
    </row>
    <row r="984">
      <c r="A984" s="11"/>
      <c r="C984" s="11"/>
      <c r="D984" s="11"/>
      <c r="E984" s="11"/>
    </row>
    <row r="985">
      <c r="A985" s="11"/>
      <c r="C985" s="11"/>
      <c r="D985" s="11"/>
      <c r="E985" s="11"/>
    </row>
    <row r="986">
      <c r="A986" s="11"/>
      <c r="C986" s="11"/>
      <c r="D986" s="11"/>
      <c r="E986" s="11"/>
    </row>
    <row r="987">
      <c r="A987" s="11"/>
      <c r="C987" s="11"/>
      <c r="D987" s="11"/>
      <c r="E987" s="11"/>
    </row>
    <row r="988">
      <c r="A988" s="11"/>
      <c r="C988" s="11"/>
      <c r="D988" s="11"/>
      <c r="E988" s="11"/>
    </row>
    <row r="989">
      <c r="A989" s="11"/>
      <c r="C989" s="11"/>
      <c r="D989" s="11"/>
      <c r="E989" s="11"/>
    </row>
    <row r="990">
      <c r="A990" s="11"/>
      <c r="C990" s="11"/>
      <c r="D990" s="11"/>
      <c r="E990" s="11"/>
    </row>
    <row r="991">
      <c r="A991" s="11"/>
      <c r="C991" s="11"/>
      <c r="D991" s="11"/>
      <c r="E991" s="11"/>
    </row>
    <row r="992">
      <c r="A992" s="11"/>
      <c r="C992" s="11"/>
      <c r="D992" s="11"/>
      <c r="E992" s="11"/>
    </row>
    <row r="993">
      <c r="A993" s="11"/>
      <c r="C993" s="11"/>
      <c r="D993" s="11"/>
      <c r="E993" s="11"/>
    </row>
    <row r="994">
      <c r="A994" s="11"/>
      <c r="C994" s="11"/>
      <c r="D994" s="11"/>
      <c r="E994" s="11"/>
    </row>
    <row r="995">
      <c r="A995" s="11"/>
      <c r="C995" s="11"/>
      <c r="D995" s="11"/>
      <c r="E995" s="11"/>
    </row>
    <row r="996">
      <c r="A996" s="11"/>
      <c r="C996" s="11"/>
      <c r="D996" s="11"/>
      <c r="E996" s="11"/>
    </row>
    <row r="997">
      <c r="A997" s="11"/>
      <c r="C997" s="11"/>
      <c r="D997" s="11"/>
      <c r="E997" s="11"/>
    </row>
    <row r="998">
      <c r="A998" s="11"/>
      <c r="C998" s="11"/>
      <c r="D998" s="11"/>
      <c r="E998" s="11"/>
    </row>
    <row r="999">
      <c r="A999" s="11"/>
      <c r="C999" s="11"/>
      <c r="D999" s="11"/>
      <c r="E999" s="11"/>
    </row>
    <row r="1000">
      <c r="A1000" s="11"/>
      <c r="C1000" s="11"/>
      <c r="D1000" s="11"/>
      <c r="E1000" s="11"/>
    </row>
    <row r="1001">
      <c r="A1001" s="11"/>
      <c r="C1001" s="11"/>
      <c r="D1001" s="11"/>
      <c r="E1001" s="11"/>
    </row>
    <row r="1002">
      <c r="A1002" s="11"/>
      <c r="C1002" s="11"/>
      <c r="D1002" s="11"/>
      <c r="E1002" s="11"/>
    </row>
    <row r="1003">
      <c r="A1003" s="11"/>
      <c r="C1003" s="11"/>
      <c r="D1003" s="11"/>
      <c r="E1003" s="11"/>
    </row>
    <row r="1004">
      <c r="A1004" s="11"/>
      <c r="C1004" s="11"/>
      <c r="D1004" s="11"/>
      <c r="E1004" s="11"/>
    </row>
    <row r="1005">
      <c r="A1005" s="11"/>
      <c r="C1005" s="11"/>
      <c r="D1005" s="11"/>
      <c r="E1005" s="11"/>
    </row>
    <row r="1006">
      <c r="A1006" s="11"/>
      <c r="C1006" s="11"/>
      <c r="D1006" s="11"/>
      <c r="E1006" s="11"/>
    </row>
    <row r="1007">
      <c r="A1007" s="11"/>
      <c r="C1007" s="11"/>
      <c r="D1007" s="11"/>
      <c r="E1007" s="11"/>
    </row>
    <row r="1008">
      <c r="A1008" s="11"/>
      <c r="C1008" s="11"/>
      <c r="D1008" s="11"/>
      <c r="E1008" s="11"/>
    </row>
    <row r="1009">
      <c r="A1009" s="11"/>
      <c r="C1009" s="11"/>
      <c r="D1009" s="11"/>
      <c r="E1009" s="11"/>
    </row>
    <row r="1010">
      <c r="A1010" s="11"/>
      <c r="C1010" s="11"/>
      <c r="D1010" s="11"/>
      <c r="E1010" s="11"/>
    </row>
    <row r="1011">
      <c r="A1011" s="11"/>
      <c r="C1011" s="11"/>
      <c r="D1011" s="11"/>
      <c r="E1011" s="11"/>
    </row>
    <row r="1012">
      <c r="A1012" s="11"/>
      <c r="C1012" s="11"/>
      <c r="D1012" s="11"/>
      <c r="E1012" s="11"/>
    </row>
    <row r="1013">
      <c r="A1013" s="11"/>
      <c r="C1013" s="11"/>
      <c r="D1013" s="11"/>
      <c r="E1013" s="11"/>
    </row>
    <row r="1014">
      <c r="A1014" s="11"/>
      <c r="C1014" s="11"/>
      <c r="D1014" s="11"/>
      <c r="E1014" s="11"/>
    </row>
    <row r="1015">
      <c r="A1015" s="11"/>
      <c r="C1015" s="11"/>
      <c r="D1015" s="11"/>
      <c r="E1015" s="11"/>
    </row>
    <row r="1016">
      <c r="A1016" s="11"/>
      <c r="C1016" s="11"/>
      <c r="D1016" s="11"/>
      <c r="E1016" s="11"/>
    </row>
    <row r="1017">
      <c r="A1017" s="11"/>
      <c r="C1017" s="11"/>
      <c r="D1017" s="11"/>
      <c r="E1017" s="11"/>
    </row>
    <row r="1018">
      <c r="A1018" s="11"/>
      <c r="C1018" s="11"/>
      <c r="D1018" s="11"/>
      <c r="E1018" s="11"/>
    </row>
    <row r="1019">
      <c r="A1019" s="11"/>
      <c r="C1019" s="11"/>
      <c r="D1019" s="11"/>
      <c r="E1019" s="11"/>
    </row>
    <row r="1020">
      <c r="A1020" s="11"/>
      <c r="C1020" s="11"/>
      <c r="D1020" s="11"/>
      <c r="E1020" s="11"/>
    </row>
    <row r="1021">
      <c r="A1021" s="11"/>
      <c r="C1021" s="11"/>
      <c r="D1021" s="11"/>
      <c r="E1021" s="11"/>
    </row>
    <row r="1022">
      <c r="A1022" s="11"/>
      <c r="C1022" s="11"/>
      <c r="D1022" s="11"/>
      <c r="E1022" s="11"/>
    </row>
    <row r="1023">
      <c r="A1023" s="11"/>
      <c r="C1023" s="11"/>
      <c r="D1023" s="11"/>
      <c r="E1023" s="11"/>
    </row>
    <row r="1024">
      <c r="A1024" s="11"/>
      <c r="C1024" s="11"/>
      <c r="D1024" s="11"/>
      <c r="E1024" s="11"/>
    </row>
    <row r="1025">
      <c r="A1025" s="11"/>
      <c r="C1025" s="11"/>
      <c r="D1025" s="11"/>
      <c r="E1025" s="11"/>
    </row>
    <row r="1026">
      <c r="A1026" s="11"/>
      <c r="C1026" s="11"/>
      <c r="D1026" s="11"/>
      <c r="E1026" s="11"/>
    </row>
    <row r="1027">
      <c r="A1027" s="11"/>
      <c r="C1027" s="11"/>
      <c r="D1027" s="11"/>
      <c r="E1027" s="11"/>
    </row>
    <row r="1028">
      <c r="A1028" s="11"/>
      <c r="C1028" s="11"/>
      <c r="D1028" s="11"/>
      <c r="E1028" s="11"/>
    </row>
  </sheetData>
  <mergeCells count="7">
    <mergeCell ref="C1:E1"/>
    <mergeCell ref="H1:J1"/>
    <mergeCell ref="K1:L1"/>
    <mergeCell ref="B2:C2"/>
    <mergeCell ref="C3:D3"/>
    <mergeCell ref="E3:L3"/>
    <mergeCell ref="M3:N3"/>
  </mergeCells>
  <conditionalFormatting sqref="K5:K69">
    <cfRule type="expression" dxfId="1" priority="1">
      <formula> K5&gt;=18</formula>
    </cfRule>
  </conditionalFormatting>
  <conditionalFormatting sqref="K10 M10">
    <cfRule type="expression" dxfId="2" priority="2">
      <formula>iseven</formula>
    </cfRule>
  </conditionalFormatting>
  <conditionalFormatting sqref="B5:B69 B78:D88">
    <cfRule type="expression" dxfId="1" priority="3">
      <formula>E5=1</formula>
    </cfRule>
  </conditionalFormatting>
  <conditionalFormatting sqref="B5:B69 B78:D88">
    <cfRule type="expression" dxfId="3" priority="4">
      <formula>E5=2</formula>
    </cfRule>
  </conditionalFormatting>
  <conditionalFormatting sqref="B5:B69 B78:D88">
    <cfRule type="expression" dxfId="4" priority="5">
      <formula>E5=3</formula>
    </cfRule>
  </conditionalFormatting>
  <conditionalFormatting sqref="B5:B69 B78:D88">
    <cfRule type="expression" dxfId="5" priority="6">
      <formula>E5=4</formula>
    </cfRule>
  </conditionalFormatting>
  <conditionalFormatting sqref="L80">
    <cfRule type="containsText" dxfId="1" priority="7" operator="containsText" text="Good">
      <formula>NOT(ISERROR(SEARCH(("Good"),(L80))))</formula>
    </cfRule>
  </conditionalFormatting>
  <drawing r:id="rId1"/>
</worksheet>
</file>