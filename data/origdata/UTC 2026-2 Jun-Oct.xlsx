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Courts" sheetId="2" r:id="rId6"/>
    <sheet state="visible" name="Checkin" sheetId="3" r:id="rId7"/>
    <sheet state="visible" name="Data" sheetId="4" r:id="rId8"/>
    <sheet state="visible" name="Waitlist" sheetId="5" r:id="rId9"/>
    <sheet state="visible" name="101026" sheetId="6" r:id="rId10"/>
    <sheet state="visible" name="100326" sheetId="7" r:id="rId11"/>
    <sheet state="visible" name="092626" sheetId="8" r:id="rId12"/>
    <sheet state="visible" name="091926" sheetId="9" r:id="rId13"/>
    <sheet state="visible" name="091226" sheetId="10" r:id="rId14"/>
    <sheet state="visible" name="090526" sheetId="11" r:id="rId15"/>
    <sheet state="visible" name="082926" sheetId="12" r:id="rId16"/>
    <sheet state="visible" name="082226" sheetId="13" r:id="rId17"/>
    <sheet state="visible" name="081526" sheetId="14" r:id="rId18"/>
    <sheet state="visible" name="080826" sheetId="15" r:id="rId19"/>
    <sheet state="visible" name="080126" sheetId="16" r:id="rId20"/>
    <sheet state="visible" name="072526" sheetId="17" r:id="rId21"/>
    <sheet state="visible" name="071826" sheetId="18" r:id="rId22"/>
    <sheet state="visible" name="071126" sheetId="19" r:id="rId23"/>
    <sheet state="visible" name="070426" sheetId="20" r:id="rId24"/>
    <sheet state="visible" name="062726" sheetId="21" r:id="rId25"/>
    <sheet state="visible" name="randomize" sheetId="22" r:id="rId26"/>
  </sheets>
  <definedNames/>
  <calcPr/>
  <pivotCaches>
    <pivotCache cacheId="0" r:id="rId27"/>
  </pivotCaches>
</workbook>
</file>

<file path=xl/sharedStrings.xml><?xml version="1.0" encoding="utf-8"?>
<sst xmlns="http://schemas.openxmlformats.org/spreadsheetml/2006/main" count="6188" uniqueCount="213">
  <si>
    <t xml:space="preserve">Court # </t>
  </si>
  <si>
    <t>Name of the Player</t>
  </si>
  <si>
    <t>No</t>
  </si>
  <si>
    <t xml:space="preserve">Standings as of </t>
  </si>
  <si>
    <t>Games Won</t>
  </si>
  <si>
    <t xml:space="preserve">Check in </t>
  </si>
  <si>
    <t>Sets Won</t>
  </si>
  <si>
    <t>Name of Player</t>
  </si>
  <si>
    <t>Previous sitouts</t>
  </si>
  <si>
    <t>Check In</t>
  </si>
  <si>
    <t>Set 1</t>
  </si>
  <si>
    <t>Set 2</t>
  </si>
  <si>
    <t>Set 3</t>
  </si>
  <si>
    <t>Total Games won</t>
  </si>
  <si>
    <t>Sl.No</t>
  </si>
  <si>
    <t>Playing(1)</t>
  </si>
  <si>
    <t xml:space="preserve">Scores Entered by </t>
  </si>
  <si>
    <t>Out(3)</t>
  </si>
  <si>
    <t>Number of Weeks Played</t>
  </si>
  <si>
    <t>WHS</t>
  </si>
  <si>
    <t>Out-Can Play(4)</t>
  </si>
  <si>
    <t>To Respond</t>
  </si>
  <si>
    <t>Sitouts(5)</t>
  </si>
  <si>
    <t>Count of Player at WHS</t>
  </si>
  <si>
    <t>Playing-Can Sit(2)</t>
  </si>
  <si>
    <t>Suggestion for WHS</t>
  </si>
  <si>
    <t>Admin</t>
  </si>
  <si>
    <t>Sit Outs Needed</t>
  </si>
  <si>
    <t>No WHS</t>
  </si>
  <si>
    <t>List for Random Sit Outs (if needed)</t>
  </si>
  <si>
    <t>randomly selected players</t>
  </si>
  <si>
    <t>Court #</t>
  </si>
  <si>
    <t>court #</t>
  </si>
  <si>
    <t>Players</t>
  </si>
  <si>
    <t>Beginning of week</t>
  </si>
  <si>
    <t>Current Week Scores</t>
  </si>
  <si>
    <t>End of week</t>
  </si>
  <si>
    <t>Jan-Jun 2026</t>
  </si>
  <si>
    <t>Jul-Dec 2026</t>
  </si>
  <si>
    <t>Ranking</t>
  </si>
  <si>
    <t>Games Won / Match</t>
  </si>
  <si>
    <t>Check IN</t>
  </si>
  <si>
    <t>Set 0</t>
  </si>
  <si>
    <t>Waiver</t>
  </si>
  <si>
    <t>Fee</t>
  </si>
  <si>
    <t>Games Played</t>
  </si>
  <si>
    <t>Sit outs</t>
  </si>
  <si>
    <t>No Shows</t>
  </si>
  <si>
    <t>Absent</t>
  </si>
  <si>
    <t>Positions Gained/Lost</t>
  </si>
  <si>
    <t>Perfect attendence</t>
  </si>
  <si>
    <t xml:space="preserve">Check </t>
  </si>
  <si>
    <t>Andrew Yao</t>
  </si>
  <si>
    <t>Adrian Tay</t>
  </si>
  <si>
    <t>Whatsapp Message</t>
  </si>
  <si>
    <t>Playing</t>
  </si>
  <si>
    <t>Alejandro Mejia</t>
  </si>
  <si>
    <t>Max=6/7</t>
  </si>
  <si>
    <t>Sitouts req</t>
  </si>
  <si>
    <t>Playing-Can Sit</t>
  </si>
  <si>
    <t>X</t>
  </si>
  <si>
    <t>Alex Hou</t>
  </si>
  <si>
    <t>Out/Can Play</t>
  </si>
  <si>
    <t>do we need more sitiouts</t>
  </si>
  <si>
    <t>Out</t>
  </si>
  <si>
    <t>Players who didnot satout</t>
  </si>
  <si>
    <t>Sitouts</t>
  </si>
  <si>
    <t>Allen Zhang</t>
  </si>
  <si>
    <t>Tom Le</t>
  </si>
  <si>
    <t>TBD</t>
  </si>
  <si>
    <t>two equal scores</t>
  </si>
  <si>
    <t>Scores</t>
  </si>
  <si>
    <t>Andrew Wen</t>
  </si>
  <si>
    <t>Total</t>
  </si>
  <si>
    <t>Pavan Akkimsetty</t>
  </si>
  <si>
    <t>Courts Full</t>
  </si>
  <si>
    <t>Diff of 2 or tie breaker</t>
  </si>
  <si>
    <t>Art Hui</t>
  </si>
  <si>
    <t>Sitouts Required</t>
  </si>
  <si>
    <t>End of Season</t>
  </si>
  <si>
    <t>Rudy Tatang</t>
  </si>
  <si>
    <t>Basudev Thoppai Vidyasankar</t>
  </si>
  <si>
    <t>Next UTC</t>
  </si>
  <si>
    <t>All Good</t>
  </si>
  <si>
    <t>Camille Jung</t>
  </si>
  <si>
    <t>Pulkit Mathur</t>
  </si>
  <si>
    <t>Vacations</t>
  </si>
  <si>
    <t>Chinna Ponnaganti</t>
  </si>
  <si>
    <t>David Shin</t>
  </si>
  <si>
    <t>Cid Macaraeg</t>
  </si>
  <si>
    <t>Coco Yan</t>
  </si>
  <si>
    <t>Jaya Sogata</t>
  </si>
  <si>
    <t>Darren Wong</t>
  </si>
  <si>
    <t>Suleman Alidina</t>
  </si>
  <si>
    <t>Elayaraja Thangaraj</t>
  </si>
  <si>
    <t>Eric Pan</t>
  </si>
  <si>
    <t>Eric Tan</t>
  </si>
  <si>
    <t>Vinotkumar Nagappan</t>
  </si>
  <si>
    <t>Erik Hoeckmann</t>
  </si>
  <si>
    <t>Admins</t>
  </si>
  <si>
    <t>Ethan Gu</t>
  </si>
  <si>
    <t>Joe Luzzi</t>
  </si>
  <si>
    <t>Lam Bui</t>
  </si>
  <si>
    <t>Leigh-Anh Nguyen</t>
  </si>
  <si>
    <t>Robert Chang</t>
  </si>
  <si>
    <t>Sean Chang</t>
  </si>
  <si>
    <t>Frank Moon</t>
  </si>
  <si>
    <t>Ruben Ron</t>
  </si>
  <si>
    <t>Herman Au</t>
  </si>
  <si>
    <t>Hongyuan Wen</t>
  </si>
  <si>
    <t xml:space="preserve">Pending Scores </t>
  </si>
  <si>
    <t>Jim Miao</t>
  </si>
  <si>
    <t>Status</t>
  </si>
  <si>
    <t>Manish Anand</t>
  </si>
  <si>
    <t>Jimmy Awolesi</t>
  </si>
  <si>
    <t>Jonathan Phan</t>
  </si>
  <si>
    <t>Joyce Zhu</t>
  </si>
  <si>
    <t>Kumar Palakeel</t>
  </si>
  <si>
    <t>Rajasekar Ramasamy</t>
  </si>
  <si>
    <t>Lenin Belangonda</t>
  </si>
  <si>
    <t>Lloyd Sagar</t>
  </si>
  <si>
    <t>Luis Hsu</t>
  </si>
  <si>
    <t>Sandeep Kamalon</t>
  </si>
  <si>
    <t xml:space="preserve">Here is the link to add new players to the waitlist. </t>
  </si>
  <si>
    <t>tinyurl.com/UTCWaitList</t>
  </si>
  <si>
    <t>Manuel Rivera</t>
  </si>
  <si>
    <t>Matthew Huang</t>
  </si>
  <si>
    <t>Mauricio Palacios</t>
  </si>
  <si>
    <t>Naveen Raj</t>
  </si>
  <si>
    <t>Nicole Ni</t>
  </si>
  <si>
    <t>Oscar Bonilla</t>
  </si>
  <si>
    <t>Scott Li</t>
  </si>
  <si>
    <t>Rajesh Dorairaj</t>
  </si>
  <si>
    <t>Ramesh Bandaru</t>
  </si>
  <si>
    <t>Ranjith Doraiswamy</t>
  </si>
  <si>
    <t>Tina Hanson</t>
  </si>
  <si>
    <t>Sanjaye Elayattu</t>
  </si>
  <si>
    <t>Santosh Sundaresan</t>
  </si>
  <si>
    <t>Saravanan Veerapandian</t>
  </si>
  <si>
    <t>Susanta Mishra</t>
  </si>
  <si>
    <t>Ted Shen</t>
  </si>
  <si>
    <t>Trish Newlin</t>
  </si>
  <si>
    <t>Troy Wong</t>
  </si>
  <si>
    <t>Vicki Martinet</t>
  </si>
  <si>
    <t>Vinaya Kajla</t>
  </si>
  <si>
    <t>Vishnu Amarnath</t>
  </si>
  <si>
    <t>Wayne Liu</t>
  </si>
  <si>
    <t>Color Coding</t>
  </si>
  <si>
    <t>0-8</t>
  </si>
  <si>
    <t>9-17</t>
  </si>
  <si>
    <t>18-20</t>
  </si>
  <si>
    <t>21</t>
  </si>
  <si>
    <t>Previous records</t>
  </si>
  <si>
    <t>2026 Jul - Dec</t>
  </si>
  <si>
    <t>2026 Jan - Jun</t>
  </si>
  <si>
    <t>https://docs.google.com/spreadsheets/d/1JUNihKDsfyFa4fNP2N5396IF8z8xvZvQ_L3trN38QkY/edit?usp=sharing</t>
  </si>
  <si>
    <t>2025 Jul - Dec</t>
  </si>
  <si>
    <t>https://docs.google.com/spreadsheets/d/1QDk60z4777LPlaSPBwWYpeNeLnqgdd2MQJU6vd-hd_4/edit?usp=sharing</t>
  </si>
  <si>
    <t>2025 Jan - Jun</t>
  </si>
  <si>
    <t>https://docs.google.com/spreadsheets/d/1uxj86lWZFTL9-Zv75JGDyYfCqUcadLu_U_MGAVviSuQ/edit?usp=sharing</t>
  </si>
  <si>
    <t>2024 Jul - Dec</t>
  </si>
  <si>
    <t>https://docs.google.com/spreadsheets/d/1GS-tLUvLpVtYDOelfK6gagVwQI3hClqqceSt6t1FV_s/edit?usp=sharing</t>
  </si>
  <si>
    <t>2024 Jan - Jun</t>
  </si>
  <si>
    <t>https://docs.google.com/spreadsheets/d/1zzKx3nCHBcamP1wqoido72i680-HwziJfKLnaI1_YRM/edit?usp=sharing</t>
  </si>
  <si>
    <t>2023 Jul - Dec</t>
  </si>
  <si>
    <t>https://docs.google.com/spreadsheets/d/166FZcMJ0hR3tcmk-ZaafrMtT4ta8-zONapuqmUawt8E/edit?usp=sharing</t>
  </si>
  <si>
    <t>Top play (KING) counts</t>
  </si>
  <si>
    <t>2023 Apr-Jun</t>
  </si>
  <si>
    <t>https://docs.google.com/spreadsheets/d/1zo0qtSAykrh9gXUKoa7KzOMSxwQ44irfwsLANHM8gI8/edit?usp=sharing</t>
  </si>
  <si>
    <t>King</t>
  </si>
  <si>
    <t>Count</t>
  </si>
  <si>
    <t>Previous King</t>
  </si>
  <si>
    <t>Current</t>
  </si>
  <si>
    <t>WHS Courts</t>
  </si>
  <si>
    <t>Admin Court</t>
  </si>
  <si>
    <t>2nd Court</t>
  </si>
  <si>
    <t>Third Court</t>
  </si>
  <si>
    <t>Diamond Bar High School Courts</t>
  </si>
  <si>
    <t>21400 Pathfinder Rd, Diamond Bar, CA 91765</t>
  </si>
  <si>
    <t>Change the order of the admins, if need to play around</t>
  </si>
  <si>
    <t>Playing ?</t>
  </si>
  <si>
    <t>Good for WHS</t>
  </si>
  <si>
    <t>Points</t>
  </si>
  <si>
    <t>SUM of Admin</t>
  </si>
  <si>
    <t>SUM of Players</t>
  </si>
  <si>
    <t>Walnut High School Courts</t>
  </si>
  <si>
    <t>400 Pierre Rd, Walnut, CA 91789</t>
  </si>
  <si>
    <t xml:space="preserve"> </t>
  </si>
  <si>
    <t>Membership Renewals</t>
  </si>
  <si>
    <t>Renewed</t>
  </si>
  <si>
    <t>For Publishing in the WhatsApp Group for the score updates on saturday</t>
  </si>
  <si>
    <t>Not Renewing</t>
  </si>
  <si>
    <t>To Renew</t>
  </si>
  <si>
    <t>Games</t>
  </si>
  <si>
    <t>Sets</t>
  </si>
  <si>
    <t>Top 10 Climbers</t>
  </si>
  <si>
    <t>Positions Moved</t>
  </si>
  <si>
    <t>Position Last week</t>
  </si>
  <si>
    <t>Position This week</t>
  </si>
  <si>
    <t>Points this week</t>
  </si>
  <si>
    <t>Court</t>
  </si>
  <si>
    <t xml:space="preserve">Cross Check </t>
  </si>
  <si>
    <t>Perfect Attendance</t>
  </si>
  <si>
    <t>King of Kings</t>
  </si>
  <si>
    <t>No. of Weeks</t>
  </si>
  <si>
    <t>N</t>
  </si>
  <si>
    <t xml:space="preserve">Current order in Season </t>
  </si>
  <si>
    <t>Alphabetical order</t>
  </si>
  <si>
    <t>Random order</t>
  </si>
  <si>
    <t xml:space="preserve">Freeze Order for the season. </t>
  </si>
  <si>
    <t>Randon sitout order</t>
  </si>
  <si>
    <t>Victoria (Vicki) Martinet</t>
  </si>
  <si>
    <t xml:space="preserve">Lenin Belangonda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</si>
</sst>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"/>
    <numFmt numFmtId="165" formatCode="mm/dd/yy"/>
    <numFmt numFmtId="166" formatCode="mm&quot;/&quot;dd&quot;/&quot;yy"/>
    <numFmt numFmtId="167" formatCode="0;-0;;@"/>
    <numFmt numFmtId="168" formatCode="h:mm am/pm"/>
    <numFmt numFmtId="169" formatCode="ddd&quot;/&quot;dd&quot;/&quot;mmm&quot;/&quot;yy"/>
    <numFmt numFmtId="170" formatCode="m/d/yyyy"/>
    <numFmt numFmtId="171" formatCode="yyyy-mm-dd"/>
  </numFmts>
  <fonts count="1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4.0"/>
      <color rgb="FF001D35"/>
      <name val="Monospace"/>
    </font>
    <font>
      <b/>
      <sz val="12.0"/>
      <color theme="1"/>
      <name val="Arial"/>
      <scheme val="minor"/>
    </font>
    <font/>
    <font>
      <sz val="14.0"/>
      <color theme="1"/>
      <name val="Arial"/>
    </font>
    <font>
      <color theme="1"/>
      <name val="Arial"/>
    </font>
    <font>
      <u/>
      <color rgb="FF0000FF"/>
    </font>
    <font>
      <b/>
      <u/>
      <color rgb="FF0000FF"/>
    </font>
    <font>
      <u/>
      <color rgb="FF0000FF"/>
    </font>
    <font>
      <sz val="9.0"/>
      <color theme="1"/>
      <name val="Arial"/>
      <scheme val="minor"/>
    </font>
    <font>
      <sz val="13.0"/>
      <color theme="1"/>
      <name val="Arial"/>
    </font>
    <font>
      <sz val="13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E5EDFF"/>
        <bgColor rgb="FFE5ED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0" fillId="4" fontId="4" numFmtId="0" xfId="0" applyAlignment="1" applyFill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0" fillId="4" fontId="4" numFmtId="164" xfId="0" applyAlignment="1" applyFill="1" applyFont="1" applyNumberFormat="1">
      <alignment horizontal="center" readingOrder="0"/>
    </xf>
    <xf borderId="1" fillId="2" fontId="2" numFmtId="0" xfId="0" applyAlignment="1" applyBorder="1" applyFill="1" applyFont="1">
      <alignment readingOrder="0" shrinkToFit="0" wrapText="1"/>
    </xf>
    <xf borderId="0" fillId="4" fontId="6" numFmtId="0" xfId="0" applyAlignment="1" applyFill="1" applyFont="1">
      <alignment horizontal="right" readingOrder="0"/>
    </xf>
    <xf borderId="1" fillId="3" fontId="5" numFmtId="165" xfId="0" applyAlignment="1" applyBorder="1" applyFill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center" readingOrder="0"/>
    </xf>
    <xf borderId="0" fillId="5" fontId="7" numFmtId="14" xfId="0" applyAlignment="1" applyFill="1" applyFont="1" applyNumberFormat="1">
      <alignment readingOrder="0"/>
    </xf>
    <xf borderId="0" fillId="4" fontId="8" numFmtId="0" xfId="0" applyAlignment="1" applyFill="1" applyFont="1">
      <alignment readingOrder="0"/>
    </xf>
    <xf borderId="2" fillId="2" fontId="3" numFmtId="0" xfId="0" applyAlignment="1" applyBorder="1" applyFill="1" applyFont="1">
      <alignment readingOrder="0" shrinkToFit="0" vertical="center" wrapText="1"/>
    </xf>
    <xf borderId="0" fillId="4" fontId="8" numFmtId="0" xfId="0" applyAlignment="1" applyFill="1" applyFont="1">
      <alignment horizontal="center" readingOrder="0"/>
    </xf>
    <xf borderId="2" fillId="2" fontId="3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0" fontId="2" numFmtId="0" xfId="0" applyBorder="1" applyFont="1"/>
    <xf borderId="0" fillId="6" fontId="2" numFmtId="166" xfId="0" applyFill="1" applyFont="1" applyNumberFormat="1"/>
    <xf borderId="1" fillId="0" fontId="2" numFmtId="0" xfId="0" applyAlignment="1" applyBorder="1" applyFont="1">
      <alignment readingOrder="0"/>
    </xf>
    <xf borderId="2" fillId="4" fontId="1" numFmtId="0" xfId="0" applyAlignment="1" applyBorder="1" applyFill="1" applyFont="1">
      <alignment horizontal="center" readingOrder="0" shrinkToFit="0" wrapText="1"/>
    </xf>
    <xf borderId="3" fillId="0" fontId="9" numFmtId="0" xfId="0" applyBorder="1" applyFont="1"/>
    <xf borderId="4" fillId="0" fontId="9" numFmtId="0" xfId="0" applyBorder="1" applyFont="1"/>
    <xf borderId="0" fillId="0" fontId="2" numFmtId="0" xfId="0" applyFont="1"/>
    <xf borderId="2" fillId="4" fontId="4" numFmtId="0" xfId="0" applyAlignment="1" applyBorder="1" applyFill="1" applyFont="1">
      <alignment horizontal="center" readingOrder="0" shrinkToFit="0" vertical="center" wrapText="1"/>
    </xf>
    <xf borderId="1" fillId="0" fontId="2" numFmtId="3" xfId="0" applyBorder="1" applyFont="1" applyNumberFormat="1"/>
    <xf borderId="1" fillId="0" fontId="2" numFmtId="167" xfId="0" applyBorder="1" applyFont="1" applyNumberFormat="1"/>
    <xf borderId="1" fillId="3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 shrinkToFit="0" wrapText="1"/>
    </xf>
    <xf borderId="1" fillId="3" fontId="5" numFmtId="0" xfId="0" applyAlignment="1" applyBorder="1" applyFill="1" applyFont="1">
      <alignment horizontal="center" readingOrder="0" shrinkToFit="0" wrapText="1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readingOrder="0" vertical="bottom"/>
    </xf>
    <xf borderId="1" fillId="7" fontId="5" numFmtId="3" xfId="0" applyAlignment="1" applyBorder="1" applyFill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0" fillId="3" fontId="5" numFmtId="165" xfId="0" applyAlignment="1" applyFill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vertical="bottom"/>
    </xf>
    <xf borderId="1" fillId="7" fontId="5" numFmtId="4" xfId="0" applyAlignment="1" applyBorder="1" applyFill="1" applyFont="1" applyNumberFormat="1">
      <alignment horizontal="center" readingOrder="0"/>
    </xf>
    <xf borderId="1" fillId="3" fontId="10" numFmtId="167" xfId="0" applyAlignment="1" applyBorder="1" applyFill="1" applyFont="1" applyNumberFormat="1">
      <alignment vertical="bottom"/>
    </xf>
    <xf borderId="1" fillId="8" fontId="10" numFmtId="167" xfId="0" applyAlignment="1" applyBorder="1" applyFill="1" applyFont="1" applyNumberFormat="1">
      <alignment vertical="bottom"/>
    </xf>
    <xf borderId="0" fillId="6" fontId="2" numFmtId="0" xfId="0" applyAlignment="1" applyFill="1" applyFont="1">
      <alignment readingOrder="0"/>
    </xf>
    <xf borderId="1" fillId="7" fontId="10" numFmtId="167" xfId="0" applyAlignment="1" applyBorder="1" applyFill="1" applyFont="1" applyNumberFormat="1">
      <alignment vertical="bottom"/>
    </xf>
    <xf borderId="0" fillId="0" fontId="10" numFmtId="0" xfId="0" applyAlignment="1" applyFont="1">
      <alignment horizontal="center" vertical="bottom"/>
    </xf>
    <xf borderId="1" fillId="4" fontId="10" numFmtId="167" xfId="0" applyAlignment="1" applyBorder="1" applyFill="1" applyFont="1" applyNumberFormat="1">
      <alignment vertical="bottom"/>
    </xf>
    <xf borderId="1" fillId="0" fontId="2" numFmtId="3" xfId="0" applyAlignment="1" applyBorder="1" applyFont="1" applyNumberFormat="1">
      <alignment readingOrder="0"/>
    </xf>
    <xf borderId="1" fillId="7" fontId="5" numFmtId="0" xfId="0" applyAlignment="1" applyBorder="1" applyFill="1" applyFont="1">
      <alignment horizontal="center" readingOrder="0"/>
    </xf>
    <xf borderId="1" fillId="9" fontId="5" numFmtId="3" xfId="0" applyAlignment="1" applyBorder="1" applyFill="1" applyFont="1" applyNumberFormat="1">
      <alignment horizontal="center" readingOrder="0"/>
    </xf>
    <xf borderId="1" fillId="9" fontId="5" numFmtId="167" xfId="0" applyAlignment="1" applyBorder="1" applyFill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 shrinkToFit="0" wrapText="1"/>
    </xf>
    <xf borderId="0" fillId="6" fontId="2" numFmtId="0" xfId="0" applyFill="1" applyFont="1"/>
    <xf borderId="0" fillId="0" fontId="2" numFmtId="168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9" xfId="0" applyFont="1" applyNumberFormat="1"/>
    <xf borderId="1" fillId="0" fontId="2" numFmtId="169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/>
    </xf>
    <xf borderId="1" fillId="7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0" fontId="2" numFmtId="0" xfId="0" applyBorder="1" applyFill="1" applyFont="1"/>
    <xf borderId="1" fillId="10" fontId="2" numFmtId="3" xfId="0" applyBorder="1" applyFill="1" applyFont="1" applyNumberFormat="1"/>
    <xf borderId="1" fillId="10" fontId="2" numFmtId="167" xfId="0" applyBorder="1" applyFill="1" applyFont="1" applyNumberFormat="1"/>
    <xf borderId="2" fillId="10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10" fontId="2" numFmtId="3" xfId="0" applyAlignment="1" applyBorder="1" applyFill="1" applyFont="1" applyNumberFormat="1">
      <alignment horizontal="center" readingOrder="0"/>
    </xf>
    <xf borderId="1" fillId="10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10" fontId="2" numFmtId="0" xfId="0" applyAlignment="1" applyFill="1" applyFont="1">
      <alignment readingOrder="0"/>
    </xf>
    <xf borderId="0" fillId="0" fontId="2" numFmtId="0" xfId="0" applyFont="1"/>
    <xf borderId="0" fillId="0" fontId="11" numFmtId="0" xfId="0" applyAlignment="1" applyFont="1">
      <alignment horizontal="right" vertical="bottom"/>
    </xf>
    <xf borderId="0" fillId="0" fontId="2" numFmtId="170" xfId="0" applyAlignment="1" applyFont="1" applyNumberFormat="1">
      <alignment readingOrder="0"/>
    </xf>
    <xf borderId="0" fillId="0" fontId="2" numFmtId="171" xfId="0" applyFont="1" applyNumberFormat="1"/>
    <xf borderId="0" fillId="11" fontId="11" numFmtId="0" xfId="0" applyAlignment="1" applyFill="1" applyFont="1">
      <alignment horizontal="right" vertical="bottom"/>
    </xf>
    <xf borderId="0" fillId="10" fontId="2" numFmtId="0" xfId="0" applyFill="1" applyFont="1"/>
    <xf borderId="0" fillId="11" fontId="2" numFmtId="0" xfId="0" applyFill="1" applyFont="1"/>
    <xf borderId="0" fillId="0" fontId="2" numFmtId="164" xfId="0" applyAlignment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readingOrder="0" vertical="center"/>
    </xf>
    <xf borderId="6" fillId="0" fontId="9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readingOrder="0"/>
    </xf>
    <xf borderId="0" fillId="0" fontId="12" numFmtId="0" xfId="0" applyAlignment="1" applyFont="1">
      <alignment readingOrder="0"/>
    </xf>
    <xf borderId="1" fillId="3" fontId="10" numFmtId="167" xfId="0" applyAlignment="1" applyBorder="1" applyFill="1" applyFont="1" applyNumberFormat="1">
      <alignment readingOrder="0" vertical="bottom"/>
    </xf>
    <xf borderId="1" fillId="8" fontId="10" numFmtId="167" xfId="0" applyAlignment="1" applyBorder="1" applyFill="1" applyFont="1" applyNumberFormat="1">
      <alignment readingOrder="0" vertical="bottom"/>
    </xf>
    <xf borderId="1" fillId="7" fontId="10" numFmtId="167" xfId="0" applyAlignment="1" applyBorder="1" applyFill="1" applyFont="1" applyNumberFormat="1">
      <alignment readingOrder="0" vertical="bottom"/>
    </xf>
    <xf borderId="1" fillId="4" fontId="10" numFmtId="167" xfId="0" applyAlignment="1" applyBorder="1" applyFill="1" applyFont="1" applyNumberFormat="1">
      <alignment readingOrder="0" vertical="bottom"/>
    </xf>
    <xf quotePrefix="1" borderId="1" fillId="12" fontId="10" numFmtId="0" xfId="0" applyAlignment="1" applyBorder="1" applyFill="1" applyFont="1">
      <alignment readingOrder="0" vertical="bottom"/>
    </xf>
    <xf quotePrefix="1" borderId="1" fillId="0" fontId="10" numFmtId="0" xfId="0" applyAlignment="1" applyBorder="1" applyFont="1">
      <alignment readingOrder="0" vertical="bottom"/>
    </xf>
    <xf quotePrefix="1" borderId="1" fillId="13" fontId="10" numFmtId="0" xfId="0" applyAlignment="1" applyBorder="1" applyFill="1" applyFont="1">
      <alignment readingOrder="0" vertical="bottom"/>
    </xf>
    <xf quotePrefix="1" borderId="1" fillId="14" fontId="10" numFmtId="0" xfId="0" applyAlignment="1" applyBorder="1" applyFill="1" applyFont="1">
      <alignment readingOrder="0" vertical="bottom"/>
    </xf>
    <xf borderId="0" fillId="0" fontId="1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12" fontId="2" numFmtId="0" xfId="0" applyAlignment="1" applyBorder="1" applyFill="1" applyFont="1">
      <alignment readingOrder="0"/>
    </xf>
    <xf borderId="1" fillId="12" fontId="2" numFmtId="0" xfId="0" applyBorder="1" applyFill="1" applyFont="1"/>
    <xf borderId="0" fillId="0" fontId="14" numFmtId="0" xfId="0" applyAlignment="1" applyFont="1">
      <alignment readingOrder="0"/>
    </xf>
    <xf borderId="1" fillId="12" fontId="2" numFmtId="0" xfId="0" applyAlignment="1" applyBorder="1" applyFill="1" applyFont="1">
      <alignment horizontal="center" readingOrder="0"/>
    </xf>
    <xf borderId="0" fillId="0" fontId="2" numFmtId="164" xfId="0" applyFont="1" applyNumberFormat="1"/>
    <xf borderId="2" fillId="10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1" fillId="0" fontId="2" numFmtId="49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/>
    </xf>
    <xf borderId="0" fillId="4" fontId="4" numFmtId="165" xfId="0" applyAlignment="1" applyFill="1" applyFont="1" applyNumberForma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2" fillId="10" fontId="16" numFmtId="0" xfId="0" applyAlignment="1" applyBorder="1" applyFill="1" applyFont="1">
      <alignment horizontal="center" readingOrder="0" vertical="bottom"/>
    </xf>
    <xf borderId="2" fillId="0" fontId="17" numFmtId="0" xfId="0" applyAlignment="1" applyBorder="1" applyFont="1">
      <alignment readingOrder="0"/>
    </xf>
    <xf borderId="1" fillId="0" fontId="17" numFmtId="0" xfId="0" applyBorder="1" applyFont="1"/>
    <xf borderId="0" fillId="0" fontId="17" numFmtId="9" xfId="0" applyFont="1" applyNumberFormat="1"/>
    <xf borderId="2" fillId="10" fontId="10" numFmtId="0" xfId="0" applyAlignment="1" applyBorder="1" applyFill="1" applyFont="1">
      <alignment readingOrder="0" vertical="bottom"/>
    </xf>
    <xf borderId="2" fillId="15" fontId="17" numFmtId="0" xfId="0" applyAlignment="1" applyBorder="1" applyFill="1" applyFont="1">
      <alignment readingOrder="0"/>
    </xf>
    <xf borderId="1" fillId="15" fontId="17" numFmtId="0" xfId="0" applyAlignment="1" applyBorder="1" applyFill="1" applyFont="1">
      <alignment readingOrder="0"/>
    </xf>
    <xf borderId="2" fillId="10" fontId="10" numFmtId="0" xfId="0" applyAlignment="1" applyBorder="1" applyFill="1" applyFont="1">
      <alignment horizontal="center" readingOrder="0" vertical="bottom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vertical="bottom"/>
    </xf>
    <xf borderId="1" fillId="0" fontId="10" numFmtId="167" xfId="0" applyAlignment="1" applyBorder="1" applyFont="1" applyNumberFormat="1">
      <alignment horizontal="center" readingOrder="0" vertical="bottom"/>
    </xf>
    <xf borderId="0" fillId="0" fontId="5" numFmtId="0" xfId="0" applyFont="1"/>
    <xf borderId="0" fillId="0" fontId="5" numFmtId="0" xfId="0" applyAlignment="1" applyFont="1">
      <alignment horizontal="center"/>
    </xf>
    <xf borderId="2" fillId="10" fontId="10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vertical="center" wrapText="1"/>
    </xf>
    <xf borderId="1" fillId="0" fontId="10" numFmtId="3" xfId="0" applyAlignment="1" applyBorder="1" applyFont="1" applyNumberFormat="1">
      <alignment horizontal="center" readingOrder="0" vertical="bottom"/>
    </xf>
    <xf borderId="1" fillId="10" fontId="10" numFmtId="167" xfId="0" applyAlignment="1" applyBorder="1" applyFill="1" applyFont="1" applyNumberFormat="1">
      <alignment horizontal="center" readingOrder="0" vertical="bottom"/>
    </xf>
    <xf borderId="1" fillId="10" fontId="10" numFmtId="0" xfId="0" applyAlignment="1" applyBorder="1" applyFill="1" applyFont="1">
      <alignment readingOrder="0" vertical="bottom"/>
    </xf>
    <xf borderId="1" fillId="10" fontId="10" numFmtId="3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0" fontId="5" numFmtId="0" xfId="0" applyAlignment="1" applyBorder="1" applyFont="1">
      <alignment horizontal="right" readingOrder="0"/>
    </xf>
    <xf borderId="2" fillId="0" fontId="5" numFmtId="0" xfId="0" applyAlignment="1" applyBorder="1" applyFont="1">
      <alignment horizontal="left"/>
    </xf>
    <xf borderId="1" fillId="7" fontId="10" numFmtId="0" xfId="0" applyAlignment="1" applyBorder="1" applyFill="1" applyFont="1">
      <alignment readingOrder="0" vertical="bottom"/>
    </xf>
    <xf borderId="1" fillId="0" fontId="10" numFmtId="167" xfId="0" applyAlignment="1" applyBorder="1" applyFont="1" applyNumberFormat="1">
      <alignment readingOrder="0" vertical="bottom"/>
    </xf>
    <xf borderId="0" fillId="13" fontId="11" numFmtId="0" xfId="0" applyAlignment="1" applyFill="1" applyFont="1">
      <alignment vertical="bottom"/>
    </xf>
    <xf borderId="1" fillId="0" fontId="10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8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Q1:AS44" sheet="Courts"/>
  </cacheSource>
  <cacheFields>
    <cacheField name="court #" numFmtId="3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</sharedItems>
    </cacheField>
    <cacheField name="Admin" numFmtId="0">
      <sharedItems containsSemiMixedTypes="0" containsString="0" containsNumber="1" containsInteger="1">
        <n v="0.0"/>
      </sharedItems>
    </cacheField>
    <cacheField name="Players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rts" cacheId="0" dataCaption="" rowGrandTotals="0" compact="0" compactData="0">
  <location ref="AM72:AO83" firstHeaderRow="0" firstDataRow="2" firstDataCol="0"/>
  <pivotFields>
    <pivotField name="court #" axis="axisRow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dmin" dataField="1" compact="0" outline="0" multipleItemSelectionAllowed="1" showAll="0">
      <items>
        <item x="0"/>
        <item t="default"/>
      </items>
    </pivotField>
    <pivotField name="Players" dataField="1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Admin" fld="1" baseField="0"/>
    <dataField name="SUM of Player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UNihKDsfyFa4fNP2N5396IF8z8xvZvQ_L3trN38QkY/edit?usp=sharing" TargetMode="External"/><Relationship Id="rId2" Type="http://schemas.openxmlformats.org/officeDocument/2006/relationships/hyperlink" Target="https://docs.google.com/spreadsheets/d/1QDk60z4777LPlaSPBwWYpeNeLnqgdd2MQJU6vd-hd_4/edit?usp=sharing" TargetMode="External"/><Relationship Id="rId3" Type="http://schemas.openxmlformats.org/officeDocument/2006/relationships/hyperlink" Target="https://docs.google.com/spreadsheets/d/1uxj86lWZFTL9-Zv75JGDyYfCqUcadLu_U_MGAVviSuQ/edit?usp=sharing" TargetMode="External"/><Relationship Id="rId4" Type="http://schemas.openxmlformats.org/officeDocument/2006/relationships/hyperlink" Target="https://docs.google.com/spreadsheets/d/1GS-tLUvLpVtYDOelfK6gagVwQI3hClqqceSt6t1FV_s/edit?usp=sharing" TargetMode="External"/><Relationship Id="rId5" Type="http://schemas.openxmlformats.org/officeDocument/2006/relationships/hyperlink" Target="https://docs.google.com/spreadsheets/d/1zzKx3nCHBcamP1wqoido72i680-HwziJfKLnaI1_YRM/edit?usp=sharing" TargetMode="External"/><Relationship Id="rId6" Type="http://schemas.openxmlformats.org/officeDocument/2006/relationships/hyperlink" Target="https://docs.google.com/spreadsheets/d/166FZcMJ0hR3tcmk-ZaafrMtT4ta8-zONapuqmUawt8E/edit?usp=sharing" TargetMode="External"/><Relationship Id="rId7" Type="http://schemas.openxmlformats.org/officeDocument/2006/relationships/hyperlink" Target="https://docs.google.com/spreadsheets/d/1zo0qtSAykrh9gXUKoa7KzOMSxwQ44irfwsLANHM8gI8/edit?usp=sharing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UTCWaitLis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8">
        <v>46305.0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15.0</v>
      </c>
      <c r="E2" s="2"/>
      <c r="F2" s="2"/>
      <c r="R2" s="19"/>
      <c r="AC2" s="23" t="str">
        <f>text(C1,"mm/dd/yy")</f>
        <v>10/10/26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52</v>
      </c>
      <c r="C5" s="37">
        <v>223.0</v>
      </c>
      <c r="D5" s="37">
        <v>22.0</v>
      </c>
      <c r="E5" s="42">
        <f t="shared" ref="E5:E71" si="2">if(S5&gt;0,(C5-(V5*9)-(T5*13))/S5,0)</f>
        <v>15.15384615</v>
      </c>
      <c r="F5" s="43">
        <f>if(isna(VLOOKUP(B5,Checkin!A:B,2,false)),0,VLOOKUP(B5,Checkin!A:B,2,false))</f>
        <v>0</v>
      </c>
      <c r="G5" s="44">
        <f>if(OR($F5=1, $F5=2),VLOOKUP($B5,Courts!$B$2:$K$50,10,false),0)</f>
        <v>0</v>
      </c>
      <c r="H5" s="46">
        <f t="shared" ref="H5:H71" si="3">IF(OR(F5=3,F5=4),9,IF(F5=5,13,0))</f>
        <v>0</v>
      </c>
      <c r="I5" s="44">
        <f>if(OR($F5=1, $F5=2),VLOOKUP($B5,Courts!$B$2:$J$50,5,false),0)</f>
        <v>0</v>
      </c>
      <c r="J5" s="44">
        <f>if(OR($F5=1, $F5=2),VLOOKUP($B5,Courts!$B$2:$J$50,6,false),0)</f>
        <v>0</v>
      </c>
      <c r="K5" s="44">
        <f>if(OR($F5=1, $F5=2),VLOOKUP($B5,Courts!$B$2:$J$50,7,false),0)</f>
        <v>0</v>
      </c>
      <c r="L5" s="48">
        <f t="shared" ref="L5:L71" si="4">H5+I5+J5+K5</f>
        <v>0</v>
      </c>
      <c r="M5" s="44">
        <f>if(OR($F5=1, $F5=2),VLOOKUP($B5,Courts!$B$2:$J$50,9,false),0)</f>
        <v>0</v>
      </c>
      <c r="N5" s="37">
        <f t="shared" ref="N5:O5" si="1">C5+L5</f>
        <v>223</v>
      </c>
      <c r="O5" s="37">
        <f t="shared" si="1"/>
        <v>22</v>
      </c>
      <c r="P5" s="50" t="s">
        <v>60</v>
      </c>
      <c r="Q5" s="50" t="s">
        <v>60</v>
      </c>
      <c r="R5" s="50" t="s">
        <v>60</v>
      </c>
      <c r="S5" s="51">
        <f t="shared" ref="S5:S71" si="6">vlookup(B5,indirect("'" &amp; AC$2 &amp; "'!B5:W71"),18,false)++if(text(C$1,"mm/dd/yy")=$AC$2,0,if(H5&gt;0,0,1))</f>
        <v>13</v>
      </c>
      <c r="T5" s="52">
        <f t="shared" ref="T5:T71" si="7">if(H5=13,1,0)+vlookup(B5,indirect("'" &amp; AC$2 &amp; "'!B5:W71"),19,false)</f>
        <v>2</v>
      </c>
      <c r="U5" s="52"/>
      <c r="V5" s="51">
        <f t="shared" ref="V5:V71" si="8">vlookup(B5,indirect("'" &amp; AC$2 &amp; "'!B5:W71"),21,false)+if(text(C$1,"mm/dd/yy")=$AC$2,0,if(H5=9,1,0))</f>
        <v>0</v>
      </c>
      <c r="W5" s="52">
        <f t="shared" ref="W5:W71" si="9">vlookup(B5,indirect("'" &amp; AC$2 &amp; "'!B5:x71"),23,false)-X5</f>
        <v>1</v>
      </c>
      <c r="X5" s="35">
        <v>1.0</v>
      </c>
      <c r="Y5" s="35" t="str">
        <f t="shared" ref="Y5:Y71" si="10">if(S5=D$2,"Y","N")</f>
        <v>N</v>
      </c>
      <c r="Z5" s="22" t="str">
        <f t="shared" ref="Z5:Z71" si="11">if($D$2=sum(S5:V5),"","Error")</f>
        <v/>
      </c>
    </row>
    <row r="6">
      <c r="A6" s="35">
        <f t="shared" ref="A6:A71" si="12">A5+1</f>
        <v>2</v>
      </c>
      <c r="B6" s="36" t="s">
        <v>68</v>
      </c>
      <c r="C6" s="37">
        <v>222.0</v>
      </c>
      <c r="D6" s="37">
        <v>24.0</v>
      </c>
      <c r="E6" s="42">
        <f t="shared" si="2"/>
        <v>16.90909091</v>
      </c>
      <c r="F6" s="43">
        <f>if(isna(VLOOKUP(B6,Checkin!A:B,2,false)),0,VLOOKUP(B6,Checkin!A:B,2,false))</f>
        <v>0</v>
      </c>
      <c r="G6" s="44">
        <f>if(OR($F6=1, $F6=2),VLOOKUP($B6,Courts!$B$2:$K$50,10,false),0)</f>
        <v>0</v>
      </c>
      <c r="H6" s="46">
        <f t="shared" si="3"/>
        <v>0</v>
      </c>
      <c r="I6" s="44">
        <f>if(OR($F6=1, $F6=2),VLOOKUP($B6,Courts!$B$2:$J$50,5,false),0)</f>
        <v>0</v>
      </c>
      <c r="J6" s="44">
        <f>if(OR($F6=1, $F6=2),VLOOKUP($B6,Courts!$B$2:$J$50,6,false),0)</f>
        <v>0</v>
      </c>
      <c r="K6" s="44">
        <f>if(OR($F6=1, $F6=2),VLOOKUP($B6,Courts!$B$2:$J$50,7,false),0)</f>
        <v>0</v>
      </c>
      <c r="L6" s="48">
        <f t="shared" si="4"/>
        <v>0</v>
      </c>
      <c r="M6" s="44">
        <f>if(OR($F6=1, $F6=2),VLOOKUP($B6,Courts!$B$2:$J$50,9,false),0)</f>
        <v>0</v>
      </c>
      <c r="N6" s="37">
        <f t="shared" ref="N6:O6" si="5">C6+L6</f>
        <v>222</v>
      </c>
      <c r="O6" s="37">
        <f t="shared" si="5"/>
        <v>24</v>
      </c>
      <c r="P6" s="50" t="s">
        <v>60</v>
      </c>
      <c r="Q6" s="50" t="s">
        <v>60</v>
      </c>
      <c r="R6" s="50" t="s">
        <v>60</v>
      </c>
      <c r="S6" s="51">
        <f t="shared" si="6"/>
        <v>11</v>
      </c>
      <c r="T6" s="52">
        <f t="shared" si="7"/>
        <v>0</v>
      </c>
      <c r="U6" s="52"/>
      <c r="V6" s="51">
        <f t="shared" si="8"/>
        <v>4</v>
      </c>
      <c r="W6" s="52">
        <f t="shared" si="9"/>
        <v>-1</v>
      </c>
      <c r="X6" s="35">
        <f t="shared" ref="X6:X71" si="14">X5+1</f>
        <v>2</v>
      </c>
      <c r="Y6" s="35" t="str">
        <f t="shared" si="10"/>
        <v>N</v>
      </c>
      <c r="Z6" s="22" t="str">
        <f t="shared" si="11"/>
        <v/>
      </c>
    </row>
    <row r="7">
      <c r="A7" s="35">
        <f t="shared" si="12"/>
        <v>3</v>
      </c>
      <c r="B7" s="36" t="s">
        <v>74</v>
      </c>
      <c r="C7" s="37">
        <v>218.0</v>
      </c>
      <c r="D7" s="37">
        <v>22.0</v>
      </c>
      <c r="E7" s="42">
        <f t="shared" si="2"/>
        <v>15.07692308</v>
      </c>
      <c r="F7" s="43">
        <f>if(isna(VLOOKUP(B7,Checkin!A:B,2,false)),0,VLOOKUP(B7,Checkin!A:B,2,false))</f>
        <v>0</v>
      </c>
      <c r="G7" s="44">
        <f>if(OR($F7=1, $F7=2),VLOOKUP($B7,Courts!$B$2:$K$50,10,false),0)</f>
        <v>0</v>
      </c>
      <c r="H7" s="46">
        <f t="shared" si="3"/>
        <v>0</v>
      </c>
      <c r="I7" s="44">
        <f>if(OR($F7=1, $F7=2),VLOOKUP($B7,Courts!$B$2:$J$50,5,false),0)</f>
        <v>0</v>
      </c>
      <c r="J7" s="44">
        <f>if(OR($F7=1, $F7=2),VLOOKUP($B7,Courts!$B$2:$J$50,6,false),0)</f>
        <v>0</v>
      </c>
      <c r="K7" s="44">
        <f>if(OR($F7=1, $F7=2),VLOOKUP($B7,Courts!$B$2:$J$50,7,false),0)</f>
        <v>0</v>
      </c>
      <c r="L7" s="48">
        <f t="shared" si="4"/>
        <v>0</v>
      </c>
      <c r="M7" s="44">
        <f>if(OR($F7=1, $F7=2),VLOOKUP($B7,Courts!$B$2:$J$50,9,false),0)</f>
        <v>0</v>
      </c>
      <c r="N7" s="37">
        <f t="shared" ref="N7:O7" si="13">C7+L7</f>
        <v>218</v>
      </c>
      <c r="O7" s="37">
        <f t="shared" si="13"/>
        <v>22</v>
      </c>
      <c r="P7" s="50" t="s">
        <v>60</v>
      </c>
      <c r="Q7" s="50" t="s">
        <v>60</v>
      </c>
      <c r="R7" s="50" t="s">
        <v>60</v>
      </c>
      <c r="S7" s="51">
        <f t="shared" si="6"/>
        <v>13</v>
      </c>
      <c r="T7" s="52">
        <f t="shared" si="7"/>
        <v>1</v>
      </c>
      <c r="U7" s="52"/>
      <c r="V7" s="51">
        <f t="shared" si="8"/>
        <v>1</v>
      </c>
      <c r="W7" s="52">
        <f t="shared" si="9"/>
        <v>0</v>
      </c>
      <c r="X7" s="35">
        <f t="shared" si="14"/>
        <v>3</v>
      </c>
      <c r="Y7" s="35" t="str">
        <f t="shared" si="10"/>
        <v>N</v>
      </c>
      <c r="Z7" s="22" t="str">
        <f t="shared" si="11"/>
        <v/>
      </c>
    </row>
    <row r="8">
      <c r="A8" s="35">
        <f t="shared" si="12"/>
        <v>4</v>
      </c>
      <c r="B8" s="36" t="s">
        <v>80</v>
      </c>
      <c r="C8" s="37">
        <v>217.0</v>
      </c>
      <c r="D8" s="37">
        <v>19.0</v>
      </c>
      <c r="E8" s="42">
        <f t="shared" si="2"/>
        <v>16.4</v>
      </c>
      <c r="F8" s="43">
        <f>if(isna(VLOOKUP(B8,Checkin!A:B,2,false)),0,VLOOKUP(B8,Checkin!A:B,2,false))</f>
        <v>0</v>
      </c>
      <c r="G8" s="44">
        <f>if(OR($F8=1, $F8=2),VLOOKUP($B8,Courts!$B$2:$K$50,10,false),0)</f>
        <v>0</v>
      </c>
      <c r="H8" s="46">
        <f t="shared" si="3"/>
        <v>0</v>
      </c>
      <c r="I8" s="44">
        <f>if(OR($F8=1, $F8=2),VLOOKUP($B8,Courts!$B$2:$J$50,5,false),0)</f>
        <v>0</v>
      </c>
      <c r="J8" s="44">
        <f>if(OR($F8=1, $F8=2),VLOOKUP($B8,Courts!$B$2:$J$50,6,false),0)</f>
        <v>0</v>
      </c>
      <c r="K8" s="44">
        <f>if(OR($F8=1, $F8=2),VLOOKUP($B8,Courts!$B$2:$J$50,7,false),0)</f>
        <v>0</v>
      </c>
      <c r="L8" s="48">
        <f t="shared" si="4"/>
        <v>0</v>
      </c>
      <c r="M8" s="44">
        <f>if(OR($F8=1, $F8=2),VLOOKUP($B8,Courts!$B$2:$J$50,9,false),0)</f>
        <v>0</v>
      </c>
      <c r="N8" s="37">
        <f t="shared" ref="N8:O8" si="15">C8+L8</f>
        <v>217</v>
      </c>
      <c r="O8" s="37">
        <f t="shared" si="15"/>
        <v>19</v>
      </c>
      <c r="P8" s="50" t="s">
        <v>60</v>
      </c>
      <c r="Q8" s="50" t="s">
        <v>60</v>
      </c>
      <c r="R8" s="50" t="s">
        <v>60</v>
      </c>
      <c r="S8" s="51">
        <f t="shared" si="6"/>
        <v>10</v>
      </c>
      <c r="T8" s="52">
        <f t="shared" si="7"/>
        <v>2</v>
      </c>
      <c r="U8" s="52"/>
      <c r="V8" s="51">
        <f t="shared" si="8"/>
        <v>3</v>
      </c>
      <c r="W8" s="52">
        <f t="shared" si="9"/>
        <v>2</v>
      </c>
      <c r="X8" s="35">
        <f t="shared" si="14"/>
        <v>4</v>
      </c>
      <c r="Y8" s="35" t="str">
        <f t="shared" si="10"/>
        <v>N</v>
      </c>
      <c r="Z8" s="22" t="str">
        <f t="shared" si="11"/>
        <v/>
      </c>
    </row>
    <row r="9">
      <c r="A9" s="35">
        <f t="shared" si="12"/>
        <v>5</v>
      </c>
      <c r="B9" s="36" t="s">
        <v>85</v>
      </c>
      <c r="C9" s="37">
        <v>216.0</v>
      </c>
      <c r="D9" s="37">
        <v>24.0</v>
      </c>
      <c r="E9" s="42">
        <f t="shared" si="2"/>
        <v>16.3</v>
      </c>
      <c r="F9" s="43">
        <f>if(isna(VLOOKUP(B9,Checkin!A:B,2,false)),0,VLOOKUP(B9,Checkin!A:B,2,false))</f>
        <v>0</v>
      </c>
      <c r="G9" s="44">
        <f>if(OR($F9=1, $F9=2),VLOOKUP($B9,Courts!$B$2:$K$50,10,false),0)</f>
        <v>0</v>
      </c>
      <c r="H9" s="46">
        <f t="shared" si="3"/>
        <v>0</v>
      </c>
      <c r="I9" s="44">
        <f>if(OR($F9=1, $F9=2),VLOOKUP($B9,Courts!$B$2:$J$50,5,false),0)</f>
        <v>0</v>
      </c>
      <c r="J9" s="44">
        <f>if(OR($F9=1, $F9=2),VLOOKUP($B9,Courts!$B$2:$J$50,6,false),0)</f>
        <v>0</v>
      </c>
      <c r="K9" s="44">
        <f>if(OR($F9=1, $F9=2),VLOOKUP($B9,Courts!$B$2:$J$50,7,false),0)</f>
        <v>0</v>
      </c>
      <c r="L9" s="48">
        <f t="shared" si="4"/>
        <v>0</v>
      </c>
      <c r="M9" s="44">
        <f>if(OR($F9=1, $F9=2),VLOOKUP($B9,Courts!$B$2:$J$50,9,false),0)</f>
        <v>0</v>
      </c>
      <c r="N9" s="37">
        <f t="shared" ref="N9:O9" si="16">C9+L9</f>
        <v>216</v>
      </c>
      <c r="O9" s="37">
        <f t="shared" si="16"/>
        <v>24</v>
      </c>
      <c r="P9" s="50" t="s">
        <v>60</v>
      </c>
      <c r="Q9" s="50" t="s">
        <v>60</v>
      </c>
      <c r="R9" s="50" t="s">
        <v>60</v>
      </c>
      <c r="S9" s="51">
        <f t="shared" si="6"/>
        <v>10</v>
      </c>
      <c r="T9" s="52">
        <f t="shared" si="7"/>
        <v>2</v>
      </c>
      <c r="U9" s="52"/>
      <c r="V9" s="51">
        <f t="shared" si="8"/>
        <v>3</v>
      </c>
      <c r="W9" s="52">
        <f t="shared" si="9"/>
        <v>-1</v>
      </c>
      <c r="X9" s="35">
        <f t="shared" si="14"/>
        <v>5</v>
      </c>
      <c r="Y9" s="35" t="str">
        <f t="shared" si="10"/>
        <v>N</v>
      </c>
      <c r="Z9" s="22" t="str">
        <f t="shared" si="11"/>
        <v/>
      </c>
    </row>
    <row r="10">
      <c r="A10" s="35">
        <f t="shared" si="12"/>
        <v>6</v>
      </c>
      <c r="B10" s="36" t="s">
        <v>88</v>
      </c>
      <c r="C10" s="37">
        <v>210.0</v>
      </c>
      <c r="D10" s="37">
        <v>21.0</v>
      </c>
      <c r="E10" s="42">
        <f t="shared" si="2"/>
        <v>14.46153846</v>
      </c>
      <c r="F10" s="43">
        <f>if(isna(VLOOKUP(B10,Checkin!A:B,2,false)),0,VLOOKUP(B10,Checkin!A:B,2,false))</f>
        <v>0</v>
      </c>
      <c r="G10" s="44">
        <f>if(OR($F10=1, $F10=2),VLOOKUP($B10,Courts!$B$2:$K$50,10,false),0)</f>
        <v>0</v>
      </c>
      <c r="H10" s="46">
        <f t="shared" si="3"/>
        <v>0</v>
      </c>
      <c r="I10" s="44">
        <f>if(OR($F10=1, $F10=2),VLOOKUP($B10,Courts!$B$2:$J$50,5,false),0)</f>
        <v>0</v>
      </c>
      <c r="J10" s="44">
        <f>if(OR($F10=1, $F10=2),VLOOKUP($B10,Courts!$B$2:$J$50,6,false),0)</f>
        <v>0</v>
      </c>
      <c r="K10" s="44">
        <f>if(OR($F10=1, $F10=2),VLOOKUP($B10,Courts!$B$2:$J$50,7,false),0)</f>
        <v>0</v>
      </c>
      <c r="L10" s="48">
        <f t="shared" si="4"/>
        <v>0</v>
      </c>
      <c r="M10" s="44">
        <f>if(OR($F10=1, $F10=2),VLOOKUP($B10,Courts!$B$2:$J$50,9,false),0)</f>
        <v>0</v>
      </c>
      <c r="N10" s="37">
        <f t="shared" ref="N10:O10" si="17">C10+L10</f>
        <v>210</v>
      </c>
      <c r="O10" s="37">
        <f t="shared" si="17"/>
        <v>21</v>
      </c>
      <c r="P10" s="50" t="s">
        <v>60</v>
      </c>
      <c r="Q10" s="50" t="s">
        <v>60</v>
      </c>
      <c r="R10" s="50" t="s">
        <v>60</v>
      </c>
      <c r="S10" s="51">
        <f t="shared" si="6"/>
        <v>13</v>
      </c>
      <c r="T10" s="52">
        <f t="shared" si="7"/>
        <v>1</v>
      </c>
      <c r="U10" s="52"/>
      <c r="V10" s="51">
        <f t="shared" si="8"/>
        <v>1</v>
      </c>
      <c r="W10" s="52">
        <f t="shared" si="9"/>
        <v>-1</v>
      </c>
      <c r="X10" s="35">
        <f t="shared" si="14"/>
        <v>6</v>
      </c>
      <c r="Y10" s="35" t="str">
        <f t="shared" si="10"/>
        <v>N</v>
      </c>
      <c r="Z10" s="22" t="str">
        <f t="shared" si="11"/>
        <v/>
      </c>
    </row>
    <row r="11">
      <c r="A11" s="35">
        <f t="shared" si="12"/>
        <v>7</v>
      </c>
      <c r="B11" s="36" t="s">
        <v>91</v>
      </c>
      <c r="C11" s="37">
        <v>210.0</v>
      </c>
      <c r="D11" s="37">
        <v>15.0</v>
      </c>
      <c r="E11" s="42">
        <f t="shared" si="2"/>
        <v>15.55555556</v>
      </c>
      <c r="F11" s="43">
        <f>if(isna(VLOOKUP(B11,Checkin!A:B,2,false)),0,VLOOKUP(B11,Checkin!A:B,2,false))</f>
        <v>0</v>
      </c>
      <c r="G11" s="44">
        <f>if(OR($F11=1, $F11=2),VLOOKUP($B11,Courts!$B$2:$K$50,10,false),0)</f>
        <v>0</v>
      </c>
      <c r="H11" s="46">
        <f t="shared" si="3"/>
        <v>0</v>
      </c>
      <c r="I11" s="44">
        <f>if(OR($F11=1, $F11=2),VLOOKUP($B11,Courts!$B$2:$J$50,5,false),0)</f>
        <v>0</v>
      </c>
      <c r="J11" s="44">
        <f>if(OR($F11=1, $F11=2),VLOOKUP($B11,Courts!$B$2:$J$50,6,false),0)</f>
        <v>0</v>
      </c>
      <c r="K11" s="44">
        <f>if(OR($F11=1, $F11=2),VLOOKUP($B11,Courts!$B$2:$J$50,7,false),0)</f>
        <v>0</v>
      </c>
      <c r="L11" s="48">
        <f t="shared" si="4"/>
        <v>0</v>
      </c>
      <c r="M11" s="44">
        <f>if(OR($F11=1, $F11=2),VLOOKUP($B11,Courts!$B$2:$J$50,9,false),0)</f>
        <v>0</v>
      </c>
      <c r="N11" s="37">
        <f t="shared" ref="N11:O11" si="18">C11+L11</f>
        <v>210</v>
      </c>
      <c r="O11" s="37">
        <f t="shared" si="18"/>
        <v>15</v>
      </c>
      <c r="P11" s="50" t="s">
        <v>60</v>
      </c>
      <c r="Q11" s="50" t="s">
        <v>60</v>
      </c>
      <c r="R11" s="50" t="s">
        <v>60</v>
      </c>
      <c r="S11" s="51">
        <f t="shared" si="6"/>
        <v>9</v>
      </c>
      <c r="T11" s="52">
        <f t="shared" si="7"/>
        <v>4</v>
      </c>
      <c r="U11" s="52"/>
      <c r="V11" s="51">
        <f t="shared" si="8"/>
        <v>2</v>
      </c>
      <c r="W11" s="52">
        <f t="shared" si="9"/>
        <v>2</v>
      </c>
      <c r="X11" s="35">
        <f t="shared" si="14"/>
        <v>7</v>
      </c>
      <c r="Y11" s="35" t="str">
        <f t="shared" si="10"/>
        <v>N</v>
      </c>
      <c r="Z11" s="22" t="str">
        <f t="shared" si="11"/>
        <v/>
      </c>
    </row>
    <row r="12">
      <c r="A12" s="35">
        <f t="shared" si="12"/>
        <v>8</v>
      </c>
      <c r="B12" s="36" t="s">
        <v>93</v>
      </c>
      <c r="C12" s="37">
        <v>206.0</v>
      </c>
      <c r="D12" s="37">
        <v>14.0</v>
      </c>
      <c r="E12" s="42">
        <f t="shared" si="2"/>
        <v>15.375</v>
      </c>
      <c r="F12" s="43">
        <f>if(isna(VLOOKUP(B12,Checkin!A:B,2,false)),0,VLOOKUP(B12,Checkin!A:B,2,false))</f>
        <v>0</v>
      </c>
      <c r="G12" s="44">
        <f>if(OR($F12=1, $F12=2),VLOOKUP($B12,Courts!$B$2:$K$50,10,false),0)</f>
        <v>0</v>
      </c>
      <c r="H12" s="46">
        <f t="shared" si="3"/>
        <v>0</v>
      </c>
      <c r="I12" s="44">
        <f>if(OR($F12=1, $F12=2),VLOOKUP($B12,Courts!$B$2:$J$50,5,false),0)</f>
        <v>0</v>
      </c>
      <c r="J12" s="44">
        <f>if(OR($F12=1, $F12=2),VLOOKUP($B12,Courts!$B$2:$J$50,6,false),0)</f>
        <v>0</v>
      </c>
      <c r="K12" s="44">
        <f>if(OR($F12=1, $F12=2),VLOOKUP($B12,Courts!$B$2:$J$50,7,false),0)</f>
        <v>0</v>
      </c>
      <c r="L12" s="48">
        <f t="shared" si="4"/>
        <v>0</v>
      </c>
      <c r="M12" s="44">
        <f>if(OR($F12=1, $F12=2),VLOOKUP($B12,Courts!$B$2:$J$50,9,false),0)</f>
        <v>0</v>
      </c>
      <c r="N12" s="37">
        <f t="shared" ref="N12:O12" si="19">C12+L12</f>
        <v>206</v>
      </c>
      <c r="O12" s="37">
        <f t="shared" si="19"/>
        <v>14</v>
      </c>
      <c r="P12" s="50" t="s">
        <v>60</v>
      </c>
      <c r="Q12" s="50" t="s">
        <v>60</v>
      </c>
      <c r="R12" s="50" t="s">
        <v>60</v>
      </c>
      <c r="S12" s="51">
        <f t="shared" si="6"/>
        <v>8</v>
      </c>
      <c r="T12" s="52">
        <f t="shared" si="7"/>
        <v>5</v>
      </c>
      <c r="U12" s="52"/>
      <c r="V12" s="51">
        <f t="shared" si="8"/>
        <v>2</v>
      </c>
      <c r="W12" s="52">
        <f t="shared" si="9"/>
        <v>4</v>
      </c>
      <c r="X12" s="35">
        <f t="shared" si="14"/>
        <v>8</v>
      </c>
      <c r="Y12" s="35" t="str">
        <f t="shared" si="10"/>
        <v>N</v>
      </c>
      <c r="Z12" s="22" t="str">
        <f t="shared" si="11"/>
        <v/>
      </c>
    </row>
    <row r="13">
      <c r="A13" s="35">
        <f t="shared" si="12"/>
        <v>9</v>
      </c>
      <c r="B13" s="36" t="s">
        <v>97</v>
      </c>
      <c r="C13" s="37">
        <v>205.0</v>
      </c>
      <c r="D13" s="37">
        <v>16.0</v>
      </c>
      <c r="E13" s="42">
        <f t="shared" si="2"/>
        <v>13.66666667</v>
      </c>
      <c r="F13" s="43">
        <f>if(isna(VLOOKUP(B13,Checkin!A:B,2,false)),0,VLOOKUP(B13,Checkin!A:B,2,false))</f>
        <v>0</v>
      </c>
      <c r="G13" s="44">
        <f>if(OR($F13=1, $F13=2),VLOOKUP($B13,Courts!$B$2:$K$50,10,false),0)</f>
        <v>0</v>
      </c>
      <c r="H13" s="46">
        <f t="shared" si="3"/>
        <v>0</v>
      </c>
      <c r="I13" s="44">
        <f>if(OR($F13=1, $F13=2),VLOOKUP($B13,Courts!$B$2:$J$50,5,false),0)</f>
        <v>0</v>
      </c>
      <c r="J13" s="44">
        <f>if(OR($F13=1, $F13=2),VLOOKUP($B13,Courts!$B$2:$J$50,6,false),0)</f>
        <v>0</v>
      </c>
      <c r="K13" s="44">
        <f>if(OR($F13=1, $F13=2),VLOOKUP($B13,Courts!$B$2:$J$50,7,false),0)</f>
        <v>0</v>
      </c>
      <c r="L13" s="48">
        <f t="shared" si="4"/>
        <v>0</v>
      </c>
      <c r="M13" s="44">
        <f>if(OR($F13=1, $F13=2),VLOOKUP($B13,Courts!$B$2:$J$50,9,false),0)</f>
        <v>0</v>
      </c>
      <c r="N13" s="37">
        <f t="shared" ref="N13:O13" si="20">C13+L13</f>
        <v>205</v>
      </c>
      <c r="O13" s="37">
        <f t="shared" si="20"/>
        <v>16</v>
      </c>
      <c r="P13" s="50" t="s">
        <v>60</v>
      </c>
      <c r="Q13" s="50" t="s">
        <v>60</v>
      </c>
      <c r="R13" s="50" t="s">
        <v>60</v>
      </c>
      <c r="S13" s="51">
        <f t="shared" si="6"/>
        <v>15</v>
      </c>
      <c r="T13" s="52">
        <f t="shared" si="7"/>
        <v>0</v>
      </c>
      <c r="U13" s="52"/>
      <c r="V13" s="51">
        <f t="shared" si="8"/>
        <v>0</v>
      </c>
      <c r="W13" s="52">
        <f t="shared" si="9"/>
        <v>-1</v>
      </c>
      <c r="X13" s="35">
        <f t="shared" si="14"/>
        <v>9</v>
      </c>
      <c r="Y13" s="35" t="str">
        <f t="shared" si="10"/>
        <v>Y</v>
      </c>
      <c r="Z13" s="22" t="str">
        <f t="shared" si="11"/>
        <v/>
      </c>
    </row>
    <row r="14">
      <c r="A14" s="35">
        <f t="shared" si="12"/>
        <v>10</v>
      </c>
      <c r="B14" s="36" t="s">
        <v>107</v>
      </c>
      <c r="C14" s="37">
        <v>205.0</v>
      </c>
      <c r="D14" s="37">
        <v>15.0</v>
      </c>
      <c r="E14" s="42">
        <f t="shared" si="2"/>
        <v>16.71428571</v>
      </c>
      <c r="F14" s="43">
        <f>if(isna(VLOOKUP(B14,Checkin!A:B,2,false)),0,VLOOKUP(B14,Checkin!A:B,2,false))</f>
        <v>0</v>
      </c>
      <c r="G14" s="44">
        <f>if(OR($F14=1, $F14=2),VLOOKUP($B14,Courts!$B$2:$K$50,10,false),0)</f>
        <v>0</v>
      </c>
      <c r="H14" s="46">
        <f t="shared" si="3"/>
        <v>0</v>
      </c>
      <c r="I14" s="44">
        <f>if(OR($F14=1, $F14=2),VLOOKUP($B14,Courts!$B$2:$J$50,5,false),0)</f>
        <v>0</v>
      </c>
      <c r="J14" s="44">
        <f>if(OR($F14=1, $F14=2),VLOOKUP($B14,Courts!$B$2:$J$50,6,false),0)</f>
        <v>0</v>
      </c>
      <c r="K14" s="44">
        <f>if(OR($F14=1, $F14=2),VLOOKUP($B14,Courts!$B$2:$J$50,7,false),0)</f>
        <v>0</v>
      </c>
      <c r="L14" s="48">
        <f t="shared" si="4"/>
        <v>0</v>
      </c>
      <c r="M14" s="44">
        <f>if(OR($F14=1, $F14=2),VLOOKUP($B14,Courts!$B$2:$J$50,9,false),0)</f>
        <v>0</v>
      </c>
      <c r="N14" s="37">
        <f t="shared" ref="N14:O14" si="21">C14+L14</f>
        <v>205</v>
      </c>
      <c r="O14" s="37">
        <f t="shared" si="21"/>
        <v>15</v>
      </c>
      <c r="P14" s="50" t="s">
        <v>60</v>
      </c>
      <c r="Q14" s="50" t="s">
        <v>60</v>
      </c>
      <c r="R14" s="50" t="s">
        <v>60</v>
      </c>
      <c r="S14" s="51">
        <f t="shared" si="6"/>
        <v>7</v>
      </c>
      <c r="T14" s="52">
        <f t="shared" si="7"/>
        <v>4</v>
      </c>
      <c r="U14" s="52"/>
      <c r="V14" s="51">
        <f t="shared" si="8"/>
        <v>4</v>
      </c>
      <c r="W14" s="52">
        <f t="shared" si="9"/>
        <v>1</v>
      </c>
      <c r="X14" s="35">
        <f t="shared" si="14"/>
        <v>10</v>
      </c>
      <c r="Y14" s="35" t="str">
        <f t="shared" si="10"/>
        <v>N</v>
      </c>
      <c r="Z14" s="22" t="str">
        <f t="shared" si="11"/>
        <v/>
      </c>
    </row>
    <row r="15">
      <c r="A15" s="35">
        <f t="shared" si="12"/>
        <v>11</v>
      </c>
      <c r="B15" s="36" t="s">
        <v>113</v>
      </c>
      <c r="C15" s="37">
        <v>204.0</v>
      </c>
      <c r="D15" s="37">
        <v>18.0</v>
      </c>
      <c r="E15" s="42">
        <f t="shared" si="2"/>
        <v>14.41666667</v>
      </c>
      <c r="F15" s="43">
        <f>if(isna(VLOOKUP(B15,Checkin!A:B,2,false)),0,VLOOKUP(B15,Checkin!A:B,2,false))</f>
        <v>0</v>
      </c>
      <c r="G15" s="44">
        <f>if(OR($F15=1, $F15=2),VLOOKUP($B15,Courts!$B$2:$K$50,10,false),0)</f>
        <v>0</v>
      </c>
      <c r="H15" s="46">
        <f t="shared" si="3"/>
        <v>0</v>
      </c>
      <c r="I15" s="44">
        <f>if(OR($F15=1, $F15=2),VLOOKUP($B15,Courts!$B$2:$J$50,5,false),0)</f>
        <v>0</v>
      </c>
      <c r="J15" s="44">
        <f>if(OR($F15=1, $F15=2),VLOOKUP($B15,Courts!$B$2:$J$50,6,false),0)</f>
        <v>0</v>
      </c>
      <c r="K15" s="44">
        <f>if(OR($F15=1, $F15=2),VLOOKUP($B15,Courts!$B$2:$J$50,7,false),0)</f>
        <v>0</v>
      </c>
      <c r="L15" s="48">
        <f t="shared" si="4"/>
        <v>0</v>
      </c>
      <c r="M15" s="44">
        <f>if(OR($F15=1, $F15=2),VLOOKUP($B15,Courts!$B$2:$J$50,9,false),0)</f>
        <v>0</v>
      </c>
      <c r="N15" s="37">
        <f t="shared" ref="N15:O15" si="22">C15+L15</f>
        <v>204</v>
      </c>
      <c r="O15" s="37">
        <f t="shared" si="22"/>
        <v>18</v>
      </c>
      <c r="P15" s="50" t="s">
        <v>60</v>
      </c>
      <c r="Q15" s="50" t="s">
        <v>60</v>
      </c>
      <c r="R15" s="50" t="s">
        <v>60</v>
      </c>
      <c r="S15" s="51">
        <f t="shared" si="6"/>
        <v>12</v>
      </c>
      <c r="T15" s="52">
        <f t="shared" si="7"/>
        <v>1</v>
      </c>
      <c r="U15" s="52"/>
      <c r="V15" s="51">
        <f t="shared" si="8"/>
        <v>2</v>
      </c>
      <c r="W15" s="52">
        <f t="shared" si="9"/>
        <v>-4</v>
      </c>
      <c r="X15" s="35">
        <f t="shared" si="14"/>
        <v>11</v>
      </c>
      <c r="Y15" s="35" t="str">
        <f t="shared" si="10"/>
        <v>N</v>
      </c>
      <c r="Z15" s="22" t="str">
        <f t="shared" si="11"/>
        <v/>
      </c>
    </row>
    <row r="16">
      <c r="A16" s="35">
        <f t="shared" si="12"/>
        <v>12</v>
      </c>
      <c r="B16" s="36" t="s">
        <v>118</v>
      </c>
      <c r="C16" s="37">
        <v>203.0</v>
      </c>
      <c r="D16" s="37">
        <v>19.0</v>
      </c>
      <c r="E16" s="42">
        <f t="shared" si="2"/>
        <v>13.61538462</v>
      </c>
      <c r="F16" s="43">
        <f>if(isna(VLOOKUP(B16,Checkin!A:B,2,false)),0,VLOOKUP(B16,Checkin!A:B,2,false))</f>
        <v>0</v>
      </c>
      <c r="G16" s="44">
        <f>if(OR($F16=1, $F16=2),VLOOKUP($B16,Courts!$B$2:$K$50,10,false),0)</f>
        <v>0</v>
      </c>
      <c r="H16" s="46">
        <f t="shared" si="3"/>
        <v>0</v>
      </c>
      <c r="I16" s="44">
        <f>if(OR($F16=1, $F16=2),VLOOKUP($B16,Courts!$B$2:$J$50,5,false),0)</f>
        <v>0</v>
      </c>
      <c r="J16" s="44">
        <f>if(OR($F16=1, $F16=2),VLOOKUP($B16,Courts!$B$2:$J$50,6,false),0)</f>
        <v>0</v>
      </c>
      <c r="K16" s="44">
        <f>if(OR($F16=1, $F16=2),VLOOKUP($B16,Courts!$B$2:$J$50,7,false),0)</f>
        <v>0</v>
      </c>
      <c r="L16" s="48">
        <f t="shared" si="4"/>
        <v>0</v>
      </c>
      <c r="M16" s="44">
        <f>if(OR($F16=1, $F16=2),VLOOKUP($B16,Courts!$B$2:$J$50,9,false),0)</f>
        <v>0</v>
      </c>
      <c r="N16" s="37">
        <f t="shared" ref="N16:O16" si="23">C16+L16</f>
        <v>203</v>
      </c>
      <c r="O16" s="37">
        <f t="shared" si="23"/>
        <v>19</v>
      </c>
      <c r="P16" s="50" t="s">
        <v>60</v>
      </c>
      <c r="Q16" s="50" t="s">
        <v>60</v>
      </c>
      <c r="R16" s="50" t="s">
        <v>60</v>
      </c>
      <c r="S16" s="51">
        <f t="shared" si="6"/>
        <v>13</v>
      </c>
      <c r="T16" s="52">
        <f t="shared" si="7"/>
        <v>2</v>
      </c>
      <c r="U16" s="52"/>
      <c r="V16" s="51">
        <f t="shared" si="8"/>
        <v>0</v>
      </c>
      <c r="W16" s="52">
        <f t="shared" si="9"/>
        <v>-2</v>
      </c>
      <c r="X16" s="35">
        <f t="shared" si="14"/>
        <v>12</v>
      </c>
      <c r="Y16" s="35" t="str">
        <f t="shared" si="10"/>
        <v>N</v>
      </c>
      <c r="Z16" s="22" t="str">
        <f t="shared" si="11"/>
        <v/>
      </c>
    </row>
    <row r="17">
      <c r="A17" s="35">
        <f t="shared" si="12"/>
        <v>13</v>
      </c>
      <c r="B17" s="36" t="s">
        <v>122</v>
      </c>
      <c r="C17" s="37">
        <v>200.0</v>
      </c>
      <c r="D17" s="37">
        <v>18.0</v>
      </c>
      <c r="E17" s="42">
        <f t="shared" si="2"/>
        <v>15.33333333</v>
      </c>
      <c r="F17" s="43">
        <f>if(isna(VLOOKUP(B17,Checkin!A:B,2,false)),0,VLOOKUP(B17,Checkin!A:B,2,false))</f>
        <v>0</v>
      </c>
      <c r="G17" s="44">
        <f>if(OR($F17=1, $F17=2),VLOOKUP($B17,Courts!$B$2:$K$50,10,false),0)</f>
        <v>0</v>
      </c>
      <c r="H17" s="46">
        <f t="shared" si="3"/>
        <v>0</v>
      </c>
      <c r="I17" s="44">
        <f>if(OR($F17=1, $F17=2),VLOOKUP($B17,Courts!$B$2:$J$50,5,false),0)</f>
        <v>0</v>
      </c>
      <c r="J17" s="44">
        <f>if(OR($F17=1, $F17=2),VLOOKUP($B17,Courts!$B$2:$J$50,6,false),0)</f>
        <v>0</v>
      </c>
      <c r="K17" s="44">
        <f>if(OR($F17=1, $F17=2),VLOOKUP($B17,Courts!$B$2:$J$50,7,false),0)</f>
        <v>0</v>
      </c>
      <c r="L17" s="48">
        <f t="shared" si="4"/>
        <v>0</v>
      </c>
      <c r="M17" s="44">
        <f>if(OR($F17=1, $F17=2),VLOOKUP($B17,Courts!$B$2:$J$50,9,false),0)</f>
        <v>0</v>
      </c>
      <c r="N17" s="37">
        <f t="shared" ref="N17:O17" si="24">C17+L17</f>
        <v>200</v>
      </c>
      <c r="O17" s="37">
        <f t="shared" si="24"/>
        <v>18</v>
      </c>
      <c r="P17" s="50" t="s">
        <v>60</v>
      </c>
      <c r="Q17" s="50" t="s">
        <v>60</v>
      </c>
      <c r="R17" s="50" t="s">
        <v>60</v>
      </c>
      <c r="S17" s="51">
        <f t="shared" si="6"/>
        <v>9</v>
      </c>
      <c r="T17" s="52">
        <f t="shared" si="7"/>
        <v>2</v>
      </c>
      <c r="U17" s="52"/>
      <c r="V17" s="51">
        <f t="shared" si="8"/>
        <v>4</v>
      </c>
      <c r="W17" s="52">
        <f t="shared" si="9"/>
        <v>4</v>
      </c>
      <c r="X17" s="35">
        <f t="shared" si="14"/>
        <v>13</v>
      </c>
      <c r="Y17" s="35" t="str">
        <f t="shared" si="10"/>
        <v>N</v>
      </c>
      <c r="Z17" s="22" t="str">
        <f t="shared" si="11"/>
        <v/>
      </c>
    </row>
    <row r="18">
      <c r="A18" s="35">
        <f t="shared" si="12"/>
        <v>14</v>
      </c>
      <c r="B18" s="36" t="s">
        <v>98</v>
      </c>
      <c r="C18" s="37">
        <v>198.0</v>
      </c>
      <c r="D18" s="37">
        <v>17.0</v>
      </c>
      <c r="E18" s="42">
        <f t="shared" si="2"/>
        <v>13.84615385</v>
      </c>
      <c r="F18" s="43">
        <f>if(isna(VLOOKUP(B18,Checkin!A:B,2,false)),0,VLOOKUP(B18,Checkin!A:B,2,false))</f>
        <v>0</v>
      </c>
      <c r="G18" s="44">
        <f>if(OR($F18=1, $F18=2),VLOOKUP($B18,Courts!$B$2:$K$50,10,false),0)</f>
        <v>0</v>
      </c>
      <c r="H18" s="46">
        <f t="shared" si="3"/>
        <v>0</v>
      </c>
      <c r="I18" s="44">
        <f>if(OR($F18=1, $F18=2),VLOOKUP($B18,Courts!$B$2:$J$50,5,false),0)</f>
        <v>0</v>
      </c>
      <c r="J18" s="44">
        <f>if(OR($F18=1, $F18=2),VLOOKUP($B18,Courts!$B$2:$J$50,6,false),0)</f>
        <v>0</v>
      </c>
      <c r="K18" s="44">
        <f>if(OR($F18=1, $F18=2),VLOOKUP($B18,Courts!$B$2:$J$50,7,false),0)</f>
        <v>0</v>
      </c>
      <c r="L18" s="48">
        <f t="shared" si="4"/>
        <v>0</v>
      </c>
      <c r="M18" s="44">
        <f>if(OR($F18=1, $F18=2),VLOOKUP($B18,Courts!$B$2:$J$50,9,false),0)</f>
        <v>0</v>
      </c>
      <c r="N18" s="37">
        <f t="shared" ref="N18:O18" si="25">C18+L18</f>
        <v>198</v>
      </c>
      <c r="O18" s="37">
        <f t="shared" si="25"/>
        <v>17</v>
      </c>
      <c r="P18" s="50" t="s">
        <v>60</v>
      </c>
      <c r="Q18" s="50" t="s">
        <v>60</v>
      </c>
      <c r="R18" s="50" t="s">
        <v>60</v>
      </c>
      <c r="S18" s="51">
        <f t="shared" si="6"/>
        <v>13</v>
      </c>
      <c r="T18" s="52">
        <f t="shared" si="7"/>
        <v>0</v>
      </c>
      <c r="U18" s="52"/>
      <c r="V18" s="51">
        <f t="shared" si="8"/>
        <v>2</v>
      </c>
      <c r="W18" s="52">
        <f t="shared" si="9"/>
        <v>1</v>
      </c>
      <c r="X18" s="35">
        <f t="shared" si="14"/>
        <v>14</v>
      </c>
      <c r="Y18" s="35" t="str">
        <f t="shared" si="10"/>
        <v>N</v>
      </c>
      <c r="Z18" s="22" t="str">
        <f t="shared" si="11"/>
        <v/>
      </c>
    </row>
    <row r="19">
      <c r="A19" s="35">
        <f t="shared" si="12"/>
        <v>15</v>
      </c>
      <c r="B19" s="36" t="s">
        <v>131</v>
      </c>
      <c r="C19" s="37">
        <v>197.0</v>
      </c>
      <c r="D19" s="37">
        <v>17.0</v>
      </c>
      <c r="E19" s="42">
        <f t="shared" si="2"/>
        <v>13.16666667</v>
      </c>
      <c r="F19" s="43">
        <f>if(isna(VLOOKUP(B19,Checkin!A:B,2,false)),0,VLOOKUP(B19,Checkin!A:B,2,false))</f>
        <v>0</v>
      </c>
      <c r="G19" s="44">
        <f>if(OR($F19=1, $F19=2),VLOOKUP($B19,Courts!$B$2:$K$50,10,false),0)</f>
        <v>0</v>
      </c>
      <c r="H19" s="46">
        <f t="shared" si="3"/>
        <v>0</v>
      </c>
      <c r="I19" s="44">
        <f>if(OR($F19=1, $F19=2),VLOOKUP($B19,Courts!$B$2:$J$50,5,false),0)</f>
        <v>0</v>
      </c>
      <c r="J19" s="44">
        <f>if(OR($F19=1, $F19=2),VLOOKUP($B19,Courts!$B$2:$J$50,6,false),0)</f>
        <v>0</v>
      </c>
      <c r="K19" s="44">
        <f>if(OR($F19=1, $F19=2),VLOOKUP($B19,Courts!$B$2:$J$50,7,false),0)</f>
        <v>0</v>
      </c>
      <c r="L19" s="48">
        <f t="shared" si="4"/>
        <v>0</v>
      </c>
      <c r="M19" s="44">
        <f>if(OR($F19=1, $F19=2),VLOOKUP($B19,Courts!$B$2:$J$50,9,false),0)</f>
        <v>0</v>
      </c>
      <c r="N19" s="37">
        <f t="shared" ref="N19:O19" si="26">C19+L19</f>
        <v>197</v>
      </c>
      <c r="O19" s="37">
        <f t="shared" si="26"/>
        <v>17</v>
      </c>
      <c r="P19" s="50" t="s">
        <v>60</v>
      </c>
      <c r="Q19" s="50" t="s">
        <v>60</v>
      </c>
      <c r="R19" s="50" t="s">
        <v>60</v>
      </c>
      <c r="S19" s="51">
        <f t="shared" si="6"/>
        <v>12</v>
      </c>
      <c r="T19" s="52">
        <f t="shared" si="7"/>
        <v>3</v>
      </c>
      <c r="U19" s="52"/>
      <c r="V19" s="51">
        <f t="shared" si="8"/>
        <v>0</v>
      </c>
      <c r="W19" s="52">
        <f t="shared" si="9"/>
        <v>-1</v>
      </c>
      <c r="X19" s="35">
        <f t="shared" si="14"/>
        <v>15</v>
      </c>
      <c r="Y19" s="35" t="str">
        <f t="shared" si="10"/>
        <v>N</v>
      </c>
      <c r="Z19" s="22" t="str">
        <f t="shared" si="11"/>
        <v/>
      </c>
    </row>
    <row r="20">
      <c r="A20" s="35">
        <f t="shared" si="12"/>
        <v>16</v>
      </c>
      <c r="B20" s="36" t="s">
        <v>92</v>
      </c>
      <c r="C20" s="37">
        <v>195.0</v>
      </c>
      <c r="D20" s="37">
        <v>17.0</v>
      </c>
      <c r="E20" s="42">
        <f t="shared" si="2"/>
        <v>18.33333333</v>
      </c>
      <c r="F20" s="43">
        <f>if(isna(VLOOKUP(B20,Checkin!A:B,2,false)),0,VLOOKUP(B20,Checkin!A:B,2,false))</f>
        <v>0</v>
      </c>
      <c r="G20" s="44">
        <f>if(OR($F20=1, $F20=2),VLOOKUP($B20,Courts!$B$2:$K$50,10,false),0)</f>
        <v>0</v>
      </c>
      <c r="H20" s="46">
        <f t="shared" si="3"/>
        <v>0</v>
      </c>
      <c r="I20" s="44">
        <f>if(OR($F20=1, $F20=2),VLOOKUP($B20,Courts!$B$2:$J$50,5,false),0)</f>
        <v>0</v>
      </c>
      <c r="J20" s="44">
        <f>if(OR($F20=1, $F20=2),VLOOKUP($B20,Courts!$B$2:$J$50,6,false),0)</f>
        <v>0</v>
      </c>
      <c r="K20" s="44">
        <f>if(OR($F20=1, $F20=2),VLOOKUP($B20,Courts!$B$2:$J$50,7,false),0)</f>
        <v>0</v>
      </c>
      <c r="L20" s="48">
        <f t="shared" si="4"/>
        <v>0</v>
      </c>
      <c r="M20" s="44">
        <f>if(OR($F20=1, $F20=2),VLOOKUP($B20,Courts!$B$2:$J$50,9,false),0)</f>
        <v>0</v>
      </c>
      <c r="N20" s="37">
        <f t="shared" ref="N20:O20" si="27">C20+L20</f>
        <v>195</v>
      </c>
      <c r="O20" s="37">
        <f t="shared" si="27"/>
        <v>17</v>
      </c>
      <c r="P20" s="50" t="s">
        <v>60</v>
      </c>
      <c r="Q20" s="50" t="s">
        <v>60</v>
      </c>
      <c r="R20" s="50" t="s">
        <v>60</v>
      </c>
      <c r="S20" s="51">
        <f t="shared" si="6"/>
        <v>6</v>
      </c>
      <c r="T20" s="52">
        <f t="shared" si="7"/>
        <v>1</v>
      </c>
      <c r="U20" s="52"/>
      <c r="V20" s="51">
        <f t="shared" si="8"/>
        <v>8</v>
      </c>
      <c r="W20" s="52">
        <f t="shared" si="9"/>
        <v>-3</v>
      </c>
      <c r="X20" s="35">
        <f t="shared" si="14"/>
        <v>16</v>
      </c>
      <c r="Y20" s="35" t="str">
        <f t="shared" si="10"/>
        <v>N</v>
      </c>
      <c r="Z20" s="22" t="str">
        <f t="shared" si="11"/>
        <v/>
      </c>
    </row>
    <row r="21">
      <c r="A21" s="35">
        <f t="shared" si="12"/>
        <v>17</v>
      </c>
      <c r="B21" s="36" t="s">
        <v>135</v>
      </c>
      <c r="C21" s="37">
        <v>194.0</v>
      </c>
      <c r="D21" s="37">
        <v>19.0</v>
      </c>
      <c r="E21" s="42">
        <f t="shared" si="2"/>
        <v>13.53846154</v>
      </c>
      <c r="F21" s="43">
        <f>if(isna(VLOOKUP(B21,Checkin!A:B,2,false)),0,VLOOKUP(B21,Checkin!A:B,2,false))</f>
        <v>0</v>
      </c>
      <c r="G21" s="44">
        <f>if(OR($F21=1, $F21=2),VLOOKUP($B21,Courts!$B$2:$K$50,10,false),0)</f>
        <v>0</v>
      </c>
      <c r="H21" s="46">
        <f t="shared" si="3"/>
        <v>0</v>
      </c>
      <c r="I21" s="44">
        <f>if(OR($F21=1, $F21=2),VLOOKUP($B21,Courts!$B$2:$J$50,5,false),0)</f>
        <v>0</v>
      </c>
      <c r="J21" s="44">
        <f>if(OR($F21=1, $F21=2),VLOOKUP($B21,Courts!$B$2:$J$50,6,false),0)</f>
        <v>0</v>
      </c>
      <c r="K21" s="44">
        <f>if(OR($F21=1, $F21=2),VLOOKUP($B21,Courts!$B$2:$J$50,7,false),0)</f>
        <v>0</v>
      </c>
      <c r="L21" s="48">
        <f t="shared" si="4"/>
        <v>0</v>
      </c>
      <c r="M21" s="44">
        <f>if(OR($F21=1, $F21=2),VLOOKUP($B21,Courts!$B$2:$J$50,9,false),0)</f>
        <v>0</v>
      </c>
      <c r="N21" s="37">
        <f t="shared" ref="N21:O21" si="28">C21+L21</f>
        <v>194</v>
      </c>
      <c r="O21" s="37">
        <f t="shared" si="28"/>
        <v>19</v>
      </c>
      <c r="P21" s="50" t="s">
        <v>60</v>
      </c>
      <c r="Q21" s="50" t="s">
        <v>60</v>
      </c>
      <c r="R21" s="50" t="s">
        <v>60</v>
      </c>
      <c r="S21" s="51">
        <f t="shared" si="6"/>
        <v>13</v>
      </c>
      <c r="T21" s="52">
        <f t="shared" si="7"/>
        <v>0</v>
      </c>
      <c r="U21" s="52"/>
      <c r="V21" s="51">
        <f t="shared" si="8"/>
        <v>2</v>
      </c>
      <c r="W21" s="52">
        <f t="shared" si="9"/>
        <v>-1</v>
      </c>
      <c r="X21" s="35">
        <f t="shared" si="14"/>
        <v>17</v>
      </c>
      <c r="Y21" s="35" t="str">
        <f t="shared" si="10"/>
        <v>N</v>
      </c>
      <c r="Z21" s="22" t="str">
        <f t="shared" si="11"/>
        <v/>
      </c>
    </row>
    <row r="22">
      <c r="A22" s="35">
        <f t="shared" si="12"/>
        <v>18</v>
      </c>
      <c r="B22" s="36" t="s">
        <v>81</v>
      </c>
      <c r="C22" s="37">
        <v>194.0</v>
      </c>
      <c r="D22" s="37">
        <v>17.0</v>
      </c>
      <c r="E22" s="42">
        <f t="shared" si="2"/>
        <v>16.375</v>
      </c>
      <c r="F22" s="43">
        <f>if(isna(VLOOKUP(B22,Checkin!A:B,2,false)),0,VLOOKUP(B22,Checkin!A:B,2,false))</f>
        <v>0</v>
      </c>
      <c r="G22" s="44">
        <f>if(OR($F22=1, $F22=2),VLOOKUP($B22,Courts!$B$2:$K$50,10,false),0)</f>
        <v>0</v>
      </c>
      <c r="H22" s="46">
        <f t="shared" si="3"/>
        <v>0</v>
      </c>
      <c r="I22" s="44">
        <f>if(OR($F22=1, $F22=2),VLOOKUP($B22,Courts!$B$2:$J$50,5,false),0)</f>
        <v>0</v>
      </c>
      <c r="J22" s="44">
        <f>if(OR($F22=1, $F22=2),VLOOKUP($B22,Courts!$B$2:$J$50,6,false),0)</f>
        <v>0</v>
      </c>
      <c r="K22" s="44">
        <f>if(OR($F22=1, $F22=2),VLOOKUP($B22,Courts!$B$2:$J$50,7,false),0)</f>
        <v>0</v>
      </c>
      <c r="L22" s="48">
        <f t="shared" si="4"/>
        <v>0</v>
      </c>
      <c r="M22" s="44">
        <f>if(OR($F22=1, $F22=2),VLOOKUP($B22,Courts!$B$2:$J$50,9,false),0)</f>
        <v>0</v>
      </c>
      <c r="N22" s="37">
        <f t="shared" ref="N22:O22" si="29">C22+L22</f>
        <v>194</v>
      </c>
      <c r="O22" s="37">
        <f t="shared" si="29"/>
        <v>17</v>
      </c>
      <c r="P22" s="50" t="s">
        <v>60</v>
      </c>
      <c r="Q22" s="50" t="s">
        <v>60</v>
      </c>
      <c r="R22" s="50" t="s">
        <v>60</v>
      </c>
      <c r="S22" s="51">
        <f t="shared" si="6"/>
        <v>8</v>
      </c>
      <c r="T22" s="52">
        <f t="shared" si="7"/>
        <v>0</v>
      </c>
      <c r="U22" s="52"/>
      <c r="V22" s="51">
        <f t="shared" si="8"/>
        <v>7</v>
      </c>
      <c r="W22" s="52">
        <f t="shared" si="9"/>
        <v>1</v>
      </c>
      <c r="X22" s="35">
        <f t="shared" si="14"/>
        <v>18</v>
      </c>
      <c r="Y22" s="35" t="str">
        <f t="shared" si="10"/>
        <v>N</v>
      </c>
      <c r="Z22" s="22" t="str">
        <f t="shared" si="11"/>
        <v/>
      </c>
    </row>
    <row r="23">
      <c r="A23" s="35">
        <f t="shared" si="12"/>
        <v>19</v>
      </c>
      <c r="B23" s="36" t="s">
        <v>101</v>
      </c>
      <c r="C23" s="37">
        <v>190.0</v>
      </c>
      <c r="D23" s="37">
        <v>18.0</v>
      </c>
      <c r="E23" s="42">
        <f t="shared" si="2"/>
        <v>13.23076923</v>
      </c>
      <c r="F23" s="43">
        <f>if(isna(VLOOKUP(B23,Checkin!A:B,2,false)),0,VLOOKUP(B23,Checkin!A:B,2,false))</f>
        <v>0</v>
      </c>
      <c r="G23" s="44">
        <f>if(OR($F23=1, $F23=2),VLOOKUP($B23,Courts!$B$2:$K$50,10,false),0)</f>
        <v>0</v>
      </c>
      <c r="H23" s="46">
        <f t="shared" si="3"/>
        <v>0</v>
      </c>
      <c r="I23" s="44">
        <f>if(OR($F23=1, $F23=2),VLOOKUP($B23,Courts!$B$2:$J$50,5,false),0)</f>
        <v>0</v>
      </c>
      <c r="J23" s="44">
        <f>if(OR($F23=1, $F23=2),VLOOKUP($B23,Courts!$B$2:$J$50,6,false),0)</f>
        <v>0</v>
      </c>
      <c r="K23" s="44">
        <f>if(OR($F23=1, $F23=2),VLOOKUP($B23,Courts!$B$2:$J$50,7,false),0)</f>
        <v>0</v>
      </c>
      <c r="L23" s="48">
        <f t="shared" si="4"/>
        <v>0</v>
      </c>
      <c r="M23" s="44">
        <f>if(OR($F23=1, $F23=2),VLOOKUP($B23,Courts!$B$2:$J$50,9,false),0)</f>
        <v>0</v>
      </c>
      <c r="N23" s="37">
        <f t="shared" ref="N23:O23" si="30">C23+L23</f>
        <v>190</v>
      </c>
      <c r="O23" s="37">
        <f t="shared" si="30"/>
        <v>18</v>
      </c>
      <c r="P23" s="50" t="s">
        <v>60</v>
      </c>
      <c r="Q23" s="50" t="s">
        <v>60</v>
      </c>
      <c r="R23" s="50" t="s">
        <v>60</v>
      </c>
      <c r="S23" s="51">
        <f t="shared" si="6"/>
        <v>13</v>
      </c>
      <c r="T23" s="52">
        <f t="shared" si="7"/>
        <v>0</v>
      </c>
      <c r="U23" s="52"/>
      <c r="V23" s="51">
        <f t="shared" si="8"/>
        <v>2</v>
      </c>
      <c r="W23" s="52">
        <f t="shared" si="9"/>
        <v>-1</v>
      </c>
      <c r="X23" s="35">
        <f t="shared" si="14"/>
        <v>19</v>
      </c>
      <c r="Y23" s="35" t="str">
        <f t="shared" si="10"/>
        <v>N</v>
      </c>
      <c r="Z23" s="22" t="str">
        <f t="shared" si="11"/>
        <v/>
      </c>
    </row>
    <row r="24">
      <c r="A24" s="35">
        <f t="shared" si="12"/>
        <v>20</v>
      </c>
      <c r="B24" s="36" t="s">
        <v>108</v>
      </c>
      <c r="C24" s="37">
        <v>190.0</v>
      </c>
      <c r="D24" s="37">
        <v>10.0</v>
      </c>
      <c r="E24" s="42">
        <f t="shared" si="2"/>
        <v>13.875</v>
      </c>
      <c r="F24" s="43">
        <f>if(isna(VLOOKUP(B24,Checkin!A:B,2,false)),0,VLOOKUP(B24,Checkin!A:B,2,false))</f>
        <v>0</v>
      </c>
      <c r="G24" s="44">
        <f>if(OR($F24=1, $F24=2),VLOOKUP($B24,Courts!$B$2:$K$50,10,false),0)</f>
        <v>0</v>
      </c>
      <c r="H24" s="46">
        <f t="shared" si="3"/>
        <v>0</v>
      </c>
      <c r="I24" s="44">
        <f>if(OR($F24=1, $F24=2),VLOOKUP($B24,Courts!$B$2:$J$50,5,false),0)</f>
        <v>0</v>
      </c>
      <c r="J24" s="44">
        <f>if(OR($F24=1, $F24=2),VLOOKUP($B24,Courts!$B$2:$J$50,6,false),0)</f>
        <v>0</v>
      </c>
      <c r="K24" s="44">
        <f>if(OR($F24=1, $F24=2),VLOOKUP($B24,Courts!$B$2:$J$50,7,false),0)</f>
        <v>0</v>
      </c>
      <c r="L24" s="48">
        <f t="shared" si="4"/>
        <v>0</v>
      </c>
      <c r="M24" s="44">
        <f>if(OR($F24=1, $F24=2),VLOOKUP($B24,Courts!$B$2:$J$50,9,false),0)</f>
        <v>0</v>
      </c>
      <c r="N24" s="37">
        <f t="shared" ref="N24:O24" si="31">C24+L24</f>
        <v>190</v>
      </c>
      <c r="O24" s="37">
        <f t="shared" si="31"/>
        <v>10</v>
      </c>
      <c r="P24" s="50" t="s">
        <v>60</v>
      </c>
      <c r="Q24" s="50" t="s">
        <v>60</v>
      </c>
      <c r="R24" s="50" t="s">
        <v>60</v>
      </c>
      <c r="S24" s="51">
        <f t="shared" si="6"/>
        <v>8</v>
      </c>
      <c r="T24" s="52">
        <f t="shared" si="7"/>
        <v>4</v>
      </c>
      <c r="U24" s="52"/>
      <c r="V24" s="51">
        <f t="shared" si="8"/>
        <v>3</v>
      </c>
      <c r="W24" s="52">
        <f t="shared" si="9"/>
        <v>0</v>
      </c>
      <c r="X24" s="35">
        <f t="shared" si="14"/>
        <v>20</v>
      </c>
      <c r="Y24" s="35" t="str">
        <f t="shared" si="10"/>
        <v>N</v>
      </c>
      <c r="Z24" s="22" t="str">
        <f t="shared" si="11"/>
        <v/>
      </c>
    </row>
    <row r="25">
      <c r="A25" s="35">
        <f t="shared" si="12"/>
        <v>21</v>
      </c>
      <c r="B25" s="36" t="s">
        <v>102</v>
      </c>
      <c r="C25" s="37">
        <v>188.0</v>
      </c>
      <c r="D25" s="37">
        <v>11.0</v>
      </c>
      <c r="E25" s="42">
        <f t="shared" si="2"/>
        <v>15.6</v>
      </c>
      <c r="F25" s="43">
        <f>if(isna(VLOOKUP(B25,Checkin!A:B,2,false)),0,VLOOKUP(B25,Checkin!A:B,2,false))</f>
        <v>0</v>
      </c>
      <c r="G25" s="44">
        <f>if(OR($F25=1, $F25=2),VLOOKUP($B25,Courts!$B$2:$K$50,10,false),0)</f>
        <v>0</v>
      </c>
      <c r="H25" s="46">
        <f t="shared" si="3"/>
        <v>0</v>
      </c>
      <c r="I25" s="44">
        <f>if(OR($F25=1, $F25=2),VLOOKUP($B25,Courts!$B$2:$J$50,5,false),0)</f>
        <v>0</v>
      </c>
      <c r="J25" s="44">
        <f>if(OR($F25=1, $F25=2),VLOOKUP($B25,Courts!$B$2:$J$50,6,false),0)</f>
        <v>0</v>
      </c>
      <c r="K25" s="44">
        <f>if(OR($F25=1, $F25=2),VLOOKUP($B25,Courts!$B$2:$J$50,7,false),0)</f>
        <v>0</v>
      </c>
      <c r="L25" s="48">
        <f t="shared" si="4"/>
        <v>0</v>
      </c>
      <c r="M25" s="44">
        <f>if(OR($F25=1, $F25=2),VLOOKUP($B25,Courts!$B$2:$J$50,9,false),0)</f>
        <v>0</v>
      </c>
      <c r="N25" s="37">
        <f t="shared" ref="N25:O25" si="32">C25+L25</f>
        <v>188</v>
      </c>
      <c r="O25" s="37">
        <f t="shared" si="32"/>
        <v>11</v>
      </c>
      <c r="P25" s="50" t="s">
        <v>60</v>
      </c>
      <c r="Q25" s="50" t="s">
        <v>60</v>
      </c>
      <c r="R25" s="50" t="s">
        <v>60</v>
      </c>
      <c r="S25" s="51">
        <f t="shared" si="6"/>
        <v>5</v>
      </c>
      <c r="T25" s="52">
        <f t="shared" si="7"/>
        <v>5</v>
      </c>
      <c r="U25" s="52"/>
      <c r="V25" s="51">
        <f t="shared" si="8"/>
        <v>5</v>
      </c>
      <c r="W25" s="52">
        <f t="shared" si="9"/>
        <v>0</v>
      </c>
      <c r="X25" s="35">
        <f t="shared" si="14"/>
        <v>21</v>
      </c>
      <c r="Y25" s="35" t="str">
        <f t="shared" si="10"/>
        <v>N</v>
      </c>
      <c r="Z25" s="22" t="str">
        <f t="shared" si="11"/>
        <v/>
      </c>
    </row>
    <row r="26">
      <c r="A26" s="35">
        <f t="shared" si="12"/>
        <v>22</v>
      </c>
      <c r="B26" s="36" t="s">
        <v>121</v>
      </c>
      <c r="C26" s="37">
        <v>187.0</v>
      </c>
      <c r="D26" s="37">
        <v>17.0</v>
      </c>
      <c r="E26" s="42">
        <f t="shared" si="2"/>
        <v>16.42857143</v>
      </c>
      <c r="F26" s="43">
        <f>if(isna(VLOOKUP(B26,Checkin!A:B,2,false)),0,VLOOKUP(B26,Checkin!A:B,2,false))</f>
        <v>0</v>
      </c>
      <c r="G26" s="44">
        <f>if(OR($F26=1, $F26=2),VLOOKUP($B26,Courts!$B$2:$K$50,10,false),0)</f>
        <v>0</v>
      </c>
      <c r="H26" s="46">
        <f t="shared" si="3"/>
        <v>0</v>
      </c>
      <c r="I26" s="44">
        <f>if(OR($F26=1, $F26=2),VLOOKUP($B26,Courts!$B$2:$J$50,5,false),0)</f>
        <v>0</v>
      </c>
      <c r="J26" s="44">
        <f>if(OR($F26=1, $F26=2),VLOOKUP($B26,Courts!$B$2:$J$50,6,false),0)</f>
        <v>0</v>
      </c>
      <c r="K26" s="44">
        <f>if(OR($F26=1, $F26=2),VLOOKUP($B26,Courts!$B$2:$J$50,7,false),0)</f>
        <v>0</v>
      </c>
      <c r="L26" s="48">
        <f t="shared" si="4"/>
        <v>0</v>
      </c>
      <c r="M26" s="44">
        <f>if(OR($F26=1, $F26=2),VLOOKUP($B26,Courts!$B$2:$J$50,9,false),0)</f>
        <v>0</v>
      </c>
      <c r="N26" s="37">
        <f t="shared" ref="N26:O26" si="33">C26+L26</f>
        <v>187</v>
      </c>
      <c r="O26" s="37">
        <f t="shared" si="33"/>
        <v>17</v>
      </c>
      <c r="P26" s="50" t="s">
        <v>60</v>
      </c>
      <c r="Q26" s="50" t="s">
        <v>60</v>
      </c>
      <c r="R26" s="50" t="s">
        <v>60</v>
      </c>
      <c r="S26" s="51">
        <f t="shared" si="6"/>
        <v>7</v>
      </c>
      <c r="T26" s="52">
        <f t="shared" si="7"/>
        <v>0</v>
      </c>
      <c r="U26" s="52"/>
      <c r="V26" s="51">
        <f t="shared" si="8"/>
        <v>8</v>
      </c>
      <c r="W26" s="52">
        <f t="shared" si="9"/>
        <v>0</v>
      </c>
      <c r="X26" s="35">
        <f t="shared" si="14"/>
        <v>22</v>
      </c>
      <c r="Y26" s="35" t="str">
        <f t="shared" si="10"/>
        <v>N</v>
      </c>
      <c r="Z26" s="22" t="str">
        <f t="shared" si="11"/>
        <v/>
      </c>
    </row>
    <row r="27">
      <c r="A27" s="35">
        <f t="shared" si="12"/>
        <v>23</v>
      </c>
      <c r="B27" s="36" t="s">
        <v>140</v>
      </c>
      <c r="C27" s="37">
        <v>187.0</v>
      </c>
      <c r="D27" s="37">
        <v>16.0</v>
      </c>
      <c r="E27" s="42">
        <f t="shared" si="2"/>
        <v>13.33333333</v>
      </c>
      <c r="F27" s="43">
        <f>if(isna(VLOOKUP(B27,Checkin!A:B,2,false)),0,VLOOKUP(B27,Checkin!A:B,2,false))</f>
        <v>0</v>
      </c>
      <c r="G27" s="44">
        <f>if(OR($F27=1, $F27=2),VLOOKUP($B27,Courts!$B$2:$K$50,10,false),0)</f>
        <v>0</v>
      </c>
      <c r="H27" s="46">
        <f t="shared" si="3"/>
        <v>0</v>
      </c>
      <c r="I27" s="44">
        <f>if(OR($F27=1, $F27=2),VLOOKUP($B27,Courts!$B$2:$J$50,5,false),0)</f>
        <v>0</v>
      </c>
      <c r="J27" s="44">
        <f>if(OR($F27=1, $F27=2),VLOOKUP($B27,Courts!$B$2:$J$50,6,false),0)</f>
        <v>0</v>
      </c>
      <c r="K27" s="44">
        <f>if(OR($F27=1, $F27=2),VLOOKUP($B27,Courts!$B$2:$J$50,7,false),0)</f>
        <v>0</v>
      </c>
      <c r="L27" s="48">
        <f t="shared" si="4"/>
        <v>0</v>
      </c>
      <c r="M27" s="44">
        <f>if(OR($F27=1, $F27=2),VLOOKUP($B27,Courts!$B$2:$J$50,9,false),0)</f>
        <v>0</v>
      </c>
      <c r="N27" s="37">
        <f t="shared" ref="N27:O27" si="34">C27+L27</f>
        <v>187</v>
      </c>
      <c r="O27" s="37">
        <f t="shared" si="34"/>
        <v>16</v>
      </c>
      <c r="P27" s="50" t="s">
        <v>60</v>
      </c>
      <c r="Q27" s="50" t="s">
        <v>60</v>
      </c>
      <c r="R27" s="50" t="s">
        <v>60</v>
      </c>
      <c r="S27" s="51">
        <f t="shared" si="6"/>
        <v>12</v>
      </c>
      <c r="T27" s="52">
        <f t="shared" si="7"/>
        <v>0</v>
      </c>
      <c r="U27" s="52"/>
      <c r="V27" s="51">
        <f t="shared" si="8"/>
        <v>3</v>
      </c>
      <c r="W27" s="52">
        <f t="shared" si="9"/>
        <v>0</v>
      </c>
      <c r="X27" s="35">
        <f t="shared" si="14"/>
        <v>23</v>
      </c>
      <c r="Y27" s="35" t="str">
        <f t="shared" si="10"/>
        <v>N</v>
      </c>
      <c r="Z27" s="22" t="str">
        <f t="shared" si="11"/>
        <v/>
      </c>
    </row>
    <row r="28">
      <c r="A28" s="35">
        <f t="shared" si="12"/>
        <v>24</v>
      </c>
      <c r="B28" s="36" t="s">
        <v>128</v>
      </c>
      <c r="C28" s="37">
        <v>183.0</v>
      </c>
      <c r="D28" s="37">
        <v>15.0</v>
      </c>
      <c r="E28" s="42">
        <f t="shared" si="2"/>
        <v>15.28571429</v>
      </c>
      <c r="F28" s="43">
        <f>if(isna(VLOOKUP(B28,Checkin!A:B,2,false)),0,VLOOKUP(B28,Checkin!A:B,2,false))</f>
        <v>0</v>
      </c>
      <c r="G28" s="44">
        <f>if(OR($F28=1, $F28=2),VLOOKUP($B28,Courts!$B$2:$K$50,10,false),0)</f>
        <v>0</v>
      </c>
      <c r="H28" s="46">
        <f t="shared" si="3"/>
        <v>0</v>
      </c>
      <c r="I28" s="44">
        <f>if(OR($F28=1, $F28=2),VLOOKUP($B28,Courts!$B$2:$J$50,5,false),0)</f>
        <v>0</v>
      </c>
      <c r="J28" s="44">
        <f>if(OR($F28=1, $F28=2),VLOOKUP($B28,Courts!$B$2:$J$50,6,false),0)</f>
        <v>0</v>
      </c>
      <c r="K28" s="44">
        <f>if(OR($F28=1, $F28=2),VLOOKUP($B28,Courts!$B$2:$J$50,7,false),0)</f>
        <v>0</v>
      </c>
      <c r="L28" s="48">
        <f t="shared" si="4"/>
        <v>0</v>
      </c>
      <c r="M28" s="44">
        <f>if(OR($F28=1, $F28=2),VLOOKUP($B28,Courts!$B$2:$J$50,9,false),0)</f>
        <v>0</v>
      </c>
      <c r="N28" s="37">
        <f t="shared" ref="N28:O28" si="35">C28+L28</f>
        <v>183</v>
      </c>
      <c r="O28" s="37">
        <f t="shared" si="35"/>
        <v>15</v>
      </c>
      <c r="P28" s="50" t="s">
        <v>60</v>
      </c>
      <c r="Q28" s="50" t="s">
        <v>60</v>
      </c>
      <c r="R28" s="50" t="s">
        <v>60</v>
      </c>
      <c r="S28" s="51">
        <f t="shared" si="6"/>
        <v>7</v>
      </c>
      <c r="T28" s="52">
        <f t="shared" si="7"/>
        <v>1</v>
      </c>
      <c r="U28" s="52"/>
      <c r="V28" s="51">
        <f t="shared" si="8"/>
        <v>7</v>
      </c>
      <c r="W28" s="52">
        <f t="shared" si="9"/>
        <v>9</v>
      </c>
      <c r="X28" s="35">
        <f t="shared" si="14"/>
        <v>24</v>
      </c>
      <c r="Y28" s="35" t="str">
        <f t="shared" si="10"/>
        <v>N</v>
      </c>
      <c r="Z28" s="22" t="str">
        <f t="shared" si="11"/>
        <v/>
      </c>
    </row>
    <row r="29">
      <c r="A29" s="35">
        <f t="shared" si="12"/>
        <v>25</v>
      </c>
      <c r="B29" s="36" t="s">
        <v>100</v>
      </c>
      <c r="C29" s="37">
        <v>182.0</v>
      </c>
      <c r="D29" s="37">
        <v>16.0</v>
      </c>
      <c r="E29" s="42">
        <f t="shared" si="2"/>
        <v>12.61538462</v>
      </c>
      <c r="F29" s="43">
        <f>if(isna(VLOOKUP(B29,Checkin!A:B,2,false)),0,VLOOKUP(B29,Checkin!A:B,2,false))</f>
        <v>0</v>
      </c>
      <c r="G29" s="44">
        <f>if(OR($F29=1, $F29=2),VLOOKUP($B29,Courts!$B$2:$K$50,10,false),0)</f>
        <v>0</v>
      </c>
      <c r="H29" s="46">
        <f t="shared" si="3"/>
        <v>0</v>
      </c>
      <c r="I29" s="44">
        <f>if(OR($F29=1, $F29=2),VLOOKUP($B29,Courts!$B$2:$J$50,5,false),0)</f>
        <v>0</v>
      </c>
      <c r="J29" s="44">
        <f>if(OR($F29=1, $F29=2),VLOOKUP($B29,Courts!$B$2:$J$50,6,false),0)</f>
        <v>0</v>
      </c>
      <c r="K29" s="44">
        <f>if(OR($F29=1, $F29=2),VLOOKUP($B29,Courts!$B$2:$J$50,7,false),0)</f>
        <v>0</v>
      </c>
      <c r="L29" s="48">
        <f t="shared" si="4"/>
        <v>0</v>
      </c>
      <c r="M29" s="44">
        <f>if(OR($F29=1, $F29=2),VLOOKUP($B29,Courts!$B$2:$J$50,9,false),0)</f>
        <v>0</v>
      </c>
      <c r="N29" s="37">
        <f t="shared" ref="N29:O29" si="36">C29+L29</f>
        <v>182</v>
      </c>
      <c r="O29" s="37">
        <f t="shared" si="36"/>
        <v>16</v>
      </c>
      <c r="P29" s="50" t="s">
        <v>60</v>
      </c>
      <c r="Q29" s="50" t="s">
        <v>60</v>
      </c>
      <c r="R29" s="50" t="s">
        <v>60</v>
      </c>
      <c r="S29" s="51">
        <f t="shared" si="6"/>
        <v>13</v>
      </c>
      <c r="T29" s="52">
        <f t="shared" si="7"/>
        <v>0</v>
      </c>
      <c r="U29" s="52"/>
      <c r="V29" s="51">
        <f t="shared" si="8"/>
        <v>2</v>
      </c>
      <c r="W29" s="52">
        <f t="shared" si="9"/>
        <v>3</v>
      </c>
      <c r="X29" s="35">
        <f t="shared" si="14"/>
        <v>25</v>
      </c>
      <c r="Y29" s="35" t="str">
        <f t="shared" si="10"/>
        <v>N</v>
      </c>
      <c r="Z29" s="22" t="str">
        <f t="shared" si="11"/>
        <v/>
      </c>
    </row>
    <row r="30">
      <c r="A30" s="35">
        <f t="shared" si="12"/>
        <v>26</v>
      </c>
      <c r="B30" s="36" t="s">
        <v>94</v>
      </c>
      <c r="C30" s="37">
        <v>182.0</v>
      </c>
      <c r="D30" s="37">
        <v>15.0</v>
      </c>
      <c r="E30" s="42">
        <f t="shared" si="2"/>
        <v>13.77777778</v>
      </c>
      <c r="F30" s="43">
        <f>if(isna(VLOOKUP(B30,Checkin!A:B,2,false)),0,VLOOKUP(B30,Checkin!A:B,2,false))</f>
        <v>0</v>
      </c>
      <c r="G30" s="44">
        <f>if(OR($F30=1, $F30=2),VLOOKUP($B30,Courts!$B$2:$K$50,10,false),0)</f>
        <v>0</v>
      </c>
      <c r="H30" s="46">
        <f t="shared" si="3"/>
        <v>0</v>
      </c>
      <c r="I30" s="44">
        <f>if(OR($F30=1, $F30=2),VLOOKUP($B30,Courts!$B$2:$J$50,5,false),0)</f>
        <v>0</v>
      </c>
      <c r="J30" s="44">
        <f>if(OR($F30=1, $F30=2),VLOOKUP($B30,Courts!$B$2:$J$50,6,false),0)</f>
        <v>0</v>
      </c>
      <c r="K30" s="44">
        <f>if(OR($F30=1, $F30=2),VLOOKUP($B30,Courts!$B$2:$J$50,7,false),0)</f>
        <v>0</v>
      </c>
      <c r="L30" s="48">
        <f t="shared" si="4"/>
        <v>0</v>
      </c>
      <c r="M30" s="44">
        <f>if(OR($F30=1, $F30=2),VLOOKUP($B30,Courts!$B$2:$J$50,9,false),0)</f>
        <v>0</v>
      </c>
      <c r="N30" s="37">
        <f t="shared" ref="N30:O30" si="37">C30+L30</f>
        <v>182</v>
      </c>
      <c r="O30" s="37">
        <f t="shared" si="37"/>
        <v>15</v>
      </c>
      <c r="P30" s="50" t="s">
        <v>60</v>
      </c>
      <c r="Q30" s="50" t="s">
        <v>60</v>
      </c>
      <c r="R30" s="50" t="s">
        <v>60</v>
      </c>
      <c r="S30" s="51">
        <f t="shared" si="6"/>
        <v>9</v>
      </c>
      <c r="T30" s="52">
        <f t="shared" si="7"/>
        <v>1</v>
      </c>
      <c r="U30" s="52"/>
      <c r="V30" s="51">
        <f t="shared" si="8"/>
        <v>5</v>
      </c>
      <c r="W30" s="52">
        <f t="shared" si="9"/>
        <v>-1</v>
      </c>
      <c r="X30" s="35">
        <f t="shared" si="14"/>
        <v>26</v>
      </c>
      <c r="Y30" s="35" t="str">
        <f t="shared" si="10"/>
        <v>N</v>
      </c>
      <c r="Z30" s="22" t="str">
        <f t="shared" si="11"/>
        <v/>
      </c>
    </row>
    <row r="31">
      <c r="A31" s="35">
        <f t="shared" si="12"/>
        <v>27</v>
      </c>
      <c r="B31" s="36" t="s">
        <v>120</v>
      </c>
      <c r="C31" s="37">
        <v>182.0</v>
      </c>
      <c r="D31" s="37">
        <v>12.0</v>
      </c>
      <c r="E31" s="42">
        <f t="shared" si="2"/>
        <v>16.16666667</v>
      </c>
      <c r="F31" s="43">
        <f>if(isna(VLOOKUP(B31,Checkin!A:B,2,false)),0,VLOOKUP(B31,Checkin!A:B,2,false))</f>
        <v>0</v>
      </c>
      <c r="G31" s="44">
        <f>if(OR($F31=1, $F31=2),VLOOKUP($B31,Courts!$B$2:$K$50,10,false),0)</f>
        <v>0</v>
      </c>
      <c r="H31" s="46">
        <f t="shared" si="3"/>
        <v>0</v>
      </c>
      <c r="I31" s="44">
        <f>if(OR($F31=1, $F31=2),VLOOKUP($B31,Courts!$B$2:$J$50,5,false),0)</f>
        <v>0</v>
      </c>
      <c r="J31" s="44">
        <f>if(OR($F31=1, $F31=2),VLOOKUP($B31,Courts!$B$2:$J$50,6,false),0)</f>
        <v>0</v>
      </c>
      <c r="K31" s="44">
        <f>if(OR($F31=1, $F31=2),VLOOKUP($B31,Courts!$B$2:$J$50,7,false),0)</f>
        <v>0</v>
      </c>
      <c r="L31" s="48">
        <f t="shared" si="4"/>
        <v>0</v>
      </c>
      <c r="M31" s="44">
        <f>if(OR($F31=1, $F31=2),VLOOKUP($B31,Courts!$B$2:$J$50,9,false),0)</f>
        <v>0</v>
      </c>
      <c r="N31" s="37">
        <f t="shared" ref="N31:O31" si="38">C31+L31</f>
        <v>182</v>
      </c>
      <c r="O31" s="37">
        <f t="shared" si="38"/>
        <v>12</v>
      </c>
      <c r="P31" s="50" t="s">
        <v>60</v>
      </c>
      <c r="Q31" s="50" t="s">
        <v>60</v>
      </c>
      <c r="R31" s="50" t="s">
        <v>60</v>
      </c>
      <c r="S31" s="51">
        <f t="shared" si="6"/>
        <v>6</v>
      </c>
      <c r="T31" s="52">
        <f t="shared" si="7"/>
        <v>1</v>
      </c>
      <c r="U31" s="52"/>
      <c r="V31" s="51">
        <f t="shared" si="8"/>
        <v>8</v>
      </c>
      <c r="W31" s="52">
        <f t="shared" si="9"/>
        <v>4</v>
      </c>
      <c r="X31" s="35">
        <f t="shared" si="14"/>
        <v>27</v>
      </c>
      <c r="Y31" s="35" t="str">
        <f t="shared" si="10"/>
        <v>N</v>
      </c>
      <c r="Z31" s="22" t="str">
        <f t="shared" si="11"/>
        <v/>
      </c>
    </row>
    <row r="32">
      <c r="A32" s="35">
        <f t="shared" si="12"/>
        <v>28</v>
      </c>
      <c r="B32" s="36" t="s">
        <v>127</v>
      </c>
      <c r="C32" s="37">
        <v>181.0</v>
      </c>
      <c r="D32" s="37">
        <v>14.0</v>
      </c>
      <c r="E32" s="42">
        <f t="shared" si="2"/>
        <v>13.22222222</v>
      </c>
      <c r="F32" s="43">
        <f>if(isna(VLOOKUP(B32,Checkin!A:B,2,false)),0,VLOOKUP(B32,Checkin!A:B,2,false))</f>
        <v>0</v>
      </c>
      <c r="G32" s="44">
        <f>if(OR($F32=1, $F32=2),VLOOKUP($B32,Courts!$B$2:$K$50,10,false),0)</f>
        <v>0</v>
      </c>
      <c r="H32" s="46">
        <f t="shared" si="3"/>
        <v>0</v>
      </c>
      <c r="I32" s="44">
        <f>if(OR($F32=1, $F32=2),VLOOKUP($B32,Courts!$B$2:$J$50,5,false),0)</f>
        <v>0</v>
      </c>
      <c r="J32" s="44">
        <f>if(OR($F32=1, $F32=2),VLOOKUP($B32,Courts!$B$2:$J$50,6,false),0)</f>
        <v>0</v>
      </c>
      <c r="K32" s="44">
        <f>if(OR($F32=1, $F32=2),VLOOKUP($B32,Courts!$B$2:$J$50,7,false),0)</f>
        <v>0</v>
      </c>
      <c r="L32" s="48">
        <f t="shared" si="4"/>
        <v>0</v>
      </c>
      <c r="M32" s="44">
        <f>if(OR($F32=1, $F32=2),VLOOKUP($B32,Courts!$B$2:$J$50,9,false),0)</f>
        <v>0</v>
      </c>
      <c r="N32" s="37">
        <f t="shared" ref="N32:O32" si="39">C32+L32</f>
        <v>181</v>
      </c>
      <c r="O32" s="37">
        <f t="shared" si="39"/>
        <v>14</v>
      </c>
      <c r="P32" s="50" t="s">
        <v>60</v>
      </c>
      <c r="Q32" s="50" t="s">
        <v>60</v>
      </c>
      <c r="R32" s="50" t="s">
        <v>60</v>
      </c>
      <c r="S32" s="51">
        <f t="shared" si="6"/>
        <v>9</v>
      </c>
      <c r="T32" s="52">
        <f t="shared" si="7"/>
        <v>2</v>
      </c>
      <c r="U32" s="52"/>
      <c r="V32" s="51">
        <f t="shared" si="8"/>
        <v>4</v>
      </c>
      <c r="W32" s="52">
        <f t="shared" si="9"/>
        <v>1</v>
      </c>
      <c r="X32" s="35">
        <f t="shared" si="14"/>
        <v>28</v>
      </c>
      <c r="Y32" s="35" t="str">
        <f t="shared" si="10"/>
        <v>N</v>
      </c>
      <c r="Z32" s="22" t="str">
        <f t="shared" si="11"/>
        <v/>
      </c>
    </row>
    <row r="33">
      <c r="A33" s="35">
        <f t="shared" si="12"/>
        <v>29</v>
      </c>
      <c r="B33" s="36" t="s">
        <v>126</v>
      </c>
      <c r="C33" s="37">
        <v>181.0</v>
      </c>
      <c r="D33" s="37">
        <v>12.0</v>
      </c>
      <c r="E33" s="42">
        <f t="shared" si="2"/>
        <v>16</v>
      </c>
      <c r="F33" s="43">
        <f>if(isna(VLOOKUP(B33,Checkin!A:B,2,false)),0,VLOOKUP(B33,Checkin!A:B,2,false))</f>
        <v>0</v>
      </c>
      <c r="G33" s="44">
        <f>if(OR($F33=1, $F33=2),VLOOKUP($B33,Courts!$B$2:$K$50,10,false),0)</f>
        <v>0</v>
      </c>
      <c r="H33" s="46">
        <f t="shared" si="3"/>
        <v>0</v>
      </c>
      <c r="I33" s="44">
        <f>if(OR($F33=1, $F33=2),VLOOKUP($B33,Courts!$B$2:$J$50,5,false),0)</f>
        <v>0</v>
      </c>
      <c r="J33" s="44">
        <f>if(OR($F33=1, $F33=2),VLOOKUP($B33,Courts!$B$2:$J$50,6,false),0)</f>
        <v>0</v>
      </c>
      <c r="K33" s="44">
        <f>if(OR($F33=1, $F33=2),VLOOKUP($B33,Courts!$B$2:$J$50,7,false),0)</f>
        <v>0</v>
      </c>
      <c r="L33" s="48">
        <f t="shared" si="4"/>
        <v>0</v>
      </c>
      <c r="M33" s="44">
        <f>if(OR($F33=1, $F33=2),VLOOKUP($B33,Courts!$B$2:$J$50,9,false),0)</f>
        <v>0</v>
      </c>
      <c r="N33" s="37">
        <f t="shared" ref="N33:O33" si="40">C33+L33</f>
        <v>181</v>
      </c>
      <c r="O33" s="37">
        <f t="shared" si="40"/>
        <v>12</v>
      </c>
      <c r="P33" s="50" t="s">
        <v>60</v>
      </c>
      <c r="Q33" s="50" t="s">
        <v>60</v>
      </c>
      <c r="R33" s="50" t="s">
        <v>60</v>
      </c>
      <c r="S33" s="51">
        <f t="shared" si="6"/>
        <v>6</v>
      </c>
      <c r="T33" s="52">
        <f t="shared" si="7"/>
        <v>1</v>
      </c>
      <c r="U33" s="52"/>
      <c r="V33" s="51">
        <f t="shared" si="8"/>
        <v>8</v>
      </c>
      <c r="W33" s="52">
        <f t="shared" si="9"/>
        <v>-5</v>
      </c>
      <c r="X33" s="35">
        <f t="shared" si="14"/>
        <v>29</v>
      </c>
      <c r="Y33" s="35" t="str">
        <f t="shared" si="10"/>
        <v>N</v>
      </c>
      <c r="Z33" s="22" t="str">
        <f t="shared" si="11"/>
        <v/>
      </c>
    </row>
    <row r="34">
      <c r="A34" s="35">
        <f t="shared" si="12"/>
        <v>30</v>
      </c>
      <c r="B34" s="36" t="s">
        <v>130</v>
      </c>
      <c r="C34" s="37">
        <v>178.0</v>
      </c>
      <c r="D34" s="37">
        <v>14.0</v>
      </c>
      <c r="E34" s="42">
        <f t="shared" si="2"/>
        <v>14</v>
      </c>
      <c r="F34" s="43">
        <f>if(isna(VLOOKUP(B34,Checkin!A:B,2,false)),0,VLOOKUP(B34,Checkin!A:B,2,false))</f>
        <v>0</v>
      </c>
      <c r="G34" s="44">
        <f>if(OR($F34=1, $F34=2),VLOOKUP($B34,Courts!$B$2:$K$50,10,false),0)</f>
        <v>0</v>
      </c>
      <c r="H34" s="46">
        <f t="shared" si="3"/>
        <v>0</v>
      </c>
      <c r="I34" s="44">
        <f>if(OR($F34=1, $F34=2),VLOOKUP($B34,Courts!$B$2:$J$50,5,false),0)</f>
        <v>0</v>
      </c>
      <c r="J34" s="44">
        <f>if(OR($F34=1, $F34=2),VLOOKUP($B34,Courts!$B$2:$J$50,6,false),0)</f>
        <v>0</v>
      </c>
      <c r="K34" s="44">
        <f>if(OR($F34=1, $F34=2),VLOOKUP($B34,Courts!$B$2:$J$50,7,false),0)</f>
        <v>0</v>
      </c>
      <c r="L34" s="48">
        <f t="shared" si="4"/>
        <v>0</v>
      </c>
      <c r="M34" s="44">
        <f>if(OR($F34=1, $F34=2),VLOOKUP($B34,Courts!$B$2:$J$50,9,false),0)</f>
        <v>0</v>
      </c>
      <c r="N34" s="37">
        <f t="shared" ref="N34:O34" si="41">C34+L34</f>
        <v>178</v>
      </c>
      <c r="O34" s="37">
        <f t="shared" si="41"/>
        <v>14</v>
      </c>
      <c r="P34" s="50" t="s">
        <v>60</v>
      </c>
      <c r="Q34" s="50" t="s">
        <v>60</v>
      </c>
      <c r="R34" s="50" t="s">
        <v>60</v>
      </c>
      <c r="S34" s="51">
        <f t="shared" si="6"/>
        <v>7</v>
      </c>
      <c r="T34" s="52">
        <f t="shared" si="7"/>
        <v>2</v>
      </c>
      <c r="U34" s="52"/>
      <c r="V34" s="51">
        <f t="shared" si="8"/>
        <v>6</v>
      </c>
      <c r="W34" s="52">
        <f t="shared" si="9"/>
        <v>-4</v>
      </c>
      <c r="X34" s="35">
        <f t="shared" si="14"/>
        <v>30</v>
      </c>
      <c r="Y34" s="35" t="str">
        <f t="shared" si="10"/>
        <v>N</v>
      </c>
      <c r="Z34" s="22" t="str">
        <f t="shared" si="11"/>
        <v/>
      </c>
    </row>
    <row r="35">
      <c r="A35" s="35">
        <f t="shared" si="12"/>
        <v>31</v>
      </c>
      <c r="B35" s="36" t="s">
        <v>115</v>
      </c>
      <c r="C35" s="37">
        <v>178.0</v>
      </c>
      <c r="D35" s="37">
        <v>10.0</v>
      </c>
      <c r="E35" s="42">
        <f t="shared" si="2"/>
        <v>13.875</v>
      </c>
      <c r="F35" s="43">
        <f>if(isna(VLOOKUP(B35,Checkin!A:B,2,false)),0,VLOOKUP(B35,Checkin!A:B,2,false))</f>
        <v>0</v>
      </c>
      <c r="G35" s="44">
        <f>if(OR($F35=1, $F35=2),VLOOKUP($B35,Courts!$B$2:$K$50,10,false),0)</f>
        <v>0</v>
      </c>
      <c r="H35" s="46">
        <f t="shared" si="3"/>
        <v>0</v>
      </c>
      <c r="I35" s="44">
        <f>if(OR($F35=1, $F35=2),VLOOKUP($B35,Courts!$B$2:$J$50,5,false),0)</f>
        <v>0</v>
      </c>
      <c r="J35" s="44">
        <f>if(OR($F35=1, $F35=2),VLOOKUP($B35,Courts!$B$2:$J$50,6,false),0)</f>
        <v>0</v>
      </c>
      <c r="K35" s="44">
        <f>if(OR($F35=1, $F35=2),VLOOKUP($B35,Courts!$B$2:$J$50,7,false),0)</f>
        <v>0</v>
      </c>
      <c r="L35" s="48">
        <f t="shared" si="4"/>
        <v>0</v>
      </c>
      <c r="M35" s="44">
        <f>if(OR($F35=1, $F35=2),VLOOKUP($B35,Courts!$B$2:$J$50,9,false),0)</f>
        <v>0</v>
      </c>
      <c r="N35" s="37">
        <f t="shared" ref="N35:O35" si="42">C35+L35</f>
        <v>178</v>
      </c>
      <c r="O35" s="37">
        <f t="shared" si="42"/>
        <v>10</v>
      </c>
      <c r="P35" s="50" t="s">
        <v>60</v>
      </c>
      <c r="Q35" s="50" t="s">
        <v>60</v>
      </c>
      <c r="R35" s="50" t="s">
        <v>60</v>
      </c>
      <c r="S35" s="51">
        <f t="shared" si="6"/>
        <v>8</v>
      </c>
      <c r="T35" s="52">
        <f t="shared" si="7"/>
        <v>1</v>
      </c>
      <c r="U35" s="52"/>
      <c r="V35" s="51">
        <f t="shared" si="8"/>
        <v>6</v>
      </c>
      <c r="W35" s="52">
        <f t="shared" si="9"/>
        <v>-4</v>
      </c>
      <c r="X35" s="35">
        <f t="shared" si="14"/>
        <v>31</v>
      </c>
      <c r="Y35" s="35" t="str">
        <f t="shared" si="10"/>
        <v>N</v>
      </c>
      <c r="Z35" s="22" t="str">
        <f t="shared" si="11"/>
        <v/>
      </c>
    </row>
    <row r="36">
      <c r="A36" s="35">
        <f t="shared" si="12"/>
        <v>32</v>
      </c>
      <c r="B36" s="36" t="s">
        <v>90</v>
      </c>
      <c r="C36" s="37">
        <v>178.0</v>
      </c>
      <c r="D36" s="37">
        <v>8.0</v>
      </c>
      <c r="E36" s="42">
        <f t="shared" si="2"/>
        <v>13.5</v>
      </c>
      <c r="F36" s="43">
        <f>if(isna(VLOOKUP(B36,Checkin!A:B,2,false)),0,VLOOKUP(B36,Checkin!A:B,2,false))</f>
        <v>0</v>
      </c>
      <c r="G36" s="44">
        <f>if(OR($F36=1, $F36=2),VLOOKUP($B36,Courts!$B$2:$K$50,10,false),0)</f>
        <v>0</v>
      </c>
      <c r="H36" s="46">
        <f t="shared" si="3"/>
        <v>0</v>
      </c>
      <c r="I36" s="44">
        <f>if(OR($F36=1, $F36=2),VLOOKUP($B36,Courts!$B$2:$J$50,5,false),0)</f>
        <v>0</v>
      </c>
      <c r="J36" s="44">
        <f>if(OR($F36=1, $F36=2),VLOOKUP($B36,Courts!$B$2:$J$50,6,false),0)</f>
        <v>0</v>
      </c>
      <c r="K36" s="44">
        <f>if(OR($F36=1, $F36=2),VLOOKUP($B36,Courts!$B$2:$J$50,7,false),0)</f>
        <v>0</v>
      </c>
      <c r="L36" s="48">
        <f t="shared" si="4"/>
        <v>0</v>
      </c>
      <c r="M36" s="44">
        <f>if(OR($F36=1, $F36=2),VLOOKUP($B36,Courts!$B$2:$J$50,9,false),0)</f>
        <v>0</v>
      </c>
      <c r="N36" s="37">
        <f t="shared" ref="N36:O36" si="43">C36+L36</f>
        <v>178</v>
      </c>
      <c r="O36" s="37">
        <f t="shared" si="43"/>
        <v>8</v>
      </c>
      <c r="P36" s="50" t="s">
        <v>60</v>
      </c>
      <c r="Q36" s="50" t="s">
        <v>60</v>
      </c>
      <c r="R36" s="50" t="s">
        <v>60</v>
      </c>
      <c r="S36" s="51">
        <f t="shared" si="6"/>
        <v>6</v>
      </c>
      <c r="T36" s="52">
        <f t="shared" si="7"/>
        <v>4</v>
      </c>
      <c r="U36" s="52"/>
      <c r="V36" s="51">
        <f t="shared" si="8"/>
        <v>5</v>
      </c>
      <c r="W36" s="52">
        <f t="shared" si="9"/>
        <v>3</v>
      </c>
      <c r="X36" s="35">
        <f t="shared" si="14"/>
        <v>32</v>
      </c>
      <c r="Y36" s="35" t="str">
        <f t="shared" si="10"/>
        <v>N</v>
      </c>
      <c r="Z36" s="22" t="str">
        <f t="shared" si="11"/>
        <v/>
      </c>
    </row>
    <row r="37">
      <c r="A37" s="35">
        <f t="shared" si="12"/>
        <v>33</v>
      </c>
      <c r="B37" s="36" t="s">
        <v>133</v>
      </c>
      <c r="C37" s="37">
        <v>176.0</v>
      </c>
      <c r="D37" s="37">
        <v>10.0</v>
      </c>
      <c r="E37" s="42">
        <f t="shared" si="2"/>
        <v>13.625</v>
      </c>
      <c r="F37" s="43">
        <f>if(isna(VLOOKUP(B37,Checkin!A:B,2,false)),0,VLOOKUP(B37,Checkin!A:B,2,false))</f>
        <v>0</v>
      </c>
      <c r="G37" s="44">
        <f>if(OR($F37=1, $F37=2),VLOOKUP($B37,Courts!$B$2:$K$50,10,false),0)</f>
        <v>0</v>
      </c>
      <c r="H37" s="46">
        <f t="shared" si="3"/>
        <v>0</v>
      </c>
      <c r="I37" s="44">
        <f>if(OR($F37=1, $F37=2),VLOOKUP($B37,Courts!$B$2:$J$50,5,false),0)</f>
        <v>0</v>
      </c>
      <c r="J37" s="44">
        <f>if(OR($F37=1, $F37=2),VLOOKUP($B37,Courts!$B$2:$J$50,6,false),0)</f>
        <v>0</v>
      </c>
      <c r="K37" s="44">
        <f>if(OR($F37=1, $F37=2),VLOOKUP($B37,Courts!$B$2:$J$50,7,false),0)</f>
        <v>0</v>
      </c>
      <c r="L37" s="48">
        <f t="shared" si="4"/>
        <v>0</v>
      </c>
      <c r="M37" s="44">
        <f>if(OR($F37=1, $F37=2),VLOOKUP($B37,Courts!$B$2:$J$50,9,false),0)</f>
        <v>0</v>
      </c>
      <c r="N37" s="37">
        <f t="shared" ref="N37:O37" si="44">C37+L37</f>
        <v>176</v>
      </c>
      <c r="O37" s="37">
        <f t="shared" si="44"/>
        <v>10</v>
      </c>
      <c r="P37" s="50" t="s">
        <v>60</v>
      </c>
      <c r="Q37" s="50" t="s">
        <v>60</v>
      </c>
      <c r="R37" s="50" t="s">
        <v>60</v>
      </c>
      <c r="S37" s="51">
        <f t="shared" si="6"/>
        <v>8</v>
      </c>
      <c r="T37" s="52">
        <f t="shared" si="7"/>
        <v>1</v>
      </c>
      <c r="U37" s="52"/>
      <c r="V37" s="51">
        <f t="shared" si="8"/>
        <v>6</v>
      </c>
      <c r="W37" s="52">
        <f t="shared" si="9"/>
        <v>6</v>
      </c>
      <c r="X37" s="35">
        <f t="shared" si="14"/>
        <v>33</v>
      </c>
      <c r="Y37" s="35" t="str">
        <f t="shared" si="10"/>
        <v>N</v>
      </c>
      <c r="Z37" s="22" t="str">
        <f t="shared" si="11"/>
        <v/>
      </c>
    </row>
    <row r="38">
      <c r="A38" s="35">
        <f t="shared" si="12"/>
        <v>34</v>
      </c>
      <c r="B38" s="36" t="s">
        <v>142</v>
      </c>
      <c r="C38" s="37">
        <v>175.0</v>
      </c>
      <c r="D38" s="37">
        <v>10.0</v>
      </c>
      <c r="E38" s="42">
        <f t="shared" si="2"/>
        <v>18</v>
      </c>
      <c r="F38" s="43">
        <f>if(isna(VLOOKUP(B38,Checkin!A:B,2,false)),0,VLOOKUP(B38,Checkin!A:B,2,false))</f>
        <v>0</v>
      </c>
      <c r="G38" s="44">
        <f>if(OR($F38=1, $F38=2),VLOOKUP($B38,Courts!$B$2:$K$50,10,false),0)</f>
        <v>0</v>
      </c>
      <c r="H38" s="46">
        <f t="shared" si="3"/>
        <v>0</v>
      </c>
      <c r="I38" s="44">
        <f>if(OR($F38=1, $F38=2),VLOOKUP($B38,Courts!$B$2:$J$50,5,false),0)</f>
        <v>0</v>
      </c>
      <c r="J38" s="44">
        <f>if(OR($F38=1, $F38=2),VLOOKUP($B38,Courts!$B$2:$J$50,6,false),0)</f>
        <v>0</v>
      </c>
      <c r="K38" s="44">
        <f>if(OR($F38=1, $F38=2),VLOOKUP($B38,Courts!$B$2:$J$50,7,false),0)</f>
        <v>0</v>
      </c>
      <c r="L38" s="48">
        <f t="shared" si="4"/>
        <v>0</v>
      </c>
      <c r="M38" s="44">
        <f>if(OR($F38=1, $F38=2),VLOOKUP($B38,Courts!$B$2:$J$50,9,false),0)</f>
        <v>0</v>
      </c>
      <c r="N38" s="37">
        <f t="shared" ref="N38:O38" si="45">C38+L38</f>
        <v>175</v>
      </c>
      <c r="O38" s="37">
        <f t="shared" si="45"/>
        <v>10</v>
      </c>
      <c r="P38" s="50" t="s">
        <v>60</v>
      </c>
      <c r="Q38" s="50" t="s">
        <v>60</v>
      </c>
      <c r="R38" s="50" t="s">
        <v>60</v>
      </c>
      <c r="S38" s="51">
        <f t="shared" si="6"/>
        <v>4</v>
      </c>
      <c r="T38" s="52">
        <f t="shared" si="7"/>
        <v>1</v>
      </c>
      <c r="U38" s="52"/>
      <c r="V38" s="51">
        <f t="shared" si="8"/>
        <v>10</v>
      </c>
      <c r="W38" s="52">
        <f t="shared" si="9"/>
        <v>-2</v>
      </c>
      <c r="X38" s="35">
        <f t="shared" si="14"/>
        <v>34</v>
      </c>
      <c r="Y38" s="35" t="str">
        <f t="shared" si="10"/>
        <v>N</v>
      </c>
      <c r="Z38" s="22" t="str">
        <f t="shared" si="11"/>
        <v/>
      </c>
    </row>
    <row r="39">
      <c r="A39" s="35">
        <f t="shared" si="12"/>
        <v>35</v>
      </c>
      <c r="B39" s="36" t="s">
        <v>105</v>
      </c>
      <c r="C39" s="37">
        <v>175.0</v>
      </c>
      <c r="D39" s="37">
        <v>9.0</v>
      </c>
      <c r="E39" s="42">
        <f t="shared" si="2"/>
        <v>13.57142857</v>
      </c>
      <c r="F39" s="43">
        <f>if(isna(VLOOKUP(B39,Checkin!A:B,2,false)),0,VLOOKUP(B39,Checkin!A:B,2,false))</f>
        <v>0</v>
      </c>
      <c r="G39" s="44">
        <f>if(OR($F39=1, $F39=2),VLOOKUP($B39,Courts!$B$2:$K$50,10,false),0)</f>
        <v>0</v>
      </c>
      <c r="H39" s="46">
        <f t="shared" si="3"/>
        <v>0</v>
      </c>
      <c r="I39" s="44">
        <f>if(OR($F39=1, $F39=2),VLOOKUP($B39,Courts!$B$2:$J$50,5,false),0)</f>
        <v>0</v>
      </c>
      <c r="J39" s="44">
        <f>if(OR($F39=1, $F39=2),VLOOKUP($B39,Courts!$B$2:$J$50,6,false),0)</f>
        <v>0</v>
      </c>
      <c r="K39" s="44">
        <f>if(OR($F39=1, $F39=2),VLOOKUP($B39,Courts!$B$2:$J$50,7,false),0)</f>
        <v>0</v>
      </c>
      <c r="L39" s="48">
        <f t="shared" si="4"/>
        <v>0</v>
      </c>
      <c r="M39" s="44">
        <f>if(OR($F39=1, $F39=2),VLOOKUP($B39,Courts!$B$2:$J$50,9,false),0)</f>
        <v>0</v>
      </c>
      <c r="N39" s="37">
        <f t="shared" ref="N39:O39" si="46">C39+L39</f>
        <v>175</v>
      </c>
      <c r="O39" s="37">
        <f t="shared" si="46"/>
        <v>9</v>
      </c>
      <c r="P39" s="50" t="s">
        <v>60</v>
      </c>
      <c r="Q39" s="50" t="s">
        <v>60</v>
      </c>
      <c r="R39" s="50" t="s">
        <v>60</v>
      </c>
      <c r="S39" s="51">
        <f t="shared" si="6"/>
        <v>7</v>
      </c>
      <c r="T39" s="52">
        <f t="shared" si="7"/>
        <v>2</v>
      </c>
      <c r="U39" s="52"/>
      <c r="V39" s="51">
        <f t="shared" si="8"/>
        <v>6</v>
      </c>
      <c r="W39" s="52">
        <f t="shared" si="9"/>
        <v>2</v>
      </c>
      <c r="X39" s="35">
        <f t="shared" si="14"/>
        <v>35</v>
      </c>
      <c r="Y39" s="35" t="str">
        <f t="shared" si="10"/>
        <v>N</v>
      </c>
      <c r="Z39" s="22" t="str">
        <f t="shared" si="11"/>
        <v/>
      </c>
    </row>
    <row r="40">
      <c r="A40" s="35">
        <f t="shared" si="12"/>
        <v>36</v>
      </c>
      <c r="B40" s="36" t="s">
        <v>87</v>
      </c>
      <c r="C40" s="37">
        <v>174.0</v>
      </c>
      <c r="D40" s="37">
        <v>10.0</v>
      </c>
      <c r="E40" s="42">
        <f t="shared" si="2"/>
        <v>11.69230769</v>
      </c>
      <c r="F40" s="43">
        <f>if(isna(VLOOKUP(B40,Checkin!A:B,2,false)),0,VLOOKUP(B40,Checkin!A:B,2,false))</f>
        <v>0</v>
      </c>
      <c r="G40" s="44">
        <f>if(OR($F40=1, $F40=2),VLOOKUP($B40,Courts!$B$2:$K$50,10,false),0)</f>
        <v>0</v>
      </c>
      <c r="H40" s="46">
        <f t="shared" si="3"/>
        <v>0</v>
      </c>
      <c r="I40" s="44">
        <f>if(OR($F40=1, $F40=2),VLOOKUP($B40,Courts!$B$2:$J$50,5,false),0)</f>
        <v>0</v>
      </c>
      <c r="J40" s="44">
        <f>if(OR($F40=1, $F40=2),VLOOKUP($B40,Courts!$B$2:$J$50,6,false),0)</f>
        <v>0</v>
      </c>
      <c r="K40" s="44">
        <f>if(OR($F40=1, $F40=2),VLOOKUP($B40,Courts!$B$2:$J$50,7,false),0)</f>
        <v>0</v>
      </c>
      <c r="L40" s="48">
        <f t="shared" si="4"/>
        <v>0</v>
      </c>
      <c r="M40" s="44">
        <f>if(OR($F40=1, $F40=2),VLOOKUP($B40,Courts!$B$2:$J$50,9,false),0)</f>
        <v>0</v>
      </c>
      <c r="N40" s="37">
        <f t="shared" ref="N40:O40" si="47">C40+L40</f>
        <v>174</v>
      </c>
      <c r="O40" s="37">
        <f t="shared" si="47"/>
        <v>10</v>
      </c>
      <c r="P40" s="50" t="s">
        <v>60</v>
      </c>
      <c r="Q40" s="50" t="s">
        <v>60</v>
      </c>
      <c r="R40" s="50" t="s">
        <v>60</v>
      </c>
      <c r="S40" s="51">
        <f t="shared" si="6"/>
        <v>13</v>
      </c>
      <c r="T40" s="52">
        <f t="shared" si="7"/>
        <v>1</v>
      </c>
      <c r="U40" s="52"/>
      <c r="V40" s="51">
        <f t="shared" si="8"/>
        <v>1</v>
      </c>
      <c r="W40" s="52">
        <f t="shared" si="9"/>
        <v>-6</v>
      </c>
      <c r="X40" s="35">
        <f t="shared" si="14"/>
        <v>36</v>
      </c>
      <c r="Y40" s="35" t="str">
        <f t="shared" si="10"/>
        <v>N</v>
      </c>
      <c r="Z40" s="22" t="str">
        <f t="shared" si="11"/>
        <v/>
      </c>
    </row>
    <row r="41">
      <c r="A41" s="35">
        <f t="shared" si="12"/>
        <v>37</v>
      </c>
      <c r="B41" s="36" t="s">
        <v>109</v>
      </c>
      <c r="C41" s="37">
        <v>174.0</v>
      </c>
      <c r="D41" s="37">
        <v>7.0</v>
      </c>
      <c r="E41" s="42">
        <f t="shared" si="2"/>
        <v>12.28571429</v>
      </c>
      <c r="F41" s="43">
        <f>if(isna(VLOOKUP(B41,Checkin!A:B,2,false)),0,VLOOKUP(B41,Checkin!A:B,2,false))</f>
        <v>0</v>
      </c>
      <c r="G41" s="44">
        <f>if(OR($F41=1, $F41=2),VLOOKUP($B41,Courts!$B$2:$K$50,10,false),0)</f>
        <v>0</v>
      </c>
      <c r="H41" s="46">
        <f t="shared" si="3"/>
        <v>0</v>
      </c>
      <c r="I41" s="44">
        <f>if(OR($F41=1, $F41=2),VLOOKUP($B41,Courts!$B$2:$J$50,5,false),0)</f>
        <v>0</v>
      </c>
      <c r="J41" s="44">
        <f>if(OR($F41=1, $F41=2),VLOOKUP($B41,Courts!$B$2:$J$50,6,false),0)</f>
        <v>0</v>
      </c>
      <c r="K41" s="44">
        <f>if(OR($F41=1, $F41=2),VLOOKUP($B41,Courts!$B$2:$J$50,7,false),0)</f>
        <v>0</v>
      </c>
      <c r="L41" s="48">
        <f t="shared" si="4"/>
        <v>0</v>
      </c>
      <c r="M41" s="44">
        <f>if(OR($F41=1, $F41=2),VLOOKUP($B41,Courts!$B$2:$J$50,9,false),0)</f>
        <v>0</v>
      </c>
      <c r="N41" s="37">
        <f t="shared" ref="N41:O41" si="48">C41+L41</f>
        <v>174</v>
      </c>
      <c r="O41" s="37">
        <f t="shared" si="48"/>
        <v>7</v>
      </c>
      <c r="P41" s="50" t="s">
        <v>60</v>
      </c>
      <c r="Q41" s="50" t="s">
        <v>60</v>
      </c>
      <c r="R41" s="50" t="s">
        <v>60</v>
      </c>
      <c r="S41" s="51">
        <f t="shared" si="6"/>
        <v>7</v>
      </c>
      <c r="T41" s="52">
        <f t="shared" si="7"/>
        <v>4</v>
      </c>
      <c r="U41" s="52"/>
      <c r="V41" s="51">
        <f t="shared" si="8"/>
        <v>4</v>
      </c>
      <c r="W41" s="52">
        <f t="shared" si="9"/>
        <v>1</v>
      </c>
      <c r="X41" s="35">
        <f t="shared" si="14"/>
        <v>37</v>
      </c>
      <c r="Y41" s="35" t="str">
        <f t="shared" si="10"/>
        <v>N</v>
      </c>
      <c r="Z41" s="22" t="str">
        <f t="shared" si="11"/>
        <v/>
      </c>
    </row>
    <row r="42">
      <c r="A42" s="35">
        <f t="shared" si="12"/>
        <v>38</v>
      </c>
      <c r="B42" s="36" t="s">
        <v>136</v>
      </c>
      <c r="C42" s="37">
        <v>173.0</v>
      </c>
      <c r="D42" s="37">
        <v>9.0</v>
      </c>
      <c r="E42" s="42">
        <f t="shared" si="2"/>
        <v>12.75</v>
      </c>
      <c r="F42" s="43">
        <f>if(isna(VLOOKUP(B42,Checkin!A:B,2,false)),0,VLOOKUP(B42,Checkin!A:B,2,false))</f>
        <v>0</v>
      </c>
      <c r="G42" s="44">
        <f>if(OR($F42=1, $F42=2),VLOOKUP($B42,Courts!$B$2:$K$50,10,false),0)</f>
        <v>0</v>
      </c>
      <c r="H42" s="46">
        <f t="shared" si="3"/>
        <v>0</v>
      </c>
      <c r="I42" s="44">
        <f>if(OR($F42=1, $F42=2),VLOOKUP($B42,Courts!$B$2:$J$50,5,false),0)</f>
        <v>0</v>
      </c>
      <c r="J42" s="44">
        <f>if(OR($F42=1, $F42=2),VLOOKUP($B42,Courts!$B$2:$J$50,6,false),0)</f>
        <v>0</v>
      </c>
      <c r="K42" s="44">
        <f>if(OR($F42=1, $F42=2),VLOOKUP($B42,Courts!$B$2:$J$50,7,false),0)</f>
        <v>0</v>
      </c>
      <c r="L42" s="48">
        <f t="shared" si="4"/>
        <v>0</v>
      </c>
      <c r="M42" s="44">
        <f>if(OR($F42=1, $F42=2),VLOOKUP($B42,Courts!$B$2:$J$50,9,false),0)</f>
        <v>0</v>
      </c>
      <c r="N42" s="37">
        <f t="shared" ref="N42:O42" si="49">C42+L42</f>
        <v>173</v>
      </c>
      <c r="O42" s="37">
        <f t="shared" si="49"/>
        <v>9</v>
      </c>
      <c r="P42" s="50" t="s">
        <v>60</v>
      </c>
      <c r="Q42" s="50" t="s">
        <v>60</v>
      </c>
      <c r="R42" s="50" t="s">
        <v>60</v>
      </c>
      <c r="S42" s="51">
        <f t="shared" si="6"/>
        <v>8</v>
      </c>
      <c r="T42" s="52">
        <f t="shared" si="7"/>
        <v>2</v>
      </c>
      <c r="U42" s="52"/>
      <c r="V42" s="51">
        <f t="shared" si="8"/>
        <v>5</v>
      </c>
      <c r="W42" s="52">
        <f t="shared" si="9"/>
        <v>-4</v>
      </c>
      <c r="X42" s="35">
        <f t="shared" si="14"/>
        <v>38</v>
      </c>
      <c r="Y42" s="35" t="str">
        <f t="shared" si="10"/>
        <v>N</v>
      </c>
      <c r="Z42" s="22" t="str">
        <f t="shared" si="11"/>
        <v/>
      </c>
    </row>
    <row r="43">
      <c r="A43" s="35">
        <f t="shared" si="12"/>
        <v>39</v>
      </c>
      <c r="B43" s="36" t="s">
        <v>114</v>
      </c>
      <c r="C43" s="37">
        <v>172.0</v>
      </c>
      <c r="D43" s="37">
        <v>12.0</v>
      </c>
      <c r="E43" s="42">
        <f t="shared" si="2"/>
        <v>12.625</v>
      </c>
      <c r="F43" s="43">
        <f>if(isna(VLOOKUP(B43,Checkin!A:B,2,false)),0,VLOOKUP(B43,Checkin!A:B,2,false))</f>
        <v>0</v>
      </c>
      <c r="G43" s="44">
        <f>if(OR($F43=1, $F43=2),VLOOKUP($B43,Courts!$B$2:$K$50,10,false),0)</f>
        <v>0</v>
      </c>
      <c r="H43" s="46">
        <f t="shared" si="3"/>
        <v>0</v>
      </c>
      <c r="I43" s="44">
        <f>if(OR($F43=1, $F43=2),VLOOKUP($B43,Courts!$B$2:$J$50,5,false),0)</f>
        <v>0</v>
      </c>
      <c r="J43" s="44">
        <f>if(OR($F43=1, $F43=2),VLOOKUP($B43,Courts!$B$2:$J$50,6,false),0)</f>
        <v>0</v>
      </c>
      <c r="K43" s="44">
        <f>if(OR($F43=1, $F43=2),VLOOKUP($B43,Courts!$B$2:$J$50,7,false),0)</f>
        <v>0</v>
      </c>
      <c r="L43" s="48">
        <f t="shared" si="4"/>
        <v>0</v>
      </c>
      <c r="M43" s="44">
        <f>if(OR($F43=1, $F43=2),VLOOKUP($B43,Courts!$B$2:$J$50,9,false),0)</f>
        <v>0</v>
      </c>
      <c r="N43" s="37">
        <f t="shared" ref="N43:O43" si="50">C43+L43</f>
        <v>172</v>
      </c>
      <c r="O43" s="37">
        <f t="shared" si="50"/>
        <v>12</v>
      </c>
      <c r="P43" s="50" t="s">
        <v>60</v>
      </c>
      <c r="Q43" s="50" t="s">
        <v>60</v>
      </c>
      <c r="R43" s="50" t="s">
        <v>60</v>
      </c>
      <c r="S43" s="51">
        <f t="shared" si="6"/>
        <v>8</v>
      </c>
      <c r="T43" s="52">
        <f t="shared" si="7"/>
        <v>2</v>
      </c>
      <c r="U43" s="52"/>
      <c r="V43" s="51">
        <f t="shared" si="8"/>
        <v>5</v>
      </c>
      <c r="W43" s="52">
        <f t="shared" si="9"/>
        <v>-3</v>
      </c>
      <c r="X43" s="35">
        <f t="shared" si="14"/>
        <v>39</v>
      </c>
      <c r="Y43" s="35" t="str">
        <f t="shared" si="10"/>
        <v>N</v>
      </c>
      <c r="Z43" s="22" t="str">
        <f t="shared" si="11"/>
        <v/>
      </c>
    </row>
    <row r="44">
      <c r="A44" s="35">
        <f t="shared" si="12"/>
        <v>40</v>
      </c>
      <c r="B44" s="36" t="s">
        <v>125</v>
      </c>
      <c r="C44" s="37">
        <v>172.0</v>
      </c>
      <c r="D44" s="37">
        <v>6.0</v>
      </c>
      <c r="E44" s="42">
        <f t="shared" si="2"/>
        <v>13.16666667</v>
      </c>
      <c r="F44" s="43">
        <f>if(isna(VLOOKUP(B44,Checkin!A:B,2,false)),0,VLOOKUP(B44,Checkin!A:B,2,false))</f>
        <v>0</v>
      </c>
      <c r="G44" s="44">
        <f>if(OR($F44=1, $F44=2),VLOOKUP($B44,Courts!$B$2:$K$50,10,false),0)</f>
        <v>0</v>
      </c>
      <c r="H44" s="46">
        <f t="shared" si="3"/>
        <v>0</v>
      </c>
      <c r="I44" s="44">
        <f>if(OR($F44=1, $F44=2),VLOOKUP($B44,Courts!$B$2:$J$50,5,false),0)</f>
        <v>0</v>
      </c>
      <c r="J44" s="44">
        <f>if(OR($F44=1, $F44=2),VLOOKUP($B44,Courts!$B$2:$J$50,6,false),0)</f>
        <v>0</v>
      </c>
      <c r="K44" s="44">
        <f>if(OR($F44=1, $F44=2),VLOOKUP($B44,Courts!$B$2:$J$50,7,false),0)</f>
        <v>0</v>
      </c>
      <c r="L44" s="48">
        <f t="shared" si="4"/>
        <v>0</v>
      </c>
      <c r="M44" s="44">
        <f>if(OR($F44=1, $F44=2),VLOOKUP($B44,Courts!$B$2:$J$50,9,false),0)</f>
        <v>0</v>
      </c>
      <c r="N44" s="37">
        <f t="shared" ref="N44:O44" si="51">C44+L44</f>
        <v>172</v>
      </c>
      <c r="O44" s="37">
        <f t="shared" si="51"/>
        <v>6</v>
      </c>
      <c r="P44" s="50" t="s">
        <v>60</v>
      </c>
      <c r="Q44" s="50" t="s">
        <v>60</v>
      </c>
      <c r="R44" s="50" t="s">
        <v>60</v>
      </c>
      <c r="S44" s="51">
        <f t="shared" si="6"/>
        <v>6</v>
      </c>
      <c r="T44" s="52">
        <f t="shared" si="7"/>
        <v>3</v>
      </c>
      <c r="U44" s="52"/>
      <c r="V44" s="51">
        <f t="shared" si="8"/>
        <v>6</v>
      </c>
      <c r="W44" s="52">
        <f t="shared" si="9"/>
        <v>0</v>
      </c>
      <c r="X44" s="35">
        <f t="shared" si="14"/>
        <v>40</v>
      </c>
      <c r="Y44" s="35" t="str">
        <f t="shared" si="10"/>
        <v>N</v>
      </c>
      <c r="Z44" s="22" t="str">
        <f t="shared" si="11"/>
        <v/>
      </c>
    </row>
    <row r="45">
      <c r="A45" s="35">
        <f t="shared" si="12"/>
        <v>41</v>
      </c>
      <c r="B45" s="36" t="s">
        <v>67</v>
      </c>
      <c r="C45" s="37">
        <v>168.0</v>
      </c>
      <c r="D45" s="37">
        <v>13.0</v>
      </c>
      <c r="E45" s="42">
        <f t="shared" si="2"/>
        <v>12</v>
      </c>
      <c r="F45" s="43">
        <f>if(isna(VLOOKUP(B45,Checkin!A:B,2,false)),0,VLOOKUP(B45,Checkin!A:B,2,false))</f>
        <v>0</v>
      </c>
      <c r="G45" s="44">
        <f>if(OR($F45=1, $F45=2),VLOOKUP($B45,Courts!$B$2:$K$50,10,false),0)</f>
        <v>0</v>
      </c>
      <c r="H45" s="46">
        <f t="shared" si="3"/>
        <v>0</v>
      </c>
      <c r="I45" s="44">
        <f>if(OR($F45=1, $F45=2),VLOOKUP($B45,Courts!$B$2:$J$50,5,false),0)</f>
        <v>0</v>
      </c>
      <c r="J45" s="44">
        <f>if(OR($F45=1, $F45=2),VLOOKUP($B45,Courts!$B$2:$J$50,6,false),0)</f>
        <v>0</v>
      </c>
      <c r="K45" s="44">
        <f>if(OR($F45=1, $F45=2),VLOOKUP($B45,Courts!$B$2:$J$50,7,false),0)</f>
        <v>0</v>
      </c>
      <c r="L45" s="48">
        <f t="shared" si="4"/>
        <v>0</v>
      </c>
      <c r="M45" s="44">
        <f>if(OR($F45=1, $F45=2),VLOOKUP($B45,Courts!$B$2:$J$50,9,false),0)</f>
        <v>0</v>
      </c>
      <c r="N45" s="37">
        <f t="shared" ref="N45:O45" si="52">C45+L45</f>
        <v>168</v>
      </c>
      <c r="O45" s="37">
        <f t="shared" si="52"/>
        <v>13</v>
      </c>
      <c r="P45" s="50" t="s">
        <v>60</v>
      </c>
      <c r="Q45" s="50" t="s">
        <v>60</v>
      </c>
      <c r="R45" s="50" t="s">
        <v>60</v>
      </c>
      <c r="S45" s="51">
        <f t="shared" si="6"/>
        <v>11</v>
      </c>
      <c r="T45" s="52">
        <f t="shared" si="7"/>
        <v>0</v>
      </c>
      <c r="U45" s="52"/>
      <c r="V45" s="51">
        <f t="shared" si="8"/>
        <v>4</v>
      </c>
      <c r="W45" s="52">
        <f t="shared" si="9"/>
        <v>0</v>
      </c>
      <c r="X45" s="35">
        <f t="shared" si="14"/>
        <v>41</v>
      </c>
      <c r="Y45" s="35" t="str">
        <f t="shared" si="10"/>
        <v>N</v>
      </c>
      <c r="Z45" s="22" t="str">
        <f t="shared" si="11"/>
        <v/>
      </c>
    </row>
    <row r="46">
      <c r="A46" s="35">
        <f t="shared" si="12"/>
        <v>42</v>
      </c>
      <c r="B46" s="36" t="s">
        <v>61</v>
      </c>
      <c r="C46" s="37">
        <v>164.0</v>
      </c>
      <c r="D46" s="37">
        <v>11.0</v>
      </c>
      <c r="E46" s="42">
        <f t="shared" si="2"/>
        <v>13.14285714</v>
      </c>
      <c r="F46" s="43">
        <f>if(isna(VLOOKUP(B46,Checkin!A:B,2,false)),0,VLOOKUP(B46,Checkin!A:B,2,false))</f>
        <v>0</v>
      </c>
      <c r="G46" s="44">
        <f>if(OR($F46=1, $F46=2),VLOOKUP($B46,Courts!$B$2:$K$50,10,false),0)</f>
        <v>0</v>
      </c>
      <c r="H46" s="46">
        <f t="shared" si="3"/>
        <v>0</v>
      </c>
      <c r="I46" s="44">
        <f>if(OR($F46=1, $F46=2),VLOOKUP($B46,Courts!$B$2:$J$50,5,false),0)</f>
        <v>0</v>
      </c>
      <c r="J46" s="44">
        <f>if(OR($F46=1, $F46=2),VLOOKUP($B46,Courts!$B$2:$J$50,6,false),0)</f>
        <v>0</v>
      </c>
      <c r="K46" s="44">
        <f>if(OR($F46=1, $F46=2),VLOOKUP($B46,Courts!$B$2:$J$50,7,false),0)</f>
        <v>0</v>
      </c>
      <c r="L46" s="48">
        <f t="shared" si="4"/>
        <v>0</v>
      </c>
      <c r="M46" s="44">
        <f>if(OR($F46=1, $F46=2),VLOOKUP($B46,Courts!$B$2:$J$50,9,false),0)</f>
        <v>0</v>
      </c>
      <c r="N46" s="37">
        <f t="shared" ref="N46:O46" si="53">C46+L46</f>
        <v>164</v>
      </c>
      <c r="O46" s="37">
        <f t="shared" si="53"/>
        <v>11</v>
      </c>
      <c r="P46" s="50" t="s">
        <v>60</v>
      </c>
      <c r="Q46" s="50" t="s">
        <v>60</v>
      </c>
      <c r="R46" s="50" t="s">
        <v>60</v>
      </c>
      <c r="S46" s="51">
        <f t="shared" si="6"/>
        <v>7</v>
      </c>
      <c r="T46" s="52">
        <f t="shared" si="7"/>
        <v>0</v>
      </c>
      <c r="U46" s="52"/>
      <c r="V46" s="51">
        <f t="shared" si="8"/>
        <v>8</v>
      </c>
      <c r="W46" s="52">
        <f t="shared" si="9"/>
        <v>9</v>
      </c>
      <c r="X46" s="35">
        <f t="shared" si="14"/>
        <v>42</v>
      </c>
      <c r="Y46" s="35" t="str">
        <f t="shared" si="10"/>
        <v>N</v>
      </c>
      <c r="Z46" s="22" t="str">
        <f t="shared" si="11"/>
        <v/>
      </c>
    </row>
    <row r="47">
      <c r="A47" s="35">
        <f t="shared" si="12"/>
        <v>43</v>
      </c>
      <c r="B47" s="36" t="s">
        <v>106</v>
      </c>
      <c r="C47" s="37">
        <v>163.0</v>
      </c>
      <c r="D47" s="37">
        <v>10.0</v>
      </c>
      <c r="E47" s="42">
        <f t="shared" si="2"/>
        <v>13.66666667</v>
      </c>
      <c r="F47" s="43">
        <f>if(isna(VLOOKUP(B47,Checkin!A:B,2,false)),0,VLOOKUP(B47,Checkin!A:B,2,false))</f>
        <v>0</v>
      </c>
      <c r="G47" s="44">
        <f>if(OR($F47=1, $F47=2),VLOOKUP($B47,Courts!$B$2:$K$50,10,false),0)</f>
        <v>0</v>
      </c>
      <c r="H47" s="46">
        <f t="shared" si="3"/>
        <v>0</v>
      </c>
      <c r="I47" s="44">
        <f>if(OR($F47=1, $F47=2),VLOOKUP($B47,Courts!$B$2:$J$50,5,false),0)</f>
        <v>0</v>
      </c>
      <c r="J47" s="44">
        <f>if(OR($F47=1, $F47=2),VLOOKUP($B47,Courts!$B$2:$J$50,6,false),0)</f>
        <v>0</v>
      </c>
      <c r="K47" s="44">
        <f>if(OR($F47=1, $F47=2),VLOOKUP($B47,Courts!$B$2:$J$50,7,false),0)</f>
        <v>0</v>
      </c>
      <c r="L47" s="48">
        <f t="shared" si="4"/>
        <v>0</v>
      </c>
      <c r="M47" s="44">
        <f>if(OR($F47=1, $F47=2),VLOOKUP($B47,Courts!$B$2:$J$50,9,false),0)</f>
        <v>0</v>
      </c>
      <c r="N47" s="37">
        <f t="shared" ref="N47:O47" si="54">C47+L47</f>
        <v>163</v>
      </c>
      <c r="O47" s="37">
        <f t="shared" si="54"/>
        <v>10</v>
      </c>
      <c r="P47" s="50" t="s">
        <v>60</v>
      </c>
      <c r="Q47" s="50" t="s">
        <v>60</v>
      </c>
      <c r="R47" s="50" t="s">
        <v>60</v>
      </c>
      <c r="S47" s="51">
        <f t="shared" si="6"/>
        <v>6</v>
      </c>
      <c r="T47" s="52">
        <f t="shared" si="7"/>
        <v>0</v>
      </c>
      <c r="U47" s="52"/>
      <c r="V47" s="51">
        <f t="shared" si="8"/>
        <v>9</v>
      </c>
      <c r="W47" s="52">
        <f t="shared" si="9"/>
        <v>-1</v>
      </c>
      <c r="X47" s="35">
        <f t="shared" si="14"/>
        <v>43</v>
      </c>
      <c r="Y47" s="35" t="str">
        <f t="shared" si="10"/>
        <v>N</v>
      </c>
      <c r="Z47" s="22" t="str">
        <f t="shared" si="11"/>
        <v/>
      </c>
    </row>
    <row r="48">
      <c r="A48" s="35">
        <f t="shared" si="12"/>
        <v>44</v>
      </c>
      <c r="B48" s="36" t="s">
        <v>139</v>
      </c>
      <c r="C48" s="37">
        <v>163.0</v>
      </c>
      <c r="D48" s="37">
        <v>9.0</v>
      </c>
      <c r="E48" s="42">
        <f t="shared" si="2"/>
        <v>16</v>
      </c>
      <c r="F48" s="43">
        <f>if(isna(VLOOKUP(B48,Checkin!A:B,2,false)),0,VLOOKUP(B48,Checkin!A:B,2,false))</f>
        <v>0</v>
      </c>
      <c r="G48" s="44">
        <f>if(OR($F48=1, $F48=2),VLOOKUP($B48,Courts!$B$2:$K$50,10,false),0)</f>
        <v>0</v>
      </c>
      <c r="H48" s="46">
        <f t="shared" si="3"/>
        <v>0</v>
      </c>
      <c r="I48" s="44">
        <f>if(OR($F48=1, $F48=2),VLOOKUP($B48,Courts!$B$2:$J$50,5,false),0)</f>
        <v>0</v>
      </c>
      <c r="J48" s="44">
        <f>if(OR($F48=1, $F48=2),VLOOKUP($B48,Courts!$B$2:$J$50,6,false),0)</f>
        <v>0</v>
      </c>
      <c r="K48" s="44">
        <f>if(OR($F48=1, $F48=2),VLOOKUP($B48,Courts!$B$2:$J$50,7,false),0)</f>
        <v>0</v>
      </c>
      <c r="L48" s="48">
        <f t="shared" si="4"/>
        <v>0</v>
      </c>
      <c r="M48" s="44">
        <f>if(OR($F48=1, $F48=2),VLOOKUP($B48,Courts!$B$2:$J$50,9,false),0)</f>
        <v>0</v>
      </c>
      <c r="N48" s="37">
        <f t="shared" ref="N48:O48" si="55">C48+L48</f>
        <v>163</v>
      </c>
      <c r="O48" s="37">
        <f t="shared" si="55"/>
        <v>9</v>
      </c>
      <c r="P48" s="50" t="s">
        <v>60</v>
      </c>
      <c r="Q48" s="50" t="s">
        <v>60</v>
      </c>
      <c r="R48" s="50" t="s">
        <v>60</v>
      </c>
      <c r="S48" s="51">
        <f t="shared" si="6"/>
        <v>4</v>
      </c>
      <c r="T48" s="52">
        <f t="shared" si="7"/>
        <v>0</v>
      </c>
      <c r="U48" s="52"/>
      <c r="V48" s="51">
        <f t="shared" si="8"/>
        <v>11</v>
      </c>
      <c r="W48" s="52">
        <f t="shared" si="9"/>
        <v>-1</v>
      </c>
      <c r="X48" s="35">
        <f t="shared" si="14"/>
        <v>44</v>
      </c>
      <c r="Y48" s="35" t="str">
        <f t="shared" si="10"/>
        <v>N</v>
      </c>
      <c r="Z48" s="22" t="str">
        <f t="shared" si="11"/>
        <v/>
      </c>
    </row>
    <row r="49">
      <c r="A49" s="35">
        <f t="shared" si="12"/>
        <v>45</v>
      </c>
      <c r="B49" s="36" t="s">
        <v>72</v>
      </c>
      <c r="C49" s="37">
        <v>163.0</v>
      </c>
      <c r="D49" s="37">
        <v>2.0</v>
      </c>
      <c r="E49" s="42">
        <f t="shared" si="2"/>
        <v>12</v>
      </c>
      <c r="F49" s="43">
        <f>if(isna(VLOOKUP(B49,Checkin!A:B,2,false)),0,VLOOKUP(B49,Checkin!A:B,2,false))</f>
        <v>0</v>
      </c>
      <c r="G49" s="44">
        <f>if(OR($F49=1, $F49=2),VLOOKUP($B49,Courts!$B$2:$K$50,10,false),0)</f>
        <v>0</v>
      </c>
      <c r="H49" s="46">
        <f t="shared" si="3"/>
        <v>0</v>
      </c>
      <c r="I49" s="44">
        <f>if(OR($F49=1, $F49=2),VLOOKUP($B49,Courts!$B$2:$J$50,5,false),0)</f>
        <v>0</v>
      </c>
      <c r="J49" s="44">
        <f>if(OR($F49=1, $F49=2),VLOOKUP($B49,Courts!$B$2:$J$50,6,false),0)</f>
        <v>0</v>
      </c>
      <c r="K49" s="44">
        <f>if(OR($F49=1, $F49=2),VLOOKUP($B49,Courts!$B$2:$J$50,7,false),0)</f>
        <v>0</v>
      </c>
      <c r="L49" s="48">
        <f t="shared" si="4"/>
        <v>0</v>
      </c>
      <c r="M49" s="44">
        <f>if(OR($F49=1, $F49=2),VLOOKUP($B49,Courts!$B$2:$J$50,9,false),0)</f>
        <v>0</v>
      </c>
      <c r="N49" s="37">
        <f t="shared" ref="N49:O49" si="56">C49+L49</f>
        <v>163</v>
      </c>
      <c r="O49" s="37">
        <f t="shared" si="56"/>
        <v>2</v>
      </c>
      <c r="P49" s="50" t="s">
        <v>60</v>
      </c>
      <c r="Q49" s="50" t="s">
        <v>60</v>
      </c>
      <c r="R49" s="50" t="s">
        <v>60</v>
      </c>
      <c r="S49" s="51">
        <f t="shared" si="6"/>
        <v>4</v>
      </c>
      <c r="T49" s="52">
        <f t="shared" si="7"/>
        <v>4</v>
      </c>
      <c r="U49" s="52"/>
      <c r="V49" s="51">
        <f t="shared" si="8"/>
        <v>7</v>
      </c>
      <c r="W49" s="52">
        <f t="shared" si="9"/>
        <v>-1</v>
      </c>
      <c r="X49" s="35">
        <f t="shared" si="14"/>
        <v>45</v>
      </c>
      <c r="Y49" s="35" t="str">
        <f t="shared" si="10"/>
        <v>N</v>
      </c>
      <c r="Z49" s="22" t="str">
        <f t="shared" si="11"/>
        <v/>
      </c>
    </row>
    <row r="50">
      <c r="A50" s="35">
        <f t="shared" si="12"/>
        <v>46</v>
      </c>
      <c r="B50" s="36" t="s">
        <v>146</v>
      </c>
      <c r="C50" s="37">
        <v>161.0</v>
      </c>
      <c r="D50" s="37">
        <v>13.0</v>
      </c>
      <c r="E50" s="42">
        <f t="shared" si="2"/>
        <v>11.25</v>
      </c>
      <c r="F50" s="43">
        <f>if(isna(VLOOKUP(B50,Checkin!A:B,2,false)),0,VLOOKUP(B50,Checkin!A:B,2,false))</f>
        <v>0</v>
      </c>
      <c r="G50" s="44">
        <f>if(OR($F50=1, $F50=2),VLOOKUP($B50,Courts!$B$2:$K$50,10,false),0)</f>
        <v>0</v>
      </c>
      <c r="H50" s="46">
        <f t="shared" si="3"/>
        <v>0</v>
      </c>
      <c r="I50" s="44">
        <f>if(OR($F50=1, $F50=2),VLOOKUP($B50,Courts!$B$2:$J$50,5,false),0)</f>
        <v>0</v>
      </c>
      <c r="J50" s="44">
        <f>if(OR($F50=1, $F50=2),VLOOKUP($B50,Courts!$B$2:$J$50,6,false),0)</f>
        <v>0</v>
      </c>
      <c r="K50" s="44">
        <f>if(OR($F50=1, $F50=2),VLOOKUP($B50,Courts!$B$2:$J$50,7,false),0)</f>
        <v>0</v>
      </c>
      <c r="L50" s="48">
        <f t="shared" si="4"/>
        <v>0</v>
      </c>
      <c r="M50" s="44">
        <f>if(OR($F50=1, $F50=2),VLOOKUP($B50,Courts!$B$2:$J$50,9,false),0)</f>
        <v>0</v>
      </c>
      <c r="N50" s="37">
        <f t="shared" ref="N50:O50" si="57">C50+L50</f>
        <v>161</v>
      </c>
      <c r="O50" s="37">
        <f t="shared" si="57"/>
        <v>13</v>
      </c>
      <c r="P50" s="50" t="s">
        <v>60</v>
      </c>
      <c r="Q50" s="50" t="s">
        <v>60</v>
      </c>
      <c r="R50" s="50" t="s">
        <v>60</v>
      </c>
      <c r="S50" s="51">
        <f t="shared" si="6"/>
        <v>8</v>
      </c>
      <c r="T50" s="52">
        <f t="shared" si="7"/>
        <v>2</v>
      </c>
      <c r="U50" s="52"/>
      <c r="V50" s="51">
        <f t="shared" si="8"/>
        <v>5</v>
      </c>
      <c r="W50" s="52">
        <f t="shared" si="9"/>
        <v>-1</v>
      </c>
      <c r="X50" s="35">
        <f t="shared" si="14"/>
        <v>46</v>
      </c>
      <c r="Y50" s="35" t="str">
        <f t="shared" si="10"/>
        <v>N</v>
      </c>
      <c r="Z50" s="22" t="str">
        <f t="shared" si="11"/>
        <v/>
      </c>
    </row>
    <row r="51">
      <c r="A51" s="35">
        <f t="shared" si="12"/>
        <v>47</v>
      </c>
      <c r="B51" s="36" t="s">
        <v>117</v>
      </c>
      <c r="C51" s="37">
        <v>161.0</v>
      </c>
      <c r="D51" s="37">
        <v>8.0</v>
      </c>
      <c r="E51" s="42">
        <f t="shared" si="2"/>
        <v>12.71428571</v>
      </c>
      <c r="F51" s="43">
        <f>if(isna(VLOOKUP(B51,Checkin!A:B,2,false)),0,VLOOKUP(B51,Checkin!A:B,2,false))</f>
        <v>0</v>
      </c>
      <c r="G51" s="44">
        <f>if(OR($F51=1, $F51=2),VLOOKUP($B51,Courts!$B$2:$K$50,10,false),0)</f>
        <v>0</v>
      </c>
      <c r="H51" s="46">
        <f t="shared" si="3"/>
        <v>0</v>
      </c>
      <c r="I51" s="44">
        <f>if(OR($F51=1, $F51=2),VLOOKUP($B51,Courts!$B$2:$J$50,5,false),0)</f>
        <v>0</v>
      </c>
      <c r="J51" s="44">
        <f>if(OR($F51=1, $F51=2),VLOOKUP($B51,Courts!$B$2:$J$50,6,false),0)</f>
        <v>0</v>
      </c>
      <c r="K51" s="44">
        <f>if(OR($F51=1, $F51=2),VLOOKUP($B51,Courts!$B$2:$J$50,7,false),0)</f>
        <v>0</v>
      </c>
      <c r="L51" s="48">
        <f t="shared" si="4"/>
        <v>0</v>
      </c>
      <c r="M51" s="44">
        <f>if(OR($F51=1, $F51=2),VLOOKUP($B51,Courts!$B$2:$J$50,9,false),0)</f>
        <v>0</v>
      </c>
      <c r="N51" s="37">
        <f t="shared" ref="N51:O51" si="58">C51+L51</f>
        <v>161</v>
      </c>
      <c r="O51" s="37">
        <f t="shared" si="58"/>
        <v>8</v>
      </c>
      <c r="P51" s="50" t="s">
        <v>60</v>
      </c>
      <c r="Q51" s="50" t="s">
        <v>60</v>
      </c>
      <c r="R51" s="50" t="s">
        <v>60</v>
      </c>
      <c r="S51" s="51">
        <f t="shared" si="6"/>
        <v>7</v>
      </c>
      <c r="T51" s="52">
        <f t="shared" si="7"/>
        <v>0</v>
      </c>
      <c r="U51" s="52"/>
      <c r="V51" s="51">
        <f t="shared" si="8"/>
        <v>8</v>
      </c>
      <c r="W51" s="52">
        <f t="shared" si="9"/>
        <v>2</v>
      </c>
      <c r="X51" s="35">
        <f t="shared" si="14"/>
        <v>47</v>
      </c>
      <c r="Y51" s="35" t="str">
        <f t="shared" si="10"/>
        <v>N</v>
      </c>
      <c r="Z51" s="22" t="str">
        <f t="shared" si="11"/>
        <v/>
      </c>
    </row>
    <row r="52">
      <c r="A52" s="35">
        <f t="shared" si="12"/>
        <v>48</v>
      </c>
      <c r="B52" s="36" t="s">
        <v>111</v>
      </c>
      <c r="C52" s="37">
        <v>160.0</v>
      </c>
      <c r="D52" s="37">
        <v>6.0</v>
      </c>
      <c r="E52" s="42">
        <f t="shared" si="2"/>
        <v>13.16666667</v>
      </c>
      <c r="F52" s="43">
        <f>if(isna(VLOOKUP(B52,Checkin!A:B,2,false)),0,VLOOKUP(B52,Checkin!A:B,2,false))</f>
        <v>0</v>
      </c>
      <c r="G52" s="44">
        <f>if(OR($F52=1, $F52=2),VLOOKUP($B52,Courts!$B$2:$K$50,10,false),0)</f>
        <v>0</v>
      </c>
      <c r="H52" s="46">
        <f t="shared" si="3"/>
        <v>0</v>
      </c>
      <c r="I52" s="44">
        <f>if(OR($F52=1, $F52=2),VLOOKUP($B52,Courts!$B$2:$J$50,5,false),0)</f>
        <v>0</v>
      </c>
      <c r="J52" s="44">
        <f>if(OR($F52=1, $F52=2),VLOOKUP($B52,Courts!$B$2:$J$50,6,false),0)</f>
        <v>0</v>
      </c>
      <c r="K52" s="44">
        <f>if(OR($F52=1, $F52=2),VLOOKUP($B52,Courts!$B$2:$J$50,7,false),0)</f>
        <v>0</v>
      </c>
      <c r="L52" s="48">
        <f t="shared" si="4"/>
        <v>0</v>
      </c>
      <c r="M52" s="44">
        <f>if(OR($F52=1, $F52=2),VLOOKUP($B52,Courts!$B$2:$J$50,9,false),0)</f>
        <v>0</v>
      </c>
      <c r="N52" s="37">
        <f t="shared" ref="N52:O52" si="59">C52+L52</f>
        <v>160</v>
      </c>
      <c r="O52" s="37">
        <f t="shared" si="59"/>
        <v>6</v>
      </c>
      <c r="P52" s="50" t="s">
        <v>60</v>
      </c>
      <c r="Q52" s="50" t="s">
        <v>60</v>
      </c>
      <c r="R52" s="50" t="s">
        <v>60</v>
      </c>
      <c r="S52" s="51">
        <f t="shared" si="6"/>
        <v>6</v>
      </c>
      <c r="T52" s="52">
        <f t="shared" si="7"/>
        <v>0</v>
      </c>
      <c r="U52" s="52"/>
      <c r="V52" s="51">
        <f t="shared" si="8"/>
        <v>9</v>
      </c>
      <c r="W52" s="52">
        <f t="shared" si="9"/>
        <v>-1</v>
      </c>
      <c r="X52" s="35">
        <f t="shared" si="14"/>
        <v>48</v>
      </c>
      <c r="Y52" s="35" t="str">
        <f t="shared" si="10"/>
        <v>N</v>
      </c>
      <c r="Z52" s="22" t="str">
        <f t="shared" si="11"/>
        <v/>
      </c>
    </row>
    <row r="53">
      <c r="A53" s="35">
        <f t="shared" si="12"/>
        <v>49</v>
      </c>
      <c r="B53" s="36" t="s">
        <v>134</v>
      </c>
      <c r="C53" s="37">
        <v>160.0</v>
      </c>
      <c r="D53" s="37">
        <v>6.0</v>
      </c>
      <c r="E53" s="42">
        <f t="shared" si="2"/>
        <v>10.28571429</v>
      </c>
      <c r="F53" s="43">
        <f>if(isna(VLOOKUP(B53,Checkin!A:B,2,false)),0,VLOOKUP(B53,Checkin!A:B,2,false))</f>
        <v>0</v>
      </c>
      <c r="G53" s="44">
        <f>if(OR($F53=1, $F53=2),VLOOKUP($B53,Courts!$B$2:$K$50,10,false),0)</f>
        <v>0</v>
      </c>
      <c r="H53" s="46">
        <f t="shared" si="3"/>
        <v>0</v>
      </c>
      <c r="I53" s="44">
        <f>if(OR($F53=1, $F53=2),VLOOKUP($B53,Courts!$B$2:$J$50,5,false),0)</f>
        <v>0</v>
      </c>
      <c r="J53" s="44">
        <f>if(OR($F53=1, $F53=2),VLOOKUP($B53,Courts!$B$2:$J$50,6,false),0)</f>
        <v>0</v>
      </c>
      <c r="K53" s="44">
        <f>if(OR($F53=1, $F53=2),VLOOKUP($B53,Courts!$B$2:$J$50,7,false),0)</f>
        <v>0</v>
      </c>
      <c r="L53" s="48">
        <f t="shared" si="4"/>
        <v>0</v>
      </c>
      <c r="M53" s="44">
        <f>if(OR($F53=1, $F53=2),VLOOKUP($B53,Courts!$B$2:$J$50,9,false),0)</f>
        <v>0</v>
      </c>
      <c r="N53" s="37">
        <f t="shared" ref="N53:O53" si="60">C53+L53</f>
        <v>160</v>
      </c>
      <c r="O53" s="37">
        <f t="shared" si="60"/>
        <v>6</v>
      </c>
      <c r="P53" s="50" t="s">
        <v>60</v>
      </c>
      <c r="Q53" s="50" t="s">
        <v>60</v>
      </c>
      <c r="R53" s="50" t="s">
        <v>60</v>
      </c>
      <c r="S53" s="51">
        <f t="shared" si="6"/>
        <v>7</v>
      </c>
      <c r="T53" s="52">
        <f t="shared" si="7"/>
        <v>4</v>
      </c>
      <c r="U53" s="52"/>
      <c r="V53" s="51">
        <f t="shared" si="8"/>
        <v>4</v>
      </c>
      <c r="W53" s="52">
        <f t="shared" si="9"/>
        <v>-1</v>
      </c>
      <c r="X53" s="35">
        <f t="shared" si="14"/>
        <v>49</v>
      </c>
      <c r="Y53" s="35" t="str">
        <f t="shared" si="10"/>
        <v>N</v>
      </c>
      <c r="Z53" s="22" t="str">
        <f t="shared" si="11"/>
        <v/>
      </c>
    </row>
    <row r="54">
      <c r="A54" s="35">
        <f t="shared" si="12"/>
        <v>50</v>
      </c>
      <c r="B54" s="36" t="s">
        <v>84</v>
      </c>
      <c r="C54" s="37">
        <v>159.0</v>
      </c>
      <c r="D54" s="37">
        <v>4.0</v>
      </c>
      <c r="E54" s="42">
        <f t="shared" si="2"/>
        <v>9.666666667</v>
      </c>
      <c r="F54" s="43">
        <f>if(isna(VLOOKUP(B54,Checkin!A:B,2,false)),0,VLOOKUP(B54,Checkin!A:B,2,false))</f>
        <v>0</v>
      </c>
      <c r="G54" s="44">
        <f>if(OR($F54=1, $F54=2),VLOOKUP($B54,Courts!$B$2:$K$50,10,false),0)</f>
        <v>0</v>
      </c>
      <c r="H54" s="46">
        <f t="shared" si="3"/>
        <v>0</v>
      </c>
      <c r="I54" s="44">
        <f>if(OR($F54=1, $F54=2),VLOOKUP($B54,Courts!$B$2:$J$50,5,false),0)</f>
        <v>0</v>
      </c>
      <c r="J54" s="44">
        <f>if(OR($F54=1, $F54=2),VLOOKUP($B54,Courts!$B$2:$J$50,6,false),0)</f>
        <v>0</v>
      </c>
      <c r="K54" s="44">
        <f>if(OR($F54=1, $F54=2),VLOOKUP($B54,Courts!$B$2:$J$50,7,false),0)</f>
        <v>0</v>
      </c>
      <c r="L54" s="48">
        <f t="shared" si="4"/>
        <v>0</v>
      </c>
      <c r="M54" s="44">
        <f>if(OR($F54=1, $F54=2),VLOOKUP($B54,Courts!$B$2:$J$50,9,false),0)</f>
        <v>0</v>
      </c>
      <c r="N54" s="37">
        <f t="shared" ref="N54:O54" si="61">C54+L54</f>
        <v>159</v>
      </c>
      <c r="O54" s="37">
        <f t="shared" si="61"/>
        <v>4</v>
      </c>
      <c r="P54" s="50" t="s">
        <v>60</v>
      </c>
      <c r="Q54" s="50" t="s">
        <v>60</v>
      </c>
      <c r="R54" s="50" t="s">
        <v>60</v>
      </c>
      <c r="S54" s="51">
        <f t="shared" si="6"/>
        <v>6</v>
      </c>
      <c r="T54" s="52">
        <f t="shared" si="7"/>
        <v>5</v>
      </c>
      <c r="U54" s="52"/>
      <c r="V54" s="51">
        <f t="shared" si="8"/>
        <v>4</v>
      </c>
      <c r="W54" s="52">
        <f t="shared" si="9"/>
        <v>-4</v>
      </c>
      <c r="X54" s="35">
        <f t="shared" si="14"/>
        <v>50</v>
      </c>
      <c r="Y54" s="35" t="str">
        <f t="shared" si="10"/>
        <v>N</v>
      </c>
      <c r="Z54" s="22" t="str">
        <f t="shared" si="11"/>
        <v/>
      </c>
    </row>
    <row r="55">
      <c r="A55" s="35">
        <f t="shared" si="12"/>
        <v>51</v>
      </c>
      <c r="B55" s="36" t="s">
        <v>129</v>
      </c>
      <c r="C55" s="37">
        <v>158.0</v>
      </c>
      <c r="D55" s="37">
        <v>8.0</v>
      </c>
      <c r="E55" s="42">
        <f t="shared" si="2"/>
        <v>12.28571429</v>
      </c>
      <c r="F55" s="43">
        <f>if(isna(VLOOKUP(B55,Checkin!A:B,2,false)),0,VLOOKUP(B55,Checkin!A:B,2,false))</f>
        <v>0</v>
      </c>
      <c r="G55" s="44">
        <f>if(OR($F55=1, $F55=2),VLOOKUP($B55,Courts!$B$2:$K$50,10,false),0)</f>
        <v>0</v>
      </c>
      <c r="H55" s="46">
        <f t="shared" si="3"/>
        <v>0</v>
      </c>
      <c r="I55" s="44">
        <f>if(OR($F55=1, $F55=2),VLOOKUP($B55,Courts!$B$2:$J$50,5,false),0)</f>
        <v>0</v>
      </c>
      <c r="J55" s="44">
        <f>if(OR($F55=1, $F55=2),VLOOKUP($B55,Courts!$B$2:$J$50,6,false),0)</f>
        <v>0</v>
      </c>
      <c r="K55" s="44">
        <f>if(OR($F55=1, $F55=2),VLOOKUP($B55,Courts!$B$2:$J$50,7,false),0)</f>
        <v>0</v>
      </c>
      <c r="L55" s="48">
        <f t="shared" si="4"/>
        <v>0</v>
      </c>
      <c r="M55" s="44">
        <f>if(OR($F55=1, $F55=2),VLOOKUP($B55,Courts!$B$2:$J$50,9,false),0)</f>
        <v>0</v>
      </c>
      <c r="N55" s="37">
        <f t="shared" ref="N55:O55" si="62">C55+L55</f>
        <v>158</v>
      </c>
      <c r="O55" s="37">
        <f t="shared" si="62"/>
        <v>8</v>
      </c>
      <c r="P55" s="50" t="s">
        <v>60</v>
      </c>
      <c r="Q55" s="50" t="s">
        <v>60</v>
      </c>
      <c r="R55" s="50" t="s">
        <v>60</v>
      </c>
      <c r="S55" s="51">
        <f t="shared" si="6"/>
        <v>7</v>
      </c>
      <c r="T55" s="52">
        <f t="shared" si="7"/>
        <v>0</v>
      </c>
      <c r="U55" s="52"/>
      <c r="V55" s="51">
        <f t="shared" si="8"/>
        <v>8</v>
      </c>
      <c r="W55" s="52">
        <f t="shared" si="9"/>
        <v>2</v>
      </c>
      <c r="X55" s="35">
        <f t="shared" si="14"/>
        <v>51</v>
      </c>
      <c r="Y55" s="35" t="str">
        <f t="shared" si="10"/>
        <v>N</v>
      </c>
      <c r="Z55" s="22" t="str">
        <f t="shared" si="11"/>
        <v/>
      </c>
    </row>
    <row r="56">
      <c r="A56" s="35">
        <f t="shared" si="12"/>
        <v>52</v>
      </c>
      <c r="B56" s="36" t="s">
        <v>104</v>
      </c>
      <c r="C56" s="37">
        <v>158.0</v>
      </c>
      <c r="D56" s="37">
        <v>5.0</v>
      </c>
      <c r="E56" s="42">
        <f t="shared" si="2"/>
        <v>16.5</v>
      </c>
      <c r="F56" s="43">
        <f>if(isna(VLOOKUP(B56,Checkin!A:B,2,false)),0,VLOOKUP(B56,Checkin!A:B,2,false))</f>
        <v>0</v>
      </c>
      <c r="G56" s="44">
        <f>if(OR($F56=1, $F56=2),VLOOKUP($B56,Courts!$B$2:$K$50,10,false),0)</f>
        <v>0</v>
      </c>
      <c r="H56" s="46">
        <f t="shared" si="3"/>
        <v>0</v>
      </c>
      <c r="I56" s="44">
        <f>if(OR($F56=1, $F56=2),VLOOKUP($B56,Courts!$B$2:$J$50,5,false),0)</f>
        <v>0</v>
      </c>
      <c r="J56" s="44">
        <f>if(OR($F56=1, $F56=2),VLOOKUP($B56,Courts!$B$2:$J$50,6,false),0)</f>
        <v>0</v>
      </c>
      <c r="K56" s="44">
        <f>if(OR($F56=1, $F56=2),VLOOKUP($B56,Courts!$B$2:$J$50,7,false),0)</f>
        <v>0</v>
      </c>
      <c r="L56" s="48">
        <f t="shared" si="4"/>
        <v>0</v>
      </c>
      <c r="M56" s="44">
        <f>if(OR($F56=1, $F56=2),VLOOKUP($B56,Courts!$B$2:$J$50,9,false),0)</f>
        <v>0</v>
      </c>
      <c r="N56" s="37">
        <f t="shared" ref="N56:O56" si="63">C56+L56</f>
        <v>158</v>
      </c>
      <c r="O56" s="37">
        <f t="shared" si="63"/>
        <v>5</v>
      </c>
      <c r="P56" s="50" t="s">
        <v>60</v>
      </c>
      <c r="Q56" s="50" t="s">
        <v>60</v>
      </c>
      <c r="R56" s="50" t="s">
        <v>60</v>
      </c>
      <c r="S56" s="51">
        <f t="shared" si="6"/>
        <v>2</v>
      </c>
      <c r="T56" s="52">
        <f t="shared" si="7"/>
        <v>2</v>
      </c>
      <c r="U56" s="52"/>
      <c r="V56" s="51">
        <f t="shared" si="8"/>
        <v>11</v>
      </c>
      <c r="W56" s="52">
        <f t="shared" si="9"/>
        <v>-2</v>
      </c>
      <c r="X56" s="35">
        <f t="shared" si="14"/>
        <v>52</v>
      </c>
      <c r="Y56" s="35" t="str">
        <f t="shared" si="10"/>
        <v>N</v>
      </c>
      <c r="Z56" s="22" t="str">
        <f t="shared" si="11"/>
        <v/>
      </c>
    </row>
    <row r="57">
      <c r="A57" s="35">
        <f t="shared" si="12"/>
        <v>53</v>
      </c>
      <c r="B57" s="36" t="s">
        <v>141</v>
      </c>
      <c r="C57" s="37">
        <v>156.0</v>
      </c>
      <c r="D57" s="37">
        <v>7.0</v>
      </c>
      <c r="E57" s="42">
        <f t="shared" si="2"/>
        <v>10.85714286</v>
      </c>
      <c r="F57" s="43">
        <f>if(isna(VLOOKUP(B57,Checkin!A:B,2,false)),0,VLOOKUP(B57,Checkin!A:B,2,false))</f>
        <v>0</v>
      </c>
      <c r="G57" s="44">
        <f>if(OR($F57=1, $F57=2),VLOOKUP($B57,Courts!$B$2:$K$50,10,false),0)</f>
        <v>0</v>
      </c>
      <c r="H57" s="46">
        <f t="shared" si="3"/>
        <v>0</v>
      </c>
      <c r="I57" s="44">
        <f>if(OR($F57=1, $F57=2),VLOOKUP($B57,Courts!$B$2:$J$50,5,false),0)</f>
        <v>0</v>
      </c>
      <c r="J57" s="44">
        <f>if(OR($F57=1, $F57=2),VLOOKUP($B57,Courts!$B$2:$J$50,6,false),0)</f>
        <v>0</v>
      </c>
      <c r="K57" s="44">
        <f>if(OR($F57=1, $F57=2),VLOOKUP($B57,Courts!$B$2:$J$50,7,false),0)</f>
        <v>0</v>
      </c>
      <c r="L57" s="48">
        <f t="shared" si="4"/>
        <v>0</v>
      </c>
      <c r="M57" s="44">
        <f>if(OR($F57=1, $F57=2),VLOOKUP($B57,Courts!$B$2:$J$50,9,false),0)</f>
        <v>0</v>
      </c>
      <c r="N57" s="37">
        <f t="shared" ref="N57:O57" si="64">C57+L57</f>
        <v>156</v>
      </c>
      <c r="O57" s="37">
        <f t="shared" si="64"/>
        <v>7</v>
      </c>
      <c r="P57" s="50" t="s">
        <v>60</v>
      </c>
      <c r="Q57" s="50" t="s">
        <v>60</v>
      </c>
      <c r="R57" s="50" t="s">
        <v>60</v>
      </c>
      <c r="S57" s="51">
        <f t="shared" si="6"/>
        <v>7</v>
      </c>
      <c r="T57" s="52">
        <f t="shared" si="7"/>
        <v>2</v>
      </c>
      <c r="U57" s="52"/>
      <c r="V57" s="51">
        <f t="shared" si="8"/>
        <v>6</v>
      </c>
      <c r="W57" s="52">
        <f t="shared" si="9"/>
        <v>1</v>
      </c>
      <c r="X57" s="35">
        <f t="shared" si="14"/>
        <v>53</v>
      </c>
      <c r="Y57" s="35" t="str">
        <f t="shared" si="10"/>
        <v>N</v>
      </c>
      <c r="Z57" s="22" t="str">
        <f t="shared" si="11"/>
        <v/>
      </c>
    </row>
    <row r="58">
      <c r="A58" s="35">
        <f t="shared" si="12"/>
        <v>54</v>
      </c>
      <c r="B58" s="36" t="s">
        <v>144</v>
      </c>
      <c r="C58" s="37">
        <v>153.0</v>
      </c>
      <c r="D58" s="37">
        <v>3.0</v>
      </c>
      <c r="E58" s="42">
        <f t="shared" si="2"/>
        <v>10.5</v>
      </c>
      <c r="F58" s="43">
        <f>if(isna(VLOOKUP(B58,Checkin!A:B,2,false)),0,VLOOKUP(B58,Checkin!A:B,2,false))</f>
        <v>0</v>
      </c>
      <c r="G58" s="44">
        <f>if(OR($F58=1, $F58=2),VLOOKUP($B58,Courts!$B$2:$K$50,10,false),0)</f>
        <v>0</v>
      </c>
      <c r="H58" s="46">
        <f t="shared" si="3"/>
        <v>0</v>
      </c>
      <c r="I58" s="44">
        <f>if(OR($F58=1, $F58=2),VLOOKUP($B58,Courts!$B$2:$J$50,5,false),0)</f>
        <v>0</v>
      </c>
      <c r="J58" s="44">
        <f>if(OR($F58=1, $F58=2),VLOOKUP($B58,Courts!$B$2:$J$50,6,false),0)</f>
        <v>0</v>
      </c>
      <c r="K58" s="44">
        <f>if(OR($F58=1, $F58=2),VLOOKUP($B58,Courts!$B$2:$J$50,7,false),0)</f>
        <v>0</v>
      </c>
      <c r="L58" s="48">
        <f t="shared" si="4"/>
        <v>0</v>
      </c>
      <c r="M58" s="44">
        <f>if(OR($F58=1, $F58=2),VLOOKUP($B58,Courts!$B$2:$J$50,9,false),0)</f>
        <v>0</v>
      </c>
      <c r="N58" s="37">
        <f t="shared" ref="N58:O58" si="65">C58+L58</f>
        <v>153</v>
      </c>
      <c r="O58" s="37">
        <f t="shared" si="65"/>
        <v>3</v>
      </c>
      <c r="P58" s="50" t="s">
        <v>60</v>
      </c>
      <c r="Q58" s="50" t="s">
        <v>60</v>
      </c>
      <c r="R58" s="50" t="s">
        <v>60</v>
      </c>
      <c r="S58" s="51">
        <f t="shared" si="6"/>
        <v>4</v>
      </c>
      <c r="T58" s="52">
        <f t="shared" si="7"/>
        <v>3</v>
      </c>
      <c r="U58" s="52"/>
      <c r="V58" s="51">
        <f t="shared" si="8"/>
        <v>8</v>
      </c>
      <c r="W58" s="52">
        <f t="shared" si="9"/>
        <v>-2</v>
      </c>
      <c r="X58" s="35">
        <f t="shared" si="14"/>
        <v>54</v>
      </c>
      <c r="Y58" s="35" t="str">
        <f t="shared" si="10"/>
        <v>N</v>
      </c>
      <c r="Z58" s="22" t="str">
        <f t="shared" si="11"/>
        <v/>
      </c>
    </row>
    <row r="59">
      <c r="A59" s="35">
        <f t="shared" si="12"/>
        <v>55</v>
      </c>
      <c r="B59" s="36" t="s">
        <v>145</v>
      </c>
      <c r="C59" s="37">
        <v>149.0</v>
      </c>
      <c r="D59" s="37">
        <v>3.0</v>
      </c>
      <c r="E59" s="42">
        <f t="shared" si="2"/>
        <v>19</v>
      </c>
      <c r="F59" s="43">
        <f>if(isna(VLOOKUP(B59,Checkin!A:B,2,false)),0,VLOOKUP(B59,Checkin!A:B,2,false))</f>
        <v>0</v>
      </c>
      <c r="G59" s="44">
        <f>if(OR($F59=1, $F59=2),VLOOKUP($B59,Courts!$B$2:$K$50,10,false),0)</f>
        <v>0</v>
      </c>
      <c r="H59" s="46">
        <f t="shared" si="3"/>
        <v>0</v>
      </c>
      <c r="I59" s="44">
        <f>if(OR($F59=1, $F59=2),VLOOKUP($B59,Courts!$B$2:$J$50,5,false),0)</f>
        <v>0</v>
      </c>
      <c r="J59" s="44">
        <f>if(OR($F59=1, $F59=2),VLOOKUP($B59,Courts!$B$2:$J$50,6,false),0)</f>
        <v>0</v>
      </c>
      <c r="K59" s="44">
        <f>if(OR($F59=1, $F59=2),VLOOKUP($B59,Courts!$B$2:$J$50,7,false),0)</f>
        <v>0</v>
      </c>
      <c r="L59" s="48">
        <f t="shared" si="4"/>
        <v>0</v>
      </c>
      <c r="M59" s="44">
        <f>if(OR($F59=1, $F59=2),VLOOKUP($B59,Courts!$B$2:$J$50,9,false),0)</f>
        <v>0</v>
      </c>
      <c r="N59" s="37">
        <f t="shared" ref="N59:O59" si="66">C59+L59</f>
        <v>149</v>
      </c>
      <c r="O59" s="37">
        <f t="shared" si="66"/>
        <v>3</v>
      </c>
      <c r="P59" s="50" t="s">
        <v>60</v>
      </c>
      <c r="Q59" s="50" t="s">
        <v>60</v>
      </c>
      <c r="R59" s="50" t="s">
        <v>60</v>
      </c>
      <c r="S59" s="51">
        <f t="shared" si="6"/>
        <v>1</v>
      </c>
      <c r="T59" s="52">
        <f t="shared" si="7"/>
        <v>1</v>
      </c>
      <c r="U59" s="52"/>
      <c r="V59" s="51">
        <f t="shared" si="8"/>
        <v>13</v>
      </c>
      <c r="W59" s="52">
        <f t="shared" si="9"/>
        <v>0</v>
      </c>
      <c r="X59" s="35">
        <f t="shared" si="14"/>
        <v>55</v>
      </c>
      <c r="Y59" s="35" t="str">
        <f t="shared" si="10"/>
        <v>N</v>
      </c>
      <c r="Z59" s="22" t="str">
        <f t="shared" si="11"/>
        <v/>
      </c>
    </row>
    <row r="60">
      <c r="A60" s="35">
        <f t="shared" si="12"/>
        <v>56</v>
      </c>
      <c r="B60" s="36" t="s">
        <v>137</v>
      </c>
      <c r="C60" s="37">
        <v>147.0</v>
      </c>
      <c r="D60" s="37">
        <v>1.0</v>
      </c>
      <c r="E60" s="42">
        <f t="shared" si="2"/>
        <v>11</v>
      </c>
      <c r="F60" s="43">
        <f>if(isna(VLOOKUP(B60,Checkin!A:B,2,false)),0,VLOOKUP(B60,Checkin!A:B,2,false))</f>
        <v>0</v>
      </c>
      <c r="G60" s="44">
        <f>if(OR($F60=1, $F60=2),VLOOKUP($B60,Courts!$B$2:$K$50,10,false),0)</f>
        <v>0</v>
      </c>
      <c r="H60" s="46">
        <f t="shared" si="3"/>
        <v>0</v>
      </c>
      <c r="I60" s="44">
        <f>if(OR($F60=1, $F60=2),VLOOKUP($B60,Courts!$B$2:$J$50,5,false),0)</f>
        <v>0</v>
      </c>
      <c r="J60" s="44">
        <f>if(OR($F60=1, $F60=2),VLOOKUP($B60,Courts!$B$2:$J$50,6,false),0)</f>
        <v>0</v>
      </c>
      <c r="K60" s="44">
        <f>if(OR($F60=1, $F60=2),VLOOKUP($B60,Courts!$B$2:$J$50,7,false),0)</f>
        <v>0</v>
      </c>
      <c r="L60" s="48">
        <f t="shared" si="4"/>
        <v>0</v>
      </c>
      <c r="M60" s="44">
        <f>if(OR($F60=1, $F60=2),VLOOKUP($B60,Courts!$B$2:$J$50,9,false),0)</f>
        <v>0</v>
      </c>
      <c r="N60" s="37">
        <f t="shared" ref="N60:O60" si="67">C60+L60</f>
        <v>147</v>
      </c>
      <c r="O60" s="37">
        <f t="shared" si="67"/>
        <v>1</v>
      </c>
      <c r="P60" s="50" t="s">
        <v>60</v>
      </c>
      <c r="Q60" s="50" t="s">
        <v>60</v>
      </c>
      <c r="R60" s="50" t="s">
        <v>60</v>
      </c>
      <c r="S60" s="51">
        <f t="shared" si="6"/>
        <v>2</v>
      </c>
      <c r="T60" s="52">
        <f t="shared" si="7"/>
        <v>2</v>
      </c>
      <c r="U60" s="52"/>
      <c r="V60" s="51">
        <f t="shared" si="8"/>
        <v>11</v>
      </c>
      <c r="W60" s="52">
        <f t="shared" si="9"/>
        <v>0</v>
      </c>
      <c r="X60" s="35">
        <f t="shared" si="14"/>
        <v>56</v>
      </c>
      <c r="Y60" s="35" t="str">
        <f t="shared" si="10"/>
        <v>N</v>
      </c>
      <c r="Z60" s="22" t="str">
        <f t="shared" si="11"/>
        <v/>
      </c>
    </row>
    <row r="61">
      <c r="A61" s="35">
        <f t="shared" si="12"/>
        <v>57</v>
      </c>
      <c r="B61" s="36" t="s">
        <v>119</v>
      </c>
      <c r="C61" s="37">
        <v>142.0</v>
      </c>
      <c r="D61" s="37">
        <v>1.0</v>
      </c>
      <c r="E61" s="42">
        <f t="shared" si="2"/>
        <v>12</v>
      </c>
      <c r="F61" s="43">
        <f>if(isna(VLOOKUP(B61,Checkin!A:B,2,false)),0,VLOOKUP(B61,Checkin!A:B,2,false))</f>
        <v>0</v>
      </c>
      <c r="G61" s="44">
        <f>if(OR($F61=1, $F61=2),VLOOKUP($B61,Courts!$B$2:$K$50,10,false),0)</f>
        <v>0</v>
      </c>
      <c r="H61" s="46">
        <f t="shared" si="3"/>
        <v>0</v>
      </c>
      <c r="I61" s="44">
        <f>if(OR($F61=1, $F61=2),VLOOKUP($B61,Courts!$B$2:$J$50,5,false),0)</f>
        <v>0</v>
      </c>
      <c r="J61" s="44">
        <f>if(OR($F61=1, $F61=2),VLOOKUP($B61,Courts!$B$2:$J$50,6,false),0)</f>
        <v>0</v>
      </c>
      <c r="K61" s="44">
        <f>if(OR($F61=1, $F61=2),VLOOKUP($B61,Courts!$B$2:$J$50,7,false),0)</f>
        <v>0</v>
      </c>
      <c r="L61" s="48">
        <f t="shared" si="4"/>
        <v>0</v>
      </c>
      <c r="M61" s="44">
        <f>if(OR($F61=1, $F61=2),VLOOKUP($B61,Courts!$B$2:$J$50,9,false),0)</f>
        <v>0</v>
      </c>
      <c r="N61" s="37">
        <f t="shared" ref="N61:O61" si="68">C61+L61</f>
        <v>142</v>
      </c>
      <c r="O61" s="37">
        <f t="shared" si="68"/>
        <v>1</v>
      </c>
      <c r="P61" s="50" t="s">
        <v>60</v>
      </c>
      <c r="Q61" s="50" t="s">
        <v>60</v>
      </c>
      <c r="R61" s="50" t="s">
        <v>60</v>
      </c>
      <c r="S61" s="51">
        <f t="shared" si="6"/>
        <v>1</v>
      </c>
      <c r="T61" s="52">
        <f t="shared" si="7"/>
        <v>1</v>
      </c>
      <c r="U61" s="52"/>
      <c r="V61" s="51">
        <f t="shared" si="8"/>
        <v>13</v>
      </c>
      <c r="W61" s="52">
        <f t="shared" si="9"/>
        <v>4</v>
      </c>
      <c r="X61" s="35">
        <f t="shared" si="14"/>
        <v>57</v>
      </c>
      <c r="Y61" s="35" t="str">
        <f t="shared" si="10"/>
        <v>N</v>
      </c>
      <c r="Z61" s="22" t="str">
        <f t="shared" si="11"/>
        <v/>
      </c>
    </row>
    <row r="62">
      <c r="A62" s="35">
        <f t="shared" si="12"/>
        <v>58</v>
      </c>
      <c r="B62" s="36" t="s">
        <v>96</v>
      </c>
      <c r="C62" s="37">
        <v>141.0</v>
      </c>
      <c r="D62" s="37">
        <v>9.0</v>
      </c>
      <c r="E62" s="42">
        <f t="shared" si="2"/>
        <v>9.461538462</v>
      </c>
      <c r="F62" s="43">
        <f>if(isna(VLOOKUP(B62,Checkin!A:B,2,false)),0,VLOOKUP(B62,Checkin!A:B,2,false))</f>
        <v>0</v>
      </c>
      <c r="G62" s="44">
        <f>if(OR($F62=1, $F62=2),VLOOKUP($B62,Courts!$B$2:$K$50,10,false),0)</f>
        <v>0</v>
      </c>
      <c r="H62" s="46">
        <f t="shared" si="3"/>
        <v>0</v>
      </c>
      <c r="I62" s="44">
        <f>if(OR($F62=1, $F62=2),VLOOKUP($B62,Courts!$B$2:$J$50,5,false),0)</f>
        <v>0</v>
      </c>
      <c r="J62" s="44">
        <f>if(OR($F62=1, $F62=2),VLOOKUP($B62,Courts!$B$2:$J$50,6,false),0)</f>
        <v>0</v>
      </c>
      <c r="K62" s="44">
        <f>if(OR($F62=1, $F62=2),VLOOKUP($B62,Courts!$B$2:$J$50,7,false),0)</f>
        <v>0</v>
      </c>
      <c r="L62" s="48">
        <f t="shared" si="4"/>
        <v>0</v>
      </c>
      <c r="M62" s="44">
        <f>if(OR($F62=1, $F62=2),VLOOKUP($B62,Courts!$B$2:$J$50,9,false),0)</f>
        <v>0</v>
      </c>
      <c r="N62" s="37">
        <f t="shared" ref="N62:O62" si="69">C62+L62</f>
        <v>141</v>
      </c>
      <c r="O62" s="37">
        <f t="shared" si="69"/>
        <v>9</v>
      </c>
      <c r="P62" s="50" t="s">
        <v>60</v>
      </c>
      <c r="Q62" s="50" t="s">
        <v>60</v>
      </c>
      <c r="R62" s="50" t="s">
        <v>60</v>
      </c>
      <c r="S62" s="51">
        <f t="shared" si="6"/>
        <v>13</v>
      </c>
      <c r="T62" s="52">
        <f t="shared" si="7"/>
        <v>0</v>
      </c>
      <c r="U62" s="52"/>
      <c r="V62" s="51">
        <f t="shared" si="8"/>
        <v>2</v>
      </c>
      <c r="W62" s="52">
        <f t="shared" si="9"/>
        <v>-1</v>
      </c>
      <c r="X62" s="35">
        <f t="shared" si="14"/>
        <v>58</v>
      </c>
      <c r="Y62" s="35" t="str">
        <f t="shared" si="10"/>
        <v>N</v>
      </c>
      <c r="Z62" s="22" t="str">
        <f t="shared" si="11"/>
        <v/>
      </c>
    </row>
    <row r="63">
      <c r="A63" s="35">
        <f t="shared" si="12"/>
        <v>59</v>
      </c>
      <c r="B63" s="36" t="s">
        <v>89</v>
      </c>
      <c r="C63" s="37">
        <v>141.0</v>
      </c>
      <c r="D63" s="37">
        <v>2.0</v>
      </c>
      <c r="E63" s="42">
        <f t="shared" si="2"/>
        <v>15</v>
      </c>
      <c r="F63" s="43">
        <f>if(isna(VLOOKUP(B63,Checkin!A:B,2,false)),0,VLOOKUP(B63,Checkin!A:B,2,false))</f>
        <v>0</v>
      </c>
      <c r="G63" s="44">
        <f>if(OR($F63=1, $F63=2),VLOOKUP($B63,Courts!$B$2:$K$50,10,false),0)</f>
        <v>0</v>
      </c>
      <c r="H63" s="46">
        <f t="shared" si="3"/>
        <v>0</v>
      </c>
      <c r="I63" s="44">
        <f>if(OR($F63=1, $F63=2),VLOOKUP($B63,Courts!$B$2:$J$50,5,false),0)</f>
        <v>0</v>
      </c>
      <c r="J63" s="44">
        <f>if(OR($F63=1, $F63=2),VLOOKUP($B63,Courts!$B$2:$J$50,6,false),0)</f>
        <v>0</v>
      </c>
      <c r="K63" s="44">
        <f>if(OR($F63=1, $F63=2),VLOOKUP($B63,Courts!$B$2:$J$50,7,false),0)</f>
        <v>0</v>
      </c>
      <c r="L63" s="48">
        <f t="shared" si="4"/>
        <v>0</v>
      </c>
      <c r="M63" s="44">
        <f>if(OR($F63=1, $F63=2),VLOOKUP($B63,Courts!$B$2:$J$50,9,false),0)</f>
        <v>0</v>
      </c>
      <c r="N63" s="37">
        <f t="shared" ref="N63:O63" si="70">C63+L63</f>
        <v>141</v>
      </c>
      <c r="O63" s="37">
        <f t="shared" si="70"/>
        <v>2</v>
      </c>
      <c r="P63" s="50" t="s">
        <v>60</v>
      </c>
      <c r="Q63" s="50" t="s">
        <v>60</v>
      </c>
      <c r="R63" s="50" t="s">
        <v>60</v>
      </c>
      <c r="S63" s="51">
        <f t="shared" si="6"/>
        <v>1</v>
      </c>
      <c r="T63" s="52">
        <f t="shared" si="7"/>
        <v>0</v>
      </c>
      <c r="U63" s="52"/>
      <c r="V63" s="51">
        <f t="shared" si="8"/>
        <v>14</v>
      </c>
      <c r="W63" s="52">
        <f t="shared" si="9"/>
        <v>-1</v>
      </c>
      <c r="X63" s="35">
        <f t="shared" si="14"/>
        <v>59</v>
      </c>
      <c r="Y63" s="35" t="str">
        <f t="shared" si="10"/>
        <v>N</v>
      </c>
      <c r="Z63" s="22" t="str">
        <f t="shared" si="11"/>
        <v/>
      </c>
    </row>
    <row r="64">
      <c r="A64" s="35">
        <f t="shared" si="12"/>
        <v>60</v>
      </c>
      <c r="B64" s="36" t="s">
        <v>138</v>
      </c>
      <c r="C64" s="37">
        <v>141.0</v>
      </c>
      <c r="D64" s="37">
        <v>1.0</v>
      </c>
      <c r="E64" s="42">
        <f t="shared" si="2"/>
        <v>11</v>
      </c>
      <c r="F64" s="43">
        <f>if(isna(VLOOKUP(B64,Checkin!A:B,2,false)),0,VLOOKUP(B64,Checkin!A:B,2,false))</f>
        <v>0</v>
      </c>
      <c r="G64" s="44">
        <f>if(OR($F64=1, $F64=2),VLOOKUP($B64,Courts!$B$2:$K$50,10,false),0)</f>
        <v>0</v>
      </c>
      <c r="H64" s="46">
        <f t="shared" si="3"/>
        <v>0</v>
      </c>
      <c r="I64" s="44">
        <f>if(OR($F64=1, $F64=2),VLOOKUP($B64,Courts!$B$2:$J$50,5,false),0)</f>
        <v>0</v>
      </c>
      <c r="J64" s="44">
        <f>if(OR($F64=1, $F64=2),VLOOKUP($B64,Courts!$B$2:$J$50,6,false),0)</f>
        <v>0</v>
      </c>
      <c r="K64" s="44">
        <f>if(OR($F64=1, $F64=2),VLOOKUP($B64,Courts!$B$2:$J$50,7,false),0)</f>
        <v>0</v>
      </c>
      <c r="L64" s="48">
        <f t="shared" si="4"/>
        <v>0</v>
      </c>
      <c r="M64" s="44">
        <f>if(OR($F64=1, $F64=2),VLOOKUP($B64,Courts!$B$2:$J$50,9,false),0)</f>
        <v>0</v>
      </c>
      <c r="N64" s="37">
        <f t="shared" ref="N64:O64" si="71">C64+L64</f>
        <v>141</v>
      </c>
      <c r="O64" s="37">
        <f t="shared" si="71"/>
        <v>1</v>
      </c>
      <c r="P64" s="50" t="s">
        <v>60</v>
      </c>
      <c r="Q64" s="50" t="s">
        <v>60</v>
      </c>
      <c r="R64" s="50" t="s">
        <v>60</v>
      </c>
      <c r="S64" s="51">
        <f t="shared" si="6"/>
        <v>1</v>
      </c>
      <c r="T64" s="52">
        <f t="shared" si="7"/>
        <v>1</v>
      </c>
      <c r="U64" s="52"/>
      <c r="V64" s="51">
        <f t="shared" si="8"/>
        <v>13</v>
      </c>
      <c r="W64" s="52">
        <f t="shared" si="9"/>
        <v>-1</v>
      </c>
      <c r="X64" s="35">
        <f t="shared" si="14"/>
        <v>60</v>
      </c>
      <c r="Y64" s="35" t="str">
        <f t="shared" si="10"/>
        <v>N</v>
      </c>
      <c r="Z64" s="22" t="str">
        <f t="shared" si="11"/>
        <v/>
      </c>
    </row>
    <row r="65">
      <c r="A65" s="35">
        <f t="shared" si="12"/>
        <v>61</v>
      </c>
      <c r="B65" s="36" t="s">
        <v>56</v>
      </c>
      <c r="C65" s="37">
        <v>140.0</v>
      </c>
      <c r="D65" s="37">
        <v>2.0</v>
      </c>
      <c r="E65" s="42">
        <f t="shared" si="2"/>
        <v>14</v>
      </c>
      <c r="F65" s="43">
        <f>if(isna(VLOOKUP(B65,Checkin!A:B,2,false)),0,VLOOKUP(B65,Checkin!A:B,2,false))</f>
        <v>0</v>
      </c>
      <c r="G65" s="44">
        <f>if(OR($F65=1, $F65=2),VLOOKUP($B65,Courts!$B$2:$K$50,10,false),0)</f>
        <v>0</v>
      </c>
      <c r="H65" s="46">
        <f t="shared" si="3"/>
        <v>0</v>
      </c>
      <c r="I65" s="44">
        <f>if(OR($F65=1, $F65=2),VLOOKUP($B65,Courts!$B$2:$J$50,5,false),0)</f>
        <v>0</v>
      </c>
      <c r="J65" s="44">
        <f>if(OR($F65=1, $F65=2),VLOOKUP($B65,Courts!$B$2:$J$50,6,false),0)</f>
        <v>0</v>
      </c>
      <c r="K65" s="44">
        <f>if(OR($F65=1, $F65=2),VLOOKUP($B65,Courts!$B$2:$J$50,7,false),0)</f>
        <v>0</v>
      </c>
      <c r="L65" s="48">
        <f t="shared" si="4"/>
        <v>0</v>
      </c>
      <c r="M65" s="44">
        <f>if(OR($F65=1, $F65=2),VLOOKUP($B65,Courts!$B$2:$J$50,9,false),0)</f>
        <v>0</v>
      </c>
      <c r="N65" s="37">
        <f t="shared" ref="N65:O65" si="72">C65+L65</f>
        <v>140</v>
      </c>
      <c r="O65" s="37">
        <f t="shared" si="72"/>
        <v>2</v>
      </c>
      <c r="P65" s="50" t="s">
        <v>60</v>
      </c>
      <c r="Q65" s="50" t="s">
        <v>60</v>
      </c>
      <c r="R65" s="50" t="s">
        <v>60</v>
      </c>
      <c r="S65" s="51">
        <f t="shared" si="6"/>
        <v>1</v>
      </c>
      <c r="T65" s="52">
        <f t="shared" si="7"/>
        <v>0</v>
      </c>
      <c r="U65" s="52"/>
      <c r="V65" s="51">
        <f t="shared" si="8"/>
        <v>14</v>
      </c>
      <c r="W65" s="52">
        <f t="shared" si="9"/>
        <v>-1</v>
      </c>
      <c r="X65" s="35">
        <f t="shared" si="14"/>
        <v>61</v>
      </c>
      <c r="Y65" s="35" t="str">
        <f t="shared" si="10"/>
        <v>N</v>
      </c>
      <c r="Z65" s="22" t="str">
        <f t="shared" si="11"/>
        <v/>
      </c>
    </row>
    <row r="66">
      <c r="A66" s="35">
        <f t="shared" si="12"/>
        <v>62</v>
      </c>
      <c r="B66" s="36" t="s">
        <v>116</v>
      </c>
      <c r="C66" s="37">
        <v>137.0</v>
      </c>
      <c r="D66" s="37">
        <v>1.0</v>
      </c>
      <c r="E66" s="42">
        <f t="shared" si="2"/>
        <v>7</v>
      </c>
      <c r="F66" s="43">
        <f>if(isna(VLOOKUP(B66,Checkin!A:B,2,false)),0,VLOOKUP(B66,Checkin!A:B,2,false))</f>
        <v>0</v>
      </c>
      <c r="G66" s="44">
        <f>if(OR($F66=1, $F66=2),VLOOKUP($B66,Courts!$B$2:$K$50,10,false),0)</f>
        <v>0</v>
      </c>
      <c r="H66" s="46">
        <f t="shared" si="3"/>
        <v>0</v>
      </c>
      <c r="I66" s="44">
        <f>if(OR($F66=1, $F66=2),VLOOKUP($B66,Courts!$B$2:$J$50,5,false),0)</f>
        <v>0</v>
      </c>
      <c r="J66" s="44">
        <f>if(OR($F66=1, $F66=2),VLOOKUP($B66,Courts!$B$2:$J$50,6,false),0)</f>
        <v>0</v>
      </c>
      <c r="K66" s="44">
        <f>if(OR($F66=1, $F66=2),VLOOKUP($B66,Courts!$B$2:$J$50,7,false),0)</f>
        <v>0</v>
      </c>
      <c r="L66" s="48">
        <f t="shared" si="4"/>
        <v>0</v>
      </c>
      <c r="M66" s="44">
        <f>if(OR($F66=1, $F66=2),VLOOKUP($B66,Courts!$B$2:$J$50,9,false),0)</f>
        <v>0</v>
      </c>
      <c r="N66" s="37">
        <f t="shared" ref="N66:O66" si="73">C66+L66</f>
        <v>137</v>
      </c>
      <c r="O66" s="37">
        <f t="shared" si="73"/>
        <v>1</v>
      </c>
      <c r="P66" s="50" t="s">
        <v>60</v>
      </c>
      <c r="Q66" s="50" t="s">
        <v>60</v>
      </c>
      <c r="R66" s="50" t="s">
        <v>60</v>
      </c>
      <c r="S66" s="51">
        <f t="shared" si="6"/>
        <v>1</v>
      </c>
      <c r="T66" s="52">
        <f t="shared" si="7"/>
        <v>1</v>
      </c>
      <c r="U66" s="52"/>
      <c r="V66" s="51">
        <f t="shared" si="8"/>
        <v>13</v>
      </c>
      <c r="W66" s="52">
        <f t="shared" si="9"/>
        <v>0</v>
      </c>
      <c r="X66" s="35">
        <f t="shared" si="14"/>
        <v>62</v>
      </c>
      <c r="Y66" s="35" t="str">
        <f t="shared" si="10"/>
        <v>N</v>
      </c>
      <c r="Z66" s="22" t="str">
        <f t="shared" si="11"/>
        <v/>
      </c>
    </row>
    <row r="67">
      <c r="A67" s="35">
        <f t="shared" si="12"/>
        <v>63</v>
      </c>
      <c r="B67" s="36" t="s">
        <v>95</v>
      </c>
      <c r="C67" s="37">
        <v>135.0</v>
      </c>
      <c r="D67" s="37">
        <v>0.0</v>
      </c>
      <c r="E67" s="42">
        <f t="shared" si="2"/>
        <v>0</v>
      </c>
      <c r="F67" s="43">
        <f>if(isna(VLOOKUP(B67,Checkin!A:B,2,false)),0,VLOOKUP(B67,Checkin!A:B,2,false))</f>
        <v>0</v>
      </c>
      <c r="G67" s="44">
        <f>if(OR($F67=1, $F67=2),VLOOKUP($B67,Courts!$B$2:$K$50,10,false),0)</f>
        <v>0</v>
      </c>
      <c r="H67" s="46">
        <f t="shared" si="3"/>
        <v>0</v>
      </c>
      <c r="I67" s="44">
        <f>if(OR($F67=1, $F67=2),VLOOKUP($B67,Courts!$B$2:$J$50,5,false),0)</f>
        <v>0</v>
      </c>
      <c r="J67" s="44">
        <f>if(OR($F67=1, $F67=2),VLOOKUP($B67,Courts!$B$2:$J$50,6,false),0)</f>
        <v>0</v>
      </c>
      <c r="K67" s="44">
        <f>if(OR($F67=1, $F67=2),VLOOKUP($B67,Courts!$B$2:$J$50,7,false),0)</f>
        <v>0</v>
      </c>
      <c r="L67" s="48">
        <f t="shared" si="4"/>
        <v>0</v>
      </c>
      <c r="M67" s="44">
        <f>if(OR($F67=1, $F67=2),VLOOKUP($B67,Courts!$B$2:$J$50,9,false),0)</f>
        <v>0</v>
      </c>
      <c r="N67" s="37">
        <f t="shared" ref="N67:O67" si="74">C67+L67</f>
        <v>135</v>
      </c>
      <c r="O67" s="37">
        <f t="shared" si="74"/>
        <v>0</v>
      </c>
      <c r="P67" s="50" t="s">
        <v>60</v>
      </c>
      <c r="Q67" s="50" t="s">
        <v>60</v>
      </c>
      <c r="R67" s="50" t="s">
        <v>60</v>
      </c>
      <c r="S67" s="51">
        <f t="shared" si="6"/>
        <v>0</v>
      </c>
      <c r="T67" s="52">
        <f t="shared" si="7"/>
        <v>0</v>
      </c>
      <c r="U67" s="52"/>
      <c r="V67" s="51">
        <f t="shared" si="8"/>
        <v>15</v>
      </c>
      <c r="W67" s="52">
        <f t="shared" si="9"/>
        <v>0</v>
      </c>
      <c r="X67" s="35">
        <f t="shared" si="14"/>
        <v>63</v>
      </c>
      <c r="Y67" s="35" t="str">
        <f t="shared" si="10"/>
        <v>N</v>
      </c>
      <c r="Z67" s="22" t="str">
        <f t="shared" si="11"/>
        <v/>
      </c>
    </row>
    <row r="68">
      <c r="A68" s="35">
        <f t="shared" si="12"/>
        <v>64</v>
      </c>
      <c r="B68" s="36" t="s">
        <v>77</v>
      </c>
      <c r="C68" s="37">
        <v>135.0</v>
      </c>
      <c r="D68" s="37">
        <v>0.0</v>
      </c>
      <c r="E68" s="42">
        <f t="shared" si="2"/>
        <v>0</v>
      </c>
      <c r="F68" s="43">
        <f>if(isna(VLOOKUP(B68,Checkin!A:B,2,false)),0,VLOOKUP(B68,Checkin!A:B,2,false))</f>
        <v>0</v>
      </c>
      <c r="G68" s="44">
        <f>if(OR($F68=1, $F68=2),VLOOKUP($B68,Courts!$B$2:$K$50,10,false),0)</f>
        <v>0</v>
      </c>
      <c r="H68" s="46">
        <f t="shared" si="3"/>
        <v>0</v>
      </c>
      <c r="I68" s="44">
        <f>if(OR($F68=1, $F68=2),VLOOKUP($B68,Courts!$B$2:$J$50,5,false),0)</f>
        <v>0</v>
      </c>
      <c r="J68" s="44">
        <f>if(OR($F68=1, $F68=2),VLOOKUP($B68,Courts!$B$2:$J$50,6,false),0)</f>
        <v>0</v>
      </c>
      <c r="K68" s="44">
        <f>if(OR($F68=1, $F68=2),VLOOKUP($B68,Courts!$B$2:$J$50,7,false),0)</f>
        <v>0</v>
      </c>
      <c r="L68" s="48">
        <f t="shared" si="4"/>
        <v>0</v>
      </c>
      <c r="M68" s="44">
        <f>if(OR($F68=1, $F68=2),VLOOKUP($B68,Courts!$B$2:$J$50,9,false),0)</f>
        <v>0</v>
      </c>
      <c r="N68" s="37">
        <f t="shared" ref="N68:O68" si="75">C68+L68</f>
        <v>135</v>
      </c>
      <c r="O68" s="37">
        <f t="shared" si="75"/>
        <v>0</v>
      </c>
      <c r="P68" s="50" t="s">
        <v>60</v>
      </c>
      <c r="Q68" s="50" t="s">
        <v>60</v>
      </c>
      <c r="R68" s="50" t="s">
        <v>60</v>
      </c>
      <c r="S68" s="51">
        <f t="shared" si="6"/>
        <v>0</v>
      </c>
      <c r="T68" s="52">
        <f t="shared" si="7"/>
        <v>0</v>
      </c>
      <c r="U68" s="52"/>
      <c r="V68" s="51">
        <f t="shared" si="8"/>
        <v>15</v>
      </c>
      <c r="W68" s="52">
        <f t="shared" si="9"/>
        <v>0</v>
      </c>
      <c r="X68" s="35">
        <f t="shared" si="14"/>
        <v>64</v>
      </c>
      <c r="Y68" s="35" t="str">
        <f t="shared" si="10"/>
        <v>N</v>
      </c>
      <c r="Z68" s="22" t="str">
        <f t="shared" si="11"/>
        <v/>
      </c>
    </row>
    <row r="69">
      <c r="A69" s="35">
        <f t="shared" si="12"/>
        <v>65</v>
      </c>
      <c r="B69" s="36" t="s">
        <v>132</v>
      </c>
      <c r="C69" s="37">
        <v>135.0</v>
      </c>
      <c r="D69" s="37">
        <v>0.0</v>
      </c>
      <c r="E69" s="42">
        <f t="shared" si="2"/>
        <v>0</v>
      </c>
      <c r="F69" s="43">
        <f>if(isna(VLOOKUP(B69,Checkin!A:B,2,false)),0,VLOOKUP(B69,Checkin!A:B,2,false))</f>
        <v>0</v>
      </c>
      <c r="G69" s="44">
        <f>if(OR($F69=1, $F69=2),VLOOKUP($B69,Courts!$B$2:$K$50,10,false),0)</f>
        <v>0</v>
      </c>
      <c r="H69" s="46">
        <f t="shared" si="3"/>
        <v>0</v>
      </c>
      <c r="I69" s="44">
        <f>if(OR($F69=1, $F69=2),VLOOKUP($B69,Courts!$B$2:$J$50,5,false),0)</f>
        <v>0</v>
      </c>
      <c r="J69" s="44">
        <f>if(OR($F69=1, $F69=2),VLOOKUP($B69,Courts!$B$2:$J$50,6,false),0)</f>
        <v>0</v>
      </c>
      <c r="K69" s="44">
        <f>if(OR($F69=1, $F69=2),VLOOKUP($B69,Courts!$B$2:$J$50,7,false),0)</f>
        <v>0</v>
      </c>
      <c r="L69" s="48">
        <f t="shared" si="4"/>
        <v>0</v>
      </c>
      <c r="M69" s="44">
        <f>if(OR($F69=1, $F69=2),VLOOKUP($B69,Courts!$B$2:$J$50,9,false),0)</f>
        <v>0</v>
      </c>
      <c r="N69" s="37">
        <f t="shared" ref="N69:O69" si="76">C69+L69</f>
        <v>135</v>
      </c>
      <c r="O69" s="37">
        <f t="shared" si="76"/>
        <v>0</v>
      </c>
      <c r="P69" s="50" t="s">
        <v>60</v>
      </c>
      <c r="Q69" s="50" t="s">
        <v>60</v>
      </c>
      <c r="R69" s="50" t="s">
        <v>60</v>
      </c>
      <c r="S69" s="51">
        <f t="shared" si="6"/>
        <v>0</v>
      </c>
      <c r="T69" s="52">
        <f t="shared" si="7"/>
        <v>0</v>
      </c>
      <c r="U69" s="52"/>
      <c r="V69" s="51">
        <f t="shared" si="8"/>
        <v>15</v>
      </c>
      <c r="W69" s="52">
        <f t="shared" si="9"/>
        <v>0</v>
      </c>
      <c r="X69" s="35">
        <f t="shared" si="14"/>
        <v>65</v>
      </c>
      <c r="Y69" s="35" t="str">
        <f t="shared" si="10"/>
        <v>N</v>
      </c>
      <c r="Z69" s="22" t="str">
        <f t="shared" si="11"/>
        <v/>
      </c>
    </row>
    <row r="70">
      <c r="A70" s="35">
        <f t="shared" si="12"/>
        <v>66</v>
      </c>
      <c r="B70" s="36" t="s">
        <v>53</v>
      </c>
      <c r="C70" s="37">
        <v>135.0</v>
      </c>
      <c r="D70" s="37">
        <v>0.0</v>
      </c>
      <c r="E70" s="42">
        <f t="shared" si="2"/>
        <v>0</v>
      </c>
      <c r="F70" s="43">
        <f>if(isna(VLOOKUP(B70,Checkin!A:B,2,false)),0,VLOOKUP(B70,Checkin!A:B,2,false))</f>
        <v>0</v>
      </c>
      <c r="G70" s="44">
        <f>if(OR($F70=1, $F70=2),VLOOKUP($B70,Courts!$B$2:$K$50,10,false),0)</f>
        <v>0</v>
      </c>
      <c r="H70" s="46">
        <f t="shared" si="3"/>
        <v>0</v>
      </c>
      <c r="I70" s="44">
        <f>if(OR($F70=1, $F70=2),VLOOKUP($B70,Courts!$B$2:$J$50,5,false),0)</f>
        <v>0</v>
      </c>
      <c r="J70" s="44">
        <f>if(OR($F70=1, $F70=2),VLOOKUP($B70,Courts!$B$2:$J$50,6,false),0)</f>
        <v>0</v>
      </c>
      <c r="K70" s="44">
        <f>if(OR($F70=1, $F70=2),VLOOKUP($B70,Courts!$B$2:$J$50,7,false),0)</f>
        <v>0</v>
      </c>
      <c r="L70" s="48">
        <f t="shared" si="4"/>
        <v>0</v>
      </c>
      <c r="M70" s="44">
        <f>if(OR($F70=1, $F70=2),VLOOKUP($B70,Courts!$B$2:$J$50,9,false),0)</f>
        <v>0</v>
      </c>
      <c r="N70" s="37">
        <f t="shared" ref="N70:O70" si="77">C70+L70</f>
        <v>135</v>
      </c>
      <c r="O70" s="37">
        <f t="shared" si="77"/>
        <v>0</v>
      </c>
      <c r="P70" s="50" t="s">
        <v>60</v>
      </c>
      <c r="Q70" s="50" t="s">
        <v>60</v>
      </c>
      <c r="R70" s="50" t="s">
        <v>60</v>
      </c>
      <c r="S70" s="51">
        <f t="shared" si="6"/>
        <v>0</v>
      </c>
      <c r="T70" s="52">
        <f t="shared" si="7"/>
        <v>0</v>
      </c>
      <c r="U70" s="52"/>
      <c r="V70" s="51">
        <f t="shared" si="8"/>
        <v>15</v>
      </c>
      <c r="W70" s="52">
        <f t="shared" si="9"/>
        <v>0</v>
      </c>
      <c r="X70" s="35">
        <f t="shared" si="14"/>
        <v>66</v>
      </c>
      <c r="Y70" s="35" t="str">
        <f t="shared" si="10"/>
        <v>N</v>
      </c>
      <c r="Z70" s="22" t="str">
        <f t="shared" si="11"/>
        <v/>
      </c>
    </row>
    <row r="71">
      <c r="A71" s="35">
        <f t="shared" si="12"/>
        <v>67</v>
      </c>
      <c r="B71" s="36" t="s">
        <v>143</v>
      </c>
      <c r="C71" s="37">
        <v>135.0</v>
      </c>
      <c r="D71" s="37">
        <v>0.0</v>
      </c>
      <c r="E71" s="42">
        <f t="shared" si="2"/>
        <v>5</v>
      </c>
      <c r="F71" s="43">
        <f>if(isna(VLOOKUP(B71,Checkin!A:B,2,false)),0,VLOOKUP(B71,Checkin!A:B,2,false))</f>
        <v>0</v>
      </c>
      <c r="G71" s="44">
        <f>if(OR($F71=1, $F71=2),VLOOKUP($B71,Courts!$B$2:$K$50,10,false),0)</f>
        <v>0</v>
      </c>
      <c r="H71" s="46">
        <f t="shared" si="3"/>
        <v>0</v>
      </c>
      <c r="I71" s="44">
        <f>if(OR($F71=1, $F71=2),VLOOKUP($B71,Courts!$B$2:$J$50,5,false),0)</f>
        <v>0</v>
      </c>
      <c r="J71" s="44">
        <f>if(OR($F71=1, $F71=2),VLOOKUP($B71,Courts!$B$2:$J$50,6,false),0)</f>
        <v>0</v>
      </c>
      <c r="K71" s="44">
        <f>if(OR($F71=1, $F71=2),VLOOKUP($B71,Courts!$B$2:$J$50,7,false),0)</f>
        <v>0</v>
      </c>
      <c r="L71" s="48">
        <f t="shared" si="4"/>
        <v>0</v>
      </c>
      <c r="M71" s="44">
        <f>if(OR($F71=1, $F71=2),VLOOKUP($B71,Courts!$B$2:$J$50,9,false),0)</f>
        <v>0</v>
      </c>
      <c r="N71" s="37">
        <f t="shared" ref="N71:O71" si="78">C71+L71</f>
        <v>135</v>
      </c>
      <c r="O71" s="37">
        <f t="shared" si="78"/>
        <v>0</v>
      </c>
      <c r="P71" s="50" t="s">
        <v>60</v>
      </c>
      <c r="Q71" s="50" t="s">
        <v>60</v>
      </c>
      <c r="R71" s="50" t="s">
        <v>60</v>
      </c>
      <c r="S71" s="51">
        <f t="shared" si="6"/>
        <v>1</v>
      </c>
      <c r="T71" s="52">
        <f t="shared" si="7"/>
        <v>1</v>
      </c>
      <c r="U71" s="52"/>
      <c r="V71" s="51">
        <f t="shared" si="8"/>
        <v>13</v>
      </c>
      <c r="W71" s="52">
        <f t="shared" si="9"/>
        <v>0</v>
      </c>
      <c r="X71" s="35">
        <f t="shared" si="14"/>
        <v>67</v>
      </c>
      <c r="Y71" s="35" t="str">
        <f t="shared" si="10"/>
        <v>N</v>
      </c>
      <c r="Z71" s="22" t="str">
        <f t="shared" si="11"/>
        <v/>
      </c>
    </row>
    <row r="72">
      <c r="A72" s="2"/>
      <c r="C72" s="2"/>
      <c r="D72" s="2"/>
      <c r="E72" s="2"/>
      <c r="F72" s="2"/>
      <c r="P72" s="20"/>
      <c r="S72" s="28"/>
      <c r="T72" s="28"/>
      <c r="V72" s="28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10/10/26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desc"",0)"),"Naveen Raj")</f>
        <v>Naveen Raj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IFERROR(__xludf.DUMMYFUNCTION("""COMPUTED_VALUE"""),6.0)</f>
        <v>6</v>
      </c>
      <c r="F83" s="2"/>
    </row>
    <row r="84">
      <c r="A84" s="2"/>
      <c r="B84" s="36" t="str">
        <f>IFERROR(__xludf.DUMMYFUNCTION("""COMPUTED_VALUE"""),"Suleman Alidina")</f>
        <v>Suleman Alidina</v>
      </c>
      <c r="C84" s="125">
        <f>IFERROR(__xludf.DUMMYFUNCTION("""COMPUTED_VALUE"""),18.0)</f>
        <v>18</v>
      </c>
      <c r="D84" s="125">
        <f>IFERROR(__xludf.DUMMYFUNCTION("""COMPUTED_VALUE"""),3.0)</f>
        <v>3</v>
      </c>
      <c r="E84" s="125">
        <f>IFERROR(__xludf.DUMMYFUNCTION("""COMPUTED_VALUE"""),3.0)</f>
        <v>3</v>
      </c>
      <c r="F84" s="2"/>
    </row>
    <row r="85">
      <c r="A85" s="2"/>
      <c r="B85" s="36" t="str">
        <f>IFERROR(__xludf.DUMMYFUNCTION("""COMPUTED_VALUE"""),"Sandeep Kamalon")</f>
        <v>Sandeep Kamalon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IFERROR(__xludf.DUMMYFUNCTION("""COMPUTED_VALUE"""),4.0)</f>
        <v>4</v>
      </c>
      <c r="F85" s="2"/>
    </row>
    <row r="86">
      <c r="A86" s="2"/>
      <c r="B86" s="36" t="str">
        <f>IFERROR(__xludf.DUMMYFUNCTION("""COMPUTED_VALUE"""),"Andrew Yao")</f>
        <v>Andrew Yao</v>
      </c>
      <c r="C86" s="125">
        <f>IFERROR(__xludf.DUMMYFUNCTION("""COMPUTED_VALUE"""),18.0)</f>
        <v>18</v>
      </c>
      <c r="D86" s="125">
        <f>IFERROR(__xludf.DUMMYFUNCTION("""COMPUTED_VALUE"""),2.0)</f>
        <v>2</v>
      </c>
      <c r="E86" s="125">
        <f>IFERROR(__xludf.DUMMYFUNCTION("""COMPUTED_VALUE"""),1.0)</f>
        <v>1</v>
      </c>
      <c r="F86" s="2"/>
    </row>
    <row r="87">
      <c r="A87" s="2"/>
      <c r="B87" s="36" t="str">
        <f>IFERROR(__xludf.DUMMYFUNCTION("""COMPUTED_VALUE"""),"Jaya Sogata")</f>
        <v>Jaya Sogata</v>
      </c>
      <c r="C87" s="125">
        <f>IFERROR(__xludf.DUMMYFUNCTION("""COMPUTED_VALUE"""),18.0)</f>
        <v>18</v>
      </c>
      <c r="D87" s="125">
        <f>IFERROR(__xludf.DUMMYFUNCTION("""COMPUTED_VALUE"""),2.0)</f>
        <v>2</v>
      </c>
      <c r="E87" s="125">
        <f>IFERROR(__xludf.DUMMYFUNCTION("""COMPUTED_VALUE"""),2.0)</f>
        <v>2</v>
      </c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10"")"),"Naveen Raj")</f>
        <v>Naveen Raj</v>
      </c>
      <c r="C102" s="125">
        <f>IFERROR(__xludf.DUMMYFUNCTION("""COMPUTED_VALUE"""),9.0)</f>
        <v>9</v>
      </c>
      <c r="D102" s="125">
        <f t="shared" ref="D102:D111" si="79">VLOOKUP(B102,indirect($AC$2&amp;"!B$5:X$79"),23, false)</f>
        <v>33</v>
      </c>
      <c r="E102" s="125">
        <f t="shared" ref="E102:E111" si="80">VLOOKUP(B102,B$5:X$71,23, false)</f>
        <v>24</v>
      </c>
      <c r="F102" s="125">
        <f t="shared" ref="F102:F111" si="81">VLOOKUP(B102,indirect($AC$2&amp;"!B$5:U$79"),11, false)</f>
        <v>19</v>
      </c>
      <c r="G102" s="125">
        <f t="shared" ref="G102:G111" si="82">VLOOKUP(B102,indirect($AC$2&amp;"!B$5:U$79"),6, false)</f>
        <v>6</v>
      </c>
      <c r="L102" s="125" t="str">
        <f t="shared" ref="L102:L111" si="83">if(D102-E102=C102,"ok","Error")</f>
        <v>ok</v>
      </c>
    </row>
    <row r="103">
      <c r="A103" s="2"/>
      <c r="B103" s="36" t="str">
        <f>IFERROR(__xludf.DUMMYFUNCTION("""COMPUTED_VALUE"""),"Alex Hou")</f>
        <v>Alex Hou</v>
      </c>
      <c r="C103" s="125">
        <f>IFERROR(__xludf.DUMMYFUNCTION("""COMPUTED_VALUE"""),9.0)</f>
        <v>9</v>
      </c>
      <c r="D103" s="125">
        <f t="shared" si="79"/>
        <v>51</v>
      </c>
      <c r="E103" s="125">
        <f t="shared" si="80"/>
        <v>42</v>
      </c>
      <c r="F103" s="125">
        <f t="shared" si="81"/>
        <v>17</v>
      </c>
      <c r="G103" s="125">
        <f t="shared" si="82"/>
        <v>8</v>
      </c>
      <c r="L103" s="125" t="str">
        <f t="shared" si="83"/>
        <v>ok</v>
      </c>
    </row>
    <row r="104">
      <c r="A104" s="2"/>
      <c r="B104" s="36" t="str">
        <f>IFERROR(__xludf.DUMMYFUNCTION("""COMPUTED_VALUE"""),"Ramesh Bandaru")</f>
        <v>Ramesh Bandaru</v>
      </c>
      <c r="C104" s="125">
        <f>IFERROR(__xludf.DUMMYFUNCTION("""COMPUTED_VALUE"""),6.0)</f>
        <v>6</v>
      </c>
      <c r="D104" s="125">
        <f t="shared" si="79"/>
        <v>39</v>
      </c>
      <c r="E104" s="125">
        <f t="shared" si="80"/>
        <v>33</v>
      </c>
      <c r="F104" s="125">
        <f t="shared" si="81"/>
        <v>16</v>
      </c>
      <c r="G104" s="125">
        <f t="shared" si="82"/>
        <v>7</v>
      </c>
      <c r="L104" s="125" t="str">
        <f t="shared" si="83"/>
        <v>ok</v>
      </c>
    </row>
    <row r="105">
      <c r="A105" s="2"/>
      <c r="B105" s="36" t="str">
        <f>IFERROR(__xludf.DUMMYFUNCTION("""COMPUTED_VALUE"""),"Suleman Alidina")</f>
        <v>Suleman Alidina</v>
      </c>
      <c r="C105" s="125">
        <f>IFERROR(__xludf.DUMMYFUNCTION("""COMPUTED_VALUE"""),4.0)</f>
        <v>4</v>
      </c>
      <c r="D105" s="125">
        <f t="shared" si="79"/>
        <v>12</v>
      </c>
      <c r="E105" s="125">
        <f t="shared" si="80"/>
        <v>8</v>
      </c>
      <c r="F105" s="125">
        <f t="shared" si="81"/>
        <v>18</v>
      </c>
      <c r="G105" s="125">
        <f t="shared" si="82"/>
        <v>3</v>
      </c>
      <c r="L105" s="125" t="str">
        <f t="shared" si="83"/>
        <v>ok</v>
      </c>
    </row>
    <row r="106">
      <c r="A106" s="2"/>
      <c r="B106" s="36" t="str">
        <f>IFERROR(__xludf.DUMMYFUNCTION("""COMPUTED_VALUE"""),"Sandeep Kamalon")</f>
        <v>Sandeep Kamalon</v>
      </c>
      <c r="C106" s="125">
        <f>IFERROR(__xludf.DUMMYFUNCTION("""COMPUTED_VALUE"""),4.0)</f>
        <v>4</v>
      </c>
      <c r="D106" s="125">
        <f t="shared" si="79"/>
        <v>17</v>
      </c>
      <c r="E106" s="125">
        <f t="shared" si="80"/>
        <v>13</v>
      </c>
      <c r="F106" s="125">
        <f t="shared" si="81"/>
        <v>18</v>
      </c>
      <c r="G106" s="125">
        <f t="shared" si="82"/>
        <v>4</v>
      </c>
      <c r="L106" s="125" t="str">
        <f t="shared" si="83"/>
        <v>ok</v>
      </c>
    </row>
    <row r="107">
      <c r="A107" s="2"/>
      <c r="B107" s="36" t="str">
        <f>IFERROR(__xludf.DUMMYFUNCTION("""COMPUTED_VALUE"""),"Lloyd Sagar")</f>
        <v>Lloyd Sagar</v>
      </c>
      <c r="C107" s="125">
        <f>IFERROR(__xludf.DUMMYFUNCTION("""COMPUTED_VALUE"""),4.0)</f>
        <v>4</v>
      </c>
      <c r="D107" s="125">
        <f t="shared" si="79"/>
        <v>31</v>
      </c>
      <c r="E107" s="125">
        <f t="shared" si="80"/>
        <v>27</v>
      </c>
      <c r="F107" s="125">
        <f t="shared" si="81"/>
        <v>16</v>
      </c>
      <c r="G107" s="125">
        <f t="shared" si="82"/>
        <v>5</v>
      </c>
      <c r="L107" s="125" t="str">
        <f t="shared" si="83"/>
        <v>ok</v>
      </c>
    </row>
    <row r="108">
      <c r="A108" s="2"/>
      <c r="B108" s="36" t="str">
        <f>IFERROR(__xludf.DUMMYFUNCTION("""COMPUTED_VALUE"""),"Lenin Belangonda")</f>
        <v>Lenin Belangonda</v>
      </c>
      <c r="C108" s="125">
        <f>IFERROR(__xludf.DUMMYFUNCTION("""COMPUTED_VALUE"""),4.0)</f>
        <v>4</v>
      </c>
      <c r="D108" s="125">
        <f t="shared" si="79"/>
        <v>61</v>
      </c>
      <c r="E108" s="125">
        <f t="shared" si="80"/>
        <v>57</v>
      </c>
      <c r="F108" s="125">
        <f t="shared" si="81"/>
        <v>13</v>
      </c>
      <c r="G108" s="125">
        <f t="shared" si="82"/>
        <v>0</v>
      </c>
      <c r="L108" s="125" t="str">
        <f t="shared" si="83"/>
        <v>ok</v>
      </c>
    </row>
    <row r="109">
      <c r="A109" s="2"/>
      <c r="B109" s="36" t="str">
        <f>IFERROR(__xludf.DUMMYFUNCTION("""COMPUTED_VALUE"""),"Ethan Gu")</f>
        <v>Ethan Gu</v>
      </c>
      <c r="C109" s="125">
        <f>IFERROR(__xludf.DUMMYFUNCTION("""COMPUTED_VALUE"""),3.0)</f>
        <v>3</v>
      </c>
      <c r="D109" s="125">
        <f t="shared" si="79"/>
        <v>28</v>
      </c>
      <c r="E109" s="125">
        <f t="shared" si="80"/>
        <v>25</v>
      </c>
      <c r="F109" s="125">
        <f t="shared" si="81"/>
        <v>14</v>
      </c>
      <c r="G109" s="125">
        <f t="shared" si="82"/>
        <v>5</v>
      </c>
      <c r="L109" s="125" t="str">
        <f t="shared" si="83"/>
        <v>ok</v>
      </c>
    </row>
    <row r="110">
      <c r="A110" s="2"/>
      <c r="B110" s="36" t="str">
        <f>IFERROR(__xludf.DUMMYFUNCTION("""COMPUTED_VALUE"""),"Coco Yan")</f>
        <v>Coco Yan</v>
      </c>
      <c r="C110" s="125">
        <f>IFERROR(__xludf.DUMMYFUNCTION("""COMPUTED_VALUE"""),3.0)</f>
        <v>3</v>
      </c>
      <c r="D110" s="125">
        <f t="shared" si="79"/>
        <v>35</v>
      </c>
      <c r="E110" s="125">
        <f t="shared" si="80"/>
        <v>32</v>
      </c>
      <c r="F110" s="125">
        <f t="shared" si="81"/>
        <v>14</v>
      </c>
      <c r="G110" s="125">
        <f t="shared" si="82"/>
        <v>6</v>
      </c>
      <c r="L110" s="125" t="str">
        <f t="shared" si="83"/>
        <v>ok</v>
      </c>
    </row>
    <row r="111">
      <c r="A111" s="2"/>
      <c r="B111" s="36" t="str">
        <f>IFERROR(__xludf.DUMMYFUNCTION("""COMPUTED_VALUE"""),"Rudy Tatang")</f>
        <v>Rudy Tatang</v>
      </c>
      <c r="C111" s="125">
        <f>IFERROR(__xludf.DUMMYFUNCTION("""COMPUTED_VALUE"""),2.0)</f>
        <v>2</v>
      </c>
      <c r="D111" s="125">
        <f t="shared" si="79"/>
        <v>6</v>
      </c>
      <c r="E111" s="125">
        <f t="shared" si="80"/>
        <v>4</v>
      </c>
      <c r="F111" s="125">
        <f t="shared" si="81"/>
        <v>17</v>
      </c>
      <c r="G111" s="125">
        <f t="shared" si="82"/>
        <v>1</v>
      </c>
      <c r="L111" s="125" t="str">
        <f t="shared" si="83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15 Weeks</v>
      </c>
      <c r="B117" s="26"/>
      <c r="C117" s="26"/>
      <c r="D117" s="26"/>
      <c r="E117" s="27"/>
      <c r="F117" s="2"/>
    </row>
    <row r="118">
      <c r="A118" s="123" t="s">
        <v>39</v>
      </c>
      <c r="B118" s="123" t="s">
        <v>7</v>
      </c>
      <c r="C118" s="123" t="s">
        <v>4</v>
      </c>
      <c r="D118" s="123" t="s">
        <v>6</v>
      </c>
      <c r="E118" s="123" t="s">
        <v>40</v>
      </c>
      <c r="F118" s="2"/>
    </row>
    <row r="119">
      <c r="A119" s="125">
        <f t="shared" ref="A119:E119" si="84">A5</f>
        <v>1</v>
      </c>
      <c r="B119" s="36" t="str">
        <f t="shared" si="84"/>
        <v>Andrew Yao</v>
      </c>
      <c r="C119" s="125">
        <f t="shared" si="84"/>
        <v>223</v>
      </c>
      <c r="D119" s="125">
        <f t="shared" si="84"/>
        <v>22</v>
      </c>
      <c r="E119" s="125">
        <f t="shared" si="84"/>
        <v>15.15384615</v>
      </c>
      <c r="F119" s="2"/>
    </row>
    <row r="120">
      <c r="A120" s="125">
        <f t="shared" ref="A120:E120" si="85">A6</f>
        <v>2</v>
      </c>
      <c r="B120" s="36" t="str">
        <f t="shared" si="85"/>
        <v>Tom Le</v>
      </c>
      <c r="C120" s="125">
        <f t="shared" si="85"/>
        <v>222</v>
      </c>
      <c r="D120" s="125">
        <f t="shared" si="85"/>
        <v>24</v>
      </c>
      <c r="E120" s="125">
        <f t="shared" si="85"/>
        <v>16.90909091</v>
      </c>
      <c r="F120" s="2"/>
    </row>
    <row r="121">
      <c r="A121" s="125">
        <f t="shared" ref="A121:E121" si="86">A7</f>
        <v>3</v>
      </c>
      <c r="B121" s="36" t="str">
        <f t="shared" si="86"/>
        <v>Pavan Akkimsetty</v>
      </c>
      <c r="C121" s="125">
        <f t="shared" si="86"/>
        <v>218</v>
      </c>
      <c r="D121" s="125">
        <f t="shared" si="86"/>
        <v>22</v>
      </c>
      <c r="E121" s="125">
        <f t="shared" si="86"/>
        <v>15.07692308</v>
      </c>
      <c r="F121" s="2"/>
    </row>
    <row r="122">
      <c r="A122" s="125">
        <f t="shared" ref="A122:E122" si="87">A8</f>
        <v>4</v>
      </c>
      <c r="B122" s="36" t="str">
        <f t="shared" si="87"/>
        <v>Rudy Tatang</v>
      </c>
      <c r="C122" s="125">
        <f t="shared" si="87"/>
        <v>217</v>
      </c>
      <c r="D122" s="125">
        <f t="shared" si="87"/>
        <v>19</v>
      </c>
      <c r="E122" s="125">
        <f t="shared" si="87"/>
        <v>16.4</v>
      </c>
      <c r="F122" s="2"/>
    </row>
    <row r="123">
      <c r="A123" s="125">
        <f t="shared" ref="A123:E123" si="88">A9</f>
        <v>5</v>
      </c>
      <c r="B123" s="36" t="str">
        <f t="shared" si="88"/>
        <v>Pulkit Mathur</v>
      </c>
      <c r="C123" s="125">
        <f t="shared" si="88"/>
        <v>216</v>
      </c>
      <c r="D123" s="125">
        <f t="shared" si="88"/>
        <v>24</v>
      </c>
      <c r="E123" s="125">
        <f t="shared" si="88"/>
        <v>16.3</v>
      </c>
      <c r="F123" s="2"/>
    </row>
    <row r="124">
      <c r="A124" s="125">
        <f t="shared" ref="A124:E124" si="89">A10</f>
        <v>6</v>
      </c>
      <c r="B124" s="36" t="str">
        <f t="shared" si="89"/>
        <v>David Shin</v>
      </c>
      <c r="C124" s="125">
        <f t="shared" si="89"/>
        <v>210</v>
      </c>
      <c r="D124" s="125">
        <f t="shared" si="89"/>
        <v>21</v>
      </c>
      <c r="E124" s="125">
        <f t="shared" si="89"/>
        <v>14.46153846</v>
      </c>
      <c r="F124" s="2"/>
    </row>
    <row r="125">
      <c r="A125" s="125">
        <f t="shared" ref="A125:E125" si="90">A11</f>
        <v>7</v>
      </c>
      <c r="B125" s="36" t="str">
        <f t="shared" si="90"/>
        <v>Jaya Sogata</v>
      </c>
      <c r="C125" s="125">
        <f t="shared" si="90"/>
        <v>210</v>
      </c>
      <c r="D125" s="125">
        <f t="shared" si="90"/>
        <v>15</v>
      </c>
      <c r="E125" s="125">
        <f t="shared" si="90"/>
        <v>15.55555556</v>
      </c>
      <c r="F125" s="2"/>
    </row>
    <row r="126">
      <c r="A126" s="125">
        <f t="shared" ref="A126:E126" si="91">A12</f>
        <v>8</v>
      </c>
      <c r="B126" s="36" t="str">
        <f t="shared" si="91"/>
        <v>Suleman Alidina</v>
      </c>
      <c r="C126" s="125">
        <f t="shared" si="91"/>
        <v>206</v>
      </c>
      <c r="D126" s="125">
        <f t="shared" si="91"/>
        <v>14</v>
      </c>
      <c r="E126" s="125">
        <f t="shared" si="91"/>
        <v>15.375</v>
      </c>
      <c r="F126" s="2"/>
    </row>
    <row r="127">
      <c r="A127" s="125">
        <f t="shared" ref="A127:E127" si="92">A13</f>
        <v>9</v>
      </c>
      <c r="B127" s="36" t="str">
        <f t="shared" si="92"/>
        <v>Vinotkumar Nagappan</v>
      </c>
      <c r="C127" s="125">
        <f t="shared" si="92"/>
        <v>205</v>
      </c>
      <c r="D127" s="125">
        <f t="shared" si="92"/>
        <v>16</v>
      </c>
      <c r="E127" s="125">
        <f t="shared" si="92"/>
        <v>13.66666667</v>
      </c>
      <c r="F127" s="2"/>
    </row>
    <row r="128">
      <c r="A128" s="125">
        <f t="shared" ref="A128:E128" si="93">A14</f>
        <v>10</v>
      </c>
      <c r="B128" s="36" t="str">
        <f t="shared" si="93"/>
        <v>Ruben Ron</v>
      </c>
      <c r="C128" s="125">
        <f t="shared" si="93"/>
        <v>205</v>
      </c>
      <c r="D128" s="125">
        <f t="shared" si="93"/>
        <v>15</v>
      </c>
      <c r="E128" s="125">
        <f t="shared" si="93"/>
        <v>16.71428571</v>
      </c>
      <c r="F128" s="2"/>
    </row>
    <row r="129">
      <c r="A129" s="2"/>
      <c r="C129" s="2"/>
      <c r="D129" s="2"/>
      <c r="E129" s="2"/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130" t="s">
        <v>202</v>
      </c>
      <c r="B133" s="27"/>
      <c r="C133" s="2"/>
      <c r="D133" s="2"/>
      <c r="E133" s="2"/>
      <c r="F133" s="2"/>
    </row>
    <row r="134">
      <c r="A134" s="123" t="s">
        <v>2</v>
      </c>
      <c r="B134" s="123" t="s">
        <v>1</v>
      </c>
      <c r="C134" s="2"/>
      <c r="D134" s="2"/>
      <c r="E134" s="2"/>
      <c r="F134" s="2"/>
    </row>
    <row r="135">
      <c r="A135" s="125">
        <f>if(B135&lt;&gt;"",1,0)</f>
        <v>1</v>
      </c>
      <c r="B135" s="36" t="str">
        <f>IFERROR(__xludf.DUMMYFUNCTION("query(B5:Y71,""select B where Y = 'Y' order by B ASC"")"),"Vinotkumar Nagappan")</f>
        <v>Vinotkumar Nagappan</v>
      </c>
      <c r="C135" s="2"/>
      <c r="D135" s="2"/>
      <c r="E135" s="2"/>
      <c r="F135" s="2"/>
    </row>
    <row r="136">
      <c r="A136" s="125">
        <f t="shared" ref="A136:A210" si="94">if(B136&lt;&gt;"",A135+1,0)</f>
        <v>0</v>
      </c>
      <c r="B136" s="36"/>
      <c r="C136" s="2"/>
      <c r="D136" s="2"/>
      <c r="E136" s="2"/>
      <c r="F136" s="2"/>
    </row>
    <row r="137">
      <c r="A137" s="125">
        <f t="shared" si="94"/>
        <v>0</v>
      </c>
      <c r="B137" s="36"/>
      <c r="C137" s="2"/>
      <c r="D137" s="2"/>
      <c r="E137" s="2"/>
      <c r="F137" s="2"/>
      <c r="P137" s="36"/>
    </row>
    <row r="138">
      <c r="A138" s="125">
        <f t="shared" si="94"/>
        <v>0</v>
      </c>
      <c r="B138" s="36"/>
      <c r="C138" s="2"/>
      <c r="D138" s="2"/>
      <c r="E138" s="2"/>
      <c r="F138" s="2"/>
    </row>
    <row r="139">
      <c r="A139" s="125">
        <f t="shared" si="94"/>
        <v>0</v>
      </c>
      <c r="B139" s="36"/>
      <c r="C139" s="2"/>
      <c r="D139" s="2"/>
      <c r="E139" s="2"/>
      <c r="F139" s="2"/>
    </row>
    <row r="140">
      <c r="A140" s="125">
        <f t="shared" si="94"/>
        <v>0</v>
      </c>
      <c r="B140" s="36"/>
      <c r="C140" s="2"/>
      <c r="D140" s="2"/>
      <c r="E140" s="2"/>
      <c r="F140" s="2"/>
    </row>
    <row r="141">
      <c r="A141" s="125">
        <f t="shared" si="94"/>
        <v>0</v>
      </c>
      <c r="B141" s="36"/>
      <c r="C141" s="2"/>
      <c r="D141" s="2"/>
      <c r="E141" s="2"/>
      <c r="F141" s="2"/>
    </row>
    <row r="142">
      <c r="A142" s="125">
        <f t="shared" si="94"/>
        <v>0</v>
      </c>
      <c r="B142" s="36"/>
      <c r="C142" s="2"/>
      <c r="D142" s="2"/>
      <c r="E142" s="2"/>
      <c r="F142" s="2"/>
    </row>
    <row r="143">
      <c r="A143" s="125">
        <f t="shared" si="94"/>
        <v>0</v>
      </c>
      <c r="B143" s="36"/>
      <c r="C143" s="2"/>
      <c r="D143" s="2"/>
      <c r="E143" s="2"/>
      <c r="F143" s="2"/>
    </row>
    <row r="144">
      <c r="A144" s="125">
        <f t="shared" si="94"/>
        <v>0</v>
      </c>
      <c r="B144" s="36"/>
      <c r="C144" s="2"/>
      <c r="D144" s="2"/>
      <c r="E144" s="2"/>
      <c r="F144" s="2"/>
    </row>
    <row r="145">
      <c r="A145" s="125">
        <f t="shared" si="94"/>
        <v>0</v>
      </c>
      <c r="B145" s="36"/>
      <c r="C145" s="2"/>
      <c r="D145" s="2"/>
      <c r="E145" s="2"/>
      <c r="F145" s="2"/>
    </row>
    <row r="146">
      <c r="A146" s="125">
        <f t="shared" si="94"/>
        <v>0</v>
      </c>
      <c r="B146" s="36"/>
      <c r="C146" s="2"/>
      <c r="D146" s="2"/>
      <c r="E146" s="2"/>
      <c r="F146" s="2"/>
    </row>
    <row r="147">
      <c r="A147" s="125">
        <f t="shared" si="94"/>
        <v>0</v>
      </c>
      <c r="B147" s="36"/>
      <c r="C147" s="2"/>
      <c r="D147" s="2"/>
      <c r="E147" s="2"/>
      <c r="F147" s="2"/>
    </row>
    <row r="148">
      <c r="A148" s="125">
        <f t="shared" si="94"/>
        <v>0</v>
      </c>
      <c r="B148" s="36"/>
      <c r="C148" s="2"/>
      <c r="D148" s="2"/>
      <c r="E148" s="2"/>
      <c r="F148" s="2"/>
    </row>
    <row r="149">
      <c r="A149" s="125">
        <f t="shared" si="94"/>
        <v>0</v>
      </c>
      <c r="B149" s="36"/>
      <c r="C149" s="2"/>
      <c r="D149" s="2"/>
      <c r="E149" s="2"/>
      <c r="F149" s="2"/>
    </row>
    <row r="150">
      <c r="A150" s="125">
        <f t="shared" si="94"/>
        <v>0</v>
      </c>
      <c r="B150" s="36"/>
      <c r="C150" s="2"/>
      <c r="D150" s="2"/>
      <c r="E150" s="2"/>
      <c r="F150" s="2"/>
    </row>
    <row r="151">
      <c r="A151" s="125">
        <f t="shared" si="94"/>
        <v>0</v>
      </c>
      <c r="B151" s="36"/>
      <c r="C151" s="2"/>
      <c r="D151" s="2"/>
      <c r="E151" s="2"/>
      <c r="F151" s="2"/>
    </row>
    <row r="152">
      <c r="A152" s="125">
        <f t="shared" si="94"/>
        <v>0</v>
      </c>
      <c r="B152" s="36"/>
      <c r="C152" s="2"/>
      <c r="D152" s="2"/>
      <c r="E152" s="2"/>
      <c r="F152" s="2"/>
    </row>
    <row r="153">
      <c r="A153" s="125">
        <f t="shared" si="94"/>
        <v>0</v>
      </c>
      <c r="B153" s="36"/>
      <c r="C153" s="2"/>
      <c r="D153" s="2"/>
      <c r="E153" s="2"/>
      <c r="F153" s="2"/>
    </row>
    <row r="154">
      <c r="A154" s="125">
        <f t="shared" si="94"/>
        <v>0</v>
      </c>
      <c r="B154" s="36"/>
      <c r="C154" s="2"/>
      <c r="D154" s="2"/>
      <c r="E154" s="2"/>
      <c r="F154" s="2"/>
    </row>
    <row r="155">
      <c r="A155" s="125">
        <f t="shared" si="94"/>
        <v>0</v>
      </c>
      <c r="B155" s="36"/>
      <c r="C155" s="2"/>
      <c r="D155" s="2"/>
      <c r="E155" s="2"/>
      <c r="F155" s="2"/>
    </row>
    <row r="156">
      <c r="A156" s="125">
        <f t="shared" si="94"/>
        <v>0</v>
      </c>
      <c r="B156" s="36"/>
      <c r="C156" s="2"/>
      <c r="D156" s="2"/>
      <c r="E156" s="2"/>
      <c r="F156" s="2"/>
    </row>
    <row r="157">
      <c r="A157" s="125">
        <f t="shared" si="94"/>
        <v>0</v>
      </c>
      <c r="B157" s="36"/>
      <c r="C157" s="2"/>
      <c r="D157" s="2"/>
      <c r="E157" s="2"/>
      <c r="F157" s="2"/>
    </row>
    <row r="158">
      <c r="A158" s="125">
        <f t="shared" si="94"/>
        <v>0</v>
      </c>
      <c r="B158" s="36"/>
      <c r="C158" s="2"/>
      <c r="D158" s="2"/>
      <c r="E158" s="2"/>
      <c r="F158" s="2"/>
    </row>
    <row r="159">
      <c r="A159" s="125">
        <f t="shared" si="94"/>
        <v>0</v>
      </c>
      <c r="B159" s="36"/>
      <c r="C159" s="2"/>
      <c r="D159" s="2"/>
      <c r="E159" s="2"/>
      <c r="F159" s="2"/>
    </row>
    <row r="160">
      <c r="A160" s="125">
        <f t="shared" si="94"/>
        <v>0</v>
      </c>
      <c r="B160" s="36"/>
      <c r="C160" s="2"/>
      <c r="D160" s="2"/>
      <c r="E160" s="2"/>
      <c r="F160" s="2"/>
    </row>
    <row r="161">
      <c r="A161" s="125">
        <f t="shared" si="94"/>
        <v>0</v>
      </c>
      <c r="B161" s="36"/>
      <c r="C161" s="2"/>
      <c r="D161" s="2"/>
      <c r="E161" s="2"/>
      <c r="F161" s="2"/>
    </row>
    <row r="162">
      <c r="A162" s="125">
        <f t="shared" si="94"/>
        <v>0</v>
      </c>
      <c r="B162" s="36"/>
      <c r="C162" s="2"/>
      <c r="D162" s="2"/>
      <c r="E162" s="2"/>
      <c r="F162" s="2"/>
    </row>
    <row r="163">
      <c r="A163" s="125">
        <f t="shared" si="94"/>
        <v>0</v>
      </c>
      <c r="B163" s="36"/>
      <c r="C163" s="2"/>
      <c r="D163" s="2"/>
      <c r="E163" s="2"/>
      <c r="F163" s="2"/>
    </row>
    <row r="164">
      <c r="A164" s="125">
        <f t="shared" si="94"/>
        <v>0</v>
      </c>
      <c r="B164" s="36"/>
      <c r="C164" s="2"/>
      <c r="D164" s="2"/>
      <c r="E164" s="2"/>
      <c r="F164" s="2"/>
    </row>
    <row r="165">
      <c r="A165" s="125">
        <f t="shared" si="94"/>
        <v>0</v>
      </c>
      <c r="B165" s="36"/>
      <c r="C165" s="2"/>
      <c r="D165" s="2"/>
      <c r="E165" s="2"/>
      <c r="F165" s="2"/>
    </row>
    <row r="166">
      <c r="A166" s="125">
        <f t="shared" si="94"/>
        <v>0</v>
      </c>
      <c r="B166" s="36"/>
      <c r="C166" s="2"/>
      <c r="D166" s="2"/>
      <c r="E166" s="2"/>
      <c r="F166" s="2"/>
    </row>
    <row r="167">
      <c r="A167" s="125">
        <f t="shared" si="94"/>
        <v>0</v>
      </c>
      <c r="B167" s="36"/>
      <c r="C167" s="2"/>
      <c r="D167" s="2"/>
      <c r="E167" s="2"/>
      <c r="F167" s="2"/>
    </row>
    <row r="168">
      <c r="A168" s="125">
        <f t="shared" si="94"/>
        <v>0</v>
      </c>
      <c r="B168" s="36"/>
      <c r="C168" s="2"/>
      <c r="D168" s="2"/>
      <c r="E168" s="2"/>
      <c r="F168" s="2"/>
    </row>
    <row r="169">
      <c r="A169" s="125">
        <f t="shared" si="94"/>
        <v>0</v>
      </c>
      <c r="B169" s="36"/>
      <c r="C169" s="2"/>
      <c r="D169" s="2"/>
      <c r="E169" s="2"/>
      <c r="F169" s="2"/>
    </row>
    <row r="170">
      <c r="A170" s="125">
        <f t="shared" si="94"/>
        <v>0</v>
      </c>
      <c r="B170" s="36"/>
      <c r="C170" s="2"/>
      <c r="D170" s="2"/>
      <c r="E170" s="2"/>
      <c r="F170" s="2"/>
    </row>
    <row r="171">
      <c r="A171" s="125">
        <f t="shared" si="94"/>
        <v>0</v>
      </c>
      <c r="B171" s="36"/>
      <c r="C171" s="2"/>
      <c r="D171" s="2"/>
      <c r="E171" s="2"/>
      <c r="F171" s="2"/>
    </row>
    <row r="172">
      <c r="A172" s="125">
        <f t="shared" si="94"/>
        <v>0</v>
      </c>
      <c r="B172" s="36"/>
      <c r="C172" s="2"/>
      <c r="D172" s="2"/>
      <c r="E172" s="2"/>
      <c r="F172" s="2"/>
    </row>
    <row r="173">
      <c r="A173" s="125">
        <f t="shared" si="94"/>
        <v>0</v>
      </c>
      <c r="B173" s="36"/>
      <c r="C173" s="2"/>
      <c r="D173" s="2"/>
      <c r="E173" s="2"/>
      <c r="F173" s="2"/>
    </row>
    <row r="174">
      <c r="A174" s="125">
        <f t="shared" si="94"/>
        <v>0</v>
      </c>
      <c r="B174" s="36"/>
      <c r="C174" s="2"/>
      <c r="D174" s="2"/>
      <c r="E174" s="2"/>
      <c r="F174" s="2"/>
    </row>
    <row r="175">
      <c r="A175" s="125">
        <f t="shared" si="94"/>
        <v>0</v>
      </c>
      <c r="B175" s="36"/>
      <c r="C175" s="2"/>
      <c r="D175" s="2"/>
      <c r="E175" s="2"/>
      <c r="F175" s="2"/>
    </row>
    <row r="176">
      <c r="A176" s="125">
        <f t="shared" si="94"/>
        <v>0</v>
      </c>
      <c r="B176" s="36"/>
      <c r="C176" s="2"/>
      <c r="D176" s="2"/>
      <c r="E176" s="2"/>
      <c r="F176" s="2"/>
    </row>
    <row r="177">
      <c r="A177" s="125">
        <f t="shared" si="94"/>
        <v>0</v>
      </c>
      <c r="B177" s="36"/>
      <c r="C177" s="2"/>
      <c r="D177" s="2"/>
      <c r="E177" s="2"/>
      <c r="F177" s="2"/>
    </row>
    <row r="178">
      <c r="A178" s="125">
        <f t="shared" si="94"/>
        <v>0</v>
      </c>
      <c r="B178" s="36"/>
      <c r="C178" s="2"/>
      <c r="D178" s="2"/>
      <c r="E178" s="2"/>
      <c r="F178" s="2"/>
    </row>
    <row r="179">
      <c r="A179" s="125">
        <f t="shared" si="94"/>
        <v>0</v>
      </c>
      <c r="B179" s="36"/>
      <c r="C179" s="2"/>
      <c r="D179" s="2"/>
      <c r="E179" s="2"/>
      <c r="F179" s="2"/>
    </row>
    <row r="180">
      <c r="A180" s="125">
        <f t="shared" si="94"/>
        <v>0</v>
      </c>
      <c r="B180" s="36"/>
      <c r="C180" s="2"/>
      <c r="D180" s="2"/>
      <c r="E180" s="2"/>
      <c r="F180" s="2"/>
    </row>
    <row r="181">
      <c r="A181" s="125">
        <f t="shared" si="94"/>
        <v>0</v>
      </c>
      <c r="B181" s="36"/>
      <c r="C181" s="2"/>
      <c r="D181" s="2"/>
      <c r="E181" s="2"/>
      <c r="F181" s="2"/>
    </row>
    <row r="182">
      <c r="A182" s="125">
        <f t="shared" si="94"/>
        <v>0</v>
      </c>
      <c r="B182" s="36"/>
      <c r="C182" s="2"/>
      <c r="D182" s="2"/>
      <c r="E182" s="2"/>
      <c r="F182" s="2"/>
    </row>
    <row r="183">
      <c r="A183" s="125">
        <f t="shared" si="94"/>
        <v>0</v>
      </c>
      <c r="B183" s="36"/>
      <c r="C183" s="2"/>
      <c r="D183" s="2"/>
      <c r="E183" s="2"/>
      <c r="F183" s="2"/>
    </row>
    <row r="184">
      <c r="A184" s="125">
        <f t="shared" si="94"/>
        <v>0</v>
      </c>
      <c r="B184" s="36"/>
      <c r="C184" s="2"/>
      <c r="D184" s="2"/>
      <c r="E184" s="2"/>
      <c r="F184" s="2"/>
    </row>
    <row r="185">
      <c r="A185" s="125">
        <f t="shared" si="94"/>
        <v>0</v>
      </c>
      <c r="B185" s="36"/>
      <c r="C185" s="2"/>
      <c r="D185" s="2"/>
      <c r="E185" s="2"/>
      <c r="F185" s="2"/>
    </row>
    <row r="186">
      <c r="A186" s="125">
        <f t="shared" si="94"/>
        <v>0</v>
      </c>
      <c r="B186" s="36"/>
      <c r="C186" s="2"/>
      <c r="D186" s="2"/>
      <c r="E186" s="2"/>
      <c r="F186" s="2"/>
    </row>
    <row r="187">
      <c r="A187" s="125">
        <f t="shared" si="94"/>
        <v>0</v>
      </c>
      <c r="B187" s="36"/>
      <c r="C187" s="2"/>
      <c r="D187" s="2"/>
      <c r="E187" s="2"/>
      <c r="F187" s="2"/>
    </row>
    <row r="188">
      <c r="A188" s="125">
        <f t="shared" si="94"/>
        <v>0</v>
      </c>
      <c r="B188" s="36"/>
      <c r="C188" s="2"/>
      <c r="D188" s="2"/>
      <c r="E188" s="2"/>
      <c r="F188" s="2"/>
    </row>
    <row r="189">
      <c r="A189" s="125">
        <f t="shared" si="94"/>
        <v>0</v>
      </c>
      <c r="B189" s="36"/>
      <c r="C189" s="2"/>
      <c r="D189" s="2"/>
      <c r="E189" s="2"/>
      <c r="F189" s="2"/>
    </row>
    <row r="190">
      <c r="A190" s="125">
        <f t="shared" si="94"/>
        <v>0</v>
      </c>
      <c r="B190" s="36"/>
      <c r="C190" s="2"/>
      <c r="D190" s="2"/>
      <c r="E190" s="2"/>
      <c r="F190" s="2"/>
    </row>
    <row r="191">
      <c r="A191" s="125">
        <f t="shared" si="94"/>
        <v>0</v>
      </c>
      <c r="B191" s="36"/>
      <c r="C191" s="2"/>
      <c r="D191" s="2"/>
      <c r="E191" s="2"/>
      <c r="F191" s="2"/>
    </row>
    <row r="192">
      <c r="A192" s="125">
        <f t="shared" si="94"/>
        <v>0</v>
      </c>
      <c r="B192" s="36"/>
      <c r="C192" s="2"/>
      <c r="D192" s="2"/>
      <c r="E192" s="2"/>
      <c r="F192" s="2"/>
    </row>
    <row r="193">
      <c r="A193" s="125">
        <f t="shared" si="94"/>
        <v>0</v>
      </c>
      <c r="B193" s="36"/>
      <c r="C193" s="2"/>
      <c r="D193" s="2"/>
      <c r="E193" s="2"/>
      <c r="F193" s="2"/>
    </row>
    <row r="194">
      <c r="A194" s="125">
        <f t="shared" si="94"/>
        <v>0</v>
      </c>
      <c r="B194" s="36"/>
      <c r="C194" s="2"/>
      <c r="D194" s="2"/>
      <c r="E194" s="2"/>
      <c r="F194" s="2"/>
    </row>
    <row r="195">
      <c r="A195" s="125">
        <f t="shared" si="94"/>
        <v>0</v>
      </c>
      <c r="B195" s="36"/>
      <c r="C195" s="2"/>
      <c r="D195" s="2"/>
      <c r="E195" s="2"/>
      <c r="F195" s="2"/>
    </row>
    <row r="196">
      <c r="A196" s="125">
        <f t="shared" si="94"/>
        <v>0</v>
      </c>
      <c r="B196" s="36"/>
      <c r="C196" s="2"/>
      <c r="D196" s="2"/>
      <c r="E196" s="2"/>
      <c r="F196" s="2"/>
    </row>
    <row r="197">
      <c r="A197" s="125">
        <f t="shared" si="94"/>
        <v>0</v>
      </c>
      <c r="B197" s="36"/>
      <c r="C197" s="2"/>
      <c r="D197" s="2"/>
      <c r="E197" s="2"/>
      <c r="F197" s="2"/>
    </row>
    <row r="198">
      <c r="A198" s="125">
        <f t="shared" si="94"/>
        <v>0</v>
      </c>
      <c r="B198" s="36"/>
      <c r="C198" s="2"/>
      <c r="D198" s="2"/>
      <c r="E198" s="2"/>
      <c r="F198" s="2"/>
    </row>
    <row r="199">
      <c r="A199" s="125">
        <f t="shared" si="94"/>
        <v>0</v>
      </c>
      <c r="B199" s="36"/>
      <c r="C199" s="2"/>
      <c r="D199" s="2"/>
      <c r="E199" s="2"/>
      <c r="F199" s="2"/>
    </row>
    <row r="200">
      <c r="A200" s="125">
        <f t="shared" si="94"/>
        <v>0</v>
      </c>
      <c r="B200" s="36"/>
      <c r="C200" s="2"/>
      <c r="D200" s="2"/>
      <c r="E200" s="2"/>
      <c r="F200" s="2"/>
    </row>
    <row r="201">
      <c r="A201" s="125">
        <f t="shared" si="94"/>
        <v>0</v>
      </c>
      <c r="B201" s="36"/>
      <c r="C201" s="2"/>
      <c r="D201" s="2"/>
      <c r="E201" s="2"/>
      <c r="F201" s="2"/>
    </row>
    <row r="202">
      <c r="A202" s="125">
        <f t="shared" si="94"/>
        <v>0</v>
      </c>
      <c r="B202" s="36"/>
      <c r="C202" s="2"/>
      <c r="D202" s="2"/>
      <c r="E202" s="2"/>
      <c r="F202" s="2"/>
    </row>
    <row r="203">
      <c r="A203" s="125">
        <f t="shared" si="94"/>
        <v>0</v>
      </c>
      <c r="B203" s="36"/>
      <c r="C203" s="2"/>
      <c r="D203" s="2"/>
      <c r="E203" s="2"/>
      <c r="F203" s="2"/>
    </row>
    <row r="204">
      <c r="A204" s="125">
        <f t="shared" si="94"/>
        <v>0</v>
      </c>
      <c r="B204" s="36"/>
      <c r="C204" s="2"/>
      <c r="D204" s="2"/>
      <c r="E204" s="2"/>
      <c r="F204" s="2"/>
    </row>
    <row r="205">
      <c r="A205" s="125">
        <f t="shared" si="94"/>
        <v>0</v>
      </c>
      <c r="B205" s="36"/>
      <c r="C205" s="2"/>
      <c r="D205" s="2"/>
      <c r="E205" s="2"/>
      <c r="F205" s="2"/>
    </row>
    <row r="206">
      <c r="A206" s="125">
        <f t="shared" si="94"/>
        <v>0</v>
      </c>
      <c r="B206" s="36"/>
      <c r="C206" s="2"/>
      <c r="D206" s="2"/>
      <c r="E206" s="2"/>
      <c r="F206" s="2"/>
    </row>
    <row r="207">
      <c r="A207" s="125">
        <f t="shared" si="94"/>
        <v>0</v>
      </c>
      <c r="B207" s="36"/>
      <c r="C207" s="2"/>
      <c r="D207" s="2"/>
      <c r="E207" s="2"/>
      <c r="F207" s="2"/>
    </row>
    <row r="208">
      <c r="A208" s="125">
        <f t="shared" si="94"/>
        <v>0</v>
      </c>
      <c r="B208" s="36"/>
      <c r="C208" s="2"/>
      <c r="D208" s="2"/>
      <c r="E208" s="2"/>
      <c r="F208" s="2"/>
    </row>
    <row r="209">
      <c r="A209" s="125">
        <f t="shared" si="94"/>
        <v>0</v>
      </c>
      <c r="B209" s="36"/>
      <c r="C209" s="2"/>
      <c r="D209" s="2"/>
      <c r="E209" s="2"/>
      <c r="F209" s="2"/>
    </row>
    <row r="210">
      <c r="A210" s="125">
        <f t="shared" si="94"/>
        <v>0</v>
      </c>
      <c r="B210" s="36"/>
      <c r="C210" s="2"/>
      <c r="D210" s="2"/>
      <c r="E210" s="2"/>
      <c r="F210" s="2"/>
    </row>
    <row r="211">
      <c r="A211" s="2"/>
      <c r="C211" s="2"/>
      <c r="D211" s="2"/>
      <c r="E211" s="2"/>
      <c r="F211" s="2"/>
    </row>
    <row r="212">
      <c r="A212" s="2"/>
      <c r="C212" s="2"/>
      <c r="D212" s="2"/>
      <c r="E212" s="2"/>
      <c r="F212" s="2"/>
    </row>
    <row r="213">
      <c r="A213" s="2"/>
      <c r="B213" s="130" t="s">
        <v>203</v>
      </c>
      <c r="C213" s="27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23" t="s">
        <v>1</v>
      </c>
      <c r="C215" s="123" t="s">
        <v>204</v>
      </c>
      <c r="D215" s="2"/>
      <c r="E215" s="2"/>
      <c r="F215" s="2"/>
    </row>
    <row r="216">
      <c r="A216" s="2"/>
      <c r="B216" s="36" t="str">
        <f>Data!F109</f>
        <v/>
      </c>
      <c r="C216" s="125" t="str">
        <f>Data!G109</f>
        <v/>
      </c>
      <c r="D216" s="2"/>
      <c r="E216" s="2"/>
      <c r="F216" s="2"/>
    </row>
    <row r="217">
      <c r="A217" s="2"/>
      <c r="B217" s="36" t="str">
        <f>Data!F110</f>
        <v/>
      </c>
      <c r="C217" s="125" t="str">
        <f>Data!G110</f>
        <v/>
      </c>
      <c r="D217" s="2"/>
      <c r="E217" s="2"/>
      <c r="F217" s="2"/>
    </row>
    <row r="218">
      <c r="A218" s="2"/>
      <c r="B218" s="36" t="str">
        <f>Data!F111</f>
        <v/>
      </c>
      <c r="C218" s="125" t="str">
        <f>Data!G111</f>
        <v/>
      </c>
      <c r="D218" s="2"/>
      <c r="E218" s="2"/>
      <c r="F218" s="2"/>
    </row>
    <row r="219">
      <c r="A219" s="2"/>
      <c r="B219" s="36" t="str">
        <f>Data!F112</f>
        <v/>
      </c>
      <c r="C219" s="125" t="str">
        <f>Data!G112</f>
        <v/>
      </c>
      <c r="D219" s="2"/>
      <c r="E219" s="2"/>
      <c r="F219" s="2"/>
    </row>
    <row r="220">
      <c r="A220" s="2"/>
      <c r="B220" s="36" t="str">
        <f>Data!F113</f>
        <v/>
      </c>
      <c r="C220" s="125" t="str">
        <f t="shared" ref="C220:C221" si="95">#REF!</f>
        <v>#REF!</v>
      </c>
      <c r="D220" s="2"/>
      <c r="E220" s="2"/>
      <c r="F220" s="2"/>
    </row>
    <row r="221">
      <c r="A221" s="2"/>
      <c r="B221" s="36" t="str">
        <f>Data!F114</f>
        <v/>
      </c>
      <c r="C221" s="125" t="str">
        <f t="shared" si="95"/>
        <v>#REF!</v>
      </c>
      <c r="D221" s="2"/>
      <c r="E221" s="2"/>
      <c r="F221" s="2"/>
    </row>
    <row r="222">
      <c r="A222" s="2"/>
      <c r="B222" s="36" t="str">
        <f t="shared" ref="B222:C222" si="96">#REF!</f>
        <v>#REF!</v>
      </c>
      <c r="C222" s="125" t="str">
        <f t="shared" si="96"/>
        <v>#REF!</v>
      </c>
      <c r="D222" s="2"/>
      <c r="E222" s="2"/>
      <c r="F222" s="2"/>
    </row>
    <row r="223">
      <c r="A223" s="2"/>
      <c r="B223" s="36" t="str">
        <f t="shared" ref="B223:C223" si="97">#REF!</f>
        <v>#REF!</v>
      </c>
      <c r="C223" s="125" t="str">
        <f t="shared" si="97"/>
        <v>#REF!</v>
      </c>
      <c r="D223" s="2"/>
      <c r="E223" s="2"/>
      <c r="F223" s="2"/>
    </row>
    <row r="224">
      <c r="A224" s="2"/>
      <c r="B224" s="36" t="str">
        <f t="shared" ref="B224:C224" si="98">#REF!</f>
        <v>#REF!</v>
      </c>
      <c r="C224" s="125" t="str">
        <f t="shared" si="98"/>
        <v>#REF!</v>
      </c>
      <c r="D224" s="2"/>
      <c r="E224" s="2"/>
      <c r="F224" s="2"/>
    </row>
    <row r="225">
      <c r="A225" s="2"/>
      <c r="B225" s="36" t="str">
        <f t="shared" ref="B225:C225" si="99">#REF!</f>
        <v>#REF!</v>
      </c>
      <c r="C225" s="125" t="str">
        <f t="shared" si="99"/>
        <v>#REF!</v>
      </c>
      <c r="D225" s="2"/>
      <c r="E225" s="2"/>
      <c r="F225" s="2"/>
    </row>
    <row r="226">
      <c r="A226" s="2"/>
      <c r="B226" s="36" t="str">
        <f t="shared" ref="B226:C226" si="100">#REF!</f>
        <v>#REF!</v>
      </c>
      <c r="C226" s="125" t="str">
        <f t="shared" si="100"/>
        <v>#REF!</v>
      </c>
      <c r="D226" s="2"/>
      <c r="E226" s="2"/>
      <c r="F226" s="2"/>
    </row>
    <row r="227">
      <c r="A227" s="2"/>
      <c r="C227" s="2"/>
      <c r="D227" s="2"/>
      <c r="E227" s="2"/>
      <c r="F227" s="2"/>
    </row>
    <row r="228">
      <c r="A228" s="2"/>
      <c r="C228" s="2"/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B234" s="129" t="str">
        <f>concatenate("Scores for : " &amp; AC2)</f>
        <v>Scores for : 10/10/26</v>
      </c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123" t="s">
        <v>0</v>
      </c>
      <c r="B236" s="123" t="s">
        <v>1</v>
      </c>
      <c r="C236" s="123" t="s">
        <v>10</v>
      </c>
      <c r="D236" s="123" t="s">
        <v>11</v>
      </c>
      <c r="E236" s="123" t="s">
        <v>12</v>
      </c>
      <c r="F236" s="123" t="s">
        <v>13</v>
      </c>
      <c r="G236" s="123" t="s">
        <v>6</v>
      </c>
    </row>
    <row r="237">
      <c r="A237" s="125">
        <f>IFERROR(__xludf.DUMMYFUNCTION("QUERY(indirect(AC2 &amp; ""!B5:M79""),""Select G, B, I, J, K,L, M where G &gt; 0 order by G asc"",0)"),1.0)</f>
        <v>1</v>
      </c>
      <c r="B237" s="36" t="str">
        <f>IFERROR(__xludf.DUMMYFUNCTION("""COMPUTED_VALUE"""),"Andrew Yao")</f>
        <v>Andrew Yao</v>
      </c>
      <c r="C237" s="131">
        <f>IFERROR(__xludf.DUMMYFUNCTION("""COMPUTED_VALUE"""),6.0)</f>
        <v>6</v>
      </c>
      <c r="D237" s="131">
        <f>IFERROR(__xludf.DUMMYFUNCTION("""COMPUTED_VALUE"""),6.0)</f>
        <v>6</v>
      </c>
      <c r="E237" s="131">
        <f>IFERROR(__xludf.DUMMYFUNCTION("""COMPUTED_VALUE"""),6.0)</f>
        <v>6</v>
      </c>
      <c r="F237" s="131">
        <f>IFERROR(__xludf.DUMMYFUNCTION("""COMPUTED_VALUE"""),18.0)</f>
        <v>18</v>
      </c>
      <c r="G237" s="131">
        <f>IFERROR(__xludf.DUMMYFUNCTION("""COMPUTED_VALUE"""),2.0)</f>
        <v>2</v>
      </c>
    </row>
    <row r="238">
      <c r="A238" s="125">
        <f>IFERROR(__xludf.DUMMYFUNCTION("""COMPUTED_VALUE"""),1.0)</f>
        <v>1</v>
      </c>
      <c r="B238" s="36" t="str">
        <f>IFERROR(__xludf.DUMMYFUNCTION("""COMPUTED_VALUE"""),"Pavan Akkimsetty")</f>
        <v>Pavan Akkimsetty</v>
      </c>
      <c r="C238" s="131">
        <f>IFERROR(__xludf.DUMMYFUNCTION("""COMPUTED_VALUE"""),7.0)</f>
        <v>7</v>
      </c>
      <c r="D238" s="131">
        <f>IFERROR(__xludf.DUMMYFUNCTION("""COMPUTED_VALUE"""),0.0)</f>
        <v>0</v>
      </c>
      <c r="E238" s="131">
        <f>IFERROR(__xludf.DUMMYFUNCTION("""COMPUTED_VALUE"""),6.0)</f>
        <v>6</v>
      </c>
      <c r="F238" s="131">
        <f>IFERROR(__xludf.DUMMYFUNCTION("""COMPUTED_VALUE"""),13.0)</f>
        <v>13</v>
      </c>
      <c r="G238" s="131">
        <f>IFERROR(__xludf.DUMMYFUNCTION("""COMPUTED_VALUE"""),2.0)</f>
        <v>2</v>
      </c>
    </row>
    <row r="239">
      <c r="A239" s="125">
        <f>IFERROR(__xludf.DUMMYFUNCTION("""COMPUTED_VALUE"""),1.0)</f>
        <v>1</v>
      </c>
      <c r="B239" s="36" t="str">
        <f>IFERROR(__xludf.DUMMYFUNCTION("""COMPUTED_VALUE"""),"Rudy Tatang")</f>
        <v>Rudy Tatang</v>
      </c>
      <c r="C239" s="131">
        <f>IFERROR(__xludf.DUMMYFUNCTION("""COMPUTED_VALUE"""),7.0)</f>
        <v>7</v>
      </c>
      <c r="D239" s="131">
        <f>IFERROR(__xludf.DUMMYFUNCTION("""COMPUTED_VALUE"""),6.0)</f>
        <v>6</v>
      </c>
      <c r="E239" s="131">
        <f>IFERROR(__xludf.DUMMYFUNCTION("""COMPUTED_VALUE"""),4.0)</f>
        <v>4</v>
      </c>
      <c r="F239" s="131">
        <f>IFERROR(__xludf.DUMMYFUNCTION("""COMPUTED_VALUE"""),17.0)</f>
        <v>17</v>
      </c>
      <c r="G239" s="131">
        <f>IFERROR(__xludf.DUMMYFUNCTION("""COMPUTED_VALUE"""),2.0)</f>
        <v>2</v>
      </c>
    </row>
    <row r="240">
      <c r="A240" s="125">
        <f>IFERROR(__xludf.DUMMYFUNCTION("""COMPUTED_VALUE"""),1.0)</f>
        <v>1</v>
      </c>
      <c r="B240" s="36" t="str">
        <f>IFERROR(__xludf.DUMMYFUNCTION("""COMPUTED_VALUE"""),"Manish Anand")</f>
        <v>Manish Anand</v>
      </c>
      <c r="C240" s="131">
        <f>IFERROR(__xludf.DUMMYFUNCTION("""COMPUTED_VALUE"""),6.0)</f>
        <v>6</v>
      </c>
      <c r="D240" s="131">
        <f>IFERROR(__xludf.DUMMYFUNCTION("""COMPUTED_VALUE"""),0.0)</f>
        <v>0</v>
      </c>
      <c r="E240" s="131">
        <f>IFERROR(__xludf.DUMMYFUNCTION("""COMPUTED_VALUE"""),4.0)</f>
        <v>4</v>
      </c>
      <c r="F240" s="131">
        <f>IFERROR(__xludf.DUMMYFUNCTION("""COMPUTED_VALUE"""),10.0)</f>
        <v>10</v>
      </c>
      <c r="G240" s="131">
        <f>IFERROR(__xludf.DUMMYFUNCTION("""COMPUTED_VALUE"""),0.0)</f>
        <v>0</v>
      </c>
    </row>
    <row r="241">
      <c r="A241" s="132">
        <f>IFERROR(__xludf.DUMMYFUNCTION("""COMPUTED_VALUE"""),2.0)</f>
        <v>2</v>
      </c>
      <c r="B241" s="133" t="str">
        <f>IFERROR(__xludf.DUMMYFUNCTION("""COMPUTED_VALUE"""),"Vinotkumar Nagappan")</f>
        <v>Vinotkumar Nagappan</v>
      </c>
      <c r="C241" s="134">
        <f>IFERROR(__xludf.DUMMYFUNCTION("""COMPUTED_VALUE"""),2.0)</f>
        <v>2</v>
      </c>
      <c r="D241" s="134">
        <f>IFERROR(__xludf.DUMMYFUNCTION("""COMPUTED_VALUE"""),6.0)</f>
        <v>6</v>
      </c>
      <c r="E241" s="134">
        <f>IFERROR(__xludf.DUMMYFUNCTION("""COMPUTED_VALUE"""),4.0)</f>
        <v>4</v>
      </c>
      <c r="F241" s="134">
        <f>IFERROR(__xludf.DUMMYFUNCTION("""COMPUTED_VALUE"""),12.0)</f>
        <v>12</v>
      </c>
      <c r="G241" s="134">
        <f>IFERROR(__xludf.DUMMYFUNCTION("""COMPUTED_VALUE"""),0.0)</f>
        <v>0</v>
      </c>
    </row>
    <row r="242">
      <c r="A242" s="132">
        <f>IFERROR(__xludf.DUMMYFUNCTION("""COMPUTED_VALUE"""),2.0)</f>
        <v>2</v>
      </c>
      <c r="B242" s="133" t="str">
        <f>IFERROR(__xludf.DUMMYFUNCTION("""COMPUTED_VALUE"""),"Jaya Sogata")</f>
        <v>Jaya Sogata</v>
      </c>
      <c r="C242" s="134">
        <f>IFERROR(__xludf.DUMMYFUNCTION("""COMPUTED_VALUE"""),6.0)</f>
        <v>6</v>
      </c>
      <c r="D242" s="134">
        <f>IFERROR(__xludf.DUMMYFUNCTION("""COMPUTED_VALUE"""),6.0)</f>
        <v>6</v>
      </c>
      <c r="E242" s="134">
        <f>IFERROR(__xludf.DUMMYFUNCTION("""COMPUTED_VALUE"""),6.0)</f>
        <v>6</v>
      </c>
      <c r="F242" s="134">
        <f>IFERROR(__xludf.DUMMYFUNCTION("""COMPUTED_VALUE"""),18.0)</f>
        <v>18</v>
      </c>
      <c r="G242" s="134">
        <f>IFERROR(__xludf.DUMMYFUNCTION("""COMPUTED_VALUE"""),2.0)</f>
        <v>2</v>
      </c>
    </row>
    <row r="243">
      <c r="A243" s="132">
        <f>IFERROR(__xludf.DUMMYFUNCTION("""COMPUTED_VALUE"""),2.0)</f>
        <v>2</v>
      </c>
      <c r="B243" s="133" t="str">
        <f>IFERROR(__xludf.DUMMYFUNCTION("""COMPUTED_VALUE"""),"Rajasekar Ramasamy")</f>
        <v>Rajasekar Ramasamy</v>
      </c>
      <c r="C243" s="134">
        <f>IFERROR(__xludf.DUMMYFUNCTION("""COMPUTED_VALUE"""),2.0)</f>
        <v>2</v>
      </c>
      <c r="D243" s="134">
        <f>IFERROR(__xludf.DUMMYFUNCTION("""COMPUTED_VALUE"""),7.0)</f>
        <v>7</v>
      </c>
      <c r="E243" s="134">
        <f>IFERROR(__xludf.DUMMYFUNCTION("""COMPUTED_VALUE"""),6.0)</f>
        <v>6</v>
      </c>
      <c r="F243" s="134">
        <f>IFERROR(__xludf.DUMMYFUNCTION("""COMPUTED_VALUE"""),15.0)</f>
        <v>15</v>
      </c>
      <c r="G243" s="134">
        <f>IFERROR(__xludf.DUMMYFUNCTION("""COMPUTED_VALUE"""),2.0)</f>
        <v>2</v>
      </c>
    </row>
    <row r="244">
      <c r="A244" s="132">
        <f>IFERROR(__xludf.DUMMYFUNCTION("""COMPUTED_VALUE"""),2.0)</f>
        <v>2</v>
      </c>
      <c r="B244" s="133" t="str">
        <f>IFERROR(__xludf.DUMMYFUNCTION("""COMPUTED_VALUE"""),"Ruben Ron")</f>
        <v>Ruben Ron</v>
      </c>
      <c r="C244" s="134">
        <f>IFERROR(__xludf.DUMMYFUNCTION("""COMPUTED_VALUE"""),6.0)</f>
        <v>6</v>
      </c>
      <c r="D244" s="134">
        <f>IFERROR(__xludf.DUMMYFUNCTION("""COMPUTED_VALUE"""),7.0)</f>
        <v>7</v>
      </c>
      <c r="E244" s="134">
        <f>IFERROR(__xludf.DUMMYFUNCTION("""COMPUTED_VALUE"""),4.0)</f>
        <v>4</v>
      </c>
      <c r="F244" s="134">
        <f>IFERROR(__xludf.DUMMYFUNCTION("""COMPUTED_VALUE"""),17.0)</f>
        <v>17</v>
      </c>
      <c r="G244" s="134">
        <f>IFERROR(__xludf.DUMMYFUNCTION("""COMPUTED_VALUE"""),2.0)</f>
        <v>2</v>
      </c>
    </row>
    <row r="245">
      <c r="A245" s="125">
        <f>IFERROR(__xludf.DUMMYFUNCTION("""COMPUTED_VALUE"""),3.0)</f>
        <v>3</v>
      </c>
      <c r="B245" s="36" t="str">
        <f>IFERROR(__xludf.DUMMYFUNCTION("""COMPUTED_VALUE"""),"Suleman Alidina")</f>
        <v>Suleman Alidina</v>
      </c>
      <c r="C245" s="131">
        <f>IFERROR(__xludf.DUMMYFUNCTION("""COMPUTED_VALUE"""),6.0)</f>
        <v>6</v>
      </c>
      <c r="D245" s="131">
        <f>IFERROR(__xludf.DUMMYFUNCTION("""COMPUTED_VALUE"""),6.0)</f>
        <v>6</v>
      </c>
      <c r="E245" s="131">
        <f>IFERROR(__xludf.DUMMYFUNCTION("""COMPUTED_VALUE"""),6.0)</f>
        <v>6</v>
      </c>
      <c r="F245" s="131">
        <f>IFERROR(__xludf.DUMMYFUNCTION("""COMPUTED_VALUE"""),18.0)</f>
        <v>18</v>
      </c>
      <c r="G245" s="131">
        <f>IFERROR(__xludf.DUMMYFUNCTION("""COMPUTED_VALUE"""),3.0)</f>
        <v>3</v>
      </c>
    </row>
    <row r="246">
      <c r="A246" s="125">
        <f>IFERROR(__xludf.DUMMYFUNCTION("""COMPUTED_VALUE"""),3.0)</f>
        <v>3</v>
      </c>
      <c r="B246" s="36" t="str">
        <f>IFERROR(__xludf.DUMMYFUNCTION("""COMPUTED_VALUE"""),"Scott Li")</f>
        <v>Scott Li</v>
      </c>
      <c r="C246" s="131">
        <f>IFERROR(__xludf.DUMMYFUNCTION("""COMPUTED_VALUE"""),3.0)</f>
        <v>3</v>
      </c>
      <c r="D246" s="131">
        <f>IFERROR(__xludf.DUMMYFUNCTION("""COMPUTED_VALUE"""),2.0)</f>
        <v>2</v>
      </c>
      <c r="E246" s="131">
        <f>IFERROR(__xludf.DUMMYFUNCTION("""COMPUTED_VALUE"""),6.0)</f>
        <v>6</v>
      </c>
      <c r="F246" s="131">
        <f>IFERROR(__xludf.DUMMYFUNCTION("""COMPUTED_VALUE"""),11.0)</f>
        <v>11</v>
      </c>
      <c r="G246" s="131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IFERROR(__xludf.DUMMYFUNCTION("""COMPUTED_VALUE"""),"Erik Hoeckmann")</f>
        <v>Erik Hoeckmann</v>
      </c>
      <c r="C247" s="131">
        <f>IFERROR(__xludf.DUMMYFUNCTION("""COMPUTED_VALUE"""),3.0)</f>
        <v>3</v>
      </c>
      <c r="D247" s="131">
        <f>IFERROR(__xludf.DUMMYFUNCTION("""COMPUTED_VALUE"""),6.0)</f>
        <v>6</v>
      </c>
      <c r="E247" s="131">
        <f>IFERROR(__xludf.DUMMYFUNCTION("""COMPUTED_VALUE"""),4.0)</f>
        <v>4</v>
      </c>
      <c r="F247" s="131">
        <f>IFERROR(__xludf.DUMMYFUNCTION("""COMPUTED_VALUE"""),13.0)</f>
        <v>13</v>
      </c>
      <c r="G247" s="131">
        <f>IFERROR(__xludf.DUMMYFUNCTION("""COMPUTED_VALUE"""),1.0)</f>
        <v>1</v>
      </c>
    </row>
    <row r="248">
      <c r="A248" s="125">
        <f>IFERROR(__xludf.DUMMYFUNCTION("""COMPUTED_VALUE"""),3.0)</f>
        <v>3</v>
      </c>
      <c r="B248" s="36" t="str">
        <f>IFERROR(__xludf.DUMMYFUNCTION("""COMPUTED_VALUE"""),"Tina Hanson")</f>
        <v>Tina Hanson</v>
      </c>
      <c r="C248" s="131">
        <f>IFERROR(__xludf.DUMMYFUNCTION("""COMPUTED_VALUE"""),6.0)</f>
        <v>6</v>
      </c>
      <c r="D248" s="131">
        <f>IFERROR(__xludf.DUMMYFUNCTION("""COMPUTED_VALUE"""),2.0)</f>
        <v>2</v>
      </c>
      <c r="E248" s="131">
        <f>IFERROR(__xludf.DUMMYFUNCTION("""COMPUTED_VALUE"""),4.0)</f>
        <v>4</v>
      </c>
      <c r="F248" s="131">
        <f>IFERROR(__xludf.DUMMYFUNCTION("""COMPUTED_VALUE"""),12.0)</f>
        <v>12</v>
      </c>
      <c r="G248" s="131">
        <f>IFERROR(__xludf.DUMMYFUNCTION("""COMPUTED_VALUE"""),1.0)</f>
        <v>1</v>
      </c>
    </row>
    <row r="249">
      <c r="A249" s="132">
        <f>IFERROR(__xludf.DUMMYFUNCTION("""COMPUTED_VALUE"""),4.0)</f>
        <v>4</v>
      </c>
      <c r="B249" s="133" t="str">
        <f>IFERROR(__xludf.DUMMYFUNCTION("""COMPUTED_VALUE"""),"Sandeep Kamalon")</f>
        <v>Sandeep Kamalon</v>
      </c>
      <c r="C249" s="134">
        <f>IFERROR(__xludf.DUMMYFUNCTION("""COMPUTED_VALUE"""),6.0)</f>
        <v>6</v>
      </c>
      <c r="D249" s="134">
        <f>IFERROR(__xludf.DUMMYFUNCTION("""COMPUTED_VALUE"""),6.0)</f>
        <v>6</v>
      </c>
      <c r="E249" s="134">
        <f>IFERROR(__xludf.DUMMYFUNCTION("""COMPUTED_VALUE"""),6.0)</f>
        <v>6</v>
      </c>
      <c r="F249" s="134">
        <f>IFERROR(__xludf.DUMMYFUNCTION("""COMPUTED_VALUE"""),18.0)</f>
        <v>18</v>
      </c>
      <c r="G249" s="134">
        <f>IFERROR(__xludf.DUMMYFUNCTION("""COMPUTED_VALUE"""),3.0)</f>
        <v>3</v>
      </c>
    </row>
    <row r="250">
      <c r="A250" s="132">
        <f>IFERROR(__xludf.DUMMYFUNCTION("""COMPUTED_VALUE"""),4.0)</f>
        <v>4</v>
      </c>
      <c r="B250" s="133" t="str">
        <f>IFERROR(__xludf.DUMMYFUNCTION("""COMPUTED_VALUE"""),"Basudev Thoppai Vidyasankar")</f>
        <v>Basudev Thoppai Vidyasankar</v>
      </c>
      <c r="C250" s="134">
        <f>IFERROR(__xludf.DUMMYFUNCTION("""COMPUTED_VALUE"""),6.0)</f>
        <v>6</v>
      </c>
      <c r="D250" s="134">
        <f>IFERROR(__xludf.DUMMYFUNCTION("""COMPUTED_VALUE"""),4.0)</f>
        <v>4</v>
      </c>
      <c r="E250" s="134">
        <f>IFERROR(__xludf.DUMMYFUNCTION("""COMPUTED_VALUE"""),3.0)</f>
        <v>3</v>
      </c>
      <c r="F250" s="134">
        <f>IFERROR(__xludf.DUMMYFUNCTION("""COMPUTED_VALUE"""),13.0)</f>
        <v>13</v>
      </c>
      <c r="G250" s="134">
        <f>IFERROR(__xludf.DUMMYFUNCTION("""COMPUTED_VALUE"""),1.0)</f>
        <v>1</v>
      </c>
    </row>
    <row r="251">
      <c r="A251" s="132">
        <f>IFERROR(__xludf.DUMMYFUNCTION("""COMPUTED_VALUE"""),4.0)</f>
        <v>4</v>
      </c>
      <c r="B251" s="133" t="str">
        <f>IFERROR(__xludf.DUMMYFUNCTION("""COMPUTED_VALUE"""),"Ted Shen")</f>
        <v>Ted Shen</v>
      </c>
      <c r="C251" s="134">
        <f>IFERROR(__xludf.DUMMYFUNCTION("""COMPUTED_VALUE"""),4.0)</f>
        <v>4</v>
      </c>
      <c r="D251" s="134">
        <f>IFERROR(__xludf.DUMMYFUNCTION("""COMPUTED_VALUE"""),4.0)</f>
        <v>4</v>
      </c>
      <c r="E251" s="134">
        <f>IFERROR(__xludf.DUMMYFUNCTION("""COMPUTED_VALUE"""),6.0)</f>
        <v>6</v>
      </c>
      <c r="F251" s="134">
        <f>IFERROR(__xludf.DUMMYFUNCTION("""COMPUTED_VALUE"""),14.0)</f>
        <v>14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IFERROR(__xludf.DUMMYFUNCTION("""COMPUTED_VALUE"""),"Elayaraja Thangaraj")</f>
        <v>Elayaraja Thangaraj</v>
      </c>
      <c r="C252" s="134">
        <f>IFERROR(__xludf.DUMMYFUNCTION("""COMPUTED_VALUE"""),4.0)</f>
        <v>4</v>
      </c>
      <c r="D252" s="134">
        <f>IFERROR(__xludf.DUMMYFUNCTION("""COMPUTED_VALUE"""),6.0)</f>
        <v>6</v>
      </c>
      <c r="E252" s="134">
        <f>IFERROR(__xludf.DUMMYFUNCTION("""COMPUTED_VALUE"""),3.0)</f>
        <v>3</v>
      </c>
      <c r="F252" s="134">
        <f>IFERROR(__xludf.DUMMYFUNCTION("""COMPUTED_VALUE"""),13.0)</f>
        <v>13</v>
      </c>
      <c r="G252" s="134">
        <f>IFERROR(__xludf.DUMMYFUNCTION("""COMPUTED_VALUE"""),1.0)</f>
        <v>1</v>
      </c>
    </row>
    <row r="253">
      <c r="A253" s="125">
        <f>IFERROR(__xludf.DUMMYFUNCTION("""COMPUTED_VALUE"""),5.0)</f>
        <v>5</v>
      </c>
      <c r="B253" s="36" t="str">
        <f>IFERROR(__xludf.DUMMYFUNCTION("""COMPUTED_VALUE"""),"Ethan Gu")</f>
        <v>Ethan Gu</v>
      </c>
      <c r="C253" s="131">
        <f>IFERROR(__xludf.DUMMYFUNCTION("""COMPUTED_VALUE"""),6.0)</f>
        <v>6</v>
      </c>
      <c r="D253" s="131">
        <f>IFERROR(__xludf.DUMMYFUNCTION("""COMPUTED_VALUE"""),6.0)</f>
        <v>6</v>
      </c>
      <c r="E253" s="131">
        <f>IFERROR(__xludf.DUMMYFUNCTION("""COMPUTED_VALUE"""),2.0)</f>
        <v>2</v>
      </c>
      <c r="F253" s="131">
        <f>IFERROR(__xludf.DUMMYFUNCTION("""COMPUTED_VALUE"""),14.0)</f>
        <v>14</v>
      </c>
      <c r="G253" s="131">
        <f>IFERROR(__xludf.DUMMYFUNCTION("""COMPUTED_VALUE"""),2.0)</f>
        <v>2</v>
      </c>
    </row>
    <row r="254">
      <c r="A254" s="125">
        <f>IFERROR(__xludf.DUMMYFUNCTION("""COMPUTED_VALUE"""),5.0)</f>
        <v>5</v>
      </c>
      <c r="B254" s="36" t="str">
        <f>IFERROR(__xludf.DUMMYFUNCTION("""COMPUTED_VALUE"""),"Mauricio Palacios")</f>
        <v>Mauricio Palacios</v>
      </c>
      <c r="C254" s="131">
        <f>IFERROR(__xludf.DUMMYFUNCTION("""COMPUTED_VALUE"""),1.0)</f>
        <v>1</v>
      </c>
      <c r="D254" s="131">
        <f>IFERROR(__xludf.DUMMYFUNCTION("""COMPUTED_VALUE"""),6.0)</f>
        <v>6</v>
      </c>
      <c r="E254" s="131">
        <f>IFERROR(__xludf.DUMMYFUNCTION("""COMPUTED_VALUE"""),6.0)</f>
        <v>6</v>
      </c>
      <c r="F254" s="131">
        <f>IFERROR(__xludf.DUMMYFUNCTION("""COMPUTED_VALUE"""),13.0)</f>
        <v>13</v>
      </c>
      <c r="G254" s="131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IFERROR(__xludf.DUMMYFUNCTION("""COMPUTED_VALUE"""),"Chinna Ponnaganti")</f>
        <v>Chinna Ponnaganti</v>
      </c>
      <c r="C255" s="131">
        <f>IFERROR(__xludf.DUMMYFUNCTION("""COMPUTED_VALUE"""),1.0)</f>
        <v>1</v>
      </c>
      <c r="D255" s="131">
        <f>IFERROR(__xludf.DUMMYFUNCTION("""COMPUTED_VALUE"""),4.0)</f>
        <v>4</v>
      </c>
      <c r="E255" s="131">
        <f>IFERROR(__xludf.DUMMYFUNCTION("""COMPUTED_VALUE"""),2.0)</f>
        <v>2</v>
      </c>
      <c r="F255" s="131">
        <f>IFERROR(__xludf.DUMMYFUNCTION("""COMPUTED_VALUE"""),7.0)</f>
        <v>7</v>
      </c>
      <c r="G255" s="131">
        <f>IFERROR(__xludf.DUMMYFUNCTION("""COMPUTED_VALUE"""),0.0)</f>
        <v>0</v>
      </c>
    </row>
    <row r="256">
      <c r="A256" s="125">
        <f>IFERROR(__xludf.DUMMYFUNCTION("""COMPUTED_VALUE"""),5.0)</f>
        <v>5</v>
      </c>
      <c r="B256" s="36" t="str">
        <f>IFERROR(__xludf.DUMMYFUNCTION("""COMPUTED_VALUE"""),"Lloyd Sagar")</f>
        <v>Lloyd Sagar</v>
      </c>
      <c r="C256" s="131">
        <f>IFERROR(__xludf.DUMMYFUNCTION("""COMPUTED_VALUE"""),6.0)</f>
        <v>6</v>
      </c>
      <c r="D256" s="131">
        <f>IFERROR(__xludf.DUMMYFUNCTION("""COMPUTED_VALUE"""),4.0)</f>
        <v>4</v>
      </c>
      <c r="E256" s="131">
        <f>IFERROR(__xludf.DUMMYFUNCTION("""COMPUTED_VALUE"""),6.0)</f>
        <v>6</v>
      </c>
      <c r="F256" s="131">
        <f>IFERROR(__xludf.DUMMYFUNCTION("""COMPUTED_VALUE"""),16.0)</f>
        <v>16</v>
      </c>
      <c r="G256" s="131">
        <f>IFERROR(__xludf.DUMMYFUNCTION("""COMPUTED_VALUE"""),2.0)</f>
        <v>2</v>
      </c>
    </row>
    <row r="257">
      <c r="A257" s="132">
        <f>IFERROR(__xludf.DUMMYFUNCTION("""COMPUTED_VALUE"""),6.0)</f>
        <v>6</v>
      </c>
      <c r="B257" s="133" t="str">
        <f>IFERROR(__xludf.DUMMYFUNCTION("""COMPUTED_VALUE"""),"Naveen Raj")</f>
        <v>Naveen Raj</v>
      </c>
      <c r="C257" s="134">
        <f>IFERROR(__xludf.DUMMYFUNCTION("""COMPUTED_VALUE"""),6.0)</f>
        <v>6</v>
      </c>
      <c r="D257" s="134">
        <f>IFERROR(__xludf.DUMMYFUNCTION("""COMPUTED_VALUE"""),6.0)</f>
        <v>6</v>
      </c>
      <c r="E257" s="134">
        <f>IFERROR(__xludf.DUMMYFUNCTION("""COMPUTED_VALUE"""),7.0)</f>
        <v>7</v>
      </c>
      <c r="F257" s="134">
        <f>IFERROR(__xludf.DUMMYFUNCTION("""COMPUTED_VALUE"""),19.0)</f>
        <v>19</v>
      </c>
      <c r="G257" s="134">
        <f>IFERROR(__xludf.DUMMYFUNCTION("""COMPUTED_VALUE"""),3.0)</f>
        <v>3</v>
      </c>
    </row>
    <row r="258">
      <c r="A258" s="132">
        <f>IFERROR(__xludf.DUMMYFUNCTION("""COMPUTED_VALUE"""),6.0)</f>
        <v>6</v>
      </c>
      <c r="B258" s="133" t="str">
        <f>IFERROR(__xludf.DUMMYFUNCTION("""COMPUTED_VALUE"""),"Coco Yan")</f>
        <v>Coco Yan</v>
      </c>
      <c r="C258" s="134">
        <f>IFERROR(__xludf.DUMMYFUNCTION("""COMPUTED_VALUE"""),3.0)</f>
        <v>3</v>
      </c>
      <c r="D258" s="134">
        <f>IFERROR(__xludf.DUMMYFUNCTION("""COMPUTED_VALUE"""),6.0)</f>
        <v>6</v>
      </c>
      <c r="E258" s="134">
        <f>IFERROR(__xludf.DUMMYFUNCTION("""COMPUTED_VALUE"""),5.0)</f>
        <v>5</v>
      </c>
      <c r="F258" s="134">
        <f>IFERROR(__xludf.DUMMYFUNCTION("""COMPUTED_VALUE"""),14.0)</f>
        <v>14</v>
      </c>
      <c r="G258" s="134">
        <f>IFERROR(__xludf.DUMMYFUNCTION("""COMPUTED_VALUE"""),1.0)</f>
        <v>1</v>
      </c>
    </row>
    <row r="259">
      <c r="A259" s="132">
        <f>IFERROR(__xludf.DUMMYFUNCTION("""COMPUTED_VALUE"""),6.0)</f>
        <v>6</v>
      </c>
      <c r="B259" s="133" t="str">
        <f>IFERROR(__xludf.DUMMYFUNCTION("""COMPUTED_VALUE"""),"Sean Chang")</f>
        <v>Sean Chang</v>
      </c>
      <c r="C259" s="134">
        <f>IFERROR(__xludf.DUMMYFUNCTION("""COMPUTED_VALUE"""),3.0)</f>
        <v>3</v>
      </c>
      <c r="D259" s="134">
        <f>IFERROR(__xludf.DUMMYFUNCTION("""COMPUTED_VALUE"""),2.0)</f>
        <v>2</v>
      </c>
      <c r="E259" s="134">
        <f>IFERROR(__xludf.DUMMYFUNCTION("""COMPUTED_VALUE"""),7.0)</f>
        <v>7</v>
      </c>
      <c r="F259" s="134">
        <f>IFERROR(__xludf.DUMMYFUNCTION("""COMPUTED_VALUE"""),12.0)</f>
        <v>12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IFERROR(__xludf.DUMMYFUNCTION("""COMPUTED_VALUE"""),"Hongyuan Wen")</f>
        <v>Hongyuan Wen</v>
      </c>
      <c r="C260" s="134">
        <f>IFERROR(__xludf.DUMMYFUNCTION("""COMPUTED_VALUE"""),6.0)</f>
        <v>6</v>
      </c>
      <c r="D260" s="134">
        <f>IFERROR(__xludf.DUMMYFUNCTION("""COMPUTED_VALUE"""),2.0)</f>
        <v>2</v>
      </c>
      <c r="E260" s="134">
        <f>IFERROR(__xludf.DUMMYFUNCTION("""COMPUTED_VALUE"""),5.0)</f>
        <v>5</v>
      </c>
      <c r="F260" s="134">
        <f>IFERROR(__xludf.DUMMYFUNCTION("""COMPUTED_VALUE"""),13.0)</f>
        <v>13</v>
      </c>
      <c r="G260" s="134">
        <f>IFERROR(__xludf.DUMMYFUNCTION("""COMPUTED_VALUE"""),1.0)</f>
        <v>1</v>
      </c>
    </row>
    <row r="261">
      <c r="A261" s="125">
        <f>IFERROR(__xludf.DUMMYFUNCTION("""COMPUTED_VALUE"""),7.0)</f>
        <v>7</v>
      </c>
      <c r="B261" s="36" t="str">
        <f>IFERROR(__xludf.DUMMYFUNCTION("""COMPUTED_VALUE"""),"Ramesh Bandaru")</f>
        <v>Ramesh Bandaru</v>
      </c>
      <c r="C261" s="131">
        <f>IFERROR(__xludf.DUMMYFUNCTION("""COMPUTED_VALUE"""),4.0)</f>
        <v>4</v>
      </c>
      <c r="D261" s="131">
        <f>IFERROR(__xludf.DUMMYFUNCTION("""COMPUTED_VALUE"""),6.0)</f>
        <v>6</v>
      </c>
      <c r="E261" s="131">
        <f>IFERROR(__xludf.DUMMYFUNCTION("""COMPUTED_VALUE"""),6.0)</f>
        <v>6</v>
      </c>
      <c r="F261" s="131">
        <f>IFERROR(__xludf.DUMMYFUNCTION("""COMPUTED_VALUE"""),16.0)</f>
        <v>16</v>
      </c>
      <c r="G261" s="131">
        <f>IFERROR(__xludf.DUMMYFUNCTION("""COMPUTED_VALUE"""),2.0)</f>
        <v>2</v>
      </c>
    </row>
    <row r="262">
      <c r="A262" s="125">
        <f>IFERROR(__xludf.DUMMYFUNCTION("""COMPUTED_VALUE"""),7.0)</f>
        <v>7</v>
      </c>
      <c r="B262" s="36" t="str">
        <f>IFERROR(__xludf.DUMMYFUNCTION("""COMPUTED_VALUE"""),"Manuel Rivera")</f>
        <v>Manuel Rivera</v>
      </c>
      <c r="C262" s="131">
        <f>IFERROR(__xludf.DUMMYFUNCTION("""COMPUTED_VALUE"""),6.0)</f>
        <v>6</v>
      </c>
      <c r="D262" s="131">
        <f>IFERROR(__xludf.DUMMYFUNCTION("""COMPUTED_VALUE"""),2.0)</f>
        <v>2</v>
      </c>
      <c r="E262" s="131">
        <f>IFERROR(__xludf.DUMMYFUNCTION("""COMPUTED_VALUE"""),6.0)</f>
        <v>6</v>
      </c>
      <c r="F262" s="131">
        <f>IFERROR(__xludf.DUMMYFUNCTION("""COMPUTED_VALUE"""),14.0)</f>
        <v>14</v>
      </c>
      <c r="G262" s="131">
        <f>IFERROR(__xludf.DUMMYFUNCTION("""COMPUTED_VALUE"""),2.0)</f>
        <v>2</v>
      </c>
    </row>
    <row r="263">
      <c r="A263" s="125">
        <f>IFERROR(__xludf.DUMMYFUNCTION("""COMPUTED_VALUE"""),7.0)</f>
        <v>7</v>
      </c>
      <c r="B263" s="36" t="str">
        <f>IFERROR(__xludf.DUMMYFUNCTION("""COMPUTED_VALUE"""),"Allen Zhang")</f>
        <v>Allen Zhang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IFERROR(__xludf.DUMMYFUNCTION("""COMPUTED_VALUE"""),1.0)</f>
        <v>1</v>
      </c>
      <c r="F263" s="131">
        <f>IFERROR(__xludf.DUMMYFUNCTION("""COMPUTED_VALUE"""),13.0)</f>
        <v>13</v>
      </c>
      <c r="G263" s="131">
        <f>IFERROR(__xludf.DUMMYFUNCTION("""COMPUTED_VALUE"""),2.0)</f>
        <v>2</v>
      </c>
    </row>
    <row r="264">
      <c r="A264" s="125">
        <f>IFERROR(__xludf.DUMMYFUNCTION("""COMPUTED_VALUE"""),7.0)</f>
        <v>7</v>
      </c>
      <c r="B264" s="36" t="str">
        <f>IFERROR(__xludf.DUMMYFUNCTION("""COMPUTED_VALUE"""),"Camille Jung")</f>
        <v>Camille Jung</v>
      </c>
      <c r="C264" s="131">
        <f>IFERROR(__xludf.DUMMYFUNCTION("""COMPUTED_VALUE"""),4.0)</f>
        <v>4</v>
      </c>
      <c r="D264" s="131">
        <f>IFERROR(__xludf.DUMMYFUNCTION("""COMPUTED_VALUE"""),2.0)</f>
        <v>2</v>
      </c>
      <c r="E264" s="131">
        <f>IFERROR(__xludf.DUMMYFUNCTION("""COMPUTED_VALUE"""),1.0)</f>
        <v>1</v>
      </c>
      <c r="F264" s="131">
        <f>IFERROR(__xludf.DUMMYFUNCTION("""COMPUTED_VALUE"""),7.0)</f>
        <v>7</v>
      </c>
      <c r="G264" s="131">
        <f>IFERROR(__xludf.DUMMYFUNCTION("""COMPUTED_VALUE"""),0.0)</f>
        <v>0</v>
      </c>
    </row>
    <row r="265">
      <c r="A265" s="132">
        <f>IFERROR(__xludf.DUMMYFUNCTION("""COMPUTED_VALUE"""),8.0)</f>
        <v>8</v>
      </c>
      <c r="B265" s="133" t="str">
        <f>IFERROR(__xludf.DUMMYFUNCTION("""COMPUTED_VALUE"""),"Kumar Palakeel")</f>
        <v>Kumar Palakeel</v>
      </c>
      <c r="C265" s="134">
        <f>IFERROR(__xludf.DUMMYFUNCTION("""COMPUTED_VALUE"""),4.0)</f>
        <v>4</v>
      </c>
      <c r="D265" s="134">
        <f>IFERROR(__xludf.DUMMYFUNCTION("""COMPUTED_VALUE"""),3.0)</f>
        <v>3</v>
      </c>
      <c r="E265" s="134">
        <f>IFERROR(__xludf.DUMMYFUNCTION("""COMPUTED_VALUE"""),5.0)</f>
        <v>5</v>
      </c>
      <c r="F265" s="134">
        <f>IFERROR(__xludf.DUMMYFUNCTION("""COMPUTED_VALUE"""),12.0)</f>
        <v>12</v>
      </c>
      <c r="G265" s="134">
        <f>IFERROR(__xludf.DUMMYFUNCTION("""COMPUTED_VALUE"""),0.0)</f>
        <v>0</v>
      </c>
    </row>
    <row r="266">
      <c r="A266" s="132">
        <f>IFERROR(__xludf.DUMMYFUNCTION("""COMPUTED_VALUE"""),8.0)</f>
        <v>8</v>
      </c>
      <c r="B266" s="133" t="str">
        <f>IFERROR(__xludf.DUMMYFUNCTION("""COMPUTED_VALUE"""),"Alex Hou")</f>
        <v>Alex Hou</v>
      </c>
      <c r="C266" s="134">
        <f>IFERROR(__xludf.DUMMYFUNCTION("""COMPUTED_VALUE"""),6.0)</f>
        <v>6</v>
      </c>
      <c r="D266" s="134">
        <f>IFERROR(__xludf.DUMMYFUNCTION("""COMPUTED_VALUE"""),6.0)</f>
        <v>6</v>
      </c>
      <c r="E266" s="134">
        <f>IFERROR(__xludf.DUMMYFUNCTION("""COMPUTED_VALUE"""),5.0)</f>
        <v>5</v>
      </c>
      <c r="F266" s="134">
        <f>IFERROR(__xludf.DUMMYFUNCTION("""COMPUTED_VALUE"""),17.0)</f>
        <v>17</v>
      </c>
      <c r="G266" s="134">
        <f>IFERROR(__xludf.DUMMYFUNCTION("""COMPUTED_VALUE"""),2.0)</f>
        <v>2</v>
      </c>
    </row>
    <row r="267">
      <c r="A267" s="132">
        <f>IFERROR(__xludf.DUMMYFUNCTION("""COMPUTED_VALUE"""),8.0)</f>
        <v>8</v>
      </c>
      <c r="B267" s="133" t="str">
        <f>IFERROR(__xludf.DUMMYFUNCTION("""COMPUTED_VALUE"""),"Nicole Ni")</f>
        <v>Nicole Ni</v>
      </c>
      <c r="C267" s="134">
        <f>IFERROR(__xludf.DUMMYFUNCTION("""COMPUTED_VALUE"""),4.0)</f>
        <v>4</v>
      </c>
      <c r="D267" s="134">
        <f>IFERROR(__xludf.DUMMYFUNCTION("""COMPUTED_VALUE"""),6.0)</f>
        <v>6</v>
      </c>
      <c r="E267" s="134">
        <f>IFERROR(__xludf.DUMMYFUNCTION("""COMPUTED_VALUE"""),7.0)</f>
        <v>7</v>
      </c>
      <c r="F267" s="134">
        <f>IFERROR(__xludf.DUMMYFUNCTION("""COMPUTED_VALUE"""),17.0)</f>
        <v>17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IFERROR(__xludf.DUMMYFUNCTION("""COMPUTED_VALUE"""),"Trish Newlin")</f>
        <v>Trish Newlin</v>
      </c>
      <c r="C268" s="134">
        <f>IFERROR(__xludf.DUMMYFUNCTION("""COMPUTED_VALUE"""),6.0)</f>
        <v>6</v>
      </c>
      <c r="D268" s="134">
        <f>IFERROR(__xludf.DUMMYFUNCTION("""COMPUTED_VALUE"""),3.0)</f>
        <v>3</v>
      </c>
      <c r="E268" s="134">
        <f>IFERROR(__xludf.DUMMYFUNCTION("""COMPUTED_VALUE"""),7.0)</f>
        <v>7</v>
      </c>
      <c r="F268" s="134">
        <f>IFERROR(__xludf.DUMMYFUNCTION("""COMPUTED_VALUE"""),16.0)</f>
        <v>16</v>
      </c>
      <c r="G268" s="134">
        <f>IFERROR(__xludf.DUMMYFUNCTION("""COMPUTED_VALUE"""),2.0)</f>
        <v>2</v>
      </c>
    </row>
    <row r="269">
      <c r="A269" s="125"/>
      <c r="B269" s="36"/>
      <c r="C269" s="131"/>
      <c r="D269" s="131"/>
      <c r="E269" s="131"/>
      <c r="F269" s="131"/>
      <c r="G269" s="131"/>
    </row>
    <row r="270">
      <c r="A270" s="125"/>
      <c r="B270" s="36"/>
      <c r="C270" s="131"/>
      <c r="D270" s="131"/>
      <c r="E270" s="131"/>
      <c r="F270" s="131"/>
      <c r="G270" s="131"/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32"/>
      <c r="B273" s="133"/>
      <c r="C273" s="134"/>
      <c r="D273" s="134"/>
      <c r="E273" s="134"/>
      <c r="F273" s="134"/>
      <c r="G273" s="134"/>
    </row>
    <row r="274">
      <c r="A274" s="132"/>
      <c r="B274" s="133"/>
      <c r="C274" s="134"/>
      <c r="D274" s="134"/>
      <c r="E274" s="134"/>
      <c r="F274" s="134"/>
      <c r="G274" s="134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25"/>
      <c r="B277" s="36"/>
      <c r="C277" s="131"/>
      <c r="D277" s="131"/>
      <c r="E277" s="131"/>
      <c r="F277" s="131"/>
      <c r="G277" s="131"/>
    </row>
    <row r="278">
      <c r="A278" s="125"/>
      <c r="B278" s="36"/>
      <c r="C278" s="131"/>
      <c r="D278" s="131"/>
      <c r="E278" s="131"/>
      <c r="F278" s="131"/>
      <c r="G278" s="131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2"/>
      <c r="C281" s="2"/>
      <c r="D281" s="2"/>
      <c r="E281" s="2"/>
      <c r="F281" s="2"/>
    </row>
    <row r="282">
      <c r="A282" s="2"/>
      <c r="C282" s="2"/>
      <c r="D282" s="2"/>
      <c r="E282" s="2"/>
      <c r="F282" s="2"/>
    </row>
    <row r="283">
      <c r="A283" s="2"/>
      <c r="C283" s="2"/>
      <c r="D283" s="2"/>
      <c r="E283" s="2"/>
      <c r="F283" s="2"/>
    </row>
    <row r="284">
      <c r="A284" s="40"/>
      <c r="B284" s="133" t="s">
        <v>189</v>
      </c>
      <c r="C284" s="2"/>
      <c r="D284" s="119" t="s">
        <v>192</v>
      </c>
      <c r="E284" s="26"/>
      <c r="F284" s="27"/>
      <c r="H284" s="119" t="s">
        <v>191</v>
      </c>
      <c r="I284" s="26"/>
      <c r="J284" s="27"/>
    </row>
    <row r="285">
      <c r="A285" s="135">
        <v>1.0</v>
      </c>
      <c r="B285" s="136" t="str">
        <f>IFERROR(__xludf.DUMMYFUNCTION("QUERY(B5:R71,""Select B where R = 'X' order by B asc"",0)"),"Adrian Tay")</f>
        <v>Adrian Tay</v>
      </c>
      <c r="C285" s="137">
        <f t="shared" ref="C285:C359" si="101">A285</f>
        <v>1</v>
      </c>
      <c r="D285" s="138" t="str">
        <f>IFERROR(__xludf.DUMMYFUNCTION("QUERY(B5:R71,""Select B where R = '' order by B asc"",0)"),"#N/A")</f>
        <v>#N/A</v>
      </c>
      <c r="E285" s="26"/>
      <c r="F285" s="27"/>
      <c r="G285" s="137">
        <f t="shared" ref="G285:G359" si="102">C285</f>
        <v>1</v>
      </c>
      <c r="H285" s="138" t="str">
        <f>IFERROR(__xludf.DUMMYFUNCTION("QUERY(B5:R71,""Select B where R = 'N' order by B asc"",0)"),"#N/A")</f>
        <v>#N/A</v>
      </c>
      <c r="I285" s="26"/>
      <c r="J285" s="27"/>
    </row>
    <row r="286">
      <c r="A286" s="135">
        <f t="shared" ref="A286:A359" si="103">A285+1</f>
        <v>2</v>
      </c>
      <c r="B286" s="136" t="str">
        <f>IFERROR(__xludf.DUMMYFUNCTION("""COMPUTED_VALUE"""),"Alejandro Mejia")</f>
        <v>Alejandro Mejia</v>
      </c>
      <c r="C286" s="137">
        <f t="shared" si="101"/>
        <v>2</v>
      </c>
      <c r="D286" s="138"/>
      <c r="E286" s="26"/>
      <c r="F286" s="27"/>
      <c r="G286" s="137">
        <f t="shared" si="102"/>
        <v>2</v>
      </c>
      <c r="H286" s="138"/>
      <c r="I286" s="26"/>
      <c r="J286" s="27"/>
    </row>
    <row r="287">
      <c r="A287" s="135">
        <f t="shared" si="103"/>
        <v>3</v>
      </c>
      <c r="B287" s="136" t="str">
        <f>IFERROR(__xludf.DUMMYFUNCTION("""COMPUTED_VALUE"""),"Alex Hou")</f>
        <v>Alex Hou</v>
      </c>
      <c r="C287" s="137">
        <f t="shared" si="101"/>
        <v>3</v>
      </c>
      <c r="D287" s="138"/>
      <c r="E287" s="26"/>
      <c r="F287" s="27"/>
      <c r="G287" s="137">
        <f t="shared" si="102"/>
        <v>3</v>
      </c>
      <c r="H287" s="138"/>
      <c r="I287" s="26"/>
      <c r="J287" s="27"/>
    </row>
    <row r="288">
      <c r="A288" s="135">
        <f t="shared" si="103"/>
        <v>4</v>
      </c>
      <c r="B288" s="136" t="str">
        <f>IFERROR(__xludf.DUMMYFUNCTION("""COMPUTED_VALUE"""),"Allen Zhang")</f>
        <v>Allen Zhang</v>
      </c>
      <c r="C288" s="137">
        <f t="shared" si="101"/>
        <v>4</v>
      </c>
      <c r="D288" s="138"/>
      <c r="E288" s="26"/>
      <c r="F288" s="27"/>
      <c r="G288" s="137">
        <f t="shared" si="102"/>
        <v>4</v>
      </c>
      <c r="H288" s="138"/>
      <c r="I288" s="26"/>
      <c r="J288" s="27"/>
    </row>
    <row r="289">
      <c r="A289" s="135">
        <f t="shared" si="103"/>
        <v>5</v>
      </c>
      <c r="B289" s="136" t="str">
        <f>IFERROR(__xludf.DUMMYFUNCTION("""COMPUTED_VALUE"""),"Andrew Wen")</f>
        <v>Andrew Wen</v>
      </c>
      <c r="C289" s="137">
        <f t="shared" si="101"/>
        <v>5</v>
      </c>
      <c r="D289" s="138"/>
      <c r="E289" s="26"/>
      <c r="F289" s="27"/>
      <c r="G289" s="137">
        <f t="shared" si="102"/>
        <v>5</v>
      </c>
      <c r="H289" s="138"/>
      <c r="I289" s="26"/>
      <c r="J289" s="27"/>
    </row>
    <row r="290">
      <c r="A290" s="135">
        <f t="shared" si="103"/>
        <v>6</v>
      </c>
      <c r="B290" s="136" t="str">
        <f>IFERROR(__xludf.DUMMYFUNCTION("""COMPUTED_VALUE"""),"Andrew Yao")</f>
        <v>Andrew Yao</v>
      </c>
      <c r="C290" s="137">
        <f t="shared" si="101"/>
        <v>6</v>
      </c>
      <c r="D290" s="138"/>
      <c r="E290" s="26"/>
      <c r="F290" s="27"/>
      <c r="G290" s="137">
        <f t="shared" si="102"/>
        <v>6</v>
      </c>
      <c r="H290" s="138"/>
      <c r="I290" s="26"/>
      <c r="J290" s="27"/>
    </row>
    <row r="291">
      <c r="A291" s="135">
        <f t="shared" si="103"/>
        <v>7</v>
      </c>
      <c r="B291" s="136" t="str">
        <f>IFERROR(__xludf.DUMMYFUNCTION("""COMPUTED_VALUE"""),"Art Hui")</f>
        <v>Art Hui</v>
      </c>
      <c r="C291" s="137">
        <f t="shared" si="101"/>
        <v>7</v>
      </c>
      <c r="D291" s="138"/>
      <c r="E291" s="26"/>
      <c r="F291" s="27"/>
      <c r="G291" s="137">
        <f t="shared" si="102"/>
        <v>7</v>
      </c>
      <c r="H291" s="138"/>
      <c r="I291" s="26"/>
      <c r="J291" s="27"/>
    </row>
    <row r="292">
      <c r="A292" s="135">
        <f t="shared" si="103"/>
        <v>8</v>
      </c>
      <c r="B292" s="136" t="str">
        <f>IFERROR(__xludf.DUMMYFUNCTION("""COMPUTED_VALUE"""),"Basudev Thoppai Vidyasankar")</f>
        <v>Basudev Thoppai Vidyasankar</v>
      </c>
      <c r="C292" s="137">
        <f t="shared" si="101"/>
        <v>8</v>
      </c>
      <c r="D292" s="138"/>
      <c r="E292" s="26"/>
      <c r="F292" s="27"/>
      <c r="G292" s="137">
        <f t="shared" si="102"/>
        <v>8</v>
      </c>
      <c r="H292" s="138"/>
      <c r="I292" s="26"/>
      <c r="J292" s="27"/>
    </row>
    <row r="293">
      <c r="A293" s="135">
        <f t="shared" si="103"/>
        <v>9</v>
      </c>
      <c r="B293" s="136" t="str">
        <f>IFERROR(__xludf.DUMMYFUNCTION("""COMPUTED_VALUE"""),"Camille Jung")</f>
        <v>Camille Jung</v>
      </c>
      <c r="C293" s="137">
        <f t="shared" si="101"/>
        <v>9</v>
      </c>
      <c r="D293" s="138"/>
      <c r="E293" s="26"/>
      <c r="F293" s="27"/>
      <c r="G293" s="137">
        <f t="shared" si="102"/>
        <v>9</v>
      </c>
      <c r="H293" s="138"/>
      <c r="I293" s="26"/>
      <c r="J293" s="27"/>
    </row>
    <row r="294">
      <c r="A294" s="135">
        <f t="shared" si="103"/>
        <v>10</v>
      </c>
      <c r="B294" s="136" t="str">
        <f>IFERROR(__xludf.DUMMYFUNCTION("""COMPUTED_VALUE"""),"Chinna Ponnaganti")</f>
        <v>Chinna Ponnaganti</v>
      </c>
      <c r="C294" s="137">
        <f t="shared" si="101"/>
        <v>10</v>
      </c>
      <c r="D294" s="138"/>
      <c r="E294" s="26"/>
      <c r="F294" s="27"/>
      <c r="G294" s="137">
        <f t="shared" si="102"/>
        <v>10</v>
      </c>
      <c r="H294" s="138"/>
      <c r="I294" s="26"/>
      <c r="J294" s="27"/>
    </row>
    <row r="295">
      <c r="A295" s="135">
        <f t="shared" si="103"/>
        <v>11</v>
      </c>
      <c r="B295" s="136" t="str">
        <f>IFERROR(__xludf.DUMMYFUNCTION("""COMPUTED_VALUE"""),"Cid Macaraeg")</f>
        <v>Cid Macaraeg</v>
      </c>
      <c r="C295" s="137">
        <f t="shared" si="101"/>
        <v>11</v>
      </c>
      <c r="D295" s="138"/>
      <c r="E295" s="26"/>
      <c r="F295" s="27"/>
      <c r="G295" s="137">
        <f t="shared" si="102"/>
        <v>11</v>
      </c>
      <c r="H295" s="138"/>
      <c r="I295" s="26"/>
      <c r="J295" s="27"/>
    </row>
    <row r="296">
      <c r="A296" s="135">
        <f t="shared" si="103"/>
        <v>12</v>
      </c>
      <c r="B296" s="136" t="str">
        <f>IFERROR(__xludf.DUMMYFUNCTION("""COMPUTED_VALUE"""),"Coco Yan")</f>
        <v>Coco Yan</v>
      </c>
      <c r="C296" s="137">
        <f t="shared" si="101"/>
        <v>12</v>
      </c>
      <c r="D296" s="138"/>
      <c r="E296" s="26"/>
      <c r="F296" s="27"/>
      <c r="G296" s="137">
        <f t="shared" si="102"/>
        <v>12</v>
      </c>
      <c r="H296" s="138"/>
      <c r="I296" s="26"/>
      <c r="J296" s="27"/>
    </row>
    <row r="297">
      <c r="A297" s="135">
        <f t="shared" si="103"/>
        <v>13</v>
      </c>
      <c r="B297" s="136" t="str">
        <f>IFERROR(__xludf.DUMMYFUNCTION("""COMPUTED_VALUE"""),"Darren Wong")</f>
        <v>Darren Wong</v>
      </c>
      <c r="C297" s="137">
        <f t="shared" si="101"/>
        <v>13</v>
      </c>
      <c r="D297" s="138"/>
      <c r="E297" s="26"/>
      <c r="F297" s="27"/>
      <c r="G297" s="137">
        <f t="shared" si="102"/>
        <v>13</v>
      </c>
      <c r="H297" s="138"/>
      <c r="I297" s="26"/>
      <c r="J297" s="27"/>
    </row>
    <row r="298">
      <c r="A298" s="135">
        <f t="shared" si="103"/>
        <v>14</v>
      </c>
      <c r="B298" s="136" t="str">
        <f>IFERROR(__xludf.DUMMYFUNCTION("""COMPUTED_VALUE"""),"David Shin")</f>
        <v>David Shin</v>
      </c>
      <c r="C298" s="137">
        <f t="shared" si="101"/>
        <v>14</v>
      </c>
      <c r="D298" s="138"/>
      <c r="E298" s="26"/>
      <c r="F298" s="27"/>
      <c r="G298" s="137">
        <f t="shared" si="102"/>
        <v>14</v>
      </c>
      <c r="H298" s="138"/>
      <c r="I298" s="26"/>
      <c r="J298" s="27"/>
    </row>
    <row r="299">
      <c r="A299" s="135">
        <f t="shared" si="103"/>
        <v>15</v>
      </c>
      <c r="B299" s="136" t="str">
        <f>IFERROR(__xludf.DUMMYFUNCTION("""COMPUTED_VALUE"""),"Elayaraja Thangaraj")</f>
        <v>Elayaraja Thangaraj</v>
      </c>
      <c r="C299" s="137">
        <f t="shared" si="101"/>
        <v>15</v>
      </c>
      <c r="D299" s="138"/>
      <c r="E299" s="26"/>
      <c r="F299" s="27"/>
      <c r="G299" s="137">
        <f t="shared" si="102"/>
        <v>15</v>
      </c>
      <c r="H299" s="138"/>
      <c r="I299" s="26"/>
      <c r="J299" s="27"/>
    </row>
    <row r="300">
      <c r="A300" s="135">
        <f t="shared" si="103"/>
        <v>16</v>
      </c>
      <c r="B300" s="136" t="str">
        <f>IFERROR(__xludf.DUMMYFUNCTION("""COMPUTED_VALUE"""),"Eric Pan")</f>
        <v>Eric Pan</v>
      </c>
      <c r="C300" s="137">
        <f t="shared" si="101"/>
        <v>16</v>
      </c>
      <c r="D300" s="138"/>
      <c r="E300" s="26"/>
      <c r="F300" s="27"/>
      <c r="G300" s="137">
        <f t="shared" si="102"/>
        <v>16</v>
      </c>
      <c r="H300" s="138"/>
      <c r="I300" s="26"/>
      <c r="J300" s="27"/>
    </row>
    <row r="301">
      <c r="A301" s="135">
        <f t="shared" si="103"/>
        <v>17</v>
      </c>
      <c r="B301" s="136" t="str">
        <f>IFERROR(__xludf.DUMMYFUNCTION("""COMPUTED_VALUE"""),"Eric Tan")</f>
        <v>Eric Tan</v>
      </c>
      <c r="C301" s="137">
        <f t="shared" si="101"/>
        <v>17</v>
      </c>
      <c r="D301" s="138"/>
      <c r="E301" s="26"/>
      <c r="F301" s="27"/>
      <c r="G301" s="137">
        <f t="shared" si="102"/>
        <v>17</v>
      </c>
      <c r="H301" s="138"/>
      <c r="I301" s="26"/>
      <c r="J301" s="27"/>
    </row>
    <row r="302">
      <c r="A302" s="135">
        <f t="shared" si="103"/>
        <v>18</v>
      </c>
      <c r="B302" s="136" t="str">
        <f>IFERROR(__xludf.DUMMYFUNCTION("""COMPUTED_VALUE"""),"Erik Hoeckmann")</f>
        <v>Erik Hoeckmann</v>
      </c>
      <c r="C302" s="137">
        <f t="shared" si="101"/>
        <v>18</v>
      </c>
      <c r="D302" s="138"/>
      <c r="E302" s="26"/>
      <c r="F302" s="27"/>
      <c r="G302" s="137">
        <f t="shared" si="102"/>
        <v>18</v>
      </c>
      <c r="H302" s="138"/>
      <c r="I302" s="26"/>
      <c r="J302" s="27"/>
    </row>
    <row r="303">
      <c r="A303" s="135">
        <f t="shared" si="103"/>
        <v>19</v>
      </c>
      <c r="B303" s="136" t="str">
        <f>IFERROR(__xludf.DUMMYFUNCTION("""COMPUTED_VALUE"""),"Ethan Gu")</f>
        <v>Ethan Gu</v>
      </c>
      <c r="C303" s="137">
        <f t="shared" si="101"/>
        <v>19</v>
      </c>
      <c r="D303" s="138"/>
      <c r="E303" s="26"/>
      <c r="F303" s="27"/>
      <c r="G303" s="137">
        <f t="shared" si="102"/>
        <v>19</v>
      </c>
      <c r="H303" s="138"/>
      <c r="I303" s="26"/>
      <c r="J303" s="27"/>
    </row>
    <row r="304">
      <c r="A304" s="135">
        <f t="shared" si="103"/>
        <v>20</v>
      </c>
      <c r="B304" s="136" t="str">
        <f>IFERROR(__xludf.DUMMYFUNCTION("""COMPUTED_VALUE"""),"Frank Moon")</f>
        <v>Frank Moon</v>
      </c>
      <c r="C304" s="137">
        <f t="shared" si="101"/>
        <v>20</v>
      </c>
      <c r="D304" s="138"/>
      <c r="E304" s="26"/>
      <c r="F304" s="27"/>
      <c r="G304" s="137">
        <f t="shared" si="102"/>
        <v>20</v>
      </c>
      <c r="H304" s="138"/>
      <c r="I304" s="26"/>
      <c r="J304" s="27"/>
    </row>
    <row r="305">
      <c r="A305" s="135">
        <f t="shared" si="103"/>
        <v>21</v>
      </c>
      <c r="B305" s="136" t="str">
        <f>IFERROR(__xludf.DUMMYFUNCTION("""COMPUTED_VALUE"""),"Herman Au")</f>
        <v>Herman Au</v>
      </c>
      <c r="C305" s="137">
        <f t="shared" si="101"/>
        <v>21</v>
      </c>
      <c r="D305" s="138"/>
      <c r="E305" s="26"/>
      <c r="F305" s="27"/>
      <c r="G305" s="137">
        <f t="shared" si="102"/>
        <v>21</v>
      </c>
      <c r="H305" s="138"/>
      <c r="I305" s="26"/>
      <c r="J305" s="27"/>
    </row>
    <row r="306">
      <c r="A306" s="135">
        <f t="shared" si="103"/>
        <v>22</v>
      </c>
      <c r="B306" s="136" t="str">
        <f>IFERROR(__xludf.DUMMYFUNCTION("""COMPUTED_VALUE"""),"Hongyuan Wen")</f>
        <v>Hongyuan Wen</v>
      </c>
      <c r="C306" s="137">
        <f t="shared" si="101"/>
        <v>22</v>
      </c>
      <c r="D306" s="138"/>
      <c r="E306" s="26"/>
      <c r="F306" s="27"/>
      <c r="G306" s="137">
        <f t="shared" si="102"/>
        <v>22</v>
      </c>
      <c r="H306" s="138"/>
      <c r="I306" s="26"/>
      <c r="J306" s="27"/>
    </row>
    <row r="307">
      <c r="A307" s="135">
        <f t="shared" si="103"/>
        <v>23</v>
      </c>
      <c r="B307" s="136" t="str">
        <f>IFERROR(__xludf.DUMMYFUNCTION("""COMPUTED_VALUE"""),"Jaya Sogata")</f>
        <v>Jaya Sogata</v>
      </c>
      <c r="C307" s="137">
        <f t="shared" si="101"/>
        <v>23</v>
      </c>
      <c r="D307" s="138"/>
      <c r="E307" s="26"/>
      <c r="F307" s="27"/>
      <c r="G307" s="137">
        <f t="shared" si="102"/>
        <v>23</v>
      </c>
      <c r="H307" s="138"/>
      <c r="I307" s="26"/>
      <c r="J307" s="27"/>
    </row>
    <row r="308">
      <c r="A308" s="135">
        <f t="shared" si="103"/>
        <v>24</v>
      </c>
      <c r="B308" s="136" t="str">
        <f>IFERROR(__xludf.DUMMYFUNCTION("""COMPUTED_VALUE"""),"Jim Miao")</f>
        <v>Jim Miao</v>
      </c>
      <c r="C308" s="137">
        <f t="shared" si="101"/>
        <v>24</v>
      </c>
      <c r="D308" s="138"/>
      <c r="E308" s="26"/>
      <c r="F308" s="27"/>
      <c r="G308" s="137">
        <f t="shared" si="102"/>
        <v>24</v>
      </c>
      <c r="H308" s="138"/>
      <c r="I308" s="26"/>
      <c r="J308" s="27"/>
    </row>
    <row r="309">
      <c r="A309" s="135">
        <f t="shared" si="103"/>
        <v>25</v>
      </c>
      <c r="B309" s="136" t="str">
        <f>IFERROR(__xludf.DUMMYFUNCTION("""COMPUTED_VALUE"""),"Jimmy Awolesi")</f>
        <v>Jimmy Awolesi</v>
      </c>
      <c r="C309" s="137">
        <f t="shared" si="101"/>
        <v>25</v>
      </c>
      <c r="D309" s="138"/>
      <c r="E309" s="26"/>
      <c r="F309" s="27"/>
      <c r="G309" s="137">
        <f t="shared" si="102"/>
        <v>25</v>
      </c>
      <c r="H309" s="138"/>
      <c r="I309" s="26"/>
      <c r="J309" s="27"/>
    </row>
    <row r="310">
      <c r="A310" s="135">
        <f t="shared" si="103"/>
        <v>26</v>
      </c>
      <c r="B310" s="136" t="str">
        <f>IFERROR(__xludf.DUMMYFUNCTION("""COMPUTED_VALUE"""),"Joe Luzzi")</f>
        <v>Joe Luzzi</v>
      </c>
      <c r="C310" s="137">
        <f t="shared" si="101"/>
        <v>26</v>
      </c>
      <c r="D310" s="138"/>
      <c r="E310" s="26"/>
      <c r="F310" s="27"/>
      <c r="G310" s="137">
        <f t="shared" si="102"/>
        <v>26</v>
      </c>
      <c r="H310" s="138"/>
      <c r="I310" s="26"/>
      <c r="J310" s="27"/>
    </row>
    <row r="311">
      <c r="A311" s="135">
        <f t="shared" si="103"/>
        <v>27</v>
      </c>
      <c r="B311" s="136" t="str">
        <f>IFERROR(__xludf.DUMMYFUNCTION("""COMPUTED_VALUE"""),"Jonathan Phan")</f>
        <v>Jonathan Phan</v>
      </c>
      <c r="C311" s="137">
        <f t="shared" si="101"/>
        <v>27</v>
      </c>
      <c r="D311" s="138"/>
      <c r="E311" s="26"/>
      <c r="F311" s="27"/>
      <c r="G311" s="137">
        <f t="shared" si="102"/>
        <v>27</v>
      </c>
      <c r="H311" s="138"/>
      <c r="I311" s="26"/>
      <c r="J311" s="27"/>
    </row>
    <row r="312">
      <c r="A312" s="135">
        <f t="shared" si="103"/>
        <v>28</v>
      </c>
      <c r="B312" s="136" t="str">
        <f>IFERROR(__xludf.DUMMYFUNCTION("""COMPUTED_VALUE"""),"Joyce Zhu")</f>
        <v>Joyce Zhu</v>
      </c>
      <c r="C312" s="137">
        <f t="shared" si="101"/>
        <v>28</v>
      </c>
      <c r="D312" s="138"/>
      <c r="E312" s="26"/>
      <c r="F312" s="27"/>
      <c r="G312" s="137">
        <f t="shared" si="102"/>
        <v>28</v>
      </c>
      <c r="H312" s="138"/>
      <c r="I312" s="26"/>
      <c r="J312" s="27"/>
    </row>
    <row r="313">
      <c r="A313" s="135">
        <f t="shared" si="103"/>
        <v>29</v>
      </c>
      <c r="B313" s="136" t="str">
        <f>IFERROR(__xludf.DUMMYFUNCTION("""COMPUTED_VALUE"""),"Kumar Palakeel")</f>
        <v>Kumar Palakeel</v>
      </c>
      <c r="C313" s="137">
        <f t="shared" si="101"/>
        <v>29</v>
      </c>
      <c r="D313" s="138"/>
      <c r="E313" s="26"/>
      <c r="F313" s="27"/>
      <c r="G313" s="137">
        <f t="shared" si="102"/>
        <v>29</v>
      </c>
      <c r="H313" s="138"/>
      <c r="I313" s="26"/>
      <c r="J313" s="27"/>
    </row>
    <row r="314">
      <c r="A314" s="135">
        <f t="shared" si="103"/>
        <v>30</v>
      </c>
      <c r="B314" s="136" t="str">
        <f>IFERROR(__xludf.DUMMYFUNCTION("""COMPUTED_VALUE"""),"Lam Bui")</f>
        <v>Lam Bui</v>
      </c>
      <c r="C314" s="137">
        <f t="shared" si="101"/>
        <v>30</v>
      </c>
      <c r="D314" s="138"/>
      <c r="E314" s="26"/>
      <c r="F314" s="27"/>
      <c r="G314" s="137">
        <f t="shared" si="102"/>
        <v>30</v>
      </c>
      <c r="H314" s="138"/>
      <c r="I314" s="26"/>
      <c r="J314" s="27"/>
    </row>
    <row r="315">
      <c r="A315" s="135">
        <f t="shared" si="103"/>
        <v>31</v>
      </c>
      <c r="B315" s="136" t="str">
        <f>IFERROR(__xludf.DUMMYFUNCTION("""COMPUTED_VALUE"""),"Lenin Belangonda")</f>
        <v>Lenin Belangonda</v>
      </c>
      <c r="C315" s="137">
        <f t="shared" si="101"/>
        <v>31</v>
      </c>
      <c r="D315" s="138"/>
      <c r="E315" s="26"/>
      <c r="F315" s="27"/>
      <c r="G315" s="137">
        <f t="shared" si="102"/>
        <v>31</v>
      </c>
      <c r="H315" s="138"/>
      <c r="I315" s="26"/>
      <c r="J315" s="27"/>
    </row>
    <row r="316">
      <c r="A316" s="135">
        <f t="shared" si="103"/>
        <v>32</v>
      </c>
      <c r="B316" s="136" t="str">
        <f>IFERROR(__xludf.DUMMYFUNCTION("""COMPUTED_VALUE"""),"Lloyd Sagar")</f>
        <v>Lloyd Sagar</v>
      </c>
      <c r="C316" s="137">
        <f t="shared" si="101"/>
        <v>32</v>
      </c>
      <c r="D316" s="138"/>
      <c r="E316" s="26"/>
      <c r="F316" s="27"/>
      <c r="G316" s="137">
        <f t="shared" si="102"/>
        <v>32</v>
      </c>
      <c r="H316" s="138"/>
      <c r="I316" s="26"/>
      <c r="J316" s="27"/>
    </row>
    <row r="317">
      <c r="A317" s="135">
        <f t="shared" si="103"/>
        <v>33</v>
      </c>
      <c r="B317" s="136" t="str">
        <f>IFERROR(__xludf.DUMMYFUNCTION("""COMPUTED_VALUE"""),"Luis Hsu")</f>
        <v>Luis Hsu</v>
      </c>
      <c r="C317" s="137">
        <f t="shared" si="101"/>
        <v>33</v>
      </c>
      <c r="D317" s="138"/>
      <c r="E317" s="26"/>
      <c r="F317" s="27"/>
      <c r="G317" s="137">
        <f t="shared" si="102"/>
        <v>33</v>
      </c>
      <c r="H317" s="138"/>
      <c r="I317" s="26"/>
      <c r="J317" s="27"/>
    </row>
    <row r="318">
      <c r="A318" s="135">
        <f t="shared" si="103"/>
        <v>34</v>
      </c>
      <c r="B318" s="136" t="str">
        <f>IFERROR(__xludf.DUMMYFUNCTION("""COMPUTED_VALUE"""),"Manish Anand")</f>
        <v>Manish Anand</v>
      </c>
      <c r="C318" s="137">
        <f t="shared" si="101"/>
        <v>34</v>
      </c>
      <c r="D318" s="138"/>
      <c r="E318" s="26"/>
      <c r="F318" s="27"/>
      <c r="G318" s="137">
        <f t="shared" si="102"/>
        <v>34</v>
      </c>
      <c r="H318" s="138"/>
      <c r="I318" s="26"/>
      <c r="J318" s="27"/>
    </row>
    <row r="319">
      <c r="A319" s="135">
        <f t="shared" si="103"/>
        <v>35</v>
      </c>
      <c r="B319" s="136" t="str">
        <f>IFERROR(__xludf.DUMMYFUNCTION("""COMPUTED_VALUE"""),"Manuel Rivera")</f>
        <v>Manuel Rivera</v>
      </c>
      <c r="C319" s="137">
        <f t="shared" si="101"/>
        <v>35</v>
      </c>
      <c r="D319" s="138"/>
      <c r="E319" s="26"/>
      <c r="F319" s="27"/>
      <c r="G319" s="137">
        <f t="shared" si="102"/>
        <v>35</v>
      </c>
      <c r="H319" s="138"/>
      <c r="I319" s="26"/>
      <c r="J319" s="27"/>
    </row>
    <row r="320">
      <c r="A320" s="135">
        <f t="shared" si="103"/>
        <v>36</v>
      </c>
      <c r="B320" s="136" t="str">
        <f>IFERROR(__xludf.DUMMYFUNCTION("""COMPUTED_VALUE"""),"Matthew Huang")</f>
        <v>Matthew Huang</v>
      </c>
      <c r="C320" s="137">
        <f t="shared" si="101"/>
        <v>36</v>
      </c>
      <c r="D320" s="138"/>
      <c r="E320" s="26"/>
      <c r="F320" s="27"/>
      <c r="G320" s="137">
        <f t="shared" si="102"/>
        <v>36</v>
      </c>
      <c r="H320" s="138"/>
      <c r="I320" s="26"/>
      <c r="J320" s="27"/>
    </row>
    <row r="321">
      <c r="A321" s="135">
        <f t="shared" si="103"/>
        <v>37</v>
      </c>
      <c r="B321" s="136" t="str">
        <f>IFERROR(__xludf.DUMMYFUNCTION("""COMPUTED_VALUE"""),"Mauricio Palacios")</f>
        <v>Mauricio Palacios</v>
      </c>
      <c r="C321" s="137">
        <f t="shared" si="101"/>
        <v>37</v>
      </c>
      <c r="D321" s="138"/>
      <c r="E321" s="26"/>
      <c r="F321" s="27"/>
      <c r="G321" s="137">
        <f t="shared" si="102"/>
        <v>37</v>
      </c>
      <c r="H321" s="138"/>
      <c r="I321" s="26"/>
      <c r="J321" s="27"/>
    </row>
    <row r="322">
      <c r="A322" s="135">
        <f t="shared" si="103"/>
        <v>38</v>
      </c>
      <c r="B322" s="136" t="str">
        <f>IFERROR(__xludf.DUMMYFUNCTION("""COMPUTED_VALUE"""),"Naveen Raj")</f>
        <v>Naveen Raj</v>
      </c>
      <c r="C322" s="137">
        <f t="shared" si="101"/>
        <v>38</v>
      </c>
      <c r="D322" s="138"/>
      <c r="E322" s="26"/>
      <c r="F322" s="27"/>
      <c r="G322" s="137">
        <f t="shared" si="102"/>
        <v>38</v>
      </c>
      <c r="H322" s="138"/>
      <c r="I322" s="26"/>
      <c r="J322" s="27"/>
    </row>
    <row r="323">
      <c r="A323" s="135">
        <f t="shared" si="103"/>
        <v>39</v>
      </c>
      <c r="B323" s="136" t="str">
        <f>IFERROR(__xludf.DUMMYFUNCTION("""COMPUTED_VALUE"""),"Nicole Ni")</f>
        <v>Nicole Ni</v>
      </c>
      <c r="C323" s="137">
        <f t="shared" si="101"/>
        <v>39</v>
      </c>
      <c r="D323" s="138"/>
      <c r="E323" s="26"/>
      <c r="F323" s="27"/>
      <c r="G323" s="137">
        <f t="shared" si="102"/>
        <v>39</v>
      </c>
      <c r="H323" s="138"/>
      <c r="I323" s="26"/>
      <c r="J323" s="27"/>
    </row>
    <row r="324">
      <c r="A324" s="135">
        <f t="shared" si="103"/>
        <v>40</v>
      </c>
      <c r="B324" s="136" t="str">
        <f>IFERROR(__xludf.DUMMYFUNCTION("""COMPUTED_VALUE"""),"Oscar Bonilla")</f>
        <v>Oscar Bonilla</v>
      </c>
      <c r="C324" s="137">
        <f t="shared" si="101"/>
        <v>40</v>
      </c>
      <c r="D324" s="138"/>
      <c r="E324" s="26"/>
      <c r="F324" s="27"/>
      <c r="G324" s="137">
        <f t="shared" si="102"/>
        <v>40</v>
      </c>
      <c r="H324" s="138"/>
      <c r="I324" s="26"/>
      <c r="J324" s="27"/>
    </row>
    <row r="325">
      <c r="A325" s="135">
        <f t="shared" si="103"/>
        <v>41</v>
      </c>
      <c r="B325" s="136" t="str">
        <f>IFERROR(__xludf.DUMMYFUNCTION("""COMPUTED_VALUE"""),"Pavan Akkimsetty")</f>
        <v>Pavan Akkimsetty</v>
      </c>
      <c r="C325" s="137">
        <f t="shared" si="101"/>
        <v>41</v>
      </c>
      <c r="D325" s="138"/>
      <c r="E325" s="26"/>
      <c r="F325" s="27"/>
      <c r="G325" s="137">
        <f t="shared" si="102"/>
        <v>41</v>
      </c>
      <c r="H325" s="138"/>
      <c r="I325" s="26"/>
      <c r="J325" s="27"/>
    </row>
    <row r="326">
      <c r="A326" s="135">
        <f t="shared" si="103"/>
        <v>42</v>
      </c>
      <c r="B326" s="136" t="str">
        <f>IFERROR(__xludf.DUMMYFUNCTION("""COMPUTED_VALUE"""),"Pulkit Mathur")</f>
        <v>Pulkit Mathur</v>
      </c>
      <c r="C326" s="137">
        <f t="shared" si="101"/>
        <v>42</v>
      </c>
      <c r="D326" s="138"/>
      <c r="E326" s="26"/>
      <c r="F326" s="27"/>
      <c r="G326" s="137">
        <f t="shared" si="102"/>
        <v>42</v>
      </c>
      <c r="H326" s="138"/>
      <c r="I326" s="26"/>
      <c r="J326" s="27"/>
    </row>
    <row r="327">
      <c r="A327" s="135">
        <f t="shared" si="103"/>
        <v>43</v>
      </c>
      <c r="B327" s="136" t="str">
        <f>IFERROR(__xludf.DUMMYFUNCTION("""COMPUTED_VALUE"""),"Rajasekar Ramasamy")</f>
        <v>Rajasekar Ramasamy</v>
      </c>
      <c r="C327" s="137">
        <f t="shared" si="101"/>
        <v>43</v>
      </c>
      <c r="D327" s="138"/>
      <c r="E327" s="26"/>
      <c r="F327" s="27"/>
      <c r="G327" s="137">
        <f t="shared" si="102"/>
        <v>43</v>
      </c>
      <c r="H327" s="138"/>
      <c r="I327" s="26"/>
      <c r="J327" s="27"/>
    </row>
    <row r="328">
      <c r="A328" s="135">
        <f t="shared" si="103"/>
        <v>44</v>
      </c>
      <c r="B328" s="136" t="str">
        <f>IFERROR(__xludf.DUMMYFUNCTION("""COMPUTED_VALUE"""),"Rajesh Dorairaj")</f>
        <v>Rajesh Dorairaj</v>
      </c>
      <c r="C328" s="137">
        <f t="shared" si="101"/>
        <v>44</v>
      </c>
      <c r="D328" s="138"/>
      <c r="E328" s="26"/>
      <c r="F328" s="27"/>
      <c r="G328" s="137">
        <f t="shared" si="102"/>
        <v>44</v>
      </c>
      <c r="H328" s="138"/>
      <c r="I328" s="26"/>
      <c r="J328" s="27"/>
    </row>
    <row r="329">
      <c r="A329" s="135">
        <f t="shared" si="103"/>
        <v>45</v>
      </c>
      <c r="B329" s="136" t="str">
        <f>IFERROR(__xludf.DUMMYFUNCTION("""COMPUTED_VALUE"""),"Ramesh Bandaru")</f>
        <v>Ramesh Bandaru</v>
      </c>
      <c r="C329" s="137">
        <f t="shared" si="101"/>
        <v>45</v>
      </c>
      <c r="D329" s="138"/>
      <c r="E329" s="26"/>
      <c r="F329" s="27"/>
      <c r="G329" s="137">
        <f t="shared" si="102"/>
        <v>45</v>
      </c>
      <c r="H329" s="138"/>
      <c r="I329" s="26"/>
      <c r="J329" s="27"/>
    </row>
    <row r="330">
      <c r="A330" s="135">
        <f t="shared" si="103"/>
        <v>46</v>
      </c>
      <c r="B330" s="136" t="str">
        <f>IFERROR(__xludf.DUMMYFUNCTION("""COMPUTED_VALUE"""),"Ranjith Doraiswamy")</f>
        <v>Ranjith Doraiswamy</v>
      </c>
      <c r="C330" s="137">
        <f t="shared" si="101"/>
        <v>46</v>
      </c>
      <c r="D330" s="138"/>
      <c r="E330" s="26"/>
      <c r="F330" s="27"/>
      <c r="G330" s="137">
        <f t="shared" si="102"/>
        <v>46</v>
      </c>
      <c r="H330" s="138"/>
      <c r="I330" s="26"/>
      <c r="J330" s="27"/>
    </row>
    <row r="331">
      <c r="A331" s="135">
        <f t="shared" si="103"/>
        <v>47</v>
      </c>
      <c r="B331" s="136" t="str">
        <f>IFERROR(__xludf.DUMMYFUNCTION("""COMPUTED_VALUE"""),"Robert Chang")</f>
        <v>Robert Chang</v>
      </c>
      <c r="C331" s="137">
        <f t="shared" si="101"/>
        <v>47</v>
      </c>
      <c r="D331" s="138"/>
      <c r="E331" s="26"/>
      <c r="F331" s="27"/>
      <c r="G331" s="137">
        <f t="shared" si="102"/>
        <v>47</v>
      </c>
      <c r="H331" s="138"/>
      <c r="I331" s="26"/>
      <c r="J331" s="27"/>
    </row>
    <row r="332">
      <c r="A332" s="135">
        <f t="shared" si="103"/>
        <v>48</v>
      </c>
      <c r="B332" s="136" t="str">
        <f>IFERROR(__xludf.DUMMYFUNCTION("""COMPUTED_VALUE"""),"Ruben Ron")</f>
        <v>Ruben Ron</v>
      </c>
      <c r="C332" s="137">
        <f t="shared" si="101"/>
        <v>48</v>
      </c>
      <c r="D332" s="138"/>
      <c r="E332" s="26"/>
      <c r="F332" s="27"/>
      <c r="G332" s="137">
        <f t="shared" si="102"/>
        <v>48</v>
      </c>
      <c r="H332" s="138"/>
      <c r="I332" s="26"/>
      <c r="J332" s="27"/>
    </row>
    <row r="333">
      <c r="A333" s="135">
        <f t="shared" si="103"/>
        <v>49</v>
      </c>
      <c r="B333" s="136" t="str">
        <f>IFERROR(__xludf.DUMMYFUNCTION("""COMPUTED_VALUE"""),"Rudy Tatang")</f>
        <v>Rudy Tatang</v>
      </c>
      <c r="C333" s="137">
        <f t="shared" si="101"/>
        <v>49</v>
      </c>
      <c r="D333" s="138"/>
      <c r="E333" s="26"/>
      <c r="F333" s="27"/>
      <c r="G333" s="137">
        <f t="shared" si="102"/>
        <v>49</v>
      </c>
      <c r="H333" s="138"/>
      <c r="I333" s="26"/>
      <c r="J333" s="27"/>
    </row>
    <row r="334">
      <c r="A334" s="135">
        <f t="shared" si="103"/>
        <v>50</v>
      </c>
      <c r="B334" s="136" t="str">
        <f>IFERROR(__xludf.DUMMYFUNCTION("""COMPUTED_VALUE"""),"Sandeep Kamalon")</f>
        <v>Sandeep Kamalon</v>
      </c>
      <c r="C334" s="137">
        <f t="shared" si="101"/>
        <v>50</v>
      </c>
      <c r="D334" s="138"/>
      <c r="E334" s="26"/>
      <c r="F334" s="27"/>
      <c r="G334" s="137">
        <f t="shared" si="102"/>
        <v>50</v>
      </c>
      <c r="H334" s="138"/>
      <c r="I334" s="26"/>
      <c r="J334" s="27"/>
    </row>
    <row r="335">
      <c r="A335" s="135">
        <f t="shared" si="103"/>
        <v>51</v>
      </c>
      <c r="B335" s="136" t="str">
        <f>IFERROR(__xludf.DUMMYFUNCTION("""COMPUTED_VALUE"""),"Sanjaye Elayattu")</f>
        <v>Sanjaye Elayattu</v>
      </c>
      <c r="C335" s="137">
        <f t="shared" si="101"/>
        <v>51</v>
      </c>
      <c r="D335" s="138"/>
      <c r="E335" s="26"/>
      <c r="F335" s="27"/>
      <c r="G335" s="137">
        <f t="shared" si="102"/>
        <v>51</v>
      </c>
      <c r="H335" s="138"/>
      <c r="I335" s="26"/>
      <c r="J335" s="27"/>
    </row>
    <row r="336">
      <c r="A336" s="135">
        <f t="shared" si="103"/>
        <v>52</v>
      </c>
      <c r="B336" s="136" t="str">
        <f>IFERROR(__xludf.DUMMYFUNCTION("""COMPUTED_VALUE"""),"Santosh Sundaresan")</f>
        <v>Santosh Sundaresan</v>
      </c>
      <c r="C336" s="137">
        <f t="shared" si="101"/>
        <v>52</v>
      </c>
      <c r="D336" s="138"/>
      <c r="E336" s="26"/>
      <c r="F336" s="27"/>
      <c r="G336" s="137">
        <f t="shared" si="102"/>
        <v>52</v>
      </c>
      <c r="H336" s="138"/>
      <c r="I336" s="26"/>
      <c r="J336" s="27"/>
    </row>
    <row r="337">
      <c r="A337" s="135">
        <f t="shared" si="103"/>
        <v>53</v>
      </c>
      <c r="B337" s="136" t="str">
        <f>IFERROR(__xludf.DUMMYFUNCTION("""COMPUTED_VALUE"""),"Saravanan Veerapandian")</f>
        <v>Saravanan Veerapandian</v>
      </c>
      <c r="C337" s="137">
        <f t="shared" si="101"/>
        <v>53</v>
      </c>
      <c r="D337" s="138"/>
      <c r="E337" s="26"/>
      <c r="F337" s="27"/>
      <c r="G337" s="137">
        <f t="shared" si="102"/>
        <v>53</v>
      </c>
      <c r="H337" s="138"/>
      <c r="I337" s="26"/>
      <c r="J337" s="27"/>
    </row>
    <row r="338">
      <c r="A338" s="135">
        <f t="shared" si="103"/>
        <v>54</v>
      </c>
      <c r="B338" s="136" t="str">
        <f>IFERROR(__xludf.DUMMYFUNCTION("""COMPUTED_VALUE"""),"Scott Li")</f>
        <v>Scott Li</v>
      </c>
      <c r="C338" s="137">
        <f t="shared" si="101"/>
        <v>54</v>
      </c>
      <c r="D338" s="138"/>
      <c r="E338" s="26"/>
      <c r="F338" s="27"/>
      <c r="G338" s="137">
        <f t="shared" si="102"/>
        <v>54</v>
      </c>
      <c r="H338" s="138"/>
      <c r="I338" s="26"/>
      <c r="J338" s="27"/>
    </row>
    <row r="339">
      <c r="A339" s="135">
        <f t="shared" si="103"/>
        <v>55</v>
      </c>
      <c r="B339" s="136" t="str">
        <f>IFERROR(__xludf.DUMMYFUNCTION("""COMPUTED_VALUE"""),"Sean Chang")</f>
        <v>Sean Chang</v>
      </c>
      <c r="C339" s="137">
        <f t="shared" si="101"/>
        <v>55</v>
      </c>
      <c r="D339" s="138"/>
      <c r="E339" s="26"/>
      <c r="F339" s="27"/>
      <c r="G339" s="137">
        <f t="shared" si="102"/>
        <v>55</v>
      </c>
      <c r="H339" s="138"/>
      <c r="I339" s="26"/>
      <c r="J339" s="27"/>
    </row>
    <row r="340">
      <c r="A340" s="135">
        <f t="shared" si="103"/>
        <v>56</v>
      </c>
      <c r="B340" s="136" t="str">
        <f>IFERROR(__xludf.DUMMYFUNCTION("""COMPUTED_VALUE"""),"Suleman Alidina")</f>
        <v>Suleman Alidina</v>
      </c>
      <c r="C340" s="137">
        <f t="shared" si="101"/>
        <v>56</v>
      </c>
      <c r="D340" s="138"/>
      <c r="E340" s="26"/>
      <c r="F340" s="27"/>
      <c r="G340" s="137">
        <f t="shared" si="102"/>
        <v>56</v>
      </c>
      <c r="H340" s="138"/>
      <c r="I340" s="26"/>
      <c r="J340" s="27"/>
    </row>
    <row r="341">
      <c r="A341" s="135">
        <f t="shared" si="103"/>
        <v>57</v>
      </c>
      <c r="B341" s="136" t="str">
        <f>IFERROR(__xludf.DUMMYFUNCTION("""COMPUTED_VALUE"""),"Susanta Mishra")</f>
        <v>Susanta Mishra</v>
      </c>
      <c r="C341" s="137">
        <f t="shared" si="101"/>
        <v>57</v>
      </c>
      <c r="D341" s="138"/>
      <c r="E341" s="26"/>
      <c r="F341" s="27"/>
      <c r="G341" s="137">
        <f t="shared" si="102"/>
        <v>57</v>
      </c>
      <c r="H341" s="138"/>
      <c r="I341" s="26"/>
      <c r="J341" s="27"/>
    </row>
    <row r="342">
      <c r="A342" s="135">
        <f t="shared" si="103"/>
        <v>58</v>
      </c>
      <c r="B342" s="136" t="str">
        <f>IFERROR(__xludf.DUMMYFUNCTION("""COMPUTED_VALUE"""),"Ted Shen")</f>
        <v>Ted Shen</v>
      </c>
      <c r="C342" s="137">
        <f t="shared" si="101"/>
        <v>58</v>
      </c>
      <c r="D342" s="138"/>
      <c r="E342" s="26"/>
      <c r="F342" s="27"/>
      <c r="G342" s="137">
        <f t="shared" si="102"/>
        <v>58</v>
      </c>
      <c r="H342" s="138"/>
      <c r="I342" s="26"/>
      <c r="J342" s="27"/>
    </row>
    <row r="343">
      <c r="A343" s="135">
        <f t="shared" si="103"/>
        <v>59</v>
      </c>
      <c r="B343" s="136" t="str">
        <f>IFERROR(__xludf.DUMMYFUNCTION("""COMPUTED_VALUE"""),"Tina Hanson")</f>
        <v>Tina Hanson</v>
      </c>
      <c r="C343" s="137">
        <f t="shared" si="101"/>
        <v>59</v>
      </c>
      <c r="D343" s="138"/>
      <c r="E343" s="26"/>
      <c r="F343" s="27"/>
      <c r="G343" s="137">
        <f t="shared" si="102"/>
        <v>59</v>
      </c>
      <c r="H343" s="138"/>
      <c r="I343" s="26"/>
      <c r="J343" s="27"/>
    </row>
    <row r="344">
      <c r="A344" s="135">
        <f t="shared" si="103"/>
        <v>60</v>
      </c>
      <c r="B344" s="136" t="str">
        <f>IFERROR(__xludf.DUMMYFUNCTION("""COMPUTED_VALUE"""),"Tom Le")</f>
        <v>Tom Le</v>
      </c>
      <c r="C344" s="137">
        <f t="shared" si="101"/>
        <v>60</v>
      </c>
      <c r="D344" s="138"/>
      <c r="E344" s="26"/>
      <c r="F344" s="27"/>
      <c r="G344" s="137">
        <f t="shared" si="102"/>
        <v>60</v>
      </c>
      <c r="H344" s="138"/>
      <c r="I344" s="26"/>
      <c r="J344" s="27"/>
    </row>
    <row r="345">
      <c r="A345" s="135">
        <f t="shared" si="103"/>
        <v>61</v>
      </c>
      <c r="B345" s="136" t="str">
        <f>IFERROR(__xludf.DUMMYFUNCTION("""COMPUTED_VALUE"""),"Trish Newlin")</f>
        <v>Trish Newlin</v>
      </c>
      <c r="C345" s="137">
        <f t="shared" si="101"/>
        <v>61</v>
      </c>
      <c r="D345" s="138"/>
      <c r="E345" s="26"/>
      <c r="F345" s="27"/>
      <c r="G345" s="137">
        <f t="shared" si="102"/>
        <v>61</v>
      </c>
      <c r="H345" s="138"/>
      <c r="I345" s="26"/>
      <c r="J345" s="27"/>
    </row>
    <row r="346">
      <c r="A346" s="135">
        <f t="shared" si="103"/>
        <v>62</v>
      </c>
      <c r="B346" s="136" t="str">
        <f>IFERROR(__xludf.DUMMYFUNCTION("""COMPUTED_VALUE"""),"Troy Wong")</f>
        <v>Troy Wong</v>
      </c>
      <c r="C346" s="137">
        <f t="shared" si="101"/>
        <v>62</v>
      </c>
      <c r="D346" s="138"/>
      <c r="E346" s="26"/>
      <c r="F346" s="27"/>
      <c r="G346" s="137">
        <f t="shared" si="102"/>
        <v>62</v>
      </c>
      <c r="H346" s="138"/>
      <c r="I346" s="26"/>
      <c r="J346" s="27"/>
    </row>
    <row r="347">
      <c r="A347" s="135">
        <f t="shared" si="103"/>
        <v>63</v>
      </c>
      <c r="B347" s="136" t="str">
        <f>IFERROR(__xludf.DUMMYFUNCTION("""COMPUTED_VALUE"""),"Vicki Martinet")</f>
        <v>Vicki Martinet</v>
      </c>
      <c r="C347" s="137">
        <f t="shared" si="101"/>
        <v>63</v>
      </c>
      <c r="D347" s="138"/>
      <c r="E347" s="26"/>
      <c r="F347" s="27"/>
      <c r="G347" s="137">
        <f t="shared" si="102"/>
        <v>63</v>
      </c>
      <c r="H347" s="138"/>
      <c r="I347" s="26"/>
      <c r="J347" s="27"/>
    </row>
    <row r="348">
      <c r="A348" s="135">
        <f t="shared" si="103"/>
        <v>64</v>
      </c>
      <c r="B348" s="136" t="str">
        <f>IFERROR(__xludf.DUMMYFUNCTION("""COMPUTED_VALUE"""),"Vinaya Kajla")</f>
        <v>Vinaya Kajla</v>
      </c>
      <c r="C348" s="137">
        <f t="shared" si="101"/>
        <v>64</v>
      </c>
      <c r="D348" s="138"/>
      <c r="E348" s="26"/>
      <c r="F348" s="27"/>
      <c r="G348" s="137">
        <f t="shared" si="102"/>
        <v>64</v>
      </c>
      <c r="H348" s="138"/>
      <c r="I348" s="26"/>
      <c r="J348" s="27"/>
    </row>
    <row r="349">
      <c r="A349" s="135">
        <f t="shared" si="103"/>
        <v>65</v>
      </c>
      <c r="B349" s="136" t="str">
        <f>IFERROR(__xludf.DUMMYFUNCTION("""COMPUTED_VALUE"""),"Vinotkumar Nagappan")</f>
        <v>Vinotkumar Nagappan</v>
      </c>
      <c r="C349" s="137">
        <f t="shared" si="101"/>
        <v>65</v>
      </c>
      <c r="D349" s="138"/>
      <c r="E349" s="26"/>
      <c r="F349" s="27"/>
      <c r="G349" s="137">
        <f t="shared" si="102"/>
        <v>65</v>
      </c>
      <c r="H349" s="138"/>
      <c r="I349" s="26"/>
      <c r="J349" s="27"/>
    </row>
    <row r="350">
      <c r="A350" s="135">
        <f t="shared" si="103"/>
        <v>66</v>
      </c>
      <c r="B350" s="136" t="str">
        <f>IFERROR(__xludf.DUMMYFUNCTION("""COMPUTED_VALUE"""),"Vishnu Amarnath")</f>
        <v>Vishnu Amarnath</v>
      </c>
      <c r="C350" s="137">
        <f t="shared" si="101"/>
        <v>66</v>
      </c>
      <c r="D350" s="138"/>
      <c r="E350" s="26"/>
      <c r="F350" s="27"/>
      <c r="G350" s="137">
        <f t="shared" si="102"/>
        <v>66</v>
      </c>
      <c r="H350" s="138"/>
      <c r="I350" s="26"/>
      <c r="J350" s="27"/>
    </row>
    <row r="351">
      <c r="A351" s="135">
        <f t="shared" si="103"/>
        <v>67</v>
      </c>
      <c r="B351" s="136" t="str">
        <f>IFERROR(__xludf.DUMMYFUNCTION("""COMPUTED_VALUE"""),"Wayne Liu")</f>
        <v>Wayne Liu</v>
      </c>
      <c r="C351" s="137">
        <f t="shared" si="101"/>
        <v>67</v>
      </c>
      <c r="D351" s="138"/>
      <c r="E351" s="26"/>
      <c r="F351" s="27"/>
      <c r="G351" s="137">
        <f t="shared" si="102"/>
        <v>67</v>
      </c>
      <c r="H351" s="138"/>
      <c r="I351" s="26"/>
      <c r="J351" s="27"/>
    </row>
    <row r="352">
      <c r="A352" s="135">
        <f t="shared" si="103"/>
        <v>68</v>
      </c>
      <c r="B352" s="136"/>
      <c r="C352" s="137">
        <f t="shared" si="101"/>
        <v>68</v>
      </c>
      <c r="D352" s="138"/>
      <c r="E352" s="26"/>
      <c r="F352" s="27"/>
      <c r="G352" s="137">
        <f t="shared" si="102"/>
        <v>68</v>
      </c>
      <c r="H352" s="138"/>
      <c r="I352" s="26"/>
      <c r="J352" s="27"/>
    </row>
    <row r="353">
      <c r="A353" s="135">
        <f t="shared" si="103"/>
        <v>69</v>
      </c>
      <c r="B353" s="136"/>
      <c r="C353" s="137">
        <f t="shared" si="101"/>
        <v>69</v>
      </c>
      <c r="D353" s="138"/>
      <c r="E353" s="26"/>
      <c r="F353" s="27"/>
      <c r="G353" s="137">
        <f t="shared" si="102"/>
        <v>69</v>
      </c>
      <c r="H353" s="138"/>
      <c r="I353" s="26"/>
      <c r="J353" s="27"/>
    </row>
    <row r="354">
      <c r="A354" s="135">
        <f t="shared" si="103"/>
        <v>70</v>
      </c>
      <c r="B354" s="136"/>
      <c r="C354" s="137">
        <f t="shared" si="101"/>
        <v>70</v>
      </c>
      <c r="D354" s="138"/>
      <c r="E354" s="26"/>
      <c r="F354" s="27"/>
      <c r="G354" s="137">
        <f t="shared" si="102"/>
        <v>70</v>
      </c>
      <c r="H354" s="138"/>
      <c r="I354" s="26"/>
      <c r="J354" s="27"/>
    </row>
    <row r="355">
      <c r="A355" s="135">
        <f t="shared" si="103"/>
        <v>71</v>
      </c>
      <c r="B355" s="136"/>
      <c r="C355" s="137">
        <f t="shared" si="101"/>
        <v>71</v>
      </c>
      <c r="D355" s="138"/>
      <c r="E355" s="26"/>
      <c r="F355" s="27"/>
      <c r="G355" s="137">
        <f t="shared" si="102"/>
        <v>71</v>
      </c>
      <c r="H355" s="138"/>
      <c r="I355" s="26"/>
      <c r="J355" s="27"/>
    </row>
    <row r="356">
      <c r="A356" s="135">
        <f t="shared" si="103"/>
        <v>72</v>
      </c>
      <c r="B356" s="136"/>
      <c r="C356" s="137">
        <f t="shared" si="101"/>
        <v>72</v>
      </c>
      <c r="D356" s="138"/>
      <c r="E356" s="26"/>
      <c r="F356" s="27"/>
      <c r="G356" s="137">
        <f t="shared" si="102"/>
        <v>72</v>
      </c>
      <c r="H356" s="138"/>
      <c r="I356" s="26"/>
      <c r="J356" s="27"/>
    </row>
    <row r="357">
      <c r="A357" s="135">
        <f t="shared" si="103"/>
        <v>73</v>
      </c>
      <c r="B357" s="136"/>
      <c r="C357" s="137">
        <f t="shared" si="101"/>
        <v>73</v>
      </c>
      <c r="D357" s="138"/>
      <c r="E357" s="26"/>
      <c r="F357" s="27"/>
      <c r="G357" s="137">
        <f t="shared" si="102"/>
        <v>73</v>
      </c>
      <c r="H357" s="138"/>
      <c r="I357" s="26"/>
      <c r="J357" s="27"/>
    </row>
    <row r="358">
      <c r="A358" s="135">
        <f t="shared" si="103"/>
        <v>74</v>
      </c>
      <c r="B358" s="136"/>
      <c r="C358" s="137">
        <f t="shared" si="101"/>
        <v>74</v>
      </c>
      <c r="D358" s="138"/>
      <c r="E358" s="26"/>
      <c r="F358" s="27"/>
      <c r="G358" s="137">
        <f t="shared" si="102"/>
        <v>74</v>
      </c>
      <c r="H358" s="138"/>
      <c r="I358" s="26"/>
      <c r="J358" s="27"/>
    </row>
    <row r="359">
      <c r="A359" s="135">
        <f t="shared" si="103"/>
        <v>75</v>
      </c>
      <c r="B359" s="136"/>
      <c r="C359" s="137">
        <f t="shared" si="101"/>
        <v>75</v>
      </c>
      <c r="D359" s="138"/>
      <c r="E359" s="26"/>
      <c r="F359" s="27"/>
      <c r="G359" s="137">
        <f t="shared" si="102"/>
        <v>75</v>
      </c>
      <c r="H359" s="138"/>
      <c r="I359" s="26"/>
      <c r="J359" s="27"/>
    </row>
    <row r="360">
      <c r="A360" s="2"/>
      <c r="C360" s="2"/>
      <c r="D360" s="2"/>
      <c r="E360" s="2"/>
      <c r="F360" s="2"/>
    </row>
    <row r="361">
      <c r="A361" s="2"/>
      <c r="C361" s="2"/>
      <c r="D361" s="2"/>
      <c r="E361" s="2"/>
      <c r="F361" s="2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3:B133"/>
    <mergeCell ref="B213:C213"/>
    <mergeCell ref="D284:F284"/>
    <mergeCell ref="H284:J284"/>
    <mergeCell ref="H285:J285"/>
    <mergeCell ref="H288:J288"/>
    <mergeCell ref="H289:J289"/>
    <mergeCell ref="D285:F285"/>
    <mergeCell ref="D286:F286"/>
    <mergeCell ref="H286:J286"/>
    <mergeCell ref="D287:F287"/>
    <mergeCell ref="H287:J287"/>
    <mergeCell ref="D288:F288"/>
    <mergeCell ref="D289:F289"/>
    <mergeCell ref="D290:F290"/>
    <mergeCell ref="H290:J290"/>
    <mergeCell ref="D291:F291"/>
    <mergeCell ref="H291:J291"/>
    <mergeCell ref="D292:F292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49:F349"/>
    <mergeCell ref="D350:F350"/>
    <mergeCell ref="D351:F351"/>
    <mergeCell ref="D352:F352"/>
    <mergeCell ref="D353:F353"/>
    <mergeCell ref="D354:F354"/>
    <mergeCell ref="D355:F355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H357:J357"/>
    <mergeCell ref="H358:J358"/>
    <mergeCell ref="H359:J359"/>
    <mergeCell ref="H350:J350"/>
    <mergeCell ref="H351:J351"/>
    <mergeCell ref="H352:J352"/>
    <mergeCell ref="H353:J353"/>
    <mergeCell ref="H354:J354"/>
    <mergeCell ref="H355:J355"/>
    <mergeCell ref="H356:J356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4.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  <col customWidth="1" min="12" max="12" width="23.63"/>
    <col customWidth="1" hidden="1" min="13" max="13" width="5.38"/>
    <col customWidth="1" hidden="1" min="14" max="14" width="7.75"/>
    <col customWidth="1" hidden="1" min="15" max="15" width="10.0"/>
    <col customWidth="1" hidden="1" min="16" max="17" width="8.0"/>
    <col customWidth="1" min="18" max="18" width="3.75"/>
    <col customWidth="1" min="19" max="21" width="4.88"/>
    <col customWidth="1" min="22" max="22" width="5.25"/>
    <col customWidth="1" min="23" max="23" width="23.75"/>
    <col hidden="1" min="24" max="25" width="12.63"/>
    <col customWidth="1" hidden="1" min="26" max="26" width="19.75"/>
    <col hidden="1" min="27" max="27" width="12.63"/>
    <col customWidth="1" hidden="1" min="28" max="28" width="6.25"/>
    <col customWidth="1" min="30" max="30" width="8.63"/>
    <col customWidth="1" min="31" max="31" width="8.38"/>
  </cols>
  <sheetData>
    <row r="1">
      <c r="A1" s="1" t="s">
        <v>0</v>
      </c>
      <c r="B1" s="3" t="s">
        <v>1</v>
      </c>
      <c r="C1" s="6" t="s">
        <v>4</v>
      </c>
      <c r="D1" s="6" t="s">
        <v>6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6</v>
      </c>
      <c r="K1" s="13" t="s">
        <v>0</v>
      </c>
      <c r="L1" s="6" t="s">
        <v>16</v>
      </c>
      <c r="M1" s="16" t="s">
        <v>19</v>
      </c>
      <c r="N1" s="18" t="s">
        <v>23</v>
      </c>
      <c r="O1" s="18" t="s">
        <v>25</v>
      </c>
      <c r="P1" s="20" t="s">
        <v>26</v>
      </c>
      <c r="Q1" s="20" t="s">
        <v>28</v>
      </c>
      <c r="S1" s="6" t="s">
        <v>10</v>
      </c>
      <c r="T1" s="6" t="s">
        <v>11</v>
      </c>
      <c r="U1" s="6" t="s">
        <v>12</v>
      </c>
      <c r="V1" s="6" t="s">
        <v>6</v>
      </c>
      <c r="W1" s="21"/>
      <c r="X1" s="21"/>
      <c r="Y1" s="21"/>
      <c r="Z1" s="21"/>
      <c r="AA1" s="21" t="s">
        <v>31</v>
      </c>
      <c r="AB1" s="21"/>
      <c r="AC1" s="21"/>
      <c r="AF1" s="21"/>
      <c r="AG1" s="21"/>
      <c r="AH1" s="21"/>
      <c r="AJ1" s="21"/>
      <c r="AK1" s="21"/>
      <c r="AQ1" s="20" t="s">
        <v>32</v>
      </c>
      <c r="AR1" s="20" t="s">
        <v>26</v>
      </c>
      <c r="AS1" s="20" t="s">
        <v>33</v>
      </c>
    </row>
    <row r="2">
      <c r="A2" s="24">
        <v>1.0</v>
      </c>
      <c r="B2" s="28" t="str">
        <f>IFERROR(__xludf.DUMMYFUNCTION("QUERY(indirect(""'"" &amp; ""Current"" &amp; ""'!B5:F79""),""Select B, C, D, F where F = 1 or F = 2 "",0)"),"#N/A")</f>
        <v>#N/A</v>
      </c>
      <c r="C2" s="30"/>
      <c r="D2" s="30"/>
      <c r="E2" s="31"/>
      <c r="F2" s="24"/>
      <c r="G2" s="24"/>
      <c r="H2" s="24"/>
      <c r="I2" s="24">
        <f t="shared" ref="I2:I65" si="2">sum(F2:H2)</f>
        <v>0</v>
      </c>
      <c r="J2" s="24">
        <f>if(sum(F2:F5)=0,0,if(max(F2:F5)=F2,1,0)+if(max(G2:G5)=G2,1,0)+if(max(H2:H5)=H2,1,0))</f>
        <v>0</v>
      </c>
      <c r="K2" s="38">
        <f t="shared" ref="K2:K65" si="3">A2</f>
        <v>1</v>
      </c>
      <c r="L2" s="22"/>
      <c r="M2" s="24"/>
      <c r="N2" s="40"/>
      <c r="O2" s="2">
        <f>sum(N2:N5)</f>
        <v>0</v>
      </c>
      <c r="P2" s="28">
        <f t="shared" ref="P2:P45" si="4">countif(Z$73:Z$79,B2)</f>
        <v>0</v>
      </c>
      <c r="Q2" s="28">
        <f>sum(P2:P5)</f>
        <v>0</v>
      </c>
      <c r="S2" s="22" t="str">
        <f t="shared" ref="S2:U2" si="1">if(sum(F2:F5)=0,"",if(or(max(F2:F5)=6, max(F2:F5)=7),"G","E"))</f>
        <v/>
      </c>
      <c r="T2" s="22" t="str">
        <f t="shared" si="1"/>
        <v/>
      </c>
      <c r="U2" s="22" t="str">
        <f t="shared" si="1"/>
        <v/>
      </c>
      <c r="V2" s="22">
        <f>if(sum(F2:F5)=0,0,if(max(F2:F5)=F2,1,0)+if(max(G2:G5)=G2,1,0)+if(max(H2:H5)=H2,1,0))</f>
        <v>0</v>
      </c>
      <c r="W2" s="20" t="s">
        <v>57</v>
      </c>
      <c r="AA2" s="24" t="str">
        <f t="shared" ref="AA2:AA45" si="6">if(M2&lt;&gt;"","W" &amp; vlookup(B2,B$122:E$133,4,false),"D" &amp; vlookup(B2,B44:E75,4,false))</f>
        <v>#N/A</v>
      </c>
      <c r="AQ2" s="49">
        <f t="shared" ref="AQ2:AQ45" si="7">K2</f>
        <v>1</v>
      </c>
      <c r="AR2" s="22">
        <f t="shared" ref="AR2:AR45" si="8">P2</f>
        <v>0</v>
      </c>
      <c r="AS2" s="22">
        <f t="shared" ref="AS2:AS45" si="9">counta(B2)</f>
        <v>1</v>
      </c>
    </row>
    <row r="3">
      <c r="A3" s="24">
        <v>1.0</v>
      </c>
      <c r="B3" s="22"/>
      <c r="C3" s="30"/>
      <c r="D3" s="30"/>
      <c r="E3" s="31"/>
      <c r="F3" s="24"/>
      <c r="G3" s="24"/>
      <c r="H3" s="24"/>
      <c r="I3" s="24">
        <f t="shared" si="2"/>
        <v>0</v>
      </c>
      <c r="J3" s="24">
        <f>if(sum(F2:F5)=0,0,if(max(F2:F5)=F3,1,0)+if(max(G2:G5)=G3,1,0)+if(max(H2:H5)=H3,1,0))</f>
        <v>0</v>
      </c>
      <c r="K3" s="38">
        <f t="shared" si="3"/>
        <v>1</v>
      </c>
      <c r="L3" s="22"/>
      <c r="M3" s="24"/>
      <c r="N3" s="40"/>
      <c r="O3" s="2"/>
      <c r="P3" s="28">
        <f t="shared" si="4"/>
        <v>0</v>
      </c>
      <c r="S3" s="22" t="str">
        <f t="shared" ref="S3:U3" si="5">if(sum(F2:F5)=0,"",if(SUMPRODUCT(1/COUNTIF(F2:F5, F2:F5))=2,"G","E"))</f>
        <v/>
      </c>
      <c r="T3" s="22" t="str">
        <f t="shared" si="5"/>
        <v/>
      </c>
      <c r="U3" s="22" t="str">
        <f t="shared" si="5"/>
        <v/>
      </c>
      <c r="V3" s="22">
        <f>if(sum(F2:F5)=0,0,if(max(F2:F5)=F3,1,0)+if(max(G2:G5)=G3,1,0)+if(max(H2:H5)=H3,1,0))</f>
        <v>0</v>
      </c>
      <c r="W3" s="20" t="s">
        <v>70</v>
      </c>
      <c r="AA3" s="24" t="str">
        <f t="shared" si="6"/>
        <v>#N/A</v>
      </c>
      <c r="AD3" s="53" t="s">
        <v>31</v>
      </c>
      <c r="AE3" s="54" t="s">
        <v>71</v>
      </c>
      <c r="AQ3" s="49">
        <f t="shared" si="7"/>
        <v>1</v>
      </c>
      <c r="AR3" s="22">
        <f t="shared" si="8"/>
        <v>0</v>
      </c>
      <c r="AS3" s="22">
        <f t="shared" si="9"/>
        <v>0</v>
      </c>
    </row>
    <row r="4">
      <c r="A4" s="24">
        <v>1.0</v>
      </c>
      <c r="B4" s="22"/>
      <c r="C4" s="30"/>
      <c r="D4" s="30"/>
      <c r="E4" s="31"/>
      <c r="F4" s="24"/>
      <c r="G4" s="24"/>
      <c r="H4" s="24"/>
      <c r="I4" s="24">
        <f t="shared" si="2"/>
        <v>0</v>
      </c>
      <c r="J4" s="24">
        <f>if(sum(F2:F5)=0,0,if(max(F2:F5)=F4,1,0)+if(max(G2:G5)=G4,1,0)+if(max(H2:H5)=H4,1,0))</f>
        <v>0</v>
      </c>
      <c r="K4" s="38">
        <f t="shared" si="3"/>
        <v>1</v>
      </c>
      <c r="L4" s="22"/>
      <c r="M4" s="24"/>
      <c r="N4" s="40"/>
      <c r="O4" s="2"/>
      <c r="P4" s="28">
        <f t="shared" si="4"/>
        <v>0</v>
      </c>
      <c r="S4" s="22" t="str">
        <f t="shared" ref="S4:U4" si="10">if(sum(F2:F5)=0,"",if(and(max(F2:F5)=7, min(F2:F5)=6),"G",if(max(F2:F5)-min(F2:F5)&gt;=2,"G","E")))</f>
        <v/>
      </c>
      <c r="T4" s="22" t="str">
        <f t="shared" si="10"/>
        <v/>
      </c>
      <c r="U4" s="22" t="str">
        <f t="shared" si="10"/>
        <v/>
      </c>
      <c r="V4" s="22">
        <f>if(sum(F2:F5)=0,0,if(max(F2:F5)=F4,1,0)+if(max(G2:G5)=G4,1,0)+if(max(H2:H5)=H4,1,0))</f>
        <v>0</v>
      </c>
      <c r="W4" s="20" t="s">
        <v>76</v>
      </c>
      <c r="AA4" s="24" t="str">
        <f t="shared" si="6"/>
        <v>#N/A</v>
      </c>
      <c r="AD4" s="57">
        <v>1.0</v>
      </c>
      <c r="AE4" s="40" t="str">
        <f>IF(B2="", "X", IF(COUNTA(F2:H2)=0, "N", "Y"))</f>
        <v>#N/A</v>
      </c>
      <c r="AQ4" s="49">
        <f t="shared" si="7"/>
        <v>1</v>
      </c>
      <c r="AR4" s="22">
        <f t="shared" si="8"/>
        <v>0</v>
      </c>
      <c r="AS4" s="22">
        <f t="shared" si="9"/>
        <v>0</v>
      </c>
    </row>
    <row r="5">
      <c r="A5" s="24">
        <v>1.0</v>
      </c>
      <c r="B5" s="22"/>
      <c r="C5" s="30"/>
      <c r="D5" s="30"/>
      <c r="E5" s="31"/>
      <c r="F5" s="24"/>
      <c r="G5" s="24"/>
      <c r="H5" s="24"/>
      <c r="I5" s="24">
        <f t="shared" si="2"/>
        <v>0</v>
      </c>
      <c r="J5" s="24">
        <f>if(sum(F2:F5)=0,0,if(max(F2:F5)=F5,1,0)+if(max(G2:G5)=G5,1,0)+if(max(H2:H5)=H5,1,0))</f>
        <v>0</v>
      </c>
      <c r="K5" s="38">
        <f t="shared" si="3"/>
        <v>1</v>
      </c>
      <c r="L5" s="24"/>
      <c r="M5" s="24"/>
      <c r="N5" s="40"/>
      <c r="O5" s="2"/>
      <c r="P5" s="28">
        <f t="shared" si="4"/>
        <v>0</v>
      </c>
      <c r="S5" s="22" t="str">
        <f t="shared" ref="S5:U5" si="11">IF(COUNTIF(S2:S4, "") = 3, "", IF(COUNTIF(S2:S4, "G") = 3, "G", "E"))</f>
        <v/>
      </c>
      <c r="T5" s="22" t="str">
        <f t="shared" si="11"/>
        <v/>
      </c>
      <c r="U5" s="22" t="str">
        <f t="shared" si="11"/>
        <v/>
      </c>
      <c r="V5" s="22">
        <f>if(sum(F2:F5)=0,0,if(max(F2:F5)=F5,1,0)+if(max(G2:G5)=G5,1,0)+if(max(H2:H5)=H5,1,0))</f>
        <v>0</v>
      </c>
      <c r="W5" s="20" t="s">
        <v>83</v>
      </c>
      <c r="AA5" s="24" t="str">
        <f t="shared" si="6"/>
        <v>#N/A</v>
      </c>
      <c r="AD5" s="57">
        <v>2.0</v>
      </c>
      <c r="AE5" s="40" t="str">
        <f>IF(B6="", "X", IF(COUNTA(F6:H6)=0, "N", "Y"))</f>
        <v>X</v>
      </c>
      <c r="AQ5" s="49">
        <f t="shared" si="7"/>
        <v>1</v>
      </c>
      <c r="AR5" s="22">
        <f t="shared" si="8"/>
        <v>0</v>
      </c>
      <c r="AS5" s="22">
        <f t="shared" si="9"/>
        <v>0</v>
      </c>
    </row>
    <row r="6">
      <c r="A6" s="62">
        <v>2.0</v>
      </c>
      <c r="B6" s="63"/>
      <c r="C6" s="64"/>
      <c r="D6" s="64"/>
      <c r="E6" s="65"/>
      <c r="F6" s="62"/>
      <c r="G6" s="62"/>
      <c r="H6" s="62"/>
      <c r="I6" s="62">
        <f t="shared" si="2"/>
        <v>0</v>
      </c>
      <c r="J6" s="62">
        <f>if(sum(F6:F9)=0,0,if(max(F6:F9)=F6,1,0)+if(max(G6:G9)=G6,1,0)+if(max(H6:H9)=H6,1,0))</f>
        <v>0</v>
      </c>
      <c r="K6" s="68">
        <f t="shared" si="3"/>
        <v>2</v>
      </c>
      <c r="L6" s="63"/>
      <c r="M6" s="62"/>
      <c r="N6" s="69"/>
      <c r="O6" s="2">
        <f>sum(N6:N9)</f>
        <v>0</v>
      </c>
      <c r="P6" s="28">
        <f t="shared" si="4"/>
        <v>0</v>
      </c>
      <c r="Q6" s="28">
        <f>sum(P6:P9)</f>
        <v>0</v>
      </c>
      <c r="S6" s="22" t="str">
        <f t="shared" ref="S6:U6" si="12">if(sum(F6:F9)=0,"",if(or(max(F6:F9)=6, max(F6:F9)=7),"G","E"))</f>
        <v/>
      </c>
      <c r="T6" s="22" t="str">
        <f t="shared" si="12"/>
        <v/>
      </c>
      <c r="U6" s="22" t="str">
        <f t="shared" si="12"/>
        <v/>
      </c>
      <c r="V6" s="22">
        <f>if(sum(F6:F9)=0,0,if(max(F6:F9)=F6,1,0)+if(max(G6:G9)=G6,1,0)+if(max(H6:H9)=H6,1,0))</f>
        <v>0</v>
      </c>
      <c r="W6" s="73" t="s">
        <v>57</v>
      </c>
      <c r="AA6" s="62" t="str">
        <f t="shared" si="6"/>
        <v>#N/A</v>
      </c>
      <c r="AD6" s="57">
        <v>3.0</v>
      </c>
      <c r="AE6" s="40" t="str">
        <f>IF(B10="", "X", IF(COUNTA(F10:H10)=0, "N", "Y"))</f>
        <v>X</v>
      </c>
      <c r="AQ6" s="49">
        <f t="shared" si="7"/>
        <v>2</v>
      </c>
      <c r="AR6" s="63">
        <f t="shared" si="8"/>
        <v>0</v>
      </c>
      <c r="AS6" s="63">
        <f t="shared" si="9"/>
        <v>0</v>
      </c>
    </row>
    <row r="7">
      <c r="A7" s="62">
        <v>2.0</v>
      </c>
      <c r="B7" s="63"/>
      <c r="C7" s="64"/>
      <c r="D7" s="64"/>
      <c r="E7" s="65"/>
      <c r="F7" s="62"/>
      <c r="G7" s="62"/>
      <c r="H7" s="62"/>
      <c r="I7" s="62">
        <f t="shared" si="2"/>
        <v>0</v>
      </c>
      <c r="J7" s="62">
        <f>if(sum(F6:F9)=0,0,if(max(F6:F9)=F7,1,0)+if(max(G6:G9)=G7,1,0)+if(max(H6:H9)=H7,1,0))</f>
        <v>0</v>
      </c>
      <c r="K7" s="68">
        <f t="shared" si="3"/>
        <v>2</v>
      </c>
      <c r="L7" s="63"/>
      <c r="M7" s="62"/>
      <c r="N7" s="69"/>
      <c r="O7" s="2"/>
      <c r="P7" s="28">
        <f t="shared" si="4"/>
        <v>0</v>
      </c>
      <c r="S7" s="22" t="str">
        <f t="shared" ref="S7:U7" si="13">if(sum(F6:F9)=0,"",if(SUMPRODUCT(1/COUNTIF(F6:F9, F6:F9))=2,"G","E"))</f>
        <v/>
      </c>
      <c r="T7" s="22" t="str">
        <f t="shared" si="13"/>
        <v/>
      </c>
      <c r="U7" s="22" t="str">
        <f t="shared" si="13"/>
        <v/>
      </c>
      <c r="V7" s="22">
        <f>if(sum(F6:F9)=0,0,if(max(F6:F9)=F7,1,0)+if(max(G6:G9)=G7,1,0)+if(max(H6:H9)=H7,1,0))</f>
        <v>0</v>
      </c>
      <c r="W7" s="73" t="s">
        <v>70</v>
      </c>
      <c r="AA7" s="62" t="str">
        <f t="shared" si="6"/>
        <v>#N/A</v>
      </c>
      <c r="AD7" s="57">
        <v>4.0</v>
      </c>
      <c r="AE7" s="40" t="str">
        <f>IF(B14="", "X", IF(COUNTA(F14:H14)=0, "N", "Y"))</f>
        <v>X</v>
      </c>
      <c r="AQ7" s="49">
        <f t="shared" si="7"/>
        <v>2</v>
      </c>
      <c r="AR7" s="63">
        <f t="shared" si="8"/>
        <v>0</v>
      </c>
      <c r="AS7" s="63">
        <f t="shared" si="9"/>
        <v>0</v>
      </c>
    </row>
    <row r="8">
      <c r="A8" s="62">
        <v>2.0</v>
      </c>
      <c r="B8" s="73"/>
      <c r="C8" s="64"/>
      <c r="D8" s="64"/>
      <c r="E8" s="65"/>
      <c r="F8" s="62"/>
      <c r="G8" s="62"/>
      <c r="H8" s="62"/>
      <c r="I8" s="62">
        <f t="shared" si="2"/>
        <v>0</v>
      </c>
      <c r="J8" s="62">
        <f>if(sum(F6:F9)=0,0,if(max(F6:F9)=F8,1,0)+if(max(G6:G9)=G8,1,0)+if(max(H6:H9)=H8,1,0))</f>
        <v>0</v>
      </c>
      <c r="K8" s="68">
        <f t="shared" si="3"/>
        <v>2</v>
      </c>
      <c r="L8" s="63"/>
      <c r="M8" s="62"/>
      <c r="N8" s="69"/>
      <c r="O8" s="2"/>
      <c r="P8" s="28">
        <f t="shared" si="4"/>
        <v>0</v>
      </c>
      <c r="S8" s="22" t="str">
        <f t="shared" ref="S8:U8" si="14">if(sum(F6:F9)=0,"",if(and(max(F6:F9)=7, min(F6:F9)=6),"G",if(max(F6:F9)-min(F6:F9)&gt;=2,"G","E")))</f>
        <v/>
      </c>
      <c r="T8" s="22" t="str">
        <f t="shared" si="14"/>
        <v/>
      </c>
      <c r="U8" s="22" t="str">
        <f t="shared" si="14"/>
        <v/>
      </c>
      <c r="V8" s="22">
        <f>if(sum(F6:F9)=0,0,if(max(F6:F9)=F8,1,0)+if(max(G6:G9)=G8,1,0)+if(max(H6:H9)=H8,1,0))</f>
        <v>0</v>
      </c>
      <c r="W8" s="73" t="s">
        <v>76</v>
      </c>
      <c r="AA8" s="62" t="str">
        <f t="shared" si="6"/>
        <v>#N/A</v>
      </c>
      <c r="AD8" s="57">
        <v>5.0</v>
      </c>
      <c r="AE8" s="40" t="str">
        <f>IF(B18="", "X", IF(COUNTA(F18:H18)=0, "N", "Y"))</f>
        <v>X</v>
      </c>
      <c r="AQ8" s="49">
        <f t="shared" si="7"/>
        <v>2</v>
      </c>
      <c r="AR8" s="63">
        <f t="shared" si="8"/>
        <v>0</v>
      </c>
      <c r="AS8" s="63">
        <f t="shared" si="9"/>
        <v>0</v>
      </c>
    </row>
    <row r="9">
      <c r="A9" s="62">
        <v>2.0</v>
      </c>
      <c r="B9" s="63"/>
      <c r="C9" s="64"/>
      <c r="D9" s="64"/>
      <c r="E9" s="65"/>
      <c r="F9" s="62"/>
      <c r="G9" s="62"/>
      <c r="H9" s="62"/>
      <c r="I9" s="62">
        <f t="shared" si="2"/>
        <v>0</v>
      </c>
      <c r="J9" s="62">
        <f>if(sum(F6:F9)=0,0,if(max(F6:F9)=F9,1,0)+if(max(G6:G9)=G9,1,0)+if(max(H6:H9)=H9,1,0))</f>
        <v>0</v>
      </c>
      <c r="K9" s="68">
        <f t="shared" si="3"/>
        <v>2</v>
      </c>
      <c r="L9" s="62"/>
      <c r="M9" s="62"/>
      <c r="N9" s="69"/>
      <c r="O9" s="2"/>
      <c r="P9" s="28">
        <f t="shared" si="4"/>
        <v>0</v>
      </c>
      <c r="S9" s="22" t="str">
        <f t="shared" ref="S9:U9" si="15">IF(COUNTIF(S6:S8, "") = 3, "", IF(COUNTIF(S6:S8, "G") = 3, "G", "E"))</f>
        <v/>
      </c>
      <c r="T9" s="22" t="str">
        <f t="shared" si="15"/>
        <v/>
      </c>
      <c r="U9" s="22" t="str">
        <f t="shared" si="15"/>
        <v/>
      </c>
      <c r="V9" s="22">
        <f>if(sum(F6:F9)=0,0,if(max(F6:F9)=F9,1,0)+if(max(G6:G9)=G9,1,0)+if(max(H6:H9)=H9,1,0))</f>
        <v>0</v>
      </c>
      <c r="W9" s="79"/>
      <c r="AA9" s="62" t="str">
        <f t="shared" si="6"/>
        <v>#N/A</v>
      </c>
      <c r="AD9" s="57">
        <v>6.0</v>
      </c>
      <c r="AE9" s="40" t="str">
        <f>IF(B22="", "X", IF(COUNTA(F22:H22)=0, "N", "Y"))</f>
        <v>X</v>
      </c>
      <c r="AQ9" s="49">
        <f t="shared" si="7"/>
        <v>2</v>
      </c>
      <c r="AR9" s="63">
        <f t="shared" si="8"/>
        <v>0</v>
      </c>
      <c r="AS9" s="63">
        <f t="shared" si="9"/>
        <v>0</v>
      </c>
    </row>
    <row r="10">
      <c r="A10" s="24">
        <v>3.0</v>
      </c>
      <c r="B10" s="22"/>
      <c r="C10" s="30"/>
      <c r="D10" s="30"/>
      <c r="E10" s="31"/>
      <c r="F10" s="24"/>
      <c r="G10" s="24"/>
      <c r="H10" s="24"/>
      <c r="I10" s="24">
        <f t="shared" si="2"/>
        <v>0</v>
      </c>
      <c r="J10" s="24">
        <f>if(sum(F10:F13)=0,0,if(max(F10:F13)=F10,1,0)+if(max(G10:G13)=G10,1,0)+if(max(H10:H13)=H10,1,0))</f>
        <v>0</v>
      </c>
      <c r="K10" s="38">
        <f t="shared" si="3"/>
        <v>3</v>
      </c>
      <c r="L10" s="24"/>
      <c r="M10" s="24"/>
      <c r="N10" s="40"/>
      <c r="O10" s="2">
        <f>sum(N10:N13)</f>
        <v>0</v>
      </c>
      <c r="P10" s="28">
        <f t="shared" si="4"/>
        <v>0</v>
      </c>
      <c r="Q10" s="28">
        <f>sum(P10:P13)</f>
        <v>0</v>
      </c>
      <c r="S10" s="22" t="str">
        <f t="shared" ref="S10:U10" si="16">if(sum(F10:F13)=0,"",if(or(max(F10:F13)=6, max(F10:F13)=7),"G","E"))</f>
        <v/>
      </c>
      <c r="T10" s="22" t="str">
        <f t="shared" si="16"/>
        <v/>
      </c>
      <c r="U10" s="22" t="str">
        <f t="shared" si="16"/>
        <v/>
      </c>
      <c r="V10" s="22">
        <f>if(sum(F10:F13)=0,0,if(max(F10:F13)=F10,1,0)+if(max(G10:G13)=G10,1,0)+if(max(H10:H13)=H10,1,0))</f>
        <v>0</v>
      </c>
      <c r="W10" s="20" t="s">
        <v>57</v>
      </c>
      <c r="AA10" s="24" t="str">
        <f t="shared" si="6"/>
        <v>#N/A</v>
      </c>
      <c r="AD10" s="57">
        <v>7.0</v>
      </c>
      <c r="AE10" s="40" t="str">
        <f>IF(B26="", "X", IF(COUNTA(F26:H26)=0, "N", "Y"))</f>
        <v>X</v>
      </c>
      <c r="AQ10" s="49">
        <f t="shared" si="7"/>
        <v>3</v>
      </c>
      <c r="AR10" s="22">
        <f t="shared" si="8"/>
        <v>0</v>
      </c>
      <c r="AS10" s="22">
        <f t="shared" si="9"/>
        <v>0</v>
      </c>
    </row>
    <row r="11">
      <c r="A11" s="24">
        <v>3.0</v>
      </c>
      <c r="B11" s="22"/>
      <c r="C11" s="30"/>
      <c r="D11" s="30"/>
      <c r="E11" s="31"/>
      <c r="F11" s="24"/>
      <c r="G11" s="24"/>
      <c r="H11" s="24"/>
      <c r="I11" s="24">
        <f t="shared" si="2"/>
        <v>0</v>
      </c>
      <c r="J11" s="24">
        <f>if(sum(F10:F13)=0,0,if(max(F10:F13)=F11,1,0)+if(max(G10:G13)=G11,1,0)+if(max(H10:H13)=H11,1,0))</f>
        <v>0</v>
      </c>
      <c r="K11" s="38">
        <f t="shared" si="3"/>
        <v>3</v>
      </c>
      <c r="L11" s="22"/>
      <c r="M11" s="24"/>
      <c r="N11" s="40"/>
      <c r="O11" s="2"/>
      <c r="P11" s="28">
        <f t="shared" si="4"/>
        <v>0</v>
      </c>
      <c r="S11" s="22" t="str">
        <f t="shared" ref="S11:U11" si="17">if(sum(F10:F13)=0,"",if(SUMPRODUCT(1/COUNTIF(F10:F13, F10:F13))=2,"G","E"))</f>
        <v/>
      </c>
      <c r="T11" s="22" t="str">
        <f t="shared" si="17"/>
        <v/>
      </c>
      <c r="U11" s="22" t="str">
        <f t="shared" si="17"/>
        <v/>
      </c>
      <c r="V11" s="22">
        <f>if(sum(F10:F13)=0,0,if(max(F10:F13)=F11,1,0)+if(max(G10:G13)=G11,1,0)+if(max(H10:H13)=H11,1,0))</f>
        <v>0</v>
      </c>
      <c r="W11" s="20" t="s">
        <v>70</v>
      </c>
      <c r="AA11" s="24" t="str">
        <f t="shared" si="6"/>
        <v>#N/A</v>
      </c>
      <c r="AD11" s="57">
        <v>8.0</v>
      </c>
      <c r="AE11" s="40" t="str">
        <f>IF(B30="", "X", IF(COUNTA(F30:H30)=0, "N", "Y"))</f>
        <v>X</v>
      </c>
      <c r="AQ11" s="49">
        <f t="shared" si="7"/>
        <v>3</v>
      </c>
      <c r="AR11" s="22">
        <f t="shared" si="8"/>
        <v>0</v>
      </c>
      <c r="AS11" s="22">
        <f t="shared" si="9"/>
        <v>0</v>
      </c>
    </row>
    <row r="12">
      <c r="A12" s="24">
        <v>3.0</v>
      </c>
      <c r="B12" s="22"/>
      <c r="C12" s="30"/>
      <c r="D12" s="30"/>
      <c r="E12" s="31"/>
      <c r="F12" s="24"/>
      <c r="G12" s="24"/>
      <c r="H12" s="24"/>
      <c r="I12" s="24">
        <f t="shared" si="2"/>
        <v>0</v>
      </c>
      <c r="J12" s="24">
        <f>if(sum(F10:F13)=0,0,if(max(F10:F13)=F12,1,0)+if(max(G10:G13)=G12,1,0)+if(max(H10:H13)=H12,1,0))</f>
        <v>0</v>
      </c>
      <c r="K12" s="38">
        <f t="shared" si="3"/>
        <v>3</v>
      </c>
      <c r="L12" s="22"/>
      <c r="M12" s="24"/>
      <c r="N12" s="40"/>
      <c r="O12" s="2"/>
      <c r="P12" s="28">
        <f t="shared" si="4"/>
        <v>0</v>
      </c>
      <c r="S12" s="22" t="str">
        <f t="shared" ref="S12:U12" si="18">if(sum(F10:F13)=0,"",if(and(max(F10:F13)=7, min(F10:F13)=6),"G",if(max(F10:F13)-min(F10:F13)&gt;=2,"G","E")))</f>
        <v/>
      </c>
      <c r="T12" s="22" t="str">
        <f t="shared" si="18"/>
        <v/>
      </c>
      <c r="U12" s="22" t="str">
        <f t="shared" si="18"/>
        <v/>
      </c>
      <c r="V12" s="22">
        <f>if(sum(F10:F13)=0,0,if(max(F10:F13)=F12,1,0)+if(max(G10:G13)=G12,1,0)+if(max(H10:H13)=H12,1,0))</f>
        <v>0</v>
      </c>
      <c r="W12" s="20" t="s">
        <v>76</v>
      </c>
      <c r="AA12" s="24" t="str">
        <f t="shared" si="6"/>
        <v>#N/A</v>
      </c>
      <c r="AQ12" s="49">
        <f t="shared" si="7"/>
        <v>3</v>
      </c>
      <c r="AR12" s="22">
        <f t="shared" si="8"/>
        <v>0</v>
      </c>
      <c r="AS12" s="22">
        <f t="shared" si="9"/>
        <v>0</v>
      </c>
    </row>
    <row r="13">
      <c r="A13" s="24">
        <v>3.0</v>
      </c>
      <c r="B13" s="22"/>
      <c r="C13" s="30"/>
      <c r="D13" s="30"/>
      <c r="E13" s="31"/>
      <c r="F13" s="24"/>
      <c r="G13" s="24"/>
      <c r="H13" s="24"/>
      <c r="I13" s="24">
        <f t="shared" si="2"/>
        <v>0</v>
      </c>
      <c r="J13" s="24">
        <f>if(sum(F10:F13)=0,0,if(max(F10:F13)=F13,1,0)+if(max(G10:G13)=G13,1,0)+if(max(H10:H13)=H13,1,0))</f>
        <v>0</v>
      </c>
      <c r="K13" s="38">
        <f t="shared" si="3"/>
        <v>3</v>
      </c>
      <c r="L13" s="24"/>
      <c r="M13" s="24"/>
      <c r="N13" s="40"/>
      <c r="O13" s="2"/>
      <c r="P13" s="28">
        <f t="shared" si="4"/>
        <v>0</v>
      </c>
      <c r="S13" s="22" t="str">
        <f t="shared" ref="S13:U13" si="19">IF(COUNTIF(S10:S12, "") = 3, "", IF(COUNTIF(S10:S12, "G") = 3, "G", "E"))</f>
        <v/>
      </c>
      <c r="T13" s="22" t="str">
        <f t="shared" si="19"/>
        <v/>
      </c>
      <c r="U13" s="22" t="str">
        <f t="shared" si="19"/>
        <v/>
      </c>
      <c r="V13" s="22">
        <f>if(sum(F10:F13)=0,0,if(max(F10:F13)=F13,1,0)+if(max(G10:G13)=G13,1,0)+if(max(H10:H13)=H13,1,0))</f>
        <v>0</v>
      </c>
      <c r="AA13" s="24" t="str">
        <f t="shared" si="6"/>
        <v>#N/A</v>
      </c>
      <c r="AD13" s="83" t="s">
        <v>110</v>
      </c>
      <c r="AE13" s="84" t="s">
        <v>112</v>
      </c>
      <c r="AQ13" s="49">
        <f t="shared" si="7"/>
        <v>3</v>
      </c>
      <c r="AR13" s="22">
        <f t="shared" si="8"/>
        <v>0</v>
      </c>
      <c r="AS13" s="22">
        <f t="shared" si="9"/>
        <v>0</v>
      </c>
    </row>
    <row r="14">
      <c r="A14" s="62">
        <v>4.0</v>
      </c>
      <c r="B14" s="63"/>
      <c r="C14" s="64"/>
      <c r="D14" s="64"/>
      <c r="E14" s="65"/>
      <c r="F14" s="62"/>
      <c r="G14" s="62"/>
      <c r="H14" s="62"/>
      <c r="I14" s="62">
        <f t="shared" si="2"/>
        <v>0</v>
      </c>
      <c r="J14" s="62">
        <f>if(sum(F14:F17)=0,0,if(max(F14:F17)=F14,1,0)+if(max(G14:G17)=G14,1,0)+if(max(H14:H17)=H14,1,0))</f>
        <v>0</v>
      </c>
      <c r="K14" s="68">
        <f t="shared" si="3"/>
        <v>4</v>
      </c>
      <c r="L14" s="62"/>
      <c r="M14" s="62"/>
      <c r="N14" s="69"/>
      <c r="O14" s="2">
        <f>sum(N14:N17)</f>
        <v>0</v>
      </c>
      <c r="P14" s="28">
        <f t="shared" si="4"/>
        <v>0</v>
      </c>
      <c r="Q14" s="28">
        <f>sum(P14:P17)</f>
        <v>0</v>
      </c>
      <c r="S14" s="22" t="str">
        <f t="shared" ref="S14:U14" si="20">if(sum(F14:F17)=0,"",if(or(max(F14:F17)=6, max(F14:F17)=7),"G","E"))</f>
        <v/>
      </c>
      <c r="T14" s="22" t="str">
        <f t="shared" si="20"/>
        <v/>
      </c>
      <c r="U14" s="22" t="str">
        <f t="shared" si="20"/>
        <v/>
      </c>
      <c r="V14" s="22">
        <f>if(sum(F14:F17)=0,0,if(max(F14:F17)=F14,1,0)+if(max(G14:G17)=G14,1,0)+if(max(H14:H17)=H14,1,0))</f>
        <v>0</v>
      </c>
      <c r="W14" s="73" t="s">
        <v>57</v>
      </c>
      <c r="AA14" s="62" t="str">
        <f t="shared" si="6"/>
        <v>#N/A</v>
      </c>
      <c r="AD14" s="85"/>
      <c r="AE14" s="85"/>
      <c r="AQ14" s="49">
        <f t="shared" si="7"/>
        <v>4</v>
      </c>
      <c r="AR14" s="63">
        <f t="shared" si="8"/>
        <v>0</v>
      </c>
      <c r="AS14" s="63">
        <f t="shared" si="9"/>
        <v>0</v>
      </c>
    </row>
    <row r="15">
      <c r="A15" s="62">
        <v>4.0</v>
      </c>
      <c r="B15" s="63"/>
      <c r="C15" s="64"/>
      <c r="D15" s="64"/>
      <c r="E15" s="65"/>
      <c r="F15" s="62"/>
      <c r="G15" s="62"/>
      <c r="H15" s="62"/>
      <c r="I15" s="62">
        <f t="shared" si="2"/>
        <v>0</v>
      </c>
      <c r="J15" s="62">
        <f>if(sum(F14:F17)=0,0,if(max(F14:F17)=F15,1,0)+if(max(G14:G17)=G15,1,0)+if(max(H14:H17)=H15,1,0))</f>
        <v>0</v>
      </c>
      <c r="K15" s="68">
        <f t="shared" si="3"/>
        <v>4</v>
      </c>
      <c r="L15" s="63"/>
      <c r="M15" s="62"/>
      <c r="N15" s="69"/>
      <c r="O15" s="2"/>
      <c r="P15" s="28">
        <f t="shared" si="4"/>
        <v>0</v>
      </c>
      <c r="S15" s="22" t="str">
        <f t="shared" ref="S15:U15" si="21">if(sum(F14:F17)=0,"",if(SUMPRODUCT(1/COUNTIF(F14:F17, F14:F17))=2,"G","E"))</f>
        <v/>
      </c>
      <c r="T15" s="22" t="str">
        <f t="shared" si="21"/>
        <v/>
      </c>
      <c r="U15" s="22" t="str">
        <f t="shared" si="21"/>
        <v/>
      </c>
      <c r="V15" s="22">
        <f>if(sum(F14:F17)=0,0,if(max(F14:F17)=F15,1,0)+if(max(G14:G17)=G15,1,0)+if(max(H14:H17)=H15,1,0))</f>
        <v>0</v>
      </c>
      <c r="W15" s="73" t="s">
        <v>70</v>
      </c>
      <c r="AA15" s="62" t="str">
        <f t="shared" si="6"/>
        <v>#N/A</v>
      </c>
      <c r="AD15" s="22" t="str">
        <f>IFERROR(__xludf.DUMMYFUNCTION("IFERROR(QUERY(AD4:AE11, ""SELECT AD WHERE AE = 'N'"", 0), """")"),"")</f>
        <v/>
      </c>
      <c r="AE15" s="86" t="str">
        <f>IF(AND(COUNTIF(AE4:AE11, "N")=0, COUNTIF(AE4:AE11, "Y")&gt;0), "Y", "N")</f>
        <v>N</v>
      </c>
      <c r="AQ15" s="49">
        <f t="shared" si="7"/>
        <v>4</v>
      </c>
      <c r="AR15" s="63">
        <f t="shared" si="8"/>
        <v>0</v>
      </c>
      <c r="AS15" s="63">
        <f t="shared" si="9"/>
        <v>0</v>
      </c>
    </row>
    <row r="16">
      <c r="A16" s="62">
        <v>4.0</v>
      </c>
      <c r="B16" s="63"/>
      <c r="C16" s="64"/>
      <c r="D16" s="64"/>
      <c r="E16" s="65"/>
      <c r="F16" s="62"/>
      <c r="G16" s="62"/>
      <c r="H16" s="62"/>
      <c r="I16" s="62">
        <f t="shared" si="2"/>
        <v>0</v>
      </c>
      <c r="J16" s="62">
        <f>if(sum(F14:F17)=0,0,if(max(F14:F17)=F16,1,0)+if(max(G14:G17)=G16,1,0)+if(max(H14:H17)=H16,1,0))</f>
        <v>0</v>
      </c>
      <c r="K16" s="68">
        <f t="shared" si="3"/>
        <v>4</v>
      </c>
      <c r="L16" s="62"/>
      <c r="M16" s="62"/>
      <c r="N16" s="69"/>
      <c r="O16" s="2"/>
      <c r="P16" s="28">
        <f t="shared" si="4"/>
        <v>0</v>
      </c>
      <c r="S16" s="22" t="str">
        <f t="shared" ref="S16:U16" si="22">if(sum(F14:F17)=0,"",if(and(max(F14:F17)=7, min(F14:F17)=6),"G",if(max(F14:F17)-min(F14:F17)&gt;=2,"G","E")))</f>
        <v/>
      </c>
      <c r="T16" s="22" t="str">
        <f t="shared" si="22"/>
        <v/>
      </c>
      <c r="U16" s="22" t="str">
        <f t="shared" si="22"/>
        <v/>
      </c>
      <c r="V16" s="22">
        <f>if(sum(F14:F17)=0,0,if(max(F14:F17)=F16,1,0)+if(max(G14:G17)=G16,1,0)+if(max(H14:H17)=H16,1,0))</f>
        <v>0</v>
      </c>
      <c r="W16" s="73" t="s">
        <v>76</v>
      </c>
      <c r="AA16" s="62" t="str">
        <f t="shared" si="6"/>
        <v>#N/A</v>
      </c>
      <c r="AD16" s="22"/>
      <c r="AE16" s="22"/>
      <c r="AQ16" s="49">
        <f t="shared" si="7"/>
        <v>4</v>
      </c>
      <c r="AR16" s="63">
        <f t="shared" si="8"/>
        <v>0</v>
      </c>
      <c r="AS16" s="63">
        <f t="shared" si="9"/>
        <v>0</v>
      </c>
    </row>
    <row r="17">
      <c r="A17" s="62">
        <v>4.0</v>
      </c>
      <c r="B17" s="63"/>
      <c r="C17" s="64"/>
      <c r="D17" s="64"/>
      <c r="E17" s="65"/>
      <c r="F17" s="62"/>
      <c r="G17" s="62"/>
      <c r="H17" s="62"/>
      <c r="I17" s="62">
        <f t="shared" si="2"/>
        <v>0</v>
      </c>
      <c r="J17" s="62">
        <f>if(sum(F14:F17)=0,0,if(max(F14:F17)=F17,1,0)+if(max(G14:G17)=G17,1,0)+if(max(H14:H17)=H17,1,0))</f>
        <v>0</v>
      </c>
      <c r="K17" s="68">
        <f t="shared" si="3"/>
        <v>4</v>
      </c>
      <c r="L17" s="62"/>
      <c r="M17" s="62"/>
      <c r="N17" s="69"/>
      <c r="O17" s="2"/>
      <c r="P17" s="28">
        <f t="shared" si="4"/>
        <v>0</v>
      </c>
      <c r="S17" s="22" t="str">
        <f t="shared" ref="S17:U17" si="23">IF(COUNTIF(S14:S16, "") = 3, "", IF(COUNTIF(S14:S16, "G") = 3, "G", "E"))</f>
        <v/>
      </c>
      <c r="T17" s="22" t="str">
        <f t="shared" si="23"/>
        <v/>
      </c>
      <c r="U17" s="22" t="str">
        <f t="shared" si="23"/>
        <v/>
      </c>
      <c r="V17" s="22">
        <f>if(sum(F14:F17)=0,0,if(max(F14:F17)=F17,1,0)+if(max(G14:G17)=G17,1,0)+if(max(H14:H17)=H17,1,0))</f>
        <v>0</v>
      </c>
      <c r="W17" s="79"/>
      <c r="AA17" s="62" t="str">
        <f t="shared" si="6"/>
        <v>#N/A</v>
      </c>
      <c r="AD17" s="22"/>
      <c r="AE17" s="22"/>
      <c r="AQ17" s="49">
        <f t="shared" si="7"/>
        <v>4</v>
      </c>
      <c r="AR17" s="63">
        <f t="shared" si="8"/>
        <v>0</v>
      </c>
      <c r="AS17" s="63">
        <f t="shared" si="9"/>
        <v>0</v>
      </c>
    </row>
    <row r="18">
      <c r="A18" s="24">
        <v>5.0</v>
      </c>
      <c r="B18" s="22"/>
      <c r="C18" s="30"/>
      <c r="D18" s="30"/>
      <c r="E18" s="31"/>
      <c r="F18" s="24"/>
      <c r="G18" s="24"/>
      <c r="H18" s="24"/>
      <c r="I18" s="24">
        <f t="shared" si="2"/>
        <v>0</v>
      </c>
      <c r="J18" s="24">
        <f>if(sum(F18:F21)=0,0,if(max(F18:F21)=F18,1,0)+if(max(G18:G21)=G18,1,0)+if(max(H18:H21)=H18,1,0))</f>
        <v>0</v>
      </c>
      <c r="K18" s="38">
        <f t="shared" si="3"/>
        <v>5</v>
      </c>
      <c r="L18" s="24"/>
      <c r="M18" s="24"/>
      <c r="N18" s="40"/>
      <c r="O18" s="2">
        <f>sum(N18:N21)</f>
        <v>0</v>
      </c>
      <c r="P18" s="28">
        <f t="shared" si="4"/>
        <v>0</v>
      </c>
      <c r="Q18" s="28">
        <f>sum(P18:P21)</f>
        <v>0</v>
      </c>
      <c r="S18" s="22" t="str">
        <f t="shared" ref="S18:U18" si="24">if(sum(F18:F21)=0,"",if(or(max(F18:F21)=6, max(F18:F21)=7),"G","E"))</f>
        <v/>
      </c>
      <c r="T18" s="22" t="str">
        <f t="shared" si="24"/>
        <v/>
      </c>
      <c r="U18" s="22" t="str">
        <f t="shared" si="24"/>
        <v/>
      </c>
      <c r="V18" s="22">
        <f>if(sum(F18:F21)=0,0,if(max(F18:F21)=F18,1,0)+if(max(G18:G21)=G18,1,0)+if(max(H18:H21)=H18,1,0))</f>
        <v>0</v>
      </c>
      <c r="W18" s="20" t="s">
        <v>57</v>
      </c>
      <c r="AA18" s="24" t="str">
        <f t="shared" si="6"/>
        <v>#N/A</v>
      </c>
      <c r="AD18" s="22"/>
      <c r="AE18" s="22"/>
      <c r="AQ18" s="49">
        <f t="shared" si="7"/>
        <v>5</v>
      </c>
      <c r="AR18" s="22">
        <f t="shared" si="8"/>
        <v>0</v>
      </c>
      <c r="AS18" s="22">
        <f t="shared" si="9"/>
        <v>0</v>
      </c>
    </row>
    <row r="19">
      <c r="A19" s="24">
        <v>5.0</v>
      </c>
      <c r="B19" s="22"/>
      <c r="C19" s="30"/>
      <c r="D19" s="30"/>
      <c r="E19" s="31"/>
      <c r="F19" s="24"/>
      <c r="G19" s="24"/>
      <c r="H19" s="24"/>
      <c r="I19" s="24">
        <f t="shared" si="2"/>
        <v>0</v>
      </c>
      <c r="J19" s="24">
        <f>if(sum(F18:F21)=0,0,if(max(F18:F21)=F19,1,0)+if(max(G18:G21)=G19,1,0)+if(max(H18:H21)=H19,1,0))</f>
        <v>0</v>
      </c>
      <c r="K19" s="38">
        <f t="shared" si="3"/>
        <v>5</v>
      </c>
      <c r="L19" s="22"/>
      <c r="M19" s="24"/>
      <c r="N19" s="40"/>
      <c r="O19" s="2"/>
      <c r="P19" s="28">
        <f t="shared" si="4"/>
        <v>0</v>
      </c>
      <c r="S19" s="22" t="str">
        <f t="shared" ref="S19:U19" si="25">if(sum(F18:F21)=0,"",if(SUMPRODUCT(1/COUNTIF(F18:F21, F18:F21))=2,"G","E"))</f>
        <v/>
      </c>
      <c r="T19" s="22" t="str">
        <f t="shared" si="25"/>
        <v/>
      </c>
      <c r="U19" s="22" t="str">
        <f t="shared" si="25"/>
        <v/>
      </c>
      <c r="V19" s="22">
        <f>if(sum(F18:F21)=0,0,if(max(F18:F21)=F19,1,0)+if(max(G18:G21)=G19,1,0)+if(max(H18:H21)=H19,1,0))</f>
        <v>0</v>
      </c>
      <c r="W19" s="20" t="s">
        <v>70</v>
      </c>
      <c r="AA19" s="24" t="str">
        <f t="shared" si="6"/>
        <v>#N/A</v>
      </c>
      <c r="AD19" s="22"/>
      <c r="AE19" s="22"/>
      <c r="AQ19" s="49">
        <f t="shared" si="7"/>
        <v>5</v>
      </c>
      <c r="AR19" s="22">
        <f t="shared" si="8"/>
        <v>0</v>
      </c>
      <c r="AS19" s="22">
        <f t="shared" si="9"/>
        <v>0</v>
      </c>
    </row>
    <row r="20">
      <c r="A20" s="24">
        <v>5.0</v>
      </c>
      <c r="B20" s="22"/>
      <c r="C20" s="30"/>
      <c r="D20" s="30"/>
      <c r="E20" s="31"/>
      <c r="F20" s="24"/>
      <c r="G20" s="24"/>
      <c r="H20" s="24"/>
      <c r="I20" s="24">
        <f t="shared" si="2"/>
        <v>0</v>
      </c>
      <c r="J20" s="24">
        <f>if(sum(F18:F21)=0,0,if(max(F18:F21)=F20,1,0)+if(max(G18:G21)=G20,1,0)+if(max(H18:H21)=H20,1,0))</f>
        <v>0</v>
      </c>
      <c r="K20" s="38">
        <f t="shared" si="3"/>
        <v>5</v>
      </c>
      <c r="L20" s="22"/>
      <c r="M20" s="24"/>
      <c r="N20" s="40"/>
      <c r="O20" s="2"/>
      <c r="P20" s="28">
        <f t="shared" si="4"/>
        <v>0</v>
      </c>
      <c r="S20" s="22" t="str">
        <f t="shared" ref="S20:U20" si="26">if(sum(F18:F21)=0,"",if(and(max(F18:F21)=7, min(F18:F21)=6),"G",if(max(F18:F21)-min(F18:F21)&gt;=2,"G","E")))</f>
        <v/>
      </c>
      <c r="T20" s="22" t="str">
        <f t="shared" si="26"/>
        <v/>
      </c>
      <c r="U20" s="22" t="str">
        <f t="shared" si="26"/>
        <v/>
      </c>
      <c r="V20" s="22">
        <f>if(sum(F18:F21)=0,0,if(max(F18:F21)=F20,1,0)+if(max(G18:G21)=G20,1,0)+if(max(H18:H21)=H20,1,0))</f>
        <v>0</v>
      </c>
      <c r="W20" s="20" t="s">
        <v>76</v>
      </c>
      <c r="AA20" s="24" t="str">
        <f t="shared" si="6"/>
        <v>#N/A</v>
      </c>
      <c r="AD20" s="22"/>
      <c r="AE20" s="22"/>
      <c r="AQ20" s="49">
        <f t="shared" si="7"/>
        <v>5</v>
      </c>
      <c r="AR20" s="22">
        <f t="shared" si="8"/>
        <v>0</v>
      </c>
      <c r="AS20" s="22">
        <f t="shared" si="9"/>
        <v>0</v>
      </c>
    </row>
    <row r="21">
      <c r="A21" s="24">
        <v>5.0</v>
      </c>
      <c r="B21" s="22"/>
      <c r="C21" s="30"/>
      <c r="D21" s="30"/>
      <c r="E21" s="31"/>
      <c r="F21" s="24"/>
      <c r="G21" s="24"/>
      <c r="H21" s="24"/>
      <c r="I21" s="24">
        <f t="shared" si="2"/>
        <v>0</v>
      </c>
      <c r="J21" s="24">
        <f>if(sum(F18:F21)=0,0,if(max(F18:F21)=F21,1,0)+if(max(G18:G21)=G21,1,0)+if(max(H18:H21)=H21,1,0))</f>
        <v>0</v>
      </c>
      <c r="K21" s="38">
        <f t="shared" si="3"/>
        <v>5</v>
      </c>
      <c r="L21" s="24"/>
      <c r="M21" s="24"/>
      <c r="N21" s="40"/>
      <c r="O21" s="2"/>
      <c r="P21" s="28">
        <f t="shared" si="4"/>
        <v>0</v>
      </c>
      <c r="S21" s="22" t="str">
        <f t="shared" ref="S21:U21" si="27">IF(COUNTIF(S18:S20, "") = 3, "", IF(COUNTIF(S18:S20, "G") = 3, "G", "E"))</f>
        <v/>
      </c>
      <c r="T21" s="22" t="str">
        <f t="shared" si="27"/>
        <v/>
      </c>
      <c r="U21" s="22" t="str">
        <f t="shared" si="27"/>
        <v/>
      </c>
      <c r="V21" s="22">
        <f>if(sum(F18:F21)=0,0,if(max(F18:F21)=F21,1,0)+if(max(G18:G21)=G21,1,0)+if(max(H18:H21)=H21,1,0))</f>
        <v>0</v>
      </c>
      <c r="AA21" s="24" t="str">
        <f t="shared" si="6"/>
        <v>#N/A</v>
      </c>
      <c r="AD21" s="22"/>
      <c r="AE21" s="22"/>
      <c r="AQ21" s="49">
        <f t="shared" si="7"/>
        <v>5</v>
      </c>
      <c r="AR21" s="22">
        <f t="shared" si="8"/>
        <v>0</v>
      </c>
      <c r="AS21" s="22">
        <f t="shared" si="9"/>
        <v>0</v>
      </c>
    </row>
    <row r="22">
      <c r="A22" s="62">
        <v>6.0</v>
      </c>
      <c r="B22" s="63"/>
      <c r="C22" s="64"/>
      <c r="D22" s="64"/>
      <c r="E22" s="65"/>
      <c r="F22" s="62"/>
      <c r="G22" s="62"/>
      <c r="H22" s="62"/>
      <c r="I22" s="62">
        <f t="shared" si="2"/>
        <v>0</v>
      </c>
      <c r="J22" s="62">
        <f>if(sum(F22:F25)=0,0,if(max(F22:F25)=F22,1,0)+if(max(G22:G25)=G22,1,0)+if(max(H22:H25)=H22,1,0))</f>
        <v>0</v>
      </c>
      <c r="K22" s="68">
        <f t="shared" si="3"/>
        <v>6</v>
      </c>
      <c r="L22" s="63"/>
      <c r="M22" s="62"/>
      <c r="N22" s="69"/>
      <c r="O22" s="2">
        <f>sum(N22:N25)</f>
        <v>0</v>
      </c>
      <c r="P22" s="28">
        <f t="shared" si="4"/>
        <v>0</v>
      </c>
      <c r="Q22" s="28">
        <f>sum(P22:P25)</f>
        <v>0</v>
      </c>
      <c r="S22" s="22" t="str">
        <f t="shared" ref="S22:U22" si="28">if(sum(F22:F25)=0,"",if(or(max(F22:F25)=6, max(F22:F25)=7),"G","E"))</f>
        <v/>
      </c>
      <c r="T22" s="22" t="str">
        <f t="shared" si="28"/>
        <v/>
      </c>
      <c r="U22" s="22" t="str">
        <f t="shared" si="28"/>
        <v/>
      </c>
      <c r="V22" s="22">
        <f>if(sum(F22:F25)=0,0,if(max(F22:F25)=F22,1,0)+if(max(G22:G25)=G22,1,0)+if(max(H22:H25)=H22,1,0))</f>
        <v>0</v>
      </c>
      <c r="W22" s="73" t="s">
        <v>57</v>
      </c>
      <c r="AA22" s="62" t="str">
        <f t="shared" si="6"/>
        <v>#N/A</v>
      </c>
      <c r="AD22" s="22"/>
      <c r="AE22" s="22"/>
      <c r="AQ22" s="49">
        <f t="shared" si="7"/>
        <v>6</v>
      </c>
      <c r="AR22" s="63">
        <f t="shared" si="8"/>
        <v>0</v>
      </c>
      <c r="AS22" s="63">
        <f t="shared" si="9"/>
        <v>0</v>
      </c>
    </row>
    <row r="23">
      <c r="A23" s="62">
        <v>6.0</v>
      </c>
      <c r="B23" s="63"/>
      <c r="C23" s="64"/>
      <c r="D23" s="64"/>
      <c r="E23" s="65"/>
      <c r="F23" s="62"/>
      <c r="G23" s="62"/>
      <c r="H23" s="62"/>
      <c r="I23" s="62">
        <f t="shared" si="2"/>
        <v>0</v>
      </c>
      <c r="J23" s="62">
        <f>if(sum(F22:F25)=0,0,if(max(F22:F25)=F23,1,0)+if(max(G22:G25)=G23,1,0)+if(max(H22:H25)=H23,1,0))</f>
        <v>0</v>
      </c>
      <c r="K23" s="68">
        <f t="shared" si="3"/>
        <v>6</v>
      </c>
      <c r="L23" s="63"/>
      <c r="M23" s="62"/>
      <c r="N23" s="69"/>
      <c r="O23" s="2"/>
      <c r="P23" s="28">
        <f t="shared" si="4"/>
        <v>0</v>
      </c>
      <c r="S23" s="22" t="str">
        <f t="shared" ref="S23:U23" si="29">if(sum(F22:F25)=0,"",if(SUMPRODUCT(1/COUNTIF(F22:F25, F22:F25))=2,"G","E"))</f>
        <v/>
      </c>
      <c r="T23" s="22" t="str">
        <f t="shared" si="29"/>
        <v/>
      </c>
      <c r="U23" s="22" t="str">
        <f t="shared" si="29"/>
        <v/>
      </c>
      <c r="V23" s="22">
        <f>if(sum(F22:F25)=0,0,if(max(F22:F25)=F23,1,0)+if(max(G22:G25)=G23,1,0)+if(max(H22:H25)=H23,1,0))</f>
        <v>0</v>
      </c>
      <c r="W23" s="73" t="s">
        <v>70</v>
      </c>
      <c r="AA23" s="62" t="str">
        <f t="shared" si="6"/>
        <v>#N/A</v>
      </c>
      <c r="AQ23" s="49">
        <f t="shared" si="7"/>
        <v>6</v>
      </c>
      <c r="AR23" s="63">
        <f t="shared" si="8"/>
        <v>0</v>
      </c>
      <c r="AS23" s="63">
        <f t="shared" si="9"/>
        <v>0</v>
      </c>
    </row>
    <row r="24">
      <c r="A24" s="62">
        <v>6.0</v>
      </c>
      <c r="B24" s="63"/>
      <c r="C24" s="64"/>
      <c r="D24" s="64"/>
      <c r="E24" s="65"/>
      <c r="F24" s="62"/>
      <c r="G24" s="62"/>
      <c r="H24" s="62"/>
      <c r="I24" s="62">
        <f t="shared" si="2"/>
        <v>0</v>
      </c>
      <c r="J24" s="62">
        <f>if(sum(F22:F25)=0,0,if(max(F22:F25)=F24,1,0)+if(max(G22:G25)=G24,1,0)+if(max(H22:H25)=H24,1,0))</f>
        <v>0</v>
      </c>
      <c r="K24" s="68">
        <f t="shared" si="3"/>
        <v>6</v>
      </c>
      <c r="L24" s="63"/>
      <c r="M24" s="62"/>
      <c r="N24" s="69"/>
      <c r="O24" s="2"/>
      <c r="P24" s="28">
        <f t="shared" si="4"/>
        <v>0</v>
      </c>
      <c r="S24" s="22" t="str">
        <f t="shared" ref="S24:U24" si="30">if(sum(F22:F25)=0,"",if(and(max(F22:F25)=7, min(F22:F25)=6),"G",if(max(F22:F25)-min(F22:F25)&gt;=2,"G","E")))</f>
        <v/>
      </c>
      <c r="T24" s="22" t="str">
        <f t="shared" si="30"/>
        <v/>
      </c>
      <c r="U24" s="22" t="str">
        <f t="shared" si="30"/>
        <v/>
      </c>
      <c r="V24" s="22">
        <f>if(sum(F22:F25)=0,0,if(max(F22:F25)=F24,1,0)+if(max(G22:G25)=G24,1,0)+if(max(H22:H25)=H24,1,0))</f>
        <v>0</v>
      </c>
      <c r="W24" s="73" t="s">
        <v>76</v>
      </c>
      <c r="AA24" s="62" t="str">
        <f t="shared" si="6"/>
        <v>#N/A</v>
      </c>
      <c r="AQ24" s="49">
        <f t="shared" si="7"/>
        <v>6</v>
      </c>
      <c r="AR24" s="63">
        <f t="shared" si="8"/>
        <v>0</v>
      </c>
      <c r="AS24" s="63">
        <f t="shared" si="9"/>
        <v>0</v>
      </c>
    </row>
    <row r="25">
      <c r="A25" s="62">
        <v>6.0</v>
      </c>
      <c r="B25" s="63"/>
      <c r="C25" s="64"/>
      <c r="D25" s="64"/>
      <c r="E25" s="65"/>
      <c r="F25" s="62"/>
      <c r="G25" s="62"/>
      <c r="H25" s="62"/>
      <c r="I25" s="62">
        <f t="shared" si="2"/>
        <v>0</v>
      </c>
      <c r="J25" s="62">
        <f>if(sum(F22:F25)=0,0,if(max(F22:F25)=F25,1,0)+if(max(G22:G25)=G25,1,0)+if(max(H22:H25)=H25,1,0))</f>
        <v>0</v>
      </c>
      <c r="K25" s="68">
        <f t="shared" si="3"/>
        <v>6</v>
      </c>
      <c r="L25" s="62"/>
      <c r="M25" s="62"/>
      <c r="N25" s="69"/>
      <c r="O25" s="2"/>
      <c r="P25" s="28">
        <f t="shared" si="4"/>
        <v>0</v>
      </c>
      <c r="S25" s="22" t="str">
        <f t="shared" ref="S25:U25" si="31">IF(COUNTIF(S22:S24, "") = 3, "", IF(COUNTIF(S22:S24, "G") = 3, "G", "E"))</f>
        <v/>
      </c>
      <c r="T25" s="22" t="str">
        <f t="shared" si="31"/>
        <v/>
      </c>
      <c r="U25" s="22" t="str">
        <f t="shared" si="31"/>
        <v/>
      </c>
      <c r="V25" s="22">
        <f>if(sum(F22:F25)=0,0,if(max(F22:F25)=F25,1,0)+if(max(G22:G25)=G25,1,0)+if(max(H22:H25)=H25,1,0))</f>
        <v>0</v>
      </c>
      <c r="W25" s="79"/>
      <c r="AA25" s="62" t="str">
        <f t="shared" si="6"/>
        <v>#N/A</v>
      </c>
      <c r="AQ25" s="49">
        <f t="shared" si="7"/>
        <v>6</v>
      </c>
      <c r="AR25" s="63">
        <f t="shared" si="8"/>
        <v>0</v>
      </c>
      <c r="AS25" s="63">
        <f t="shared" si="9"/>
        <v>0</v>
      </c>
    </row>
    <row r="26">
      <c r="A26" s="24">
        <v>7.0</v>
      </c>
      <c r="B26" s="22"/>
      <c r="C26" s="30"/>
      <c r="D26" s="30"/>
      <c r="E26" s="31"/>
      <c r="F26" s="24"/>
      <c r="G26" s="24"/>
      <c r="H26" s="24"/>
      <c r="I26" s="24">
        <f t="shared" si="2"/>
        <v>0</v>
      </c>
      <c r="J26" s="24">
        <f>if(sum(F26:F29)=0,0,if(max(F26:F29)=F26,1,0)+if(max(G26:G29)=G26,1,0)+if(max(H26:H29)=H26,1,0))</f>
        <v>0</v>
      </c>
      <c r="K26" s="38">
        <f t="shared" si="3"/>
        <v>7</v>
      </c>
      <c r="L26" s="24"/>
      <c r="M26" s="24"/>
      <c r="N26" s="40"/>
      <c r="O26" s="2">
        <f>sum(N26:N29)</f>
        <v>0</v>
      </c>
      <c r="P26" s="28">
        <f t="shared" si="4"/>
        <v>0</v>
      </c>
      <c r="Q26" s="28">
        <f>sum(P26:P29)</f>
        <v>0</v>
      </c>
      <c r="S26" s="22" t="str">
        <f t="shared" ref="S26:U26" si="32">if(sum(F26:F29)=0,"",if(or(max(F26:F29)=6, max(F26:F29)=7),"G","E"))</f>
        <v/>
      </c>
      <c r="T26" s="22" t="str">
        <f t="shared" si="32"/>
        <v/>
      </c>
      <c r="U26" s="22" t="str">
        <f t="shared" si="32"/>
        <v/>
      </c>
      <c r="V26" s="22">
        <f>if(sum(F26:F29)=0,0,if(max(F26:F29)=F26,1,0)+if(max(G26:G29)=G26,1,0)+if(max(H26:H29)=H26,1,0))</f>
        <v>0</v>
      </c>
      <c r="W26" s="20" t="s">
        <v>57</v>
      </c>
      <c r="AA26" s="24" t="str">
        <f t="shared" si="6"/>
        <v>#N/A</v>
      </c>
      <c r="AQ26" s="49">
        <f t="shared" si="7"/>
        <v>7</v>
      </c>
      <c r="AR26" s="22">
        <f t="shared" si="8"/>
        <v>0</v>
      </c>
      <c r="AS26" s="22">
        <f t="shared" si="9"/>
        <v>0</v>
      </c>
    </row>
    <row r="27">
      <c r="A27" s="24">
        <v>7.0</v>
      </c>
      <c r="B27" s="22"/>
      <c r="C27" s="30"/>
      <c r="D27" s="30"/>
      <c r="E27" s="31"/>
      <c r="F27" s="24"/>
      <c r="G27" s="24"/>
      <c r="H27" s="24"/>
      <c r="I27" s="24">
        <f t="shared" si="2"/>
        <v>0</v>
      </c>
      <c r="J27" s="24">
        <f>if(sum(F26:F29)=0,0,if(max(F26:F29)=F27,1,0)+if(max(G26:G29)=G27,1,0)+if(max(H26:H29)=H27,1,0))</f>
        <v>0</v>
      </c>
      <c r="K27" s="38">
        <f t="shared" si="3"/>
        <v>7</v>
      </c>
      <c r="L27" s="22"/>
      <c r="M27" s="24"/>
      <c r="N27" s="40"/>
      <c r="O27" s="2"/>
      <c r="P27" s="28">
        <f t="shared" si="4"/>
        <v>0</v>
      </c>
      <c r="S27" s="22" t="str">
        <f t="shared" ref="S27:U27" si="33">if(sum(F26:F29)=0,"",if(SUMPRODUCT(1/COUNTIF(F26:F29, F26:F29))=2,"G","E"))</f>
        <v/>
      </c>
      <c r="T27" s="22" t="str">
        <f t="shared" si="33"/>
        <v/>
      </c>
      <c r="U27" s="22" t="str">
        <f t="shared" si="33"/>
        <v/>
      </c>
      <c r="V27" s="22">
        <f>if(sum(F26:F29)=0,0,if(max(F26:F29)=F27,1,0)+if(max(G26:G29)=G27,1,0)+if(max(H26:H29)=H27,1,0))</f>
        <v>0</v>
      </c>
      <c r="W27" s="20" t="s">
        <v>70</v>
      </c>
      <c r="AA27" s="24" t="str">
        <f t="shared" si="6"/>
        <v>#N/A</v>
      </c>
      <c r="AQ27" s="49">
        <f t="shared" si="7"/>
        <v>7</v>
      </c>
      <c r="AR27" s="22">
        <f t="shared" si="8"/>
        <v>0</v>
      </c>
      <c r="AS27" s="22">
        <f t="shared" si="9"/>
        <v>0</v>
      </c>
    </row>
    <row r="28">
      <c r="A28" s="24">
        <v>7.0</v>
      </c>
      <c r="B28" s="22"/>
      <c r="C28" s="30"/>
      <c r="D28" s="30"/>
      <c r="E28" s="31"/>
      <c r="F28" s="24"/>
      <c r="G28" s="24"/>
      <c r="H28" s="24"/>
      <c r="I28" s="24">
        <f t="shared" si="2"/>
        <v>0</v>
      </c>
      <c r="J28" s="24">
        <f>if(sum(F26:F29)=0,0,if(max(F26:F29)=F28,1,0)+if(max(G26:G29)=G28,1,0)+if(max(H26:H29)=H28,1,0))</f>
        <v>0</v>
      </c>
      <c r="K28" s="38">
        <f t="shared" si="3"/>
        <v>7</v>
      </c>
      <c r="L28" s="22"/>
      <c r="M28" s="24"/>
      <c r="N28" s="40"/>
      <c r="O28" s="2"/>
      <c r="P28" s="28">
        <f t="shared" si="4"/>
        <v>0</v>
      </c>
      <c r="S28" s="22" t="str">
        <f t="shared" ref="S28:U28" si="34">if(sum(F26:F29)=0,"",if(and(max(F26:F29)=7, min(F26:F29)=6),"G",if(max(F26:F29)-min(F26:F29)&gt;=2,"G","E")))</f>
        <v/>
      </c>
      <c r="T28" s="22" t="str">
        <f t="shared" si="34"/>
        <v/>
      </c>
      <c r="U28" s="22" t="str">
        <f t="shared" si="34"/>
        <v/>
      </c>
      <c r="V28" s="22">
        <f>if(sum(F26:F29)=0,0,if(max(F26:F29)=F28,1,0)+if(max(G26:G29)=G28,1,0)+if(max(H26:H29)=H28,1,0))</f>
        <v>0</v>
      </c>
      <c r="W28" s="20" t="s">
        <v>76</v>
      </c>
      <c r="AA28" s="24" t="str">
        <f t="shared" si="6"/>
        <v>#N/A</v>
      </c>
      <c r="AQ28" s="49">
        <f t="shared" si="7"/>
        <v>7</v>
      </c>
      <c r="AR28" s="22">
        <f t="shared" si="8"/>
        <v>0</v>
      </c>
      <c r="AS28" s="22">
        <f t="shared" si="9"/>
        <v>0</v>
      </c>
    </row>
    <row r="29">
      <c r="A29" s="24">
        <v>7.0</v>
      </c>
      <c r="B29" s="22"/>
      <c r="C29" s="30"/>
      <c r="D29" s="30"/>
      <c r="E29" s="31"/>
      <c r="F29" s="24"/>
      <c r="G29" s="24"/>
      <c r="H29" s="24"/>
      <c r="I29" s="24">
        <f t="shared" si="2"/>
        <v>0</v>
      </c>
      <c r="J29" s="24">
        <f>if(sum(F26:F29)=0,0,if(max(F26:F29)=F29,1,0)+if(max(G26:G29)=G29,1,0)+if(max(H26:H29)=H29,1,0))</f>
        <v>0</v>
      </c>
      <c r="K29" s="38">
        <f t="shared" si="3"/>
        <v>7</v>
      </c>
      <c r="L29" s="24"/>
      <c r="M29" s="24"/>
      <c r="N29" s="40"/>
      <c r="O29" s="2"/>
      <c r="P29" s="28">
        <f t="shared" si="4"/>
        <v>0</v>
      </c>
      <c r="S29" s="22" t="str">
        <f t="shared" ref="S29:U29" si="35">IF(COUNTIF(S26:S28, "") = 3, "", IF(COUNTIF(S26:S28, "G") = 3, "G", "E"))</f>
        <v/>
      </c>
      <c r="T29" s="22" t="str">
        <f t="shared" si="35"/>
        <v/>
      </c>
      <c r="U29" s="22" t="str">
        <f t="shared" si="35"/>
        <v/>
      </c>
      <c r="V29" s="22">
        <f>if(sum(F26:F29)=0,0,if(max(F26:F29)=F29,1,0)+if(max(G26:G29)=G29,1,0)+if(max(H26:H29)=H29,1,0))</f>
        <v>0</v>
      </c>
      <c r="AA29" s="24" t="str">
        <f t="shared" si="6"/>
        <v>#N/A</v>
      </c>
      <c r="AQ29" s="49">
        <f t="shared" si="7"/>
        <v>7</v>
      </c>
      <c r="AR29" s="22">
        <f t="shared" si="8"/>
        <v>0</v>
      </c>
      <c r="AS29" s="22">
        <f t="shared" si="9"/>
        <v>0</v>
      </c>
    </row>
    <row r="30">
      <c r="A30" s="62">
        <v>8.0</v>
      </c>
      <c r="B30" s="63"/>
      <c r="C30" s="64"/>
      <c r="D30" s="64"/>
      <c r="E30" s="65"/>
      <c r="F30" s="62"/>
      <c r="G30" s="62"/>
      <c r="H30" s="62"/>
      <c r="I30" s="62">
        <f t="shared" si="2"/>
        <v>0</v>
      </c>
      <c r="J30" s="62">
        <f>if(sum(F30:F33)=0,0,if(max(F30:F33)=F30,1,0)+if(max(G30:G33)=G30,1,0)+if(max(H30:H33)=H30,1,0))</f>
        <v>0</v>
      </c>
      <c r="K30" s="68">
        <f t="shared" si="3"/>
        <v>8</v>
      </c>
      <c r="L30" s="63"/>
      <c r="M30" s="62"/>
      <c r="N30" s="69"/>
      <c r="O30" s="2">
        <f>sum(N30:N33)</f>
        <v>0</v>
      </c>
      <c r="P30" s="28">
        <f t="shared" si="4"/>
        <v>0</v>
      </c>
      <c r="Q30" s="28">
        <f>sum(P30:P33)</f>
        <v>0</v>
      </c>
      <c r="S30" s="22" t="str">
        <f t="shared" ref="S30:U30" si="36">if(sum(F30:F33)=0,"",if(or(max(F30:F33)=6, max(F30:F33)=7),"G","E"))</f>
        <v/>
      </c>
      <c r="T30" s="22" t="str">
        <f t="shared" si="36"/>
        <v/>
      </c>
      <c r="U30" s="22" t="str">
        <f t="shared" si="36"/>
        <v/>
      </c>
      <c r="V30" s="22">
        <f>if(sum(F30:F33)=0,0,if(max(F30:F33)=F30,1,0)+if(max(G30:G33)=G30,1,0)+if(max(H30:H33)=H30,1,0))</f>
        <v>0</v>
      </c>
      <c r="W30" s="73" t="s">
        <v>57</v>
      </c>
      <c r="AA30" s="62" t="str">
        <f t="shared" si="6"/>
        <v>#N/A</v>
      </c>
      <c r="AQ30" s="49">
        <f t="shared" si="7"/>
        <v>8</v>
      </c>
      <c r="AR30" s="22">
        <f t="shared" si="8"/>
        <v>0</v>
      </c>
      <c r="AS30" s="22">
        <f t="shared" si="9"/>
        <v>0</v>
      </c>
    </row>
    <row r="31">
      <c r="A31" s="62">
        <v>8.0</v>
      </c>
      <c r="B31" s="63"/>
      <c r="C31" s="64"/>
      <c r="D31" s="64"/>
      <c r="E31" s="65"/>
      <c r="F31" s="62"/>
      <c r="G31" s="62"/>
      <c r="H31" s="62"/>
      <c r="I31" s="62">
        <f t="shared" si="2"/>
        <v>0</v>
      </c>
      <c r="J31" s="62">
        <f>if(sum(F30:F33)=0,0,if(max(F30:F33)=F31,1,0)+if(max(G30:G33)=G31,1,0)+if(max(H30:H33)=H31,1,0))</f>
        <v>0</v>
      </c>
      <c r="K31" s="68">
        <f t="shared" si="3"/>
        <v>8</v>
      </c>
      <c r="L31" s="63"/>
      <c r="M31" s="62"/>
      <c r="N31" s="69"/>
      <c r="O31" s="2"/>
      <c r="P31" s="28">
        <f t="shared" si="4"/>
        <v>0</v>
      </c>
      <c r="S31" s="22" t="str">
        <f t="shared" ref="S31:U31" si="37">if(sum(F30:F33)=0,"",if(SUMPRODUCT(1/COUNTIF(F30:F33, F30:F33))=2,"G","E"))</f>
        <v/>
      </c>
      <c r="T31" s="22" t="str">
        <f t="shared" si="37"/>
        <v/>
      </c>
      <c r="U31" s="22" t="str">
        <f t="shared" si="37"/>
        <v/>
      </c>
      <c r="V31" s="22">
        <f>if(sum(F30:F33)=0,0,if(max(F30:F33)=F31,1,0)+if(max(G30:G33)=G31,1,0)+if(max(H30:H33)=H31,1,0))</f>
        <v>0</v>
      </c>
      <c r="W31" s="73" t="s">
        <v>70</v>
      </c>
      <c r="AA31" s="62" t="str">
        <f t="shared" si="6"/>
        <v>#N/A</v>
      </c>
      <c r="AQ31" s="49">
        <f t="shared" si="7"/>
        <v>8</v>
      </c>
      <c r="AR31" s="22">
        <f t="shared" si="8"/>
        <v>0</v>
      </c>
      <c r="AS31" s="22">
        <f t="shared" si="9"/>
        <v>0</v>
      </c>
    </row>
    <row r="32">
      <c r="A32" s="62">
        <v>8.0</v>
      </c>
      <c r="B32" s="63"/>
      <c r="C32" s="64"/>
      <c r="D32" s="64"/>
      <c r="E32" s="65"/>
      <c r="F32" s="62"/>
      <c r="G32" s="62"/>
      <c r="H32" s="62"/>
      <c r="I32" s="62">
        <f t="shared" si="2"/>
        <v>0</v>
      </c>
      <c r="J32" s="62">
        <f>if(sum(F30:F33)=0,0,if(max(F30:F33)=F32,1,0)+if(max(G30:G33)=G32,1,0)+if(max(H30:H33)=H32,1,0))</f>
        <v>0</v>
      </c>
      <c r="K32" s="68">
        <f t="shared" si="3"/>
        <v>8</v>
      </c>
      <c r="L32" s="63"/>
      <c r="M32" s="62"/>
      <c r="N32" s="69"/>
      <c r="O32" s="2"/>
      <c r="P32" s="28">
        <f t="shared" si="4"/>
        <v>0</v>
      </c>
      <c r="S32" s="22" t="str">
        <f t="shared" ref="S32:U32" si="38">if(sum(F30:F33)=0,"",if(and(max(F30:F33)=7, min(F30:F33)=6),"G",if(max(F30:F33)-min(F30:F33)&gt;=2,"G","E")))</f>
        <v/>
      </c>
      <c r="T32" s="22" t="str">
        <f t="shared" si="38"/>
        <v/>
      </c>
      <c r="U32" s="22" t="str">
        <f t="shared" si="38"/>
        <v/>
      </c>
      <c r="V32" s="22">
        <f>if(sum(F30:F33)=0,0,if(max(F30:F33)=F32,1,0)+if(max(G30:G33)=G32,1,0)+if(max(H30:H33)=H32,1,0))</f>
        <v>0</v>
      </c>
      <c r="W32" s="73" t="s">
        <v>76</v>
      </c>
      <c r="AA32" s="62" t="str">
        <f t="shared" si="6"/>
        <v>#N/A</v>
      </c>
      <c r="AQ32" s="49">
        <f t="shared" si="7"/>
        <v>8</v>
      </c>
      <c r="AR32" s="22">
        <f t="shared" si="8"/>
        <v>0</v>
      </c>
      <c r="AS32" s="22">
        <f t="shared" si="9"/>
        <v>0</v>
      </c>
    </row>
    <row r="33">
      <c r="A33" s="62">
        <v>8.0</v>
      </c>
      <c r="B33" s="63"/>
      <c r="C33" s="64"/>
      <c r="D33" s="64"/>
      <c r="E33" s="65"/>
      <c r="F33" s="62"/>
      <c r="G33" s="62"/>
      <c r="H33" s="62"/>
      <c r="I33" s="62">
        <f t="shared" si="2"/>
        <v>0</v>
      </c>
      <c r="J33" s="62">
        <f>if(sum(F30:F33)=0,0,if(max(F30:F33)=F33,1,0)+if(max(G30:G33)=G33,1,0)+if(max(H30:H33)=H33,1,0))</f>
        <v>0</v>
      </c>
      <c r="K33" s="68">
        <f t="shared" si="3"/>
        <v>8</v>
      </c>
      <c r="L33" s="62"/>
      <c r="M33" s="62"/>
      <c r="N33" s="69"/>
      <c r="O33" s="2"/>
      <c r="P33" s="28">
        <f t="shared" si="4"/>
        <v>0</v>
      </c>
      <c r="S33" s="22" t="str">
        <f t="shared" ref="S33:U33" si="39">IF(COUNTIF(S30:S32, "") = 3, "", IF(COUNTIF(S30:S32, "G") = 3, "G", "E"))</f>
        <v/>
      </c>
      <c r="T33" s="22" t="str">
        <f t="shared" si="39"/>
        <v/>
      </c>
      <c r="U33" s="22" t="str">
        <f t="shared" si="39"/>
        <v/>
      </c>
      <c r="V33" s="22">
        <f>if(sum(F30:F33)=0,0,if(max(F30:F33)=F33,1,0)+if(max(G30:G33)=G33,1,0)+if(max(H30:H33)=H33,1,0))</f>
        <v>0</v>
      </c>
      <c r="W33" s="79"/>
      <c r="AA33" s="62" t="str">
        <f t="shared" si="6"/>
        <v>#N/A</v>
      </c>
      <c r="AQ33" s="49">
        <f t="shared" si="7"/>
        <v>8</v>
      </c>
      <c r="AR33" s="22">
        <f t="shared" si="8"/>
        <v>0</v>
      </c>
      <c r="AS33" s="22">
        <f t="shared" si="9"/>
        <v>0</v>
      </c>
    </row>
    <row r="34">
      <c r="A34" s="24">
        <v>9.0</v>
      </c>
      <c r="B34" s="22"/>
      <c r="C34" s="22"/>
      <c r="D34" s="22"/>
      <c r="E34" s="22"/>
      <c r="F34" s="24"/>
      <c r="G34" s="24"/>
      <c r="H34" s="24"/>
      <c r="I34" s="24">
        <f t="shared" si="2"/>
        <v>0</v>
      </c>
      <c r="J34" s="24">
        <f>if(sum(F34:F37)=0,0,if(max(F34:F37)=F34,1,0)+if(max(G34:G37)=G34,1,0)+if(max(H34:H37)=H34,1,0))</f>
        <v>0</v>
      </c>
      <c r="K34" s="38">
        <f t="shared" si="3"/>
        <v>9</v>
      </c>
      <c r="L34" s="22"/>
      <c r="M34" s="24" t="str">
        <f t="shared" ref="M34:M45" si="41">IF(AND(A34&lt;&gt;0, OR(VALUE(A34)=VALUE($Y$64), VALUE(A34)=VALUE($Y$65), VALUE(A34)=VALUE($Y$66))), "X", "")</f>
        <v/>
      </c>
      <c r="N34" s="40" t="str">
        <f t="shared" ref="N34:N45" si="42">iferror(VLOOKUP(B34,#REF!,2,false),"")</f>
        <v/>
      </c>
      <c r="O34" s="2">
        <f>sum(N34:N37)</f>
        <v>0</v>
      </c>
      <c r="P34" s="28">
        <f t="shared" si="4"/>
        <v>0</v>
      </c>
      <c r="Q34" s="28">
        <f>sum(P34:P37)</f>
        <v>0</v>
      </c>
      <c r="S34" s="22" t="str">
        <f t="shared" ref="S34:U34" si="40">if(sum(F34:F37)=0,"",if(or(max(F34:F37)=6, max(F34:F37)=7),"G","E"))</f>
        <v/>
      </c>
      <c r="T34" s="22" t="str">
        <f t="shared" si="40"/>
        <v/>
      </c>
      <c r="U34" s="22" t="str">
        <f t="shared" si="40"/>
        <v/>
      </c>
      <c r="V34" s="22">
        <f>if(sum(F34:F37)=0,0,if(max(F34:F37)=F34,1,0)+if(max(G34:G37)=G34,1,0)+if(max(H34:H37)=H34,1,0))</f>
        <v>0</v>
      </c>
      <c r="W34" s="20" t="s">
        <v>57</v>
      </c>
      <c r="AA34" s="24" t="str">
        <f t="shared" si="6"/>
        <v>#N/A</v>
      </c>
      <c r="AQ34" s="49">
        <f t="shared" si="7"/>
        <v>9</v>
      </c>
      <c r="AR34" s="22">
        <f t="shared" si="8"/>
        <v>0</v>
      </c>
      <c r="AS34" s="22">
        <f t="shared" si="9"/>
        <v>0</v>
      </c>
    </row>
    <row r="35">
      <c r="A35" s="24">
        <v>9.0</v>
      </c>
      <c r="B35" s="22"/>
      <c r="C35" s="30"/>
      <c r="D35" s="30"/>
      <c r="E35" s="31"/>
      <c r="F35" s="24"/>
      <c r="G35" s="24"/>
      <c r="H35" s="24"/>
      <c r="I35" s="24">
        <f t="shared" si="2"/>
        <v>0</v>
      </c>
      <c r="J35" s="24">
        <f>if(sum(F34:F37)=0,0,if(max(F34:F37)=F35,1,0)+if(max(G34:G37)=G35,1,0)+if(max(H34:H37)=H35,1,0))</f>
        <v>0</v>
      </c>
      <c r="K35" s="38">
        <f t="shared" si="3"/>
        <v>9</v>
      </c>
      <c r="L35" s="22"/>
      <c r="M35" s="24" t="str">
        <f t="shared" si="41"/>
        <v/>
      </c>
      <c r="N35" s="40" t="str">
        <f t="shared" si="42"/>
        <v/>
      </c>
      <c r="O35" s="2"/>
      <c r="P35" s="28">
        <f t="shared" si="4"/>
        <v>0</v>
      </c>
      <c r="S35" s="22" t="str">
        <f t="shared" ref="S35:U35" si="43">if(sum(F34:F37)=0,"",if(SUMPRODUCT(1/COUNTIF(F34:F37, F34:F37))=2,"G","E"))</f>
        <v/>
      </c>
      <c r="T35" s="22" t="str">
        <f t="shared" si="43"/>
        <v/>
      </c>
      <c r="U35" s="22" t="str">
        <f t="shared" si="43"/>
        <v/>
      </c>
      <c r="V35" s="22">
        <f>if(sum(F34:F37)=0,0,if(max(F34:F37)=F35,1,0)+if(max(G34:G37)=G35,1,0)+if(max(H34:H37)=H35,1,0))</f>
        <v>0</v>
      </c>
      <c r="W35" s="20" t="s">
        <v>70</v>
      </c>
      <c r="AA35" s="24" t="str">
        <f t="shared" si="6"/>
        <v>#N/A</v>
      </c>
      <c r="AQ35" s="49">
        <f t="shared" si="7"/>
        <v>9</v>
      </c>
      <c r="AR35" s="22">
        <f t="shared" si="8"/>
        <v>0</v>
      </c>
      <c r="AS35" s="22">
        <f t="shared" si="9"/>
        <v>0</v>
      </c>
    </row>
    <row r="36">
      <c r="A36" s="24">
        <v>9.0</v>
      </c>
      <c r="B36" s="22"/>
      <c r="C36" s="22"/>
      <c r="D36" s="22"/>
      <c r="E36" s="22"/>
      <c r="F36" s="24"/>
      <c r="G36" s="24"/>
      <c r="H36" s="24"/>
      <c r="I36" s="24">
        <f t="shared" si="2"/>
        <v>0</v>
      </c>
      <c r="J36" s="24">
        <f>if(sum(F34:F37)=0,0,if(max(F34:F37)=F36,1,0)+if(max(G34:G37)=G36,1,0)+if(max(H34:H37)=H36,1,0))</f>
        <v>0</v>
      </c>
      <c r="K36" s="38">
        <f t="shared" si="3"/>
        <v>9</v>
      </c>
      <c r="L36" s="22"/>
      <c r="M36" s="24" t="str">
        <f t="shared" si="41"/>
        <v/>
      </c>
      <c r="N36" s="40" t="str">
        <f t="shared" si="42"/>
        <v/>
      </c>
      <c r="O36" s="2"/>
      <c r="P36" s="28">
        <f t="shared" si="4"/>
        <v>0</v>
      </c>
      <c r="S36" s="22" t="str">
        <f t="shared" ref="S36:U36" si="44">if(sum(F34:F37)=0,"",if(and(max(F34:F37)=7, min(F34:F37)=6),"G",if(max(F34:F37)-min(F34:F37)&gt;=2,"G","E")))</f>
        <v/>
      </c>
      <c r="T36" s="22" t="str">
        <f t="shared" si="44"/>
        <v/>
      </c>
      <c r="U36" s="22" t="str">
        <f t="shared" si="44"/>
        <v/>
      </c>
      <c r="V36" s="22">
        <f>if(sum(F34:F37)=0,0,if(max(F34:F37)=F36,1,0)+if(max(G34:G37)=G36,1,0)+if(max(H34:H37)=H36,1,0))</f>
        <v>0</v>
      </c>
      <c r="W36" s="20" t="s">
        <v>76</v>
      </c>
      <c r="AA36" s="24" t="str">
        <f t="shared" si="6"/>
        <v>#N/A</v>
      </c>
      <c r="AQ36" s="49">
        <f t="shared" si="7"/>
        <v>9</v>
      </c>
      <c r="AR36" s="22">
        <f t="shared" si="8"/>
        <v>0</v>
      </c>
      <c r="AS36" s="22">
        <f t="shared" si="9"/>
        <v>0</v>
      </c>
    </row>
    <row r="37">
      <c r="A37" s="24">
        <v>9.0</v>
      </c>
      <c r="B37" s="22"/>
      <c r="C37" s="22"/>
      <c r="D37" s="22"/>
      <c r="E37" s="22"/>
      <c r="F37" s="24"/>
      <c r="G37" s="24"/>
      <c r="H37" s="24"/>
      <c r="I37" s="24">
        <f t="shared" si="2"/>
        <v>0</v>
      </c>
      <c r="J37" s="24">
        <f>if(sum(F34:F37)=0,0,if(max(F34:F37)=F37,1,0)+if(max(G34:G37)=G37,1,0)+if(max(H34:H37)=H37,1,0))</f>
        <v>0</v>
      </c>
      <c r="K37" s="38">
        <f t="shared" si="3"/>
        <v>9</v>
      </c>
      <c r="L37" s="24"/>
      <c r="M37" s="24" t="str">
        <f t="shared" si="41"/>
        <v/>
      </c>
      <c r="N37" s="40" t="str">
        <f t="shared" si="42"/>
        <v/>
      </c>
      <c r="O37" s="2"/>
      <c r="P37" s="28">
        <f t="shared" si="4"/>
        <v>0</v>
      </c>
      <c r="S37" s="22" t="str">
        <f t="shared" ref="S37:U37" si="45">IF(COUNTIF(S34:S36, "") = 3, "", IF(COUNTIF(S34:S36, "G") = 3, "G", "E"))</f>
        <v/>
      </c>
      <c r="T37" s="22" t="str">
        <f t="shared" si="45"/>
        <v/>
      </c>
      <c r="U37" s="22" t="str">
        <f t="shared" si="45"/>
        <v/>
      </c>
      <c r="V37" s="22">
        <f>if(sum(F34:F37)=0,0,if(max(F34:F37)=F37,1,0)+if(max(G34:G37)=G37,1,0)+if(max(H34:H37)=H37,1,0))</f>
        <v>0</v>
      </c>
      <c r="AA37" s="24" t="str">
        <f t="shared" si="6"/>
        <v>#N/A</v>
      </c>
      <c r="AQ37" s="49">
        <f t="shared" si="7"/>
        <v>9</v>
      </c>
      <c r="AR37" s="22">
        <f t="shared" si="8"/>
        <v>0</v>
      </c>
      <c r="AS37" s="22">
        <f t="shared" si="9"/>
        <v>0</v>
      </c>
    </row>
    <row r="38">
      <c r="A38" s="62">
        <v>10.0</v>
      </c>
      <c r="B38" s="63"/>
      <c r="C38" s="64"/>
      <c r="D38" s="64"/>
      <c r="E38" s="65"/>
      <c r="F38" s="62"/>
      <c r="G38" s="62"/>
      <c r="H38" s="62"/>
      <c r="I38" s="62">
        <f t="shared" si="2"/>
        <v>0</v>
      </c>
      <c r="J38" s="62">
        <f>if(sum(F38:F41)=0,0,if(max(F38:F41)=F38,1,0)+if(max(G38:G41)=G38,1,0)+if(max(H38:H41)=H38,1,0))</f>
        <v>0</v>
      </c>
      <c r="K38" s="68">
        <f t="shared" si="3"/>
        <v>10</v>
      </c>
      <c r="L38" s="63"/>
      <c r="M38" s="62" t="str">
        <f t="shared" si="41"/>
        <v/>
      </c>
      <c r="N38" s="69" t="str">
        <f t="shared" si="42"/>
        <v/>
      </c>
      <c r="O38" s="2">
        <f>sum(N38:N41)</f>
        <v>0</v>
      </c>
      <c r="P38" s="28">
        <f t="shared" si="4"/>
        <v>0</v>
      </c>
      <c r="Q38" s="28">
        <f>sum(P38:P41)</f>
        <v>0</v>
      </c>
      <c r="S38" s="22" t="str">
        <f t="shared" ref="S38:U38" si="46">if(sum(F38:F41)=0,"",if(or(max(F38:F41)=6, max(F38:F41)=7),"G","E"))</f>
        <v/>
      </c>
      <c r="T38" s="22" t="str">
        <f t="shared" si="46"/>
        <v/>
      </c>
      <c r="U38" s="22" t="str">
        <f t="shared" si="46"/>
        <v/>
      </c>
      <c r="V38" s="22">
        <f>if(sum(F38:F41)=0,0,if(max(F38:F41)=F38,1,0)+if(max(G38:G41)=G38,1,0)+if(max(H38:H41)=H38,1,0))</f>
        <v>0</v>
      </c>
      <c r="W38" s="73" t="s">
        <v>57</v>
      </c>
      <c r="AA38" s="62" t="str">
        <f t="shared" si="6"/>
        <v>#N/A</v>
      </c>
      <c r="AQ38" s="49">
        <f t="shared" si="7"/>
        <v>10</v>
      </c>
      <c r="AR38" s="22">
        <f t="shared" si="8"/>
        <v>0</v>
      </c>
      <c r="AS38" s="22">
        <f t="shared" si="9"/>
        <v>0</v>
      </c>
    </row>
    <row r="39">
      <c r="A39" s="62">
        <v>10.0</v>
      </c>
      <c r="B39" s="63"/>
      <c r="C39" s="64"/>
      <c r="D39" s="64"/>
      <c r="E39" s="65"/>
      <c r="F39" s="62"/>
      <c r="G39" s="62"/>
      <c r="H39" s="62"/>
      <c r="I39" s="62">
        <f t="shared" si="2"/>
        <v>0</v>
      </c>
      <c r="J39" s="62">
        <f>if(sum(F38:F41)=0,0,if(max(F38:F41)=F39,1,0)+if(max(G38:G41)=G39,1,0)+if(max(H38:H41)=H39,1,0))</f>
        <v>0</v>
      </c>
      <c r="K39" s="68">
        <f t="shared" si="3"/>
        <v>10</v>
      </c>
      <c r="L39" s="63"/>
      <c r="M39" s="62" t="str">
        <f t="shared" si="41"/>
        <v/>
      </c>
      <c r="N39" s="69" t="str">
        <f t="shared" si="42"/>
        <v/>
      </c>
      <c r="O39" s="2"/>
      <c r="P39" s="28">
        <f t="shared" si="4"/>
        <v>0</v>
      </c>
      <c r="S39" s="22" t="str">
        <f t="shared" ref="S39:U39" si="47">if(sum(F38:F41)=0,"",if(SUMPRODUCT(1/COUNTIF(F38:F41, F38:F41))=2,"G","E"))</f>
        <v/>
      </c>
      <c r="T39" s="22" t="str">
        <f t="shared" si="47"/>
        <v/>
      </c>
      <c r="U39" s="22" t="str">
        <f t="shared" si="47"/>
        <v/>
      </c>
      <c r="V39" s="22">
        <f>if(sum(F38:F41)=0,0,if(max(F38:F41)=F39,1,0)+if(max(G38:G41)=G39,1,0)+if(max(H38:H41)=H39,1,0))</f>
        <v>0</v>
      </c>
      <c r="W39" s="73" t="s">
        <v>70</v>
      </c>
      <c r="AA39" s="62" t="str">
        <f t="shared" si="6"/>
        <v>#N/A</v>
      </c>
      <c r="AQ39" s="49">
        <f t="shared" si="7"/>
        <v>10</v>
      </c>
      <c r="AR39" s="22">
        <f t="shared" si="8"/>
        <v>0</v>
      </c>
      <c r="AS39" s="22">
        <f t="shared" si="9"/>
        <v>0</v>
      </c>
    </row>
    <row r="40">
      <c r="A40" s="62">
        <v>10.0</v>
      </c>
      <c r="B40" s="63"/>
      <c r="C40" s="64"/>
      <c r="D40" s="64"/>
      <c r="E40" s="65"/>
      <c r="F40" s="62"/>
      <c r="G40" s="62"/>
      <c r="H40" s="62"/>
      <c r="I40" s="62">
        <f t="shared" si="2"/>
        <v>0</v>
      </c>
      <c r="J40" s="62">
        <f>if(sum(F38:F41)=0,0,if(max(F38:F41)=F40,1,0)+if(max(G38:G41)=G40,1,0)+if(max(H38:H41)=H40,1,0))</f>
        <v>0</v>
      </c>
      <c r="K40" s="68">
        <f t="shared" si="3"/>
        <v>10</v>
      </c>
      <c r="L40" s="63"/>
      <c r="M40" s="62" t="str">
        <f t="shared" si="41"/>
        <v/>
      </c>
      <c r="N40" s="69" t="str">
        <f t="shared" si="42"/>
        <v/>
      </c>
      <c r="O40" s="2"/>
      <c r="P40" s="28">
        <f t="shared" si="4"/>
        <v>0</v>
      </c>
      <c r="S40" s="22" t="str">
        <f t="shared" ref="S40:U40" si="48">if(sum(F38:F41)=0,"",if(and(max(F38:F41)=7, min(F38:F41)=6),"G",if(max(F38:F41)-min(F38:F41)&gt;=2,"G","E")))</f>
        <v/>
      </c>
      <c r="T40" s="22" t="str">
        <f t="shared" si="48"/>
        <v/>
      </c>
      <c r="U40" s="22" t="str">
        <f t="shared" si="48"/>
        <v/>
      </c>
      <c r="V40" s="22">
        <f>if(sum(F38:F41)=0,0,if(max(F38:F41)=F40,1,0)+if(max(G38:G41)=G40,1,0)+if(max(H38:H41)=H40,1,0))</f>
        <v>0</v>
      </c>
      <c r="W40" s="73" t="s">
        <v>76</v>
      </c>
      <c r="AA40" s="62" t="str">
        <f t="shared" si="6"/>
        <v>#N/A</v>
      </c>
      <c r="AQ40" s="49">
        <f t="shared" si="7"/>
        <v>10</v>
      </c>
      <c r="AR40" s="22">
        <f t="shared" si="8"/>
        <v>0</v>
      </c>
      <c r="AS40" s="22">
        <f t="shared" si="9"/>
        <v>0</v>
      </c>
    </row>
    <row r="41">
      <c r="A41" s="62">
        <v>10.0</v>
      </c>
      <c r="B41" s="63"/>
      <c r="C41" s="64"/>
      <c r="D41" s="64"/>
      <c r="E41" s="65"/>
      <c r="F41" s="62"/>
      <c r="G41" s="62"/>
      <c r="H41" s="62"/>
      <c r="I41" s="62">
        <f t="shared" si="2"/>
        <v>0</v>
      </c>
      <c r="J41" s="62">
        <f>if(sum(F38:F41)=0,0,if(max(F38:F41)=F41,1,0)+if(max(G38:G41)=G41,1,0)+if(max(H38:H41)=H41,1,0))</f>
        <v>0</v>
      </c>
      <c r="K41" s="68">
        <f t="shared" si="3"/>
        <v>10</v>
      </c>
      <c r="L41" s="62"/>
      <c r="M41" s="62" t="str">
        <f t="shared" si="41"/>
        <v/>
      </c>
      <c r="N41" s="69" t="str">
        <f t="shared" si="42"/>
        <v/>
      </c>
      <c r="O41" s="2"/>
      <c r="P41" s="28">
        <f t="shared" si="4"/>
        <v>0</v>
      </c>
      <c r="S41" s="22" t="str">
        <f t="shared" ref="S41:U41" si="49">IF(COUNTIF(S38:S40, "") = 3, "", IF(COUNTIF(S38:S40, "G") = 3, "G", "E"))</f>
        <v/>
      </c>
      <c r="T41" s="22" t="str">
        <f t="shared" si="49"/>
        <v/>
      </c>
      <c r="U41" s="22" t="str">
        <f t="shared" si="49"/>
        <v/>
      </c>
      <c r="V41" s="22">
        <f>if(sum(F38:F41)=0,0,if(max(F38:F41)=F41,1,0)+if(max(G38:G41)=G41,1,0)+if(max(H38:H41)=H41,1,0))</f>
        <v>0</v>
      </c>
      <c r="W41" s="79"/>
      <c r="AA41" s="62" t="str">
        <f t="shared" si="6"/>
        <v>#N/A</v>
      </c>
      <c r="AQ41" s="49">
        <f t="shared" si="7"/>
        <v>10</v>
      </c>
      <c r="AR41" s="22">
        <f t="shared" si="8"/>
        <v>0</v>
      </c>
      <c r="AS41" s="22">
        <f t="shared" si="9"/>
        <v>0</v>
      </c>
    </row>
    <row r="42">
      <c r="A42" s="24">
        <v>11.0</v>
      </c>
      <c r="B42" s="22"/>
      <c r="C42" s="22"/>
      <c r="D42" s="22"/>
      <c r="E42" s="24"/>
      <c r="F42" s="24"/>
      <c r="G42" s="24"/>
      <c r="H42" s="24"/>
      <c r="I42" s="24">
        <f t="shared" si="2"/>
        <v>0</v>
      </c>
      <c r="J42" s="24">
        <f>if(sum(F42:F45)=0,0,if(max(F42:F45)=F42,1,0)+if(max(G42:G45)=G42,1,0)+if(max(H42:H45)=H42,1,0))</f>
        <v>0</v>
      </c>
      <c r="K42" s="38">
        <f t="shared" si="3"/>
        <v>11</v>
      </c>
      <c r="L42" s="22"/>
      <c r="M42" s="24" t="str">
        <f t="shared" si="41"/>
        <v/>
      </c>
      <c r="N42" s="40" t="str">
        <f t="shared" si="42"/>
        <v/>
      </c>
      <c r="O42" s="2">
        <f>sum(N42:N45)</f>
        <v>0</v>
      </c>
      <c r="P42" s="28">
        <f t="shared" si="4"/>
        <v>0</v>
      </c>
      <c r="Q42" s="28">
        <f>sum(P42:P45)</f>
        <v>0</v>
      </c>
      <c r="S42" s="22" t="str">
        <f t="shared" ref="S42:U42" si="50">if(sum(F42:F45)=0,"",if(or(max(F42:F45)=6, max(F42:F45)=7),"G","E"))</f>
        <v/>
      </c>
      <c r="T42" s="22" t="str">
        <f t="shared" si="50"/>
        <v/>
      </c>
      <c r="U42" s="22" t="str">
        <f t="shared" si="50"/>
        <v/>
      </c>
      <c r="V42" s="22">
        <f>if(sum(F42:F45)=0,0,if(max(F42:F45)=F42,1,0)+if(max(G42:G45)=G42,1,0)+if(max(H42:H45)=H42,1,0))</f>
        <v>0</v>
      </c>
      <c r="AA42" s="24" t="str">
        <f t="shared" si="6"/>
        <v>#N/A</v>
      </c>
      <c r="AQ42" s="49">
        <f t="shared" si="7"/>
        <v>11</v>
      </c>
      <c r="AR42" s="22">
        <f t="shared" si="8"/>
        <v>0</v>
      </c>
      <c r="AS42" s="22">
        <f t="shared" si="9"/>
        <v>0</v>
      </c>
    </row>
    <row r="43">
      <c r="A43" s="24">
        <v>11.0</v>
      </c>
      <c r="B43" s="22"/>
      <c r="C43" s="22"/>
      <c r="D43" s="22"/>
      <c r="E43" s="24"/>
      <c r="F43" s="24"/>
      <c r="G43" s="24"/>
      <c r="H43" s="24"/>
      <c r="I43" s="24">
        <f t="shared" si="2"/>
        <v>0</v>
      </c>
      <c r="J43" s="24">
        <f>if(sum(F42:F45)=0,0,if(max(F42:F45)=F43,1,0)+if(max(G42:G45)=G43,1,0)+if(max(H42:H45)=H43,1,0))</f>
        <v>0</v>
      </c>
      <c r="K43" s="38">
        <f t="shared" si="3"/>
        <v>11</v>
      </c>
      <c r="L43" s="22"/>
      <c r="M43" s="24" t="str">
        <f t="shared" si="41"/>
        <v/>
      </c>
      <c r="N43" s="40" t="str">
        <f t="shared" si="42"/>
        <v/>
      </c>
      <c r="O43" s="2"/>
      <c r="P43" s="28">
        <f t="shared" si="4"/>
        <v>0</v>
      </c>
      <c r="S43" s="22" t="str">
        <f t="shared" ref="S43:U43" si="51">if(sum(F42:F45)=0,"",if(SUMPRODUCT(1/COUNTIF(F42:F45, F42:F45))=2,"G","E"))</f>
        <v/>
      </c>
      <c r="T43" s="22" t="str">
        <f t="shared" si="51"/>
        <v/>
      </c>
      <c r="U43" s="22" t="str">
        <f t="shared" si="51"/>
        <v/>
      </c>
      <c r="V43" s="22">
        <f>if(sum(F42:F45)=0,0,if(max(F42:F45)=F43,1,0)+if(max(G42:G45)=G43,1,0)+if(max(H42:H45)=H43,1,0))</f>
        <v>0</v>
      </c>
      <c r="AA43" s="24" t="str">
        <f t="shared" si="6"/>
        <v>#N/A</v>
      </c>
      <c r="AQ43" s="49">
        <f t="shared" si="7"/>
        <v>11</v>
      </c>
      <c r="AR43" s="22">
        <f t="shared" si="8"/>
        <v>0</v>
      </c>
      <c r="AS43" s="22">
        <f t="shared" si="9"/>
        <v>0</v>
      </c>
    </row>
    <row r="44">
      <c r="A44" s="24">
        <v>11.0</v>
      </c>
      <c r="B44" s="22"/>
      <c r="C44" s="22"/>
      <c r="D44" s="22"/>
      <c r="E44" s="24"/>
      <c r="F44" s="24"/>
      <c r="G44" s="24"/>
      <c r="H44" s="24"/>
      <c r="I44" s="24">
        <f t="shared" si="2"/>
        <v>0</v>
      </c>
      <c r="J44" s="24">
        <f>if(sum(F42:F45)=0,0,if(max(F42:F45)=F44,1,0)+if(max(G42:G45)=G44,1,0)+if(max(H42:H45)=H44,1,0))</f>
        <v>0</v>
      </c>
      <c r="K44" s="38">
        <f t="shared" si="3"/>
        <v>11</v>
      </c>
      <c r="L44" s="22"/>
      <c r="M44" s="24" t="str">
        <f t="shared" si="41"/>
        <v/>
      </c>
      <c r="N44" s="40" t="str">
        <f t="shared" si="42"/>
        <v/>
      </c>
      <c r="O44" s="2"/>
      <c r="P44" s="28">
        <f t="shared" si="4"/>
        <v>0</v>
      </c>
      <c r="S44" s="22" t="str">
        <f t="shared" ref="S44:U44" si="52">if(sum(F42:F45)=0,"",if(and(max(F42:F45)=7, min(F42:F45)=6),"G",if(max(F42:F45)-min(F42:F45)&gt;=2,"G","E")))</f>
        <v/>
      </c>
      <c r="T44" s="22" t="str">
        <f t="shared" si="52"/>
        <v/>
      </c>
      <c r="U44" s="22" t="str">
        <f t="shared" si="52"/>
        <v/>
      </c>
      <c r="V44" s="22">
        <f>if(sum(F42:F45)=0,0,if(max(F42:F45)=F44,1,0)+if(max(G42:G45)=G44,1,0)+if(max(H42:H45)=H44,1,0))</f>
        <v>0</v>
      </c>
      <c r="AA44" s="24" t="str">
        <f t="shared" si="6"/>
        <v>#N/A</v>
      </c>
      <c r="AQ44" s="49">
        <f t="shared" si="7"/>
        <v>11</v>
      </c>
      <c r="AR44" s="22">
        <f t="shared" si="8"/>
        <v>0</v>
      </c>
      <c r="AS44" s="22">
        <f t="shared" si="9"/>
        <v>0</v>
      </c>
    </row>
    <row r="45">
      <c r="A45" s="24">
        <v>11.0</v>
      </c>
      <c r="B45" s="22"/>
      <c r="C45" s="22"/>
      <c r="D45" s="22"/>
      <c r="E45" s="24"/>
      <c r="F45" s="24"/>
      <c r="G45" s="24"/>
      <c r="H45" s="24"/>
      <c r="I45" s="24">
        <f t="shared" si="2"/>
        <v>0</v>
      </c>
      <c r="J45" s="24">
        <f>if(sum(F42:F45)=0,0,if(max(F42:F45)=F45,1,0)+if(max(G42:G45)=G45,1,0)+if(max(H42:H45)=H45,1,0))</f>
        <v>0</v>
      </c>
      <c r="K45" s="38">
        <f t="shared" si="3"/>
        <v>11</v>
      </c>
      <c r="L45" s="24"/>
      <c r="M45" s="24" t="str">
        <f t="shared" si="41"/>
        <v/>
      </c>
      <c r="N45" s="40" t="str">
        <f t="shared" si="42"/>
        <v/>
      </c>
      <c r="P45" s="28">
        <f t="shared" si="4"/>
        <v>0</v>
      </c>
      <c r="S45" s="22" t="str">
        <f t="shared" ref="S45:U45" si="53">IF(COUNTIF(S42:S44, "") = 3, "", IF(COUNTIF(S42:S44, "G") = 3, "G", "E"))</f>
        <v/>
      </c>
      <c r="T45" s="22" t="str">
        <f t="shared" si="53"/>
        <v/>
      </c>
      <c r="U45" s="22" t="str">
        <f t="shared" si="53"/>
        <v/>
      </c>
      <c r="V45" s="22">
        <f>if(sum(F42:F45)=0,0,if(max(F42:F45)=F45,1,0)+if(max(G42:G45)=G45,1,0)+if(max(H42:H45)=H45,1,0))</f>
        <v>0</v>
      </c>
      <c r="AA45" s="24" t="str">
        <f t="shared" si="6"/>
        <v>#N/A</v>
      </c>
      <c r="AQ45" s="49">
        <f t="shared" si="7"/>
        <v>11</v>
      </c>
      <c r="AR45" s="22">
        <f t="shared" si="8"/>
        <v>0</v>
      </c>
      <c r="AS45" s="22">
        <f t="shared" si="9"/>
        <v>0</v>
      </c>
    </row>
    <row r="46">
      <c r="A46" s="99">
        <v>12.0</v>
      </c>
      <c r="B46" s="100"/>
      <c r="C46" s="100"/>
      <c r="D46" s="100"/>
      <c r="E46" s="100"/>
      <c r="F46" s="100"/>
      <c r="G46" s="100"/>
      <c r="H46" s="100"/>
      <c r="I46" s="100">
        <f t="shared" si="2"/>
        <v>0</v>
      </c>
      <c r="J46" s="100"/>
      <c r="K46" s="102">
        <f t="shared" si="3"/>
        <v>12</v>
      </c>
      <c r="L46" s="100"/>
      <c r="P46" s="28">
        <f t="shared" ref="P46:P65" si="54">countif(Z$73:Z$78,B46)</f>
        <v>0</v>
      </c>
    </row>
    <row r="47">
      <c r="A47" s="99">
        <v>12.0</v>
      </c>
      <c r="B47" s="100"/>
      <c r="C47" s="100"/>
      <c r="D47" s="100"/>
      <c r="E47" s="100"/>
      <c r="F47" s="100"/>
      <c r="G47" s="100"/>
      <c r="H47" s="100"/>
      <c r="I47" s="100">
        <f t="shared" si="2"/>
        <v>0</v>
      </c>
      <c r="J47" s="100"/>
      <c r="K47" s="102">
        <f t="shared" si="3"/>
        <v>12</v>
      </c>
      <c r="L47" s="100"/>
      <c r="P47" s="28">
        <f t="shared" si="54"/>
        <v>0</v>
      </c>
    </row>
    <row r="48">
      <c r="A48" s="99">
        <v>12.0</v>
      </c>
      <c r="B48" s="100"/>
      <c r="C48" s="100"/>
      <c r="D48" s="100"/>
      <c r="E48" s="100"/>
      <c r="F48" s="100"/>
      <c r="G48" s="100"/>
      <c r="H48" s="100"/>
      <c r="I48" s="100">
        <f t="shared" si="2"/>
        <v>0</v>
      </c>
      <c r="J48" s="100"/>
      <c r="K48" s="102">
        <f t="shared" si="3"/>
        <v>12</v>
      </c>
      <c r="L48" s="100"/>
      <c r="P48" s="28">
        <f t="shared" si="54"/>
        <v>0</v>
      </c>
    </row>
    <row r="49">
      <c r="A49" s="99">
        <v>12.0</v>
      </c>
      <c r="B49" s="100"/>
      <c r="C49" s="100"/>
      <c r="D49" s="100"/>
      <c r="E49" s="100"/>
      <c r="F49" s="100"/>
      <c r="G49" s="100"/>
      <c r="H49" s="100"/>
      <c r="I49" s="100">
        <f t="shared" si="2"/>
        <v>0</v>
      </c>
      <c r="J49" s="100"/>
      <c r="K49" s="102">
        <f t="shared" si="3"/>
        <v>12</v>
      </c>
      <c r="L49" s="100"/>
      <c r="P49" s="28">
        <f t="shared" si="54"/>
        <v>0</v>
      </c>
    </row>
    <row r="50">
      <c r="A50" s="99">
        <v>13.0</v>
      </c>
      <c r="B50" s="100"/>
      <c r="C50" s="100"/>
      <c r="D50" s="100"/>
      <c r="E50" s="100"/>
      <c r="F50" s="100"/>
      <c r="G50" s="100"/>
      <c r="H50" s="100"/>
      <c r="I50" s="100">
        <f t="shared" si="2"/>
        <v>0</v>
      </c>
      <c r="J50" s="100"/>
      <c r="K50" s="102">
        <f t="shared" si="3"/>
        <v>13</v>
      </c>
      <c r="L50" s="100"/>
      <c r="P50" s="28">
        <f t="shared" si="54"/>
        <v>0</v>
      </c>
    </row>
    <row r="51">
      <c r="A51" s="99">
        <v>13.0</v>
      </c>
      <c r="B51" s="100"/>
      <c r="C51" s="100"/>
      <c r="D51" s="100"/>
      <c r="E51" s="100"/>
      <c r="F51" s="100"/>
      <c r="G51" s="100"/>
      <c r="H51" s="100"/>
      <c r="I51" s="100">
        <f t="shared" si="2"/>
        <v>0</v>
      </c>
      <c r="J51" s="100"/>
      <c r="K51" s="102">
        <f t="shared" si="3"/>
        <v>13</v>
      </c>
      <c r="L51" s="100"/>
      <c r="P51" s="28">
        <f t="shared" si="54"/>
        <v>0</v>
      </c>
    </row>
    <row r="52">
      <c r="A52" s="99">
        <v>13.0</v>
      </c>
      <c r="B52" s="100"/>
      <c r="C52" s="100"/>
      <c r="D52" s="100"/>
      <c r="E52" s="100"/>
      <c r="F52" s="100"/>
      <c r="G52" s="100"/>
      <c r="H52" s="100"/>
      <c r="I52" s="100">
        <f t="shared" si="2"/>
        <v>0</v>
      </c>
      <c r="J52" s="100"/>
      <c r="K52" s="102">
        <f t="shared" si="3"/>
        <v>13</v>
      </c>
      <c r="L52" s="100"/>
      <c r="P52" s="28">
        <f t="shared" si="54"/>
        <v>0</v>
      </c>
    </row>
    <row r="53">
      <c r="A53" s="99">
        <v>13.0</v>
      </c>
      <c r="B53" s="100"/>
      <c r="C53" s="100"/>
      <c r="D53" s="100"/>
      <c r="E53" s="100"/>
      <c r="F53" s="100"/>
      <c r="G53" s="100"/>
      <c r="H53" s="100"/>
      <c r="I53" s="100">
        <f t="shared" si="2"/>
        <v>0</v>
      </c>
      <c r="J53" s="100"/>
      <c r="K53" s="102">
        <f t="shared" si="3"/>
        <v>13</v>
      </c>
      <c r="L53" s="100"/>
      <c r="P53" s="28">
        <f t="shared" si="54"/>
        <v>0</v>
      </c>
    </row>
    <row r="54">
      <c r="A54" s="99">
        <v>14.0</v>
      </c>
      <c r="B54" s="100"/>
      <c r="C54" s="100"/>
      <c r="D54" s="100"/>
      <c r="E54" s="100"/>
      <c r="F54" s="100"/>
      <c r="G54" s="100"/>
      <c r="H54" s="100"/>
      <c r="I54" s="100">
        <f t="shared" si="2"/>
        <v>0</v>
      </c>
      <c r="J54" s="100"/>
      <c r="K54" s="102">
        <f t="shared" si="3"/>
        <v>14</v>
      </c>
      <c r="L54" s="100"/>
      <c r="P54" s="28">
        <f t="shared" si="54"/>
        <v>0</v>
      </c>
    </row>
    <row r="55">
      <c r="A55" s="99">
        <v>14.0</v>
      </c>
      <c r="B55" s="100"/>
      <c r="C55" s="100"/>
      <c r="D55" s="100"/>
      <c r="E55" s="100"/>
      <c r="F55" s="100"/>
      <c r="G55" s="100"/>
      <c r="H55" s="100"/>
      <c r="I55" s="100">
        <f t="shared" si="2"/>
        <v>0</v>
      </c>
      <c r="J55" s="100"/>
      <c r="K55" s="102">
        <f t="shared" si="3"/>
        <v>14</v>
      </c>
      <c r="L55" s="100"/>
      <c r="P55" s="28">
        <f t="shared" si="54"/>
        <v>0</v>
      </c>
    </row>
    <row r="56">
      <c r="A56" s="99">
        <v>14.0</v>
      </c>
      <c r="B56" s="100"/>
      <c r="C56" s="100"/>
      <c r="D56" s="100"/>
      <c r="E56" s="100"/>
      <c r="F56" s="100"/>
      <c r="G56" s="100"/>
      <c r="H56" s="100"/>
      <c r="I56" s="100">
        <f t="shared" si="2"/>
        <v>0</v>
      </c>
      <c r="J56" s="100"/>
      <c r="K56" s="102">
        <f t="shared" si="3"/>
        <v>14</v>
      </c>
      <c r="L56" s="100"/>
      <c r="P56" s="28">
        <f t="shared" si="54"/>
        <v>0</v>
      </c>
    </row>
    <row r="57">
      <c r="A57" s="99">
        <v>14.0</v>
      </c>
      <c r="B57" s="100"/>
      <c r="C57" s="100"/>
      <c r="D57" s="100"/>
      <c r="E57" s="100"/>
      <c r="F57" s="100"/>
      <c r="G57" s="100"/>
      <c r="H57" s="100"/>
      <c r="I57" s="100">
        <f t="shared" si="2"/>
        <v>0</v>
      </c>
      <c r="J57" s="100"/>
      <c r="K57" s="102">
        <f t="shared" si="3"/>
        <v>14</v>
      </c>
      <c r="L57" s="100"/>
      <c r="P57" s="28">
        <f t="shared" si="54"/>
        <v>0</v>
      </c>
    </row>
    <row r="58">
      <c r="A58" s="99">
        <v>15.0</v>
      </c>
      <c r="B58" s="100"/>
      <c r="C58" s="100"/>
      <c r="D58" s="100"/>
      <c r="E58" s="100"/>
      <c r="F58" s="100"/>
      <c r="G58" s="100"/>
      <c r="H58" s="100"/>
      <c r="I58" s="100">
        <f t="shared" si="2"/>
        <v>0</v>
      </c>
      <c r="J58" s="100"/>
      <c r="K58" s="102">
        <f t="shared" si="3"/>
        <v>15</v>
      </c>
      <c r="L58" s="100"/>
      <c r="P58" s="28">
        <f t="shared" si="54"/>
        <v>0</v>
      </c>
    </row>
    <row r="59">
      <c r="A59" s="99">
        <v>15.0</v>
      </c>
      <c r="B59" s="100"/>
      <c r="C59" s="100"/>
      <c r="D59" s="100"/>
      <c r="E59" s="100"/>
      <c r="F59" s="100"/>
      <c r="G59" s="100"/>
      <c r="H59" s="100"/>
      <c r="I59" s="100">
        <f t="shared" si="2"/>
        <v>0</v>
      </c>
      <c r="J59" s="100"/>
      <c r="K59" s="102">
        <f t="shared" si="3"/>
        <v>15</v>
      </c>
      <c r="L59" s="100"/>
      <c r="P59" s="28">
        <f t="shared" si="54"/>
        <v>0</v>
      </c>
    </row>
    <row r="60">
      <c r="A60" s="99">
        <v>15.0</v>
      </c>
      <c r="B60" s="100"/>
      <c r="C60" s="100"/>
      <c r="D60" s="100"/>
      <c r="E60" s="100"/>
      <c r="F60" s="100"/>
      <c r="G60" s="100"/>
      <c r="H60" s="100"/>
      <c r="I60" s="100">
        <f t="shared" si="2"/>
        <v>0</v>
      </c>
      <c r="J60" s="100"/>
      <c r="K60" s="102">
        <f t="shared" si="3"/>
        <v>15</v>
      </c>
      <c r="L60" s="100"/>
      <c r="P60" s="28">
        <f t="shared" si="54"/>
        <v>0</v>
      </c>
    </row>
    <row r="61">
      <c r="A61" s="99">
        <v>15.0</v>
      </c>
      <c r="B61" s="100"/>
      <c r="C61" s="100"/>
      <c r="D61" s="100"/>
      <c r="E61" s="100"/>
      <c r="F61" s="100"/>
      <c r="G61" s="100"/>
      <c r="H61" s="100"/>
      <c r="I61" s="100">
        <f t="shared" si="2"/>
        <v>0</v>
      </c>
      <c r="J61" s="100"/>
      <c r="K61" s="102">
        <f t="shared" si="3"/>
        <v>15</v>
      </c>
      <c r="L61" s="100"/>
      <c r="P61" s="28">
        <f t="shared" si="54"/>
        <v>0</v>
      </c>
    </row>
    <row r="62">
      <c r="A62" s="99">
        <v>16.0</v>
      </c>
      <c r="B62" s="100"/>
      <c r="C62" s="100"/>
      <c r="D62" s="100"/>
      <c r="E62" s="100"/>
      <c r="F62" s="100"/>
      <c r="G62" s="100"/>
      <c r="H62" s="100"/>
      <c r="I62" s="100">
        <f t="shared" si="2"/>
        <v>0</v>
      </c>
      <c r="J62" s="100"/>
      <c r="K62" s="102">
        <f t="shared" si="3"/>
        <v>16</v>
      </c>
      <c r="L62" s="100"/>
      <c r="P62" s="28">
        <f t="shared" si="54"/>
        <v>0</v>
      </c>
    </row>
    <row r="63">
      <c r="A63" s="99">
        <v>16.0</v>
      </c>
      <c r="B63" s="100"/>
      <c r="C63" s="100"/>
      <c r="D63" s="100"/>
      <c r="E63" s="100"/>
      <c r="F63" s="100"/>
      <c r="G63" s="100"/>
      <c r="H63" s="100"/>
      <c r="I63" s="100">
        <f t="shared" si="2"/>
        <v>0</v>
      </c>
      <c r="J63" s="100"/>
      <c r="K63" s="102">
        <f t="shared" si="3"/>
        <v>16</v>
      </c>
      <c r="L63" s="100"/>
      <c r="P63" s="28">
        <f t="shared" si="54"/>
        <v>0</v>
      </c>
      <c r="X63" s="61" t="s">
        <v>173</v>
      </c>
      <c r="Y63" s="61" t="s">
        <v>0</v>
      </c>
      <c r="Z63" s="61" t="s">
        <v>26</v>
      </c>
      <c r="AC63" s="28" t="str">
        <f>Checkin!O15</f>
        <v>Playing</v>
      </c>
      <c r="AD63" s="28">
        <f>Checkin!P15</f>
        <v>0</v>
      </c>
    </row>
    <row r="64">
      <c r="A64" s="99">
        <v>16.0</v>
      </c>
      <c r="B64" s="100"/>
      <c r="C64" s="100"/>
      <c r="D64" s="100"/>
      <c r="E64" s="100"/>
      <c r="F64" s="100"/>
      <c r="G64" s="100"/>
      <c r="H64" s="100"/>
      <c r="I64" s="100">
        <f t="shared" si="2"/>
        <v>0</v>
      </c>
      <c r="J64" s="100"/>
      <c r="K64" s="102">
        <f t="shared" si="3"/>
        <v>16</v>
      </c>
      <c r="L64" s="100"/>
      <c r="P64" s="28">
        <f t="shared" si="54"/>
        <v>0</v>
      </c>
      <c r="X64" s="24" t="s">
        <v>174</v>
      </c>
      <c r="Y64" s="40">
        <f t="array" ref="Y64">if(AD63&gt;=9,_xlfn.XLOOKUP("Y", AD73:AD79, AB73:AB79, 0),0)</f>
        <v>0</v>
      </c>
      <c r="Z64" s="40" t="str">
        <f t="array" ref="Z64">if(AD63&gt;=9,_xlfn.XLOOKUP("Y", AD73:AD79, Z73:Z79, "No Admin Found"),"WHS Admin not needed")</f>
        <v>WHS Admin not needed</v>
      </c>
    </row>
    <row r="65">
      <c r="A65" s="99">
        <v>16.0</v>
      </c>
      <c r="B65" s="100"/>
      <c r="C65" s="100"/>
      <c r="D65" s="100"/>
      <c r="E65" s="100"/>
      <c r="F65" s="100"/>
      <c r="G65" s="100"/>
      <c r="H65" s="100"/>
      <c r="I65" s="100">
        <f t="shared" si="2"/>
        <v>0</v>
      </c>
      <c r="J65" s="100"/>
      <c r="K65" s="102">
        <f t="shared" si="3"/>
        <v>16</v>
      </c>
      <c r="L65" s="100"/>
      <c r="P65" s="28">
        <f t="shared" si="54"/>
        <v>0</v>
      </c>
      <c r="X65" s="24" t="s">
        <v>175</v>
      </c>
      <c r="Y65" s="40">
        <f t="array" ref="Y65">if(AD63&gt;=10,_xlfn.XLOOKUP(MINIFS(AK73:AK83, AK73:AK83, "&gt;0"), AK73:AK83, AG73:AG83, "None Found"),0)</f>
        <v>0</v>
      </c>
      <c r="Z65" s="40"/>
    </row>
    <row r="66">
      <c r="K66" s="2"/>
      <c r="X66" s="24" t="s">
        <v>176</v>
      </c>
      <c r="Y66" s="40">
        <f>IFERROR(__xludf.DUMMYFUNCTION("if(AD63=11,XLOOKUP(SMALL(FILTER(AK73:AK83, AK73:AK83 &gt; 0), 2), AK73:AK83, AG73:AG83, ""None Found""),0)"),0.0)</f>
        <v>0</v>
      </c>
      <c r="Z66" s="40"/>
    </row>
    <row r="67">
      <c r="K67" s="2"/>
    </row>
    <row r="68">
      <c r="K68" s="2"/>
    </row>
    <row r="69">
      <c r="A69" s="104" t="s">
        <v>177</v>
      </c>
      <c r="B69" s="26"/>
      <c r="C69" s="26"/>
      <c r="D69" s="27"/>
      <c r="K69" s="2"/>
    </row>
    <row r="70">
      <c r="A70" s="105" t="s">
        <v>178</v>
      </c>
      <c r="B70" s="26"/>
      <c r="C70" s="26"/>
      <c r="D70" s="27"/>
      <c r="E70" s="106"/>
      <c r="F70" s="106"/>
      <c r="G70" s="106"/>
      <c r="H70" s="106"/>
      <c r="I70" s="106"/>
      <c r="J70" s="106"/>
      <c r="K70" s="67"/>
      <c r="Z70" s="45" t="s">
        <v>179</v>
      </c>
    </row>
    <row r="71">
      <c r="A71" s="3" t="s">
        <v>0</v>
      </c>
      <c r="B71" s="3" t="s">
        <v>1</v>
      </c>
      <c r="C71" s="6" t="s">
        <v>4</v>
      </c>
      <c r="D71" s="18" t="s">
        <v>6</v>
      </c>
      <c r="E71" s="106"/>
      <c r="F71" s="106"/>
      <c r="G71" s="106"/>
      <c r="H71" s="106"/>
      <c r="I71" s="106"/>
      <c r="J71" s="106"/>
      <c r="K71" s="67"/>
      <c r="M71" s="67"/>
      <c r="N71" s="67"/>
      <c r="O71" s="67"/>
      <c r="P71" s="67"/>
      <c r="Q71" s="67"/>
      <c r="R71" s="67"/>
      <c r="S71" s="71"/>
      <c r="T71" s="71"/>
      <c r="U71" s="71"/>
      <c r="V71" s="71"/>
      <c r="W71" s="71"/>
      <c r="X71" s="71"/>
      <c r="Y71" s="71"/>
    </row>
    <row r="72">
      <c r="A72" s="24">
        <v>1.0</v>
      </c>
      <c r="B72" s="22" t="str">
        <f>IFERROR(__xludf.DUMMYFUNCTION("QUERY(A2:AD45, ""SELECT B, C, D WHERE M IS NULL OR M = ''"", 0)"),"#N/A")</f>
        <v>#N/A</v>
      </c>
      <c r="C72" s="22"/>
      <c r="D72" s="22"/>
      <c r="E72" s="28">
        <f t="shared" ref="E72:E103" si="55">A72</f>
        <v>1</v>
      </c>
      <c r="K72" s="2"/>
      <c r="M72" s="71"/>
      <c r="N72" s="71"/>
      <c r="O72" s="71"/>
      <c r="P72" s="71"/>
      <c r="Q72" s="71"/>
      <c r="R72" s="71"/>
      <c r="Z72" s="107" t="s">
        <v>26</v>
      </c>
      <c r="AA72" s="107" t="s">
        <v>180</v>
      </c>
      <c r="AB72" s="107" t="s">
        <v>31</v>
      </c>
      <c r="AC72" s="107" t="s">
        <v>99</v>
      </c>
      <c r="AD72" s="107" t="s">
        <v>181</v>
      </c>
      <c r="AG72" s="57" t="s">
        <v>31</v>
      </c>
      <c r="AH72" s="57" t="s">
        <v>99</v>
      </c>
      <c r="AI72" s="70" t="s">
        <v>182</v>
      </c>
      <c r="AJ72" s="82" t="s">
        <v>33</v>
      </c>
      <c r="AK72" s="82" t="s">
        <v>39</v>
      </c>
    </row>
    <row r="73">
      <c r="A73" s="24">
        <v>1.0</v>
      </c>
      <c r="B73" s="22"/>
      <c r="C73" s="22"/>
      <c r="D73" s="22"/>
      <c r="E73" s="28">
        <f t="shared" si="55"/>
        <v>1</v>
      </c>
      <c r="K73" s="2"/>
      <c r="M73" s="108"/>
      <c r="N73" s="108"/>
      <c r="O73" s="106"/>
      <c r="P73" s="106"/>
      <c r="Q73" s="106"/>
      <c r="R73" s="106"/>
      <c r="Z73" s="22" t="s">
        <v>102</v>
      </c>
      <c r="AA73" s="40" t="str">
        <f t="shared" ref="AA73:AA79" si="56">if(countif(B$2:B$45,Z73)=0,"N","Y")</f>
        <v>N</v>
      </c>
      <c r="AB73" s="109">
        <f t="shared" ref="AB73:AB79" si="57">if(AA73="Y",VLOOKUP(Z73,B$2:K$45,10,false),0)</f>
        <v>0</v>
      </c>
      <c r="AC73" s="57">
        <f t="array" ref="AC73">IF(AB73&gt;0, VLOOKUP(AB73, {VALUE($AG$73:$AG$83), $AH$73:$AH$83}, 2, FALSE), 0)</f>
        <v>0</v>
      </c>
      <c r="AD73" s="40" t="str">
        <f t="shared" ref="AD73:AD79" si="58">if(AC73=1,"Y","N")</f>
        <v>N</v>
      </c>
      <c r="AG73" s="110">
        <f>value(AM73)</f>
        <v>1</v>
      </c>
      <c r="AH73" s="109">
        <f>AN73</f>
        <v>0</v>
      </c>
      <c r="AI73" s="40">
        <f>O2</f>
        <v>0</v>
      </c>
      <c r="AJ73" s="40">
        <f t="shared" ref="AJ73:AJ83" si="60">AO73</f>
        <v>1</v>
      </c>
      <c r="AK73" s="40">
        <f>IFERROR(__xludf.DUMMYFUNCTION("IF(AND(AH73=0, AJ73&gt;0), RANK(AI73, FILTER($AI$73:$AI$83, ($AH$73:$AH$83=0)*($AJ$73:$AJ$83&gt;0)), 1) + COUNTIFS($AH$73:AH73, 0, $AJ$73:AJ73, ""&gt;0"", $AI$73:AI73, AI73) - 1, """")"),1.0)</f>
        <v>1</v>
      </c>
    </row>
    <row r="74">
      <c r="A74" s="24">
        <v>1.0</v>
      </c>
      <c r="B74" s="22"/>
      <c r="C74" s="22"/>
      <c r="D74" s="22"/>
      <c r="E74" s="28">
        <f t="shared" si="55"/>
        <v>1</v>
      </c>
      <c r="K74" s="2"/>
      <c r="Z74" s="22" t="s">
        <v>68</v>
      </c>
      <c r="AA74" s="40" t="str">
        <f t="shared" si="56"/>
        <v>N</v>
      </c>
      <c r="AB74" s="109">
        <f t="shared" si="57"/>
        <v>0</v>
      </c>
      <c r="AC74" s="40">
        <f t="shared" ref="AC74:AC79" si="61">if(AB74&gt;0,VLOOKUP(AB74,AG$73:AH$83,2,false),0)</f>
        <v>0</v>
      </c>
      <c r="AD74" s="40" t="str">
        <f t="shared" si="58"/>
        <v>N</v>
      </c>
      <c r="AG74" s="110">
        <f t="shared" ref="AG74:AH74" si="59">AM74</f>
        <v>2</v>
      </c>
      <c r="AH74" s="109">
        <f t="shared" si="59"/>
        <v>0</v>
      </c>
      <c r="AI74" s="40">
        <f>O6</f>
        <v>0</v>
      </c>
      <c r="AJ74" s="40">
        <f t="shared" si="60"/>
        <v>0</v>
      </c>
      <c r="AK74" s="40" t="str">
        <f>IFERROR(__xludf.DUMMYFUNCTION("IF(AND(AH74=0, AJ74&gt;0), RANK(AI74, FILTER($AI$73:$AI$83, ($AH$73:$AH$83=0)*($AJ$73:$AJ$83&gt;0)), 1) + COUNTIFS($AH$73:AH74, 0, $AJ$73:AJ74, ""&gt;0"", $AI$73:AI74, AI74) - 1, """")"),"")</f>
        <v/>
      </c>
    </row>
    <row r="75">
      <c r="A75" s="24">
        <v>1.0</v>
      </c>
      <c r="B75" s="22"/>
      <c r="C75" s="22"/>
      <c r="D75" s="22"/>
      <c r="E75" s="28">
        <f t="shared" si="55"/>
        <v>1</v>
      </c>
      <c r="K75" s="2"/>
      <c r="Z75" s="22" t="s">
        <v>87</v>
      </c>
      <c r="AA75" s="40" t="str">
        <f t="shared" si="56"/>
        <v>N</v>
      </c>
      <c r="AB75" s="109">
        <f t="shared" si="57"/>
        <v>0</v>
      </c>
      <c r="AC75" s="40">
        <f t="shared" si="61"/>
        <v>0</v>
      </c>
      <c r="AD75" s="40" t="str">
        <f t="shared" si="58"/>
        <v>N</v>
      </c>
      <c r="AG75" s="110">
        <f t="shared" ref="AG75:AH75" si="62">AM75</f>
        <v>3</v>
      </c>
      <c r="AH75" s="109">
        <f t="shared" si="62"/>
        <v>0</v>
      </c>
      <c r="AI75" s="40">
        <f>O10</f>
        <v>0</v>
      </c>
      <c r="AJ75" s="40">
        <f t="shared" si="60"/>
        <v>0</v>
      </c>
      <c r="AK75" s="40" t="str">
        <f>IFERROR(__xludf.DUMMYFUNCTION("IF(AND(AH75=0, AJ75&gt;0), RANK(AI75, FILTER($AI$73:$AI$83, ($AH$73:$AH$83=0)*($AJ$73:$AJ$83&gt;0)), 1) + COUNTIFS($AH$73:AH75, 0, $AJ$73:AJ75, ""&gt;0"", $AI$73:AI75, AI75) - 1, """")"),"")</f>
        <v/>
      </c>
    </row>
    <row r="76">
      <c r="A76" s="62">
        <v>2.0</v>
      </c>
      <c r="B76" s="63"/>
      <c r="C76" s="63"/>
      <c r="D76" s="63"/>
      <c r="E76" s="28">
        <f t="shared" si="55"/>
        <v>2</v>
      </c>
      <c r="K76" s="2"/>
      <c r="Z76" s="22" t="s">
        <v>101</v>
      </c>
      <c r="AA76" s="40" t="str">
        <f t="shared" si="56"/>
        <v>N</v>
      </c>
      <c r="AB76" s="109">
        <f t="shared" si="57"/>
        <v>0</v>
      </c>
      <c r="AC76" s="40">
        <f t="shared" si="61"/>
        <v>0</v>
      </c>
      <c r="AD76" s="40" t="str">
        <f t="shared" si="58"/>
        <v>N</v>
      </c>
      <c r="AG76" s="110">
        <f t="shared" ref="AG76:AH76" si="63">AM76</f>
        <v>4</v>
      </c>
      <c r="AH76" s="109">
        <f t="shared" si="63"/>
        <v>0</v>
      </c>
      <c r="AI76" s="40">
        <f>O14</f>
        <v>0</v>
      </c>
      <c r="AJ76" s="40">
        <f t="shared" si="60"/>
        <v>0</v>
      </c>
      <c r="AK76" s="40" t="str">
        <f>IFERROR(__xludf.DUMMYFUNCTION("IF(AND(AH76=0, AJ76&gt;0), RANK(AI76, FILTER($AI$73:$AI$83, ($AH$73:$AH$83=0)*($AJ$73:$AJ$83&gt;0)), 1) + COUNTIFS($AH$73:AH76, 0, $AJ$73:AJ76, ""&gt;0"", $AI$73:AI76, AI76) - 1, """")"),"")</f>
        <v/>
      </c>
    </row>
    <row r="77">
      <c r="A77" s="62">
        <v>2.0</v>
      </c>
      <c r="B77" s="63"/>
      <c r="C77" s="63"/>
      <c r="D77" s="63"/>
      <c r="E77" s="28">
        <f t="shared" si="55"/>
        <v>2</v>
      </c>
      <c r="K77" s="2"/>
      <c r="Z77" s="22" t="s">
        <v>104</v>
      </c>
      <c r="AA77" s="40" t="str">
        <f t="shared" si="56"/>
        <v>N</v>
      </c>
      <c r="AB77" s="109">
        <f t="shared" si="57"/>
        <v>0</v>
      </c>
      <c r="AC77" s="40">
        <f t="shared" si="61"/>
        <v>0</v>
      </c>
      <c r="AD77" s="40" t="str">
        <f t="shared" si="58"/>
        <v>N</v>
      </c>
      <c r="AG77" s="110">
        <f t="shared" ref="AG77:AH77" si="64">AM77</f>
        <v>5</v>
      </c>
      <c r="AH77" s="109">
        <f t="shared" si="64"/>
        <v>0</v>
      </c>
      <c r="AI77" s="40">
        <f>O18</f>
        <v>0</v>
      </c>
      <c r="AJ77" s="40">
        <f t="shared" si="60"/>
        <v>0</v>
      </c>
      <c r="AK77" s="40" t="str">
        <f>IFERROR(__xludf.DUMMYFUNCTION("IF(AND(AH77=0, AJ77&gt;0), RANK(AI77, FILTER($AI$73:$AI$83, ($AH$73:$AH$83=0)*($AJ$73:$AJ$83&gt;0)), 1) + COUNTIFS($AH$73:AH77, 0, $AJ$73:AJ77, ""&gt;0"", $AI$73:AI77, AI77) - 1, """")"),"")</f>
        <v/>
      </c>
    </row>
    <row r="78">
      <c r="A78" s="62">
        <v>2.0</v>
      </c>
      <c r="B78" s="63"/>
      <c r="C78" s="63"/>
      <c r="D78" s="63"/>
      <c r="E78" s="28">
        <f t="shared" si="55"/>
        <v>2</v>
      </c>
      <c r="K78" s="2"/>
      <c r="Z78" s="22" t="s">
        <v>105</v>
      </c>
      <c r="AA78" s="40" t="str">
        <f t="shared" si="56"/>
        <v>N</v>
      </c>
      <c r="AB78" s="109">
        <f t="shared" si="57"/>
        <v>0</v>
      </c>
      <c r="AC78" s="40">
        <f t="shared" si="61"/>
        <v>0</v>
      </c>
      <c r="AD78" s="40" t="str">
        <f t="shared" si="58"/>
        <v>N</v>
      </c>
      <c r="AG78" s="110">
        <f t="shared" ref="AG78:AH78" si="65">AM78</f>
        <v>6</v>
      </c>
      <c r="AH78" s="109">
        <f t="shared" si="65"/>
        <v>0</v>
      </c>
      <c r="AI78" s="40">
        <f>O22</f>
        <v>0</v>
      </c>
      <c r="AJ78" s="40">
        <f t="shared" si="60"/>
        <v>0</v>
      </c>
      <c r="AK78" s="40" t="str">
        <f>IFERROR(__xludf.DUMMYFUNCTION("IF(AND(AH78=0, AJ78&gt;0), RANK(AI78, FILTER($AI$73:$AI$83, ($AH$73:$AH$83=0)*($AJ$73:$AJ$83&gt;0)), 1) + COUNTIFS($AH$73:AH78, 0, $AJ$73:AJ78, ""&gt;0"", $AI$73:AI78, AI78) - 1, """")"),"")</f>
        <v/>
      </c>
    </row>
    <row r="79">
      <c r="A79" s="62">
        <v>2.0</v>
      </c>
      <c r="B79" s="63"/>
      <c r="C79" s="63"/>
      <c r="D79" s="63"/>
      <c r="E79" s="28">
        <f t="shared" si="55"/>
        <v>2</v>
      </c>
      <c r="K79" s="2"/>
      <c r="Z79" s="22" t="s">
        <v>103</v>
      </c>
      <c r="AA79" s="40" t="str">
        <f t="shared" si="56"/>
        <v>N</v>
      </c>
      <c r="AB79" s="109">
        <f t="shared" si="57"/>
        <v>0</v>
      </c>
      <c r="AC79" s="40">
        <f t="shared" si="61"/>
        <v>0</v>
      </c>
      <c r="AD79" s="40" t="str">
        <f t="shared" si="58"/>
        <v>N</v>
      </c>
      <c r="AG79" s="110">
        <f t="shared" ref="AG79:AH79" si="66">AM79</f>
        <v>7</v>
      </c>
      <c r="AH79" s="109">
        <f t="shared" si="66"/>
        <v>0</v>
      </c>
      <c r="AI79" s="40">
        <f>O26</f>
        <v>0</v>
      </c>
      <c r="AJ79" s="40">
        <f t="shared" si="60"/>
        <v>0</v>
      </c>
      <c r="AK79" s="40" t="str">
        <f>IFERROR(__xludf.DUMMYFUNCTION("IF(AND(AH79=0, AJ79&gt;0), RANK(AI79, FILTER($AI$73:$AI$83, ($AH$73:$AH$83=0)*($AJ$73:$AJ$83&gt;0)), 1) + COUNTIFS($AH$73:AH79, 0, $AJ$73:AJ79, ""&gt;0"", $AI$73:AI79, AI79) - 1, """")"),"")</f>
        <v/>
      </c>
    </row>
    <row r="80">
      <c r="A80" s="24">
        <v>3.0</v>
      </c>
      <c r="B80" s="22"/>
      <c r="C80" s="22"/>
      <c r="D80" s="22"/>
      <c r="E80" s="28">
        <f t="shared" si="55"/>
        <v>3</v>
      </c>
      <c r="K80" s="2"/>
      <c r="AG80" s="110">
        <f t="shared" ref="AG80:AH80" si="67">AM80</f>
        <v>8</v>
      </c>
      <c r="AH80" s="109">
        <f t="shared" si="67"/>
        <v>0</v>
      </c>
      <c r="AI80" s="40">
        <f>O30</f>
        <v>0</v>
      </c>
      <c r="AJ80" s="40">
        <f t="shared" si="60"/>
        <v>0</v>
      </c>
      <c r="AK80" s="40" t="str">
        <f>IFERROR(__xludf.DUMMYFUNCTION("IF(AND(AH80=0, AJ80&gt;0), RANK(AI80, FILTER($AI$73:$AI$83, ($AH$73:$AH$83=0)*($AJ$73:$AJ$83&gt;0)), 1) + COUNTIFS($AH$73:AH80, 0, $AJ$73:AJ80, ""&gt;0"", $AI$73:AI80, AI80) - 1, """")"),"")</f>
        <v/>
      </c>
    </row>
    <row r="81">
      <c r="A81" s="24">
        <v>3.0</v>
      </c>
      <c r="B81" s="22"/>
      <c r="C81" s="22"/>
      <c r="D81" s="22"/>
      <c r="E81" s="28">
        <f t="shared" si="55"/>
        <v>3</v>
      </c>
      <c r="K81" s="2"/>
      <c r="AG81" s="110">
        <f t="shared" ref="AG81:AH81" si="68">AM81</f>
        <v>9</v>
      </c>
      <c r="AH81" s="109">
        <f t="shared" si="68"/>
        <v>0</v>
      </c>
      <c r="AI81" s="40">
        <f>O34</f>
        <v>0</v>
      </c>
      <c r="AJ81" s="40">
        <f t="shared" si="60"/>
        <v>0</v>
      </c>
      <c r="AK81" s="40" t="str">
        <f>IFERROR(__xludf.DUMMYFUNCTION("IF(AND(AH81=0, AJ81&gt;0), RANK(AI81, FILTER($AI$73:$AI$83, ($AH$73:$AH$83=0)*($AJ$73:$AJ$83&gt;0)), 1) + COUNTIFS($AH$73:AH81, 0, $AJ$73:AJ81, ""&gt;0"", $AI$73:AI81, AI81) - 1, """")"),"")</f>
        <v/>
      </c>
    </row>
    <row r="82">
      <c r="A82" s="24">
        <v>3.0</v>
      </c>
      <c r="B82" s="22"/>
      <c r="C82" s="22"/>
      <c r="D82" s="22"/>
      <c r="E82" s="28">
        <f t="shared" si="55"/>
        <v>3</v>
      </c>
      <c r="K82" s="2"/>
      <c r="AG82" s="110">
        <f t="shared" ref="AG82:AH82" si="69">AM82</f>
        <v>10</v>
      </c>
      <c r="AH82" s="109">
        <f t="shared" si="69"/>
        <v>0</v>
      </c>
      <c r="AI82" s="40">
        <f>O38</f>
        <v>0</v>
      </c>
      <c r="AJ82" s="40">
        <f t="shared" si="60"/>
        <v>0</v>
      </c>
      <c r="AK82" s="40" t="str">
        <f>IFERROR(__xludf.DUMMYFUNCTION("IF(AND(AH82=0, AJ82&gt;0), RANK(AI82, FILTER($AI$73:$AI$83, ($AH$73:$AH$83=0)*($AJ$73:$AJ$83&gt;0)), 1) + COUNTIFS($AH$73:AH82, 0, $AJ$73:AJ82, ""&gt;0"", $AI$73:AI82, AI82) - 1, """")"),"")</f>
        <v/>
      </c>
    </row>
    <row r="83">
      <c r="A83" s="24">
        <v>3.0</v>
      </c>
      <c r="B83" s="22"/>
      <c r="C83" s="22"/>
      <c r="D83" s="22"/>
      <c r="E83" s="28">
        <f t="shared" si="55"/>
        <v>3</v>
      </c>
      <c r="K83" s="2"/>
      <c r="AG83" s="110">
        <f t="shared" ref="AG83:AH83" si="70">AM83</f>
        <v>11</v>
      </c>
      <c r="AH83" s="109">
        <f t="shared" si="70"/>
        <v>0</v>
      </c>
      <c r="AI83" s="40">
        <f>O42</f>
        <v>0</v>
      </c>
      <c r="AJ83" s="40">
        <f t="shared" si="60"/>
        <v>0</v>
      </c>
      <c r="AK83" s="40" t="str">
        <f>IFERROR(__xludf.DUMMYFUNCTION("IF(AND(AH83=0, AJ83&gt;0), RANK(AI83, FILTER($AI$73:$AI$83, ($AH$73:$AH$83=0)*($AJ$73:$AJ$83&gt;0)), 1) + COUNTIFS($AH$73:AH83, 0, $AJ$73:AJ83, ""&gt;0"", $AI$73:AI83, AI83) - 1, """")"),"")</f>
        <v/>
      </c>
    </row>
    <row r="84">
      <c r="A84" s="62">
        <v>4.0</v>
      </c>
      <c r="B84" s="63"/>
      <c r="C84" s="63"/>
      <c r="D84" s="63"/>
      <c r="E84" s="28">
        <f t="shared" si="55"/>
        <v>4</v>
      </c>
      <c r="K84" s="2"/>
    </row>
    <row r="85">
      <c r="A85" s="62">
        <v>4.0</v>
      </c>
      <c r="B85" s="63"/>
      <c r="C85" s="63"/>
      <c r="D85" s="63"/>
      <c r="E85" s="28">
        <f t="shared" si="55"/>
        <v>4</v>
      </c>
      <c r="K85" s="2"/>
      <c r="Z85" s="107" t="s">
        <v>26</v>
      </c>
    </row>
    <row r="86">
      <c r="A86" s="62">
        <v>4.0</v>
      </c>
      <c r="B86" s="63"/>
      <c r="C86" s="63"/>
      <c r="D86" s="63"/>
      <c r="E86" s="28">
        <f t="shared" si="55"/>
        <v>4</v>
      </c>
      <c r="K86" s="2"/>
      <c r="Z86" s="22" t="s">
        <v>87</v>
      </c>
    </row>
    <row r="87">
      <c r="A87" s="62">
        <v>4.0</v>
      </c>
      <c r="B87" s="63"/>
      <c r="C87" s="63"/>
      <c r="D87" s="63"/>
      <c r="E87" s="28">
        <f t="shared" si="55"/>
        <v>4</v>
      </c>
      <c r="K87" s="2"/>
      <c r="Z87" s="22" t="s">
        <v>68</v>
      </c>
    </row>
    <row r="88">
      <c r="A88" s="24">
        <v>5.0</v>
      </c>
      <c r="B88" s="22"/>
      <c r="C88" s="22"/>
      <c r="D88" s="22"/>
      <c r="E88" s="28">
        <f t="shared" si="55"/>
        <v>5</v>
      </c>
      <c r="K88" s="2"/>
      <c r="Z88" s="22" t="s">
        <v>102</v>
      </c>
    </row>
    <row r="89">
      <c r="A89" s="24">
        <v>5.0</v>
      </c>
      <c r="B89" s="22"/>
      <c r="C89" s="22"/>
      <c r="D89" s="22"/>
      <c r="E89" s="28">
        <f t="shared" si="55"/>
        <v>5</v>
      </c>
      <c r="K89" s="2"/>
      <c r="Z89" s="22" t="s">
        <v>101</v>
      </c>
    </row>
    <row r="90">
      <c r="A90" s="24">
        <v>5.0</v>
      </c>
      <c r="B90" s="22"/>
      <c r="C90" s="22"/>
      <c r="D90" s="22"/>
      <c r="E90" s="28">
        <f t="shared" si="55"/>
        <v>5</v>
      </c>
      <c r="K90" s="2"/>
      <c r="Z90" s="22" t="s">
        <v>104</v>
      </c>
    </row>
    <row r="91">
      <c r="A91" s="24">
        <v>5.0</v>
      </c>
      <c r="B91" s="22"/>
      <c r="C91" s="22"/>
      <c r="D91" s="22"/>
      <c r="E91" s="28">
        <f t="shared" si="55"/>
        <v>5</v>
      </c>
      <c r="K91" s="2"/>
      <c r="Z91" s="22" t="s">
        <v>105</v>
      </c>
    </row>
    <row r="92">
      <c r="A92" s="62">
        <v>6.0</v>
      </c>
      <c r="B92" s="63"/>
      <c r="C92" s="63"/>
      <c r="D92" s="63"/>
      <c r="E92" s="28">
        <f t="shared" si="55"/>
        <v>6</v>
      </c>
      <c r="K92" s="2"/>
      <c r="Z92" s="22" t="s">
        <v>103</v>
      </c>
    </row>
    <row r="93">
      <c r="A93" s="62">
        <v>6.0</v>
      </c>
      <c r="B93" s="63"/>
      <c r="C93" s="63"/>
      <c r="D93" s="63"/>
      <c r="E93" s="28">
        <f t="shared" si="55"/>
        <v>6</v>
      </c>
      <c r="K93" s="2"/>
    </row>
    <row r="94">
      <c r="A94" s="62">
        <v>6.0</v>
      </c>
      <c r="B94" s="63"/>
      <c r="C94" s="63"/>
      <c r="D94" s="63"/>
      <c r="E94" s="28">
        <f t="shared" si="55"/>
        <v>6</v>
      </c>
      <c r="K94" s="2"/>
    </row>
    <row r="95">
      <c r="A95" s="62">
        <v>6.0</v>
      </c>
      <c r="B95" s="63"/>
      <c r="C95" s="63"/>
      <c r="D95" s="63"/>
      <c r="E95" s="28">
        <f t="shared" si="55"/>
        <v>6</v>
      </c>
      <c r="K95" s="2"/>
    </row>
    <row r="96">
      <c r="A96" s="24">
        <v>7.0</v>
      </c>
      <c r="B96" s="22"/>
      <c r="C96" s="22"/>
      <c r="D96" s="22"/>
      <c r="E96" s="28">
        <f t="shared" si="55"/>
        <v>7</v>
      </c>
      <c r="K96" s="2"/>
    </row>
    <row r="97">
      <c r="A97" s="24">
        <v>7.0</v>
      </c>
      <c r="B97" s="22"/>
      <c r="C97" s="22"/>
      <c r="D97" s="22"/>
      <c r="E97" s="28">
        <f t="shared" si="55"/>
        <v>7</v>
      </c>
      <c r="K97" s="2"/>
    </row>
    <row r="98">
      <c r="A98" s="24">
        <v>7.0</v>
      </c>
      <c r="B98" s="22"/>
      <c r="C98" s="22"/>
      <c r="D98" s="22"/>
      <c r="E98" s="28">
        <f t="shared" si="55"/>
        <v>7</v>
      </c>
      <c r="K98" s="2"/>
    </row>
    <row r="99">
      <c r="A99" s="24">
        <v>7.0</v>
      </c>
      <c r="B99" s="22"/>
      <c r="C99" s="22"/>
      <c r="D99" s="22"/>
      <c r="E99" s="28">
        <f t="shared" si="55"/>
        <v>7</v>
      </c>
      <c r="K99" s="2"/>
    </row>
    <row r="100">
      <c r="A100" s="62">
        <v>8.0</v>
      </c>
      <c r="B100" s="63"/>
      <c r="C100" s="63"/>
      <c r="D100" s="63"/>
      <c r="E100" s="28">
        <f t="shared" si="55"/>
        <v>8</v>
      </c>
      <c r="K100" s="2"/>
    </row>
    <row r="101">
      <c r="A101" s="62">
        <v>8.0</v>
      </c>
      <c r="B101" s="63"/>
      <c r="C101" s="63"/>
      <c r="D101" s="63"/>
      <c r="E101" s="28">
        <f t="shared" si="55"/>
        <v>8</v>
      </c>
      <c r="K101" s="2"/>
    </row>
    <row r="102">
      <c r="A102" s="62">
        <v>8.0</v>
      </c>
      <c r="B102" s="63"/>
      <c r="C102" s="63"/>
      <c r="D102" s="63"/>
      <c r="E102" s="28">
        <f t="shared" si="55"/>
        <v>8</v>
      </c>
      <c r="K102" s="2"/>
    </row>
    <row r="103">
      <c r="A103" s="62">
        <v>8.0</v>
      </c>
      <c r="B103" s="63"/>
      <c r="C103" s="63"/>
      <c r="D103" s="63"/>
      <c r="E103" s="28">
        <f t="shared" si="55"/>
        <v>8</v>
      </c>
      <c r="K103" s="2"/>
    </row>
    <row r="104">
      <c r="B104" s="28"/>
      <c r="C104" s="28"/>
      <c r="D104" s="28"/>
      <c r="K104" s="2"/>
    </row>
    <row r="105">
      <c r="B105" s="28"/>
      <c r="C105" s="28"/>
      <c r="D105" s="28"/>
      <c r="K105" s="2"/>
    </row>
    <row r="106">
      <c r="B106" s="28"/>
      <c r="C106" s="28"/>
      <c r="D106" s="28"/>
      <c r="K106" s="2"/>
    </row>
    <row r="107">
      <c r="B107" s="28"/>
      <c r="C107" s="28"/>
      <c r="D107" s="28"/>
      <c r="K107" s="2"/>
    </row>
    <row r="108">
      <c r="B108" s="28"/>
      <c r="C108" s="28"/>
      <c r="D108" s="28"/>
      <c r="K108" s="2"/>
    </row>
    <row r="109">
      <c r="B109" s="28"/>
      <c r="C109" s="28"/>
      <c r="D109" s="28"/>
      <c r="K109" s="2"/>
    </row>
    <row r="110">
      <c r="B110" s="28"/>
      <c r="C110" s="28"/>
      <c r="D110" s="28"/>
      <c r="K110" s="2"/>
    </row>
    <row r="111">
      <c r="B111" s="28"/>
      <c r="C111" s="28"/>
      <c r="D111" s="28"/>
      <c r="K111" s="2"/>
    </row>
    <row r="112">
      <c r="B112" s="28"/>
      <c r="C112" s="28"/>
      <c r="D112" s="28"/>
      <c r="K112" s="2"/>
    </row>
    <row r="113">
      <c r="B113" s="28"/>
      <c r="C113" s="28"/>
      <c r="D113" s="28"/>
      <c r="K113" s="2"/>
    </row>
    <row r="114">
      <c r="B114" s="28"/>
      <c r="C114" s="28"/>
      <c r="D114" s="28"/>
      <c r="K114" s="2"/>
    </row>
    <row r="115">
      <c r="B115" s="28"/>
      <c r="C115" s="28"/>
      <c r="D115" s="28"/>
      <c r="K115" s="2"/>
    </row>
    <row r="116">
      <c r="K116" s="2"/>
    </row>
    <row r="117">
      <c r="K117" s="2"/>
    </row>
    <row r="118">
      <c r="K118" s="2"/>
    </row>
    <row r="119">
      <c r="A119" s="112" t="s">
        <v>185</v>
      </c>
      <c r="K119" s="2"/>
    </row>
    <row r="120">
      <c r="A120" s="67" t="s">
        <v>186</v>
      </c>
      <c r="K120" s="2"/>
    </row>
    <row r="121">
      <c r="A121" s="3" t="s">
        <v>0</v>
      </c>
      <c r="B121" s="3" t="s">
        <v>1</v>
      </c>
      <c r="C121" s="6" t="s">
        <v>4</v>
      </c>
      <c r="D121" s="18" t="s">
        <v>6</v>
      </c>
      <c r="K121" s="2"/>
    </row>
    <row r="122">
      <c r="A122" s="24">
        <v>1.0</v>
      </c>
      <c r="B122" s="28" t="str">
        <f>IFERROR(__xludf.DUMMYFUNCTION("IFERROR(QUERY(A2:AD45, ""SELECT B, C, D WHERE M = 'X'"", 0), """")"),"")</f>
        <v/>
      </c>
      <c r="C122" s="22"/>
      <c r="D122" s="22"/>
      <c r="E122" s="28">
        <f t="shared" ref="E122:E133" si="71">A122</f>
        <v>1</v>
      </c>
      <c r="K122" s="2"/>
    </row>
    <row r="123">
      <c r="A123" s="24">
        <v>1.0</v>
      </c>
      <c r="B123" s="22"/>
      <c r="C123" s="22"/>
      <c r="D123" s="22"/>
      <c r="E123" s="28">
        <f t="shared" si="71"/>
        <v>1</v>
      </c>
      <c r="K123" s="2"/>
    </row>
    <row r="124">
      <c r="A124" s="24">
        <v>1.0</v>
      </c>
      <c r="B124" s="22"/>
      <c r="C124" s="22"/>
      <c r="D124" s="22"/>
      <c r="E124" s="28">
        <f t="shared" si="71"/>
        <v>1</v>
      </c>
      <c r="K124" s="2"/>
    </row>
    <row r="125">
      <c r="A125" s="24">
        <v>1.0</v>
      </c>
      <c r="B125" s="22"/>
      <c r="C125" s="22"/>
      <c r="D125" s="22"/>
      <c r="E125" s="28">
        <f t="shared" si="71"/>
        <v>1</v>
      </c>
      <c r="K125" s="2"/>
    </row>
    <row r="126">
      <c r="A126" s="62">
        <v>2.0</v>
      </c>
      <c r="B126" s="63"/>
      <c r="C126" s="63"/>
      <c r="D126" s="63"/>
      <c r="E126" s="28">
        <f t="shared" si="71"/>
        <v>2</v>
      </c>
      <c r="K126" s="2"/>
    </row>
    <row r="127">
      <c r="A127" s="62">
        <v>2.0</v>
      </c>
      <c r="B127" s="63"/>
      <c r="C127" s="63"/>
      <c r="D127" s="63"/>
      <c r="E127" s="28">
        <f t="shared" si="71"/>
        <v>2</v>
      </c>
      <c r="K127" s="2"/>
    </row>
    <row r="128">
      <c r="A128" s="62">
        <v>2.0</v>
      </c>
      <c r="B128" s="63"/>
      <c r="C128" s="63"/>
      <c r="D128" s="63"/>
      <c r="E128" s="28">
        <f t="shared" si="71"/>
        <v>2</v>
      </c>
      <c r="K128" s="2"/>
    </row>
    <row r="129">
      <c r="A129" s="62">
        <v>2.0</v>
      </c>
      <c r="B129" s="63"/>
      <c r="C129" s="63"/>
      <c r="D129" s="63"/>
      <c r="E129" s="28">
        <f t="shared" si="71"/>
        <v>2</v>
      </c>
      <c r="K129" s="2"/>
    </row>
    <row r="130">
      <c r="A130" s="24">
        <v>3.0</v>
      </c>
      <c r="B130" s="22"/>
      <c r="C130" s="22"/>
      <c r="D130" s="22"/>
      <c r="E130" s="28">
        <f t="shared" si="71"/>
        <v>3</v>
      </c>
      <c r="K130" s="2"/>
    </row>
    <row r="131">
      <c r="A131" s="24">
        <v>3.0</v>
      </c>
      <c r="B131" s="22"/>
      <c r="C131" s="22"/>
      <c r="D131" s="22"/>
      <c r="E131" s="28">
        <f t="shared" si="71"/>
        <v>3</v>
      </c>
      <c r="K131" s="2"/>
    </row>
    <row r="132">
      <c r="A132" s="24">
        <v>3.0</v>
      </c>
      <c r="B132" s="22"/>
      <c r="C132" s="22"/>
      <c r="D132" s="22"/>
      <c r="E132" s="28">
        <f t="shared" si="71"/>
        <v>3</v>
      </c>
      <c r="K132" s="2"/>
    </row>
    <row r="133">
      <c r="A133" s="24">
        <v>3.0</v>
      </c>
      <c r="B133" s="22"/>
      <c r="C133" s="22"/>
      <c r="D133" s="22"/>
      <c r="E133" s="28">
        <f t="shared" si="71"/>
        <v>3</v>
      </c>
      <c r="K133" s="2"/>
    </row>
    <row r="134">
      <c r="K134" s="2"/>
    </row>
    <row r="135">
      <c r="K135" s="2"/>
    </row>
    <row r="136">
      <c r="K136" s="2"/>
    </row>
    <row r="137">
      <c r="K137" s="2"/>
    </row>
    <row r="138">
      <c r="K138" s="2"/>
    </row>
    <row r="139">
      <c r="K139" s="2"/>
    </row>
    <row r="140">
      <c r="K140" s="2"/>
    </row>
    <row r="141">
      <c r="K141" s="2"/>
    </row>
    <row r="142">
      <c r="K142" s="2"/>
    </row>
    <row r="143">
      <c r="K143" s="2"/>
    </row>
    <row r="144">
      <c r="K144" s="2"/>
    </row>
    <row r="145">
      <c r="K145" s="2"/>
    </row>
    <row r="146">
      <c r="K146" s="2"/>
    </row>
    <row r="147">
      <c r="K147" s="2"/>
    </row>
    <row r="148">
      <c r="K148" s="2"/>
    </row>
    <row r="149">
      <c r="K149" s="2"/>
    </row>
    <row r="150">
      <c r="K150" s="2"/>
    </row>
    <row r="151">
      <c r="K151" s="2"/>
    </row>
    <row r="152">
      <c r="K152" s="2"/>
    </row>
    <row r="153">
      <c r="K153" s="2"/>
    </row>
    <row r="154">
      <c r="K154" s="2"/>
    </row>
    <row r="155">
      <c r="K155" s="2"/>
    </row>
    <row r="156">
      <c r="K156" s="2"/>
    </row>
    <row r="157">
      <c r="K157" s="2"/>
    </row>
    <row r="158">
      <c r="K158" s="2"/>
    </row>
    <row r="159">
      <c r="K159" s="2"/>
    </row>
    <row r="160">
      <c r="K160" s="2"/>
    </row>
    <row r="161">
      <c r="K161" s="2"/>
    </row>
    <row r="162">
      <c r="K162" s="2"/>
    </row>
    <row r="163">
      <c r="K163" s="2"/>
    </row>
    <row r="164">
      <c r="K164" s="2"/>
    </row>
    <row r="165">
      <c r="K165" s="2"/>
    </row>
    <row r="166">
      <c r="K166" s="2"/>
    </row>
    <row r="167">
      <c r="K167" s="2"/>
    </row>
    <row r="168">
      <c r="K168" s="2"/>
    </row>
    <row r="169">
      <c r="K169" s="2"/>
    </row>
    <row r="170">
      <c r="K170" s="2"/>
    </row>
    <row r="171">
      <c r="K171" s="2"/>
    </row>
    <row r="172">
      <c r="K172" s="2"/>
    </row>
    <row r="173">
      <c r="K173" s="2"/>
    </row>
    <row r="174">
      <c r="K174" s="2"/>
    </row>
    <row r="175">
      <c r="K175" s="2"/>
    </row>
    <row r="176">
      <c r="K176" s="2"/>
    </row>
    <row r="177">
      <c r="K177" s="2"/>
    </row>
    <row r="178">
      <c r="K178" s="2"/>
    </row>
    <row r="179">
      <c r="K179" s="2"/>
    </row>
    <row r="180">
      <c r="K180" s="2"/>
    </row>
    <row r="181">
      <c r="K181" s="2"/>
    </row>
    <row r="182">
      <c r="K182" s="2"/>
    </row>
    <row r="183">
      <c r="K183" s="2"/>
    </row>
    <row r="184">
      <c r="K184" s="2"/>
    </row>
    <row r="185">
      <c r="K185" s="2"/>
    </row>
    <row r="186">
      <c r="K186" s="2"/>
    </row>
    <row r="187">
      <c r="K187" s="2"/>
    </row>
    <row r="188">
      <c r="K188" s="2"/>
    </row>
    <row r="189">
      <c r="K189" s="2"/>
    </row>
    <row r="190">
      <c r="K190" s="2"/>
    </row>
    <row r="191">
      <c r="K191" s="2"/>
    </row>
    <row r="192">
      <c r="K192" s="2"/>
    </row>
    <row r="193">
      <c r="K193" s="2"/>
    </row>
    <row r="194">
      <c r="K194" s="2"/>
    </row>
    <row r="195">
      <c r="K195" s="2"/>
    </row>
    <row r="196">
      <c r="K196" s="2"/>
    </row>
    <row r="197">
      <c r="K197" s="2"/>
    </row>
    <row r="198">
      <c r="K198" s="2"/>
    </row>
    <row r="199">
      <c r="K199" s="2"/>
    </row>
    <row r="200">
      <c r="K200" s="2"/>
    </row>
    <row r="201">
      <c r="K201" s="2"/>
    </row>
    <row r="202">
      <c r="K202" s="2"/>
    </row>
    <row r="203">
      <c r="K203" s="2"/>
    </row>
    <row r="204">
      <c r="K204" s="2"/>
    </row>
    <row r="205">
      <c r="K205" s="2"/>
    </row>
    <row r="206">
      <c r="K206" s="2"/>
    </row>
    <row r="207">
      <c r="K207" s="2"/>
    </row>
    <row r="208">
      <c r="K208" s="2"/>
    </row>
    <row r="209">
      <c r="K209" s="2"/>
    </row>
    <row r="210">
      <c r="K210" s="2"/>
    </row>
    <row r="211">
      <c r="K211" s="2"/>
    </row>
    <row r="212">
      <c r="K212" s="2"/>
    </row>
    <row r="213">
      <c r="K213" s="2"/>
    </row>
    <row r="214">
      <c r="K214" s="2"/>
    </row>
    <row r="215">
      <c r="K215" s="2"/>
    </row>
    <row r="216">
      <c r="K216" s="2"/>
    </row>
    <row r="217">
      <c r="K217" s="2"/>
    </row>
    <row r="218">
      <c r="K218" s="2"/>
    </row>
    <row r="219">
      <c r="K219" s="2"/>
    </row>
    <row r="220">
      <c r="K220" s="2"/>
    </row>
    <row r="221">
      <c r="K221" s="2"/>
    </row>
    <row r="222">
      <c r="K222" s="2"/>
    </row>
    <row r="223">
      <c r="K223" s="2"/>
    </row>
    <row r="224">
      <c r="K224" s="2"/>
    </row>
    <row r="225">
      <c r="K225" s="2"/>
    </row>
    <row r="226">
      <c r="K226" s="2"/>
    </row>
    <row r="227">
      <c r="K227" s="2"/>
    </row>
    <row r="228">
      <c r="K228" s="2"/>
    </row>
    <row r="229">
      <c r="K229" s="2"/>
    </row>
    <row r="230">
      <c r="K230" s="2"/>
    </row>
    <row r="231">
      <c r="K231" s="2"/>
    </row>
    <row r="232">
      <c r="K232" s="2"/>
    </row>
    <row r="233">
      <c r="K233" s="2"/>
    </row>
    <row r="234">
      <c r="K234" s="2"/>
    </row>
    <row r="235">
      <c r="K235" s="2"/>
    </row>
    <row r="236">
      <c r="K236" s="2"/>
    </row>
    <row r="237">
      <c r="K237" s="2"/>
    </row>
    <row r="238">
      <c r="K238" s="2"/>
    </row>
    <row r="239">
      <c r="K239" s="2"/>
    </row>
    <row r="240">
      <c r="K240" s="2"/>
    </row>
    <row r="241">
      <c r="K241" s="2"/>
    </row>
    <row r="242">
      <c r="K242" s="2"/>
    </row>
    <row r="243">
      <c r="K243" s="2"/>
    </row>
    <row r="244">
      <c r="K244" s="2"/>
    </row>
    <row r="245">
      <c r="K245" s="2"/>
    </row>
    <row r="246">
      <c r="K246" s="2"/>
    </row>
    <row r="247">
      <c r="K247" s="2"/>
    </row>
    <row r="248">
      <c r="K248" s="2"/>
    </row>
    <row r="249">
      <c r="K249" s="2"/>
    </row>
    <row r="250">
      <c r="K250" s="2"/>
    </row>
    <row r="251">
      <c r="K251" s="2"/>
    </row>
    <row r="252">
      <c r="K252" s="2"/>
    </row>
    <row r="253">
      <c r="K253" s="2"/>
    </row>
    <row r="254">
      <c r="K254" s="2"/>
    </row>
    <row r="255">
      <c r="K255" s="2"/>
    </row>
    <row r="256">
      <c r="K256" s="2"/>
    </row>
    <row r="257">
      <c r="K257" s="2"/>
    </row>
    <row r="258">
      <c r="K258" s="2"/>
    </row>
    <row r="259">
      <c r="K259" s="2"/>
    </row>
    <row r="260">
      <c r="K260" s="2"/>
    </row>
    <row r="261">
      <c r="K261" s="2"/>
    </row>
    <row r="262">
      <c r="K262" s="2"/>
    </row>
    <row r="263">
      <c r="K263" s="2"/>
    </row>
    <row r="264">
      <c r="K264" s="2"/>
    </row>
    <row r="265">
      <c r="K265" s="2"/>
    </row>
    <row r="266">
      <c r="K266" s="2"/>
    </row>
    <row r="267">
      <c r="K267" s="2"/>
    </row>
    <row r="268">
      <c r="K268" s="2"/>
    </row>
    <row r="269">
      <c r="K269" s="2"/>
    </row>
    <row r="270">
      <c r="K270" s="2"/>
    </row>
    <row r="271">
      <c r="K271" s="2"/>
    </row>
    <row r="272">
      <c r="K272" s="2"/>
    </row>
    <row r="273">
      <c r="K273" s="2"/>
    </row>
    <row r="274">
      <c r="K274" s="2"/>
    </row>
    <row r="275">
      <c r="K275" s="2"/>
    </row>
    <row r="276">
      <c r="K276" s="2"/>
    </row>
    <row r="277">
      <c r="K277" s="2"/>
    </row>
    <row r="278">
      <c r="K278" s="2"/>
    </row>
    <row r="279">
      <c r="K279" s="2"/>
    </row>
    <row r="280">
      <c r="K280" s="2"/>
    </row>
    <row r="281">
      <c r="K281" s="2"/>
    </row>
    <row r="282">
      <c r="K282" s="2"/>
    </row>
    <row r="283">
      <c r="K283" s="2"/>
    </row>
    <row r="284">
      <c r="K284" s="2"/>
    </row>
    <row r="285">
      <c r="K285" s="2"/>
    </row>
    <row r="286">
      <c r="K286" s="2"/>
    </row>
    <row r="287">
      <c r="K287" s="2"/>
    </row>
    <row r="288">
      <c r="K288" s="2"/>
    </row>
    <row r="289">
      <c r="K289" s="2"/>
    </row>
    <row r="290">
      <c r="K290" s="2"/>
    </row>
    <row r="291">
      <c r="K291" s="2"/>
    </row>
    <row r="292">
      <c r="K292" s="2"/>
    </row>
    <row r="293">
      <c r="K293" s="2"/>
    </row>
    <row r="294">
      <c r="K294" s="2"/>
    </row>
    <row r="295">
      <c r="K295" s="2"/>
    </row>
    <row r="296">
      <c r="K296" s="2"/>
    </row>
    <row r="297">
      <c r="K297" s="2"/>
    </row>
    <row r="298">
      <c r="K298" s="2"/>
    </row>
    <row r="299">
      <c r="K299" s="2"/>
    </row>
    <row r="300">
      <c r="K300" s="2"/>
    </row>
    <row r="301">
      <c r="K301" s="2"/>
    </row>
    <row r="302">
      <c r="K302" s="2"/>
    </row>
    <row r="303">
      <c r="K303" s="2"/>
    </row>
    <row r="304">
      <c r="K304" s="2"/>
    </row>
    <row r="305">
      <c r="K305" s="2"/>
    </row>
    <row r="306">
      <c r="K306" s="2"/>
    </row>
    <row r="307">
      <c r="K307" s="2"/>
    </row>
    <row r="308">
      <c r="K308" s="2"/>
    </row>
    <row r="309">
      <c r="K309" s="2"/>
    </row>
    <row r="310">
      <c r="K310" s="2"/>
    </row>
    <row r="311">
      <c r="K311" s="2"/>
    </row>
    <row r="312">
      <c r="K312" s="2"/>
    </row>
    <row r="313">
      <c r="K313" s="2"/>
    </row>
    <row r="314">
      <c r="K314" s="2"/>
    </row>
    <row r="315">
      <c r="K315" s="2"/>
    </row>
    <row r="316">
      <c r="K316" s="2"/>
    </row>
    <row r="317">
      <c r="K317" s="2"/>
    </row>
    <row r="318">
      <c r="K318" s="2"/>
    </row>
    <row r="319">
      <c r="K319" s="2"/>
    </row>
    <row r="320">
      <c r="K320" s="2"/>
    </row>
    <row r="321">
      <c r="K321" s="2"/>
    </row>
    <row r="322">
      <c r="K322" s="2"/>
    </row>
    <row r="323">
      <c r="K323" s="2"/>
    </row>
    <row r="324">
      <c r="K324" s="2"/>
    </row>
    <row r="325">
      <c r="K325" s="2"/>
    </row>
    <row r="326">
      <c r="K326" s="2"/>
    </row>
    <row r="327">
      <c r="K327" s="2"/>
    </row>
    <row r="328">
      <c r="K328" s="2"/>
    </row>
    <row r="329">
      <c r="K329" s="2"/>
    </row>
    <row r="330">
      <c r="K330" s="2"/>
    </row>
    <row r="331">
      <c r="K331" s="2"/>
    </row>
    <row r="332">
      <c r="K332" s="2"/>
    </row>
    <row r="333">
      <c r="K333" s="2"/>
    </row>
    <row r="334">
      <c r="K334" s="2"/>
    </row>
    <row r="335">
      <c r="K335" s="2"/>
    </row>
    <row r="336">
      <c r="K336" s="2"/>
    </row>
    <row r="337">
      <c r="K337" s="2"/>
    </row>
    <row r="338">
      <c r="K338" s="2"/>
    </row>
    <row r="339">
      <c r="K339" s="2"/>
    </row>
    <row r="340">
      <c r="K340" s="2"/>
    </row>
    <row r="341">
      <c r="K341" s="2"/>
    </row>
    <row r="342">
      <c r="K342" s="2"/>
    </row>
    <row r="343">
      <c r="K343" s="2"/>
    </row>
    <row r="344">
      <c r="K344" s="2"/>
    </row>
    <row r="345">
      <c r="K345" s="2"/>
    </row>
    <row r="346">
      <c r="K346" s="2"/>
    </row>
    <row r="347">
      <c r="K347" s="2"/>
    </row>
    <row r="348">
      <c r="K348" s="2"/>
    </row>
    <row r="349">
      <c r="K349" s="2"/>
    </row>
    <row r="350">
      <c r="K350" s="2"/>
    </row>
    <row r="351">
      <c r="K351" s="2"/>
    </row>
    <row r="352">
      <c r="K352" s="2"/>
    </row>
    <row r="353">
      <c r="K353" s="2"/>
    </row>
    <row r="354">
      <c r="K354" s="2"/>
    </row>
    <row r="355">
      <c r="K355" s="2"/>
    </row>
    <row r="356">
      <c r="K356" s="2"/>
    </row>
    <row r="357">
      <c r="K357" s="2"/>
    </row>
    <row r="358">
      <c r="K358" s="2"/>
    </row>
    <row r="359">
      <c r="K359" s="2"/>
    </row>
    <row r="360">
      <c r="K360" s="2"/>
    </row>
    <row r="361">
      <c r="K361" s="2"/>
    </row>
    <row r="362">
      <c r="K362" s="2"/>
    </row>
    <row r="363">
      <c r="K363" s="2"/>
    </row>
    <row r="364">
      <c r="K364" s="2"/>
    </row>
    <row r="365">
      <c r="K365" s="2"/>
    </row>
    <row r="366">
      <c r="K366" s="2"/>
    </row>
    <row r="367">
      <c r="K367" s="2"/>
    </row>
    <row r="368">
      <c r="K368" s="2"/>
    </row>
    <row r="369">
      <c r="K369" s="2"/>
    </row>
    <row r="370">
      <c r="K370" s="2"/>
    </row>
    <row r="371">
      <c r="K371" s="2"/>
    </row>
    <row r="372">
      <c r="K372" s="2"/>
    </row>
    <row r="373">
      <c r="K373" s="2"/>
    </row>
    <row r="374">
      <c r="K374" s="2"/>
    </row>
    <row r="375">
      <c r="K375" s="2"/>
    </row>
    <row r="376">
      <c r="K376" s="2"/>
    </row>
    <row r="377">
      <c r="K377" s="2"/>
    </row>
    <row r="378">
      <c r="K378" s="2"/>
    </row>
    <row r="379">
      <c r="K379" s="2"/>
    </row>
    <row r="380">
      <c r="K380" s="2"/>
    </row>
    <row r="381">
      <c r="K381" s="2"/>
    </row>
    <row r="382">
      <c r="K382" s="2"/>
    </row>
    <row r="383">
      <c r="K383" s="2"/>
    </row>
    <row r="384">
      <c r="K384" s="2"/>
    </row>
    <row r="385">
      <c r="K385" s="2"/>
    </row>
    <row r="386">
      <c r="K386" s="2"/>
    </row>
    <row r="387">
      <c r="K387" s="2"/>
    </row>
    <row r="388">
      <c r="K388" s="2"/>
    </row>
    <row r="389">
      <c r="K389" s="2"/>
    </row>
    <row r="390">
      <c r="K390" s="2"/>
    </row>
    <row r="391">
      <c r="K391" s="2"/>
    </row>
    <row r="392">
      <c r="K392" s="2"/>
    </row>
    <row r="393">
      <c r="K393" s="2"/>
    </row>
    <row r="394">
      <c r="K394" s="2"/>
    </row>
    <row r="395">
      <c r="K395" s="2"/>
    </row>
    <row r="396">
      <c r="K396" s="2"/>
    </row>
    <row r="397">
      <c r="K397" s="2"/>
    </row>
    <row r="398">
      <c r="K398" s="2"/>
    </row>
    <row r="399">
      <c r="K399" s="2"/>
    </row>
    <row r="400">
      <c r="K400" s="2"/>
    </row>
    <row r="401">
      <c r="K401" s="2"/>
    </row>
    <row r="402">
      <c r="K402" s="2"/>
    </row>
    <row r="403">
      <c r="K403" s="2"/>
    </row>
    <row r="404">
      <c r="K404" s="2"/>
    </row>
    <row r="405">
      <c r="K405" s="2"/>
    </row>
    <row r="406">
      <c r="K406" s="2"/>
    </row>
    <row r="407">
      <c r="K407" s="2"/>
    </row>
    <row r="408">
      <c r="K408" s="2"/>
    </row>
    <row r="409">
      <c r="K409" s="2"/>
    </row>
    <row r="410">
      <c r="K410" s="2"/>
    </row>
    <row r="411">
      <c r="K411" s="2"/>
    </row>
    <row r="412">
      <c r="K412" s="2"/>
    </row>
    <row r="413">
      <c r="K413" s="2"/>
    </row>
    <row r="414">
      <c r="K414" s="2"/>
    </row>
    <row r="415">
      <c r="K415" s="2"/>
    </row>
    <row r="416">
      <c r="K416" s="2"/>
    </row>
    <row r="417">
      <c r="K417" s="2"/>
    </row>
    <row r="418">
      <c r="K418" s="2"/>
    </row>
    <row r="419">
      <c r="K419" s="2"/>
    </row>
    <row r="420">
      <c r="K420" s="2"/>
    </row>
    <row r="421">
      <c r="K421" s="2"/>
    </row>
    <row r="422">
      <c r="K422" s="2"/>
    </row>
    <row r="423">
      <c r="K423" s="2"/>
    </row>
    <row r="424">
      <c r="K424" s="2"/>
    </row>
    <row r="425">
      <c r="K425" s="2"/>
    </row>
    <row r="426">
      <c r="K426" s="2"/>
    </row>
    <row r="427">
      <c r="K427" s="2"/>
    </row>
    <row r="428">
      <c r="K428" s="2"/>
    </row>
    <row r="429">
      <c r="K429" s="2"/>
    </row>
    <row r="430">
      <c r="K430" s="2"/>
    </row>
    <row r="431">
      <c r="K431" s="2"/>
    </row>
    <row r="432">
      <c r="K432" s="2"/>
    </row>
    <row r="433">
      <c r="K433" s="2"/>
    </row>
    <row r="434">
      <c r="K434" s="2"/>
    </row>
    <row r="435">
      <c r="K435" s="2"/>
    </row>
    <row r="436">
      <c r="K436" s="2"/>
    </row>
    <row r="437">
      <c r="K437" s="2"/>
    </row>
    <row r="438">
      <c r="K438" s="2"/>
    </row>
    <row r="439">
      <c r="K439" s="2"/>
    </row>
    <row r="440">
      <c r="K440" s="2"/>
    </row>
    <row r="441">
      <c r="K441" s="2"/>
    </row>
    <row r="442">
      <c r="K442" s="2"/>
    </row>
    <row r="443">
      <c r="K443" s="2"/>
    </row>
    <row r="444">
      <c r="K444" s="2"/>
    </row>
    <row r="445">
      <c r="K445" s="2"/>
    </row>
    <row r="446">
      <c r="K446" s="2"/>
    </row>
    <row r="447">
      <c r="K447" s="2"/>
    </row>
    <row r="448">
      <c r="K448" s="2"/>
    </row>
    <row r="449">
      <c r="K449" s="2"/>
    </row>
    <row r="450">
      <c r="K450" s="2"/>
    </row>
    <row r="451">
      <c r="K451" s="2"/>
    </row>
    <row r="452">
      <c r="K452" s="2"/>
    </row>
    <row r="453">
      <c r="K453" s="2"/>
    </row>
    <row r="454">
      <c r="K454" s="2"/>
    </row>
    <row r="455">
      <c r="K455" s="2"/>
    </row>
    <row r="456">
      <c r="K456" s="2"/>
    </row>
    <row r="457">
      <c r="K457" s="2"/>
    </row>
    <row r="458">
      <c r="K458" s="2"/>
    </row>
    <row r="459">
      <c r="K459" s="2"/>
    </row>
    <row r="460">
      <c r="K460" s="2"/>
    </row>
    <row r="461">
      <c r="K461" s="2"/>
    </row>
    <row r="462">
      <c r="K462" s="2"/>
    </row>
    <row r="463">
      <c r="K463" s="2"/>
    </row>
    <row r="464">
      <c r="K464" s="2"/>
    </row>
    <row r="465">
      <c r="K465" s="2"/>
    </row>
    <row r="466">
      <c r="K466" s="2"/>
    </row>
    <row r="467">
      <c r="K467" s="2"/>
    </row>
    <row r="468">
      <c r="K468" s="2"/>
    </row>
    <row r="469">
      <c r="K469" s="2"/>
    </row>
    <row r="470">
      <c r="K470" s="2"/>
    </row>
    <row r="471">
      <c r="K471" s="2"/>
    </row>
    <row r="472">
      <c r="K472" s="2"/>
    </row>
    <row r="473">
      <c r="K473" s="2"/>
    </row>
    <row r="474">
      <c r="K474" s="2"/>
    </row>
    <row r="475">
      <c r="K475" s="2"/>
    </row>
    <row r="476">
      <c r="K476" s="2"/>
    </row>
    <row r="477">
      <c r="K477" s="2"/>
    </row>
    <row r="478">
      <c r="K478" s="2"/>
    </row>
    <row r="479">
      <c r="K479" s="2"/>
    </row>
    <row r="480">
      <c r="K480" s="2"/>
    </row>
    <row r="481">
      <c r="K481" s="2"/>
    </row>
    <row r="482">
      <c r="K482" s="2"/>
    </row>
    <row r="483">
      <c r="K483" s="2"/>
    </row>
    <row r="484">
      <c r="K484" s="2"/>
    </row>
    <row r="485">
      <c r="K485" s="2"/>
    </row>
    <row r="486">
      <c r="K486" s="2"/>
    </row>
    <row r="487">
      <c r="K487" s="2"/>
    </row>
    <row r="488">
      <c r="K488" s="2"/>
    </row>
    <row r="489">
      <c r="K489" s="2"/>
    </row>
    <row r="490">
      <c r="K490" s="2"/>
    </row>
    <row r="491">
      <c r="K491" s="2"/>
    </row>
    <row r="492">
      <c r="K492" s="2"/>
    </row>
    <row r="493">
      <c r="K493" s="2"/>
    </row>
    <row r="494">
      <c r="K494" s="2"/>
    </row>
    <row r="495">
      <c r="K495" s="2"/>
    </row>
    <row r="496">
      <c r="K496" s="2"/>
    </row>
    <row r="497">
      <c r="K497" s="2"/>
    </row>
    <row r="498">
      <c r="K498" s="2"/>
    </row>
    <row r="499">
      <c r="K499" s="2"/>
    </row>
    <row r="500">
      <c r="K500" s="2"/>
    </row>
    <row r="501">
      <c r="K501" s="2"/>
    </row>
    <row r="502">
      <c r="K502" s="2"/>
    </row>
    <row r="503">
      <c r="K503" s="2"/>
    </row>
    <row r="504">
      <c r="K504" s="2"/>
    </row>
    <row r="505">
      <c r="K505" s="2"/>
    </row>
    <row r="506">
      <c r="K506" s="2"/>
    </row>
    <row r="507">
      <c r="K507" s="2"/>
    </row>
    <row r="508">
      <c r="K508" s="2"/>
    </row>
    <row r="509">
      <c r="K509" s="2"/>
    </row>
    <row r="510">
      <c r="K510" s="2"/>
    </row>
    <row r="511">
      <c r="K511" s="2"/>
    </row>
    <row r="512">
      <c r="K512" s="2"/>
    </row>
    <row r="513">
      <c r="K513" s="2"/>
    </row>
    <row r="514">
      <c r="K514" s="2"/>
    </row>
    <row r="515">
      <c r="K515" s="2"/>
    </row>
    <row r="516">
      <c r="K516" s="2"/>
    </row>
    <row r="517">
      <c r="K517" s="2"/>
    </row>
    <row r="518">
      <c r="K518" s="2"/>
    </row>
    <row r="519">
      <c r="K519" s="2"/>
    </row>
    <row r="520">
      <c r="K520" s="2"/>
    </row>
    <row r="521">
      <c r="K521" s="2"/>
    </row>
    <row r="522">
      <c r="K522" s="2"/>
    </row>
    <row r="523">
      <c r="K523" s="2"/>
    </row>
    <row r="524">
      <c r="K524" s="2"/>
    </row>
    <row r="525">
      <c r="K525" s="2"/>
    </row>
    <row r="526">
      <c r="K526" s="2"/>
    </row>
    <row r="527">
      <c r="K527" s="2"/>
    </row>
    <row r="528">
      <c r="K528" s="2"/>
    </row>
    <row r="529">
      <c r="K529" s="2"/>
    </row>
    <row r="530">
      <c r="K530" s="2"/>
    </row>
    <row r="531">
      <c r="K531" s="2"/>
    </row>
    <row r="532">
      <c r="K532" s="2"/>
    </row>
    <row r="533">
      <c r="K533" s="2"/>
    </row>
    <row r="534">
      <c r="K534" s="2"/>
    </row>
    <row r="535">
      <c r="K535" s="2"/>
    </row>
    <row r="536">
      <c r="K536" s="2"/>
    </row>
    <row r="537">
      <c r="K537" s="2"/>
    </row>
    <row r="538">
      <c r="K538" s="2"/>
    </row>
    <row r="539">
      <c r="K539" s="2"/>
    </row>
    <row r="540">
      <c r="K540" s="2"/>
    </row>
    <row r="541">
      <c r="K541" s="2"/>
    </row>
    <row r="542">
      <c r="K542" s="2"/>
    </row>
    <row r="543">
      <c r="K543" s="2"/>
    </row>
    <row r="544">
      <c r="K544" s="2"/>
    </row>
    <row r="545">
      <c r="K545" s="2"/>
    </row>
    <row r="546">
      <c r="K546" s="2"/>
    </row>
    <row r="547">
      <c r="K547" s="2"/>
    </row>
    <row r="548">
      <c r="K548" s="2"/>
    </row>
    <row r="549">
      <c r="K549" s="2"/>
    </row>
    <row r="550">
      <c r="K550" s="2"/>
    </row>
    <row r="551">
      <c r="K551" s="2"/>
    </row>
    <row r="552">
      <c r="K552" s="2"/>
    </row>
    <row r="553">
      <c r="K553" s="2"/>
    </row>
    <row r="554">
      <c r="K554" s="2"/>
    </row>
    <row r="555">
      <c r="K555" s="2"/>
    </row>
    <row r="556">
      <c r="K556" s="2"/>
    </row>
    <row r="557">
      <c r="K557" s="2"/>
    </row>
    <row r="558">
      <c r="K558" s="2"/>
    </row>
    <row r="559">
      <c r="K559" s="2"/>
    </row>
    <row r="560">
      <c r="K560" s="2"/>
    </row>
    <row r="561">
      <c r="K561" s="2"/>
    </row>
    <row r="562">
      <c r="K562" s="2"/>
    </row>
    <row r="563">
      <c r="K563" s="2"/>
    </row>
    <row r="564">
      <c r="K564" s="2"/>
    </row>
    <row r="565">
      <c r="K565" s="2"/>
    </row>
    <row r="566">
      <c r="K566" s="2"/>
    </row>
    <row r="567">
      <c r="K567" s="2"/>
    </row>
    <row r="568">
      <c r="K568" s="2"/>
    </row>
    <row r="569">
      <c r="K569" s="2"/>
    </row>
    <row r="570">
      <c r="K570" s="2"/>
    </row>
    <row r="571">
      <c r="K571" s="2"/>
    </row>
    <row r="572">
      <c r="K572" s="2"/>
    </row>
    <row r="573">
      <c r="K573" s="2"/>
    </row>
    <row r="574">
      <c r="K574" s="2"/>
    </row>
    <row r="575">
      <c r="K575" s="2"/>
    </row>
    <row r="576">
      <c r="K576" s="2"/>
    </row>
    <row r="577">
      <c r="K577" s="2"/>
    </row>
    <row r="578">
      <c r="K578" s="2"/>
    </row>
    <row r="579">
      <c r="K579" s="2"/>
    </row>
    <row r="580">
      <c r="K580" s="2"/>
    </row>
    <row r="581">
      <c r="K581" s="2"/>
    </row>
    <row r="582">
      <c r="K582" s="2"/>
    </row>
    <row r="583">
      <c r="K583" s="2"/>
    </row>
    <row r="584">
      <c r="K584" s="2"/>
    </row>
    <row r="585">
      <c r="K585" s="2"/>
    </row>
    <row r="586">
      <c r="K586" s="2"/>
    </row>
    <row r="587">
      <c r="K587" s="2"/>
    </row>
    <row r="588">
      <c r="K588" s="2"/>
    </row>
    <row r="589">
      <c r="K589" s="2"/>
    </row>
    <row r="590">
      <c r="K590" s="2"/>
    </row>
    <row r="591">
      <c r="K591" s="2"/>
    </row>
    <row r="592">
      <c r="K592" s="2"/>
    </row>
    <row r="593">
      <c r="K593" s="2"/>
    </row>
    <row r="594">
      <c r="K594" s="2"/>
    </row>
    <row r="595">
      <c r="K595" s="2"/>
    </row>
    <row r="596">
      <c r="K596" s="2"/>
    </row>
    <row r="597">
      <c r="K597" s="2"/>
    </row>
    <row r="598">
      <c r="K598" s="2"/>
    </row>
    <row r="599">
      <c r="K599" s="2"/>
    </row>
    <row r="600">
      <c r="K600" s="2"/>
    </row>
    <row r="601">
      <c r="K601" s="2"/>
    </row>
    <row r="602">
      <c r="K602" s="2"/>
    </row>
    <row r="603">
      <c r="K603" s="2"/>
    </row>
    <row r="604">
      <c r="K604" s="2"/>
    </row>
    <row r="605">
      <c r="K605" s="2"/>
    </row>
    <row r="606">
      <c r="K606" s="2"/>
    </row>
    <row r="607">
      <c r="K607" s="2"/>
    </row>
    <row r="608">
      <c r="K608" s="2"/>
    </row>
    <row r="609">
      <c r="K609" s="2"/>
    </row>
    <row r="610">
      <c r="K610" s="2"/>
    </row>
    <row r="611">
      <c r="K611" s="2"/>
    </row>
    <row r="612">
      <c r="K612" s="2"/>
    </row>
    <row r="613">
      <c r="K613" s="2"/>
    </row>
    <row r="614">
      <c r="K614" s="2"/>
    </row>
    <row r="615">
      <c r="K615" s="2"/>
    </row>
    <row r="616">
      <c r="K616" s="2"/>
    </row>
    <row r="617">
      <c r="K617" s="2"/>
    </row>
    <row r="618">
      <c r="K618" s="2"/>
    </row>
    <row r="619">
      <c r="K619" s="2"/>
    </row>
    <row r="620">
      <c r="K620" s="2"/>
    </row>
    <row r="621">
      <c r="K621" s="2"/>
    </row>
    <row r="622">
      <c r="K622" s="2"/>
    </row>
    <row r="623">
      <c r="K623" s="2"/>
    </row>
    <row r="624">
      <c r="K624" s="2"/>
    </row>
    <row r="625">
      <c r="K625" s="2"/>
    </row>
    <row r="626">
      <c r="K626" s="2"/>
    </row>
    <row r="627">
      <c r="K627" s="2"/>
    </row>
    <row r="628">
      <c r="K628" s="2"/>
    </row>
    <row r="629">
      <c r="K629" s="2"/>
    </row>
    <row r="630">
      <c r="K630" s="2"/>
    </row>
    <row r="631">
      <c r="K631" s="2"/>
    </row>
    <row r="632">
      <c r="K632" s="2"/>
    </row>
    <row r="633">
      <c r="K633" s="2"/>
    </row>
    <row r="634">
      <c r="K634" s="2"/>
    </row>
    <row r="635">
      <c r="K635" s="2"/>
    </row>
    <row r="636">
      <c r="K636" s="2"/>
    </row>
    <row r="637">
      <c r="K637" s="2"/>
    </row>
    <row r="638">
      <c r="K638" s="2"/>
    </row>
    <row r="639">
      <c r="K639" s="2"/>
    </row>
    <row r="640">
      <c r="K640" s="2"/>
    </row>
    <row r="641">
      <c r="K641" s="2"/>
    </row>
    <row r="642">
      <c r="K642" s="2"/>
    </row>
    <row r="643">
      <c r="K643" s="2"/>
    </row>
    <row r="644">
      <c r="K644" s="2"/>
    </row>
    <row r="645">
      <c r="K645" s="2"/>
    </row>
    <row r="646">
      <c r="K646" s="2"/>
    </row>
    <row r="647">
      <c r="K647" s="2"/>
    </row>
    <row r="648">
      <c r="K648" s="2"/>
    </row>
    <row r="649">
      <c r="K649" s="2"/>
    </row>
    <row r="650">
      <c r="K650" s="2"/>
    </row>
    <row r="651">
      <c r="K651" s="2"/>
    </row>
    <row r="652">
      <c r="K652" s="2"/>
    </row>
    <row r="653">
      <c r="K653" s="2"/>
    </row>
    <row r="654">
      <c r="K654" s="2"/>
    </row>
    <row r="655">
      <c r="K655" s="2"/>
    </row>
    <row r="656">
      <c r="K656" s="2"/>
    </row>
    <row r="657">
      <c r="K657" s="2"/>
    </row>
    <row r="658">
      <c r="K658" s="2"/>
    </row>
    <row r="659">
      <c r="K659" s="2"/>
    </row>
    <row r="660">
      <c r="K660" s="2"/>
    </row>
    <row r="661">
      <c r="K661" s="2"/>
    </row>
    <row r="662">
      <c r="K662" s="2"/>
    </row>
    <row r="663">
      <c r="K663" s="2"/>
    </row>
    <row r="664">
      <c r="K664" s="2"/>
    </row>
    <row r="665">
      <c r="K665" s="2"/>
    </row>
    <row r="666">
      <c r="K666" s="2"/>
    </row>
    <row r="667">
      <c r="K667" s="2"/>
    </row>
    <row r="668">
      <c r="K668" s="2"/>
    </row>
    <row r="669">
      <c r="K669" s="2"/>
    </row>
    <row r="670">
      <c r="K670" s="2"/>
    </row>
    <row r="671">
      <c r="K671" s="2"/>
    </row>
    <row r="672">
      <c r="K672" s="2"/>
    </row>
    <row r="673">
      <c r="K673" s="2"/>
    </row>
    <row r="674">
      <c r="K674" s="2"/>
    </row>
    <row r="675">
      <c r="K675" s="2"/>
    </row>
    <row r="676">
      <c r="K676" s="2"/>
    </row>
    <row r="677">
      <c r="K677" s="2"/>
    </row>
    <row r="678">
      <c r="K678" s="2"/>
    </row>
    <row r="679">
      <c r="K679" s="2"/>
    </row>
    <row r="680">
      <c r="K680" s="2"/>
    </row>
    <row r="681">
      <c r="K681" s="2"/>
    </row>
    <row r="682">
      <c r="K682" s="2"/>
    </row>
    <row r="683">
      <c r="K683" s="2"/>
    </row>
    <row r="684">
      <c r="K684" s="2"/>
    </row>
    <row r="685">
      <c r="K685" s="2"/>
    </row>
    <row r="686">
      <c r="K686" s="2"/>
    </row>
    <row r="687">
      <c r="K687" s="2"/>
    </row>
    <row r="688">
      <c r="K688" s="2"/>
    </row>
    <row r="689">
      <c r="K689" s="2"/>
    </row>
    <row r="690">
      <c r="K690" s="2"/>
    </row>
    <row r="691">
      <c r="K691" s="2"/>
    </row>
    <row r="692">
      <c r="K692" s="2"/>
    </row>
    <row r="693">
      <c r="K693" s="2"/>
    </row>
    <row r="694">
      <c r="K694" s="2"/>
    </row>
    <row r="695">
      <c r="K695" s="2"/>
    </row>
    <row r="696">
      <c r="K696" s="2"/>
    </row>
    <row r="697">
      <c r="K697" s="2"/>
    </row>
    <row r="698">
      <c r="K698" s="2"/>
    </row>
    <row r="699">
      <c r="K699" s="2"/>
    </row>
    <row r="700">
      <c r="K700" s="2"/>
    </row>
    <row r="701">
      <c r="K701" s="2"/>
    </row>
    <row r="702">
      <c r="K702" s="2"/>
    </row>
    <row r="703">
      <c r="K703" s="2"/>
    </row>
    <row r="704">
      <c r="K704" s="2"/>
    </row>
    <row r="705">
      <c r="K705" s="2"/>
    </row>
    <row r="706">
      <c r="K706" s="2"/>
    </row>
    <row r="707">
      <c r="K707" s="2"/>
    </row>
    <row r="708">
      <c r="K708" s="2"/>
    </row>
    <row r="709">
      <c r="K709" s="2"/>
    </row>
    <row r="710">
      <c r="K710" s="2"/>
    </row>
    <row r="711">
      <c r="K711" s="2"/>
    </row>
    <row r="712">
      <c r="K712" s="2"/>
    </row>
    <row r="713">
      <c r="K713" s="2"/>
    </row>
    <row r="714">
      <c r="K714" s="2"/>
    </row>
    <row r="715">
      <c r="K715" s="2"/>
    </row>
    <row r="716">
      <c r="K716" s="2"/>
    </row>
    <row r="717">
      <c r="K717" s="2"/>
    </row>
    <row r="718">
      <c r="K718" s="2"/>
    </row>
    <row r="719">
      <c r="K719" s="2"/>
    </row>
    <row r="720">
      <c r="K720" s="2"/>
    </row>
    <row r="721">
      <c r="K721" s="2"/>
    </row>
    <row r="722">
      <c r="K722" s="2"/>
    </row>
    <row r="723">
      <c r="K723" s="2"/>
    </row>
    <row r="724">
      <c r="K724" s="2"/>
    </row>
    <row r="725">
      <c r="K725" s="2"/>
    </row>
    <row r="726">
      <c r="K726" s="2"/>
    </row>
    <row r="727">
      <c r="K727" s="2"/>
    </row>
    <row r="728">
      <c r="K728" s="2"/>
    </row>
    <row r="729">
      <c r="K729" s="2"/>
    </row>
    <row r="730">
      <c r="K730" s="2"/>
    </row>
    <row r="731">
      <c r="K731" s="2"/>
    </row>
    <row r="732">
      <c r="K732" s="2"/>
    </row>
    <row r="733">
      <c r="K733" s="2"/>
    </row>
    <row r="734">
      <c r="K734" s="2"/>
    </row>
    <row r="735">
      <c r="K735" s="2"/>
    </row>
    <row r="736">
      <c r="K736" s="2"/>
    </row>
    <row r="737">
      <c r="K737" s="2"/>
    </row>
    <row r="738">
      <c r="K738" s="2"/>
    </row>
    <row r="739">
      <c r="K739" s="2"/>
    </row>
    <row r="740">
      <c r="K740" s="2"/>
    </row>
    <row r="741">
      <c r="K741" s="2"/>
    </row>
    <row r="742">
      <c r="K742" s="2"/>
    </row>
    <row r="743">
      <c r="K743" s="2"/>
    </row>
    <row r="744">
      <c r="K744" s="2"/>
    </row>
    <row r="745">
      <c r="K745" s="2"/>
    </row>
    <row r="746">
      <c r="K746" s="2"/>
    </row>
    <row r="747">
      <c r="K747" s="2"/>
    </row>
    <row r="748">
      <c r="K748" s="2"/>
    </row>
    <row r="749">
      <c r="K749" s="2"/>
    </row>
    <row r="750">
      <c r="K750" s="2"/>
    </row>
    <row r="751">
      <c r="K751" s="2"/>
    </row>
    <row r="752">
      <c r="K752" s="2"/>
    </row>
    <row r="753">
      <c r="K753" s="2"/>
    </row>
    <row r="754">
      <c r="K754" s="2"/>
    </row>
    <row r="755">
      <c r="K755" s="2"/>
    </row>
    <row r="756">
      <c r="K756" s="2"/>
    </row>
    <row r="757">
      <c r="K757" s="2"/>
    </row>
    <row r="758">
      <c r="K758" s="2"/>
    </row>
    <row r="759">
      <c r="K759" s="2"/>
    </row>
    <row r="760">
      <c r="K760" s="2"/>
    </row>
    <row r="761">
      <c r="K761" s="2"/>
    </row>
    <row r="762">
      <c r="K762" s="2"/>
    </row>
    <row r="763">
      <c r="K763" s="2"/>
    </row>
    <row r="764">
      <c r="K764" s="2"/>
    </row>
    <row r="765">
      <c r="K765" s="2"/>
    </row>
    <row r="766">
      <c r="K766" s="2"/>
    </row>
    <row r="767">
      <c r="K767" s="2"/>
    </row>
    <row r="768">
      <c r="K768" s="2"/>
    </row>
    <row r="769">
      <c r="K769" s="2"/>
    </row>
    <row r="770">
      <c r="K770" s="2"/>
    </row>
    <row r="771">
      <c r="K771" s="2"/>
    </row>
    <row r="772">
      <c r="K772" s="2"/>
    </row>
    <row r="773">
      <c r="K773" s="2"/>
    </row>
    <row r="774">
      <c r="K774" s="2"/>
    </row>
    <row r="775">
      <c r="K775" s="2"/>
    </row>
    <row r="776">
      <c r="K776" s="2"/>
    </row>
    <row r="777">
      <c r="K777" s="2"/>
    </row>
    <row r="778">
      <c r="K778" s="2"/>
    </row>
    <row r="779">
      <c r="K779" s="2"/>
    </row>
    <row r="780">
      <c r="K780" s="2"/>
    </row>
    <row r="781">
      <c r="K781" s="2"/>
    </row>
    <row r="782">
      <c r="K782" s="2"/>
    </row>
    <row r="783">
      <c r="K783" s="2"/>
    </row>
    <row r="784">
      <c r="K784" s="2"/>
    </row>
    <row r="785">
      <c r="K785" s="2"/>
    </row>
    <row r="786">
      <c r="K786" s="2"/>
    </row>
    <row r="787">
      <c r="K787" s="2"/>
    </row>
    <row r="788">
      <c r="K788" s="2"/>
    </row>
    <row r="789">
      <c r="K789" s="2"/>
    </row>
    <row r="790">
      <c r="K790" s="2"/>
    </row>
    <row r="791">
      <c r="K791" s="2"/>
    </row>
    <row r="792">
      <c r="K792" s="2"/>
    </row>
    <row r="793">
      <c r="K793" s="2"/>
    </row>
    <row r="794">
      <c r="K794" s="2"/>
    </row>
    <row r="795">
      <c r="K795" s="2"/>
    </row>
    <row r="796">
      <c r="K796" s="2"/>
    </row>
    <row r="797">
      <c r="K797" s="2"/>
    </row>
    <row r="798">
      <c r="K798" s="2"/>
    </row>
    <row r="799">
      <c r="K799" s="2"/>
    </row>
    <row r="800">
      <c r="K800" s="2"/>
    </row>
    <row r="801">
      <c r="K801" s="2"/>
    </row>
    <row r="802">
      <c r="K802" s="2"/>
    </row>
    <row r="803">
      <c r="K803" s="2"/>
    </row>
    <row r="804">
      <c r="K804" s="2"/>
    </row>
    <row r="805">
      <c r="K805" s="2"/>
    </row>
    <row r="806">
      <c r="K806" s="2"/>
    </row>
    <row r="807">
      <c r="K807" s="2"/>
    </row>
    <row r="808">
      <c r="K808" s="2"/>
    </row>
    <row r="809">
      <c r="K809" s="2"/>
    </row>
    <row r="810">
      <c r="K810" s="2"/>
    </row>
    <row r="811">
      <c r="K811" s="2"/>
    </row>
    <row r="812">
      <c r="K812" s="2"/>
    </row>
    <row r="813">
      <c r="K813" s="2"/>
    </row>
    <row r="814">
      <c r="K814" s="2"/>
    </row>
    <row r="815">
      <c r="K815" s="2"/>
    </row>
    <row r="816">
      <c r="K816" s="2"/>
    </row>
    <row r="817">
      <c r="K817" s="2"/>
    </row>
    <row r="818">
      <c r="K818" s="2"/>
    </row>
    <row r="819">
      <c r="K819" s="2"/>
    </row>
    <row r="820">
      <c r="K820" s="2"/>
    </row>
    <row r="821">
      <c r="K821" s="2"/>
    </row>
    <row r="822">
      <c r="K822" s="2"/>
    </row>
    <row r="823">
      <c r="K823" s="2"/>
    </row>
    <row r="824">
      <c r="K824" s="2"/>
    </row>
    <row r="825">
      <c r="K825" s="2"/>
    </row>
    <row r="826">
      <c r="K826" s="2"/>
    </row>
    <row r="827">
      <c r="K827" s="2"/>
    </row>
    <row r="828">
      <c r="K828" s="2"/>
    </row>
    <row r="829">
      <c r="K829" s="2"/>
    </row>
    <row r="830">
      <c r="K830" s="2"/>
    </row>
    <row r="831">
      <c r="K831" s="2"/>
    </row>
    <row r="832">
      <c r="K832" s="2"/>
    </row>
    <row r="833">
      <c r="K833" s="2"/>
    </row>
    <row r="834">
      <c r="K834" s="2"/>
    </row>
    <row r="835">
      <c r="K835" s="2"/>
    </row>
    <row r="836">
      <c r="K836" s="2"/>
    </row>
    <row r="837">
      <c r="K837" s="2"/>
    </row>
    <row r="838">
      <c r="K838" s="2"/>
    </row>
    <row r="839">
      <c r="K839" s="2"/>
    </row>
    <row r="840">
      <c r="K840" s="2"/>
    </row>
    <row r="841">
      <c r="K841" s="2"/>
    </row>
    <row r="842">
      <c r="K842" s="2"/>
    </row>
    <row r="843">
      <c r="K843" s="2"/>
    </row>
    <row r="844">
      <c r="K844" s="2"/>
    </row>
    <row r="845">
      <c r="K845" s="2"/>
    </row>
    <row r="846">
      <c r="K846" s="2"/>
    </row>
    <row r="847">
      <c r="K847" s="2"/>
    </row>
    <row r="848">
      <c r="K848" s="2"/>
    </row>
    <row r="849">
      <c r="K849" s="2"/>
    </row>
    <row r="850">
      <c r="K850" s="2"/>
    </row>
    <row r="851">
      <c r="K851" s="2"/>
    </row>
    <row r="852">
      <c r="K852" s="2"/>
    </row>
    <row r="853">
      <c r="K853" s="2"/>
    </row>
    <row r="854">
      <c r="K854" s="2"/>
    </row>
    <row r="855">
      <c r="K855" s="2"/>
    </row>
    <row r="856">
      <c r="K856" s="2"/>
    </row>
    <row r="857">
      <c r="K857" s="2"/>
    </row>
    <row r="858">
      <c r="K858" s="2"/>
    </row>
    <row r="859">
      <c r="K859" s="2"/>
    </row>
    <row r="860">
      <c r="K860" s="2"/>
    </row>
    <row r="861">
      <c r="K861" s="2"/>
    </row>
    <row r="862">
      <c r="K862" s="2"/>
    </row>
    <row r="863">
      <c r="K863" s="2"/>
    </row>
    <row r="864">
      <c r="K864" s="2"/>
    </row>
    <row r="865">
      <c r="K865" s="2"/>
    </row>
    <row r="866">
      <c r="K866" s="2"/>
    </row>
    <row r="867">
      <c r="K867" s="2"/>
    </row>
    <row r="868">
      <c r="K868" s="2"/>
    </row>
    <row r="869">
      <c r="K869" s="2"/>
    </row>
    <row r="870">
      <c r="K870" s="2"/>
    </row>
    <row r="871">
      <c r="K871" s="2"/>
    </row>
    <row r="872">
      <c r="K872" s="2"/>
    </row>
    <row r="873">
      <c r="K873" s="2"/>
    </row>
    <row r="874">
      <c r="K874" s="2"/>
    </row>
    <row r="875">
      <c r="K875" s="2"/>
    </row>
    <row r="876">
      <c r="K876" s="2"/>
    </row>
    <row r="877">
      <c r="K877" s="2"/>
    </row>
    <row r="878">
      <c r="K878" s="2"/>
    </row>
    <row r="879">
      <c r="K879" s="2"/>
    </row>
    <row r="880">
      <c r="K880" s="2"/>
    </row>
    <row r="881">
      <c r="K881" s="2"/>
    </row>
    <row r="882">
      <c r="K882" s="2"/>
    </row>
    <row r="883">
      <c r="K883" s="2"/>
    </row>
    <row r="884">
      <c r="K884" s="2"/>
    </row>
    <row r="885">
      <c r="K885" s="2"/>
    </row>
    <row r="886">
      <c r="K886" s="2"/>
    </row>
    <row r="887">
      <c r="K887" s="2"/>
    </row>
    <row r="888">
      <c r="K888" s="2"/>
    </row>
    <row r="889">
      <c r="K889" s="2"/>
    </row>
    <row r="890">
      <c r="K890" s="2"/>
    </row>
    <row r="891">
      <c r="K891" s="2"/>
    </row>
    <row r="892">
      <c r="K892" s="2"/>
    </row>
    <row r="893">
      <c r="K893" s="2"/>
    </row>
    <row r="894">
      <c r="K894" s="2"/>
    </row>
    <row r="895">
      <c r="K895" s="2"/>
    </row>
    <row r="896">
      <c r="K896" s="2"/>
    </row>
    <row r="897">
      <c r="K897" s="2"/>
    </row>
    <row r="898">
      <c r="K898" s="2"/>
    </row>
    <row r="899">
      <c r="K899" s="2"/>
    </row>
    <row r="900">
      <c r="K900" s="2"/>
    </row>
    <row r="901">
      <c r="K901" s="2"/>
    </row>
    <row r="902">
      <c r="K902" s="2"/>
    </row>
    <row r="903">
      <c r="K903" s="2"/>
    </row>
    <row r="904">
      <c r="K904" s="2"/>
    </row>
    <row r="905">
      <c r="K905" s="2"/>
    </row>
    <row r="906">
      <c r="K906" s="2"/>
    </row>
    <row r="907">
      <c r="K907" s="2"/>
    </row>
    <row r="908">
      <c r="K908" s="2"/>
    </row>
    <row r="909">
      <c r="K909" s="2"/>
    </row>
    <row r="910">
      <c r="K910" s="2"/>
    </row>
    <row r="911">
      <c r="K911" s="2"/>
    </row>
    <row r="912">
      <c r="K912" s="2"/>
    </row>
    <row r="913">
      <c r="K913" s="2"/>
    </row>
    <row r="914">
      <c r="K914" s="2"/>
    </row>
    <row r="915">
      <c r="K915" s="2"/>
    </row>
    <row r="916">
      <c r="K916" s="2"/>
    </row>
    <row r="917">
      <c r="K917" s="2"/>
    </row>
    <row r="918">
      <c r="K918" s="2"/>
    </row>
    <row r="919">
      <c r="K919" s="2"/>
    </row>
    <row r="920">
      <c r="K920" s="2"/>
    </row>
    <row r="921">
      <c r="K921" s="2"/>
    </row>
    <row r="922">
      <c r="K922" s="2"/>
    </row>
    <row r="923">
      <c r="K923" s="2"/>
    </row>
    <row r="924">
      <c r="K924" s="2"/>
    </row>
    <row r="925">
      <c r="K925" s="2"/>
    </row>
    <row r="926">
      <c r="K926" s="2"/>
    </row>
    <row r="927">
      <c r="K927" s="2"/>
    </row>
    <row r="928">
      <c r="K928" s="2"/>
    </row>
    <row r="929">
      <c r="K929" s="2"/>
    </row>
    <row r="930">
      <c r="K930" s="2"/>
    </row>
    <row r="931">
      <c r="K931" s="2"/>
    </row>
    <row r="932">
      <c r="K932" s="2"/>
    </row>
    <row r="933">
      <c r="K933" s="2"/>
    </row>
    <row r="934">
      <c r="K934" s="2"/>
    </row>
    <row r="935">
      <c r="K935" s="2"/>
    </row>
    <row r="936">
      <c r="K936" s="2"/>
    </row>
    <row r="937">
      <c r="K937" s="2"/>
    </row>
    <row r="938">
      <c r="K938" s="2"/>
    </row>
    <row r="939">
      <c r="K939" s="2"/>
    </row>
    <row r="940">
      <c r="K940" s="2"/>
    </row>
    <row r="941">
      <c r="K941" s="2"/>
    </row>
    <row r="942">
      <c r="K942" s="2"/>
    </row>
    <row r="943">
      <c r="K943" s="2"/>
    </row>
    <row r="944">
      <c r="K944" s="2"/>
    </row>
    <row r="945">
      <c r="K945" s="2"/>
    </row>
    <row r="946">
      <c r="K946" s="2"/>
    </row>
    <row r="947">
      <c r="K947" s="2"/>
    </row>
    <row r="948">
      <c r="K948" s="2"/>
    </row>
    <row r="949">
      <c r="K949" s="2"/>
    </row>
    <row r="950">
      <c r="K950" s="2"/>
    </row>
    <row r="951">
      <c r="K951" s="2"/>
    </row>
    <row r="952">
      <c r="K952" s="2"/>
    </row>
    <row r="953">
      <c r="K953" s="2"/>
    </row>
    <row r="954">
      <c r="K954" s="2"/>
    </row>
    <row r="955">
      <c r="K955" s="2"/>
    </row>
    <row r="956">
      <c r="K956" s="2"/>
    </row>
    <row r="957">
      <c r="K957" s="2"/>
    </row>
    <row r="958">
      <c r="K958" s="2"/>
    </row>
    <row r="959">
      <c r="K959" s="2"/>
    </row>
    <row r="960">
      <c r="K960" s="2"/>
    </row>
    <row r="961">
      <c r="K961" s="2"/>
    </row>
    <row r="962">
      <c r="K962" s="2"/>
    </row>
    <row r="963">
      <c r="K963" s="2"/>
    </row>
    <row r="964">
      <c r="K964" s="2"/>
    </row>
    <row r="965">
      <c r="K965" s="2"/>
    </row>
    <row r="966">
      <c r="K966" s="2"/>
    </row>
    <row r="967">
      <c r="K967" s="2"/>
    </row>
    <row r="968">
      <c r="K968" s="2"/>
    </row>
    <row r="969">
      <c r="K969" s="2"/>
    </row>
    <row r="970">
      <c r="K970" s="2"/>
    </row>
    <row r="971">
      <c r="K971" s="2"/>
    </row>
    <row r="972">
      <c r="K972" s="2"/>
    </row>
    <row r="973">
      <c r="K973" s="2"/>
    </row>
    <row r="974">
      <c r="K974" s="2"/>
    </row>
    <row r="975">
      <c r="K975" s="2"/>
    </row>
    <row r="976">
      <c r="K976" s="2"/>
    </row>
  </sheetData>
  <mergeCells count="8">
    <mergeCell ref="AC1:AD1"/>
    <mergeCell ref="AD13:AD14"/>
    <mergeCell ref="AE13:AE14"/>
    <mergeCell ref="A69:D69"/>
    <mergeCell ref="A70:D70"/>
    <mergeCell ref="Z70:AC70"/>
    <mergeCell ref="A119:D119"/>
    <mergeCell ref="A120:D120"/>
  </mergeCells>
  <conditionalFormatting sqref="O45">
    <cfRule type="expression" dxfId="3" priority="1">
      <formula>AND(O45&gt;0, O45&lt;=SMALL(FILTER($O$2:$O$100, $O$2:$O$100&gt;0), 3))</formula>
    </cfRule>
  </conditionalFormatting>
  <conditionalFormatting sqref="AB73:AB79">
    <cfRule type="expression" dxfId="3" priority="2">
      <formula>ISTEXT(AB73)</formula>
    </cfRule>
  </conditionalFormatting>
  <conditionalFormatting sqref="AG73:AG83">
    <cfRule type="expression" dxfId="3" priority="3">
      <formula>ISTEXT(AG73)</formula>
    </cfRule>
  </conditionalFormatting>
  <conditionalFormatting sqref="S2:U45">
    <cfRule type="beginsWith" dxfId="0" priority="4" operator="beginsWith" text="G">
      <formula>LEFT((S2),LEN("G"))=("G")</formula>
    </cfRule>
  </conditionalFormatting>
  <conditionalFormatting sqref="S2:U45">
    <cfRule type="beginsWith" dxfId="2" priority="5" operator="beginsWith" text="E">
      <formula>LEFT((S2),LEN("E"))=("E")</formula>
    </cfRule>
  </conditionalFormatting>
  <conditionalFormatting sqref="V2:V45">
    <cfRule type="expression" dxfId="0" priority="6">
      <formula>V2=J2</formula>
    </cfRule>
  </conditionalFormatting>
  <conditionalFormatting sqref="V2:V45">
    <cfRule type="expression" dxfId="2" priority="7">
      <formula>V2&lt;&gt;J2</formula>
    </cfRule>
  </conditionalFormatting>
  <conditionalFormatting sqref="AD4:AE11">
    <cfRule type="expression" dxfId="1" priority="8">
      <formula>$AE4="Y"</formula>
    </cfRule>
  </conditionalFormatting>
  <conditionalFormatting sqref="AD4:AE11">
    <cfRule type="expression" dxfId="2" priority="9">
      <formula>$AE4="N"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.38"/>
    <col customWidth="1" min="3" max="4" width="8.88"/>
    <col customWidth="1" min="5" max="5" width="5.13"/>
    <col customWidth="1" min="6" max="6" width="26.63"/>
    <col customWidth="1" min="7" max="8" width="23.63"/>
    <col customWidth="1" min="9" max="9" width="23.75"/>
    <col customWidth="1" min="10" max="10" width="17.25"/>
    <col customWidth="1" min="11" max="11" width="19.75"/>
    <col customWidth="1" min="12" max="12" width="8.5"/>
    <col customWidth="1" min="13" max="13" width="10.25"/>
    <col customWidth="1" min="14" max="14" width="6.0"/>
    <col customWidth="1" min="15" max="15" width="18.0"/>
    <col customWidth="1" min="16" max="16" width="14.88"/>
    <col customWidth="1" min="17" max="17" width="13.63"/>
    <col customWidth="1" min="18" max="18" width="19.88"/>
    <col customWidth="1" min="19" max="19" width="21.63"/>
    <col customWidth="1" min="21" max="21" width="23.63"/>
    <col customWidth="1" min="22" max="22" width="26.25"/>
  </cols>
  <sheetData>
    <row r="1">
      <c r="A1" s="4" t="s">
        <v>1</v>
      </c>
      <c r="B1" s="4" t="s">
        <v>5</v>
      </c>
      <c r="C1" s="9" t="s">
        <v>8</v>
      </c>
      <c r="E1" s="12" t="s">
        <v>14</v>
      </c>
      <c r="F1" s="4" t="s">
        <v>15</v>
      </c>
      <c r="G1" s="4" t="s">
        <v>17</v>
      </c>
      <c r="H1" s="4" t="s">
        <v>20</v>
      </c>
      <c r="I1" s="4" t="s">
        <v>21</v>
      </c>
      <c r="J1" s="4" t="s">
        <v>22</v>
      </c>
      <c r="K1" s="9" t="s">
        <v>24</v>
      </c>
      <c r="L1" s="9" t="s">
        <v>8</v>
      </c>
      <c r="M1" s="9" t="s">
        <v>27</v>
      </c>
      <c r="U1" s="9" t="s">
        <v>29</v>
      </c>
      <c r="V1" s="9" t="s">
        <v>30</v>
      </c>
    </row>
    <row r="2">
      <c r="A2" s="22" t="str">
        <f>IFERROR(__xludf.DUMMYFUNCTION("IMPORTRANGE(""1uZFF2o7rrfB0YZtASdZnP52Ef50ZinvtOPb1Tbuq8J4"",""CheckIn!C1:D99"")"),"#REF!")</f>
        <v>#REF!</v>
      </c>
      <c r="B2" s="22"/>
      <c r="C2" s="22" t="str">
        <f t="shared" ref="C2:C76" si="1">iferror(VLOOKUP(A2,indirect("'" &amp; "Current" &amp; "'!$B:$T"),19,false),"")</f>
        <v/>
      </c>
      <c r="D2" s="28" t="str">
        <f t="shared" ref="D2:D24" si="2">IF(COUNTIF(A:A, A2) &gt; 1, "Duplicate", "")</f>
        <v/>
      </c>
      <c r="E2" s="24">
        <v>1.0</v>
      </c>
      <c r="F2" s="22" t="str">
        <f>IFERROR(__xludf.DUMMYFUNCTION("QUERY(A2:B99, ""Select A  where B = 1   order by A"")"),"#N/A")</f>
        <v>#N/A</v>
      </c>
      <c r="G2" s="22" t="str">
        <f>IFERROR(__xludf.DUMMYFUNCTION("QUERY($A2:$B99, ""Select A where B = 3 order by A"")"),"#N/A")</f>
        <v>#N/A</v>
      </c>
      <c r="H2" s="22" t="str">
        <f>IFERROR(__xludf.DUMMYFUNCTION("IFERROR(QUERY($A2:$B99, ""Select A where B = 4""),"""")"),"")</f>
        <v/>
      </c>
      <c r="I2" s="22" t="str">
        <f>IFERROR(__xludf.DUMMYFUNCTION("IFERROR(QUERY(Current!B5:F71, ""Select B where F = 0 order by B""), """")"),"Adrian Tay")</f>
        <v>Adrian Tay</v>
      </c>
      <c r="J2" s="22" t="str">
        <f>IFERROR(__xludf.DUMMYFUNCTION("iferror(QUERY($A2:$C99, ""Select A where B = 5 order by C""),"""")"),"")</f>
        <v/>
      </c>
      <c r="K2" s="22" t="str">
        <f>IFERROR(__xludf.DUMMYFUNCTION("iferror(QUERY($A2:$C99, ""Select A,C where B = 2 order by C""),"""")"),"")</f>
        <v/>
      </c>
      <c r="L2" s="22"/>
      <c r="M2" s="22" t="str">
        <f>if(P21&gt;0,1,"")</f>
        <v/>
      </c>
      <c r="U2" s="28" t="str">
        <f>IFERROR(__xludf.DUMMYFUNCTION("FILTER(A2:A70, B2:B70 = 1, C2:C70 = 0)"),"#N/A")</f>
        <v>#N/A</v>
      </c>
    </row>
    <row r="3">
      <c r="A3" s="22"/>
      <c r="B3" s="22"/>
      <c r="C3" s="22" t="str">
        <f t="shared" si="1"/>
        <v/>
      </c>
      <c r="D3" s="28" t="str">
        <f t="shared" si="2"/>
        <v/>
      </c>
      <c r="E3" s="22">
        <f t="shared" ref="E3:E76" si="3">E2+1</f>
        <v>2</v>
      </c>
      <c r="F3" s="22"/>
      <c r="G3" s="22"/>
      <c r="H3" s="22"/>
      <c r="I3" s="22" t="str">
        <f>IFERROR(__xludf.DUMMYFUNCTION("""COMPUTED_VALUE"""),"Alejandro Mejia")</f>
        <v>Alejandro Mejia</v>
      </c>
      <c r="J3" s="22"/>
      <c r="K3" s="22"/>
      <c r="L3" s="22"/>
      <c r="M3" s="22" t="str">
        <f t="shared" ref="M3:M28" si="4">if(M2="","",if(P$21&gt;M2,M2+1,""))</f>
        <v/>
      </c>
    </row>
    <row r="4">
      <c r="A4" s="22"/>
      <c r="B4" s="22"/>
      <c r="C4" s="22" t="str">
        <f t="shared" si="1"/>
        <v/>
      </c>
      <c r="D4" s="28" t="str">
        <f t="shared" si="2"/>
        <v/>
      </c>
      <c r="E4" s="22">
        <f t="shared" si="3"/>
        <v>3</v>
      </c>
      <c r="F4" s="22"/>
      <c r="G4" s="22"/>
      <c r="H4" s="22"/>
      <c r="I4" s="22" t="str">
        <f>IFERROR(__xludf.DUMMYFUNCTION("""COMPUTED_VALUE"""),"Alex Hou")</f>
        <v>Alex Hou</v>
      </c>
      <c r="J4" s="22"/>
      <c r="K4" s="22"/>
      <c r="L4" s="22"/>
      <c r="M4" s="22" t="str">
        <f t="shared" si="4"/>
        <v/>
      </c>
      <c r="O4" s="20"/>
      <c r="R4" s="45" t="s">
        <v>54</v>
      </c>
    </row>
    <row r="5">
      <c r="A5" s="22"/>
      <c r="B5" s="22"/>
      <c r="C5" s="22" t="str">
        <f t="shared" si="1"/>
        <v/>
      </c>
      <c r="D5" s="28" t="str">
        <f t="shared" si="2"/>
        <v/>
      </c>
      <c r="E5" s="22">
        <f t="shared" si="3"/>
        <v>4</v>
      </c>
      <c r="F5" s="22"/>
      <c r="G5" s="22"/>
      <c r="H5" s="22"/>
      <c r="I5" s="22" t="str">
        <f>IFERROR(__xludf.DUMMYFUNCTION("""COMPUTED_VALUE"""),"Allen Zhang")</f>
        <v>Allen Zhang</v>
      </c>
      <c r="J5" s="22"/>
      <c r="K5" s="22"/>
      <c r="L5" s="22"/>
      <c r="M5" s="22" t="str">
        <f t="shared" si="4"/>
        <v/>
      </c>
    </row>
    <row r="6">
      <c r="A6" s="22"/>
      <c r="B6" s="22"/>
      <c r="C6" s="22" t="str">
        <f t="shared" si="1"/>
        <v/>
      </c>
      <c r="D6" s="28" t="str">
        <f t="shared" si="2"/>
        <v/>
      </c>
      <c r="E6" s="22">
        <f t="shared" si="3"/>
        <v>5</v>
      </c>
      <c r="F6" s="22"/>
      <c r="G6" s="22"/>
      <c r="H6" s="22"/>
      <c r="I6" s="22" t="str">
        <f>IFERROR(__xludf.DUMMYFUNCTION("""COMPUTED_VALUE"""),"Andrew Wen")</f>
        <v>Andrew Wen</v>
      </c>
      <c r="J6" s="22"/>
      <c r="K6" s="22"/>
      <c r="L6" s="22"/>
      <c r="M6" s="22" t="str">
        <f t="shared" si="4"/>
        <v/>
      </c>
      <c r="O6" s="24" t="s">
        <v>55</v>
      </c>
      <c r="P6" s="22">
        <f>COUNTIF(F2:F99, "?*")</f>
        <v>0</v>
      </c>
      <c r="R6" s="28" t="str">
        <f>CONCATENATE( "*",P$14," Courts Full*")</f>
        <v>*0 Courts Full*</v>
      </c>
      <c r="S6" s="20" t="s">
        <v>58</v>
      </c>
      <c r="T6" s="2">
        <f>P21</f>
        <v>0</v>
      </c>
    </row>
    <row r="7">
      <c r="A7" s="22"/>
      <c r="B7" s="22"/>
      <c r="C7" s="22" t="str">
        <f t="shared" si="1"/>
        <v/>
      </c>
      <c r="D7" s="28" t="str">
        <f t="shared" si="2"/>
        <v/>
      </c>
      <c r="E7" s="22">
        <f t="shared" si="3"/>
        <v>6</v>
      </c>
      <c r="F7" s="22"/>
      <c r="G7" s="22"/>
      <c r="H7" s="22"/>
      <c r="I7" s="22" t="str">
        <f>IFERROR(__xludf.DUMMYFUNCTION("""COMPUTED_VALUE"""),"Andrew Yao")</f>
        <v>Andrew Yao</v>
      </c>
      <c r="J7" s="22"/>
      <c r="K7" s="22"/>
      <c r="L7" s="22"/>
      <c r="M7" s="22" t="str">
        <f t="shared" si="4"/>
        <v/>
      </c>
      <c r="O7" s="24" t="s">
        <v>59</v>
      </c>
      <c r="P7" s="22">
        <f>COUNTIF(K2:K99, "?*")</f>
        <v>0</v>
      </c>
      <c r="R7" s="28" t="str">
        <f>CONCATENATE(O$15," --- ",P$15)</f>
        <v>Playing --- 0</v>
      </c>
      <c r="S7" s="28" t="str">
        <f t="shared" ref="S7:T7" si="5">O7</f>
        <v>Playing-Can Sit</v>
      </c>
      <c r="T7" s="2">
        <f t="shared" si="5"/>
        <v>0</v>
      </c>
      <c r="V7" s="20"/>
    </row>
    <row r="8">
      <c r="A8" s="22"/>
      <c r="B8" s="22"/>
      <c r="C8" s="22" t="str">
        <f t="shared" si="1"/>
        <v/>
      </c>
      <c r="D8" s="28" t="str">
        <f t="shared" si="2"/>
        <v/>
      </c>
      <c r="E8" s="22">
        <f t="shared" si="3"/>
        <v>7</v>
      </c>
      <c r="F8" s="22"/>
      <c r="G8" s="22"/>
      <c r="H8" s="22"/>
      <c r="I8" s="22" t="str">
        <f>IFERROR(__xludf.DUMMYFUNCTION("""COMPUTED_VALUE"""),"Art Hui")</f>
        <v>Art Hui</v>
      </c>
      <c r="J8" s="22"/>
      <c r="K8" s="22"/>
      <c r="L8" s="22"/>
      <c r="M8" s="22" t="str">
        <f t="shared" si="4"/>
        <v/>
      </c>
      <c r="O8" s="24" t="s">
        <v>62</v>
      </c>
      <c r="P8" s="22">
        <f>COUNTIF(H2:H99, "?*")</f>
        <v>0</v>
      </c>
      <c r="R8" s="28" t="str">
        <f>CONCATENATE(O$17," ------ ",P$17)</f>
        <v>Out ------ 0</v>
      </c>
      <c r="S8" s="20" t="s">
        <v>63</v>
      </c>
      <c r="T8" s="2">
        <f>T6-T7</f>
        <v>0</v>
      </c>
    </row>
    <row r="9">
      <c r="A9" s="22"/>
      <c r="B9" s="22"/>
      <c r="C9" s="22" t="str">
        <f t="shared" si="1"/>
        <v/>
      </c>
      <c r="D9" s="28" t="str">
        <f t="shared" si="2"/>
        <v/>
      </c>
      <c r="E9" s="22">
        <f t="shared" si="3"/>
        <v>8</v>
      </c>
      <c r="F9" s="22"/>
      <c r="G9" s="22"/>
      <c r="H9" s="22"/>
      <c r="I9" s="22" t="str">
        <f>IFERROR(__xludf.DUMMYFUNCTION("""COMPUTED_VALUE"""),"Basudev Thoppai Vidyasankar")</f>
        <v>Basudev Thoppai Vidyasankar</v>
      </c>
      <c r="J9" s="22"/>
      <c r="K9" s="22"/>
      <c r="L9" s="22"/>
      <c r="M9" s="22" t="str">
        <f t="shared" si="4"/>
        <v/>
      </c>
      <c r="O9" s="24" t="s">
        <v>64</v>
      </c>
      <c r="P9" s="22">
        <f>COUNTIF(G2:G99, "?*")</f>
        <v>0</v>
      </c>
      <c r="R9" s="28" t="str">
        <f>CONCATENATE(O$18," ------ ",P$18)</f>
        <v>TBD ------ 67</v>
      </c>
      <c r="S9" s="20" t="s">
        <v>65</v>
      </c>
      <c r="T9" s="2">
        <f>counta(U2:U978)</f>
        <v>1</v>
      </c>
    </row>
    <row r="10">
      <c r="A10" s="22"/>
      <c r="B10" s="22"/>
      <c r="C10" s="22" t="str">
        <f t="shared" si="1"/>
        <v/>
      </c>
      <c r="D10" s="28" t="str">
        <f t="shared" si="2"/>
        <v/>
      </c>
      <c r="E10" s="22">
        <f t="shared" si="3"/>
        <v>9</v>
      </c>
      <c r="F10" s="22"/>
      <c r="G10" s="22"/>
      <c r="H10" s="22"/>
      <c r="I10" s="22" t="str">
        <f>IFERROR(__xludf.DUMMYFUNCTION("""COMPUTED_VALUE"""),"Camille Jung")</f>
        <v>Camille Jung</v>
      </c>
      <c r="J10" s="22"/>
      <c r="K10" s="22"/>
      <c r="L10" s="22"/>
      <c r="M10" s="22" t="str">
        <f t="shared" si="4"/>
        <v/>
      </c>
      <c r="O10" s="24" t="s">
        <v>66</v>
      </c>
      <c r="P10" s="22">
        <f>COUNTIF(J2:J99, "?*")</f>
        <v>0</v>
      </c>
      <c r="R10" s="28" t="str">
        <f>CONCATENATE(O$19," ------ ",P$19)</f>
        <v>Total ------ 67</v>
      </c>
    </row>
    <row r="11">
      <c r="A11" s="22"/>
      <c r="B11" s="22"/>
      <c r="C11" s="22" t="str">
        <f t="shared" si="1"/>
        <v/>
      </c>
      <c r="D11" s="28" t="str">
        <f t="shared" si="2"/>
        <v/>
      </c>
      <c r="E11" s="22">
        <f t="shared" si="3"/>
        <v>10</v>
      </c>
      <c r="F11" s="22"/>
      <c r="G11" s="22"/>
      <c r="H11" s="22"/>
      <c r="I11" s="22" t="str">
        <f>IFERROR(__xludf.DUMMYFUNCTION("""COMPUTED_VALUE"""),"Chinna Ponnaganti")</f>
        <v>Chinna Ponnaganti</v>
      </c>
      <c r="J11" s="22"/>
      <c r="K11" s="22"/>
      <c r="L11" s="22"/>
      <c r="M11" s="22" t="str">
        <f t="shared" si="4"/>
        <v/>
      </c>
      <c r="O11" s="24" t="s">
        <v>69</v>
      </c>
      <c r="P11" s="22">
        <f>COUNTIF(I2:I99, "?*")</f>
        <v>67</v>
      </c>
      <c r="R11" s="28" t="str">
        <f>CONCATENATE(O$16," ---- ",P$16)</f>
        <v>Sitouts Required ---- 0</v>
      </c>
    </row>
    <row r="12">
      <c r="A12" s="22"/>
      <c r="B12" s="22"/>
      <c r="C12" s="22" t="str">
        <f t="shared" si="1"/>
        <v/>
      </c>
      <c r="D12" s="28" t="str">
        <f t="shared" si="2"/>
        <v/>
      </c>
      <c r="E12" s="22">
        <f t="shared" si="3"/>
        <v>11</v>
      </c>
      <c r="F12" s="22"/>
      <c r="G12" s="22"/>
      <c r="H12" s="22"/>
      <c r="I12" s="22" t="str">
        <f>IFERROR(__xludf.DUMMYFUNCTION("""COMPUTED_VALUE"""),"Cid Macaraeg")</f>
        <v>Cid Macaraeg</v>
      </c>
      <c r="J12" s="22"/>
      <c r="K12" s="22"/>
      <c r="L12" s="22"/>
      <c r="M12" s="22" t="str">
        <f t="shared" si="4"/>
        <v/>
      </c>
      <c r="O12" s="24" t="s">
        <v>73</v>
      </c>
      <c r="P12" s="22">
        <f>sum(P6:P11)</f>
        <v>67</v>
      </c>
      <c r="R12" s="28" t="str">
        <f>CONCATENATE(O$7," ---- ",P$7)</f>
        <v>Playing-Can Sit ---- 0</v>
      </c>
      <c r="V12" s="20"/>
    </row>
    <row r="13">
      <c r="A13" s="22"/>
      <c r="B13" s="22"/>
      <c r="C13" s="22" t="str">
        <f t="shared" si="1"/>
        <v/>
      </c>
      <c r="D13" s="28" t="str">
        <f t="shared" si="2"/>
        <v/>
      </c>
      <c r="E13" s="22">
        <f t="shared" si="3"/>
        <v>12</v>
      </c>
      <c r="F13" s="22"/>
      <c r="G13" s="22"/>
      <c r="H13" s="22"/>
      <c r="I13" s="22" t="str">
        <f>IFERROR(__xludf.DUMMYFUNCTION("""COMPUTED_VALUE"""),"Coco Yan")</f>
        <v>Coco Yan</v>
      </c>
      <c r="J13" s="22"/>
      <c r="K13" s="22"/>
      <c r="L13" s="22"/>
      <c r="M13" s="22" t="str">
        <f t="shared" si="4"/>
        <v/>
      </c>
      <c r="R13" s="55" t="str">
        <f>IF(AND(MOD(NOW(),1) &gt;= S13, P7&gt;=P21), "*We have enough Sitouts*", IF(MOD(NOW(),1) &gt;= S13, "*We need more sitouts*", ""))</f>
        <v>*We have enough Sitouts*</v>
      </c>
      <c r="S13" s="56">
        <v>0.4513888888888889</v>
      </c>
    </row>
    <row r="14">
      <c r="A14" s="22"/>
      <c r="B14" s="22"/>
      <c r="C14" s="22" t="str">
        <f t="shared" si="1"/>
        <v/>
      </c>
      <c r="D14" s="28" t="str">
        <f t="shared" si="2"/>
        <v/>
      </c>
      <c r="E14" s="22">
        <f t="shared" si="3"/>
        <v>13</v>
      </c>
      <c r="F14" s="22"/>
      <c r="G14" s="22"/>
      <c r="H14" s="22"/>
      <c r="I14" s="22" t="str">
        <f>IFERROR(__xludf.DUMMYFUNCTION("""COMPUTED_VALUE"""),"Darren Wong")</f>
        <v>Darren Wong</v>
      </c>
      <c r="J14" s="22"/>
      <c r="K14" s="22"/>
      <c r="L14" s="22"/>
      <c r="M14" s="22" t="str">
        <f t="shared" si="4"/>
        <v/>
      </c>
      <c r="O14" s="24" t="s">
        <v>75</v>
      </c>
      <c r="P14" s="22">
        <f>if(rounddown(P15/4,0)&gt;8,8,rounddown(P15/4,0))</f>
        <v>0</v>
      </c>
    </row>
    <row r="15">
      <c r="A15" s="22"/>
      <c r="B15" s="22"/>
      <c r="C15" s="22" t="str">
        <f t="shared" si="1"/>
        <v/>
      </c>
      <c r="D15" s="28" t="str">
        <f t="shared" si="2"/>
        <v/>
      </c>
      <c r="E15" s="22">
        <f t="shared" si="3"/>
        <v>14</v>
      </c>
      <c r="F15" s="22"/>
      <c r="G15" s="22"/>
      <c r="H15" s="22"/>
      <c r="I15" s="22" t="str">
        <f>IFERROR(__xludf.DUMMYFUNCTION("""COMPUTED_VALUE"""),"David Shin")</f>
        <v>David Shin</v>
      </c>
      <c r="J15" s="22"/>
      <c r="K15" s="22"/>
      <c r="L15" s="22"/>
      <c r="M15" s="22" t="str">
        <f t="shared" si="4"/>
        <v/>
      </c>
      <c r="O15" s="24" t="s">
        <v>55</v>
      </c>
      <c r="P15" s="22">
        <f>P6+P7</f>
        <v>0</v>
      </c>
      <c r="T15" s="58"/>
    </row>
    <row r="16">
      <c r="A16" s="22"/>
      <c r="B16" s="22"/>
      <c r="C16" s="22" t="str">
        <f t="shared" si="1"/>
        <v/>
      </c>
      <c r="D16" s="28" t="str">
        <f t="shared" si="2"/>
        <v/>
      </c>
      <c r="E16" s="22">
        <f t="shared" si="3"/>
        <v>15</v>
      </c>
      <c r="F16" s="22"/>
      <c r="G16" s="22"/>
      <c r="H16" s="22"/>
      <c r="I16" s="22" t="str">
        <f>IFERROR(__xludf.DUMMYFUNCTION("""COMPUTED_VALUE"""),"Elayaraja Thangaraj")</f>
        <v>Elayaraja Thangaraj</v>
      </c>
      <c r="J16" s="22"/>
      <c r="K16" s="22"/>
      <c r="L16" s="22"/>
      <c r="M16" s="22" t="str">
        <f t="shared" si="4"/>
        <v/>
      </c>
      <c r="O16" s="24" t="s">
        <v>78</v>
      </c>
      <c r="P16" s="22">
        <f>P21</f>
        <v>0</v>
      </c>
      <c r="Q16" s="58"/>
      <c r="R16" s="53" t="s">
        <v>79</v>
      </c>
      <c r="T16" s="58"/>
    </row>
    <row r="17">
      <c r="A17" s="24"/>
      <c r="B17" s="22"/>
      <c r="C17" s="22" t="str">
        <f t="shared" si="1"/>
        <v/>
      </c>
      <c r="D17" s="28" t="str">
        <f t="shared" si="2"/>
        <v/>
      </c>
      <c r="E17" s="22">
        <f t="shared" si="3"/>
        <v>16</v>
      </c>
      <c r="F17" s="22"/>
      <c r="G17" s="22"/>
      <c r="H17" s="22"/>
      <c r="I17" s="22" t="str">
        <f>IFERROR(__xludf.DUMMYFUNCTION("""COMPUTED_VALUE"""),"Eric Pan")</f>
        <v>Eric Pan</v>
      </c>
      <c r="J17" s="22"/>
      <c r="K17" s="22"/>
      <c r="L17" s="22"/>
      <c r="M17" s="22" t="str">
        <f t="shared" si="4"/>
        <v/>
      </c>
      <c r="O17" s="24" t="s">
        <v>64</v>
      </c>
      <c r="P17" s="22">
        <f>P9+P8+P10</f>
        <v>0</v>
      </c>
      <c r="Q17" s="58"/>
      <c r="R17" s="59">
        <v>46382.0</v>
      </c>
    </row>
    <row r="18">
      <c r="A18" s="22"/>
      <c r="B18" s="22"/>
      <c r="C18" s="22" t="str">
        <f t="shared" si="1"/>
        <v/>
      </c>
      <c r="D18" s="28" t="str">
        <f t="shared" si="2"/>
        <v/>
      </c>
      <c r="E18" s="22">
        <f t="shared" si="3"/>
        <v>17</v>
      </c>
      <c r="F18" s="22"/>
      <c r="G18" s="22"/>
      <c r="H18" s="22"/>
      <c r="I18" s="22" t="str">
        <f>IFERROR(__xludf.DUMMYFUNCTION("""COMPUTED_VALUE"""),"Eric Tan")</f>
        <v>Eric Tan</v>
      </c>
      <c r="J18" s="22"/>
      <c r="K18" s="22"/>
      <c r="L18" s="22"/>
      <c r="M18" s="22" t="str">
        <f t="shared" si="4"/>
        <v/>
      </c>
      <c r="O18" s="24" t="s">
        <v>69</v>
      </c>
      <c r="P18" s="22">
        <f>P11</f>
        <v>67</v>
      </c>
      <c r="Q18" s="58"/>
      <c r="V18" s="20"/>
    </row>
    <row r="19">
      <c r="A19" s="22"/>
      <c r="B19" s="22"/>
      <c r="C19" s="22" t="str">
        <f t="shared" si="1"/>
        <v/>
      </c>
      <c r="D19" s="28" t="str">
        <f t="shared" si="2"/>
        <v/>
      </c>
      <c r="E19" s="22">
        <f t="shared" si="3"/>
        <v>18</v>
      </c>
      <c r="F19" s="22"/>
      <c r="G19" s="22"/>
      <c r="H19" s="22"/>
      <c r="I19" s="22" t="str">
        <f>IFERROR(__xludf.DUMMYFUNCTION("""COMPUTED_VALUE"""),"Erik Hoeckmann")</f>
        <v>Erik Hoeckmann</v>
      </c>
      <c r="J19" s="22"/>
      <c r="K19" s="22"/>
      <c r="L19" s="22"/>
      <c r="M19" s="22" t="str">
        <f t="shared" si="4"/>
        <v/>
      </c>
      <c r="O19" s="24" t="s">
        <v>73</v>
      </c>
      <c r="P19" s="22">
        <f>P15+P17+P18</f>
        <v>67</v>
      </c>
      <c r="Q19" s="28" t="str">
        <f>if(P19&gt;67,"Check duplicates","")</f>
        <v/>
      </c>
      <c r="R19" s="53" t="s">
        <v>82</v>
      </c>
    </row>
    <row r="20">
      <c r="A20" s="22"/>
      <c r="B20" s="22"/>
      <c r="C20" s="22" t="str">
        <f t="shared" si="1"/>
        <v/>
      </c>
      <c r="D20" s="28" t="str">
        <f t="shared" si="2"/>
        <v/>
      </c>
      <c r="E20" s="22">
        <f t="shared" si="3"/>
        <v>19</v>
      </c>
      <c r="F20" s="22"/>
      <c r="G20" s="22"/>
      <c r="H20" s="22"/>
      <c r="I20" s="22" t="str">
        <f>IFERROR(__xludf.DUMMYFUNCTION("""COMPUTED_VALUE"""),"Ethan Gu")</f>
        <v>Ethan Gu</v>
      </c>
      <c r="J20" s="22"/>
      <c r="K20" s="22"/>
      <c r="L20" s="22"/>
      <c r="M20" s="22" t="str">
        <f t="shared" si="4"/>
        <v/>
      </c>
      <c r="R20" s="60">
        <f>Current!C1+7</f>
        <v>46312</v>
      </c>
    </row>
    <row r="21">
      <c r="A21" s="22"/>
      <c r="B21" s="22"/>
      <c r="C21" s="22" t="str">
        <f t="shared" si="1"/>
        <v/>
      </c>
      <c r="D21" s="28" t="str">
        <f t="shared" si="2"/>
        <v/>
      </c>
      <c r="E21" s="22">
        <f t="shared" si="3"/>
        <v>20</v>
      </c>
      <c r="F21" s="22"/>
      <c r="G21" s="22"/>
      <c r="H21" s="22"/>
      <c r="I21" s="22" t="str">
        <f>IFERROR(__xludf.DUMMYFUNCTION("""COMPUTED_VALUE"""),"Frank Moon")</f>
        <v>Frank Moon</v>
      </c>
      <c r="J21" s="22"/>
      <c r="K21" s="22"/>
      <c r="L21" s="22"/>
      <c r="M21" s="22" t="str">
        <f t="shared" si="4"/>
        <v/>
      </c>
      <c r="O21" s="61" t="s">
        <v>78</v>
      </c>
      <c r="P21" s="22">
        <f>max(mod(sum(P6:P7),4),sum(P6:P7)-32)</f>
        <v>0</v>
      </c>
    </row>
    <row r="22">
      <c r="A22" s="22"/>
      <c r="B22" s="22"/>
      <c r="C22" s="22" t="str">
        <f t="shared" si="1"/>
        <v/>
      </c>
      <c r="D22" s="28" t="str">
        <f t="shared" si="2"/>
        <v/>
      </c>
      <c r="E22" s="22">
        <f t="shared" si="3"/>
        <v>21</v>
      </c>
      <c r="F22" s="22"/>
      <c r="G22" s="22"/>
      <c r="H22" s="22"/>
      <c r="I22" s="22" t="str">
        <f>IFERROR(__xludf.DUMMYFUNCTION("""COMPUTED_VALUE"""),"Herman Au")</f>
        <v>Herman Au</v>
      </c>
      <c r="J22" s="22"/>
      <c r="K22" s="22"/>
      <c r="L22" s="22"/>
      <c r="M22" s="22" t="str">
        <f t="shared" si="4"/>
        <v/>
      </c>
    </row>
    <row r="23">
      <c r="A23" s="22"/>
      <c r="B23" s="22"/>
      <c r="C23" s="22" t="str">
        <f t="shared" si="1"/>
        <v/>
      </c>
      <c r="D23" s="28" t="str">
        <f t="shared" si="2"/>
        <v/>
      </c>
      <c r="E23" s="22">
        <f t="shared" si="3"/>
        <v>22</v>
      </c>
      <c r="F23" s="22"/>
      <c r="G23" s="22"/>
      <c r="H23" s="22"/>
      <c r="I23" s="22" t="str">
        <f>IFERROR(__xludf.DUMMYFUNCTION("""COMPUTED_VALUE"""),"Hongyuan Wen")</f>
        <v>Hongyuan Wen</v>
      </c>
      <c r="J23" s="22"/>
      <c r="K23" s="22"/>
      <c r="L23" s="22"/>
      <c r="M23" s="22" t="str">
        <f t="shared" si="4"/>
        <v/>
      </c>
      <c r="O23" s="66" t="s">
        <v>86</v>
      </c>
      <c r="P23" s="26"/>
      <c r="Q23" s="27"/>
      <c r="R23" s="67"/>
      <c r="S23" s="67"/>
      <c r="T23" s="67"/>
    </row>
    <row r="24">
      <c r="A24" s="22"/>
      <c r="B24" s="22"/>
      <c r="C24" s="22" t="str">
        <f t="shared" si="1"/>
        <v/>
      </c>
      <c r="D24" s="28" t="str">
        <f t="shared" si="2"/>
        <v/>
      </c>
      <c r="E24" s="22">
        <f t="shared" si="3"/>
        <v>23</v>
      </c>
      <c r="F24" s="22"/>
      <c r="G24" s="22"/>
      <c r="H24" s="22"/>
      <c r="I24" s="22" t="str">
        <f>IFERROR(__xludf.DUMMYFUNCTION("""COMPUTED_VALUE"""),"Jaya Sogata")</f>
        <v>Jaya Sogata</v>
      </c>
      <c r="J24" s="22"/>
      <c r="K24" s="22"/>
      <c r="L24" s="57"/>
      <c r="M24" s="22" t="str">
        <f t="shared" si="4"/>
        <v/>
      </c>
      <c r="O24" s="70" t="str">
        <f>IFERROR(__xludf.DUMMYFUNCTION("QUERY(IMPORTRANGE(""1uZFF2o7rrfB0YZtASdZnP52Ef50ZinvtOPb1Tbuq8J4"", ""Vacations!A:F""), ""SELECT  Col2, Col4, Col5 WHERE Col2 IS NOT NULL ORDER BY Col4 ASC"", 1)"),"#REF!")</f>
        <v>#REF!</v>
      </c>
      <c r="P24" s="70"/>
      <c r="Q24" s="70"/>
      <c r="R24" s="71"/>
      <c r="S24" s="71"/>
      <c r="T24" s="71"/>
    </row>
    <row r="25">
      <c r="A25" s="22"/>
      <c r="B25" s="22"/>
      <c r="C25" s="22" t="str">
        <f t="shared" si="1"/>
        <v/>
      </c>
      <c r="E25" s="22">
        <f t="shared" si="3"/>
        <v>24</v>
      </c>
      <c r="F25" s="22"/>
      <c r="G25" s="22"/>
      <c r="H25" s="22"/>
      <c r="I25" s="22" t="str">
        <f>IFERROR(__xludf.DUMMYFUNCTION("""COMPUTED_VALUE"""),"Jim Miao")</f>
        <v>Jim Miao</v>
      </c>
      <c r="J25" s="22"/>
      <c r="K25" s="22"/>
      <c r="L25" s="22"/>
      <c r="M25" s="22" t="str">
        <f t="shared" si="4"/>
        <v/>
      </c>
      <c r="O25" s="22"/>
      <c r="P25" s="59"/>
      <c r="Q25" s="59"/>
      <c r="R25" s="72"/>
      <c r="S25" s="2"/>
      <c r="T25" s="2"/>
    </row>
    <row r="26">
      <c r="A26" s="22"/>
      <c r="B26" s="22"/>
      <c r="C26" s="22" t="str">
        <f t="shared" si="1"/>
        <v/>
      </c>
      <c r="E26" s="22">
        <f t="shared" si="3"/>
        <v>25</v>
      </c>
      <c r="F26" s="22"/>
      <c r="G26" s="22"/>
      <c r="H26" s="22"/>
      <c r="I26" s="22" t="str">
        <f>IFERROR(__xludf.DUMMYFUNCTION("""COMPUTED_VALUE"""),"Jimmy Awolesi")</f>
        <v>Jimmy Awolesi</v>
      </c>
      <c r="J26" s="22"/>
      <c r="K26" s="22"/>
      <c r="L26" s="22"/>
      <c r="M26" s="22" t="str">
        <f t="shared" si="4"/>
        <v/>
      </c>
      <c r="O26" s="24"/>
      <c r="P26" s="59"/>
      <c r="Q26" s="59"/>
      <c r="R26" s="72"/>
      <c r="S26" s="2"/>
      <c r="T26" s="2"/>
    </row>
    <row r="27">
      <c r="A27" s="22"/>
      <c r="B27" s="22"/>
      <c r="C27" s="22" t="str">
        <f t="shared" si="1"/>
        <v/>
      </c>
      <c r="D27" s="28" t="str">
        <f t="shared" ref="D27:D66" si="6">IF(COUNTIF(A:A, A27) &gt; 1, "Duplicate", "")</f>
        <v/>
      </c>
      <c r="E27" s="22">
        <f t="shared" si="3"/>
        <v>26</v>
      </c>
      <c r="F27" s="22"/>
      <c r="G27" s="22"/>
      <c r="H27" s="22"/>
      <c r="I27" s="22" t="str">
        <f>IFERROR(__xludf.DUMMYFUNCTION("""COMPUTED_VALUE"""),"Joe Luzzi")</f>
        <v>Joe Luzzi</v>
      </c>
      <c r="J27" s="22"/>
      <c r="K27" s="22"/>
      <c r="L27" s="22"/>
      <c r="M27" s="22" t="str">
        <f t="shared" si="4"/>
        <v/>
      </c>
      <c r="O27" s="22"/>
      <c r="P27" s="59"/>
      <c r="Q27" s="59"/>
      <c r="R27" s="72"/>
      <c r="S27" s="2"/>
      <c r="T27" s="2"/>
    </row>
    <row r="28">
      <c r="A28" s="22"/>
      <c r="B28" s="22"/>
      <c r="C28" s="22" t="str">
        <f t="shared" si="1"/>
        <v/>
      </c>
      <c r="D28" s="28" t="str">
        <f t="shared" si="6"/>
        <v/>
      </c>
      <c r="E28" s="22">
        <f t="shared" si="3"/>
        <v>27</v>
      </c>
      <c r="F28" s="22"/>
      <c r="G28" s="22"/>
      <c r="H28" s="22"/>
      <c r="I28" s="22" t="str">
        <f>IFERROR(__xludf.DUMMYFUNCTION("""COMPUTED_VALUE"""),"Jonathan Phan")</f>
        <v>Jonathan Phan</v>
      </c>
      <c r="J28" s="22"/>
      <c r="K28" s="22"/>
      <c r="L28" s="22"/>
      <c r="M28" s="22" t="str">
        <f t="shared" si="4"/>
        <v/>
      </c>
      <c r="O28" s="24"/>
      <c r="P28" s="59"/>
      <c r="Q28" s="59"/>
      <c r="R28" s="72"/>
      <c r="S28" s="71"/>
      <c r="T28" s="2"/>
    </row>
    <row r="29">
      <c r="A29" s="22"/>
      <c r="B29" s="22"/>
      <c r="C29" s="22" t="str">
        <f t="shared" si="1"/>
        <v/>
      </c>
      <c r="D29" s="28" t="str">
        <f t="shared" si="6"/>
        <v/>
      </c>
      <c r="E29" s="22">
        <f t="shared" si="3"/>
        <v>28</v>
      </c>
      <c r="F29" s="22"/>
      <c r="G29" s="22"/>
      <c r="H29" s="22"/>
      <c r="I29" s="22" t="str">
        <f>IFERROR(__xludf.DUMMYFUNCTION("""COMPUTED_VALUE"""),"Joyce Zhu")</f>
        <v>Joyce Zhu</v>
      </c>
      <c r="J29" s="22"/>
      <c r="K29" s="22"/>
      <c r="L29" s="22"/>
      <c r="M29" s="22"/>
      <c r="O29" s="22"/>
      <c r="P29" s="59"/>
      <c r="Q29" s="59"/>
      <c r="R29" s="72"/>
      <c r="S29" s="2"/>
      <c r="T29" s="2"/>
    </row>
    <row r="30">
      <c r="A30" s="22"/>
      <c r="B30" s="22"/>
      <c r="C30" s="22" t="str">
        <f t="shared" si="1"/>
        <v/>
      </c>
      <c r="D30" s="28" t="str">
        <f t="shared" si="6"/>
        <v/>
      </c>
      <c r="E30" s="22">
        <f t="shared" si="3"/>
        <v>29</v>
      </c>
      <c r="F30" s="22"/>
      <c r="G30" s="22"/>
      <c r="H30" s="22"/>
      <c r="I30" s="22" t="str">
        <f>IFERROR(__xludf.DUMMYFUNCTION("""COMPUTED_VALUE"""),"Kumar Palakeel")</f>
        <v>Kumar Palakeel</v>
      </c>
      <c r="J30" s="22"/>
      <c r="K30" s="22"/>
      <c r="L30" s="22"/>
      <c r="M30" s="22"/>
      <c r="O30" s="22"/>
      <c r="P30" s="59"/>
      <c r="Q30" s="59"/>
      <c r="R30" s="72"/>
      <c r="S30" s="2"/>
      <c r="T30" s="2"/>
    </row>
    <row r="31">
      <c r="A31" s="22"/>
      <c r="B31" s="22"/>
      <c r="C31" s="22" t="str">
        <f t="shared" si="1"/>
        <v/>
      </c>
      <c r="D31" s="28" t="str">
        <f t="shared" si="6"/>
        <v/>
      </c>
      <c r="E31" s="22">
        <f t="shared" si="3"/>
        <v>30</v>
      </c>
      <c r="F31" s="22"/>
      <c r="G31" s="22"/>
      <c r="H31" s="22"/>
      <c r="I31" s="22" t="str">
        <f>IFERROR(__xludf.DUMMYFUNCTION("""COMPUTED_VALUE"""),"Lam Bui")</f>
        <v>Lam Bui</v>
      </c>
      <c r="J31" s="22"/>
      <c r="K31" s="22"/>
      <c r="L31" s="22"/>
      <c r="M31" s="22"/>
      <c r="O31" s="24"/>
      <c r="P31" s="59"/>
      <c r="Q31" s="59"/>
      <c r="R31" s="72"/>
      <c r="S31" s="2"/>
      <c r="T31" s="2"/>
    </row>
    <row r="32">
      <c r="A32" s="22"/>
      <c r="B32" s="22"/>
      <c r="C32" s="22" t="str">
        <f t="shared" si="1"/>
        <v/>
      </c>
      <c r="D32" s="28" t="str">
        <f t="shared" si="6"/>
        <v/>
      </c>
      <c r="E32" s="22">
        <f t="shared" si="3"/>
        <v>31</v>
      </c>
      <c r="F32" s="22"/>
      <c r="G32" s="22"/>
      <c r="H32" s="22"/>
      <c r="I32" s="22" t="str">
        <f>IFERROR(__xludf.DUMMYFUNCTION("""COMPUTED_VALUE"""),"Lenin Belangonda")</f>
        <v>Lenin Belangonda</v>
      </c>
      <c r="J32" s="22"/>
      <c r="K32" s="22"/>
      <c r="L32" s="22"/>
      <c r="M32" s="22"/>
      <c r="O32" s="22"/>
      <c r="P32" s="59"/>
      <c r="Q32" s="59"/>
      <c r="R32" s="72"/>
      <c r="S32" s="2"/>
      <c r="T32" s="2"/>
    </row>
    <row r="33">
      <c r="A33" s="22"/>
      <c r="B33" s="22"/>
      <c r="C33" s="22" t="str">
        <f t="shared" si="1"/>
        <v/>
      </c>
      <c r="D33" s="28" t="str">
        <f t="shared" si="6"/>
        <v/>
      </c>
      <c r="E33" s="22">
        <f t="shared" si="3"/>
        <v>32</v>
      </c>
      <c r="F33" s="22"/>
      <c r="G33" s="22"/>
      <c r="H33" s="22"/>
      <c r="I33" s="22" t="str">
        <f>IFERROR(__xludf.DUMMYFUNCTION("""COMPUTED_VALUE"""),"Lloyd Sagar")</f>
        <v>Lloyd Sagar</v>
      </c>
      <c r="J33" s="22"/>
      <c r="K33" s="22"/>
      <c r="L33" s="22"/>
      <c r="M33" s="22"/>
      <c r="O33" s="22"/>
      <c r="P33" s="59"/>
      <c r="Q33" s="59"/>
      <c r="R33" s="72"/>
      <c r="S33" s="2"/>
      <c r="T33" s="2"/>
    </row>
    <row r="34">
      <c r="A34" s="22"/>
      <c r="B34" s="22"/>
      <c r="C34" s="22" t="str">
        <f t="shared" si="1"/>
        <v/>
      </c>
      <c r="D34" s="28" t="str">
        <f t="shared" si="6"/>
        <v/>
      </c>
      <c r="E34" s="22">
        <f t="shared" si="3"/>
        <v>33</v>
      </c>
      <c r="F34" s="22"/>
      <c r="G34" s="22"/>
      <c r="H34" s="22"/>
      <c r="I34" s="22" t="str">
        <f>IFERROR(__xludf.DUMMYFUNCTION("""COMPUTED_VALUE"""),"Luis Hsu")</f>
        <v>Luis Hsu</v>
      </c>
      <c r="J34" s="22"/>
      <c r="K34" s="22"/>
      <c r="L34" s="22"/>
      <c r="M34" s="22"/>
      <c r="O34" s="22"/>
      <c r="P34" s="59"/>
      <c r="Q34" s="59"/>
      <c r="R34" s="72"/>
      <c r="S34" s="2"/>
      <c r="T34" s="2"/>
    </row>
    <row r="35">
      <c r="A35" s="22"/>
      <c r="B35" s="22"/>
      <c r="C35" s="22" t="str">
        <f t="shared" si="1"/>
        <v/>
      </c>
      <c r="D35" s="28" t="str">
        <f t="shared" si="6"/>
        <v/>
      </c>
      <c r="E35" s="22">
        <f t="shared" si="3"/>
        <v>34</v>
      </c>
      <c r="F35" s="22"/>
      <c r="G35" s="22"/>
      <c r="H35" s="22"/>
      <c r="I35" s="22" t="str">
        <f>IFERROR(__xludf.DUMMYFUNCTION("""COMPUTED_VALUE"""),"Manish Anand")</f>
        <v>Manish Anand</v>
      </c>
      <c r="J35" s="22"/>
      <c r="K35" s="22"/>
      <c r="L35" s="22"/>
      <c r="M35" s="22"/>
      <c r="O35" s="22"/>
      <c r="P35" s="59"/>
      <c r="Q35" s="59"/>
      <c r="R35" s="72"/>
      <c r="S35" s="2"/>
      <c r="T35" s="2"/>
    </row>
    <row r="36">
      <c r="A36" s="22"/>
      <c r="B36" s="22"/>
      <c r="C36" s="22" t="str">
        <f t="shared" si="1"/>
        <v/>
      </c>
      <c r="D36" s="28" t="str">
        <f t="shared" si="6"/>
        <v/>
      </c>
      <c r="E36" s="22">
        <f t="shared" si="3"/>
        <v>35</v>
      </c>
      <c r="F36" s="22"/>
      <c r="G36" s="22"/>
      <c r="H36" s="22"/>
      <c r="I36" s="22" t="str">
        <f>IFERROR(__xludf.DUMMYFUNCTION("""COMPUTED_VALUE"""),"Manuel Rivera")</f>
        <v>Manuel Rivera</v>
      </c>
      <c r="J36" s="22"/>
      <c r="K36" s="22"/>
      <c r="L36" s="22"/>
      <c r="M36" s="22"/>
      <c r="O36" s="22"/>
      <c r="P36" s="40"/>
      <c r="Q36" s="59"/>
      <c r="R36" s="72"/>
      <c r="S36" s="2"/>
      <c r="T36" s="2"/>
    </row>
    <row r="37">
      <c r="A37" s="22"/>
      <c r="B37" s="22"/>
      <c r="C37" s="22" t="str">
        <f t="shared" si="1"/>
        <v/>
      </c>
      <c r="D37" s="28" t="str">
        <f t="shared" si="6"/>
        <v/>
      </c>
      <c r="E37" s="22">
        <f t="shared" si="3"/>
        <v>36</v>
      </c>
      <c r="F37" s="22"/>
      <c r="G37" s="22"/>
      <c r="H37" s="22"/>
      <c r="I37" s="22" t="str">
        <f>IFERROR(__xludf.DUMMYFUNCTION("""COMPUTED_VALUE"""),"Matthew Huang")</f>
        <v>Matthew Huang</v>
      </c>
      <c r="J37" s="22"/>
      <c r="K37" s="22"/>
      <c r="L37" s="22"/>
      <c r="M37" s="22"/>
      <c r="O37" s="22"/>
      <c r="P37" s="40"/>
      <c r="Q37" s="59"/>
      <c r="R37" s="72"/>
      <c r="S37" s="2"/>
      <c r="T37" s="2"/>
    </row>
    <row r="38">
      <c r="A38" s="22"/>
      <c r="B38" s="22"/>
      <c r="C38" s="22" t="str">
        <f t="shared" si="1"/>
        <v/>
      </c>
      <c r="D38" s="28" t="str">
        <f t="shared" si="6"/>
        <v/>
      </c>
      <c r="E38" s="22">
        <f t="shared" si="3"/>
        <v>37</v>
      </c>
      <c r="F38" s="22"/>
      <c r="G38" s="22"/>
      <c r="H38" s="22"/>
      <c r="I38" s="22" t="str">
        <f>IFERROR(__xludf.DUMMYFUNCTION("""COMPUTED_VALUE"""),"Mauricio Palacios")</f>
        <v>Mauricio Palacios</v>
      </c>
      <c r="J38" s="22"/>
      <c r="K38" s="22"/>
      <c r="L38" s="22"/>
      <c r="M38" s="22"/>
      <c r="O38" s="22"/>
      <c r="P38" s="40"/>
      <c r="Q38" s="59"/>
      <c r="R38" s="72"/>
      <c r="S38" s="2"/>
      <c r="T38" s="2"/>
    </row>
    <row r="39">
      <c r="A39" s="22"/>
      <c r="B39" s="22"/>
      <c r="C39" s="22" t="str">
        <f t="shared" si="1"/>
        <v/>
      </c>
      <c r="D39" s="28" t="str">
        <f t="shared" si="6"/>
        <v/>
      </c>
      <c r="E39" s="22">
        <f t="shared" si="3"/>
        <v>38</v>
      </c>
      <c r="F39" s="22"/>
      <c r="G39" s="22"/>
      <c r="H39" s="22"/>
      <c r="I39" s="22" t="str">
        <f>IFERROR(__xludf.DUMMYFUNCTION("""COMPUTED_VALUE"""),"Naveen Raj")</f>
        <v>Naveen Raj</v>
      </c>
      <c r="J39" s="22"/>
      <c r="K39" s="22"/>
      <c r="L39" s="22"/>
      <c r="M39" s="22"/>
      <c r="O39" s="22"/>
      <c r="P39" s="40"/>
      <c r="Q39" s="40"/>
      <c r="R39" s="2"/>
      <c r="S39" s="2"/>
      <c r="T39" s="2"/>
    </row>
    <row r="40">
      <c r="A40" s="22"/>
      <c r="B40" s="22"/>
      <c r="C40" s="22" t="str">
        <f t="shared" si="1"/>
        <v/>
      </c>
      <c r="D40" s="28" t="str">
        <f t="shared" si="6"/>
        <v/>
      </c>
      <c r="E40" s="22">
        <f t="shared" si="3"/>
        <v>39</v>
      </c>
      <c r="F40" s="22"/>
      <c r="G40" s="22"/>
      <c r="H40" s="22"/>
      <c r="I40" s="22" t="str">
        <f>IFERROR(__xludf.DUMMYFUNCTION("""COMPUTED_VALUE"""),"Nicole Ni")</f>
        <v>Nicole Ni</v>
      </c>
      <c r="J40" s="22"/>
      <c r="K40" s="22"/>
      <c r="L40" s="22"/>
      <c r="M40" s="22"/>
      <c r="O40" s="22"/>
      <c r="P40" s="40"/>
      <c r="Q40" s="40"/>
      <c r="R40" s="2"/>
      <c r="S40" s="2"/>
      <c r="T40" s="2"/>
    </row>
    <row r="41">
      <c r="A41" s="22"/>
      <c r="B41" s="22"/>
      <c r="C41" s="22" t="str">
        <f t="shared" si="1"/>
        <v/>
      </c>
      <c r="D41" s="28" t="str">
        <f t="shared" si="6"/>
        <v/>
      </c>
      <c r="E41" s="22">
        <f t="shared" si="3"/>
        <v>40</v>
      </c>
      <c r="F41" s="22"/>
      <c r="G41" s="22"/>
      <c r="H41" s="22"/>
      <c r="I41" s="22" t="str">
        <f>IFERROR(__xludf.DUMMYFUNCTION("""COMPUTED_VALUE"""),"Oscar Bonilla")</f>
        <v>Oscar Bonilla</v>
      </c>
      <c r="J41" s="22"/>
      <c r="K41" s="22"/>
      <c r="L41" s="22"/>
      <c r="M41" s="22"/>
      <c r="O41" s="22"/>
      <c r="P41" s="40"/>
      <c r="Q41" s="40"/>
      <c r="R41" s="2"/>
      <c r="S41" s="2"/>
      <c r="T41" s="2"/>
    </row>
    <row r="42">
      <c r="A42" s="22"/>
      <c r="B42" s="22"/>
      <c r="C42" s="22" t="str">
        <f t="shared" si="1"/>
        <v/>
      </c>
      <c r="D42" s="28" t="str">
        <f t="shared" si="6"/>
        <v/>
      </c>
      <c r="E42" s="22">
        <f t="shared" si="3"/>
        <v>41</v>
      </c>
      <c r="F42" s="22"/>
      <c r="G42" s="22"/>
      <c r="H42" s="22"/>
      <c r="I42" s="22" t="str">
        <f>IFERROR(__xludf.DUMMYFUNCTION("""COMPUTED_VALUE"""),"Pavan Akkimsetty")</f>
        <v>Pavan Akkimsetty</v>
      </c>
      <c r="J42" s="22"/>
      <c r="K42" s="22"/>
      <c r="L42" s="22"/>
      <c r="M42" s="22"/>
      <c r="O42" s="22"/>
      <c r="P42" s="40"/>
      <c r="Q42" s="40"/>
      <c r="R42" s="2"/>
      <c r="S42" s="2"/>
      <c r="T42" s="2"/>
    </row>
    <row r="43">
      <c r="A43" s="22"/>
      <c r="B43" s="22"/>
      <c r="C43" s="22" t="str">
        <f t="shared" si="1"/>
        <v/>
      </c>
      <c r="D43" s="28" t="str">
        <f t="shared" si="6"/>
        <v/>
      </c>
      <c r="E43" s="22">
        <f t="shared" si="3"/>
        <v>42</v>
      </c>
      <c r="F43" s="22"/>
      <c r="G43" s="22"/>
      <c r="H43" s="22"/>
      <c r="I43" s="22" t="str">
        <f>IFERROR(__xludf.DUMMYFUNCTION("""COMPUTED_VALUE"""),"Pulkit Mathur")</f>
        <v>Pulkit Mathur</v>
      </c>
      <c r="J43" s="22"/>
      <c r="K43" s="22"/>
      <c r="L43" s="22"/>
      <c r="M43" s="22"/>
      <c r="O43" s="22"/>
      <c r="P43" s="40"/>
      <c r="Q43" s="40"/>
      <c r="R43" s="2"/>
      <c r="S43" s="2"/>
      <c r="T43" s="2"/>
    </row>
    <row r="44">
      <c r="A44" s="22"/>
      <c r="B44" s="22"/>
      <c r="C44" s="22" t="str">
        <f t="shared" si="1"/>
        <v/>
      </c>
      <c r="D44" s="28" t="str">
        <f t="shared" si="6"/>
        <v/>
      </c>
      <c r="E44" s="22">
        <f t="shared" si="3"/>
        <v>43</v>
      </c>
      <c r="F44" s="22"/>
      <c r="G44" s="22"/>
      <c r="H44" s="22"/>
      <c r="I44" s="22" t="str">
        <f>IFERROR(__xludf.DUMMYFUNCTION("""COMPUTED_VALUE"""),"Rajasekar Ramasamy")</f>
        <v>Rajasekar Ramasamy</v>
      </c>
      <c r="J44" s="22"/>
      <c r="K44" s="22"/>
      <c r="L44" s="22"/>
      <c r="M44" s="22"/>
      <c r="O44" s="22"/>
      <c r="P44" s="40"/>
      <c r="Q44" s="40"/>
      <c r="R44" s="2"/>
      <c r="S44" s="2"/>
      <c r="T44" s="2"/>
    </row>
    <row r="45">
      <c r="A45" s="22"/>
      <c r="B45" s="22"/>
      <c r="C45" s="22" t="str">
        <f t="shared" si="1"/>
        <v/>
      </c>
      <c r="D45" s="28" t="str">
        <f t="shared" si="6"/>
        <v/>
      </c>
      <c r="E45" s="22">
        <f t="shared" si="3"/>
        <v>44</v>
      </c>
      <c r="F45" s="22"/>
      <c r="G45" s="22"/>
      <c r="H45" s="22"/>
      <c r="I45" s="22" t="str">
        <f>IFERROR(__xludf.DUMMYFUNCTION("""COMPUTED_VALUE"""),"Rajesh Dorairaj")</f>
        <v>Rajesh Dorairaj</v>
      </c>
      <c r="J45" s="22"/>
      <c r="K45" s="22"/>
      <c r="L45" s="22"/>
      <c r="M45" s="22"/>
      <c r="O45" s="22"/>
      <c r="P45" s="40"/>
      <c r="Q45" s="40"/>
      <c r="R45" s="2"/>
      <c r="S45" s="2"/>
      <c r="T45" s="2"/>
    </row>
    <row r="46">
      <c r="A46" s="22"/>
      <c r="B46" s="22"/>
      <c r="C46" s="22" t="str">
        <f t="shared" si="1"/>
        <v/>
      </c>
      <c r="D46" s="28" t="str">
        <f t="shared" si="6"/>
        <v/>
      </c>
      <c r="E46" s="22">
        <f t="shared" si="3"/>
        <v>45</v>
      </c>
      <c r="F46" s="22"/>
      <c r="G46" s="22"/>
      <c r="H46" s="22"/>
      <c r="I46" s="22" t="str">
        <f>IFERROR(__xludf.DUMMYFUNCTION("""COMPUTED_VALUE"""),"Ramesh Bandaru")</f>
        <v>Ramesh Bandaru</v>
      </c>
      <c r="J46" s="22"/>
      <c r="K46" s="22"/>
      <c r="L46" s="22"/>
      <c r="M46" s="22"/>
      <c r="O46" s="22"/>
      <c r="P46" s="40"/>
      <c r="Q46" s="40"/>
      <c r="R46" s="2"/>
      <c r="S46" s="2"/>
      <c r="T46" s="2"/>
    </row>
    <row r="47">
      <c r="A47" s="22"/>
      <c r="B47" s="22"/>
      <c r="C47" s="22" t="str">
        <f t="shared" si="1"/>
        <v/>
      </c>
      <c r="D47" s="28" t="str">
        <f t="shared" si="6"/>
        <v/>
      </c>
      <c r="E47" s="22">
        <f t="shared" si="3"/>
        <v>46</v>
      </c>
      <c r="F47" s="22"/>
      <c r="G47" s="22"/>
      <c r="H47" s="22"/>
      <c r="I47" s="22" t="str">
        <f>IFERROR(__xludf.DUMMYFUNCTION("""COMPUTED_VALUE"""),"Ranjith Doraiswamy")</f>
        <v>Ranjith Doraiswamy</v>
      </c>
      <c r="J47" s="22"/>
      <c r="K47" s="22"/>
      <c r="L47" s="22"/>
      <c r="M47" s="22"/>
      <c r="O47" s="22"/>
      <c r="P47" s="40"/>
      <c r="Q47" s="40"/>
      <c r="R47" s="2"/>
      <c r="S47" s="2"/>
      <c r="T47" s="2"/>
    </row>
    <row r="48">
      <c r="A48" s="22"/>
      <c r="B48" s="22"/>
      <c r="C48" s="22" t="str">
        <f t="shared" si="1"/>
        <v/>
      </c>
      <c r="D48" s="28" t="str">
        <f t="shared" si="6"/>
        <v/>
      </c>
      <c r="E48" s="22">
        <f t="shared" si="3"/>
        <v>47</v>
      </c>
      <c r="F48" s="22"/>
      <c r="G48" s="22"/>
      <c r="H48" s="22"/>
      <c r="I48" s="22" t="str">
        <f>IFERROR(__xludf.DUMMYFUNCTION("""COMPUTED_VALUE"""),"Robert Chang")</f>
        <v>Robert Chang</v>
      </c>
      <c r="J48" s="22"/>
      <c r="K48" s="22"/>
      <c r="L48" s="22"/>
      <c r="M48" s="22"/>
      <c r="O48" s="22"/>
      <c r="P48" s="40"/>
      <c r="Q48" s="40"/>
      <c r="R48" s="2"/>
      <c r="S48" s="2"/>
      <c r="T48" s="2"/>
    </row>
    <row r="49">
      <c r="A49" s="22"/>
      <c r="B49" s="22"/>
      <c r="C49" s="22" t="str">
        <f t="shared" si="1"/>
        <v/>
      </c>
      <c r="D49" s="28" t="str">
        <f t="shared" si="6"/>
        <v/>
      </c>
      <c r="E49" s="22">
        <f t="shared" si="3"/>
        <v>48</v>
      </c>
      <c r="F49" s="22"/>
      <c r="G49" s="22"/>
      <c r="H49" s="22"/>
      <c r="I49" s="22" t="str">
        <f>IFERROR(__xludf.DUMMYFUNCTION("""COMPUTED_VALUE"""),"Ruben Ron")</f>
        <v>Ruben Ron</v>
      </c>
      <c r="J49" s="22"/>
      <c r="K49" s="22"/>
      <c r="L49" s="22"/>
      <c r="M49" s="22"/>
    </row>
    <row r="50">
      <c r="A50" s="22"/>
      <c r="B50" s="22"/>
      <c r="C50" s="22" t="str">
        <f t="shared" si="1"/>
        <v/>
      </c>
      <c r="D50" s="28" t="str">
        <f t="shared" si="6"/>
        <v/>
      </c>
      <c r="E50" s="22">
        <f t="shared" si="3"/>
        <v>49</v>
      </c>
      <c r="F50" s="22"/>
      <c r="G50" s="22"/>
      <c r="H50" s="22"/>
      <c r="I50" s="22" t="str">
        <f>IFERROR(__xludf.DUMMYFUNCTION("""COMPUTED_VALUE"""),"Rudy Tatang")</f>
        <v>Rudy Tatang</v>
      </c>
      <c r="J50" s="22"/>
      <c r="K50" s="22"/>
      <c r="L50" s="22"/>
      <c r="M50" s="22"/>
    </row>
    <row r="51">
      <c r="A51" s="22"/>
      <c r="B51" s="22"/>
      <c r="C51" s="22" t="str">
        <f t="shared" si="1"/>
        <v/>
      </c>
      <c r="D51" s="28" t="str">
        <f t="shared" si="6"/>
        <v/>
      </c>
      <c r="E51" s="22">
        <f t="shared" si="3"/>
        <v>50</v>
      </c>
      <c r="F51" s="22"/>
      <c r="G51" s="22"/>
      <c r="H51" s="22"/>
      <c r="I51" s="22" t="str">
        <f>IFERROR(__xludf.DUMMYFUNCTION("""COMPUTED_VALUE"""),"Sandeep Kamalon")</f>
        <v>Sandeep Kamalon</v>
      </c>
      <c r="J51" s="22"/>
      <c r="K51" s="22"/>
      <c r="L51" s="22"/>
      <c r="M51" s="22"/>
    </row>
    <row r="52">
      <c r="A52" s="22"/>
      <c r="B52" s="22"/>
      <c r="C52" s="22" t="str">
        <f t="shared" si="1"/>
        <v/>
      </c>
      <c r="D52" s="28" t="str">
        <f t="shared" si="6"/>
        <v/>
      </c>
      <c r="E52" s="22">
        <f t="shared" si="3"/>
        <v>51</v>
      </c>
      <c r="F52" s="22"/>
      <c r="G52" s="22"/>
      <c r="H52" s="22"/>
      <c r="I52" s="22" t="str">
        <f>IFERROR(__xludf.DUMMYFUNCTION("""COMPUTED_VALUE"""),"Sanjaye Elayattu")</f>
        <v>Sanjaye Elayattu</v>
      </c>
      <c r="J52" s="22"/>
      <c r="K52" s="22"/>
      <c r="L52" s="22"/>
      <c r="M52" s="22"/>
    </row>
    <row r="53">
      <c r="A53" s="22"/>
      <c r="B53" s="22"/>
      <c r="C53" s="22" t="str">
        <f t="shared" si="1"/>
        <v/>
      </c>
      <c r="D53" s="28" t="str">
        <f t="shared" si="6"/>
        <v/>
      </c>
      <c r="E53" s="22">
        <f t="shared" si="3"/>
        <v>52</v>
      </c>
      <c r="F53" s="22"/>
      <c r="G53" s="22"/>
      <c r="H53" s="22"/>
      <c r="I53" s="22" t="str">
        <f>IFERROR(__xludf.DUMMYFUNCTION("""COMPUTED_VALUE"""),"Santosh Sundaresan")</f>
        <v>Santosh Sundaresan</v>
      </c>
      <c r="J53" s="22"/>
      <c r="K53" s="22"/>
      <c r="L53" s="22"/>
      <c r="M53" s="22"/>
    </row>
    <row r="54">
      <c r="A54" s="22"/>
      <c r="B54" s="22"/>
      <c r="C54" s="22" t="str">
        <f t="shared" si="1"/>
        <v/>
      </c>
      <c r="D54" s="28" t="str">
        <f t="shared" si="6"/>
        <v/>
      </c>
      <c r="E54" s="22">
        <f t="shared" si="3"/>
        <v>53</v>
      </c>
      <c r="F54" s="22"/>
      <c r="G54" s="22"/>
      <c r="H54" s="22"/>
      <c r="I54" s="22" t="str">
        <f>IFERROR(__xludf.DUMMYFUNCTION("""COMPUTED_VALUE"""),"Saravanan Veerapandian")</f>
        <v>Saravanan Veerapandian</v>
      </c>
      <c r="J54" s="22"/>
      <c r="K54" s="22"/>
      <c r="L54" s="22"/>
      <c r="M54" s="22"/>
    </row>
    <row r="55">
      <c r="A55" s="22"/>
      <c r="B55" s="22"/>
      <c r="C55" s="22" t="str">
        <f t="shared" si="1"/>
        <v/>
      </c>
      <c r="D55" s="28" t="str">
        <f t="shared" si="6"/>
        <v/>
      </c>
      <c r="E55" s="22">
        <f t="shared" si="3"/>
        <v>54</v>
      </c>
      <c r="F55" s="22"/>
      <c r="G55" s="22"/>
      <c r="H55" s="22"/>
      <c r="I55" s="22" t="str">
        <f>IFERROR(__xludf.DUMMYFUNCTION("""COMPUTED_VALUE"""),"Scott Li")</f>
        <v>Scott Li</v>
      </c>
      <c r="J55" s="22"/>
      <c r="K55" s="22"/>
      <c r="L55" s="22"/>
      <c r="M55" s="22"/>
    </row>
    <row r="56">
      <c r="A56" s="22"/>
      <c r="B56" s="22"/>
      <c r="C56" s="22" t="str">
        <f t="shared" si="1"/>
        <v/>
      </c>
      <c r="D56" s="28" t="str">
        <f t="shared" si="6"/>
        <v/>
      </c>
      <c r="E56" s="22">
        <f t="shared" si="3"/>
        <v>55</v>
      </c>
      <c r="F56" s="22"/>
      <c r="G56" s="22"/>
      <c r="H56" s="22"/>
      <c r="I56" s="22" t="str">
        <f>IFERROR(__xludf.DUMMYFUNCTION("""COMPUTED_VALUE"""),"Sean Chang")</f>
        <v>Sean Chang</v>
      </c>
      <c r="J56" s="22"/>
      <c r="K56" s="22"/>
      <c r="L56" s="22"/>
      <c r="M56" s="22"/>
    </row>
    <row r="57">
      <c r="A57" s="22"/>
      <c r="B57" s="22"/>
      <c r="C57" s="22" t="str">
        <f t="shared" si="1"/>
        <v/>
      </c>
      <c r="D57" s="28" t="str">
        <f t="shared" si="6"/>
        <v/>
      </c>
      <c r="E57" s="22">
        <f t="shared" si="3"/>
        <v>56</v>
      </c>
      <c r="F57" s="22"/>
      <c r="G57" s="22"/>
      <c r="H57" s="22"/>
      <c r="I57" s="22" t="str">
        <f>IFERROR(__xludf.DUMMYFUNCTION("""COMPUTED_VALUE"""),"Suleman Alidina")</f>
        <v>Suleman Alidina</v>
      </c>
      <c r="J57" s="22"/>
      <c r="K57" s="22"/>
      <c r="L57" s="22"/>
      <c r="M57" s="22"/>
    </row>
    <row r="58">
      <c r="A58" s="22"/>
      <c r="B58" s="22"/>
      <c r="C58" s="22" t="str">
        <f t="shared" si="1"/>
        <v/>
      </c>
      <c r="D58" s="28" t="str">
        <f t="shared" si="6"/>
        <v/>
      </c>
      <c r="E58" s="22">
        <f t="shared" si="3"/>
        <v>57</v>
      </c>
      <c r="F58" s="22"/>
      <c r="G58" s="22"/>
      <c r="H58" s="22"/>
      <c r="I58" s="22" t="str">
        <f>IFERROR(__xludf.DUMMYFUNCTION("""COMPUTED_VALUE"""),"Susanta Mishra")</f>
        <v>Susanta Mishra</v>
      </c>
      <c r="J58" s="22"/>
      <c r="K58" s="22"/>
      <c r="L58" s="22"/>
      <c r="M58" s="22"/>
    </row>
    <row r="59">
      <c r="A59" s="22"/>
      <c r="B59" s="22"/>
      <c r="C59" s="22" t="str">
        <f t="shared" si="1"/>
        <v/>
      </c>
      <c r="D59" s="28" t="str">
        <f t="shared" si="6"/>
        <v/>
      </c>
      <c r="E59" s="22">
        <f t="shared" si="3"/>
        <v>58</v>
      </c>
      <c r="F59" s="22"/>
      <c r="G59" s="22"/>
      <c r="H59" s="22"/>
      <c r="I59" s="22" t="str">
        <f>IFERROR(__xludf.DUMMYFUNCTION("""COMPUTED_VALUE"""),"Ted Shen")</f>
        <v>Ted Shen</v>
      </c>
      <c r="J59" s="22"/>
      <c r="K59" s="22"/>
      <c r="L59" s="22"/>
      <c r="M59" s="22"/>
      <c r="O59" s="74"/>
      <c r="P59" s="75"/>
      <c r="R59" s="76"/>
    </row>
    <row r="60">
      <c r="A60" s="22"/>
      <c r="B60" s="22"/>
      <c r="C60" s="22" t="str">
        <f t="shared" si="1"/>
        <v/>
      </c>
      <c r="D60" s="28" t="str">
        <f t="shared" si="6"/>
        <v/>
      </c>
      <c r="E60" s="22">
        <f t="shared" si="3"/>
        <v>59</v>
      </c>
      <c r="F60" s="22"/>
      <c r="G60" s="22"/>
      <c r="H60" s="22"/>
      <c r="I60" s="22" t="str">
        <f>IFERROR(__xludf.DUMMYFUNCTION("""COMPUTED_VALUE"""),"Tina Hanson")</f>
        <v>Tina Hanson</v>
      </c>
      <c r="J60" s="22"/>
      <c r="K60" s="22"/>
      <c r="L60" s="22"/>
      <c r="M60" s="22"/>
      <c r="Q60" s="77"/>
      <c r="R60" s="76"/>
    </row>
    <row r="61">
      <c r="A61" s="22"/>
      <c r="B61" s="22"/>
      <c r="C61" s="22" t="str">
        <f t="shared" si="1"/>
        <v/>
      </c>
      <c r="D61" s="28" t="str">
        <f t="shared" si="6"/>
        <v/>
      </c>
      <c r="E61" s="22">
        <f t="shared" si="3"/>
        <v>60</v>
      </c>
      <c r="F61" s="22"/>
      <c r="G61" s="22"/>
      <c r="H61" s="22"/>
      <c r="I61" s="22" t="str">
        <f>IFERROR(__xludf.DUMMYFUNCTION("""COMPUTED_VALUE"""),"Tom Le")</f>
        <v>Tom Le</v>
      </c>
      <c r="J61" s="22"/>
      <c r="K61" s="22"/>
      <c r="L61" s="22"/>
      <c r="M61" s="22"/>
      <c r="O61" s="20"/>
      <c r="P61" s="78"/>
      <c r="Q61" s="77"/>
      <c r="R61" s="76"/>
    </row>
    <row r="62">
      <c r="A62" s="22"/>
      <c r="B62" s="22"/>
      <c r="C62" s="22" t="str">
        <f t="shared" si="1"/>
        <v/>
      </c>
      <c r="D62" s="28" t="str">
        <f t="shared" si="6"/>
        <v/>
      </c>
      <c r="E62" s="22">
        <f t="shared" si="3"/>
        <v>61</v>
      </c>
      <c r="F62" s="22"/>
      <c r="G62" s="22"/>
      <c r="H62" s="22"/>
      <c r="I62" s="22" t="str">
        <f>IFERROR(__xludf.DUMMYFUNCTION("""COMPUTED_VALUE"""),"Trish Newlin")</f>
        <v>Trish Newlin</v>
      </c>
      <c r="J62" s="22"/>
      <c r="K62" s="22"/>
      <c r="L62" s="22"/>
      <c r="M62" s="22"/>
      <c r="Q62" s="77"/>
      <c r="R62" s="76"/>
    </row>
    <row r="63">
      <c r="A63" s="22"/>
      <c r="B63" s="22"/>
      <c r="C63" s="22" t="str">
        <f t="shared" si="1"/>
        <v/>
      </c>
      <c r="D63" s="28" t="str">
        <f t="shared" si="6"/>
        <v/>
      </c>
      <c r="E63" s="22">
        <f t="shared" si="3"/>
        <v>62</v>
      </c>
      <c r="F63" s="22"/>
      <c r="G63" s="22"/>
      <c r="H63" s="22"/>
      <c r="I63" s="22" t="str">
        <f>IFERROR(__xludf.DUMMYFUNCTION("""COMPUTED_VALUE"""),"Troy Wong")</f>
        <v>Troy Wong</v>
      </c>
      <c r="J63" s="22"/>
      <c r="K63" s="22"/>
      <c r="L63" s="22"/>
      <c r="M63" s="22"/>
      <c r="O63" s="20"/>
      <c r="P63" s="80"/>
      <c r="Q63" s="77"/>
      <c r="R63" s="76"/>
    </row>
    <row r="64">
      <c r="A64" s="22"/>
      <c r="B64" s="22"/>
      <c r="C64" s="22" t="str">
        <f t="shared" si="1"/>
        <v/>
      </c>
      <c r="D64" s="28" t="str">
        <f t="shared" si="6"/>
        <v/>
      </c>
      <c r="E64" s="22">
        <f t="shared" si="3"/>
        <v>63</v>
      </c>
      <c r="F64" s="22"/>
      <c r="G64" s="22"/>
      <c r="H64" s="22"/>
      <c r="I64" s="22" t="str">
        <f>IFERROR(__xludf.DUMMYFUNCTION("""COMPUTED_VALUE"""),"Vicki Martinet")</f>
        <v>Vicki Martinet</v>
      </c>
      <c r="J64" s="22"/>
      <c r="K64" s="22"/>
      <c r="L64" s="22"/>
      <c r="M64" s="22"/>
      <c r="Q64" s="77"/>
      <c r="R64" s="81"/>
    </row>
    <row r="65">
      <c r="A65" s="22"/>
      <c r="B65" s="22"/>
      <c r="C65" s="22" t="str">
        <f t="shared" si="1"/>
        <v/>
      </c>
      <c r="D65" s="28" t="str">
        <f t="shared" si="6"/>
        <v/>
      </c>
      <c r="E65" s="22">
        <f t="shared" si="3"/>
        <v>64</v>
      </c>
      <c r="F65" s="22"/>
      <c r="G65" s="22"/>
      <c r="H65" s="22"/>
      <c r="I65" s="22" t="str">
        <f>IFERROR(__xludf.DUMMYFUNCTION("""COMPUTED_VALUE"""),"Vinaya Kajla")</f>
        <v>Vinaya Kajla</v>
      </c>
      <c r="J65" s="22"/>
      <c r="K65" s="22"/>
      <c r="L65" s="22"/>
      <c r="M65" s="22"/>
      <c r="Q65" s="81"/>
      <c r="R65" s="81"/>
    </row>
    <row r="66">
      <c r="A66" s="22"/>
      <c r="B66" s="22"/>
      <c r="C66" s="22" t="str">
        <f t="shared" si="1"/>
        <v/>
      </c>
      <c r="D66" s="28" t="str">
        <f t="shared" si="6"/>
        <v/>
      </c>
      <c r="E66" s="22">
        <f t="shared" si="3"/>
        <v>65</v>
      </c>
      <c r="F66" s="22"/>
      <c r="G66" s="22"/>
      <c r="H66" s="22"/>
      <c r="I66" s="22" t="str">
        <f>IFERROR(__xludf.DUMMYFUNCTION("""COMPUTED_VALUE"""),"Vinotkumar Nagappan")</f>
        <v>Vinotkumar Nagappan</v>
      </c>
      <c r="J66" s="22"/>
      <c r="K66" s="22"/>
      <c r="L66" s="22"/>
      <c r="M66" s="22"/>
    </row>
    <row r="67">
      <c r="A67" s="22"/>
      <c r="B67" s="22"/>
      <c r="C67" s="22" t="str">
        <f t="shared" si="1"/>
        <v/>
      </c>
      <c r="E67" s="22">
        <f t="shared" si="3"/>
        <v>66</v>
      </c>
      <c r="F67" s="22"/>
      <c r="G67" s="22"/>
      <c r="H67" s="22"/>
      <c r="I67" s="22" t="str">
        <f>IFERROR(__xludf.DUMMYFUNCTION("""COMPUTED_VALUE"""),"Vishnu Amarnath")</f>
        <v>Vishnu Amarnath</v>
      </c>
      <c r="J67" s="22"/>
      <c r="K67" s="22"/>
      <c r="L67" s="22"/>
      <c r="M67" s="22"/>
    </row>
    <row r="68">
      <c r="A68" s="22"/>
      <c r="B68" s="22"/>
      <c r="C68" s="22" t="str">
        <f t="shared" si="1"/>
        <v/>
      </c>
      <c r="E68" s="22">
        <f t="shared" si="3"/>
        <v>67</v>
      </c>
      <c r="F68" s="22"/>
      <c r="G68" s="22"/>
      <c r="H68" s="22"/>
      <c r="I68" s="22" t="str">
        <f>IFERROR(__xludf.DUMMYFUNCTION("""COMPUTED_VALUE"""),"Wayne Liu")</f>
        <v>Wayne Liu</v>
      </c>
      <c r="J68" s="22"/>
      <c r="K68" s="22"/>
      <c r="L68" s="22"/>
      <c r="M68" s="22"/>
    </row>
    <row r="69">
      <c r="A69" s="22"/>
      <c r="B69" s="22"/>
      <c r="C69" s="22" t="str">
        <f t="shared" si="1"/>
        <v/>
      </c>
      <c r="E69" s="22">
        <f t="shared" si="3"/>
        <v>68</v>
      </c>
      <c r="F69" s="22"/>
      <c r="G69" s="22"/>
      <c r="H69" s="22"/>
      <c r="I69" s="22"/>
      <c r="J69" s="22"/>
      <c r="K69" s="22"/>
      <c r="L69" s="22"/>
      <c r="M69" s="22"/>
    </row>
    <row r="70">
      <c r="A70" s="22"/>
      <c r="B70" s="22"/>
      <c r="C70" s="22" t="str">
        <f t="shared" si="1"/>
        <v/>
      </c>
      <c r="E70" s="22">
        <f t="shared" si="3"/>
        <v>69</v>
      </c>
      <c r="F70" s="22"/>
      <c r="G70" s="22"/>
      <c r="H70" s="22"/>
      <c r="I70" s="22"/>
      <c r="J70" s="22"/>
      <c r="K70" s="22"/>
      <c r="L70" s="22"/>
      <c r="M70" s="22"/>
    </row>
    <row r="71">
      <c r="A71" s="22"/>
      <c r="B71" s="22"/>
      <c r="C71" s="22" t="str">
        <f t="shared" si="1"/>
        <v/>
      </c>
      <c r="E71" s="22">
        <f t="shared" si="3"/>
        <v>70</v>
      </c>
      <c r="F71" s="22"/>
      <c r="G71" s="22"/>
      <c r="H71" s="22"/>
      <c r="I71" s="22"/>
      <c r="J71" s="22"/>
      <c r="K71" s="22"/>
      <c r="L71" s="22"/>
      <c r="M71" s="22"/>
    </row>
    <row r="72">
      <c r="A72" s="22"/>
      <c r="B72" s="22"/>
      <c r="C72" s="22" t="str">
        <f t="shared" si="1"/>
        <v/>
      </c>
      <c r="E72" s="22">
        <f t="shared" si="3"/>
        <v>71</v>
      </c>
      <c r="F72" s="22"/>
      <c r="G72" s="22"/>
      <c r="H72" s="22"/>
      <c r="I72" s="22"/>
      <c r="J72" s="22"/>
      <c r="K72" s="22"/>
      <c r="L72" s="22"/>
      <c r="M72" s="22"/>
    </row>
    <row r="73">
      <c r="A73" s="22"/>
      <c r="B73" s="22"/>
      <c r="C73" s="22" t="str">
        <f t="shared" si="1"/>
        <v/>
      </c>
      <c r="E73" s="22">
        <f t="shared" si="3"/>
        <v>72</v>
      </c>
      <c r="F73" s="22"/>
      <c r="G73" s="22"/>
      <c r="H73" s="22"/>
      <c r="I73" s="22"/>
      <c r="J73" s="22"/>
      <c r="K73" s="22"/>
      <c r="L73" s="22"/>
      <c r="M73" s="22"/>
    </row>
    <row r="74">
      <c r="A74" s="22"/>
      <c r="B74" s="22"/>
      <c r="C74" s="22" t="str">
        <f t="shared" si="1"/>
        <v/>
      </c>
      <c r="E74" s="22">
        <f t="shared" si="3"/>
        <v>73</v>
      </c>
      <c r="F74" s="22"/>
      <c r="G74" s="22"/>
      <c r="H74" s="22"/>
      <c r="I74" s="22"/>
      <c r="J74" s="22"/>
      <c r="K74" s="22"/>
      <c r="L74" s="22"/>
      <c r="M74" s="22"/>
      <c r="O74" s="82" t="s">
        <v>99</v>
      </c>
    </row>
    <row r="75">
      <c r="A75" s="22"/>
      <c r="B75" s="22"/>
      <c r="C75" s="22" t="str">
        <f t="shared" si="1"/>
        <v/>
      </c>
      <c r="E75" s="22">
        <f t="shared" si="3"/>
        <v>74</v>
      </c>
      <c r="F75" s="22"/>
      <c r="G75" s="22"/>
      <c r="H75" s="22"/>
      <c r="I75" s="22"/>
      <c r="J75" s="22"/>
      <c r="K75" s="22"/>
      <c r="L75" s="22"/>
      <c r="M75" s="22"/>
      <c r="O75" s="22" t="s">
        <v>87</v>
      </c>
    </row>
    <row r="76">
      <c r="A76" s="22"/>
      <c r="B76" s="22"/>
      <c r="C76" s="22" t="str">
        <f t="shared" si="1"/>
        <v/>
      </c>
      <c r="E76" s="22">
        <f t="shared" si="3"/>
        <v>75</v>
      </c>
      <c r="F76" s="22"/>
      <c r="G76" s="22"/>
      <c r="H76" s="22"/>
      <c r="I76" s="22"/>
      <c r="J76" s="22"/>
      <c r="K76" s="22"/>
      <c r="L76" s="22"/>
      <c r="M76" s="22"/>
      <c r="O76" s="22" t="s">
        <v>101</v>
      </c>
    </row>
    <row r="77">
      <c r="O77" s="22" t="s">
        <v>102</v>
      </c>
    </row>
    <row r="78">
      <c r="O78" s="22" t="s">
        <v>103</v>
      </c>
    </row>
    <row r="79">
      <c r="O79" s="22" t="s">
        <v>104</v>
      </c>
    </row>
    <row r="80">
      <c r="O80" s="22" t="s">
        <v>105</v>
      </c>
    </row>
    <row r="81">
      <c r="O81" s="22" t="s">
        <v>68</v>
      </c>
    </row>
  </sheetData>
  <mergeCells count="1">
    <mergeCell ref="O23:Q23"/>
  </mergeCells>
  <conditionalFormatting sqref="K3">
    <cfRule type="expression" dxfId="0" priority="1">
      <formula>M3&lt;&gt;""</formula>
    </cfRule>
  </conditionalFormatting>
  <conditionalFormatting sqref="K4">
    <cfRule type="expression" dxfId="0" priority="2">
      <formula>M4&lt;&gt;""</formula>
    </cfRule>
  </conditionalFormatting>
  <conditionalFormatting sqref="K5">
    <cfRule type="expression" dxfId="0" priority="3">
      <formula>M5&lt;&gt;""</formula>
    </cfRule>
  </conditionalFormatting>
  <conditionalFormatting sqref="K6">
    <cfRule type="expression" dxfId="0" priority="4">
      <formula>M6&lt;&gt;""</formula>
    </cfRule>
  </conditionalFormatting>
  <conditionalFormatting sqref="K7:K22">
    <cfRule type="expression" dxfId="0" priority="5">
      <formula>M7&lt;&gt;""</formula>
    </cfRule>
  </conditionalFormatting>
  <conditionalFormatting sqref="K9:K22">
    <cfRule type="expression" dxfId="0" priority="6">
      <formula>M9&lt;&gt;""</formula>
    </cfRule>
  </conditionalFormatting>
  <conditionalFormatting sqref="K12">
    <cfRule type="expression" dxfId="0" priority="7">
      <formula>M12&lt;&gt;""</formula>
    </cfRule>
  </conditionalFormatting>
  <conditionalFormatting sqref="K13">
    <cfRule type="expression" dxfId="0" priority="8">
      <formula>M13&lt;&gt;""</formula>
    </cfRule>
  </conditionalFormatting>
  <conditionalFormatting sqref="K14">
    <cfRule type="expression" dxfId="0" priority="9">
      <formula>M14&lt;&gt;""</formula>
    </cfRule>
  </conditionalFormatting>
  <conditionalFormatting sqref="K15">
    <cfRule type="expression" dxfId="1" priority="10">
      <formula>M15&lt;&gt;""</formula>
    </cfRule>
  </conditionalFormatting>
  <conditionalFormatting sqref="K16">
    <cfRule type="expression" dxfId="0" priority="11">
      <formula>M16&lt;&gt;""</formula>
    </cfRule>
  </conditionalFormatting>
  <conditionalFormatting sqref="K17">
    <cfRule type="expression" dxfId="0" priority="12">
      <formula>M17&lt;&gt;""</formula>
    </cfRule>
  </conditionalFormatting>
  <conditionalFormatting sqref="K18">
    <cfRule type="expression" dxfId="0" priority="13">
      <formula>M18&lt;&gt;""</formula>
    </cfRule>
  </conditionalFormatting>
  <conditionalFormatting sqref="K19">
    <cfRule type="expression" dxfId="0" priority="14">
      <formula>M19&lt;&gt;""</formula>
    </cfRule>
  </conditionalFormatting>
  <conditionalFormatting sqref="K20">
    <cfRule type="expression" dxfId="0" priority="15">
      <formula>M20&lt;&gt;""</formula>
    </cfRule>
  </conditionalFormatting>
  <conditionalFormatting sqref="Q19">
    <cfRule type="notContainsBlanks" dxfId="2" priority="16">
      <formula>LEN(TRIM(Q19))&gt;0</formula>
    </cfRule>
  </conditionalFormatting>
  <conditionalFormatting sqref="H2:H21">
    <cfRule type="notContainsBlanks" dxfId="3" priority="17">
      <formula>LEN(TRIM(H2))&gt;0</formula>
    </cfRule>
  </conditionalFormatting>
  <conditionalFormatting sqref="A1:A978">
    <cfRule type="expression" dxfId="2" priority="18">
      <formula>COUNTIF(A:A, A1) &gt; 1</formula>
    </cfRule>
  </conditionalFormatting>
  <conditionalFormatting sqref="S24:T49">
    <cfRule type="beginsWith" dxfId="0" priority="19" operator="beginsWith" text="Y">
      <formula>LEFT((S24),LEN("Y"))=("Y")</formula>
    </cfRule>
  </conditionalFormatting>
  <conditionalFormatting sqref="S24:T49">
    <cfRule type="beginsWith" dxfId="2" priority="20" operator="beginsWith" text="N">
      <formula>LEFT((S24),LEN("N"))=("N")</formula>
    </cfRule>
  </conditionalFormatting>
  <conditionalFormatting sqref="F78:F85">
    <cfRule type="expression" dxfId="1" priority="21">
      <formula>SUMPRODUCT(--($G$78:$G$80&lt;&gt;""), --ISNUMBER( SEARCH($G$78:$G$80, F78) ) )&gt;0</formula>
    </cfRule>
  </conditionalFormatting>
  <conditionalFormatting sqref="F2:K66">
    <cfRule type="expression" dxfId="4" priority="22">
      <formula>SUMPRODUCT(--($O$75:$O$81&lt;&gt;""), --ISNUMBER( SEARCH($O$75:$O$81, F2) ) )&gt;0</formula>
    </cfRule>
  </conditionalFormatting>
  <conditionalFormatting sqref="K2">
    <cfRule type="expression" dxfId="0" priority="23">
      <formula>M2&lt;&gt;""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14.75"/>
    <col customWidth="1" min="6" max="6" width="19.38"/>
    <col customWidth="1" min="13" max="13" width="10.13"/>
    <col customWidth="1" min="15" max="15" width="10.13"/>
    <col customWidth="1" min="24" max="24" width="12.13"/>
    <col customWidth="1" min="28" max="31" width="12.13"/>
  </cols>
  <sheetData>
    <row r="1">
      <c r="A1" s="7" t="s">
        <v>2</v>
      </c>
      <c r="B1" s="7" t="s">
        <v>7</v>
      </c>
      <c r="C1" s="11">
        <v>46207.0</v>
      </c>
      <c r="D1" s="11">
        <f t="shared" ref="D1:AB1" si="1">C1+7</f>
        <v>46214</v>
      </c>
      <c r="E1" s="11">
        <f t="shared" si="1"/>
        <v>46221</v>
      </c>
      <c r="F1" s="11">
        <f t="shared" si="1"/>
        <v>46228</v>
      </c>
      <c r="G1" s="11">
        <f t="shared" si="1"/>
        <v>46235</v>
      </c>
      <c r="H1" s="11">
        <f t="shared" si="1"/>
        <v>46242</v>
      </c>
      <c r="I1" s="11">
        <f t="shared" si="1"/>
        <v>46249</v>
      </c>
      <c r="J1" s="11">
        <f t="shared" si="1"/>
        <v>46256</v>
      </c>
      <c r="K1" s="11">
        <f t="shared" si="1"/>
        <v>46263</v>
      </c>
      <c r="L1" s="11">
        <f t="shared" si="1"/>
        <v>46270</v>
      </c>
      <c r="M1" s="11">
        <f t="shared" si="1"/>
        <v>46277</v>
      </c>
      <c r="N1" s="11">
        <f t="shared" si="1"/>
        <v>46284</v>
      </c>
      <c r="O1" s="11">
        <f t="shared" si="1"/>
        <v>46291</v>
      </c>
      <c r="P1" s="11">
        <f t="shared" si="1"/>
        <v>46298</v>
      </c>
      <c r="Q1" s="11">
        <f t="shared" si="1"/>
        <v>46305</v>
      </c>
      <c r="R1" s="11">
        <f t="shared" si="1"/>
        <v>46312</v>
      </c>
      <c r="S1" s="11">
        <f t="shared" si="1"/>
        <v>46319</v>
      </c>
      <c r="T1" s="11">
        <f t="shared" si="1"/>
        <v>46326</v>
      </c>
      <c r="U1" s="11">
        <f t="shared" si="1"/>
        <v>46333</v>
      </c>
      <c r="V1" s="11">
        <f t="shared" si="1"/>
        <v>46340</v>
      </c>
      <c r="W1" s="11">
        <f t="shared" si="1"/>
        <v>46347</v>
      </c>
      <c r="X1" s="11">
        <f t="shared" si="1"/>
        <v>46354</v>
      </c>
      <c r="Y1" s="11">
        <f t="shared" si="1"/>
        <v>46361</v>
      </c>
      <c r="Z1" s="11">
        <f t="shared" si="1"/>
        <v>46368</v>
      </c>
      <c r="AA1" s="11">
        <f t="shared" si="1"/>
        <v>46375</v>
      </c>
      <c r="AB1" s="11">
        <f t="shared" si="1"/>
        <v>46382</v>
      </c>
      <c r="AC1" s="39"/>
      <c r="AD1" s="39"/>
      <c r="AE1" s="39"/>
    </row>
    <row r="2">
      <c r="A2" s="41">
        <v>1.0</v>
      </c>
      <c r="B2" s="36" t="s">
        <v>53</v>
      </c>
      <c r="C2" s="35">
        <f t="shared" ref="C2:AB2" si="2">IFERROR(VLOOKUP($B2,indirect(text(C$1,"mm/dd/yy")&amp;"!B:L"),11,false),"Not played")</f>
        <v>9</v>
      </c>
      <c r="D2" s="35">
        <f t="shared" si="2"/>
        <v>9</v>
      </c>
      <c r="E2" s="35">
        <f t="shared" si="2"/>
        <v>9</v>
      </c>
      <c r="F2" s="35">
        <f t="shared" si="2"/>
        <v>9</v>
      </c>
      <c r="G2" s="35">
        <f t="shared" si="2"/>
        <v>9</v>
      </c>
      <c r="H2" s="35">
        <f t="shared" si="2"/>
        <v>9</v>
      </c>
      <c r="I2" s="35">
        <f t="shared" si="2"/>
        <v>9</v>
      </c>
      <c r="J2" s="35">
        <f t="shared" si="2"/>
        <v>9</v>
      </c>
      <c r="K2" s="35">
        <f t="shared" si="2"/>
        <v>9</v>
      </c>
      <c r="L2" s="35">
        <f t="shared" si="2"/>
        <v>9</v>
      </c>
      <c r="M2" s="35">
        <f t="shared" si="2"/>
        <v>9</v>
      </c>
      <c r="N2" s="35">
        <f t="shared" si="2"/>
        <v>9</v>
      </c>
      <c r="O2" s="35">
        <f t="shared" si="2"/>
        <v>9</v>
      </c>
      <c r="P2" s="35">
        <f t="shared" si="2"/>
        <v>9</v>
      </c>
      <c r="Q2" s="35">
        <f t="shared" si="2"/>
        <v>9</v>
      </c>
      <c r="R2" s="35" t="str">
        <f t="shared" si="2"/>
        <v>Not played</v>
      </c>
      <c r="S2" s="35" t="str">
        <f t="shared" si="2"/>
        <v>Not played</v>
      </c>
      <c r="T2" s="35" t="str">
        <f t="shared" si="2"/>
        <v>Not played</v>
      </c>
      <c r="U2" s="35" t="str">
        <f t="shared" si="2"/>
        <v>Not played</v>
      </c>
      <c r="V2" s="35" t="str">
        <f t="shared" si="2"/>
        <v>Not played</v>
      </c>
      <c r="W2" s="35" t="str">
        <f t="shared" si="2"/>
        <v>Not played</v>
      </c>
      <c r="X2" s="35" t="str">
        <f t="shared" si="2"/>
        <v>Not played</v>
      </c>
      <c r="Y2" s="35" t="str">
        <f t="shared" si="2"/>
        <v>Not played</v>
      </c>
      <c r="Z2" s="35" t="str">
        <f t="shared" si="2"/>
        <v>Not played</v>
      </c>
      <c r="AA2" s="35" t="str">
        <f t="shared" si="2"/>
        <v>Not played</v>
      </c>
      <c r="AB2" s="35" t="str">
        <f t="shared" si="2"/>
        <v>Not played</v>
      </c>
      <c r="AC2" s="47"/>
      <c r="AD2" s="47"/>
      <c r="AE2" s="47"/>
    </row>
    <row r="3">
      <c r="A3" s="41">
        <f t="shared" ref="A3:A68" si="4">A2+1</f>
        <v>2</v>
      </c>
      <c r="B3" s="36" t="s">
        <v>56</v>
      </c>
      <c r="C3" s="35">
        <f t="shared" ref="C3:AB3" si="3">IFERROR(VLOOKUP($B3,indirect(text(C$1,"mm/dd/yy")&amp;"!B:L"),11,false),"Not played")</f>
        <v>9</v>
      </c>
      <c r="D3" s="35">
        <f t="shared" si="3"/>
        <v>9</v>
      </c>
      <c r="E3" s="35">
        <f t="shared" si="3"/>
        <v>14</v>
      </c>
      <c r="F3" s="35">
        <f t="shared" si="3"/>
        <v>9</v>
      </c>
      <c r="G3" s="35">
        <f t="shared" si="3"/>
        <v>9</v>
      </c>
      <c r="H3" s="35">
        <f t="shared" si="3"/>
        <v>9</v>
      </c>
      <c r="I3" s="35">
        <f t="shared" si="3"/>
        <v>9</v>
      </c>
      <c r="J3" s="35">
        <f t="shared" si="3"/>
        <v>9</v>
      </c>
      <c r="K3" s="35">
        <f t="shared" si="3"/>
        <v>9</v>
      </c>
      <c r="L3" s="35">
        <f t="shared" si="3"/>
        <v>9</v>
      </c>
      <c r="M3" s="35">
        <f t="shared" si="3"/>
        <v>9</v>
      </c>
      <c r="N3" s="35">
        <f t="shared" si="3"/>
        <v>9</v>
      </c>
      <c r="O3" s="35">
        <f t="shared" si="3"/>
        <v>9</v>
      </c>
      <c r="P3" s="35">
        <f t="shared" si="3"/>
        <v>9</v>
      </c>
      <c r="Q3" s="35">
        <f t="shared" si="3"/>
        <v>9</v>
      </c>
      <c r="R3" s="35" t="str">
        <f t="shared" si="3"/>
        <v>Not played</v>
      </c>
      <c r="S3" s="35" t="str">
        <f t="shared" si="3"/>
        <v>Not played</v>
      </c>
      <c r="T3" s="35" t="str">
        <f t="shared" si="3"/>
        <v>Not played</v>
      </c>
      <c r="U3" s="35" t="str">
        <f t="shared" si="3"/>
        <v>Not played</v>
      </c>
      <c r="V3" s="35" t="str">
        <f t="shared" si="3"/>
        <v>Not played</v>
      </c>
      <c r="W3" s="35" t="str">
        <f t="shared" si="3"/>
        <v>Not played</v>
      </c>
      <c r="X3" s="35" t="str">
        <f t="shared" si="3"/>
        <v>Not played</v>
      </c>
      <c r="Y3" s="35" t="str">
        <f t="shared" si="3"/>
        <v>Not played</v>
      </c>
      <c r="Z3" s="35" t="str">
        <f t="shared" si="3"/>
        <v>Not played</v>
      </c>
      <c r="AA3" s="35" t="str">
        <f t="shared" si="3"/>
        <v>Not played</v>
      </c>
      <c r="AB3" s="35" t="str">
        <f t="shared" si="3"/>
        <v>Not played</v>
      </c>
      <c r="AC3" s="47"/>
      <c r="AD3" s="47"/>
      <c r="AE3" s="47"/>
    </row>
    <row r="4">
      <c r="A4" s="41">
        <f t="shared" si="4"/>
        <v>3</v>
      </c>
      <c r="B4" s="36" t="s">
        <v>61</v>
      </c>
      <c r="C4" s="35">
        <f t="shared" ref="C4:AB4" si="5">IFERROR(VLOOKUP($B4,indirect(text(C$1,"mm/dd/yy")&amp;"!B:L"),11,false),"Not played")</f>
        <v>9</v>
      </c>
      <c r="D4" s="35">
        <f t="shared" si="5"/>
        <v>12</v>
      </c>
      <c r="E4" s="35">
        <f t="shared" si="5"/>
        <v>8</v>
      </c>
      <c r="F4" s="35">
        <f t="shared" si="5"/>
        <v>17</v>
      </c>
      <c r="G4" s="35">
        <f t="shared" si="5"/>
        <v>9</v>
      </c>
      <c r="H4" s="35">
        <f t="shared" si="5"/>
        <v>15</v>
      </c>
      <c r="I4" s="35">
        <f t="shared" si="5"/>
        <v>9</v>
      </c>
      <c r="J4" s="35">
        <f t="shared" si="5"/>
        <v>7</v>
      </c>
      <c r="K4" s="35">
        <f t="shared" si="5"/>
        <v>9</v>
      </c>
      <c r="L4" s="35">
        <f t="shared" si="5"/>
        <v>9</v>
      </c>
      <c r="M4" s="35">
        <f t="shared" si="5"/>
        <v>9</v>
      </c>
      <c r="N4" s="35">
        <f t="shared" si="5"/>
        <v>9</v>
      </c>
      <c r="O4" s="35">
        <f t="shared" si="5"/>
        <v>9</v>
      </c>
      <c r="P4" s="35">
        <f t="shared" si="5"/>
        <v>16</v>
      </c>
      <c r="Q4" s="35">
        <f t="shared" si="5"/>
        <v>17</v>
      </c>
      <c r="R4" s="35" t="str">
        <f t="shared" si="5"/>
        <v>Not played</v>
      </c>
      <c r="S4" s="35" t="str">
        <f t="shared" si="5"/>
        <v>Not played</v>
      </c>
      <c r="T4" s="35" t="str">
        <f t="shared" si="5"/>
        <v>Not played</v>
      </c>
      <c r="U4" s="35" t="str">
        <f t="shared" si="5"/>
        <v>Not played</v>
      </c>
      <c r="V4" s="35" t="str">
        <f t="shared" si="5"/>
        <v>Not played</v>
      </c>
      <c r="W4" s="35" t="str">
        <f t="shared" si="5"/>
        <v>Not played</v>
      </c>
      <c r="X4" s="35" t="str">
        <f t="shared" si="5"/>
        <v>Not played</v>
      </c>
      <c r="Y4" s="35" t="str">
        <f t="shared" si="5"/>
        <v>Not played</v>
      </c>
      <c r="Z4" s="35" t="str">
        <f t="shared" si="5"/>
        <v>Not played</v>
      </c>
      <c r="AA4" s="35" t="str">
        <f t="shared" si="5"/>
        <v>Not played</v>
      </c>
      <c r="AB4" s="35" t="str">
        <f t="shared" si="5"/>
        <v>Not played</v>
      </c>
      <c r="AC4" s="47"/>
      <c r="AD4" s="47"/>
      <c r="AE4" s="47"/>
    </row>
    <row r="5">
      <c r="A5" s="41">
        <f t="shared" si="4"/>
        <v>4</v>
      </c>
      <c r="B5" s="36" t="s">
        <v>67</v>
      </c>
      <c r="C5" s="35">
        <f t="shared" ref="C5:AB5" si="6">IFERROR(VLOOKUP($B5,indirect(text(C$1,"mm/dd/yy")&amp;"!B:L"),11,false),"Not played")</f>
        <v>16</v>
      </c>
      <c r="D5" s="35">
        <f t="shared" si="6"/>
        <v>14</v>
      </c>
      <c r="E5" s="35">
        <f t="shared" si="6"/>
        <v>7</v>
      </c>
      <c r="F5" s="35">
        <f t="shared" si="6"/>
        <v>10</v>
      </c>
      <c r="G5" s="35">
        <f t="shared" si="6"/>
        <v>12</v>
      </c>
      <c r="H5" s="35">
        <f t="shared" si="6"/>
        <v>10</v>
      </c>
      <c r="I5" s="35">
        <f t="shared" si="6"/>
        <v>13</v>
      </c>
      <c r="J5" s="35">
        <f t="shared" si="6"/>
        <v>13</v>
      </c>
      <c r="K5" s="35">
        <f t="shared" si="6"/>
        <v>9</v>
      </c>
      <c r="L5" s="35">
        <f t="shared" si="6"/>
        <v>9</v>
      </c>
      <c r="M5" s="35">
        <f t="shared" si="6"/>
        <v>9</v>
      </c>
      <c r="N5" s="35">
        <f t="shared" si="6"/>
        <v>9</v>
      </c>
      <c r="O5" s="35">
        <f t="shared" si="6"/>
        <v>11</v>
      </c>
      <c r="P5" s="35">
        <f t="shared" si="6"/>
        <v>13</v>
      </c>
      <c r="Q5" s="35">
        <f t="shared" si="6"/>
        <v>13</v>
      </c>
      <c r="R5" s="35" t="str">
        <f t="shared" si="6"/>
        <v>Not played</v>
      </c>
      <c r="S5" s="35" t="str">
        <f t="shared" si="6"/>
        <v>Not played</v>
      </c>
      <c r="T5" s="35" t="str">
        <f t="shared" si="6"/>
        <v>Not played</v>
      </c>
      <c r="U5" s="35" t="str">
        <f t="shared" si="6"/>
        <v>Not played</v>
      </c>
      <c r="V5" s="35" t="str">
        <f t="shared" si="6"/>
        <v>Not played</v>
      </c>
      <c r="W5" s="35" t="str">
        <f t="shared" si="6"/>
        <v>Not played</v>
      </c>
      <c r="X5" s="35" t="str">
        <f t="shared" si="6"/>
        <v>Not played</v>
      </c>
      <c r="Y5" s="35" t="str">
        <f t="shared" si="6"/>
        <v>Not played</v>
      </c>
      <c r="Z5" s="35" t="str">
        <f t="shared" si="6"/>
        <v>Not played</v>
      </c>
      <c r="AA5" s="35" t="str">
        <f t="shared" si="6"/>
        <v>Not played</v>
      </c>
      <c r="AB5" s="35" t="str">
        <f t="shared" si="6"/>
        <v>Not played</v>
      </c>
      <c r="AC5" s="47"/>
      <c r="AD5" s="47"/>
      <c r="AE5" s="47"/>
    </row>
    <row r="6">
      <c r="A6" s="41">
        <f t="shared" si="4"/>
        <v>5</v>
      </c>
      <c r="B6" s="36" t="s">
        <v>72</v>
      </c>
      <c r="C6" s="35">
        <f t="shared" ref="C6:AB6" si="7">IFERROR(VLOOKUP($B6,indirect(text(C$1,"mm/dd/yy")&amp;"!B:L"),11,false),"Not played")</f>
        <v>8</v>
      </c>
      <c r="D6" s="35">
        <f t="shared" si="7"/>
        <v>13</v>
      </c>
      <c r="E6" s="35">
        <f t="shared" si="7"/>
        <v>13</v>
      </c>
      <c r="F6" s="35">
        <f t="shared" si="7"/>
        <v>13</v>
      </c>
      <c r="G6" s="35">
        <f t="shared" si="7"/>
        <v>9</v>
      </c>
      <c r="H6" s="35">
        <f t="shared" si="7"/>
        <v>9</v>
      </c>
      <c r="I6" s="35">
        <f t="shared" si="7"/>
        <v>9</v>
      </c>
      <c r="J6" s="35">
        <f t="shared" si="7"/>
        <v>9</v>
      </c>
      <c r="K6" s="35">
        <f t="shared" si="7"/>
        <v>9</v>
      </c>
      <c r="L6" s="35">
        <f t="shared" si="7"/>
        <v>15</v>
      </c>
      <c r="M6" s="35">
        <f t="shared" si="7"/>
        <v>9</v>
      </c>
      <c r="N6" s="35">
        <f t="shared" si="7"/>
        <v>11</v>
      </c>
      <c r="O6" s="35">
        <f t="shared" si="7"/>
        <v>14</v>
      </c>
      <c r="P6" s="35">
        <f t="shared" si="7"/>
        <v>13</v>
      </c>
      <c r="Q6" s="35">
        <f t="shared" si="7"/>
        <v>9</v>
      </c>
      <c r="R6" s="35" t="str">
        <f t="shared" si="7"/>
        <v>Not played</v>
      </c>
      <c r="S6" s="35" t="str">
        <f t="shared" si="7"/>
        <v>Not played</v>
      </c>
      <c r="T6" s="35" t="str">
        <f t="shared" si="7"/>
        <v>Not played</v>
      </c>
      <c r="U6" s="35" t="str">
        <f t="shared" si="7"/>
        <v>Not played</v>
      </c>
      <c r="V6" s="35" t="str">
        <f t="shared" si="7"/>
        <v>Not played</v>
      </c>
      <c r="W6" s="35" t="str">
        <f t="shared" si="7"/>
        <v>Not played</v>
      </c>
      <c r="X6" s="35" t="str">
        <f t="shared" si="7"/>
        <v>Not played</v>
      </c>
      <c r="Y6" s="35" t="str">
        <f t="shared" si="7"/>
        <v>Not played</v>
      </c>
      <c r="Z6" s="35" t="str">
        <f t="shared" si="7"/>
        <v>Not played</v>
      </c>
      <c r="AA6" s="35" t="str">
        <f t="shared" si="7"/>
        <v>Not played</v>
      </c>
      <c r="AB6" s="35" t="str">
        <f t="shared" si="7"/>
        <v>Not played</v>
      </c>
      <c r="AC6" s="47"/>
      <c r="AD6" s="47"/>
      <c r="AE6" s="47"/>
    </row>
    <row r="7">
      <c r="A7" s="41">
        <f t="shared" si="4"/>
        <v>6</v>
      </c>
      <c r="B7" s="36" t="s">
        <v>52</v>
      </c>
      <c r="C7" s="35">
        <f t="shared" ref="C7:AB7" si="8">IFERROR(VLOOKUP($B7,indirect(text(C$1,"mm/dd/yy")&amp;"!B:L"),11,false),"Not played")</f>
        <v>15</v>
      </c>
      <c r="D7" s="35">
        <f t="shared" si="8"/>
        <v>13</v>
      </c>
      <c r="E7" s="35">
        <f t="shared" si="8"/>
        <v>16</v>
      </c>
      <c r="F7" s="35">
        <f t="shared" si="8"/>
        <v>15</v>
      </c>
      <c r="G7" s="35">
        <f t="shared" si="8"/>
        <v>18</v>
      </c>
      <c r="H7" s="35">
        <f t="shared" si="8"/>
        <v>14</v>
      </c>
      <c r="I7" s="35">
        <f t="shared" si="8"/>
        <v>18</v>
      </c>
      <c r="J7" s="35">
        <f t="shared" si="8"/>
        <v>13</v>
      </c>
      <c r="K7" s="35">
        <f t="shared" si="8"/>
        <v>15</v>
      </c>
      <c r="L7" s="35">
        <f t="shared" si="8"/>
        <v>8</v>
      </c>
      <c r="M7" s="35">
        <f t="shared" si="8"/>
        <v>11</v>
      </c>
      <c r="N7" s="35">
        <f t="shared" si="8"/>
        <v>18</v>
      </c>
      <c r="O7" s="35">
        <f t="shared" si="8"/>
        <v>18</v>
      </c>
      <c r="P7" s="35">
        <f t="shared" si="8"/>
        <v>13</v>
      </c>
      <c r="Q7" s="35">
        <f t="shared" si="8"/>
        <v>18</v>
      </c>
      <c r="R7" s="35" t="str">
        <f t="shared" si="8"/>
        <v>Not played</v>
      </c>
      <c r="S7" s="35" t="str">
        <f t="shared" si="8"/>
        <v>Not played</v>
      </c>
      <c r="T7" s="35" t="str">
        <f t="shared" si="8"/>
        <v>Not played</v>
      </c>
      <c r="U7" s="35" t="str">
        <f t="shared" si="8"/>
        <v>Not played</v>
      </c>
      <c r="V7" s="35" t="str">
        <f t="shared" si="8"/>
        <v>Not played</v>
      </c>
      <c r="W7" s="35" t="str">
        <f t="shared" si="8"/>
        <v>Not played</v>
      </c>
      <c r="X7" s="35" t="str">
        <f t="shared" si="8"/>
        <v>Not played</v>
      </c>
      <c r="Y7" s="35" t="str">
        <f t="shared" si="8"/>
        <v>Not played</v>
      </c>
      <c r="Z7" s="35" t="str">
        <f t="shared" si="8"/>
        <v>Not played</v>
      </c>
      <c r="AA7" s="35" t="str">
        <f t="shared" si="8"/>
        <v>Not played</v>
      </c>
      <c r="AB7" s="35" t="str">
        <f t="shared" si="8"/>
        <v>Not played</v>
      </c>
      <c r="AC7" s="47"/>
      <c r="AD7" s="47"/>
      <c r="AE7" s="47"/>
    </row>
    <row r="8">
      <c r="A8" s="41">
        <f t="shared" si="4"/>
        <v>7</v>
      </c>
      <c r="B8" s="36" t="s">
        <v>77</v>
      </c>
      <c r="C8" s="35">
        <f t="shared" ref="C8:AB8" si="9">IFERROR(VLOOKUP($B8,indirect(text(C$1,"mm/dd/yy")&amp;"!B:L"),11,false),"Not played")</f>
        <v>9</v>
      </c>
      <c r="D8" s="35">
        <f t="shared" si="9"/>
        <v>9</v>
      </c>
      <c r="E8" s="35">
        <f t="shared" si="9"/>
        <v>9</v>
      </c>
      <c r="F8" s="35">
        <f t="shared" si="9"/>
        <v>9</v>
      </c>
      <c r="G8" s="35">
        <f t="shared" si="9"/>
        <v>9</v>
      </c>
      <c r="H8" s="35">
        <f t="shared" si="9"/>
        <v>9</v>
      </c>
      <c r="I8" s="35">
        <f t="shared" si="9"/>
        <v>9</v>
      </c>
      <c r="J8" s="35">
        <f t="shared" si="9"/>
        <v>9</v>
      </c>
      <c r="K8" s="35">
        <f t="shared" si="9"/>
        <v>9</v>
      </c>
      <c r="L8" s="35">
        <f t="shared" si="9"/>
        <v>9</v>
      </c>
      <c r="M8" s="35">
        <f t="shared" si="9"/>
        <v>9</v>
      </c>
      <c r="N8" s="35">
        <f t="shared" si="9"/>
        <v>9</v>
      </c>
      <c r="O8" s="35">
        <f t="shared" si="9"/>
        <v>9</v>
      </c>
      <c r="P8" s="35">
        <f t="shared" si="9"/>
        <v>9</v>
      </c>
      <c r="Q8" s="35">
        <f t="shared" si="9"/>
        <v>9</v>
      </c>
      <c r="R8" s="35" t="str">
        <f t="shared" si="9"/>
        <v>Not played</v>
      </c>
      <c r="S8" s="35" t="str">
        <f t="shared" si="9"/>
        <v>Not played</v>
      </c>
      <c r="T8" s="35" t="str">
        <f t="shared" si="9"/>
        <v>Not played</v>
      </c>
      <c r="U8" s="35" t="str">
        <f t="shared" si="9"/>
        <v>Not played</v>
      </c>
      <c r="V8" s="35" t="str">
        <f t="shared" si="9"/>
        <v>Not played</v>
      </c>
      <c r="W8" s="35" t="str">
        <f t="shared" si="9"/>
        <v>Not played</v>
      </c>
      <c r="X8" s="35" t="str">
        <f t="shared" si="9"/>
        <v>Not played</v>
      </c>
      <c r="Y8" s="35" t="str">
        <f t="shared" si="9"/>
        <v>Not played</v>
      </c>
      <c r="Z8" s="35" t="str">
        <f t="shared" si="9"/>
        <v>Not played</v>
      </c>
      <c r="AA8" s="35" t="str">
        <f t="shared" si="9"/>
        <v>Not played</v>
      </c>
      <c r="AB8" s="35" t="str">
        <f t="shared" si="9"/>
        <v>Not played</v>
      </c>
      <c r="AC8" s="47"/>
      <c r="AD8" s="47"/>
      <c r="AE8" s="47"/>
    </row>
    <row r="9">
      <c r="A9" s="41">
        <f t="shared" si="4"/>
        <v>8</v>
      </c>
      <c r="B9" s="36" t="s">
        <v>81</v>
      </c>
      <c r="C9" s="35">
        <f t="shared" ref="C9:AB9" si="10">IFERROR(VLOOKUP($B9,indirect(text(C$1,"mm/dd/yy")&amp;"!B:L"),11,false),"Not played")</f>
        <v>16</v>
      </c>
      <c r="D9" s="35">
        <f t="shared" si="10"/>
        <v>9</v>
      </c>
      <c r="E9" s="35">
        <f t="shared" si="10"/>
        <v>16</v>
      </c>
      <c r="F9" s="35">
        <f t="shared" si="10"/>
        <v>9</v>
      </c>
      <c r="G9" s="35">
        <f t="shared" si="10"/>
        <v>19</v>
      </c>
      <c r="H9" s="35">
        <f t="shared" si="10"/>
        <v>9</v>
      </c>
      <c r="I9" s="35">
        <f t="shared" si="10"/>
        <v>9</v>
      </c>
      <c r="J9" s="35">
        <f t="shared" si="10"/>
        <v>16</v>
      </c>
      <c r="K9" s="35">
        <f t="shared" si="10"/>
        <v>9</v>
      </c>
      <c r="L9" s="35">
        <f t="shared" si="10"/>
        <v>16</v>
      </c>
      <c r="M9" s="35">
        <f t="shared" si="10"/>
        <v>9</v>
      </c>
      <c r="N9" s="35">
        <f t="shared" si="10"/>
        <v>16</v>
      </c>
      <c r="O9" s="35">
        <f t="shared" si="10"/>
        <v>19</v>
      </c>
      <c r="P9" s="35">
        <f t="shared" si="10"/>
        <v>9</v>
      </c>
      <c r="Q9" s="35">
        <f t="shared" si="10"/>
        <v>13</v>
      </c>
      <c r="R9" s="35" t="str">
        <f t="shared" si="10"/>
        <v>Not played</v>
      </c>
      <c r="S9" s="35" t="str">
        <f t="shared" si="10"/>
        <v>Not played</v>
      </c>
      <c r="T9" s="35" t="str">
        <f t="shared" si="10"/>
        <v>Not played</v>
      </c>
      <c r="U9" s="35" t="str">
        <f t="shared" si="10"/>
        <v>Not played</v>
      </c>
      <c r="V9" s="35" t="str">
        <f t="shared" si="10"/>
        <v>Not played</v>
      </c>
      <c r="W9" s="35" t="str">
        <f t="shared" si="10"/>
        <v>Not played</v>
      </c>
      <c r="X9" s="35" t="str">
        <f t="shared" si="10"/>
        <v>Not played</v>
      </c>
      <c r="Y9" s="35" t="str">
        <f t="shared" si="10"/>
        <v>Not played</v>
      </c>
      <c r="Z9" s="35" t="str">
        <f t="shared" si="10"/>
        <v>Not played</v>
      </c>
      <c r="AA9" s="35" t="str">
        <f t="shared" si="10"/>
        <v>Not played</v>
      </c>
      <c r="AB9" s="35" t="str">
        <f t="shared" si="10"/>
        <v>Not played</v>
      </c>
      <c r="AC9" s="47"/>
      <c r="AD9" s="47"/>
      <c r="AE9" s="47"/>
    </row>
    <row r="10">
      <c r="A10" s="41">
        <f t="shared" si="4"/>
        <v>9</v>
      </c>
      <c r="B10" s="36" t="s">
        <v>84</v>
      </c>
      <c r="C10" s="35">
        <f t="shared" ref="C10:AB10" si="11">IFERROR(VLOOKUP($B10,indirect(text(C$1,"mm/dd/yy")&amp;"!B:L"),11,false),"Not played")</f>
        <v>9</v>
      </c>
      <c r="D10" s="35">
        <f t="shared" si="11"/>
        <v>13</v>
      </c>
      <c r="E10" s="35">
        <f t="shared" si="11"/>
        <v>13</v>
      </c>
      <c r="F10" s="35">
        <f t="shared" si="11"/>
        <v>13</v>
      </c>
      <c r="G10" s="35">
        <f t="shared" si="11"/>
        <v>6</v>
      </c>
      <c r="H10" s="35">
        <f t="shared" si="11"/>
        <v>9</v>
      </c>
      <c r="I10" s="35">
        <f t="shared" si="11"/>
        <v>13</v>
      </c>
      <c r="J10" s="35">
        <f t="shared" si="11"/>
        <v>6</v>
      </c>
      <c r="K10" s="35">
        <f t="shared" si="11"/>
        <v>13</v>
      </c>
      <c r="L10" s="35">
        <f t="shared" si="11"/>
        <v>14</v>
      </c>
      <c r="M10" s="35">
        <f t="shared" si="11"/>
        <v>9</v>
      </c>
      <c r="N10" s="35">
        <f t="shared" si="11"/>
        <v>12</v>
      </c>
      <c r="O10" s="35">
        <f t="shared" si="11"/>
        <v>13</v>
      </c>
      <c r="P10" s="35">
        <f t="shared" si="11"/>
        <v>9</v>
      </c>
      <c r="Q10" s="35">
        <f t="shared" si="11"/>
        <v>7</v>
      </c>
      <c r="R10" s="35" t="str">
        <f t="shared" si="11"/>
        <v>Not played</v>
      </c>
      <c r="S10" s="35" t="str">
        <f t="shared" si="11"/>
        <v>Not played</v>
      </c>
      <c r="T10" s="35" t="str">
        <f t="shared" si="11"/>
        <v>Not played</v>
      </c>
      <c r="U10" s="35" t="str">
        <f t="shared" si="11"/>
        <v>Not played</v>
      </c>
      <c r="V10" s="35" t="str">
        <f t="shared" si="11"/>
        <v>Not played</v>
      </c>
      <c r="W10" s="35" t="str">
        <f t="shared" si="11"/>
        <v>Not played</v>
      </c>
      <c r="X10" s="35" t="str">
        <f t="shared" si="11"/>
        <v>Not played</v>
      </c>
      <c r="Y10" s="35" t="str">
        <f t="shared" si="11"/>
        <v>Not played</v>
      </c>
      <c r="Z10" s="35" t="str">
        <f t="shared" si="11"/>
        <v>Not played</v>
      </c>
      <c r="AA10" s="35" t="str">
        <f t="shared" si="11"/>
        <v>Not played</v>
      </c>
      <c r="AB10" s="35" t="str">
        <f t="shared" si="11"/>
        <v>Not played</v>
      </c>
      <c r="AC10" s="47"/>
      <c r="AD10" s="47"/>
      <c r="AE10" s="47"/>
    </row>
    <row r="11">
      <c r="A11" s="41">
        <f t="shared" si="4"/>
        <v>10</v>
      </c>
      <c r="B11" s="36" t="s">
        <v>87</v>
      </c>
      <c r="C11" s="35">
        <f t="shared" ref="C11:AB11" si="12">IFERROR(VLOOKUP($B11,indirect(text(C$1,"mm/dd/yy")&amp;"!B:L"),11,false),"Not played")</f>
        <v>12</v>
      </c>
      <c r="D11" s="35">
        <f t="shared" si="12"/>
        <v>13</v>
      </c>
      <c r="E11" s="35">
        <f t="shared" si="12"/>
        <v>16</v>
      </c>
      <c r="F11" s="35">
        <f t="shared" si="12"/>
        <v>15</v>
      </c>
      <c r="G11" s="35">
        <f t="shared" si="12"/>
        <v>14</v>
      </c>
      <c r="H11" s="35">
        <f t="shared" si="12"/>
        <v>11</v>
      </c>
      <c r="I11" s="35">
        <f t="shared" si="12"/>
        <v>12</v>
      </c>
      <c r="J11" s="35">
        <f t="shared" si="12"/>
        <v>13</v>
      </c>
      <c r="K11" s="35">
        <f t="shared" si="12"/>
        <v>11</v>
      </c>
      <c r="L11" s="35">
        <f t="shared" si="12"/>
        <v>11</v>
      </c>
      <c r="M11" s="35">
        <f t="shared" si="12"/>
        <v>9</v>
      </c>
      <c r="N11" s="35">
        <f t="shared" si="12"/>
        <v>7</v>
      </c>
      <c r="O11" s="35">
        <f t="shared" si="12"/>
        <v>14</v>
      </c>
      <c r="P11" s="35">
        <f t="shared" si="12"/>
        <v>9</v>
      </c>
      <c r="Q11" s="35">
        <f t="shared" si="12"/>
        <v>7</v>
      </c>
      <c r="R11" s="35" t="str">
        <f t="shared" si="12"/>
        <v>Not played</v>
      </c>
      <c r="S11" s="35" t="str">
        <f t="shared" si="12"/>
        <v>Not played</v>
      </c>
      <c r="T11" s="35" t="str">
        <f t="shared" si="12"/>
        <v>Not played</v>
      </c>
      <c r="U11" s="35" t="str">
        <f t="shared" si="12"/>
        <v>Not played</v>
      </c>
      <c r="V11" s="35" t="str">
        <f t="shared" si="12"/>
        <v>Not played</v>
      </c>
      <c r="W11" s="35" t="str">
        <f t="shared" si="12"/>
        <v>Not played</v>
      </c>
      <c r="X11" s="35" t="str">
        <f t="shared" si="12"/>
        <v>Not played</v>
      </c>
      <c r="Y11" s="35" t="str">
        <f t="shared" si="12"/>
        <v>Not played</v>
      </c>
      <c r="Z11" s="35" t="str">
        <f t="shared" si="12"/>
        <v>Not played</v>
      </c>
      <c r="AA11" s="35" t="str">
        <f t="shared" si="12"/>
        <v>Not played</v>
      </c>
      <c r="AB11" s="35" t="str">
        <f t="shared" si="12"/>
        <v>Not played</v>
      </c>
      <c r="AC11" s="47"/>
      <c r="AD11" s="47"/>
      <c r="AE11" s="47"/>
    </row>
    <row r="12">
      <c r="A12" s="41">
        <f t="shared" si="4"/>
        <v>11</v>
      </c>
      <c r="B12" s="36" t="s">
        <v>89</v>
      </c>
      <c r="C12" s="35">
        <f t="shared" ref="C12:AB12" si="13">IFERROR(VLOOKUP($B12,indirect(text(C$1,"mm/dd/yy")&amp;"!B:L"),11,false),"Not played")</f>
        <v>15</v>
      </c>
      <c r="D12" s="35">
        <f t="shared" si="13"/>
        <v>9</v>
      </c>
      <c r="E12" s="35">
        <f t="shared" si="13"/>
        <v>9</v>
      </c>
      <c r="F12" s="35">
        <f t="shared" si="13"/>
        <v>9</v>
      </c>
      <c r="G12" s="35">
        <f t="shared" si="13"/>
        <v>9</v>
      </c>
      <c r="H12" s="35">
        <f t="shared" si="13"/>
        <v>9</v>
      </c>
      <c r="I12" s="35">
        <f t="shared" si="13"/>
        <v>9</v>
      </c>
      <c r="J12" s="35">
        <f t="shared" si="13"/>
        <v>9</v>
      </c>
      <c r="K12" s="35">
        <f t="shared" si="13"/>
        <v>9</v>
      </c>
      <c r="L12" s="35">
        <f t="shared" si="13"/>
        <v>9</v>
      </c>
      <c r="M12" s="35">
        <f t="shared" si="13"/>
        <v>9</v>
      </c>
      <c r="N12" s="35">
        <f t="shared" si="13"/>
        <v>9</v>
      </c>
      <c r="O12" s="35">
        <f t="shared" si="13"/>
        <v>9</v>
      </c>
      <c r="P12" s="35">
        <f t="shared" si="13"/>
        <v>9</v>
      </c>
      <c r="Q12" s="35">
        <f t="shared" si="13"/>
        <v>9</v>
      </c>
      <c r="R12" s="35" t="str">
        <f t="shared" si="13"/>
        <v>Not played</v>
      </c>
      <c r="S12" s="35" t="str">
        <f t="shared" si="13"/>
        <v>Not played</v>
      </c>
      <c r="T12" s="35" t="str">
        <f t="shared" si="13"/>
        <v>Not played</v>
      </c>
      <c r="U12" s="35" t="str">
        <f t="shared" si="13"/>
        <v>Not played</v>
      </c>
      <c r="V12" s="35" t="str">
        <f t="shared" si="13"/>
        <v>Not played</v>
      </c>
      <c r="W12" s="35" t="str">
        <f t="shared" si="13"/>
        <v>Not played</v>
      </c>
      <c r="X12" s="35" t="str">
        <f t="shared" si="13"/>
        <v>Not played</v>
      </c>
      <c r="Y12" s="35" t="str">
        <f t="shared" si="13"/>
        <v>Not played</v>
      </c>
      <c r="Z12" s="35" t="str">
        <f t="shared" si="13"/>
        <v>Not played</v>
      </c>
      <c r="AA12" s="35" t="str">
        <f t="shared" si="13"/>
        <v>Not played</v>
      </c>
      <c r="AB12" s="35" t="str">
        <f t="shared" si="13"/>
        <v>Not played</v>
      </c>
      <c r="AC12" s="47"/>
      <c r="AD12" s="47"/>
      <c r="AE12" s="47"/>
    </row>
    <row r="13">
      <c r="A13" s="41">
        <f t="shared" si="4"/>
        <v>12</v>
      </c>
      <c r="B13" s="36" t="s">
        <v>90</v>
      </c>
      <c r="C13" s="35">
        <f t="shared" ref="C13:AB13" si="14">IFERROR(VLOOKUP($B13,indirect(text(C$1,"mm/dd/yy")&amp;"!B:L"),11,false),"Not played")</f>
        <v>9</v>
      </c>
      <c r="D13" s="35">
        <f t="shared" si="14"/>
        <v>2</v>
      </c>
      <c r="E13" s="35">
        <f t="shared" si="14"/>
        <v>13</v>
      </c>
      <c r="F13" s="35">
        <f t="shared" si="14"/>
        <v>18</v>
      </c>
      <c r="G13" s="35">
        <f t="shared" si="14"/>
        <v>11</v>
      </c>
      <c r="H13" s="35">
        <f t="shared" si="14"/>
        <v>9</v>
      </c>
      <c r="I13" s="35">
        <f t="shared" si="14"/>
        <v>9</v>
      </c>
      <c r="J13" s="35">
        <f t="shared" si="14"/>
        <v>13</v>
      </c>
      <c r="K13" s="35">
        <f t="shared" si="14"/>
        <v>13</v>
      </c>
      <c r="L13" s="35">
        <f t="shared" si="14"/>
        <v>13</v>
      </c>
      <c r="M13" s="35">
        <f t="shared" si="14"/>
        <v>9</v>
      </c>
      <c r="N13" s="35">
        <f t="shared" si="14"/>
        <v>9</v>
      </c>
      <c r="O13" s="35">
        <f t="shared" si="14"/>
        <v>19</v>
      </c>
      <c r="P13" s="35">
        <f t="shared" si="14"/>
        <v>17</v>
      </c>
      <c r="Q13" s="35">
        <f t="shared" si="14"/>
        <v>14</v>
      </c>
      <c r="R13" s="35" t="str">
        <f t="shared" si="14"/>
        <v>Not played</v>
      </c>
      <c r="S13" s="35" t="str">
        <f t="shared" si="14"/>
        <v>Not played</v>
      </c>
      <c r="T13" s="35" t="str">
        <f t="shared" si="14"/>
        <v>Not played</v>
      </c>
      <c r="U13" s="35" t="str">
        <f t="shared" si="14"/>
        <v>Not played</v>
      </c>
      <c r="V13" s="35" t="str">
        <f t="shared" si="14"/>
        <v>Not played</v>
      </c>
      <c r="W13" s="35" t="str">
        <f t="shared" si="14"/>
        <v>Not played</v>
      </c>
      <c r="X13" s="35" t="str">
        <f t="shared" si="14"/>
        <v>Not played</v>
      </c>
      <c r="Y13" s="35" t="str">
        <f t="shared" si="14"/>
        <v>Not played</v>
      </c>
      <c r="Z13" s="35" t="str">
        <f t="shared" si="14"/>
        <v>Not played</v>
      </c>
      <c r="AA13" s="35" t="str">
        <f t="shared" si="14"/>
        <v>Not played</v>
      </c>
      <c r="AB13" s="35" t="str">
        <f t="shared" si="14"/>
        <v>Not played</v>
      </c>
      <c r="AC13" s="47"/>
      <c r="AD13" s="47"/>
      <c r="AE13" s="47"/>
    </row>
    <row r="14">
      <c r="A14" s="41">
        <f t="shared" si="4"/>
        <v>13</v>
      </c>
      <c r="B14" s="36" t="s">
        <v>92</v>
      </c>
      <c r="C14" s="35">
        <f t="shared" ref="C14:AB14" si="15">IFERROR(VLOOKUP($B14,indirect(text(C$1,"mm/dd/yy")&amp;"!B:L"),11,false),"Not played")</f>
        <v>19</v>
      </c>
      <c r="D14" s="35">
        <f t="shared" si="15"/>
        <v>18</v>
      </c>
      <c r="E14" s="35">
        <f t="shared" si="15"/>
        <v>13</v>
      </c>
      <c r="F14" s="35">
        <f t="shared" si="15"/>
        <v>9</v>
      </c>
      <c r="G14" s="35">
        <f t="shared" si="15"/>
        <v>17</v>
      </c>
      <c r="H14" s="35">
        <f t="shared" si="15"/>
        <v>9</v>
      </c>
      <c r="I14" s="35">
        <f t="shared" si="15"/>
        <v>9</v>
      </c>
      <c r="J14" s="35">
        <f t="shared" si="15"/>
        <v>18</v>
      </c>
      <c r="K14" s="35">
        <f t="shared" si="15"/>
        <v>9</v>
      </c>
      <c r="L14" s="35">
        <f t="shared" si="15"/>
        <v>18</v>
      </c>
      <c r="M14" s="35">
        <f t="shared" si="15"/>
        <v>9</v>
      </c>
      <c r="N14" s="35">
        <f t="shared" si="15"/>
        <v>9</v>
      </c>
      <c r="O14" s="35">
        <f t="shared" si="15"/>
        <v>9</v>
      </c>
      <c r="P14" s="35">
        <f t="shared" si="15"/>
        <v>20</v>
      </c>
      <c r="Q14" s="35">
        <f t="shared" si="15"/>
        <v>9</v>
      </c>
      <c r="R14" s="35" t="str">
        <f t="shared" si="15"/>
        <v>Not played</v>
      </c>
      <c r="S14" s="35" t="str">
        <f t="shared" si="15"/>
        <v>Not played</v>
      </c>
      <c r="T14" s="35" t="str">
        <f t="shared" si="15"/>
        <v>Not played</v>
      </c>
      <c r="U14" s="35" t="str">
        <f t="shared" si="15"/>
        <v>Not played</v>
      </c>
      <c r="V14" s="35" t="str">
        <f t="shared" si="15"/>
        <v>Not played</v>
      </c>
      <c r="W14" s="35" t="str">
        <f t="shared" si="15"/>
        <v>Not played</v>
      </c>
      <c r="X14" s="35" t="str">
        <f t="shared" si="15"/>
        <v>Not played</v>
      </c>
      <c r="Y14" s="35" t="str">
        <f t="shared" si="15"/>
        <v>Not played</v>
      </c>
      <c r="Z14" s="35" t="str">
        <f t="shared" si="15"/>
        <v>Not played</v>
      </c>
      <c r="AA14" s="35" t="str">
        <f t="shared" si="15"/>
        <v>Not played</v>
      </c>
      <c r="AB14" s="35" t="str">
        <f t="shared" si="15"/>
        <v>Not played</v>
      </c>
      <c r="AC14" s="47"/>
      <c r="AD14" s="47"/>
      <c r="AE14" s="47"/>
    </row>
    <row r="15">
      <c r="A15" s="41">
        <f t="shared" si="4"/>
        <v>14</v>
      </c>
      <c r="B15" s="36" t="s">
        <v>88</v>
      </c>
      <c r="C15" s="35">
        <f t="shared" ref="C15:AB15" si="16">IFERROR(VLOOKUP($B15,indirect(text(C$1,"mm/dd/yy")&amp;"!B:L"),11,false),"Not played")</f>
        <v>12</v>
      </c>
      <c r="D15" s="35">
        <f t="shared" si="16"/>
        <v>13</v>
      </c>
      <c r="E15" s="35">
        <f t="shared" si="16"/>
        <v>16</v>
      </c>
      <c r="F15" s="35">
        <f t="shared" si="16"/>
        <v>19</v>
      </c>
      <c r="G15" s="35">
        <f t="shared" si="16"/>
        <v>15</v>
      </c>
      <c r="H15" s="35">
        <f t="shared" si="16"/>
        <v>12</v>
      </c>
      <c r="I15" s="35">
        <f t="shared" si="16"/>
        <v>16</v>
      </c>
      <c r="J15" s="35">
        <f t="shared" si="16"/>
        <v>11</v>
      </c>
      <c r="K15" s="35">
        <f t="shared" si="16"/>
        <v>15</v>
      </c>
      <c r="L15" s="35">
        <f t="shared" si="16"/>
        <v>15</v>
      </c>
      <c r="M15" s="35">
        <f t="shared" si="16"/>
        <v>18</v>
      </c>
      <c r="N15" s="35">
        <f t="shared" si="16"/>
        <v>12</v>
      </c>
      <c r="O15" s="35">
        <f t="shared" si="16"/>
        <v>14</v>
      </c>
      <c r="P15" s="35">
        <f t="shared" si="16"/>
        <v>13</v>
      </c>
      <c r="Q15" s="35">
        <f t="shared" si="16"/>
        <v>9</v>
      </c>
      <c r="R15" s="35" t="str">
        <f t="shared" si="16"/>
        <v>Not played</v>
      </c>
      <c r="S15" s="35" t="str">
        <f t="shared" si="16"/>
        <v>Not played</v>
      </c>
      <c r="T15" s="35" t="str">
        <f t="shared" si="16"/>
        <v>Not played</v>
      </c>
      <c r="U15" s="35" t="str">
        <f t="shared" si="16"/>
        <v>Not played</v>
      </c>
      <c r="V15" s="35" t="str">
        <f t="shared" si="16"/>
        <v>Not played</v>
      </c>
      <c r="W15" s="35" t="str">
        <f t="shared" si="16"/>
        <v>Not played</v>
      </c>
      <c r="X15" s="35" t="str">
        <f t="shared" si="16"/>
        <v>Not played</v>
      </c>
      <c r="Y15" s="35" t="str">
        <f t="shared" si="16"/>
        <v>Not played</v>
      </c>
      <c r="Z15" s="35" t="str">
        <f t="shared" si="16"/>
        <v>Not played</v>
      </c>
      <c r="AA15" s="35" t="str">
        <f t="shared" si="16"/>
        <v>Not played</v>
      </c>
      <c r="AB15" s="35" t="str">
        <f t="shared" si="16"/>
        <v>Not played</v>
      </c>
      <c r="AC15" s="47"/>
      <c r="AD15" s="47"/>
      <c r="AE15" s="47"/>
    </row>
    <row r="16">
      <c r="A16" s="41">
        <f t="shared" si="4"/>
        <v>15</v>
      </c>
      <c r="B16" s="36" t="s">
        <v>94</v>
      </c>
      <c r="C16" s="35">
        <f t="shared" ref="C16:AB16" si="17">IFERROR(VLOOKUP($B16,indirect(text(C$1,"mm/dd/yy")&amp;"!B:L"),11,false),"Not played")</f>
        <v>9</v>
      </c>
      <c r="D16" s="35">
        <f t="shared" si="17"/>
        <v>15</v>
      </c>
      <c r="E16" s="35">
        <f t="shared" si="17"/>
        <v>13</v>
      </c>
      <c r="F16" s="35">
        <f t="shared" si="17"/>
        <v>14</v>
      </c>
      <c r="G16" s="35">
        <f t="shared" si="17"/>
        <v>16</v>
      </c>
      <c r="H16" s="35">
        <f t="shared" si="17"/>
        <v>12</v>
      </c>
      <c r="I16" s="35">
        <f t="shared" si="17"/>
        <v>9</v>
      </c>
      <c r="J16" s="35">
        <f t="shared" si="17"/>
        <v>9</v>
      </c>
      <c r="K16" s="35">
        <f t="shared" si="17"/>
        <v>9</v>
      </c>
      <c r="L16" s="35">
        <f t="shared" si="17"/>
        <v>9</v>
      </c>
      <c r="M16" s="35">
        <f t="shared" si="17"/>
        <v>9</v>
      </c>
      <c r="N16" s="35">
        <f t="shared" si="17"/>
        <v>18</v>
      </c>
      <c r="O16" s="35">
        <f t="shared" si="17"/>
        <v>18</v>
      </c>
      <c r="P16" s="35">
        <f t="shared" si="17"/>
        <v>9</v>
      </c>
      <c r="Q16" s="35">
        <f t="shared" si="17"/>
        <v>13</v>
      </c>
      <c r="R16" s="35" t="str">
        <f t="shared" si="17"/>
        <v>Not played</v>
      </c>
      <c r="S16" s="35" t="str">
        <f t="shared" si="17"/>
        <v>Not played</v>
      </c>
      <c r="T16" s="35" t="str">
        <f t="shared" si="17"/>
        <v>Not played</v>
      </c>
      <c r="U16" s="35" t="str">
        <f t="shared" si="17"/>
        <v>Not played</v>
      </c>
      <c r="V16" s="35" t="str">
        <f t="shared" si="17"/>
        <v>Not played</v>
      </c>
      <c r="W16" s="35" t="str">
        <f t="shared" si="17"/>
        <v>Not played</v>
      </c>
      <c r="X16" s="35" t="str">
        <f t="shared" si="17"/>
        <v>Not played</v>
      </c>
      <c r="Y16" s="35" t="str">
        <f t="shared" si="17"/>
        <v>Not played</v>
      </c>
      <c r="Z16" s="35" t="str">
        <f t="shared" si="17"/>
        <v>Not played</v>
      </c>
      <c r="AA16" s="35" t="str">
        <f t="shared" si="17"/>
        <v>Not played</v>
      </c>
      <c r="AB16" s="35" t="str">
        <f t="shared" si="17"/>
        <v>Not played</v>
      </c>
      <c r="AC16" s="47"/>
      <c r="AD16" s="47"/>
      <c r="AE16" s="47"/>
    </row>
    <row r="17">
      <c r="A17" s="41">
        <f t="shared" si="4"/>
        <v>16</v>
      </c>
      <c r="B17" s="36" t="s">
        <v>95</v>
      </c>
      <c r="C17" s="35">
        <f t="shared" ref="C17:AB17" si="18">IFERROR(VLOOKUP($B17,indirect(text(C$1,"mm/dd/yy")&amp;"!B:L"),11,false),"Not played")</f>
        <v>9</v>
      </c>
      <c r="D17" s="35">
        <f t="shared" si="18"/>
        <v>9</v>
      </c>
      <c r="E17" s="35">
        <f t="shared" si="18"/>
        <v>9</v>
      </c>
      <c r="F17" s="35">
        <f t="shared" si="18"/>
        <v>9</v>
      </c>
      <c r="G17" s="35">
        <f t="shared" si="18"/>
        <v>9</v>
      </c>
      <c r="H17" s="35">
        <f t="shared" si="18"/>
        <v>9</v>
      </c>
      <c r="I17" s="35">
        <f t="shared" si="18"/>
        <v>9</v>
      </c>
      <c r="J17" s="35">
        <f t="shared" si="18"/>
        <v>9</v>
      </c>
      <c r="K17" s="35">
        <f t="shared" si="18"/>
        <v>9</v>
      </c>
      <c r="L17" s="35">
        <f t="shared" si="18"/>
        <v>9</v>
      </c>
      <c r="M17" s="35">
        <f t="shared" si="18"/>
        <v>9</v>
      </c>
      <c r="N17" s="35">
        <f t="shared" si="18"/>
        <v>9</v>
      </c>
      <c r="O17" s="35">
        <f t="shared" si="18"/>
        <v>9</v>
      </c>
      <c r="P17" s="35">
        <f t="shared" si="18"/>
        <v>9</v>
      </c>
      <c r="Q17" s="35">
        <f t="shared" si="18"/>
        <v>9</v>
      </c>
      <c r="R17" s="35" t="str">
        <f t="shared" si="18"/>
        <v>Not played</v>
      </c>
      <c r="S17" s="35" t="str">
        <f t="shared" si="18"/>
        <v>Not played</v>
      </c>
      <c r="T17" s="35" t="str">
        <f t="shared" si="18"/>
        <v>Not played</v>
      </c>
      <c r="U17" s="35" t="str">
        <f t="shared" si="18"/>
        <v>Not played</v>
      </c>
      <c r="V17" s="35" t="str">
        <f t="shared" si="18"/>
        <v>Not played</v>
      </c>
      <c r="W17" s="35" t="str">
        <f t="shared" si="18"/>
        <v>Not played</v>
      </c>
      <c r="X17" s="35" t="str">
        <f t="shared" si="18"/>
        <v>Not played</v>
      </c>
      <c r="Y17" s="35" t="str">
        <f t="shared" si="18"/>
        <v>Not played</v>
      </c>
      <c r="Z17" s="35" t="str">
        <f t="shared" si="18"/>
        <v>Not played</v>
      </c>
      <c r="AA17" s="35" t="str">
        <f t="shared" si="18"/>
        <v>Not played</v>
      </c>
      <c r="AB17" s="35" t="str">
        <f t="shared" si="18"/>
        <v>Not played</v>
      </c>
      <c r="AC17" s="47"/>
      <c r="AD17" s="47"/>
      <c r="AE17" s="47"/>
    </row>
    <row r="18">
      <c r="A18" s="41">
        <f t="shared" si="4"/>
        <v>17</v>
      </c>
      <c r="B18" s="36" t="s">
        <v>96</v>
      </c>
      <c r="C18" s="35">
        <f t="shared" ref="C18:AB18" si="19">IFERROR(VLOOKUP($B18,indirect(text(C$1,"mm/dd/yy")&amp;"!B:L"),11,false),"Not played")</f>
        <v>5</v>
      </c>
      <c r="D18" s="35">
        <f t="shared" si="19"/>
        <v>6</v>
      </c>
      <c r="E18" s="35">
        <f t="shared" si="19"/>
        <v>12</v>
      </c>
      <c r="F18" s="35">
        <f t="shared" si="19"/>
        <v>14</v>
      </c>
      <c r="G18" s="35">
        <f t="shared" si="19"/>
        <v>9</v>
      </c>
      <c r="H18" s="35">
        <f t="shared" si="19"/>
        <v>8</v>
      </c>
      <c r="I18" s="35">
        <f t="shared" si="19"/>
        <v>10</v>
      </c>
      <c r="J18" s="35">
        <f t="shared" si="19"/>
        <v>7</v>
      </c>
      <c r="K18" s="35">
        <f t="shared" si="19"/>
        <v>15</v>
      </c>
      <c r="L18" s="35">
        <f t="shared" si="19"/>
        <v>11</v>
      </c>
      <c r="M18" s="35">
        <f t="shared" si="19"/>
        <v>6</v>
      </c>
      <c r="N18" s="35">
        <f t="shared" si="19"/>
        <v>8</v>
      </c>
      <c r="O18" s="35">
        <f t="shared" si="19"/>
        <v>9</v>
      </c>
      <c r="P18" s="35">
        <f t="shared" si="19"/>
        <v>12</v>
      </c>
      <c r="Q18" s="35">
        <f t="shared" si="19"/>
        <v>9</v>
      </c>
      <c r="R18" s="35" t="str">
        <f t="shared" si="19"/>
        <v>Not played</v>
      </c>
      <c r="S18" s="35" t="str">
        <f t="shared" si="19"/>
        <v>Not played</v>
      </c>
      <c r="T18" s="35" t="str">
        <f t="shared" si="19"/>
        <v>Not played</v>
      </c>
      <c r="U18" s="35" t="str">
        <f t="shared" si="19"/>
        <v>Not played</v>
      </c>
      <c r="V18" s="35" t="str">
        <f t="shared" si="19"/>
        <v>Not played</v>
      </c>
      <c r="W18" s="35" t="str">
        <f t="shared" si="19"/>
        <v>Not played</v>
      </c>
      <c r="X18" s="35" t="str">
        <f t="shared" si="19"/>
        <v>Not played</v>
      </c>
      <c r="Y18" s="35" t="str">
        <f t="shared" si="19"/>
        <v>Not played</v>
      </c>
      <c r="Z18" s="35" t="str">
        <f t="shared" si="19"/>
        <v>Not played</v>
      </c>
      <c r="AA18" s="35" t="str">
        <f t="shared" si="19"/>
        <v>Not played</v>
      </c>
      <c r="AB18" s="35" t="str">
        <f t="shared" si="19"/>
        <v>Not played</v>
      </c>
      <c r="AC18" s="47"/>
      <c r="AD18" s="47"/>
      <c r="AE18" s="47"/>
    </row>
    <row r="19">
      <c r="A19" s="41">
        <f t="shared" si="4"/>
        <v>18</v>
      </c>
      <c r="B19" s="36" t="s">
        <v>98</v>
      </c>
      <c r="C19" s="35">
        <f t="shared" ref="C19:AB19" si="20">IFERROR(VLOOKUP($B19,indirect(text(C$1,"mm/dd/yy")&amp;"!B:L"),11,false),"Not played")</f>
        <v>16</v>
      </c>
      <c r="D19" s="35">
        <f t="shared" si="20"/>
        <v>8</v>
      </c>
      <c r="E19" s="35">
        <f t="shared" si="20"/>
        <v>11</v>
      </c>
      <c r="F19" s="35">
        <f t="shared" si="20"/>
        <v>15</v>
      </c>
      <c r="G19" s="35">
        <f t="shared" si="20"/>
        <v>14</v>
      </c>
      <c r="H19" s="35">
        <f t="shared" si="20"/>
        <v>19</v>
      </c>
      <c r="I19" s="35">
        <f t="shared" si="20"/>
        <v>9</v>
      </c>
      <c r="J19" s="35">
        <f t="shared" si="20"/>
        <v>13</v>
      </c>
      <c r="K19" s="35">
        <f t="shared" si="20"/>
        <v>9</v>
      </c>
      <c r="L19" s="35">
        <f t="shared" si="20"/>
        <v>15</v>
      </c>
      <c r="M19" s="35">
        <f t="shared" si="20"/>
        <v>14</v>
      </c>
      <c r="N19" s="35">
        <f t="shared" si="20"/>
        <v>9</v>
      </c>
      <c r="O19" s="35">
        <f t="shared" si="20"/>
        <v>15</v>
      </c>
      <c r="P19" s="35">
        <f t="shared" si="20"/>
        <v>18</v>
      </c>
      <c r="Q19" s="35">
        <f t="shared" si="20"/>
        <v>13</v>
      </c>
      <c r="R19" s="35" t="str">
        <f t="shared" si="20"/>
        <v>Not played</v>
      </c>
      <c r="S19" s="35" t="str">
        <f t="shared" si="20"/>
        <v>Not played</v>
      </c>
      <c r="T19" s="35" t="str">
        <f t="shared" si="20"/>
        <v>Not played</v>
      </c>
      <c r="U19" s="35" t="str">
        <f t="shared" si="20"/>
        <v>Not played</v>
      </c>
      <c r="V19" s="35" t="str">
        <f t="shared" si="20"/>
        <v>Not played</v>
      </c>
      <c r="W19" s="35" t="str">
        <f t="shared" si="20"/>
        <v>Not played</v>
      </c>
      <c r="X19" s="35" t="str">
        <f t="shared" si="20"/>
        <v>Not played</v>
      </c>
      <c r="Y19" s="35" t="str">
        <f t="shared" si="20"/>
        <v>Not played</v>
      </c>
      <c r="Z19" s="35" t="str">
        <f t="shared" si="20"/>
        <v>Not played</v>
      </c>
      <c r="AA19" s="35" t="str">
        <f t="shared" si="20"/>
        <v>Not played</v>
      </c>
      <c r="AB19" s="35" t="str">
        <f t="shared" si="20"/>
        <v>Not played</v>
      </c>
      <c r="AC19" s="47"/>
      <c r="AD19" s="47"/>
      <c r="AE19" s="47"/>
    </row>
    <row r="20">
      <c r="A20" s="41">
        <f t="shared" si="4"/>
        <v>19</v>
      </c>
      <c r="B20" s="36" t="s">
        <v>100</v>
      </c>
      <c r="C20" s="35">
        <f t="shared" ref="C20:AB20" si="21">IFERROR(VLOOKUP($B20,indirect(text(C$1,"mm/dd/yy")&amp;"!B:L"),11,false),"Not played")</f>
        <v>9</v>
      </c>
      <c r="D20" s="35">
        <f t="shared" si="21"/>
        <v>11</v>
      </c>
      <c r="E20" s="35">
        <f t="shared" si="21"/>
        <v>15</v>
      </c>
      <c r="F20" s="35">
        <f t="shared" si="21"/>
        <v>12</v>
      </c>
      <c r="G20" s="35">
        <f t="shared" si="21"/>
        <v>14</v>
      </c>
      <c r="H20" s="35">
        <f t="shared" si="21"/>
        <v>12</v>
      </c>
      <c r="I20" s="35">
        <f t="shared" si="21"/>
        <v>16</v>
      </c>
      <c r="J20" s="35">
        <f t="shared" si="21"/>
        <v>10</v>
      </c>
      <c r="K20" s="35">
        <f t="shared" si="21"/>
        <v>10</v>
      </c>
      <c r="L20" s="35">
        <f t="shared" si="21"/>
        <v>13</v>
      </c>
      <c r="M20" s="35">
        <f t="shared" si="21"/>
        <v>11</v>
      </c>
      <c r="N20" s="35">
        <f t="shared" si="21"/>
        <v>9</v>
      </c>
      <c r="O20" s="35">
        <f t="shared" si="21"/>
        <v>14</v>
      </c>
      <c r="P20" s="35">
        <f t="shared" si="21"/>
        <v>12</v>
      </c>
      <c r="Q20" s="35">
        <f t="shared" si="21"/>
        <v>14</v>
      </c>
      <c r="R20" s="35" t="str">
        <f t="shared" si="21"/>
        <v>Not played</v>
      </c>
      <c r="S20" s="35" t="str">
        <f t="shared" si="21"/>
        <v>Not played</v>
      </c>
      <c r="T20" s="35" t="str">
        <f t="shared" si="21"/>
        <v>Not played</v>
      </c>
      <c r="U20" s="35" t="str">
        <f t="shared" si="21"/>
        <v>Not played</v>
      </c>
      <c r="V20" s="35" t="str">
        <f t="shared" si="21"/>
        <v>Not played</v>
      </c>
      <c r="W20" s="35" t="str">
        <f t="shared" si="21"/>
        <v>Not played</v>
      </c>
      <c r="X20" s="35" t="str">
        <f t="shared" si="21"/>
        <v>Not played</v>
      </c>
      <c r="Y20" s="35" t="str">
        <f t="shared" si="21"/>
        <v>Not played</v>
      </c>
      <c r="Z20" s="35" t="str">
        <f t="shared" si="21"/>
        <v>Not played</v>
      </c>
      <c r="AA20" s="35" t="str">
        <f t="shared" si="21"/>
        <v>Not played</v>
      </c>
      <c r="AB20" s="35" t="str">
        <f t="shared" si="21"/>
        <v>Not played</v>
      </c>
      <c r="AC20" s="47"/>
      <c r="AD20" s="47"/>
      <c r="AE20" s="47"/>
    </row>
    <row r="21">
      <c r="A21" s="41">
        <f t="shared" si="4"/>
        <v>20</v>
      </c>
      <c r="B21" s="36" t="s">
        <v>106</v>
      </c>
      <c r="C21" s="35">
        <f t="shared" ref="C21:AB21" si="22">IFERROR(VLOOKUP($B21,indirect(text(C$1,"mm/dd/yy")&amp;"!B:L"),11,false),"Not played")</f>
        <v>11</v>
      </c>
      <c r="D21" s="35">
        <f t="shared" si="22"/>
        <v>9</v>
      </c>
      <c r="E21" s="35">
        <f t="shared" si="22"/>
        <v>9</v>
      </c>
      <c r="F21" s="35">
        <f t="shared" si="22"/>
        <v>9</v>
      </c>
      <c r="G21" s="35">
        <f t="shared" si="22"/>
        <v>9</v>
      </c>
      <c r="H21" s="35">
        <f t="shared" si="22"/>
        <v>16</v>
      </c>
      <c r="I21" s="35">
        <f t="shared" si="22"/>
        <v>9</v>
      </c>
      <c r="J21" s="35">
        <f t="shared" si="22"/>
        <v>9</v>
      </c>
      <c r="K21" s="35">
        <f t="shared" si="22"/>
        <v>9</v>
      </c>
      <c r="L21" s="35">
        <f t="shared" si="22"/>
        <v>17</v>
      </c>
      <c r="M21" s="35">
        <f t="shared" si="22"/>
        <v>13</v>
      </c>
      <c r="N21" s="35">
        <f t="shared" si="22"/>
        <v>14</v>
      </c>
      <c r="O21" s="35">
        <f t="shared" si="22"/>
        <v>11</v>
      </c>
      <c r="P21" s="35">
        <f t="shared" si="22"/>
        <v>9</v>
      </c>
      <c r="Q21" s="35">
        <f t="shared" si="22"/>
        <v>9</v>
      </c>
      <c r="R21" s="35" t="str">
        <f t="shared" si="22"/>
        <v>Not played</v>
      </c>
      <c r="S21" s="35" t="str">
        <f t="shared" si="22"/>
        <v>Not played</v>
      </c>
      <c r="T21" s="35" t="str">
        <f t="shared" si="22"/>
        <v>Not played</v>
      </c>
      <c r="U21" s="35" t="str">
        <f t="shared" si="22"/>
        <v>Not played</v>
      </c>
      <c r="V21" s="35" t="str">
        <f t="shared" si="22"/>
        <v>Not played</v>
      </c>
      <c r="W21" s="35" t="str">
        <f t="shared" si="22"/>
        <v>Not played</v>
      </c>
      <c r="X21" s="35" t="str">
        <f t="shared" si="22"/>
        <v>Not played</v>
      </c>
      <c r="Y21" s="35" t="str">
        <f t="shared" si="22"/>
        <v>Not played</v>
      </c>
      <c r="Z21" s="35" t="str">
        <f t="shared" si="22"/>
        <v>Not played</v>
      </c>
      <c r="AA21" s="35" t="str">
        <f t="shared" si="22"/>
        <v>Not played</v>
      </c>
      <c r="AB21" s="35" t="str">
        <f t="shared" si="22"/>
        <v>Not played</v>
      </c>
      <c r="AC21" s="47"/>
      <c r="AD21" s="47"/>
      <c r="AE21" s="47"/>
    </row>
    <row r="22">
      <c r="A22" s="41">
        <f t="shared" si="4"/>
        <v>21</v>
      </c>
      <c r="B22" s="36" t="s">
        <v>108</v>
      </c>
      <c r="C22" s="35">
        <f t="shared" ref="C22:AB22" si="23">IFERROR(VLOOKUP($B22,indirect(text(C$1,"mm/dd/yy")&amp;"!B:L"),11,false),"Not played")</f>
        <v>12</v>
      </c>
      <c r="D22" s="35">
        <f t="shared" si="23"/>
        <v>13</v>
      </c>
      <c r="E22" s="35">
        <f t="shared" si="23"/>
        <v>15</v>
      </c>
      <c r="F22" s="35">
        <f t="shared" si="23"/>
        <v>13</v>
      </c>
      <c r="G22" s="35">
        <f t="shared" si="23"/>
        <v>13</v>
      </c>
      <c r="H22" s="35">
        <f t="shared" si="23"/>
        <v>13</v>
      </c>
      <c r="I22" s="35">
        <f t="shared" si="23"/>
        <v>11</v>
      </c>
      <c r="J22" s="35">
        <f t="shared" si="23"/>
        <v>13</v>
      </c>
      <c r="K22" s="35">
        <f t="shared" si="23"/>
        <v>17</v>
      </c>
      <c r="L22" s="35">
        <f t="shared" si="23"/>
        <v>13</v>
      </c>
      <c r="M22" s="35">
        <f t="shared" si="23"/>
        <v>14</v>
      </c>
      <c r="N22" s="35">
        <f t="shared" si="23"/>
        <v>9</v>
      </c>
      <c r="O22" s="35">
        <f t="shared" si="23"/>
        <v>16</v>
      </c>
      <c r="P22" s="35">
        <f t="shared" si="23"/>
        <v>9</v>
      </c>
      <c r="Q22" s="35">
        <f t="shared" si="23"/>
        <v>9</v>
      </c>
      <c r="R22" s="35" t="str">
        <f t="shared" si="23"/>
        <v>Not played</v>
      </c>
      <c r="S22" s="35" t="str">
        <f t="shared" si="23"/>
        <v>Not played</v>
      </c>
      <c r="T22" s="35" t="str">
        <f t="shared" si="23"/>
        <v>Not played</v>
      </c>
      <c r="U22" s="35" t="str">
        <f t="shared" si="23"/>
        <v>Not played</v>
      </c>
      <c r="V22" s="35" t="str">
        <f t="shared" si="23"/>
        <v>Not played</v>
      </c>
      <c r="W22" s="35" t="str">
        <f t="shared" si="23"/>
        <v>Not played</v>
      </c>
      <c r="X22" s="35" t="str">
        <f t="shared" si="23"/>
        <v>Not played</v>
      </c>
      <c r="Y22" s="35" t="str">
        <f t="shared" si="23"/>
        <v>Not played</v>
      </c>
      <c r="Z22" s="35" t="str">
        <f t="shared" si="23"/>
        <v>Not played</v>
      </c>
      <c r="AA22" s="35" t="str">
        <f t="shared" si="23"/>
        <v>Not played</v>
      </c>
      <c r="AB22" s="35" t="str">
        <f t="shared" si="23"/>
        <v>Not played</v>
      </c>
      <c r="AC22" s="47"/>
      <c r="AD22" s="47"/>
      <c r="AE22" s="47"/>
    </row>
    <row r="23">
      <c r="A23" s="41">
        <f t="shared" si="4"/>
        <v>22</v>
      </c>
      <c r="B23" s="36" t="s">
        <v>109</v>
      </c>
      <c r="C23" s="35">
        <f t="shared" ref="C23:AB23" si="24">IFERROR(VLOOKUP($B23,indirect(text(C$1,"mm/dd/yy")&amp;"!B:L"),11,false),"Not played")</f>
        <v>9</v>
      </c>
      <c r="D23" s="35">
        <f t="shared" si="24"/>
        <v>13</v>
      </c>
      <c r="E23" s="35">
        <f t="shared" si="24"/>
        <v>13</v>
      </c>
      <c r="F23" s="35">
        <f t="shared" si="24"/>
        <v>10</v>
      </c>
      <c r="G23" s="35">
        <f t="shared" si="24"/>
        <v>13</v>
      </c>
      <c r="H23" s="35">
        <f t="shared" si="24"/>
        <v>9</v>
      </c>
      <c r="I23" s="35">
        <f t="shared" si="24"/>
        <v>9</v>
      </c>
      <c r="J23" s="35">
        <f t="shared" si="24"/>
        <v>13</v>
      </c>
      <c r="K23" s="35">
        <f t="shared" si="24"/>
        <v>13</v>
      </c>
      <c r="L23" s="35">
        <f t="shared" si="24"/>
        <v>9</v>
      </c>
      <c r="M23" s="35">
        <f t="shared" si="24"/>
        <v>12</v>
      </c>
      <c r="N23" s="35">
        <f t="shared" si="24"/>
        <v>12</v>
      </c>
      <c r="O23" s="35">
        <f t="shared" si="24"/>
        <v>13</v>
      </c>
      <c r="P23" s="35">
        <f t="shared" si="24"/>
        <v>13</v>
      </c>
      <c r="Q23" s="35">
        <f t="shared" si="24"/>
        <v>13</v>
      </c>
      <c r="R23" s="35" t="str">
        <f t="shared" si="24"/>
        <v>Not played</v>
      </c>
      <c r="S23" s="35" t="str">
        <f t="shared" si="24"/>
        <v>Not played</v>
      </c>
      <c r="T23" s="35" t="str">
        <f t="shared" si="24"/>
        <v>Not played</v>
      </c>
      <c r="U23" s="35" t="str">
        <f t="shared" si="24"/>
        <v>Not played</v>
      </c>
      <c r="V23" s="35" t="str">
        <f t="shared" si="24"/>
        <v>Not played</v>
      </c>
      <c r="W23" s="35" t="str">
        <f t="shared" si="24"/>
        <v>Not played</v>
      </c>
      <c r="X23" s="35" t="str">
        <f t="shared" si="24"/>
        <v>Not played</v>
      </c>
      <c r="Y23" s="35" t="str">
        <f t="shared" si="24"/>
        <v>Not played</v>
      </c>
      <c r="Z23" s="35" t="str">
        <f t="shared" si="24"/>
        <v>Not played</v>
      </c>
      <c r="AA23" s="35" t="str">
        <f t="shared" si="24"/>
        <v>Not played</v>
      </c>
      <c r="AB23" s="35" t="str">
        <f t="shared" si="24"/>
        <v>Not played</v>
      </c>
      <c r="AC23" s="47"/>
      <c r="AD23" s="47"/>
      <c r="AE23" s="47"/>
    </row>
    <row r="24">
      <c r="A24" s="41">
        <f t="shared" si="4"/>
        <v>23</v>
      </c>
      <c r="B24" s="36" t="s">
        <v>91</v>
      </c>
      <c r="C24" s="35">
        <f t="shared" ref="C24:AB24" si="25">IFERROR(VLOOKUP($B24,indirect(text(C$1,"mm/dd/yy")&amp;"!B:L"),11,false),"Not played")</f>
        <v>9</v>
      </c>
      <c r="D24" s="35">
        <f t="shared" si="25"/>
        <v>15</v>
      </c>
      <c r="E24" s="35">
        <f t="shared" si="25"/>
        <v>16</v>
      </c>
      <c r="F24" s="35">
        <f t="shared" si="25"/>
        <v>13</v>
      </c>
      <c r="G24" s="35">
        <f t="shared" si="25"/>
        <v>13</v>
      </c>
      <c r="H24" s="35">
        <f t="shared" si="25"/>
        <v>19</v>
      </c>
      <c r="I24" s="35">
        <f t="shared" si="25"/>
        <v>13</v>
      </c>
      <c r="J24" s="35">
        <f t="shared" si="25"/>
        <v>13</v>
      </c>
      <c r="K24" s="35">
        <f t="shared" si="25"/>
        <v>13</v>
      </c>
      <c r="L24" s="35">
        <f t="shared" si="25"/>
        <v>16</v>
      </c>
      <c r="M24" s="35">
        <f t="shared" si="25"/>
        <v>15</v>
      </c>
      <c r="N24" s="35">
        <f t="shared" si="25"/>
        <v>9</v>
      </c>
      <c r="O24" s="35">
        <f t="shared" si="25"/>
        <v>13</v>
      </c>
      <c r="P24" s="35">
        <f t="shared" si="25"/>
        <v>15</v>
      </c>
      <c r="Q24" s="35">
        <f t="shared" si="25"/>
        <v>18</v>
      </c>
      <c r="R24" s="35" t="str">
        <f t="shared" si="25"/>
        <v>Not played</v>
      </c>
      <c r="S24" s="35" t="str">
        <f t="shared" si="25"/>
        <v>Not played</v>
      </c>
      <c r="T24" s="35" t="str">
        <f t="shared" si="25"/>
        <v>Not played</v>
      </c>
      <c r="U24" s="35" t="str">
        <f t="shared" si="25"/>
        <v>Not played</v>
      </c>
      <c r="V24" s="35" t="str">
        <f t="shared" si="25"/>
        <v>Not played</v>
      </c>
      <c r="W24" s="35" t="str">
        <f t="shared" si="25"/>
        <v>Not played</v>
      </c>
      <c r="X24" s="35" t="str">
        <f t="shared" si="25"/>
        <v>Not played</v>
      </c>
      <c r="Y24" s="35" t="str">
        <f t="shared" si="25"/>
        <v>Not played</v>
      </c>
      <c r="Z24" s="35" t="str">
        <f t="shared" si="25"/>
        <v>Not played</v>
      </c>
      <c r="AA24" s="35" t="str">
        <f t="shared" si="25"/>
        <v>Not played</v>
      </c>
      <c r="AB24" s="35" t="str">
        <f t="shared" si="25"/>
        <v>Not played</v>
      </c>
      <c r="AC24" s="47"/>
      <c r="AD24" s="47"/>
      <c r="AE24" s="47"/>
    </row>
    <row r="25">
      <c r="A25" s="41">
        <f t="shared" si="4"/>
        <v>24</v>
      </c>
      <c r="B25" s="36" t="s">
        <v>111</v>
      </c>
      <c r="C25" s="35">
        <f t="shared" ref="C25:AB25" si="26">IFERROR(VLOOKUP($B25,indirect(text(C$1,"mm/dd/yy")&amp;"!B:L"),11,false),"Not played")</f>
        <v>16</v>
      </c>
      <c r="D25" s="35">
        <f t="shared" si="26"/>
        <v>16</v>
      </c>
      <c r="E25" s="35">
        <f t="shared" si="26"/>
        <v>9</v>
      </c>
      <c r="F25" s="35">
        <f t="shared" si="26"/>
        <v>14</v>
      </c>
      <c r="G25" s="35">
        <f t="shared" si="26"/>
        <v>9</v>
      </c>
      <c r="H25" s="35">
        <f t="shared" si="26"/>
        <v>13</v>
      </c>
      <c r="I25" s="35">
        <f t="shared" si="26"/>
        <v>9</v>
      </c>
      <c r="J25" s="35">
        <f t="shared" si="26"/>
        <v>9</v>
      </c>
      <c r="K25" s="35">
        <f t="shared" si="26"/>
        <v>9</v>
      </c>
      <c r="L25" s="35">
        <f t="shared" si="26"/>
        <v>9</v>
      </c>
      <c r="M25" s="35">
        <f t="shared" si="26"/>
        <v>9</v>
      </c>
      <c r="N25" s="35">
        <f t="shared" si="26"/>
        <v>9</v>
      </c>
      <c r="O25" s="35">
        <f t="shared" si="26"/>
        <v>11</v>
      </c>
      <c r="P25" s="35">
        <f t="shared" si="26"/>
        <v>9</v>
      </c>
      <c r="Q25" s="35">
        <f t="shared" si="26"/>
        <v>9</v>
      </c>
      <c r="R25" s="35" t="str">
        <f t="shared" si="26"/>
        <v>Not played</v>
      </c>
      <c r="S25" s="35" t="str">
        <f t="shared" si="26"/>
        <v>Not played</v>
      </c>
      <c r="T25" s="35" t="str">
        <f t="shared" si="26"/>
        <v>Not played</v>
      </c>
      <c r="U25" s="35" t="str">
        <f t="shared" si="26"/>
        <v>Not played</v>
      </c>
      <c r="V25" s="35" t="str">
        <f t="shared" si="26"/>
        <v>Not played</v>
      </c>
      <c r="W25" s="35" t="str">
        <f t="shared" si="26"/>
        <v>Not played</v>
      </c>
      <c r="X25" s="35" t="str">
        <f t="shared" si="26"/>
        <v>Not played</v>
      </c>
      <c r="Y25" s="35" t="str">
        <f t="shared" si="26"/>
        <v>Not played</v>
      </c>
      <c r="Z25" s="35" t="str">
        <f t="shared" si="26"/>
        <v>Not played</v>
      </c>
      <c r="AA25" s="35" t="str">
        <f t="shared" si="26"/>
        <v>Not played</v>
      </c>
      <c r="AB25" s="35" t="str">
        <f t="shared" si="26"/>
        <v>Not played</v>
      </c>
      <c r="AC25" s="47"/>
      <c r="AD25" s="47"/>
      <c r="AE25" s="47"/>
    </row>
    <row r="26">
      <c r="A26" s="41">
        <f t="shared" si="4"/>
        <v>25</v>
      </c>
      <c r="B26" s="36" t="s">
        <v>114</v>
      </c>
      <c r="C26" s="35">
        <f t="shared" ref="C26:AB26" si="27">IFERROR(VLOOKUP($B26,indirect(text(C$1,"mm/dd/yy")&amp;"!B:L"),11,false),"Not played")</f>
        <v>14</v>
      </c>
      <c r="D26" s="35">
        <f t="shared" si="27"/>
        <v>13</v>
      </c>
      <c r="E26" s="35">
        <f t="shared" si="27"/>
        <v>13</v>
      </c>
      <c r="F26" s="35">
        <f t="shared" si="27"/>
        <v>9</v>
      </c>
      <c r="G26" s="35">
        <f t="shared" si="27"/>
        <v>9</v>
      </c>
      <c r="H26" s="35">
        <f t="shared" si="27"/>
        <v>9</v>
      </c>
      <c r="I26" s="35">
        <f t="shared" si="27"/>
        <v>13</v>
      </c>
      <c r="J26" s="35">
        <f t="shared" si="27"/>
        <v>9</v>
      </c>
      <c r="K26" s="35">
        <f t="shared" si="27"/>
        <v>12</v>
      </c>
      <c r="L26" s="35">
        <f t="shared" si="27"/>
        <v>13</v>
      </c>
      <c r="M26" s="35">
        <f t="shared" si="27"/>
        <v>13</v>
      </c>
      <c r="N26" s="35">
        <f t="shared" si="27"/>
        <v>8</v>
      </c>
      <c r="O26" s="35">
        <f t="shared" si="27"/>
        <v>19</v>
      </c>
      <c r="P26" s="35">
        <f t="shared" si="27"/>
        <v>9</v>
      </c>
      <c r="Q26" s="35">
        <f t="shared" si="27"/>
        <v>9</v>
      </c>
      <c r="R26" s="35" t="str">
        <f t="shared" si="27"/>
        <v>Not played</v>
      </c>
      <c r="S26" s="35" t="str">
        <f t="shared" si="27"/>
        <v>Not played</v>
      </c>
      <c r="T26" s="35" t="str">
        <f t="shared" si="27"/>
        <v>Not played</v>
      </c>
      <c r="U26" s="35" t="str">
        <f t="shared" si="27"/>
        <v>Not played</v>
      </c>
      <c r="V26" s="35" t="str">
        <f t="shared" si="27"/>
        <v>Not played</v>
      </c>
      <c r="W26" s="35" t="str">
        <f t="shared" si="27"/>
        <v>Not played</v>
      </c>
      <c r="X26" s="35" t="str">
        <f t="shared" si="27"/>
        <v>Not played</v>
      </c>
      <c r="Y26" s="35" t="str">
        <f t="shared" si="27"/>
        <v>Not played</v>
      </c>
      <c r="Z26" s="35" t="str">
        <f t="shared" si="27"/>
        <v>Not played</v>
      </c>
      <c r="AA26" s="35" t="str">
        <f t="shared" si="27"/>
        <v>Not played</v>
      </c>
      <c r="AB26" s="35" t="str">
        <f t="shared" si="27"/>
        <v>Not played</v>
      </c>
      <c r="AC26" s="47"/>
      <c r="AD26" s="47"/>
      <c r="AE26" s="47"/>
    </row>
    <row r="27">
      <c r="A27" s="41">
        <f t="shared" si="4"/>
        <v>26</v>
      </c>
      <c r="B27" s="36" t="s">
        <v>101</v>
      </c>
      <c r="C27" s="35">
        <f t="shared" ref="C27:AB27" si="28">IFERROR(VLOOKUP($B27,indirect(text(C$1,"mm/dd/yy")&amp;"!B:L"),11,false),"Not played")</f>
        <v>17</v>
      </c>
      <c r="D27" s="35">
        <f t="shared" si="28"/>
        <v>6</v>
      </c>
      <c r="E27" s="35">
        <f t="shared" si="28"/>
        <v>8</v>
      </c>
      <c r="F27" s="35">
        <f t="shared" si="28"/>
        <v>13</v>
      </c>
      <c r="G27" s="35">
        <f t="shared" si="28"/>
        <v>18</v>
      </c>
      <c r="H27" s="35">
        <f t="shared" si="28"/>
        <v>11</v>
      </c>
      <c r="I27" s="35">
        <f t="shared" si="28"/>
        <v>9</v>
      </c>
      <c r="J27" s="35">
        <f t="shared" si="28"/>
        <v>13</v>
      </c>
      <c r="K27" s="35">
        <f t="shared" si="28"/>
        <v>15</v>
      </c>
      <c r="L27" s="35">
        <f t="shared" si="28"/>
        <v>15</v>
      </c>
      <c r="M27" s="35">
        <f t="shared" si="28"/>
        <v>15</v>
      </c>
      <c r="N27" s="35">
        <f t="shared" si="28"/>
        <v>16</v>
      </c>
      <c r="O27" s="35">
        <f t="shared" si="28"/>
        <v>8</v>
      </c>
      <c r="P27" s="35">
        <f t="shared" si="28"/>
        <v>17</v>
      </c>
      <c r="Q27" s="35">
        <f t="shared" si="28"/>
        <v>9</v>
      </c>
      <c r="R27" s="35" t="str">
        <f t="shared" si="28"/>
        <v>Not played</v>
      </c>
      <c r="S27" s="35" t="str">
        <f t="shared" si="28"/>
        <v>Not played</v>
      </c>
      <c r="T27" s="35" t="str">
        <f t="shared" si="28"/>
        <v>Not played</v>
      </c>
      <c r="U27" s="35" t="str">
        <f t="shared" si="28"/>
        <v>Not played</v>
      </c>
      <c r="V27" s="35" t="str">
        <f t="shared" si="28"/>
        <v>Not played</v>
      </c>
      <c r="W27" s="35" t="str">
        <f t="shared" si="28"/>
        <v>Not played</v>
      </c>
      <c r="X27" s="35" t="str">
        <f t="shared" si="28"/>
        <v>Not played</v>
      </c>
      <c r="Y27" s="35" t="str">
        <f t="shared" si="28"/>
        <v>Not played</v>
      </c>
      <c r="Z27" s="35" t="str">
        <f t="shared" si="28"/>
        <v>Not played</v>
      </c>
      <c r="AA27" s="35" t="str">
        <f t="shared" si="28"/>
        <v>Not played</v>
      </c>
      <c r="AB27" s="35" t="str">
        <f t="shared" si="28"/>
        <v>Not played</v>
      </c>
      <c r="AC27" s="47"/>
      <c r="AD27" s="47"/>
      <c r="AE27" s="47"/>
    </row>
    <row r="28">
      <c r="A28" s="41">
        <f t="shared" si="4"/>
        <v>27</v>
      </c>
      <c r="B28" s="36" t="s">
        <v>115</v>
      </c>
      <c r="C28" s="35">
        <f t="shared" ref="C28:AB28" si="29">IFERROR(VLOOKUP($B28,indirect(text(C$1,"mm/dd/yy")&amp;"!B:L"),11,false),"Not played")</f>
        <v>18</v>
      </c>
      <c r="D28" s="35">
        <f t="shared" si="29"/>
        <v>13</v>
      </c>
      <c r="E28" s="35">
        <f t="shared" si="29"/>
        <v>14</v>
      </c>
      <c r="F28" s="35">
        <f t="shared" si="29"/>
        <v>18</v>
      </c>
      <c r="G28" s="35">
        <f t="shared" si="29"/>
        <v>9</v>
      </c>
      <c r="H28" s="35">
        <f t="shared" si="29"/>
        <v>9</v>
      </c>
      <c r="I28" s="35">
        <f t="shared" si="29"/>
        <v>10</v>
      </c>
      <c r="J28" s="35">
        <f t="shared" si="29"/>
        <v>13</v>
      </c>
      <c r="K28" s="35">
        <f t="shared" si="29"/>
        <v>17</v>
      </c>
      <c r="L28" s="35">
        <f t="shared" si="29"/>
        <v>11</v>
      </c>
      <c r="M28" s="35">
        <f t="shared" si="29"/>
        <v>10</v>
      </c>
      <c r="N28" s="35">
        <f t="shared" si="29"/>
        <v>9</v>
      </c>
      <c r="O28" s="35">
        <f t="shared" si="29"/>
        <v>9</v>
      </c>
      <c r="P28" s="35">
        <f t="shared" si="29"/>
        <v>9</v>
      </c>
      <c r="Q28" s="35">
        <f t="shared" si="29"/>
        <v>9</v>
      </c>
      <c r="R28" s="35" t="str">
        <f t="shared" si="29"/>
        <v>Not played</v>
      </c>
      <c r="S28" s="35" t="str">
        <f t="shared" si="29"/>
        <v>Not played</v>
      </c>
      <c r="T28" s="35" t="str">
        <f t="shared" si="29"/>
        <v>Not played</v>
      </c>
      <c r="U28" s="35" t="str">
        <f t="shared" si="29"/>
        <v>Not played</v>
      </c>
      <c r="V28" s="35" t="str">
        <f t="shared" si="29"/>
        <v>Not played</v>
      </c>
      <c r="W28" s="35" t="str">
        <f t="shared" si="29"/>
        <v>Not played</v>
      </c>
      <c r="X28" s="35" t="str">
        <f t="shared" si="29"/>
        <v>Not played</v>
      </c>
      <c r="Y28" s="35" t="str">
        <f t="shared" si="29"/>
        <v>Not played</v>
      </c>
      <c r="Z28" s="35" t="str">
        <f t="shared" si="29"/>
        <v>Not played</v>
      </c>
      <c r="AA28" s="35" t="str">
        <f t="shared" si="29"/>
        <v>Not played</v>
      </c>
      <c r="AB28" s="35" t="str">
        <f t="shared" si="29"/>
        <v>Not played</v>
      </c>
      <c r="AC28" s="47"/>
      <c r="AD28" s="47"/>
      <c r="AE28" s="47"/>
    </row>
    <row r="29">
      <c r="A29" s="41">
        <f t="shared" si="4"/>
        <v>28</v>
      </c>
      <c r="B29" s="36" t="s">
        <v>116</v>
      </c>
      <c r="C29" s="35">
        <f t="shared" ref="C29:AB29" si="30">IFERROR(VLOOKUP($B29,indirect(text(C$1,"mm/dd/yy")&amp;"!B:L"),11,false),"Not played")</f>
        <v>9</v>
      </c>
      <c r="D29" s="35">
        <f t="shared" si="30"/>
        <v>13</v>
      </c>
      <c r="E29" s="35">
        <f t="shared" si="30"/>
        <v>7</v>
      </c>
      <c r="F29" s="35">
        <f t="shared" si="30"/>
        <v>9</v>
      </c>
      <c r="G29" s="35">
        <f t="shared" si="30"/>
        <v>9</v>
      </c>
      <c r="H29" s="35">
        <f t="shared" si="30"/>
        <v>9</v>
      </c>
      <c r="I29" s="35">
        <f t="shared" si="30"/>
        <v>9</v>
      </c>
      <c r="J29" s="35">
        <f t="shared" si="30"/>
        <v>9</v>
      </c>
      <c r="K29" s="35">
        <f t="shared" si="30"/>
        <v>9</v>
      </c>
      <c r="L29" s="35">
        <f t="shared" si="30"/>
        <v>9</v>
      </c>
      <c r="M29" s="35">
        <f t="shared" si="30"/>
        <v>9</v>
      </c>
      <c r="N29" s="35">
        <f t="shared" si="30"/>
        <v>9</v>
      </c>
      <c r="O29" s="35">
        <f t="shared" si="30"/>
        <v>9</v>
      </c>
      <c r="P29" s="35">
        <f t="shared" si="30"/>
        <v>9</v>
      </c>
      <c r="Q29" s="35">
        <f t="shared" si="30"/>
        <v>9</v>
      </c>
      <c r="R29" s="35" t="str">
        <f t="shared" si="30"/>
        <v>Not played</v>
      </c>
      <c r="S29" s="35" t="str">
        <f t="shared" si="30"/>
        <v>Not played</v>
      </c>
      <c r="T29" s="35" t="str">
        <f t="shared" si="30"/>
        <v>Not played</v>
      </c>
      <c r="U29" s="35" t="str">
        <f t="shared" si="30"/>
        <v>Not played</v>
      </c>
      <c r="V29" s="35" t="str">
        <f t="shared" si="30"/>
        <v>Not played</v>
      </c>
      <c r="W29" s="35" t="str">
        <f t="shared" si="30"/>
        <v>Not played</v>
      </c>
      <c r="X29" s="35" t="str">
        <f t="shared" si="30"/>
        <v>Not played</v>
      </c>
      <c r="Y29" s="35" t="str">
        <f t="shared" si="30"/>
        <v>Not played</v>
      </c>
      <c r="Z29" s="35" t="str">
        <f t="shared" si="30"/>
        <v>Not played</v>
      </c>
      <c r="AA29" s="35" t="str">
        <f t="shared" si="30"/>
        <v>Not played</v>
      </c>
      <c r="AB29" s="35" t="str">
        <f t="shared" si="30"/>
        <v>Not played</v>
      </c>
      <c r="AC29" s="47"/>
      <c r="AD29" s="47"/>
      <c r="AE29" s="47"/>
    </row>
    <row r="30">
      <c r="A30" s="41">
        <f t="shared" si="4"/>
        <v>29</v>
      </c>
      <c r="B30" s="36" t="s">
        <v>117</v>
      </c>
      <c r="C30" s="35">
        <f t="shared" ref="C30:AB30" si="31">IFERROR(VLOOKUP($B30,indirect(text(C$1,"mm/dd/yy")&amp;"!B:L"),11,false),"Not played")</f>
        <v>9</v>
      </c>
      <c r="D30" s="35">
        <f t="shared" si="31"/>
        <v>11</v>
      </c>
      <c r="E30" s="35">
        <f t="shared" si="31"/>
        <v>9</v>
      </c>
      <c r="F30" s="35">
        <f t="shared" si="31"/>
        <v>17</v>
      </c>
      <c r="G30" s="35">
        <f t="shared" si="31"/>
        <v>12</v>
      </c>
      <c r="H30" s="35">
        <f t="shared" si="31"/>
        <v>9</v>
      </c>
      <c r="I30" s="35">
        <f t="shared" si="31"/>
        <v>9</v>
      </c>
      <c r="J30" s="35">
        <f t="shared" si="31"/>
        <v>9</v>
      </c>
      <c r="K30" s="35">
        <f t="shared" si="31"/>
        <v>9</v>
      </c>
      <c r="L30" s="35">
        <f t="shared" si="31"/>
        <v>19</v>
      </c>
      <c r="M30" s="35">
        <f t="shared" si="31"/>
        <v>9</v>
      </c>
      <c r="N30" s="35">
        <f t="shared" si="31"/>
        <v>9</v>
      </c>
      <c r="O30" s="35">
        <f t="shared" si="31"/>
        <v>9</v>
      </c>
      <c r="P30" s="35">
        <f t="shared" si="31"/>
        <v>9</v>
      </c>
      <c r="Q30" s="35">
        <f t="shared" si="31"/>
        <v>12</v>
      </c>
      <c r="R30" s="35" t="str">
        <f t="shared" si="31"/>
        <v>Not played</v>
      </c>
      <c r="S30" s="35" t="str">
        <f t="shared" si="31"/>
        <v>Not played</v>
      </c>
      <c r="T30" s="35" t="str">
        <f t="shared" si="31"/>
        <v>Not played</v>
      </c>
      <c r="U30" s="35" t="str">
        <f t="shared" si="31"/>
        <v>Not played</v>
      </c>
      <c r="V30" s="35" t="str">
        <f t="shared" si="31"/>
        <v>Not played</v>
      </c>
      <c r="W30" s="35" t="str">
        <f t="shared" si="31"/>
        <v>Not played</v>
      </c>
      <c r="X30" s="35" t="str">
        <f t="shared" si="31"/>
        <v>Not played</v>
      </c>
      <c r="Y30" s="35" t="str">
        <f t="shared" si="31"/>
        <v>Not played</v>
      </c>
      <c r="Z30" s="35" t="str">
        <f t="shared" si="31"/>
        <v>Not played</v>
      </c>
      <c r="AA30" s="35" t="str">
        <f t="shared" si="31"/>
        <v>Not played</v>
      </c>
      <c r="AB30" s="35" t="str">
        <f t="shared" si="31"/>
        <v>Not played</v>
      </c>
      <c r="AC30" s="47"/>
      <c r="AD30" s="47"/>
      <c r="AE30" s="47"/>
    </row>
    <row r="31">
      <c r="A31" s="41">
        <f t="shared" si="4"/>
        <v>30</v>
      </c>
      <c r="B31" s="36" t="s">
        <v>102</v>
      </c>
      <c r="C31" s="35">
        <f t="shared" ref="C31:AB31" si="32">IFERROR(VLOOKUP($B31,indirect(text(C$1,"mm/dd/yy")&amp;"!B:L"),11,false),"Not played")</f>
        <v>13</v>
      </c>
      <c r="D31" s="35">
        <f t="shared" si="32"/>
        <v>14</v>
      </c>
      <c r="E31" s="35">
        <f t="shared" si="32"/>
        <v>9</v>
      </c>
      <c r="F31" s="35">
        <f t="shared" si="32"/>
        <v>9</v>
      </c>
      <c r="G31" s="35">
        <f t="shared" si="32"/>
        <v>9</v>
      </c>
      <c r="H31" s="35">
        <f t="shared" si="32"/>
        <v>9</v>
      </c>
      <c r="I31" s="35">
        <f t="shared" si="32"/>
        <v>16</v>
      </c>
      <c r="J31" s="35">
        <f t="shared" si="32"/>
        <v>13</v>
      </c>
      <c r="K31" s="35">
        <f t="shared" si="32"/>
        <v>13</v>
      </c>
      <c r="L31" s="35">
        <f t="shared" si="32"/>
        <v>15</v>
      </c>
      <c r="M31" s="35">
        <f t="shared" si="32"/>
        <v>18</v>
      </c>
      <c r="N31" s="35">
        <f t="shared" si="32"/>
        <v>13</v>
      </c>
      <c r="O31" s="35">
        <f t="shared" si="32"/>
        <v>13</v>
      </c>
      <c r="P31" s="35">
        <f t="shared" si="32"/>
        <v>15</v>
      </c>
      <c r="Q31" s="35">
        <f t="shared" si="32"/>
        <v>9</v>
      </c>
      <c r="R31" s="35" t="str">
        <f t="shared" si="32"/>
        <v>Not played</v>
      </c>
      <c r="S31" s="35" t="str">
        <f t="shared" si="32"/>
        <v>Not played</v>
      </c>
      <c r="T31" s="35" t="str">
        <f t="shared" si="32"/>
        <v>Not played</v>
      </c>
      <c r="U31" s="35" t="str">
        <f t="shared" si="32"/>
        <v>Not played</v>
      </c>
      <c r="V31" s="35" t="str">
        <f t="shared" si="32"/>
        <v>Not played</v>
      </c>
      <c r="W31" s="35" t="str">
        <f t="shared" si="32"/>
        <v>Not played</v>
      </c>
      <c r="X31" s="35" t="str">
        <f t="shared" si="32"/>
        <v>Not played</v>
      </c>
      <c r="Y31" s="35" t="str">
        <f t="shared" si="32"/>
        <v>Not played</v>
      </c>
      <c r="Z31" s="35" t="str">
        <f t="shared" si="32"/>
        <v>Not played</v>
      </c>
      <c r="AA31" s="35" t="str">
        <f t="shared" si="32"/>
        <v>Not played</v>
      </c>
      <c r="AB31" s="35" t="str">
        <f t="shared" si="32"/>
        <v>Not played</v>
      </c>
      <c r="AC31" s="47"/>
      <c r="AD31" s="47"/>
      <c r="AE31" s="47"/>
    </row>
    <row r="32">
      <c r="A32" s="41">
        <f t="shared" si="4"/>
        <v>31</v>
      </c>
      <c r="B32" s="36" t="s">
        <v>119</v>
      </c>
      <c r="C32" s="35">
        <f t="shared" ref="C32:AB32" si="33">IFERROR(VLOOKUP($B32,indirect(text(C$1,"mm/dd/yy")&amp;"!B:L"),11,false),"Not played")</f>
        <v>9</v>
      </c>
      <c r="D32" s="35">
        <f t="shared" si="33"/>
        <v>9</v>
      </c>
      <c r="E32" s="35">
        <f t="shared" si="33"/>
        <v>9</v>
      </c>
      <c r="F32" s="35">
        <f t="shared" si="33"/>
        <v>9</v>
      </c>
      <c r="G32" s="35">
        <f t="shared" si="33"/>
        <v>12</v>
      </c>
      <c r="H32" s="35">
        <f t="shared" si="33"/>
        <v>9</v>
      </c>
      <c r="I32" s="35">
        <f t="shared" si="33"/>
        <v>9</v>
      </c>
      <c r="J32" s="35">
        <f t="shared" si="33"/>
        <v>9</v>
      </c>
      <c r="K32" s="35">
        <f t="shared" si="33"/>
        <v>9</v>
      </c>
      <c r="L32" s="35">
        <f t="shared" si="33"/>
        <v>9</v>
      </c>
      <c r="M32" s="35">
        <f t="shared" si="33"/>
        <v>9</v>
      </c>
      <c r="N32" s="35">
        <f t="shared" si="33"/>
        <v>9</v>
      </c>
      <c r="O32" s="35">
        <f t="shared" si="33"/>
        <v>9</v>
      </c>
      <c r="P32" s="35">
        <f t="shared" si="33"/>
        <v>9</v>
      </c>
      <c r="Q32" s="35">
        <f t="shared" si="33"/>
        <v>13</v>
      </c>
      <c r="R32" s="35" t="str">
        <f t="shared" si="33"/>
        <v>Not played</v>
      </c>
      <c r="S32" s="35" t="str">
        <f t="shared" si="33"/>
        <v>Not played</v>
      </c>
      <c r="T32" s="35" t="str">
        <f t="shared" si="33"/>
        <v>Not played</v>
      </c>
      <c r="U32" s="35" t="str">
        <f t="shared" si="33"/>
        <v>Not played</v>
      </c>
      <c r="V32" s="35" t="str">
        <f t="shared" si="33"/>
        <v>Not played</v>
      </c>
      <c r="W32" s="35" t="str">
        <f t="shared" si="33"/>
        <v>Not played</v>
      </c>
      <c r="X32" s="35" t="str">
        <f t="shared" si="33"/>
        <v>Not played</v>
      </c>
      <c r="Y32" s="35" t="str">
        <f t="shared" si="33"/>
        <v>Not played</v>
      </c>
      <c r="Z32" s="35" t="str">
        <f t="shared" si="33"/>
        <v>Not played</v>
      </c>
      <c r="AA32" s="35" t="str">
        <f t="shared" si="33"/>
        <v>Not played</v>
      </c>
      <c r="AB32" s="35" t="str">
        <f t="shared" si="33"/>
        <v>Not played</v>
      </c>
      <c r="AC32" s="47"/>
      <c r="AD32" s="47"/>
      <c r="AE32" s="47"/>
    </row>
    <row r="33">
      <c r="A33" s="41">
        <f t="shared" si="4"/>
        <v>32</v>
      </c>
      <c r="B33" s="36" t="s">
        <v>120</v>
      </c>
      <c r="C33" s="35">
        <f t="shared" ref="C33:AB33" si="34">IFERROR(VLOOKUP($B33,indirect(text(C$1,"mm/dd/yy")&amp;"!B:L"),11,false),"Not played")</f>
        <v>9</v>
      </c>
      <c r="D33" s="35">
        <f t="shared" si="34"/>
        <v>9</v>
      </c>
      <c r="E33" s="35">
        <f t="shared" si="34"/>
        <v>9</v>
      </c>
      <c r="F33" s="35">
        <f t="shared" si="34"/>
        <v>9</v>
      </c>
      <c r="G33" s="35">
        <f t="shared" si="34"/>
        <v>9</v>
      </c>
      <c r="H33" s="35">
        <f t="shared" si="34"/>
        <v>9</v>
      </c>
      <c r="I33" s="35">
        <f t="shared" si="34"/>
        <v>9</v>
      </c>
      <c r="J33" s="35">
        <f t="shared" si="34"/>
        <v>9</v>
      </c>
      <c r="K33" s="35">
        <f t="shared" si="34"/>
        <v>17</v>
      </c>
      <c r="L33" s="35">
        <f t="shared" si="34"/>
        <v>16</v>
      </c>
      <c r="M33" s="35">
        <f t="shared" si="34"/>
        <v>13</v>
      </c>
      <c r="N33" s="35">
        <f t="shared" si="34"/>
        <v>15</v>
      </c>
      <c r="O33" s="35">
        <f t="shared" si="34"/>
        <v>19</v>
      </c>
      <c r="P33" s="35">
        <f t="shared" si="34"/>
        <v>14</v>
      </c>
      <c r="Q33" s="35">
        <f t="shared" si="34"/>
        <v>16</v>
      </c>
      <c r="R33" s="35" t="str">
        <f t="shared" si="34"/>
        <v>Not played</v>
      </c>
      <c r="S33" s="35" t="str">
        <f t="shared" si="34"/>
        <v>Not played</v>
      </c>
      <c r="T33" s="35" t="str">
        <f t="shared" si="34"/>
        <v>Not played</v>
      </c>
      <c r="U33" s="35" t="str">
        <f t="shared" si="34"/>
        <v>Not played</v>
      </c>
      <c r="V33" s="35" t="str">
        <f t="shared" si="34"/>
        <v>Not played</v>
      </c>
      <c r="W33" s="35" t="str">
        <f t="shared" si="34"/>
        <v>Not played</v>
      </c>
      <c r="X33" s="35" t="str">
        <f t="shared" si="34"/>
        <v>Not played</v>
      </c>
      <c r="Y33" s="35" t="str">
        <f t="shared" si="34"/>
        <v>Not played</v>
      </c>
      <c r="Z33" s="35" t="str">
        <f t="shared" si="34"/>
        <v>Not played</v>
      </c>
      <c r="AA33" s="35" t="str">
        <f t="shared" si="34"/>
        <v>Not played</v>
      </c>
      <c r="AB33" s="35" t="str">
        <f t="shared" si="34"/>
        <v>Not played</v>
      </c>
      <c r="AC33" s="47"/>
      <c r="AD33" s="47"/>
      <c r="AE33" s="47"/>
    </row>
    <row r="34">
      <c r="A34" s="41">
        <f t="shared" si="4"/>
        <v>33</v>
      </c>
      <c r="B34" s="36" t="s">
        <v>121</v>
      </c>
      <c r="C34" s="35">
        <f t="shared" ref="C34:AB34" si="35">IFERROR(VLOOKUP($B34,indirect(text(C$1,"mm/dd/yy")&amp;"!B:L"),11,false),"Not played")</f>
        <v>9</v>
      </c>
      <c r="D34" s="35">
        <f t="shared" si="35"/>
        <v>18</v>
      </c>
      <c r="E34" s="35">
        <f t="shared" si="35"/>
        <v>9</v>
      </c>
      <c r="F34" s="35">
        <f t="shared" si="35"/>
        <v>14</v>
      </c>
      <c r="G34" s="35">
        <f t="shared" si="35"/>
        <v>9</v>
      </c>
      <c r="H34" s="35">
        <f t="shared" si="35"/>
        <v>18</v>
      </c>
      <c r="I34" s="35">
        <f t="shared" si="35"/>
        <v>9</v>
      </c>
      <c r="J34" s="35">
        <f t="shared" si="35"/>
        <v>15</v>
      </c>
      <c r="K34" s="35">
        <f t="shared" si="35"/>
        <v>20</v>
      </c>
      <c r="L34" s="35">
        <f t="shared" si="35"/>
        <v>9</v>
      </c>
      <c r="M34" s="35">
        <f t="shared" si="35"/>
        <v>14</v>
      </c>
      <c r="N34" s="35">
        <f t="shared" si="35"/>
        <v>9</v>
      </c>
      <c r="O34" s="35">
        <f t="shared" si="35"/>
        <v>9</v>
      </c>
      <c r="P34" s="35">
        <f t="shared" si="35"/>
        <v>16</v>
      </c>
      <c r="Q34" s="35">
        <f t="shared" si="35"/>
        <v>9</v>
      </c>
      <c r="R34" s="35" t="str">
        <f t="shared" si="35"/>
        <v>Not played</v>
      </c>
      <c r="S34" s="35" t="str">
        <f t="shared" si="35"/>
        <v>Not played</v>
      </c>
      <c r="T34" s="35" t="str">
        <f t="shared" si="35"/>
        <v>Not played</v>
      </c>
      <c r="U34" s="35" t="str">
        <f t="shared" si="35"/>
        <v>Not played</v>
      </c>
      <c r="V34" s="35" t="str">
        <f t="shared" si="35"/>
        <v>Not played</v>
      </c>
      <c r="W34" s="35" t="str">
        <f t="shared" si="35"/>
        <v>Not played</v>
      </c>
      <c r="X34" s="35" t="str">
        <f t="shared" si="35"/>
        <v>Not played</v>
      </c>
      <c r="Y34" s="35" t="str">
        <f t="shared" si="35"/>
        <v>Not played</v>
      </c>
      <c r="Z34" s="35" t="str">
        <f t="shared" si="35"/>
        <v>Not played</v>
      </c>
      <c r="AA34" s="35" t="str">
        <f t="shared" si="35"/>
        <v>Not played</v>
      </c>
      <c r="AB34" s="35" t="str">
        <f t="shared" si="35"/>
        <v>Not played</v>
      </c>
      <c r="AC34" s="47"/>
      <c r="AD34" s="47"/>
      <c r="AE34" s="47"/>
    </row>
    <row r="35">
      <c r="A35" s="41">
        <f t="shared" si="4"/>
        <v>34</v>
      </c>
      <c r="B35" s="36" t="s">
        <v>113</v>
      </c>
      <c r="C35" s="35">
        <f t="shared" ref="C35:AB35" si="36">IFERROR(VLOOKUP($B35,indirect(text(C$1,"mm/dd/yy")&amp;"!B:L"),11,false),"Not played")</f>
        <v>9</v>
      </c>
      <c r="D35" s="35">
        <f t="shared" si="36"/>
        <v>9</v>
      </c>
      <c r="E35" s="35">
        <f t="shared" si="36"/>
        <v>13</v>
      </c>
      <c r="F35" s="35">
        <f t="shared" si="36"/>
        <v>19</v>
      </c>
      <c r="G35" s="35">
        <f t="shared" si="36"/>
        <v>15</v>
      </c>
      <c r="H35" s="35">
        <f t="shared" si="36"/>
        <v>14</v>
      </c>
      <c r="I35" s="35">
        <f t="shared" si="36"/>
        <v>13</v>
      </c>
      <c r="J35" s="35">
        <f t="shared" si="36"/>
        <v>11</v>
      </c>
      <c r="K35" s="35">
        <f t="shared" si="36"/>
        <v>18</v>
      </c>
      <c r="L35" s="35">
        <f t="shared" si="36"/>
        <v>9</v>
      </c>
      <c r="M35" s="35">
        <f t="shared" si="36"/>
        <v>16</v>
      </c>
      <c r="N35" s="35">
        <f t="shared" si="36"/>
        <v>14</v>
      </c>
      <c r="O35" s="35">
        <f t="shared" si="36"/>
        <v>15</v>
      </c>
      <c r="P35" s="35">
        <f t="shared" si="36"/>
        <v>19</v>
      </c>
      <c r="Q35" s="35">
        <f t="shared" si="36"/>
        <v>10</v>
      </c>
      <c r="R35" s="35" t="str">
        <f t="shared" si="36"/>
        <v>Not played</v>
      </c>
      <c r="S35" s="35" t="str">
        <f t="shared" si="36"/>
        <v>Not played</v>
      </c>
      <c r="T35" s="35" t="str">
        <f t="shared" si="36"/>
        <v>Not played</v>
      </c>
      <c r="U35" s="35" t="str">
        <f t="shared" si="36"/>
        <v>Not played</v>
      </c>
      <c r="V35" s="35" t="str">
        <f t="shared" si="36"/>
        <v>Not played</v>
      </c>
      <c r="W35" s="35" t="str">
        <f t="shared" si="36"/>
        <v>Not played</v>
      </c>
      <c r="X35" s="35" t="str">
        <f t="shared" si="36"/>
        <v>Not played</v>
      </c>
      <c r="Y35" s="35" t="str">
        <f t="shared" si="36"/>
        <v>Not played</v>
      </c>
      <c r="Z35" s="35" t="str">
        <f t="shared" si="36"/>
        <v>Not played</v>
      </c>
      <c r="AA35" s="35" t="str">
        <f t="shared" si="36"/>
        <v>Not played</v>
      </c>
      <c r="AB35" s="35" t="str">
        <f t="shared" si="36"/>
        <v>Not played</v>
      </c>
      <c r="AC35" s="47"/>
      <c r="AD35" s="47"/>
      <c r="AE35" s="47"/>
    </row>
    <row r="36">
      <c r="A36" s="41">
        <f t="shared" si="4"/>
        <v>35</v>
      </c>
      <c r="B36" s="36" t="s">
        <v>125</v>
      </c>
      <c r="C36" s="35">
        <f t="shared" ref="C36:AB36" si="37">IFERROR(VLOOKUP($B36,indirect(text(C$1,"mm/dd/yy")&amp;"!B:L"),11,false),"Not played")</f>
        <v>15</v>
      </c>
      <c r="D36" s="35">
        <f t="shared" si="37"/>
        <v>13</v>
      </c>
      <c r="E36" s="35">
        <f t="shared" si="37"/>
        <v>8</v>
      </c>
      <c r="F36" s="35">
        <f t="shared" si="37"/>
        <v>9</v>
      </c>
      <c r="G36" s="35">
        <f t="shared" si="37"/>
        <v>9</v>
      </c>
      <c r="H36" s="35">
        <f t="shared" si="37"/>
        <v>9</v>
      </c>
      <c r="I36" s="35">
        <f t="shared" si="37"/>
        <v>9</v>
      </c>
      <c r="J36" s="35">
        <f t="shared" si="37"/>
        <v>13</v>
      </c>
      <c r="K36" s="35">
        <f t="shared" si="37"/>
        <v>13</v>
      </c>
      <c r="L36" s="35">
        <f t="shared" si="37"/>
        <v>9</v>
      </c>
      <c r="M36" s="35">
        <f t="shared" si="37"/>
        <v>9</v>
      </c>
      <c r="N36" s="35">
        <f t="shared" si="37"/>
        <v>13</v>
      </c>
      <c r="O36" s="35">
        <f t="shared" si="37"/>
        <v>15</v>
      </c>
      <c r="P36" s="35">
        <f t="shared" si="37"/>
        <v>14</v>
      </c>
      <c r="Q36" s="35">
        <f t="shared" si="37"/>
        <v>14</v>
      </c>
      <c r="R36" s="35" t="str">
        <f t="shared" si="37"/>
        <v>Not played</v>
      </c>
      <c r="S36" s="35" t="str">
        <f t="shared" si="37"/>
        <v>Not played</v>
      </c>
      <c r="T36" s="35" t="str">
        <f t="shared" si="37"/>
        <v>Not played</v>
      </c>
      <c r="U36" s="35" t="str">
        <f t="shared" si="37"/>
        <v>Not played</v>
      </c>
      <c r="V36" s="35" t="str">
        <f t="shared" si="37"/>
        <v>Not played</v>
      </c>
      <c r="W36" s="35" t="str">
        <f t="shared" si="37"/>
        <v>Not played</v>
      </c>
      <c r="X36" s="35" t="str">
        <f t="shared" si="37"/>
        <v>Not played</v>
      </c>
      <c r="Y36" s="35" t="str">
        <f t="shared" si="37"/>
        <v>Not played</v>
      </c>
      <c r="Z36" s="35" t="str">
        <f t="shared" si="37"/>
        <v>Not played</v>
      </c>
      <c r="AA36" s="35" t="str">
        <f t="shared" si="37"/>
        <v>Not played</v>
      </c>
      <c r="AB36" s="35" t="str">
        <f t="shared" si="37"/>
        <v>Not played</v>
      </c>
      <c r="AC36" s="47"/>
      <c r="AD36" s="47"/>
      <c r="AE36" s="47"/>
    </row>
    <row r="37">
      <c r="A37" s="41">
        <f t="shared" si="4"/>
        <v>36</v>
      </c>
      <c r="B37" s="36" t="s">
        <v>126</v>
      </c>
      <c r="C37" s="35">
        <f t="shared" ref="C37:AB37" si="38">IFERROR(VLOOKUP($B37,indirect(text(C$1,"mm/dd/yy")&amp;"!B:L"),11,false),"Not played")</f>
        <v>11</v>
      </c>
      <c r="D37" s="35">
        <f t="shared" si="38"/>
        <v>17</v>
      </c>
      <c r="E37" s="35">
        <f t="shared" si="38"/>
        <v>14</v>
      </c>
      <c r="F37" s="35">
        <f t="shared" si="38"/>
        <v>13</v>
      </c>
      <c r="G37" s="35">
        <f t="shared" si="38"/>
        <v>9</v>
      </c>
      <c r="H37" s="35">
        <f t="shared" si="38"/>
        <v>9</v>
      </c>
      <c r="I37" s="35">
        <f t="shared" si="38"/>
        <v>9</v>
      </c>
      <c r="J37" s="35">
        <f t="shared" si="38"/>
        <v>18</v>
      </c>
      <c r="K37" s="35">
        <f t="shared" si="38"/>
        <v>18</v>
      </c>
      <c r="L37" s="35">
        <f t="shared" si="38"/>
        <v>18</v>
      </c>
      <c r="M37" s="35">
        <f t="shared" si="38"/>
        <v>9</v>
      </c>
      <c r="N37" s="35">
        <f t="shared" si="38"/>
        <v>9</v>
      </c>
      <c r="O37" s="35">
        <f t="shared" si="38"/>
        <v>9</v>
      </c>
      <c r="P37" s="35">
        <f t="shared" si="38"/>
        <v>9</v>
      </c>
      <c r="Q37" s="35">
        <f t="shared" si="38"/>
        <v>9</v>
      </c>
      <c r="R37" s="35" t="str">
        <f t="shared" si="38"/>
        <v>Not played</v>
      </c>
      <c r="S37" s="35" t="str">
        <f t="shared" si="38"/>
        <v>Not played</v>
      </c>
      <c r="T37" s="35" t="str">
        <f t="shared" si="38"/>
        <v>Not played</v>
      </c>
      <c r="U37" s="35" t="str">
        <f t="shared" si="38"/>
        <v>Not played</v>
      </c>
      <c r="V37" s="35" t="str">
        <f t="shared" si="38"/>
        <v>Not played</v>
      </c>
      <c r="W37" s="35" t="str">
        <f t="shared" si="38"/>
        <v>Not played</v>
      </c>
      <c r="X37" s="35" t="str">
        <f t="shared" si="38"/>
        <v>Not played</v>
      </c>
      <c r="Y37" s="35" t="str">
        <f t="shared" si="38"/>
        <v>Not played</v>
      </c>
      <c r="Z37" s="35" t="str">
        <f t="shared" si="38"/>
        <v>Not played</v>
      </c>
      <c r="AA37" s="35" t="str">
        <f t="shared" si="38"/>
        <v>Not played</v>
      </c>
      <c r="AB37" s="35" t="str">
        <f t="shared" si="38"/>
        <v>Not played</v>
      </c>
      <c r="AC37" s="47"/>
      <c r="AD37" s="47"/>
      <c r="AE37" s="47"/>
    </row>
    <row r="38">
      <c r="A38" s="41">
        <f t="shared" si="4"/>
        <v>37</v>
      </c>
      <c r="B38" s="36" t="s">
        <v>127</v>
      </c>
      <c r="C38" s="35">
        <f t="shared" ref="C38:AB38" si="39">IFERROR(VLOOKUP($B38,indirect(text(C$1,"mm/dd/yy")&amp;"!B:L"),11,false),"Not played")</f>
        <v>10</v>
      </c>
      <c r="D38" s="35">
        <f t="shared" si="39"/>
        <v>13</v>
      </c>
      <c r="E38" s="35">
        <f t="shared" si="39"/>
        <v>11</v>
      </c>
      <c r="F38" s="35">
        <f t="shared" si="39"/>
        <v>13</v>
      </c>
      <c r="G38" s="35">
        <f t="shared" si="39"/>
        <v>19</v>
      </c>
      <c r="H38" s="35">
        <f t="shared" si="39"/>
        <v>14</v>
      </c>
      <c r="I38" s="35">
        <f t="shared" si="39"/>
        <v>9</v>
      </c>
      <c r="J38" s="35">
        <f t="shared" si="39"/>
        <v>9</v>
      </c>
      <c r="K38" s="35">
        <f t="shared" si="39"/>
        <v>9</v>
      </c>
      <c r="L38" s="35">
        <f t="shared" si="39"/>
        <v>9</v>
      </c>
      <c r="M38" s="35">
        <f t="shared" si="39"/>
        <v>18</v>
      </c>
      <c r="N38" s="35">
        <f t="shared" si="39"/>
        <v>13</v>
      </c>
      <c r="O38" s="35">
        <f t="shared" si="39"/>
        <v>14</v>
      </c>
      <c r="P38" s="35">
        <f t="shared" si="39"/>
        <v>7</v>
      </c>
      <c r="Q38" s="35">
        <f t="shared" si="39"/>
        <v>13</v>
      </c>
      <c r="R38" s="35" t="str">
        <f t="shared" si="39"/>
        <v>Not played</v>
      </c>
      <c r="S38" s="35" t="str">
        <f t="shared" si="39"/>
        <v>Not played</v>
      </c>
      <c r="T38" s="35" t="str">
        <f t="shared" si="39"/>
        <v>Not played</v>
      </c>
      <c r="U38" s="35" t="str">
        <f t="shared" si="39"/>
        <v>Not played</v>
      </c>
      <c r="V38" s="35" t="str">
        <f t="shared" si="39"/>
        <v>Not played</v>
      </c>
      <c r="W38" s="35" t="str">
        <f t="shared" si="39"/>
        <v>Not played</v>
      </c>
      <c r="X38" s="35" t="str">
        <f t="shared" si="39"/>
        <v>Not played</v>
      </c>
      <c r="Y38" s="35" t="str">
        <f t="shared" si="39"/>
        <v>Not played</v>
      </c>
      <c r="Z38" s="35" t="str">
        <f t="shared" si="39"/>
        <v>Not played</v>
      </c>
      <c r="AA38" s="35" t="str">
        <f t="shared" si="39"/>
        <v>Not played</v>
      </c>
      <c r="AB38" s="35" t="str">
        <f t="shared" si="39"/>
        <v>Not played</v>
      </c>
      <c r="AC38" s="47"/>
      <c r="AD38" s="47"/>
      <c r="AE38" s="47"/>
    </row>
    <row r="39">
      <c r="A39" s="41">
        <f t="shared" si="4"/>
        <v>38</v>
      </c>
      <c r="B39" s="36" t="s">
        <v>128</v>
      </c>
      <c r="C39" s="35">
        <f t="shared" ref="C39:AB39" si="40">IFERROR(VLOOKUP($B39,indirect(text(C$1,"mm/dd/yy")&amp;"!B:L"),11,false),"Not played")</f>
        <v>9</v>
      </c>
      <c r="D39" s="35">
        <f t="shared" si="40"/>
        <v>9</v>
      </c>
      <c r="E39" s="35">
        <f t="shared" si="40"/>
        <v>9</v>
      </c>
      <c r="F39" s="35">
        <f t="shared" si="40"/>
        <v>9</v>
      </c>
      <c r="G39" s="35">
        <f t="shared" si="40"/>
        <v>18</v>
      </c>
      <c r="H39" s="35">
        <f t="shared" si="40"/>
        <v>13</v>
      </c>
      <c r="I39" s="35">
        <f t="shared" si="40"/>
        <v>14</v>
      </c>
      <c r="J39" s="35">
        <f t="shared" si="40"/>
        <v>10</v>
      </c>
      <c r="K39" s="35">
        <f t="shared" si="40"/>
        <v>15</v>
      </c>
      <c r="L39" s="35">
        <f t="shared" si="40"/>
        <v>9</v>
      </c>
      <c r="M39" s="35">
        <f t="shared" si="40"/>
        <v>9</v>
      </c>
      <c r="N39" s="35">
        <f t="shared" si="40"/>
        <v>9</v>
      </c>
      <c r="O39" s="35">
        <f t="shared" si="40"/>
        <v>13</v>
      </c>
      <c r="P39" s="35">
        <f t="shared" si="40"/>
        <v>18</v>
      </c>
      <c r="Q39" s="35">
        <f t="shared" si="40"/>
        <v>19</v>
      </c>
      <c r="R39" s="35" t="str">
        <f t="shared" si="40"/>
        <v>Not played</v>
      </c>
      <c r="S39" s="35" t="str">
        <f t="shared" si="40"/>
        <v>Not played</v>
      </c>
      <c r="T39" s="35" t="str">
        <f t="shared" si="40"/>
        <v>Not played</v>
      </c>
      <c r="U39" s="35" t="str">
        <f t="shared" si="40"/>
        <v>Not played</v>
      </c>
      <c r="V39" s="35" t="str">
        <f t="shared" si="40"/>
        <v>Not played</v>
      </c>
      <c r="W39" s="35" t="str">
        <f t="shared" si="40"/>
        <v>Not played</v>
      </c>
      <c r="X39" s="35" t="str">
        <f t="shared" si="40"/>
        <v>Not played</v>
      </c>
      <c r="Y39" s="35" t="str">
        <f t="shared" si="40"/>
        <v>Not played</v>
      </c>
      <c r="Z39" s="35" t="str">
        <f t="shared" si="40"/>
        <v>Not played</v>
      </c>
      <c r="AA39" s="35" t="str">
        <f t="shared" si="40"/>
        <v>Not played</v>
      </c>
      <c r="AB39" s="35" t="str">
        <f t="shared" si="40"/>
        <v>Not played</v>
      </c>
      <c r="AC39" s="47"/>
      <c r="AD39" s="47"/>
      <c r="AE39" s="47"/>
    </row>
    <row r="40">
      <c r="A40" s="41">
        <f t="shared" si="4"/>
        <v>39</v>
      </c>
      <c r="B40" s="36" t="s">
        <v>129</v>
      </c>
      <c r="C40" s="35">
        <f t="shared" ref="C40:AB40" si="41">IFERROR(VLOOKUP($B40,indirect(text(C$1,"mm/dd/yy")&amp;"!B:L"),11,false),"Not played")</f>
        <v>9</v>
      </c>
      <c r="D40" s="35">
        <f t="shared" si="41"/>
        <v>13</v>
      </c>
      <c r="E40" s="35">
        <f t="shared" si="41"/>
        <v>7</v>
      </c>
      <c r="F40" s="35">
        <f t="shared" si="41"/>
        <v>11</v>
      </c>
      <c r="G40" s="35">
        <f t="shared" si="41"/>
        <v>9</v>
      </c>
      <c r="H40" s="35">
        <f t="shared" si="41"/>
        <v>9</v>
      </c>
      <c r="I40" s="35">
        <f t="shared" si="41"/>
        <v>9</v>
      </c>
      <c r="J40" s="35">
        <f t="shared" si="41"/>
        <v>9</v>
      </c>
      <c r="K40" s="35">
        <f t="shared" si="41"/>
        <v>9</v>
      </c>
      <c r="L40" s="35">
        <f t="shared" si="41"/>
        <v>9</v>
      </c>
      <c r="M40" s="35">
        <f t="shared" si="41"/>
        <v>9</v>
      </c>
      <c r="N40" s="35">
        <f t="shared" si="41"/>
        <v>9</v>
      </c>
      <c r="O40" s="35">
        <f t="shared" si="41"/>
        <v>16</v>
      </c>
      <c r="P40" s="35">
        <f t="shared" si="41"/>
        <v>13</v>
      </c>
      <c r="Q40" s="35">
        <f t="shared" si="41"/>
        <v>17</v>
      </c>
      <c r="R40" s="35" t="str">
        <f t="shared" si="41"/>
        <v>Not played</v>
      </c>
      <c r="S40" s="35" t="str">
        <f t="shared" si="41"/>
        <v>Not played</v>
      </c>
      <c r="T40" s="35" t="str">
        <f t="shared" si="41"/>
        <v>Not played</v>
      </c>
      <c r="U40" s="35" t="str">
        <f t="shared" si="41"/>
        <v>Not played</v>
      </c>
      <c r="V40" s="35" t="str">
        <f t="shared" si="41"/>
        <v>Not played</v>
      </c>
      <c r="W40" s="35" t="str">
        <f t="shared" si="41"/>
        <v>Not played</v>
      </c>
      <c r="X40" s="35" t="str">
        <f t="shared" si="41"/>
        <v>Not played</v>
      </c>
      <c r="Y40" s="35" t="str">
        <f t="shared" si="41"/>
        <v>Not played</v>
      </c>
      <c r="Z40" s="35" t="str">
        <f t="shared" si="41"/>
        <v>Not played</v>
      </c>
      <c r="AA40" s="35" t="str">
        <f t="shared" si="41"/>
        <v>Not played</v>
      </c>
      <c r="AB40" s="35" t="str">
        <f t="shared" si="41"/>
        <v>Not played</v>
      </c>
      <c r="AC40" s="47"/>
      <c r="AD40" s="47"/>
      <c r="AE40" s="47"/>
    </row>
    <row r="41">
      <c r="A41" s="41">
        <f t="shared" si="4"/>
        <v>40</v>
      </c>
      <c r="B41" s="36" t="s">
        <v>130</v>
      </c>
      <c r="C41" s="35">
        <f t="shared" ref="C41:AB41" si="42">IFERROR(VLOOKUP($B41,indirect(text(C$1,"mm/dd/yy")&amp;"!B:L"),11,false),"Not played")</f>
        <v>9</v>
      </c>
      <c r="D41" s="35">
        <f t="shared" si="42"/>
        <v>15</v>
      </c>
      <c r="E41" s="35">
        <f t="shared" si="42"/>
        <v>13</v>
      </c>
      <c r="F41" s="35">
        <f t="shared" si="42"/>
        <v>13</v>
      </c>
      <c r="G41" s="35">
        <f t="shared" si="42"/>
        <v>9</v>
      </c>
      <c r="H41" s="35">
        <f t="shared" si="42"/>
        <v>9</v>
      </c>
      <c r="I41" s="35">
        <f t="shared" si="42"/>
        <v>14</v>
      </c>
      <c r="J41" s="35">
        <f t="shared" si="42"/>
        <v>9</v>
      </c>
      <c r="K41" s="35">
        <f t="shared" si="42"/>
        <v>18</v>
      </c>
      <c r="L41" s="35">
        <f t="shared" si="42"/>
        <v>14</v>
      </c>
      <c r="M41" s="35">
        <f t="shared" si="42"/>
        <v>10</v>
      </c>
      <c r="N41" s="35">
        <f t="shared" si="42"/>
        <v>14</v>
      </c>
      <c r="O41" s="35">
        <f t="shared" si="42"/>
        <v>13</v>
      </c>
      <c r="P41" s="35">
        <f t="shared" si="42"/>
        <v>9</v>
      </c>
      <c r="Q41" s="35">
        <f t="shared" si="42"/>
        <v>9</v>
      </c>
      <c r="R41" s="35" t="str">
        <f t="shared" si="42"/>
        <v>Not played</v>
      </c>
      <c r="S41" s="35" t="str">
        <f t="shared" si="42"/>
        <v>Not played</v>
      </c>
      <c r="T41" s="35" t="str">
        <f t="shared" si="42"/>
        <v>Not played</v>
      </c>
      <c r="U41" s="35" t="str">
        <f t="shared" si="42"/>
        <v>Not played</v>
      </c>
      <c r="V41" s="35" t="str">
        <f t="shared" si="42"/>
        <v>Not played</v>
      </c>
      <c r="W41" s="35" t="str">
        <f t="shared" si="42"/>
        <v>Not played</v>
      </c>
      <c r="X41" s="35" t="str">
        <f t="shared" si="42"/>
        <v>Not played</v>
      </c>
      <c r="Y41" s="35" t="str">
        <f t="shared" si="42"/>
        <v>Not played</v>
      </c>
      <c r="Z41" s="35" t="str">
        <f t="shared" si="42"/>
        <v>Not played</v>
      </c>
      <c r="AA41" s="35" t="str">
        <f t="shared" si="42"/>
        <v>Not played</v>
      </c>
      <c r="AB41" s="35" t="str">
        <f t="shared" si="42"/>
        <v>Not played</v>
      </c>
      <c r="AC41" s="47"/>
      <c r="AD41" s="47"/>
      <c r="AE41" s="47"/>
    </row>
    <row r="42">
      <c r="A42" s="41">
        <f t="shared" si="4"/>
        <v>41</v>
      </c>
      <c r="B42" s="36" t="s">
        <v>74</v>
      </c>
      <c r="C42" s="35">
        <f t="shared" ref="C42:AB42" si="43">IFERROR(VLOOKUP($B42,indirect(text(C$1,"mm/dd/yy")&amp;"!B:L"),11,false),"Not played")</f>
        <v>9</v>
      </c>
      <c r="D42" s="35">
        <f t="shared" si="43"/>
        <v>12</v>
      </c>
      <c r="E42" s="35">
        <f t="shared" si="43"/>
        <v>13</v>
      </c>
      <c r="F42" s="35">
        <f t="shared" si="43"/>
        <v>17</v>
      </c>
      <c r="G42" s="35">
        <f t="shared" si="43"/>
        <v>15</v>
      </c>
      <c r="H42" s="35">
        <f t="shared" si="43"/>
        <v>15</v>
      </c>
      <c r="I42" s="35">
        <f t="shared" si="43"/>
        <v>16</v>
      </c>
      <c r="J42" s="35">
        <f t="shared" si="43"/>
        <v>14</v>
      </c>
      <c r="K42" s="35">
        <f t="shared" si="43"/>
        <v>12</v>
      </c>
      <c r="L42" s="35">
        <f t="shared" si="43"/>
        <v>20</v>
      </c>
      <c r="M42" s="35">
        <f t="shared" si="43"/>
        <v>19</v>
      </c>
      <c r="N42" s="35">
        <f t="shared" si="43"/>
        <v>15</v>
      </c>
      <c r="O42" s="35">
        <f t="shared" si="43"/>
        <v>14</v>
      </c>
      <c r="P42" s="35">
        <f t="shared" si="43"/>
        <v>14</v>
      </c>
      <c r="Q42" s="35">
        <f t="shared" si="43"/>
        <v>13</v>
      </c>
      <c r="R42" s="35" t="str">
        <f t="shared" si="43"/>
        <v>Not played</v>
      </c>
      <c r="S42" s="35" t="str">
        <f t="shared" si="43"/>
        <v>Not played</v>
      </c>
      <c r="T42" s="35" t="str">
        <f t="shared" si="43"/>
        <v>Not played</v>
      </c>
      <c r="U42" s="35" t="str">
        <f t="shared" si="43"/>
        <v>Not played</v>
      </c>
      <c r="V42" s="35" t="str">
        <f t="shared" si="43"/>
        <v>Not played</v>
      </c>
      <c r="W42" s="35" t="str">
        <f t="shared" si="43"/>
        <v>Not played</v>
      </c>
      <c r="X42" s="35" t="str">
        <f t="shared" si="43"/>
        <v>Not played</v>
      </c>
      <c r="Y42" s="35" t="str">
        <f t="shared" si="43"/>
        <v>Not played</v>
      </c>
      <c r="Z42" s="35" t="str">
        <f t="shared" si="43"/>
        <v>Not played</v>
      </c>
      <c r="AA42" s="35" t="str">
        <f t="shared" si="43"/>
        <v>Not played</v>
      </c>
      <c r="AB42" s="35" t="str">
        <f t="shared" si="43"/>
        <v>Not played</v>
      </c>
      <c r="AC42" s="47"/>
      <c r="AD42" s="47"/>
      <c r="AE42" s="47"/>
    </row>
    <row r="43">
      <c r="A43" s="41">
        <f t="shared" si="4"/>
        <v>42</v>
      </c>
      <c r="B43" s="36" t="s">
        <v>85</v>
      </c>
      <c r="C43" s="35">
        <f t="shared" ref="C43:AB43" si="44">IFERROR(VLOOKUP($B43,indirect(text(C$1,"mm/dd/yy")&amp;"!B:L"),11,false),"Not played")</f>
        <v>9</v>
      </c>
      <c r="D43" s="35">
        <f t="shared" si="44"/>
        <v>13</v>
      </c>
      <c r="E43" s="35">
        <f t="shared" si="44"/>
        <v>18</v>
      </c>
      <c r="F43" s="35">
        <f t="shared" si="44"/>
        <v>9</v>
      </c>
      <c r="G43" s="35">
        <f t="shared" si="44"/>
        <v>14</v>
      </c>
      <c r="H43" s="35">
        <f t="shared" si="44"/>
        <v>18</v>
      </c>
      <c r="I43" s="35">
        <f t="shared" si="44"/>
        <v>19</v>
      </c>
      <c r="J43" s="35">
        <f t="shared" si="44"/>
        <v>19</v>
      </c>
      <c r="K43" s="35">
        <f t="shared" si="44"/>
        <v>12</v>
      </c>
      <c r="L43" s="35">
        <f t="shared" si="44"/>
        <v>17</v>
      </c>
      <c r="M43" s="35">
        <f t="shared" si="44"/>
        <v>14</v>
      </c>
      <c r="N43" s="35">
        <f t="shared" si="44"/>
        <v>9</v>
      </c>
      <c r="O43" s="35">
        <f t="shared" si="44"/>
        <v>19</v>
      </c>
      <c r="P43" s="35">
        <f t="shared" si="44"/>
        <v>13</v>
      </c>
      <c r="Q43" s="35">
        <f t="shared" si="44"/>
        <v>13</v>
      </c>
      <c r="R43" s="35" t="str">
        <f t="shared" si="44"/>
        <v>Not played</v>
      </c>
      <c r="S43" s="35" t="str">
        <f t="shared" si="44"/>
        <v>Not played</v>
      </c>
      <c r="T43" s="35" t="str">
        <f t="shared" si="44"/>
        <v>Not played</v>
      </c>
      <c r="U43" s="35" t="str">
        <f t="shared" si="44"/>
        <v>Not played</v>
      </c>
      <c r="V43" s="35" t="str">
        <f t="shared" si="44"/>
        <v>Not played</v>
      </c>
      <c r="W43" s="35" t="str">
        <f t="shared" si="44"/>
        <v>Not played</v>
      </c>
      <c r="X43" s="35" t="str">
        <f t="shared" si="44"/>
        <v>Not played</v>
      </c>
      <c r="Y43" s="35" t="str">
        <f t="shared" si="44"/>
        <v>Not played</v>
      </c>
      <c r="Z43" s="35" t="str">
        <f t="shared" si="44"/>
        <v>Not played</v>
      </c>
      <c r="AA43" s="35" t="str">
        <f t="shared" si="44"/>
        <v>Not played</v>
      </c>
      <c r="AB43" s="35" t="str">
        <f t="shared" si="44"/>
        <v>Not played</v>
      </c>
      <c r="AC43" s="47"/>
      <c r="AD43" s="47"/>
      <c r="AE43" s="47"/>
    </row>
    <row r="44">
      <c r="A44" s="41">
        <f t="shared" si="4"/>
        <v>43</v>
      </c>
      <c r="B44" s="36" t="s">
        <v>118</v>
      </c>
      <c r="C44" s="35">
        <f t="shared" ref="C44:AB44" si="45">IFERROR(VLOOKUP($B44,indirect(text(C$1,"mm/dd/yy")&amp;"!B:L"),11,false),"Not played")</f>
        <v>18</v>
      </c>
      <c r="D44" s="35">
        <f t="shared" si="45"/>
        <v>8</v>
      </c>
      <c r="E44" s="35">
        <f t="shared" si="45"/>
        <v>13</v>
      </c>
      <c r="F44" s="35">
        <f t="shared" si="45"/>
        <v>11</v>
      </c>
      <c r="G44" s="35">
        <f t="shared" si="45"/>
        <v>13</v>
      </c>
      <c r="H44" s="35">
        <f t="shared" si="45"/>
        <v>10</v>
      </c>
      <c r="I44" s="35">
        <f t="shared" si="45"/>
        <v>18</v>
      </c>
      <c r="J44" s="35">
        <f t="shared" si="45"/>
        <v>13</v>
      </c>
      <c r="K44" s="35">
        <f t="shared" si="45"/>
        <v>15</v>
      </c>
      <c r="L44" s="35">
        <f t="shared" si="45"/>
        <v>13</v>
      </c>
      <c r="M44" s="35">
        <f t="shared" si="45"/>
        <v>13</v>
      </c>
      <c r="N44" s="35">
        <f t="shared" si="45"/>
        <v>17</v>
      </c>
      <c r="O44" s="35">
        <f t="shared" si="45"/>
        <v>14</v>
      </c>
      <c r="P44" s="35">
        <f t="shared" si="45"/>
        <v>12</v>
      </c>
      <c r="Q44" s="35">
        <f t="shared" si="45"/>
        <v>15</v>
      </c>
      <c r="R44" s="35" t="str">
        <f t="shared" si="45"/>
        <v>Not played</v>
      </c>
      <c r="S44" s="35" t="str">
        <f t="shared" si="45"/>
        <v>Not played</v>
      </c>
      <c r="T44" s="35" t="str">
        <f t="shared" si="45"/>
        <v>Not played</v>
      </c>
      <c r="U44" s="35" t="str">
        <f t="shared" si="45"/>
        <v>Not played</v>
      </c>
      <c r="V44" s="35" t="str">
        <f t="shared" si="45"/>
        <v>Not played</v>
      </c>
      <c r="W44" s="35" t="str">
        <f t="shared" si="45"/>
        <v>Not played</v>
      </c>
      <c r="X44" s="35" t="str">
        <f t="shared" si="45"/>
        <v>Not played</v>
      </c>
      <c r="Y44" s="35" t="str">
        <f t="shared" si="45"/>
        <v>Not played</v>
      </c>
      <c r="Z44" s="35" t="str">
        <f t="shared" si="45"/>
        <v>Not played</v>
      </c>
      <c r="AA44" s="35" t="str">
        <f t="shared" si="45"/>
        <v>Not played</v>
      </c>
      <c r="AB44" s="35" t="str">
        <f t="shared" si="45"/>
        <v>Not played</v>
      </c>
      <c r="AC44" s="47"/>
      <c r="AD44" s="47"/>
      <c r="AE44" s="47"/>
    </row>
    <row r="45">
      <c r="A45" s="41">
        <f t="shared" si="4"/>
        <v>44</v>
      </c>
      <c r="B45" s="36" t="s">
        <v>132</v>
      </c>
      <c r="C45" s="35">
        <f t="shared" ref="C45:AB45" si="46">IFERROR(VLOOKUP($B45,indirect(text(C$1,"mm/dd/yy")&amp;"!B:L"),11,false),"Not played")</f>
        <v>9</v>
      </c>
      <c r="D45" s="35">
        <f t="shared" si="46"/>
        <v>9</v>
      </c>
      <c r="E45" s="35">
        <f t="shared" si="46"/>
        <v>9</v>
      </c>
      <c r="F45" s="35">
        <f t="shared" si="46"/>
        <v>9</v>
      </c>
      <c r="G45" s="35">
        <f t="shared" si="46"/>
        <v>9</v>
      </c>
      <c r="H45" s="35">
        <f t="shared" si="46"/>
        <v>9</v>
      </c>
      <c r="I45" s="35">
        <f t="shared" si="46"/>
        <v>9</v>
      </c>
      <c r="J45" s="35">
        <f t="shared" si="46"/>
        <v>9</v>
      </c>
      <c r="K45" s="35">
        <f t="shared" si="46"/>
        <v>9</v>
      </c>
      <c r="L45" s="35">
        <f t="shared" si="46"/>
        <v>9</v>
      </c>
      <c r="M45" s="35">
        <f t="shared" si="46"/>
        <v>9</v>
      </c>
      <c r="N45" s="35">
        <f t="shared" si="46"/>
        <v>9</v>
      </c>
      <c r="O45" s="35">
        <f t="shared" si="46"/>
        <v>9</v>
      </c>
      <c r="P45" s="35">
        <f t="shared" si="46"/>
        <v>9</v>
      </c>
      <c r="Q45" s="35">
        <f t="shared" si="46"/>
        <v>9</v>
      </c>
      <c r="R45" s="35" t="str">
        <f t="shared" si="46"/>
        <v>Not played</v>
      </c>
      <c r="S45" s="35" t="str">
        <f t="shared" si="46"/>
        <v>Not played</v>
      </c>
      <c r="T45" s="35" t="str">
        <f t="shared" si="46"/>
        <v>Not played</v>
      </c>
      <c r="U45" s="35" t="str">
        <f t="shared" si="46"/>
        <v>Not played</v>
      </c>
      <c r="V45" s="35" t="str">
        <f t="shared" si="46"/>
        <v>Not played</v>
      </c>
      <c r="W45" s="35" t="str">
        <f t="shared" si="46"/>
        <v>Not played</v>
      </c>
      <c r="X45" s="35" t="str">
        <f t="shared" si="46"/>
        <v>Not played</v>
      </c>
      <c r="Y45" s="35" t="str">
        <f t="shared" si="46"/>
        <v>Not played</v>
      </c>
      <c r="Z45" s="35" t="str">
        <f t="shared" si="46"/>
        <v>Not played</v>
      </c>
      <c r="AA45" s="35" t="str">
        <f t="shared" si="46"/>
        <v>Not played</v>
      </c>
      <c r="AB45" s="35" t="str">
        <f t="shared" si="46"/>
        <v>Not played</v>
      </c>
      <c r="AC45" s="47"/>
      <c r="AD45" s="47"/>
      <c r="AE45" s="47"/>
    </row>
    <row r="46">
      <c r="A46" s="41">
        <f t="shared" si="4"/>
        <v>45</v>
      </c>
      <c r="B46" s="36" t="s">
        <v>133</v>
      </c>
      <c r="C46" s="35">
        <f t="shared" ref="C46:AB46" si="47">IFERROR(VLOOKUP($B46,indirect(text(C$1,"mm/dd/yy")&amp;"!B:L"),11,false),"Not played")</f>
        <v>13</v>
      </c>
      <c r="D46" s="35">
        <f t="shared" si="47"/>
        <v>9</v>
      </c>
      <c r="E46" s="35">
        <f t="shared" si="47"/>
        <v>9</v>
      </c>
      <c r="F46" s="35">
        <f t="shared" si="47"/>
        <v>15</v>
      </c>
      <c r="G46" s="35">
        <f t="shared" si="47"/>
        <v>13</v>
      </c>
      <c r="H46" s="35">
        <f t="shared" si="47"/>
        <v>9</v>
      </c>
      <c r="I46" s="35">
        <f t="shared" si="47"/>
        <v>8</v>
      </c>
      <c r="J46" s="35">
        <f t="shared" si="47"/>
        <v>9</v>
      </c>
      <c r="K46" s="35">
        <f t="shared" si="47"/>
        <v>13</v>
      </c>
      <c r="L46" s="35">
        <f t="shared" si="47"/>
        <v>9</v>
      </c>
      <c r="M46" s="35">
        <f t="shared" si="47"/>
        <v>9</v>
      </c>
      <c r="N46" s="35">
        <f t="shared" si="47"/>
        <v>18</v>
      </c>
      <c r="O46" s="35">
        <f t="shared" si="47"/>
        <v>13</v>
      </c>
      <c r="P46" s="35">
        <f t="shared" si="47"/>
        <v>13</v>
      </c>
      <c r="Q46" s="35">
        <f t="shared" si="47"/>
        <v>16</v>
      </c>
      <c r="R46" s="35" t="str">
        <f t="shared" si="47"/>
        <v>Not played</v>
      </c>
      <c r="S46" s="35" t="str">
        <f t="shared" si="47"/>
        <v>Not played</v>
      </c>
      <c r="T46" s="35" t="str">
        <f t="shared" si="47"/>
        <v>Not played</v>
      </c>
      <c r="U46" s="35" t="str">
        <f t="shared" si="47"/>
        <v>Not played</v>
      </c>
      <c r="V46" s="35" t="str">
        <f t="shared" si="47"/>
        <v>Not played</v>
      </c>
      <c r="W46" s="35" t="str">
        <f t="shared" si="47"/>
        <v>Not played</v>
      </c>
      <c r="X46" s="35" t="str">
        <f t="shared" si="47"/>
        <v>Not played</v>
      </c>
      <c r="Y46" s="35" t="str">
        <f t="shared" si="47"/>
        <v>Not played</v>
      </c>
      <c r="Z46" s="35" t="str">
        <f t="shared" si="47"/>
        <v>Not played</v>
      </c>
      <c r="AA46" s="35" t="str">
        <f t="shared" si="47"/>
        <v>Not played</v>
      </c>
      <c r="AB46" s="35" t="str">
        <f t="shared" si="47"/>
        <v>Not played</v>
      </c>
      <c r="AC46" s="47"/>
      <c r="AD46" s="47"/>
      <c r="AE46" s="47"/>
    </row>
    <row r="47">
      <c r="A47" s="41">
        <f t="shared" si="4"/>
        <v>46</v>
      </c>
      <c r="B47" s="36" t="s">
        <v>134</v>
      </c>
      <c r="C47" s="35">
        <f t="shared" ref="C47:AB47" si="48">IFERROR(VLOOKUP($B47,indirect(text(C$1,"mm/dd/yy")&amp;"!B:L"),11,false),"Not played")</f>
        <v>13</v>
      </c>
      <c r="D47" s="35">
        <f t="shared" si="48"/>
        <v>8</v>
      </c>
      <c r="E47" s="35">
        <f t="shared" si="48"/>
        <v>13</v>
      </c>
      <c r="F47" s="35">
        <f t="shared" si="48"/>
        <v>13</v>
      </c>
      <c r="G47" s="35">
        <f t="shared" si="48"/>
        <v>9</v>
      </c>
      <c r="H47" s="35">
        <f t="shared" si="48"/>
        <v>8</v>
      </c>
      <c r="I47" s="35">
        <f t="shared" si="48"/>
        <v>9</v>
      </c>
      <c r="J47" s="35">
        <f t="shared" si="48"/>
        <v>7</v>
      </c>
      <c r="K47" s="35">
        <f t="shared" si="48"/>
        <v>17</v>
      </c>
      <c r="L47" s="35">
        <f t="shared" si="48"/>
        <v>12</v>
      </c>
      <c r="M47" s="35">
        <f t="shared" si="48"/>
        <v>11</v>
      </c>
      <c r="N47" s="35">
        <f t="shared" si="48"/>
        <v>9</v>
      </c>
      <c r="O47" s="35">
        <f t="shared" si="48"/>
        <v>9</v>
      </c>
      <c r="P47" s="35">
        <f t="shared" si="48"/>
        <v>13</v>
      </c>
      <c r="Q47" s="35">
        <f t="shared" si="48"/>
        <v>9</v>
      </c>
      <c r="R47" s="35" t="str">
        <f t="shared" si="48"/>
        <v>Not played</v>
      </c>
      <c r="S47" s="35" t="str">
        <f t="shared" si="48"/>
        <v>Not played</v>
      </c>
      <c r="T47" s="35" t="str">
        <f t="shared" si="48"/>
        <v>Not played</v>
      </c>
      <c r="U47" s="35" t="str">
        <f t="shared" si="48"/>
        <v>Not played</v>
      </c>
      <c r="V47" s="35" t="str">
        <f t="shared" si="48"/>
        <v>Not played</v>
      </c>
      <c r="W47" s="35" t="str">
        <f t="shared" si="48"/>
        <v>Not played</v>
      </c>
      <c r="X47" s="35" t="str">
        <f t="shared" si="48"/>
        <v>Not played</v>
      </c>
      <c r="Y47" s="35" t="str">
        <f t="shared" si="48"/>
        <v>Not played</v>
      </c>
      <c r="Z47" s="35" t="str">
        <f t="shared" si="48"/>
        <v>Not played</v>
      </c>
      <c r="AA47" s="35" t="str">
        <f t="shared" si="48"/>
        <v>Not played</v>
      </c>
      <c r="AB47" s="35" t="str">
        <f t="shared" si="48"/>
        <v>Not played</v>
      </c>
      <c r="AC47" s="47"/>
      <c r="AD47" s="47"/>
      <c r="AE47" s="47"/>
    </row>
    <row r="48">
      <c r="A48" s="41">
        <f t="shared" si="4"/>
        <v>47</v>
      </c>
      <c r="B48" s="36" t="s">
        <v>104</v>
      </c>
      <c r="C48" s="35">
        <f t="shared" ref="C48:AB48" si="49">IFERROR(VLOOKUP($B48,indirect(text(C$1,"mm/dd/yy")&amp;"!B:L"),11,false),"Not played")</f>
        <v>13</v>
      </c>
      <c r="D48" s="35">
        <f t="shared" si="49"/>
        <v>9</v>
      </c>
      <c r="E48" s="35">
        <f t="shared" si="49"/>
        <v>13</v>
      </c>
      <c r="F48" s="35">
        <f t="shared" si="49"/>
        <v>9</v>
      </c>
      <c r="G48" s="35">
        <f t="shared" si="49"/>
        <v>9</v>
      </c>
      <c r="H48" s="35">
        <f t="shared" si="49"/>
        <v>9</v>
      </c>
      <c r="I48" s="35">
        <f t="shared" si="49"/>
        <v>9</v>
      </c>
      <c r="J48" s="35">
        <f t="shared" si="49"/>
        <v>9</v>
      </c>
      <c r="K48" s="35">
        <f t="shared" si="49"/>
        <v>9</v>
      </c>
      <c r="L48" s="35">
        <f t="shared" si="49"/>
        <v>9</v>
      </c>
      <c r="M48" s="35">
        <f t="shared" si="49"/>
        <v>15</v>
      </c>
      <c r="N48" s="35">
        <f t="shared" si="49"/>
        <v>9</v>
      </c>
      <c r="O48" s="35">
        <f t="shared" si="49"/>
        <v>9</v>
      </c>
      <c r="P48" s="35">
        <f t="shared" si="49"/>
        <v>18</v>
      </c>
      <c r="Q48" s="35">
        <f t="shared" si="49"/>
        <v>9</v>
      </c>
      <c r="R48" s="35" t="str">
        <f t="shared" si="49"/>
        <v>Not played</v>
      </c>
      <c r="S48" s="35" t="str">
        <f t="shared" si="49"/>
        <v>Not played</v>
      </c>
      <c r="T48" s="35" t="str">
        <f t="shared" si="49"/>
        <v>Not played</v>
      </c>
      <c r="U48" s="35" t="str">
        <f t="shared" si="49"/>
        <v>Not played</v>
      </c>
      <c r="V48" s="35" t="str">
        <f t="shared" si="49"/>
        <v>Not played</v>
      </c>
      <c r="W48" s="35" t="str">
        <f t="shared" si="49"/>
        <v>Not played</v>
      </c>
      <c r="X48" s="35" t="str">
        <f t="shared" si="49"/>
        <v>Not played</v>
      </c>
      <c r="Y48" s="35" t="str">
        <f t="shared" si="49"/>
        <v>Not played</v>
      </c>
      <c r="Z48" s="35" t="str">
        <f t="shared" si="49"/>
        <v>Not played</v>
      </c>
      <c r="AA48" s="35" t="str">
        <f t="shared" si="49"/>
        <v>Not played</v>
      </c>
      <c r="AB48" s="35" t="str">
        <f t="shared" si="49"/>
        <v>Not played</v>
      </c>
      <c r="AC48" s="47"/>
      <c r="AD48" s="47"/>
      <c r="AE48" s="47"/>
    </row>
    <row r="49">
      <c r="A49" s="41">
        <f t="shared" si="4"/>
        <v>48</v>
      </c>
      <c r="B49" s="36" t="s">
        <v>107</v>
      </c>
      <c r="C49" s="35">
        <f t="shared" ref="C49:AB49" si="50">IFERROR(VLOOKUP($B49,indirect(text(C$1,"mm/dd/yy")&amp;"!B:L"),11,false),"Not played")</f>
        <v>13</v>
      </c>
      <c r="D49" s="35">
        <f t="shared" si="50"/>
        <v>15</v>
      </c>
      <c r="E49" s="35">
        <f t="shared" si="50"/>
        <v>13</v>
      </c>
      <c r="F49" s="35">
        <f t="shared" si="50"/>
        <v>18</v>
      </c>
      <c r="G49" s="35">
        <f t="shared" si="50"/>
        <v>12</v>
      </c>
      <c r="H49" s="35">
        <f t="shared" si="50"/>
        <v>18</v>
      </c>
      <c r="I49" s="35">
        <f t="shared" si="50"/>
        <v>9</v>
      </c>
      <c r="J49" s="35">
        <f t="shared" si="50"/>
        <v>9</v>
      </c>
      <c r="K49" s="35">
        <f t="shared" si="50"/>
        <v>9</v>
      </c>
      <c r="L49" s="35">
        <f t="shared" si="50"/>
        <v>18</v>
      </c>
      <c r="M49" s="35">
        <f t="shared" si="50"/>
        <v>19</v>
      </c>
      <c r="N49" s="35">
        <f t="shared" si="50"/>
        <v>9</v>
      </c>
      <c r="O49" s="35">
        <f t="shared" si="50"/>
        <v>13</v>
      </c>
      <c r="P49" s="35">
        <f t="shared" si="50"/>
        <v>13</v>
      </c>
      <c r="Q49" s="35">
        <f t="shared" si="50"/>
        <v>17</v>
      </c>
      <c r="R49" s="35" t="str">
        <f t="shared" si="50"/>
        <v>Not played</v>
      </c>
      <c r="S49" s="35" t="str">
        <f t="shared" si="50"/>
        <v>Not played</v>
      </c>
      <c r="T49" s="35" t="str">
        <f t="shared" si="50"/>
        <v>Not played</v>
      </c>
      <c r="U49" s="35" t="str">
        <f t="shared" si="50"/>
        <v>Not played</v>
      </c>
      <c r="V49" s="35" t="str">
        <f t="shared" si="50"/>
        <v>Not played</v>
      </c>
      <c r="W49" s="35" t="str">
        <f t="shared" si="50"/>
        <v>Not played</v>
      </c>
      <c r="X49" s="35" t="str">
        <f t="shared" si="50"/>
        <v>Not played</v>
      </c>
      <c r="Y49" s="35" t="str">
        <f t="shared" si="50"/>
        <v>Not played</v>
      </c>
      <c r="Z49" s="35" t="str">
        <f t="shared" si="50"/>
        <v>Not played</v>
      </c>
      <c r="AA49" s="35" t="str">
        <f t="shared" si="50"/>
        <v>Not played</v>
      </c>
      <c r="AB49" s="35" t="str">
        <f t="shared" si="50"/>
        <v>Not played</v>
      </c>
      <c r="AC49" s="47"/>
      <c r="AD49" s="47"/>
      <c r="AE49" s="47"/>
    </row>
    <row r="50">
      <c r="A50" s="41">
        <f t="shared" si="4"/>
        <v>49</v>
      </c>
      <c r="B50" s="36" t="s">
        <v>80</v>
      </c>
      <c r="C50" s="35">
        <f t="shared" ref="C50:AB50" si="51">IFERROR(VLOOKUP($B50,indirect(text(C$1,"mm/dd/yy")&amp;"!B:L"),11,false),"Not played")</f>
        <v>9</v>
      </c>
      <c r="D50" s="35">
        <f t="shared" si="51"/>
        <v>18</v>
      </c>
      <c r="E50" s="35">
        <f t="shared" si="51"/>
        <v>18</v>
      </c>
      <c r="F50" s="35">
        <f t="shared" si="51"/>
        <v>20</v>
      </c>
      <c r="G50" s="35">
        <f t="shared" si="51"/>
        <v>18</v>
      </c>
      <c r="H50" s="35">
        <f t="shared" si="51"/>
        <v>19</v>
      </c>
      <c r="I50" s="35">
        <f t="shared" si="51"/>
        <v>12</v>
      </c>
      <c r="J50" s="35">
        <f t="shared" si="51"/>
        <v>13</v>
      </c>
      <c r="K50" s="35">
        <f t="shared" si="51"/>
        <v>9</v>
      </c>
      <c r="L50" s="35">
        <f t="shared" si="51"/>
        <v>9</v>
      </c>
      <c r="M50" s="35">
        <f t="shared" si="51"/>
        <v>11</v>
      </c>
      <c r="N50" s="35">
        <f t="shared" si="51"/>
        <v>18</v>
      </c>
      <c r="O50" s="35">
        <f t="shared" si="51"/>
        <v>13</v>
      </c>
      <c r="P50" s="35">
        <f t="shared" si="51"/>
        <v>13</v>
      </c>
      <c r="Q50" s="35">
        <f t="shared" si="51"/>
        <v>17</v>
      </c>
      <c r="R50" s="35" t="str">
        <f t="shared" si="51"/>
        <v>Not played</v>
      </c>
      <c r="S50" s="35" t="str">
        <f t="shared" si="51"/>
        <v>Not played</v>
      </c>
      <c r="T50" s="35" t="str">
        <f t="shared" si="51"/>
        <v>Not played</v>
      </c>
      <c r="U50" s="35" t="str">
        <f t="shared" si="51"/>
        <v>Not played</v>
      </c>
      <c r="V50" s="35" t="str">
        <f t="shared" si="51"/>
        <v>Not played</v>
      </c>
      <c r="W50" s="35" t="str">
        <f t="shared" si="51"/>
        <v>Not played</v>
      </c>
      <c r="X50" s="35" t="str">
        <f t="shared" si="51"/>
        <v>Not played</v>
      </c>
      <c r="Y50" s="35" t="str">
        <f t="shared" si="51"/>
        <v>Not played</v>
      </c>
      <c r="Z50" s="35" t="str">
        <f t="shared" si="51"/>
        <v>Not played</v>
      </c>
      <c r="AA50" s="35" t="str">
        <f t="shared" si="51"/>
        <v>Not played</v>
      </c>
      <c r="AB50" s="35" t="str">
        <f t="shared" si="51"/>
        <v>Not played</v>
      </c>
      <c r="AC50" s="47"/>
      <c r="AD50" s="47"/>
      <c r="AE50" s="47"/>
    </row>
    <row r="51">
      <c r="A51" s="41">
        <f t="shared" si="4"/>
        <v>50</v>
      </c>
      <c r="B51" s="36" t="s">
        <v>122</v>
      </c>
      <c r="C51" s="35">
        <f t="shared" ref="C51:AB51" si="52">IFERROR(VLOOKUP($B51,indirect(text(C$1,"mm/dd/yy")&amp;"!B:L"),11,false),"Not played")</f>
        <v>9</v>
      </c>
      <c r="D51" s="35">
        <f t="shared" si="52"/>
        <v>13</v>
      </c>
      <c r="E51" s="35">
        <f t="shared" si="52"/>
        <v>18</v>
      </c>
      <c r="F51" s="35">
        <f t="shared" si="52"/>
        <v>9</v>
      </c>
      <c r="G51" s="35">
        <f t="shared" si="52"/>
        <v>16</v>
      </c>
      <c r="H51" s="35">
        <f t="shared" si="52"/>
        <v>9</v>
      </c>
      <c r="I51" s="35">
        <f t="shared" si="52"/>
        <v>19</v>
      </c>
      <c r="J51" s="35">
        <f t="shared" si="52"/>
        <v>12</v>
      </c>
      <c r="K51" s="35">
        <f t="shared" si="52"/>
        <v>15</v>
      </c>
      <c r="L51" s="35">
        <f t="shared" si="52"/>
        <v>13</v>
      </c>
      <c r="M51" s="35">
        <f t="shared" si="52"/>
        <v>9</v>
      </c>
      <c r="N51" s="35">
        <f t="shared" si="52"/>
        <v>13</v>
      </c>
      <c r="O51" s="35">
        <f t="shared" si="52"/>
        <v>15</v>
      </c>
      <c r="P51" s="35">
        <f t="shared" si="52"/>
        <v>12</v>
      </c>
      <c r="Q51" s="35">
        <f t="shared" si="52"/>
        <v>18</v>
      </c>
      <c r="R51" s="35" t="str">
        <f t="shared" si="52"/>
        <v>Not played</v>
      </c>
      <c r="S51" s="35" t="str">
        <f t="shared" si="52"/>
        <v>Not played</v>
      </c>
      <c r="T51" s="35" t="str">
        <f t="shared" si="52"/>
        <v>Not played</v>
      </c>
      <c r="U51" s="35" t="str">
        <f t="shared" si="52"/>
        <v>Not played</v>
      </c>
      <c r="V51" s="35" t="str">
        <f t="shared" si="52"/>
        <v>Not played</v>
      </c>
      <c r="W51" s="35" t="str">
        <f t="shared" si="52"/>
        <v>Not played</v>
      </c>
      <c r="X51" s="35" t="str">
        <f t="shared" si="52"/>
        <v>Not played</v>
      </c>
      <c r="Y51" s="35" t="str">
        <f t="shared" si="52"/>
        <v>Not played</v>
      </c>
      <c r="Z51" s="35" t="str">
        <f t="shared" si="52"/>
        <v>Not played</v>
      </c>
      <c r="AA51" s="35" t="str">
        <f t="shared" si="52"/>
        <v>Not played</v>
      </c>
      <c r="AB51" s="35" t="str">
        <f t="shared" si="52"/>
        <v>Not played</v>
      </c>
      <c r="AC51" s="47"/>
      <c r="AD51" s="47"/>
      <c r="AE51" s="47"/>
    </row>
    <row r="52">
      <c r="A52" s="41">
        <f t="shared" si="4"/>
        <v>51</v>
      </c>
      <c r="B52" s="36" t="s">
        <v>136</v>
      </c>
      <c r="C52" s="35">
        <f t="shared" ref="C52:AB52" si="53">IFERROR(VLOOKUP($B52,indirect(text(C$1,"mm/dd/yy")&amp;"!B:L"),11,false),"Not played")</f>
        <v>14</v>
      </c>
      <c r="D52" s="35">
        <f t="shared" si="53"/>
        <v>9</v>
      </c>
      <c r="E52" s="35">
        <f t="shared" si="53"/>
        <v>9</v>
      </c>
      <c r="F52" s="35">
        <f t="shared" si="53"/>
        <v>12</v>
      </c>
      <c r="G52" s="35">
        <f t="shared" si="53"/>
        <v>14</v>
      </c>
      <c r="H52" s="35">
        <f t="shared" si="53"/>
        <v>11</v>
      </c>
      <c r="I52" s="35">
        <f t="shared" si="53"/>
        <v>16</v>
      </c>
      <c r="J52" s="35">
        <f t="shared" si="53"/>
        <v>15</v>
      </c>
      <c r="K52" s="35">
        <f t="shared" si="53"/>
        <v>13</v>
      </c>
      <c r="L52" s="35">
        <f t="shared" si="53"/>
        <v>11</v>
      </c>
      <c r="M52" s="35">
        <f t="shared" si="53"/>
        <v>13</v>
      </c>
      <c r="N52" s="35">
        <f t="shared" si="53"/>
        <v>9</v>
      </c>
      <c r="O52" s="35">
        <f t="shared" si="53"/>
        <v>9</v>
      </c>
      <c r="P52" s="35">
        <f t="shared" si="53"/>
        <v>9</v>
      </c>
      <c r="Q52" s="35">
        <f t="shared" si="53"/>
        <v>9</v>
      </c>
      <c r="R52" s="35" t="str">
        <f t="shared" si="53"/>
        <v>Not played</v>
      </c>
      <c r="S52" s="35" t="str">
        <f t="shared" si="53"/>
        <v>Not played</v>
      </c>
      <c r="T52" s="35" t="str">
        <f t="shared" si="53"/>
        <v>Not played</v>
      </c>
      <c r="U52" s="35" t="str">
        <f t="shared" si="53"/>
        <v>Not played</v>
      </c>
      <c r="V52" s="35" t="str">
        <f t="shared" si="53"/>
        <v>Not played</v>
      </c>
      <c r="W52" s="35" t="str">
        <f t="shared" si="53"/>
        <v>Not played</v>
      </c>
      <c r="X52" s="35" t="str">
        <f t="shared" si="53"/>
        <v>Not played</v>
      </c>
      <c r="Y52" s="35" t="str">
        <f t="shared" si="53"/>
        <v>Not played</v>
      </c>
      <c r="Z52" s="35" t="str">
        <f t="shared" si="53"/>
        <v>Not played</v>
      </c>
      <c r="AA52" s="35" t="str">
        <f t="shared" si="53"/>
        <v>Not played</v>
      </c>
      <c r="AB52" s="35" t="str">
        <f t="shared" si="53"/>
        <v>Not played</v>
      </c>
      <c r="AC52" s="47"/>
      <c r="AD52" s="47"/>
      <c r="AE52" s="47"/>
    </row>
    <row r="53">
      <c r="A53" s="41">
        <f t="shared" si="4"/>
        <v>52</v>
      </c>
      <c r="B53" s="36" t="s">
        <v>137</v>
      </c>
      <c r="C53" s="35">
        <f t="shared" ref="C53:AB53" si="54">IFERROR(VLOOKUP($B53,indirect(text(C$1,"mm/dd/yy")&amp;"!B:L"),11,false),"Not played")</f>
        <v>9</v>
      </c>
      <c r="D53" s="35">
        <f t="shared" si="54"/>
        <v>9</v>
      </c>
      <c r="E53" s="35">
        <f t="shared" si="54"/>
        <v>9</v>
      </c>
      <c r="F53" s="35">
        <f t="shared" si="54"/>
        <v>9</v>
      </c>
      <c r="G53" s="35">
        <f t="shared" si="54"/>
        <v>9</v>
      </c>
      <c r="H53" s="35">
        <f t="shared" si="54"/>
        <v>9</v>
      </c>
      <c r="I53" s="35">
        <f t="shared" si="54"/>
        <v>9</v>
      </c>
      <c r="J53" s="35">
        <f t="shared" si="54"/>
        <v>13</v>
      </c>
      <c r="K53" s="35">
        <f t="shared" si="54"/>
        <v>11</v>
      </c>
      <c r="L53" s="35">
        <f t="shared" si="54"/>
        <v>9</v>
      </c>
      <c r="M53" s="35">
        <f t="shared" si="54"/>
        <v>9</v>
      </c>
      <c r="N53" s="35">
        <f t="shared" si="54"/>
        <v>11</v>
      </c>
      <c r="O53" s="35">
        <f t="shared" si="54"/>
        <v>9</v>
      </c>
      <c r="P53" s="35">
        <f t="shared" si="54"/>
        <v>13</v>
      </c>
      <c r="Q53" s="35">
        <f t="shared" si="54"/>
        <v>9</v>
      </c>
      <c r="R53" s="35" t="str">
        <f t="shared" si="54"/>
        <v>Not played</v>
      </c>
      <c r="S53" s="35" t="str">
        <f t="shared" si="54"/>
        <v>Not played</v>
      </c>
      <c r="T53" s="35" t="str">
        <f t="shared" si="54"/>
        <v>Not played</v>
      </c>
      <c r="U53" s="35" t="str">
        <f t="shared" si="54"/>
        <v>Not played</v>
      </c>
      <c r="V53" s="35" t="str">
        <f t="shared" si="54"/>
        <v>Not played</v>
      </c>
      <c r="W53" s="35" t="str">
        <f t="shared" si="54"/>
        <v>Not played</v>
      </c>
      <c r="X53" s="35" t="str">
        <f t="shared" si="54"/>
        <v>Not played</v>
      </c>
      <c r="Y53" s="35" t="str">
        <f t="shared" si="54"/>
        <v>Not played</v>
      </c>
      <c r="Z53" s="35" t="str">
        <f t="shared" si="54"/>
        <v>Not played</v>
      </c>
      <c r="AA53" s="35" t="str">
        <f t="shared" si="54"/>
        <v>Not played</v>
      </c>
      <c r="AB53" s="35" t="str">
        <f t="shared" si="54"/>
        <v>Not played</v>
      </c>
      <c r="AC53" s="47"/>
      <c r="AD53" s="47"/>
      <c r="AE53" s="47"/>
    </row>
    <row r="54">
      <c r="A54" s="41">
        <f t="shared" si="4"/>
        <v>53</v>
      </c>
      <c r="B54" s="36" t="s">
        <v>138</v>
      </c>
      <c r="C54" s="35">
        <f t="shared" ref="C54:AB54" si="55">IFERROR(VLOOKUP($B54,indirect(text(C$1,"mm/dd/yy")&amp;"!B:L"),11,false),"Not played")</f>
        <v>9</v>
      </c>
      <c r="D54" s="35">
        <f t="shared" si="55"/>
        <v>9</v>
      </c>
      <c r="E54" s="35">
        <f t="shared" si="55"/>
        <v>9</v>
      </c>
      <c r="F54" s="35">
        <f t="shared" si="55"/>
        <v>9</v>
      </c>
      <c r="G54" s="35">
        <f t="shared" si="55"/>
        <v>9</v>
      </c>
      <c r="H54" s="35">
        <f t="shared" si="55"/>
        <v>9</v>
      </c>
      <c r="I54" s="35">
        <f t="shared" si="55"/>
        <v>9</v>
      </c>
      <c r="J54" s="35">
        <f t="shared" si="55"/>
        <v>9</v>
      </c>
      <c r="K54" s="35">
        <f t="shared" si="55"/>
        <v>9</v>
      </c>
      <c r="L54" s="35">
        <f t="shared" si="55"/>
        <v>9</v>
      </c>
      <c r="M54" s="35">
        <f t="shared" si="55"/>
        <v>9</v>
      </c>
      <c r="N54" s="35">
        <f t="shared" si="55"/>
        <v>11</v>
      </c>
      <c r="O54" s="35">
        <f t="shared" si="55"/>
        <v>13</v>
      </c>
      <c r="P54" s="35">
        <f t="shared" si="55"/>
        <v>9</v>
      </c>
      <c r="Q54" s="35">
        <f t="shared" si="55"/>
        <v>9</v>
      </c>
      <c r="R54" s="35" t="str">
        <f t="shared" si="55"/>
        <v>Not played</v>
      </c>
      <c r="S54" s="35" t="str">
        <f t="shared" si="55"/>
        <v>Not played</v>
      </c>
      <c r="T54" s="35" t="str">
        <f t="shared" si="55"/>
        <v>Not played</v>
      </c>
      <c r="U54" s="35" t="str">
        <f t="shared" si="55"/>
        <v>Not played</v>
      </c>
      <c r="V54" s="35" t="str">
        <f t="shared" si="55"/>
        <v>Not played</v>
      </c>
      <c r="W54" s="35" t="str">
        <f t="shared" si="55"/>
        <v>Not played</v>
      </c>
      <c r="X54" s="35" t="str">
        <f t="shared" si="55"/>
        <v>Not played</v>
      </c>
      <c r="Y54" s="35" t="str">
        <f t="shared" si="55"/>
        <v>Not played</v>
      </c>
      <c r="Z54" s="35" t="str">
        <f t="shared" si="55"/>
        <v>Not played</v>
      </c>
      <c r="AA54" s="35" t="str">
        <f t="shared" si="55"/>
        <v>Not played</v>
      </c>
      <c r="AB54" s="35" t="str">
        <f t="shared" si="55"/>
        <v>Not played</v>
      </c>
      <c r="AC54" s="47"/>
      <c r="AD54" s="47"/>
      <c r="AE54" s="47"/>
    </row>
    <row r="55">
      <c r="A55" s="41">
        <f t="shared" si="4"/>
        <v>54</v>
      </c>
      <c r="B55" s="36" t="s">
        <v>131</v>
      </c>
      <c r="C55" s="35">
        <f t="shared" ref="C55:AB55" si="56">IFERROR(VLOOKUP($B55,indirect(text(C$1,"mm/dd/yy")&amp;"!B:L"),11,false),"Not played")</f>
        <v>16</v>
      </c>
      <c r="D55" s="35">
        <f t="shared" si="56"/>
        <v>19</v>
      </c>
      <c r="E55" s="35">
        <f t="shared" si="56"/>
        <v>14</v>
      </c>
      <c r="F55" s="35">
        <f t="shared" si="56"/>
        <v>15</v>
      </c>
      <c r="G55" s="35">
        <f t="shared" si="56"/>
        <v>13</v>
      </c>
      <c r="H55" s="35">
        <f t="shared" si="56"/>
        <v>13</v>
      </c>
      <c r="I55" s="35">
        <f t="shared" si="56"/>
        <v>16</v>
      </c>
      <c r="J55" s="35">
        <f t="shared" si="56"/>
        <v>9</v>
      </c>
      <c r="K55" s="35">
        <f t="shared" si="56"/>
        <v>6</v>
      </c>
      <c r="L55" s="35">
        <f t="shared" si="56"/>
        <v>15</v>
      </c>
      <c r="M55" s="35">
        <f t="shared" si="56"/>
        <v>13</v>
      </c>
      <c r="N55" s="35">
        <f t="shared" si="56"/>
        <v>11</v>
      </c>
      <c r="O55" s="35">
        <f t="shared" si="56"/>
        <v>13</v>
      </c>
      <c r="P55" s="35">
        <f t="shared" si="56"/>
        <v>13</v>
      </c>
      <c r="Q55" s="35">
        <f t="shared" si="56"/>
        <v>11</v>
      </c>
      <c r="R55" s="35" t="str">
        <f t="shared" si="56"/>
        <v>Not played</v>
      </c>
      <c r="S55" s="35" t="str">
        <f t="shared" si="56"/>
        <v>Not played</v>
      </c>
      <c r="T55" s="35" t="str">
        <f t="shared" si="56"/>
        <v>Not played</v>
      </c>
      <c r="U55" s="35" t="str">
        <f t="shared" si="56"/>
        <v>Not played</v>
      </c>
      <c r="V55" s="35" t="str">
        <f t="shared" si="56"/>
        <v>Not played</v>
      </c>
      <c r="W55" s="35" t="str">
        <f t="shared" si="56"/>
        <v>Not played</v>
      </c>
      <c r="X55" s="35" t="str">
        <f t="shared" si="56"/>
        <v>Not played</v>
      </c>
      <c r="Y55" s="35" t="str">
        <f t="shared" si="56"/>
        <v>Not played</v>
      </c>
      <c r="Z55" s="35" t="str">
        <f t="shared" si="56"/>
        <v>Not played</v>
      </c>
      <c r="AA55" s="35" t="str">
        <f t="shared" si="56"/>
        <v>Not played</v>
      </c>
      <c r="AB55" s="35" t="str">
        <f t="shared" si="56"/>
        <v>Not played</v>
      </c>
      <c r="AC55" s="47"/>
      <c r="AD55" s="47"/>
      <c r="AE55" s="47"/>
    </row>
    <row r="56">
      <c r="A56" s="41">
        <f t="shared" si="4"/>
        <v>55</v>
      </c>
      <c r="B56" s="36" t="s">
        <v>105</v>
      </c>
      <c r="C56" s="35">
        <f t="shared" ref="C56:AB56" si="57">IFERROR(VLOOKUP($B56,indirect(text(C$1,"mm/dd/yy")&amp;"!B:L"),11,false),"Not played")</f>
        <v>16</v>
      </c>
      <c r="D56" s="35">
        <f t="shared" si="57"/>
        <v>13</v>
      </c>
      <c r="E56" s="35">
        <f t="shared" si="57"/>
        <v>13</v>
      </c>
      <c r="F56" s="35">
        <f t="shared" si="57"/>
        <v>9</v>
      </c>
      <c r="G56" s="35">
        <f t="shared" si="57"/>
        <v>8</v>
      </c>
      <c r="H56" s="35">
        <f t="shared" si="57"/>
        <v>8</v>
      </c>
      <c r="I56" s="35">
        <f t="shared" si="57"/>
        <v>9</v>
      </c>
      <c r="J56" s="35">
        <f t="shared" si="57"/>
        <v>9</v>
      </c>
      <c r="K56" s="35">
        <f t="shared" si="57"/>
        <v>13</v>
      </c>
      <c r="L56" s="35">
        <f t="shared" si="57"/>
        <v>9</v>
      </c>
      <c r="M56" s="35">
        <f t="shared" si="57"/>
        <v>9</v>
      </c>
      <c r="N56" s="35">
        <f t="shared" si="57"/>
        <v>9</v>
      </c>
      <c r="O56" s="35">
        <f t="shared" si="57"/>
        <v>19</v>
      </c>
      <c r="P56" s="35">
        <f t="shared" si="57"/>
        <v>19</v>
      </c>
      <c r="Q56" s="35">
        <f t="shared" si="57"/>
        <v>12</v>
      </c>
      <c r="R56" s="35" t="str">
        <f t="shared" si="57"/>
        <v>Not played</v>
      </c>
      <c r="S56" s="35" t="str">
        <f t="shared" si="57"/>
        <v>Not played</v>
      </c>
      <c r="T56" s="35" t="str">
        <f t="shared" si="57"/>
        <v>Not played</v>
      </c>
      <c r="U56" s="35" t="str">
        <f t="shared" si="57"/>
        <v>Not played</v>
      </c>
      <c r="V56" s="35" t="str">
        <f t="shared" si="57"/>
        <v>Not played</v>
      </c>
      <c r="W56" s="35" t="str">
        <f t="shared" si="57"/>
        <v>Not played</v>
      </c>
      <c r="X56" s="35" t="str">
        <f t="shared" si="57"/>
        <v>Not played</v>
      </c>
      <c r="Y56" s="35" t="str">
        <f t="shared" si="57"/>
        <v>Not played</v>
      </c>
      <c r="Z56" s="35" t="str">
        <f t="shared" si="57"/>
        <v>Not played</v>
      </c>
      <c r="AA56" s="35" t="str">
        <f t="shared" si="57"/>
        <v>Not played</v>
      </c>
      <c r="AB56" s="35" t="str">
        <f t="shared" si="57"/>
        <v>Not played</v>
      </c>
      <c r="AC56" s="47"/>
      <c r="AD56" s="47"/>
      <c r="AE56" s="47"/>
    </row>
    <row r="57">
      <c r="A57" s="41">
        <f t="shared" si="4"/>
        <v>56</v>
      </c>
      <c r="B57" s="36" t="s">
        <v>93</v>
      </c>
      <c r="C57" s="35">
        <f t="shared" ref="C57:AB57" si="58">IFERROR(VLOOKUP($B57,indirect(text(C$1,"mm/dd/yy")&amp;"!B:L"),11,false),"Not played")</f>
        <v>9</v>
      </c>
      <c r="D57" s="35">
        <f t="shared" si="58"/>
        <v>13</v>
      </c>
      <c r="E57" s="35">
        <f t="shared" si="58"/>
        <v>13</v>
      </c>
      <c r="F57" s="35">
        <f t="shared" si="58"/>
        <v>18</v>
      </c>
      <c r="G57" s="35">
        <f t="shared" si="58"/>
        <v>13</v>
      </c>
      <c r="H57" s="35">
        <f t="shared" si="58"/>
        <v>14</v>
      </c>
      <c r="I57" s="35">
        <f t="shared" si="58"/>
        <v>19</v>
      </c>
      <c r="J57" s="35">
        <f t="shared" si="58"/>
        <v>17</v>
      </c>
      <c r="K57" s="35">
        <f t="shared" si="58"/>
        <v>13</v>
      </c>
      <c r="L57" s="35">
        <f t="shared" si="58"/>
        <v>13</v>
      </c>
      <c r="M57" s="35">
        <f t="shared" si="58"/>
        <v>13</v>
      </c>
      <c r="N57" s="35">
        <f t="shared" si="58"/>
        <v>11</v>
      </c>
      <c r="O57" s="35">
        <f t="shared" si="58"/>
        <v>13</v>
      </c>
      <c r="P57" s="35">
        <f t="shared" si="58"/>
        <v>9</v>
      </c>
      <c r="Q57" s="35">
        <f t="shared" si="58"/>
        <v>18</v>
      </c>
      <c r="R57" s="35" t="str">
        <f t="shared" si="58"/>
        <v>Not played</v>
      </c>
      <c r="S57" s="35" t="str">
        <f t="shared" si="58"/>
        <v>Not played</v>
      </c>
      <c r="T57" s="35" t="str">
        <f t="shared" si="58"/>
        <v>Not played</v>
      </c>
      <c r="U57" s="35" t="str">
        <f t="shared" si="58"/>
        <v>Not played</v>
      </c>
      <c r="V57" s="35" t="str">
        <f t="shared" si="58"/>
        <v>Not played</v>
      </c>
      <c r="W57" s="35" t="str">
        <f t="shared" si="58"/>
        <v>Not played</v>
      </c>
      <c r="X57" s="35" t="str">
        <f t="shared" si="58"/>
        <v>Not played</v>
      </c>
      <c r="Y57" s="35" t="str">
        <f t="shared" si="58"/>
        <v>Not played</v>
      </c>
      <c r="Z57" s="35" t="str">
        <f t="shared" si="58"/>
        <v>Not played</v>
      </c>
      <c r="AA57" s="35" t="str">
        <f t="shared" si="58"/>
        <v>Not played</v>
      </c>
      <c r="AB57" s="35" t="str">
        <f t="shared" si="58"/>
        <v>Not played</v>
      </c>
      <c r="AC57" s="47"/>
      <c r="AD57" s="47"/>
      <c r="AE57" s="47"/>
    </row>
    <row r="58">
      <c r="A58" s="41">
        <f t="shared" si="4"/>
        <v>57</v>
      </c>
      <c r="B58" s="36" t="s">
        <v>139</v>
      </c>
      <c r="C58" s="35">
        <f t="shared" ref="C58:AB58" si="59">IFERROR(VLOOKUP($B58,indirect(text(C$1,"mm/dd/yy")&amp;"!B:L"),11,false),"Not played")</f>
        <v>9</v>
      </c>
      <c r="D58" s="35">
        <f t="shared" si="59"/>
        <v>9</v>
      </c>
      <c r="E58" s="35">
        <f t="shared" si="59"/>
        <v>9</v>
      </c>
      <c r="F58" s="35">
        <f t="shared" si="59"/>
        <v>9</v>
      </c>
      <c r="G58" s="35">
        <f t="shared" si="59"/>
        <v>9</v>
      </c>
      <c r="H58" s="35">
        <f t="shared" si="59"/>
        <v>9</v>
      </c>
      <c r="I58" s="35">
        <f t="shared" si="59"/>
        <v>9</v>
      </c>
      <c r="J58" s="35">
        <f t="shared" si="59"/>
        <v>9</v>
      </c>
      <c r="K58" s="35">
        <f t="shared" si="59"/>
        <v>9</v>
      </c>
      <c r="L58" s="35">
        <f t="shared" si="59"/>
        <v>16</v>
      </c>
      <c r="M58" s="35">
        <f t="shared" si="59"/>
        <v>14</v>
      </c>
      <c r="N58" s="35">
        <f t="shared" si="59"/>
        <v>18</v>
      </c>
      <c r="O58" s="35">
        <f t="shared" si="59"/>
        <v>9</v>
      </c>
      <c r="P58" s="35">
        <f t="shared" si="59"/>
        <v>16</v>
      </c>
      <c r="Q58" s="35">
        <f t="shared" si="59"/>
        <v>9</v>
      </c>
      <c r="R58" s="35" t="str">
        <f t="shared" si="59"/>
        <v>Not played</v>
      </c>
      <c r="S58" s="35" t="str">
        <f t="shared" si="59"/>
        <v>Not played</v>
      </c>
      <c r="T58" s="35" t="str">
        <f t="shared" si="59"/>
        <v>Not played</v>
      </c>
      <c r="U58" s="35" t="str">
        <f t="shared" si="59"/>
        <v>Not played</v>
      </c>
      <c r="V58" s="35" t="str">
        <f t="shared" si="59"/>
        <v>Not played</v>
      </c>
      <c r="W58" s="35" t="str">
        <f t="shared" si="59"/>
        <v>Not played</v>
      </c>
      <c r="X58" s="35" t="str">
        <f t="shared" si="59"/>
        <v>Not played</v>
      </c>
      <c r="Y58" s="35" t="str">
        <f t="shared" si="59"/>
        <v>Not played</v>
      </c>
      <c r="Z58" s="35" t="str">
        <f t="shared" si="59"/>
        <v>Not played</v>
      </c>
      <c r="AA58" s="35" t="str">
        <f t="shared" si="59"/>
        <v>Not played</v>
      </c>
      <c r="AB58" s="35" t="str">
        <f t="shared" si="59"/>
        <v>Not played</v>
      </c>
      <c r="AC58" s="47"/>
      <c r="AD58" s="47"/>
      <c r="AE58" s="47"/>
    </row>
    <row r="59">
      <c r="A59" s="41">
        <f t="shared" si="4"/>
        <v>58</v>
      </c>
      <c r="B59" s="36" t="s">
        <v>140</v>
      </c>
      <c r="C59" s="35">
        <f t="shared" ref="C59:AB59" si="60">IFERROR(VLOOKUP($B59,indirect(text(C$1,"mm/dd/yy")&amp;"!B:L"),11,false),"Not played")</f>
        <v>13</v>
      </c>
      <c r="D59" s="35">
        <f t="shared" si="60"/>
        <v>15</v>
      </c>
      <c r="E59" s="35">
        <f t="shared" si="60"/>
        <v>14</v>
      </c>
      <c r="F59" s="35">
        <f t="shared" si="60"/>
        <v>16</v>
      </c>
      <c r="G59" s="35">
        <f t="shared" si="60"/>
        <v>13</v>
      </c>
      <c r="H59" s="35">
        <f t="shared" si="60"/>
        <v>13</v>
      </c>
      <c r="I59" s="35">
        <f t="shared" si="60"/>
        <v>12</v>
      </c>
      <c r="J59" s="35">
        <f t="shared" si="60"/>
        <v>9</v>
      </c>
      <c r="K59" s="35">
        <f t="shared" si="60"/>
        <v>15</v>
      </c>
      <c r="L59" s="35">
        <f t="shared" si="60"/>
        <v>10</v>
      </c>
      <c r="M59" s="35">
        <f t="shared" si="60"/>
        <v>16</v>
      </c>
      <c r="N59" s="35">
        <f t="shared" si="60"/>
        <v>9</v>
      </c>
      <c r="O59" s="35">
        <f t="shared" si="60"/>
        <v>9</v>
      </c>
      <c r="P59" s="35">
        <f t="shared" si="60"/>
        <v>9</v>
      </c>
      <c r="Q59" s="35">
        <f t="shared" si="60"/>
        <v>14</v>
      </c>
      <c r="R59" s="35" t="str">
        <f t="shared" si="60"/>
        <v>Not played</v>
      </c>
      <c r="S59" s="35" t="str">
        <f t="shared" si="60"/>
        <v>Not played</v>
      </c>
      <c r="T59" s="35" t="str">
        <f t="shared" si="60"/>
        <v>Not played</v>
      </c>
      <c r="U59" s="35" t="str">
        <f t="shared" si="60"/>
        <v>Not played</v>
      </c>
      <c r="V59" s="35" t="str">
        <f t="shared" si="60"/>
        <v>Not played</v>
      </c>
      <c r="W59" s="35" t="str">
        <f t="shared" si="60"/>
        <v>Not played</v>
      </c>
      <c r="X59" s="35" t="str">
        <f t="shared" si="60"/>
        <v>Not played</v>
      </c>
      <c r="Y59" s="35" t="str">
        <f t="shared" si="60"/>
        <v>Not played</v>
      </c>
      <c r="Z59" s="35" t="str">
        <f t="shared" si="60"/>
        <v>Not played</v>
      </c>
      <c r="AA59" s="35" t="str">
        <f t="shared" si="60"/>
        <v>Not played</v>
      </c>
      <c r="AB59" s="35" t="str">
        <f t="shared" si="60"/>
        <v>Not played</v>
      </c>
      <c r="AC59" s="47"/>
      <c r="AD59" s="47"/>
      <c r="AE59" s="47"/>
    </row>
    <row r="60">
      <c r="A60" s="41">
        <f t="shared" si="4"/>
        <v>59</v>
      </c>
      <c r="B60" s="36" t="s">
        <v>135</v>
      </c>
      <c r="C60" s="35">
        <f t="shared" ref="C60:AB60" si="61">IFERROR(VLOOKUP($B60,indirect(text(C$1,"mm/dd/yy")&amp;"!B:L"),11,false),"Not played")</f>
        <v>10</v>
      </c>
      <c r="D60" s="35">
        <f t="shared" si="61"/>
        <v>14</v>
      </c>
      <c r="E60" s="35">
        <f t="shared" si="61"/>
        <v>15</v>
      </c>
      <c r="F60" s="35">
        <f t="shared" si="61"/>
        <v>9</v>
      </c>
      <c r="G60" s="35">
        <f t="shared" si="61"/>
        <v>9</v>
      </c>
      <c r="H60" s="35">
        <f t="shared" si="61"/>
        <v>18</v>
      </c>
      <c r="I60" s="35">
        <f t="shared" si="61"/>
        <v>9</v>
      </c>
      <c r="J60" s="35">
        <f t="shared" si="61"/>
        <v>12</v>
      </c>
      <c r="K60" s="35">
        <f t="shared" si="61"/>
        <v>15</v>
      </c>
      <c r="L60" s="35">
        <f t="shared" si="61"/>
        <v>16</v>
      </c>
      <c r="M60" s="35">
        <f t="shared" si="61"/>
        <v>16</v>
      </c>
      <c r="N60" s="35">
        <f t="shared" si="61"/>
        <v>9</v>
      </c>
      <c r="O60" s="35">
        <f t="shared" si="61"/>
        <v>13</v>
      </c>
      <c r="P60" s="35">
        <f t="shared" si="61"/>
        <v>17</v>
      </c>
      <c r="Q60" s="35">
        <f t="shared" si="61"/>
        <v>12</v>
      </c>
      <c r="R60" s="35" t="str">
        <f t="shared" si="61"/>
        <v>Not played</v>
      </c>
      <c r="S60" s="35" t="str">
        <f t="shared" si="61"/>
        <v>Not played</v>
      </c>
      <c r="T60" s="35" t="str">
        <f t="shared" si="61"/>
        <v>Not played</v>
      </c>
      <c r="U60" s="35" t="str">
        <f t="shared" si="61"/>
        <v>Not played</v>
      </c>
      <c r="V60" s="35" t="str">
        <f t="shared" si="61"/>
        <v>Not played</v>
      </c>
      <c r="W60" s="35" t="str">
        <f t="shared" si="61"/>
        <v>Not played</v>
      </c>
      <c r="X60" s="35" t="str">
        <f t="shared" si="61"/>
        <v>Not played</v>
      </c>
      <c r="Y60" s="35" t="str">
        <f t="shared" si="61"/>
        <v>Not played</v>
      </c>
      <c r="Z60" s="35" t="str">
        <f t="shared" si="61"/>
        <v>Not played</v>
      </c>
      <c r="AA60" s="35" t="str">
        <f t="shared" si="61"/>
        <v>Not played</v>
      </c>
      <c r="AB60" s="35" t="str">
        <f t="shared" si="61"/>
        <v>Not played</v>
      </c>
      <c r="AC60" s="47"/>
      <c r="AD60" s="47"/>
      <c r="AE60" s="47"/>
    </row>
    <row r="61">
      <c r="A61" s="41">
        <f t="shared" si="4"/>
        <v>60</v>
      </c>
      <c r="B61" s="36" t="s">
        <v>68</v>
      </c>
      <c r="C61" s="35">
        <f t="shared" ref="C61:AB61" si="62">IFERROR(VLOOKUP($B61,indirect(text(C$1,"mm/dd/yy")&amp;"!B:L"),11,false),"Not played")</f>
        <v>13</v>
      </c>
      <c r="D61" s="35">
        <f t="shared" si="62"/>
        <v>17</v>
      </c>
      <c r="E61" s="35">
        <f t="shared" si="62"/>
        <v>15</v>
      </c>
      <c r="F61" s="35">
        <f t="shared" si="62"/>
        <v>9</v>
      </c>
      <c r="G61" s="35">
        <f t="shared" si="62"/>
        <v>9</v>
      </c>
      <c r="H61" s="35">
        <f t="shared" si="62"/>
        <v>9</v>
      </c>
      <c r="I61" s="35">
        <f t="shared" si="62"/>
        <v>19</v>
      </c>
      <c r="J61" s="35">
        <f t="shared" si="62"/>
        <v>19</v>
      </c>
      <c r="K61" s="35">
        <f t="shared" si="62"/>
        <v>18</v>
      </c>
      <c r="L61" s="35">
        <f t="shared" si="62"/>
        <v>14</v>
      </c>
      <c r="M61" s="35">
        <f t="shared" si="62"/>
        <v>19</v>
      </c>
      <c r="N61" s="35">
        <f t="shared" si="62"/>
        <v>19</v>
      </c>
      <c r="O61" s="35">
        <f t="shared" si="62"/>
        <v>14</v>
      </c>
      <c r="P61" s="35">
        <f t="shared" si="62"/>
        <v>19</v>
      </c>
      <c r="Q61" s="35">
        <f t="shared" si="62"/>
        <v>9</v>
      </c>
      <c r="R61" s="35" t="str">
        <f t="shared" si="62"/>
        <v>Not played</v>
      </c>
      <c r="S61" s="35" t="str">
        <f t="shared" si="62"/>
        <v>Not played</v>
      </c>
      <c r="T61" s="35" t="str">
        <f t="shared" si="62"/>
        <v>Not played</v>
      </c>
      <c r="U61" s="35" t="str">
        <f t="shared" si="62"/>
        <v>Not played</v>
      </c>
      <c r="V61" s="35" t="str">
        <f t="shared" si="62"/>
        <v>Not played</v>
      </c>
      <c r="W61" s="35" t="str">
        <f t="shared" si="62"/>
        <v>Not played</v>
      </c>
      <c r="X61" s="35" t="str">
        <f t="shared" si="62"/>
        <v>Not played</v>
      </c>
      <c r="Y61" s="35" t="str">
        <f t="shared" si="62"/>
        <v>Not played</v>
      </c>
      <c r="Z61" s="35" t="str">
        <f t="shared" si="62"/>
        <v>Not played</v>
      </c>
      <c r="AA61" s="35" t="str">
        <f t="shared" si="62"/>
        <v>Not played</v>
      </c>
      <c r="AB61" s="35" t="str">
        <f t="shared" si="62"/>
        <v>Not played</v>
      </c>
      <c r="AC61" s="47"/>
      <c r="AD61" s="47"/>
      <c r="AE61" s="47"/>
    </row>
    <row r="62">
      <c r="A62" s="41">
        <f t="shared" si="4"/>
        <v>61</v>
      </c>
      <c r="B62" s="36" t="s">
        <v>141</v>
      </c>
      <c r="C62" s="35">
        <f t="shared" ref="C62:AB62" si="63">IFERROR(VLOOKUP($B62,indirect(text(C$1,"mm/dd/yy")&amp;"!B:L"),11,false),"Not played")</f>
        <v>13</v>
      </c>
      <c r="D62" s="35">
        <f t="shared" si="63"/>
        <v>13</v>
      </c>
      <c r="E62" s="35">
        <f t="shared" si="63"/>
        <v>9</v>
      </c>
      <c r="F62" s="35">
        <f t="shared" si="63"/>
        <v>8</v>
      </c>
      <c r="G62" s="35">
        <f t="shared" si="63"/>
        <v>13</v>
      </c>
      <c r="H62" s="35">
        <f t="shared" si="63"/>
        <v>9</v>
      </c>
      <c r="I62" s="35">
        <f t="shared" si="63"/>
        <v>6</v>
      </c>
      <c r="J62" s="35">
        <f t="shared" si="63"/>
        <v>9</v>
      </c>
      <c r="K62" s="35">
        <f t="shared" si="63"/>
        <v>9</v>
      </c>
      <c r="L62" s="35">
        <f t="shared" si="63"/>
        <v>9</v>
      </c>
      <c r="M62" s="35">
        <f t="shared" si="63"/>
        <v>9</v>
      </c>
      <c r="N62" s="35">
        <f t="shared" si="63"/>
        <v>9</v>
      </c>
      <c r="O62" s="35">
        <f t="shared" si="63"/>
        <v>13</v>
      </c>
      <c r="P62" s="35">
        <f t="shared" si="63"/>
        <v>11</v>
      </c>
      <c r="Q62" s="35">
        <f t="shared" si="63"/>
        <v>16</v>
      </c>
      <c r="R62" s="35" t="str">
        <f t="shared" si="63"/>
        <v>Not played</v>
      </c>
      <c r="S62" s="35" t="str">
        <f t="shared" si="63"/>
        <v>Not played</v>
      </c>
      <c r="T62" s="35" t="str">
        <f t="shared" si="63"/>
        <v>Not played</v>
      </c>
      <c r="U62" s="35" t="str">
        <f t="shared" si="63"/>
        <v>Not played</v>
      </c>
      <c r="V62" s="35" t="str">
        <f t="shared" si="63"/>
        <v>Not played</v>
      </c>
      <c r="W62" s="35" t="str">
        <f t="shared" si="63"/>
        <v>Not played</v>
      </c>
      <c r="X62" s="35" t="str">
        <f t="shared" si="63"/>
        <v>Not played</v>
      </c>
      <c r="Y62" s="35" t="str">
        <f t="shared" si="63"/>
        <v>Not played</v>
      </c>
      <c r="Z62" s="35" t="str">
        <f t="shared" si="63"/>
        <v>Not played</v>
      </c>
      <c r="AA62" s="35" t="str">
        <f t="shared" si="63"/>
        <v>Not played</v>
      </c>
      <c r="AB62" s="35" t="str">
        <f t="shared" si="63"/>
        <v>Not played</v>
      </c>
      <c r="AC62" s="47"/>
      <c r="AD62" s="47"/>
      <c r="AE62" s="47"/>
    </row>
    <row r="63">
      <c r="A63" s="41">
        <f t="shared" si="4"/>
        <v>62</v>
      </c>
      <c r="B63" s="36" t="s">
        <v>142</v>
      </c>
      <c r="C63" s="35">
        <f t="shared" ref="C63:AB63" si="64">IFERROR(VLOOKUP($B63,indirect(text(C$1,"mm/dd/yy")&amp;"!B:L"),11,false),"Not played")</f>
        <v>9</v>
      </c>
      <c r="D63" s="35">
        <f t="shared" si="64"/>
        <v>18</v>
      </c>
      <c r="E63" s="35">
        <f t="shared" si="64"/>
        <v>9</v>
      </c>
      <c r="F63" s="35">
        <f t="shared" si="64"/>
        <v>9</v>
      </c>
      <c r="G63" s="35">
        <f t="shared" si="64"/>
        <v>9</v>
      </c>
      <c r="H63" s="35">
        <f t="shared" si="64"/>
        <v>9</v>
      </c>
      <c r="I63" s="35">
        <f t="shared" si="64"/>
        <v>9</v>
      </c>
      <c r="J63" s="35">
        <f t="shared" si="64"/>
        <v>18</v>
      </c>
      <c r="K63" s="35">
        <f t="shared" si="64"/>
        <v>9</v>
      </c>
      <c r="L63" s="35">
        <f t="shared" si="64"/>
        <v>13</v>
      </c>
      <c r="M63" s="35">
        <f t="shared" si="64"/>
        <v>9</v>
      </c>
      <c r="N63" s="35">
        <f t="shared" si="64"/>
        <v>18</v>
      </c>
      <c r="O63" s="35">
        <f t="shared" si="64"/>
        <v>9</v>
      </c>
      <c r="P63" s="35">
        <f t="shared" si="64"/>
        <v>18</v>
      </c>
      <c r="Q63" s="35">
        <f t="shared" si="64"/>
        <v>9</v>
      </c>
      <c r="R63" s="35" t="str">
        <f t="shared" si="64"/>
        <v>Not played</v>
      </c>
      <c r="S63" s="35" t="str">
        <f t="shared" si="64"/>
        <v>Not played</v>
      </c>
      <c r="T63" s="35" t="str">
        <f t="shared" si="64"/>
        <v>Not played</v>
      </c>
      <c r="U63" s="35" t="str">
        <f t="shared" si="64"/>
        <v>Not played</v>
      </c>
      <c r="V63" s="35" t="str">
        <f t="shared" si="64"/>
        <v>Not played</v>
      </c>
      <c r="W63" s="35" t="str">
        <f t="shared" si="64"/>
        <v>Not played</v>
      </c>
      <c r="X63" s="35" t="str">
        <f t="shared" si="64"/>
        <v>Not played</v>
      </c>
      <c r="Y63" s="35" t="str">
        <f t="shared" si="64"/>
        <v>Not played</v>
      </c>
      <c r="Z63" s="35" t="str">
        <f t="shared" si="64"/>
        <v>Not played</v>
      </c>
      <c r="AA63" s="35" t="str">
        <f t="shared" si="64"/>
        <v>Not played</v>
      </c>
      <c r="AB63" s="35" t="str">
        <f t="shared" si="64"/>
        <v>Not played</v>
      </c>
      <c r="AC63" s="47"/>
      <c r="AD63" s="47"/>
      <c r="AE63" s="47"/>
    </row>
    <row r="64">
      <c r="A64" s="41">
        <f t="shared" si="4"/>
        <v>63</v>
      </c>
      <c r="B64" s="36" t="s">
        <v>143</v>
      </c>
      <c r="C64" s="35">
        <f t="shared" ref="C64:AB64" si="65">IFERROR(VLOOKUP($B64,indirect(text(C$1,"mm/dd/yy")&amp;"!B:L"),11,false),"Not played")</f>
        <v>9</v>
      </c>
      <c r="D64" s="35">
        <f t="shared" si="65"/>
        <v>9</v>
      </c>
      <c r="E64" s="35">
        <f t="shared" si="65"/>
        <v>5</v>
      </c>
      <c r="F64" s="35">
        <f t="shared" si="65"/>
        <v>9</v>
      </c>
      <c r="G64" s="35">
        <f t="shared" si="65"/>
        <v>9</v>
      </c>
      <c r="H64" s="35">
        <f t="shared" si="65"/>
        <v>9</v>
      </c>
      <c r="I64" s="35">
        <f t="shared" si="65"/>
        <v>9</v>
      </c>
      <c r="J64" s="35">
        <f t="shared" si="65"/>
        <v>13</v>
      </c>
      <c r="K64" s="35">
        <f t="shared" si="65"/>
        <v>9</v>
      </c>
      <c r="L64" s="35">
        <f t="shared" si="65"/>
        <v>9</v>
      </c>
      <c r="M64" s="35">
        <f t="shared" si="65"/>
        <v>9</v>
      </c>
      <c r="N64" s="35">
        <f t="shared" si="65"/>
        <v>9</v>
      </c>
      <c r="O64" s="35">
        <f t="shared" si="65"/>
        <v>9</v>
      </c>
      <c r="P64" s="35">
        <f t="shared" si="65"/>
        <v>9</v>
      </c>
      <c r="Q64" s="35">
        <f t="shared" si="65"/>
        <v>9</v>
      </c>
      <c r="R64" s="35" t="str">
        <f t="shared" si="65"/>
        <v>Not played</v>
      </c>
      <c r="S64" s="35" t="str">
        <f t="shared" si="65"/>
        <v>Not played</v>
      </c>
      <c r="T64" s="35" t="str">
        <f t="shared" si="65"/>
        <v>Not played</v>
      </c>
      <c r="U64" s="35" t="str">
        <f t="shared" si="65"/>
        <v>Not played</v>
      </c>
      <c r="V64" s="35" t="str">
        <f t="shared" si="65"/>
        <v>Not played</v>
      </c>
      <c r="W64" s="35" t="str">
        <f t="shared" si="65"/>
        <v>Not played</v>
      </c>
      <c r="X64" s="35" t="str">
        <f t="shared" si="65"/>
        <v>Not played</v>
      </c>
      <c r="Y64" s="35" t="str">
        <f t="shared" si="65"/>
        <v>Not played</v>
      </c>
      <c r="Z64" s="35" t="str">
        <f t="shared" si="65"/>
        <v>Not played</v>
      </c>
      <c r="AA64" s="35" t="str">
        <f t="shared" si="65"/>
        <v>Not played</v>
      </c>
      <c r="AB64" s="35" t="str">
        <f t="shared" si="65"/>
        <v>Not played</v>
      </c>
      <c r="AC64" s="47"/>
      <c r="AD64" s="47"/>
      <c r="AE64" s="47"/>
    </row>
    <row r="65">
      <c r="A65" s="41">
        <f t="shared" si="4"/>
        <v>64</v>
      </c>
      <c r="B65" s="36" t="s">
        <v>144</v>
      </c>
      <c r="C65" s="35">
        <f t="shared" ref="C65:AB65" si="66">IFERROR(VLOOKUP($B65,indirect(text(C$1,"mm/dd/yy")&amp;"!B:L"),11,false),"Not played")</f>
        <v>15</v>
      </c>
      <c r="D65" s="35">
        <f t="shared" si="66"/>
        <v>9</v>
      </c>
      <c r="E65" s="35">
        <f t="shared" si="66"/>
        <v>13</v>
      </c>
      <c r="F65" s="35">
        <f t="shared" si="66"/>
        <v>7</v>
      </c>
      <c r="G65" s="35">
        <f t="shared" si="66"/>
        <v>9</v>
      </c>
      <c r="H65" s="35">
        <f t="shared" si="66"/>
        <v>9</v>
      </c>
      <c r="I65" s="35">
        <f t="shared" si="66"/>
        <v>14</v>
      </c>
      <c r="J65" s="35">
        <f t="shared" si="66"/>
        <v>13</v>
      </c>
      <c r="K65" s="35">
        <f t="shared" si="66"/>
        <v>13</v>
      </c>
      <c r="L65" s="35">
        <f t="shared" si="66"/>
        <v>6</v>
      </c>
      <c r="M65" s="35">
        <f t="shared" si="66"/>
        <v>9</v>
      </c>
      <c r="N65" s="35">
        <f t="shared" si="66"/>
        <v>9</v>
      </c>
      <c r="O65" s="35">
        <f t="shared" si="66"/>
        <v>9</v>
      </c>
      <c r="P65" s="35">
        <f t="shared" si="66"/>
        <v>9</v>
      </c>
      <c r="Q65" s="35">
        <f t="shared" si="66"/>
        <v>9</v>
      </c>
      <c r="R65" s="35" t="str">
        <f t="shared" si="66"/>
        <v>Not played</v>
      </c>
      <c r="S65" s="35" t="str">
        <f t="shared" si="66"/>
        <v>Not played</v>
      </c>
      <c r="T65" s="35" t="str">
        <f t="shared" si="66"/>
        <v>Not played</v>
      </c>
      <c r="U65" s="35" t="str">
        <f t="shared" si="66"/>
        <v>Not played</v>
      </c>
      <c r="V65" s="35" t="str">
        <f t="shared" si="66"/>
        <v>Not played</v>
      </c>
      <c r="W65" s="35" t="str">
        <f t="shared" si="66"/>
        <v>Not played</v>
      </c>
      <c r="X65" s="35" t="str">
        <f t="shared" si="66"/>
        <v>Not played</v>
      </c>
      <c r="Y65" s="35" t="str">
        <f t="shared" si="66"/>
        <v>Not played</v>
      </c>
      <c r="Z65" s="35" t="str">
        <f t="shared" si="66"/>
        <v>Not played</v>
      </c>
      <c r="AA65" s="35" t="str">
        <f t="shared" si="66"/>
        <v>Not played</v>
      </c>
      <c r="AB65" s="35" t="str">
        <f t="shared" si="66"/>
        <v>Not played</v>
      </c>
      <c r="AC65" s="47"/>
      <c r="AD65" s="47"/>
      <c r="AE65" s="47"/>
    </row>
    <row r="66">
      <c r="A66" s="41">
        <f t="shared" si="4"/>
        <v>65</v>
      </c>
      <c r="B66" s="36" t="s">
        <v>97</v>
      </c>
      <c r="C66" s="35">
        <f t="shared" ref="C66:AB66" si="67">IFERROR(VLOOKUP($B66,indirect(text(C$1,"mm/dd/yy")&amp;"!B:L"),11,false),"Not played")</f>
        <v>14</v>
      </c>
      <c r="D66" s="35">
        <f t="shared" si="67"/>
        <v>8</v>
      </c>
      <c r="E66" s="35">
        <f t="shared" si="67"/>
        <v>10</v>
      </c>
      <c r="F66" s="35">
        <f t="shared" si="67"/>
        <v>18</v>
      </c>
      <c r="G66" s="35">
        <f t="shared" si="67"/>
        <v>16</v>
      </c>
      <c r="H66" s="35">
        <f t="shared" si="67"/>
        <v>14</v>
      </c>
      <c r="I66" s="35">
        <f t="shared" si="67"/>
        <v>15</v>
      </c>
      <c r="J66" s="35">
        <f t="shared" si="67"/>
        <v>16</v>
      </c>
      <c r="K66" s="35">
        <f t="shared" si="67"/>
        <v>11</v>
      </c>
      <c r="L66" s="35">
        <f t="shared" si="67"/>
        <v>17</v>
      </c>
      <c r="M66" s="35">
        <f t="shared" si="67"/>
        <v>14</v>
      </c>
      <c r="N66" s="35">
        <f t="shared" si="67"/>
        <v>12</v>
      </c>
      <c r="O66" s="35">
        <f t="shared" si="67"/>
        <v>12</v>
      </c>
      <c r="P66" s="35">
        <f t="shared" si="67"/>
        <v>16</v>
      </c>
      <c r="Q66" s="35">
        <f t="shared" si="67"/>
        <v>12</v>
      </c>
      <c r="R66" s="35" t="str">
        <f t="shared" si="67"/>
        <v>Not played</v>
      </c>
      <c r="S66" s="35" t="str">
        <f t="shared" si="67"/>
        <v>Not played</v>
      </c>
      <c r="T66" s="35" t="str">
        <f t="shared" si="67"/>
        <v>Not played</v>
      </c>
      <c r="U66" s="35" t="str">
        <f t="shared" si="67"/>
        <v>Not played</v>
      </c>
      <c r="V66" s="35" t="str">
        <f t="shared" si="67"/>
        <v>Not played</v>
      </c>
      <c r="W66" s="35" t="str">
        <f t="shared" si="67"/>
        <v>Not played</v>
      </c>
      <c r="X66" s="35" t="str">
        <f t="shared" si="67"/>
        <v>Not played</v>
      </c>
      <c r="Y66" s="35" t="str">
        <f t="shared" si="67"/>
        <v>Not played</v>
      </c>
      <c r="Z66" s="35" t="str">
        <f t="shared" si="67"/>
        <v>Not played</v>
      </c>
      <c r="AA66" s="35" t="str">
        <f t="shared" si="67"/>
        <v>Not played</v>
      </c>
      <c r="AB66" s="35" t="str">
        <f t="shared" si="67"/>
        <v>Not played</v>
      </c>
      <c r="AC66" s="47"/>
      <c r="AD66" s="47"/>
      <c r="AE66" s="47"/>
    </row>
    <row r="67">
      <c r="A67" s="41">
        <f t="shared" si="4"/>
        <v>66</v>
      </c>
      <c r="B67" s="36" t="s">
        <v>145</v>
      </c>
      <c r="C67" s="35">
        <f t="shared" ref="C67:AB67" si="68">IFERROR(VLOOKUP($B67,indirect(text(C$1,"mm/dd/yy")&amp;"!B:L"),11,false),"Not played")</f>
        <v>9</v>
      </c>
      <c r="D67" s="35">
        <f t="shared" si="68"/>
        <v>9</v>
      </c>
      <c r="E67" s="35">
        <f t="shared" si="68"/>
        <v>9</v>
      </c>
      <c r="F67" s="35">
        <f t="shared" si="68"/>
        <v>9</v>
      </c>
      <c r="G67" s="35">
        <f t="shared" si="68"/>
        <v>9</v>
      </c>
      <c r="H67" s="35">
        <f t="shared" si="68"/>
        <v>9</v>
      </c>
      <c r="I67" s="35">
        <f t="shared" si="68"/>
        <v>19</v>
      </c>
      <c r="J67" s="35">
        <f t="shared" si="68"/>
        <v>9</v>
      </c>
      <c r="K67" s="35">
        <f t="shared" si="68"/>
        <v>9</v>
      </c>
      <c r="L67" s="35">
        <f t="shared" si="68"/>
        <v>9</v>
      </c>
      <c r="M67" s="35">
        <f t="shared" si="68"/>
        <v>9</v>
      </c>
      <c r="N67" s="35">
        <f t="shared" si="68"/>
        <v>13</v>
      </c>
      <c r="O67" s="35">
        <f t="shared" si="68"/>
        <v>9</v>
      </c>
      <c r="P67" s="35">
        <f t="shared" si="68"/>
        <v>9</v>
      </c>
      <c r="Q67" s="35">
        <f t="shared" si="68"/>
        <v>9</v>
      </c>
      <c r="R67" s="35" t="str">
        <f t="shared" si="68"/>
        <v>Not played</v>
      </c>
      <c r="S67" s="35" t="str">
        <f t="shared" si="68"/>
        <v>Not played</v>
      </c>
      <c r="T67" s="35" t="str">
        <f t="shared" si="68"/>
        <v>Not played</v>
      </c>
      <c r="U67" s="35" t="str">
        <f t="shared" si="68"/>
        <v>Not played</v>
      </c>
      <c r="V67" s="35" t="str">
        <f t="shared" si="68"/>
        <v>Not played</v>
      </c>
      <c r="W67" s="35" t="str">
        <f t="shared" si="68"/>
        <v>Not played</v>
      </c>
      <c r="X67" s="35" t="str">
        <f t="shared" si="68"/>
        <v>Not played</v>
      </c>
      <c r="Y67" s="35" t="str">
        <f t="shared" si="68"/>
        <v>Not played</v>
      </c>
      <c r="Z67" s="35" t="str">
        <f t="shared" si="68"/>
        <v>Not played</v>
      </c>
      <c r="AA67" s="35" t="str">
        <f t="shared" si="68"/>
        <v>Not played</v>
      </c>
      <c r="AB67" s="35" t="str">
        <f t="shared" si="68"/>
        <v>Not played</v>
      </c>
      <c r="AC67" s="47"/>
      <c r="AD67" s="47"/>
      <c r="AE67" s="47"/>
    </row>
    <row r="68">
      <c r="A68" s="41">
        <f t="shared" si="4"/>
        <v>67</v>
      </c>
      <c r="B68" s="36" t="s">
        <v>146</v>
      </c>
      <c r="C68" s="35">
        <f t="shared" ref="C68:AB68" si="69">IFERROR(VLOOKUP($B68,indirect(text(C$1,"mm/dd/yy")&amp;"!B:L"),11,false),"Not played")</f>
        <v>8</v>
      </c>
      <c r="D68" s="35">
        <f t="shared" si="69"/>
        <v>12</v>
      </c>
      <c r="E68" s="35">
        <f t="shared" si="69"/>
        <v>13</v>
      </c>
      <c r="F68" s="35">
        <f t="shared" si="69"/>
        <v>15</v>
      </c>
      <c r="G68" s="35">
        <f t="shared" si="69"/>
        <v>9</v>
      </c>
      <c r="H68" s="35">
        <f t="shared" si="69"/>
        <v>9</v>
      </c>
      <c r="I68" s="35">
        <f t="shared" si="69"/>
        <v>13</v>
      </c>
      <c r="J68" s="35">
        <f t="shared" si="69"/>
        <v>18</v>
      </c>
      <c r="K68" s="35">
        <f t="shared" si="69"/>
        <v>7</v>
      </c>
      <c r="L68" s="35">
        <f t="shared" si="69"/>
        <v>13</v>
      </c>
      <c r="M68" s="35">
        <f t="shared" si="69"/>
        <v>7</v>
      </c>
      <c r="N68" s="35">
        <f t="shared" si="69"/>
        <v>10</v>
      </c>
      <c r="O68" s="35">
        <f t="shared" si="69"/>
        <v>9</v>
      </c>
      <c r="P68" s="35">
        <f t="shared" si="69"/>
        <v>9</v>
      </c>
      <c r="Q68" s="35">
        <f t="shared" si="69"/>
        <v>9</v>
      </c>
      <c r="R68" s="35" t="str">
        <f t="shared" si="69"/>
        <v>Not played</v>
      </c>
      <c r="S68" s="35" t="str">
        <f t="shared" si="69"/>
        <v>Not played</v>
      </c>
      <c r="T68" s="35" t="str">
        <f t="shared" si="69"/>
        <v>Not played</v>
      </c>
      <c r="U68" s="35" t="str">
        <f t="shared" si="69"/>
        <v>Not played</v>
      </c>
      <c r="V68" s="35" t="str">
        <f t="shared" si="69"/>
        <v>Not played</v>
      </c>
      <c r="W68" s="35" t="str">
        <f t="shared" si="69"/>
        <v>Not played</v>
      </c>
      <c r="X68" s="35" t="str">
        <f t="shared" si="69"/>
        <v>Not played</v>
      </c>
      <c r="Y68" s="35" t="str">
        <f t="shared" si="69"/>
        <v>Not played</v>
      </c>
      <c r="Z68" s="35" t="str">
        <f t="shared" si="69"/>
        <v>Not played</v>
      </c>
      <c r="AA68" s="35" t="str">
        <f t="shared" si="69"/>
        <v>Not played</v>
      </c>
      <c r="AB68" s="35" t="str">
        <f t="shared" si="69"/>
        <v>Not played</v>
      </c>
      <c r="AC68" s="47"/>
      <c r="AD68" s="47"/>
      <c r="AE68" s="47"/>
    </row>
    <row r="69">
      <c r="A69" s="41"/>
    </row>
    <row r="71">
      <c r="B71" s="36" t="s">
        <v>147</v>
      </c>
      <c r="C71" s="93" t="s">
        <v>148</v>
      </c>
    </row>
    <row r="72">
      <c r="B72" s="36"/>
      <c r="C72" s="94" t="s">
        <v>149</v>
      </c>
    </row>
    <row r="73">
      <c r="B73" s="36"/>
      <c r="C73" s="95" t="s">
        <v>150</v>
      </c>
    </row>
    <row r="74">
      <c r="B74" s="36"/>
      <c r="C74" s="96" t="s">
        <v>151</v>
      </c>
    </row>
    <row r="75">
      <c r="B75" s="36"/>
      <c r="C75" s="36"/>
    </row>
    <row r="76">
      <c r="B76" s="36"/>
      <c r="C76" s="36"/>
    </row>
    <row r="77">
      <c r="B77" s="36"/>
      <c r="C77" s="36"/>
    </row>
    <row r="78">
      <c r="B78" s="36"/>
      <c r="C78" s="36"/>
    </row>
    <row r="79">
      <c r="B79" s="36"/>
      <c r="C79" s="36"/>
    </row>
    <row r="80">
      <c r="B80" s="36"/>
      <c r="C80" s="36"/>
      <c r="K80" s="20" t="s">
        <v>152</v>
      </c>
    </row>
    <row r="81">
      <c r="K81" s="20" t="s">
        <v>153</v>
      </c>
    </row>
    <row r="82">
      <c r="K82" s="20" t="s">
        <v>154</v>
      </c>
      <c r="L82" s="88" t="s">
        <v>155</v>
      </c>
    </row>
    <row r="83">
      <c r="K83" s="20" t="s">
        <v>156</v>
      </c>
      <c r="L83" s="97" t="s">
        <v>157</v>
      </c>
    </row>
    <row r="84">
      <c r="K84" s="20" t="s">
        <v>158</v>
      </c>
      <c r="L84" s="88" t="s">
        <v>159</v>
      </c>
    </row>
    <row r="85">
      <c r="K85" s="20" t="s">
        <v>160</v>
      </c>
      <c r="L85" s="88" t="s">
        <v>161</v>
      </c>
    </row>
    <row r="86">
      <c r="K86" s="20" t="s">
        <v>162</v>
      </c>
      <c r="L86" s="88" t="s">
        <v>163</v>
      </c>
    </row>
    <row r="87">
      <c r="I87" s="98"/>
      <c r="K87" s="20" t="s">
        <v>164</v>
      </c>
      <c r="L87" s="101" t="s">
        <v>165</v>
      </c>
    </row>
    <row r="88">
      <c r="B88" s="20" t="s">
        <v>166</v>
      </c>
      <c r="K88" s="20" t="s">
        <v>167</v>
      </c>
      <c r="L88" s="101" t="s">
        <v>168</v>
      </c>
    </row>
    <row r="89">
      <c r="C89" s="20" t="s">
        <v>169</v>
      </c>
      <c r="D89" s="20" t="s">
        <v>170</v>
      </c>
      <c r="F89" s="20" t="s">
        <v>171</v>
      </c>
    </row>
    <row r="90">
      <c r="B90" s="20" t="s">
        <v>172</v>
      </c>
      <c r="C90" s="28" t="str">
        <f t="shared" ref="C90:C116" si="70">if(iserror(INDIRECT("'" &amp; TEXT(B90, "mm/dd/yy") &amp; "'!$B$5")),"",INDIRECT("'" &amp; TEXT(B90, "mm/dd/yy") &amp; "'!$B$5"))</f>
        <v>Andrew Yao</v>
      </c>
      <c r="D90" s="28">
        <f t="shared" ref="D90:D116" si="71">if(C90&lt;&gt;"",1,"")</f>
        <v>1</v>
      </c>
      <c r="F90" s="28" t="str">
        <f t="array" ref="F90">INDEX(C91:C115, MATCH(TRUE, C91:C115&lt;&gt;"", 0))</f>
        <v>Tom Le</v>
      </c>
    </row>
    <row r="91">
      <c r="B91" s="81">
        <f>Checkin!R17</f>
        <v>46382</v>
      </c>
      <c r="C91" s="28" t="str">
        <f t="shared" si="70"/>
        <v/>
      </c>
      <c r="D91" s="28" t="str">
        <f t="shared" si="71"/>
        <v/>
      </c>
    </row>
    <row r="92">
      <c r="B92" s="103">
        <f t="shared" ref="B92:B115" si="72">B91-7</f>
        <v>46375</v>
      </c>
      <c r="C92" s="28" t="str">
        <f t="shared" si="70"/>
        <v/>
      </c>
      <c r="D92" s="28" t="str">
        <f t="shared" si="71"/>
        <v/>
      </c>
    </row>
    <row r="93">
      <c r="B93" s="103">
        <f t="shared" si="72"/>
        <v>46368</v>
      </c>
      <c r="C93" s="28" t="str">
        <f t="shared" si="70"/>
        <v/>
      </c>
      <c r="D93" s="28" t="str">
        <f t="shared" si="71"/>
        <v/>
      </c>
    </row>
    <row r="94">
      <c r="B94" s="103">
        <f t="shared" si="72"/>
        <v>46361</v>
      </c>
      <c r="C94" s="28" t="str">
        <f t="shared" si="70"/>
        <v/>
      </c>
      <c r="D94" s="28" t="str">
        <f t="shared" si="71"/>
        <v/>
      </c>
    </row>
    <row r="95">
      <c r="B95" s="103">
        <f t="shared" si="72"/>
        <v>46354</v>
      </c>
      <c r="C95" s="28" t="str">
        <f t="shared" si="70"/>
        <v/>
      </c>
      <c r="D95" s="28" t="str">
        <f t="shared" si="71"/>
        <v/>
      </c>
    </row>
    <row r="96">
      <c r="B96" s="103">
        <f t="shared" si="72"/>
        <v>46347</v>
      </c>
      <c r="C96" s="28" t="str">
        <f t="shared" si="70"/>
        <v/>
      </c>
      <c r="D96" s="28" t="str">
        <f t="shared" si="71"/>
        <v/>
      </c>
    </row>
    <row r="97">
      <c r="B97" s="103">
        <f t="shared" si="72"/>
        <v>46340</v>
      </c>
      <c r="C97" s="28" t="str">
        <f t="shared" si="70"/>
        <v/>
      </c>
      <c r="D97" s="28" t="str">
        <f t="shared" si="71"/>
        <v/>
      </c>
    </row>
    <row r="98">
      <c r="B98" s="103">
        <f t="shared" si="72"/>
        <v>46333</v>
      </c>
      <c r="C98" s="28" t="str">
        <f t="shared" si="70"/>
        <v/>
      </c>
      <c r="D98" s="28" t="str">
        <f t="shared" si="71"/>
        <v/>
      </c>
    </row>
    <row r="99">
      <c r="B99" s="103">
        <f t="shared" si="72"/>
        <v>46326</v>
      </c>
      <c r="C99" s="28" t="str">
        <f t="shared" si="70"/>
        <v/>
      </c>
      <c r="D99" s="28" t="str">
        <f t="shared" si="71"/>
        <v/>
      </c>
    </row>
    <row r="100">
      <c r="B100" s="103">
        <f t="shared" si="72"/>
        <v>46319</v>
      </c>
      <c r="C100" s="28" t="str">
        <f t="shared" si="70"/>
        <v/>
      </c>
      <c r="D100" s="28" t="str">
        <f t="shared" si="71"/>
        <v/>
      </c>
    </row>
    <row r="101">
      <c r="B101" s="103">
        <f t="shared" si="72"/>
        <v>46312</v>
      </c>
      <c r="C101" s="28" t="str">
        <f t="shared" si="70"/>
        <v/>
      </c>
      <c r="D101" s="28" t="str">
        <f t="shared" si="71"/>
        <v/>
      </c>
    </row>
    <row r="102">
      <c r="B102" s="103">
        <f t="shared" si="72"/>
        <v>46305</v>
      </c>
      <c r="C102" s="28" t="str">
        <f t="shared" si="70"/>
        <v>Tom Le</v>
      </c>
      <c r="D102" s="28">
        <f t="shared" si="71"/>
        <v>1</v>
      </c>
    </row>
    <row r="103">
      <c r="B103" s="103">
        <f t="shared" si="72"/>
        <v>46298</v>
      </c>
      <c r="C103" s="28" t="str">
        <f t="shared" si="70"/>
        <v>Tom Le</v>
      </c>
      <c r="D103" s="28">
        <f t="shared" si="71"/>
        <v>1</v>
      </c>
    </row>
    <row r="104">
      <c r="B104" s="103">
        <f t="shared" si="72"/>
        <v>46291</v>
      </c>
      <c r="C104" s="28" t="str">
        <f t="shared" si="70"/>
        <v>Tom Le</v>
      </c>
      <c r="D104" s="28">
        <f t="shared" si="71"/>
        <v>1</v>
      </c>
    </row>
    <row r="105">
      <c r="B105" s="103">
        <f t="shared" si="72"/>
        <v>46284</v>
      </c>
      <c r="C105" s="28" t="str">
        <f t="shared" si="70"/>
        <v>Pulkit Mathur</v>
      </c>
      <c r="D105" s="28">
        <f t="shared" si="71"/>
        <v>1</v>
      </c>
    </row>
    <row r="106">
      <c r="B106" s="103">
        <f t="shared" si="72"/>
        <v>46277</v>
      </c>
      <c r="C106" s="28" t="str">
        <f t="shared" si="70"/>
        <v>Pulkit Mathur</v>
      </c>
      <c r="D106" s="28">
        <f t="shared" si="71"/>
        <v>1</v>
      </c>
    </row>
    <row r="107">
      <c r="B107" s="103">
        <f t="shared" si="72"/>
        <v>46270</v>
      </c>
      <c r="C107" s="28" t="str">
        <f t="shared" si="70"/>
        <v>Andrew Yao</v>
      </c>
      <c r="D107" s="28">
        <f t="shared" si="71"/>
        <v>1</v>
      </c>
    </row>
    <row r="108">
      <c r="B108" s="103">
        <f t="shared" si="72"/>
        <v>46263</v>
      </c>
      <c r="C108" s="28" t="str">
        <f t="shared" si="70"/>
        <v>Rudy Tatang</v>
      </c>
      <c r="D108" s="28">
        <f t="shared" si="71"/>
        <v>1</v>
      </c>
    </row>
    <row r="109">
      <c r="B109" s="103">
        <f t="shared" si="72"/>
        <v>46256</v>
      </c>
      <c r="C109" s="28" t="str">
        <f t="shared" si="70"/>
        <v>Rudy Tatang</v>
      </c>
      <c r="D109" s="28">
        <f t="shared" si="71"/>
        <v>1</v>
      </c>
    </row>
    <row r="110">
      <c r="B110" s="103">
        <f t="shared" si="72"/>
        <v>46249</v>
      </c>
      <c r="C110" s="28" t="str">
        <f t="shared" si="70"/>
        <v>Rudy Tatang</v>
      </c>
      <c r="D110" s="28">
        <f t="shared" si="71"/>
        <v>1</v>
      </c>
    </row>
    <row r="111">
      <c r="B111" s="103">
        <f t="shared" si="72"/>
        <v>46242</v>
      </c>
      <c r="C111" s="28" t="str">
        <f t="shared" si="70"/>
        <v>Rudy Tatang</v>
      </c>
      <c r="D111" s="28">
        <f t="shared" si="71"/>
        <v>1</v>
      </c>
    </row>
    <row r="112">
      <c r="B112" s="103">
        <f t="shared" si="72"/>
        <v>46235</v>
      </c>
      <c r="C112" s="28" t="str">
        <f t="shared" si="70"/>
        <v>Rudy Tatang</v>
      </c>
      <c r="D112" s="28">
        <f t="shared" si="71"/>
        <v>1</v>
      </c>
    </row>
    <row r="113">
      <c r="B113" s="103">
        <f t="shared" si="72"/>
        <v>46228</v>
      </c>
      <c r="C113" s="28" t="str">
        <f t="shared" si="70"/>
        <v>Darren Wong</v>
      </c>
      <c r="D113" s="28">
        <f t="shared" si="71"/>
        <v>1</v>
      </c>
    </row>
    <row r="114">
      <c r="B114" s="103">
        <f t="shared" si="72"/>
        <v>46221</v>
      </c>
      <c r="C114" s="28" t="str">
        <f t="shared" si="70"/>
        <v>Darren Wong</v>
      </c>
      <c r="D114" s="28">
        <f t="shared" si="71"/>
        <v>1</v>
      </c>
    </row>
    <row r="115">
      <c r="B115" s="103">
        <f t="shared" si="72"/>
        <v>46214</v>
      </c>
      <c r="C115" s="28" t="str">
        <f t="shared" si="70"/>
        <v>Darren Wong</v>
      </c>
      <c r="D115" s="28">
        <f t="shared" si="71"/>
        <v>1</v>
      </c>
    </row>
    <row r="116">
      <c r="C116" s="28" t="str">
        <f t="shared" si="70"/>
        <v/>
      </c>
      <c r="D116" s="28" t="str">
        <f t="shared" si="71"/>
        <v/>
      </c>
    </row>
  </sheetData>
  <conditionalFormatting sqref="C2:AE68">
    <cfRule type="cellIs" dxfId="0" priority="1" operator="between">
      <formula>18</formula>
      <formula>20</formula>
    </cfRule>
  </conditionalFormatting>
  <conditionalFormatting sqref="C2:AE68">
    <cfRule type="cellIs" dxfId="5" priority="2" operator="greaterThanOrEqual">
      <formula>21</formula>
    </cfRule>
  </conditionalFormatting>
  <conditionalFormatting sqref="C2:AE68">
    <cfRule type="cellIs" dxfId="6" priority="3" operator="between">
      <formula>0</formula>
      <formula>8</formula>
    </cfRule>
  </conditionalFormatting>
  <hyperlinks>
    <hyperlink r:id="rId1" ref="L82"/>
    <hyperlink r:id="rId2" ref="L83"/>
    <hyperlink r:id="rId3" ref="L84"/>
    <hyperlink r:id="rId4" ref="L85"/>
    <hyperlink r:id="rId5" ref="L86"/>
    <hyperlink r:id="rId6" ref="L87"/>
    <hyperlink r:id="rId7" ref="L8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21.38"/>
    <col customWidth="1" min="4" max="4" width="24.5"/>
  </cols>
  <sheetData>
    <row r="1">
      <c r="A1" s="87" t="str">
        <f>IFERROR(__xludf.DUMMYFUNCTION("IMPORTRANGE(""1vk67ABbS4TvdE0gnpv39mwReeTC8qhP2vyc266Yeuy8"",""Waitlist!A1:D199"")"),"#REF!")</f>
        <v>#REF!</v>
      </c>
      <c r="B1" s="3"/>
      <c r="C1" s="3"/>
      <c r="D1" s="3"/>
    </row>
    <row r="2">
      <c r="A2" s="22"/>
      <c r="B2" s="22"/>
      <c r="C2" s="22"/>
      <c r="D2" s="22"/>
    </row>
    <row r="3">
      <c r="A3" s="22"/>
      <c r="B3" s="22"/>
      <c r="C3" s="22"/>
      <c r="D3" s="22"/>
    </row>
    <row r="4">
      <c r="A4" s="22"/>
      <c r="B4" s="22"/>
      <c r="C4" s="22"/>
      <c r="D4" s="22"/>
      <c r="G4" s="20" t="s">
        <v>123</v>
      </c>
    </row>
    <row r="5">
      <c r="A5" s="22"/>
      <c r="B5" s="22"/>
      <c r="C5" s="22"/>
      <c r="D5" s="22"/>
      <c r="G5" s="88" t="s">
        <v>124</v>
      </c>
    </row>
    <row r="6">
      <c r="A6" s="22"/>
      <c r="B6" s="22"/>
      <c r="C6" s="22"/>
      <c r="D6" s="22"/>
    </row>
    <row r="7">
      <c r="A7" s="22"/>
      <c r="B7" s="22"/>
      <c r="C7" s="22"/>
      <c r="D7" s="22"/>
    </row>
    <row r="8">
      <c r="A8" s="22"/>
      <c r="B8" s="22"/>
      <c r="C8" s="22"/>
      <c r="D8" s="22"/>
    </row>
    <row r="9">
      <c r="A9" s="22"/>
      <c r="B9" s="22"/>
      <c r="C9" s="22"/>
      <c r="D9" s="22"/>
    </row>
    <row r="10">
      <c r="A10" s="22"/>
      <c r="B10" s="22"/>
      <c r="C10" s="22"/>
      <c r="D10" s="22"/>
    </row>
    <row r="11">
      <c r="A11" s="22"/>
      <c r="B11" s="22"/>
      <c r="C11" s="22"/>
      <c r="D11" s="22"/>
    </row>
    <row r="12">
      <c r="A12" s="22"/>
      <c r="B12" s="22"/>
      <c r="C12" s="22"/>
      <c r="D12" s="22"/>
    </row>
    <row r="13">
      <c r="A13" s="22"/>
      <c r="B13" s="22"/>
      <c r="C13" s="22"/>
      <c r="D13" s="22"/>
    </row>
    <row r="14">
      <c r="A14" s="22"/>
      <c r="B14" s="22"/>
      <c r="C14" s="22"/>
      <c r="D14" s="22"/>
    </row>
    <row r="15">
      <c r="A15" s="22"/>
      <c r="B15" s="22"/>
      <c r="C15" s="22"/>
      <c r="D15" s="22"/>
    </row>
    <row r="16">
      <c r="A16" s="22"/>
      <c r="B16" s="22"/>
      <c r="C16" s="22"/>
      <c r="D16" s="22"/>
    </row>
    <row r="17">
      <c r="A17" s="22"/>
      <c r="B17" s="22"/>
      <c r="C17" s="22"/>
      <c r="D17" s="22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>
      <c r="A21" s="22"/>
      <c r="B21" s="22"/>
      <c r="C21" s="22"/>
      <c r="D21" s="22"/>
    </row>
    <row r="22">
      <c r="A22" s="22"/>
      <c r="B22" s="22"/>
      <c r="C22" s="22"/>
      <c r="D22" s="22"/>
    </row>
    <row r="23">
      <c r="A23" s="22"/>
      <c r="B23" s="22"/>
      <c r="C23" s="22"/>
      <c r="D23" s="22"/>
    </row>
    <row r="24">
      <c r="A24" s="22"/>
      <c r="B24" s="22"/>
      <c r="C24" s="22"/>
      <c r="D24" s="22"/>
    </row>
    <row r="25">
      <c r="A25" s="22"/>
      <c r="B25" s="22"/>
      <c r="C25" s="22"/>
      <c r="D25" s="22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</sheetData>
  <hyperlinks>
    <hyperlink r:id="rId1" ref="G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8">
        <v>46305.0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15.0</v>
      </c>
      <c r="E2" s="2"/>
      <c r="F2" s="2"/>
      <c r="R2" s="19"/>
      <c r="AC2" s="23" t="str">
        <f>TEXT(C1-7,"mm/dd/yy")</f>
        <v>10/03/26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68</v>
      </c>
      <c r="C5" s="37">
        <v>213.0</v>
      </c>
      <c r="D5" s="37">
        <v>24.0</v>
      </c>
      <c r="E5" s="42">
        <f t="shared" ref="E5:E71" si="2">if(S5&gt;0,(C5-(V5*9)-(T5*13))/S5,0)</f>
        <v>16.09090909</v>
      </c>
      <c r="F5" s="89">
        <v>3.0</v>
      </c>
      <c r="G5" s="90">
        <v>0.0</v>
      </c>
      <c r="H5" s="91">
        <v>9.0</v>
      </c>
      <c r="I5" s="90">
        <v>0.0</v>
      </c>
      <c r="J5" s="90">
        <v>0.0</v>
      </c>
      <c r="K5" s="90">
        <v>0.0</v>
      </c>
      <c r="L5" s="92">
        <v>9.0</v>
      </c>
      <c r="M5" s="90">
        <v>0.0</v>
      </c>
      <c r="N5" s="37">
        <f t="shared" ref="N5:O5" si="1">C5+L5</f>
        <v>222</v>
      </c>
      <c r="O5" s="37">
        <f t="shared" si="1"/>
        <v>24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11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4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205.0</v>
      </c>
      <c r="D6" s="37">
        <v>20.0</v>
      </c>
      <c r="E6" s="42">
        <f t="shared" si="2"/>
        <v>13.76923077</v>
      </c>
      <c r="F6" s="89">
        <v>1.0</v>
      </c>
      <c r="G6" s="90">
        <v>1.0</v>
      </c>
      <c r="H6" s="91">
        <v>0.0</v>
      </c>
      <c r="I6" s="90">
        <v>6.0</v>
      </c>
      <c r="J6" s="90">
        <v>6.0</v>
      </c>
      <c r="K6" s="90">
        <v>6.0</v>
      </c>
      <c r="L6" s="92">
        <v>18.0</v>
      </c>
      <c r="M6" s="90">
        <v>2.0</v>
      </c>
      <c r="N6" s="37">
        <f t="shared" ref="N6:O6" si="3">C6+L6</f>
        <v>223</v>
      </c>
      <c r="O6" s="37">
        <f t="shared" si="3"/>
        <v>22</v>
      </c>
      <c r="P6" s="50" t="s">
        <v>60</v>
      </c>
      <c r="Q6" s="50" t="s">
        <v>60</v>
      </c>
      <c r="R6" s="50" t="s">
        <v>60</v>
      </c>
      <c r="S6" s="51">
        <f t="shared" si="4"/>
        <v>13</v>
      </c>
      <c r="T6" s="52">
        <f t="shared" si="5"/>
        <v>2</v>
      </c>
      <c r="U6" s="52"/>
      <c r="V6" s="51">
        <f t="shared" si="6"/>
        <v>0</v>
      </c>
      <c r="W6" s="52">
        <f t="shared" si="7"/>
        <v>0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74</v>
      </c>
      <c r="C7" s="37">
        <v>205.0</v>
      </c>
      <c r="D7" s="37">
        <v>20.0</v>
      </c>
      <c r="E7" s="42">
        <f t="shared" si="2"/>
        <v>14.07692308</v>
      </c>
      <c r="F7" s="89">
        <v>1.0</v>
      </c>
      <c r="G7" s="90">
        <v>1.0</v>
      </c>
      <c r="H7" s="91">
        <v>0.0</v>
      </c>
      <c r="I7" s="90">
        <v>7.0</v>
      </c>
      <c r="J7" s="90">
        <v>0.0</v>
      </c>
      <c r="K7" s="90">
        <v>6.0</v>
      </c>
      <c r="L7" s="92">
        <v>13.0</v>
      </c>
      <c r="M7" s="90">
        <v>2.0</v>
      </c>
      <c r="N7" s="37">
        <f t="shared" ref="N7:O7" si="11">C7+L7</f>
        <v>218</v>
      </c>
      <c r="O7" s="37">
        <f t="shared" si="11"/>
        <v>22</v>
      </c>
      <c r="P7" s="50" t="s">
        <v>60</v>
      </c>
      <c r="Q7" s="50" t="s">
        <v>60</v>
      </c>
      <c r="R7" s="50" t="s">
        <v>60</v>
      </c>
      <c r="S7" s="51">
        <f t="shared" si="4"/>
        <v>13</v>
      </c>
      <c r="T7" s="52">
        <f t="shared" si="5"/>
        <v>1</v>
      </c>
      <c r="U7" s="52"/>
      <c r="V7" s="51">
        <f t="shared" si="6"/>
        <v>1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85</v>
      </c>
      <c r="C8" s="37">
        <v>203.0</v>
      </c>
      <c r="D8" s="37">
        <v>24.0</v>
      </c>
      <c r="E8" s="42">
        <f t="shared" si="2"/>
        <v>15</v>
      </c>
      <c r="F8" s="89">
        <v>5.0</v>
      </c>
      <c r="G8" s="90">
        <v>0.0</v>
      </c>
      <c r="H8" s="91">
        <v>13.0</v>
      </c>
      <c r="I8" s="90">
        <v>0.0</v>
      </c>
      <c r="J8" s="90">
        <v>0.0</v>
      </c>
      <c r="K8" s="90">
        <v>0.0</v>
      </c>
      <c r="L8" s="92">
        <v>13.0</v>
      </c>
      <c r="M8" s="90">
        <v>0.0</v>
      </c>
      <c r="N8" s="37">
        <f t="shared" ref="N8:O8" si="13">C8+L8</f>
        <v>216</v>
      </c>
      <c r="O8" s="37">
        <f t="shared" si="13"/>
        <v>24</v>
      </c>
      <c r="P8" s="50" t="s">
        <v>60</v>
      </c>
      <c r="Q8" s="50" t="s">
        <v>60</v>
      </c>
      <c r="R8" s="50" t="s">
        <v>60</v>
      </c>
      <c r="S8" s="51">
        <f t="shared" si="4"/>
        <v>10</v>
      </c>
      <c r="T8" s="52">
        <f t="shared" si="5"/>
        <v>2</v>
      </c>
      <c r="U8" s="52"/>
      <c r="V8" s="51">
        <f t="shared" si="6"/>
        <v>3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88</v>
      </c>
      <c r="C9" s="37">
        <v>201.0</v>
      </c>
      <c r="D9" s="37">
        <v>21.0</v>
      </c>
      <c r="E9" s="42">
        <f t="shared" si="2"/>
        <v>13.76923077</v>
      </c>
      <c r="F9" s="89">
        <v>3.0</v>
      </c>
      <c r="G9" s="90">
        <v>0.0</v>
      </c>
      <c r="H9" s="91">
        <v>9.0</v>
      </c>
      <c r="I9" s="90">
        <v>0.0</v>
      </c>
      <c r="J9" s="90">
        <v>0.0</v>
      </c>
      <c r="K9" s="90">
        <v>0.0</v>
      </c>
      <c r="L9" s="92">
        <v>9.0</v>
      </c>
      <c r="M9" s="90">
        <v>0.0</v>
      </c>
      <c r="N9" s="37">
        <f t="shared" ref="N9:O9" si="14">C9+L9</f>
        <v>210</v>
      </c>
      <c r="O9" s="37">
        <f t="shared" si="14"/>
        <v>21</v>
      </c>
      <c r="P9" s="50" t="s">
        <v>60</v>
      </c>
      <c r="Q9" s="50" t="s">
        <v>60</v>
      </c>
      <c r="R9" s="50" t="s">
        <v>60</v>
      </c>
      <c r="S9" s="51">
        <f t="shared" si="4"/>
        <v>13</v>
      </c>
      <c r="T9" s="52">
        <f t="shared" si="5"/>
        <v>1</v>
      </c>
      <c r="U9" s="52"/>
      <c r="V9" s="51">
        <f t="shared" si="6"/>
        <v>1</v>
      </c>
      <c r="W9" s="52">
        <f t="shared" si="7"/>
        <v>0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80</v>
      </c>
      <c r="C10" s="37">
        <v>200.0</v>
      </c>
      <c r="D10" s="37">
        <v>17.0</v>
      </c>
      <c r="E10" s="42">
        <f t="shared" si="2"/>
        <v>14.7</v>
      </c>
      <c r="F10" s="89">
        <v>1.0</v>
      </c>
      <c r="G10" s="90">
        <v>1.0</v>
      </c>
      <c r="H10" s="91">
        <v>0.0</v>
      </c>
      <c r="I10" s="90">
        <v>7.0</v>
      </c>
      <c r="J10" s="90">
        <v>6.0</v>
      </c>
      <c r="K10" s="90">
        <v>4.0</v>
      </c>
      <c r="L10" s="92">
        <v>17.0</v>
      </c>
      <c r="M10" s="90">
        <v>2.0</v>
      </c>
      <c r="N10" s="37">
        <f t="shared" ref="N10:O10" si="15">C10+L10</f>
        <v>217</v>
      </c>
      <c r="O10" s="37">
        <f t="shared" si="15"/>
        <v>19</v>
      </c>
      <c r="P10" s="50" t="s">
        <v>60</v>
      </c>
      <c r="Q10" s="50" t="s">
        <v>60</v>
      </c>
      <c r="R10" s="50" t="s">
        <v>60</v>
      </c>
      <c r="S10" s="51">
        <f t="shared" si="4"/>
        <v>10</v>
      </c>
      <c r="T10" s="52">
        <f t="shared" si="5"/>
        <v>2</v>
      </c>
      <c r="U10" s="52"/>
      <c r="V10" s="51">
        <f t="shared" si="6"/>
        <v>3</v>
      </c>
      <c r="W10" s="52">
        <f t="shared" si="7"/>
        <v>0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113</v>
      </c>
      <c r="C11" s="37">
        <v>194.0</v>
      </c>
      <c r="D11" s="37">
        <v>18.0</v>
      </c>
      <c r="E11" s="42">
        <f t="shared" si="2"/>
        <v>13.58333333</v>
      </c>
      <c r="F11" s="89">
        <v>1.0</v>
      </c>
      <c r="G11" s="90">
        <v>1.0</v>
      </c>
      <c r="H11" s="91">
        <v>0.0</v>
      </c>
      <c r="I11" s="90">
        <v>6.0</v>
      </c>
      <c r="J11" s="90">
        <v>0.0</v>
      </c>
      <c r="K11" s="90">
        <v>4.0</v>
      </c>
      <c r="L11" s="92">
        <v>10.0</v>
      </c>
      <c r="M11" s="90">
        <v>0.0</v>
      </c>
      <c r="N11" s="37">
        <f t="shared" ref="N11:O11" si="16">C11+L11</f>
        <v>204</v>
      </c>
      <c r="O11" s="37">
        <f t="shared" si="16"/>
        <v>18</v>
      </c>
      <c r="P11" s="50" t="s">
        <v>60</v>
      </c>
      <c r="Q11" s="50" t="s">
        <v>60</v>
      </c>
      <c r="R11" s="50" t="s">
        <v>60</v>
      </c>
      <c r="S11" s="51">
        <f t="shared" si="4"/>
        <v>12</v>
      </c>
      <c r="T11" s="52">
        <f t="shared" si="5"/>
        <v>1</v>
      </c>
      <c r="U11" s="52"/>
      <c r="V11" s="51">
        <f t="shared" si="6"/>
        <v>2</v>
      </c>
      <c r="W11" s="52">
        <f t="shared" si="7"/>
        <v>4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97</v>
      </c>
      <c r="C12" s="37">
        <v>193.0</v>
      </c>
      <c r="D12" s="37">
        <v>16.0</v>
      </c>
      <c r="E12" s="42">
        <f t="shared" si="2"/>
        <v>12.86666667</v>
      </c>
      <c r="F12" s="89">
        <v>1.0</v>
      </c>
      <c r="G12" s="90">
        <v>2.0</v>
      </c>
      <c r="H12" s="91">
        <v>0.0</v>
      </c>
      <c r="I12" s="90">
        <v>2.0</v>
      </c>
      <c r="J12" s="90">
        <v>6.0</v>
      </c>
      <c r="K12" s="90">
        <v>4.0</v>
      </c>
      <c r="L12" s="92">
        <v>12.0</v>
      </c>
      <c r="M12" s="90">
        <v>0.0</v>
      </c>
      <c r="N12" s="37">
        <f t="shared" ref="N12:O12" si="17">C12+L12</f>
        <v>205</v>
      </c>
      <c r="O12" s="37">
        <f t="shared" si="17"/>
        <v>16</v>
      </c>
      <c r="P12" s="50" t="s">
        <v>60</v>
      </c>
      <c r="Q12" s="50" t="s">
        <v>60</v>
      </c>
      <c r="R12" s="50" t="s">
        <v>60</v>
      </c>
      <c r="S12" s="51">
        <f t="shared" si="4"/>
        <v>15</v>
      </c>
      <c r="T12" s="52">
        <f t="shared" si="5"/>
        <v>0</v>
      </c>
      <c r="U12" s="52"/>
      <c r="V12" s="51">
        <f t="shared" si="6"/>
        <v>0</v>
      </c>
      <c r="W12" s="52">
        <f t="shared" si="7"/>
        <v>0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91</v>
      </c>
      <c r="C13" s="37">
        <v>192.0</v>
      </c>
      <c r="D13" s="37">
        <v>13.0</v>
      </c>
      <c r="E13" s="42">
        <f t="shared" si="2"/>
        <v>13.55555556</v>
      </c>
      <c r="F13" s="89">
        <v>2.0</v>
      </c>
      <c r="G13" s="90">
        <v>2.0</v>
      </c>
      <c r="H13" s="91">
        <v>0.0</v>
      </c>
      <c r="I13" s="90">
        <v>6.0</v>
      </c>
      <c r="J13" s="90">
        <v>6.0</v>
      </c>
      <c r="K13" s="90">
        <v>6.0</v>
      </c>
      <c r="L13" s="92">
        <v>18.0</v>
      </c>
      <c r="M13" s="90">
        <v>2.0</v>
      </c>
      <c r="N13" s="37">
        <f t="shared" ref="N13:O13" si="18">C13+L13</f>
        <v>210</v>
      </c>
      <c r="O13" s="37">
        <f t="shared" si="18"/>
        <v>15</v>
      </c>
      <c r="P13" s="50" t="s">
        <v>60</v>
      </c>
      <c r="Q13" s="50" t="s">
        <v>60</v>
      </c>
      <c r="R13" s="50" t="s">
        <v>60</v>
      </c>
      <c r="S13" s="51">
        <f t="shared" si="4"/>
        <v>9</v>
      </c>
      <c r="T13" s="52">
        <f t="shared" si="5"/>
        <v>4</v>
      </c>
      <c r="U13" s="52"/>
      <c r="V13" s="51">
        <f t="shared" si="6"/>
        <v>2</v>
      </c>
      <c r="W13" s="52">
        <f t="shared" si="7"/>
        <v>0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118</v>
      </c>
      <c r="C14" s="37">
        <v>188.0</v>
      </c>
      <c r="D14" s="37">
        <v>17.0</v>
      </c>
      <c r="E14" s="42">
        <f t="shared" si="2"/>
        <v>12.46153846</v>
      </c>
      <c r="F14" s="89">
        <v>1.0</v>
      </c>
      <c r="G14" s="90">
        <v>2.0</v>
      </c>
      <c r="H14" s="91">
        <v>0.0</v>
      </c>
      <c r="I14" s="90">
        <v>2.0</v>
      </c>
      <c r="J14" s="90">
        <v>7.0</v>
      </c>
      <c r="K14" s="90">
        <v>6.0</v>
      </c>
      <c r="L14" s="92">
        <v>15.0</v>
      </c>
      <c r="M14" s="90">
        <v>2.0</v>
      </c>
      <c r="N14" s="37">
        <f t="shared" ref="N14:O14" si="19">C14+L14</f>
        <v>203</v>
      </c>
      <c r="O14" s="37">
        <f t="shared" si="19"/>
        <v>19</v>
      </c>
      <c r="P14" s="50" t="s">
        <v>60</v>
      </c>
      <c r="Q14" s="50" t="s">
        <v>60</v>
      </c>
      <c r="R14" s="50" t="s">
        <v>60</v>
      </c>
      <c r="S14" s="51">
        <f t="shared" si="4"/>
        <v>13</v>
      </c>
      <c r="T14" s="52">
        <f t="shared" si="5"/>
        <v>2</v>
      </c>
      <c r="U14" s="52"/>
      <c r="V14" s="51">
        <f t="shared" si="6"/>
        <v>0</v>
      </c>
      <c r="W14" s="52">
        <f t="shared" si="7"/>
        <v>0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107</v>
      </c>
      <c r="C15" s="37">
        <v>188.0</v>
      </c>
      <c r="D15" s="37">
        <v>13.0</v>
      </c>
      <c r="E15" s="42">
        <f t="shared" si="2"/>
        <v>14.28571429</v>
      </c>
      <c r="F15" s="89">
        <v>2.0</v>
      </c>
      <c r="G15" s="90">
        <v>2.0</v>
      </c>
      <c r="H15" s="91">
        <v>0.0</v>
      </c>
      <c r="I15" s="90">
        <v>6.0</v>
      </c>
      <c r="J15" s="90">
        <v>7.0</v>
      </c>
      <c r="K15" s="90">
        <v>4.0</v>
      </c>
      <c r="L15" s="92">
        <v>17.0</v>
      </c>
      <c r="M15" s="90">
        <v>2.0</v>
      </c>
      <c r="N15" s="37">
        <f t="shared" ref="N15:O15" si="20">C15+L15</f>
        <v>205</v>
      </c>
      <c r="O15" s="37">
        <f t="shared" si="20"/>
        <v>15</v>
      </c>
      <c r="P15" s="50" t="s">
        <v>60</v>
      </c>
      <c r="Q15" s="50" t="s">
        <v>60</v>
      </c>
      <c r="R15" s="50" t="s">
        <v>60</v>
      </c>
      <c r="S15" s="51">
        <f t="shared" si="4"/>
        <v>7</v>
      </c>
      <c r="T15" s="52">
        <f t="shared" si="5"/>
        <v>4</v>
      </c>
      <c r="U15" s="52"/>
      <c r="V15" s="51">
        <f t="shared" si="6"/>
        <v>4</v>
      </c>
      <c r="W15" s="52">
        <f t="shared" si="7"/>
        <v>1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93</v>
      </c>
      <c r="C16" s="37">
        <v>188.0</v>
      </c>
      <c r="D16" s="37">
        <v>11.0</v>
      </c>
      <c r="E16" s="42">
        <f t="shared" si="2"/>
        <v>13.125</v>
      </c>
      <c r="F16" s="89">
        <v>2.0</v>
      </c>
      <c r="G16" s="90">
        <v>3.0</v>
      </c>
      <c r="H16" s="91">
        <v>0.0</v>
      </c>
      <c r="I16" s="90">
        <v>6.0</v>
      </c>
      <c r="J16" s="90">
        <v>6.0</v>
      </c>
      <c r="K16" s="90">
        <v>6.0</v>
      </c>
      <c r="L16" s="92">
        <v>18.0</v>
      </c>
      <c r="M16" s="90">
        <v>3.0</v>
      </c>
      <c r="N16" s="37">
        <f t="shared" ref="N16:O16" si="21">C16+L16</f>
        <v>206</v>
      </c>
      <c r="O16" s="37">
        <f t="shared" si="21"/>
        <v>14</v>
      </c>
      <c r="P16" s="50" t="s">
        <v>60</v>
      </c>
      <c r="Q16" s="50" t="s">
        <v>60</v>
      </c>
      <c r="R16" s="50" t="s">
        <v>60</v>
      </c>
      <c r="S16" s="51">
        <f t="shared" si="4"/>
        <v>8</v>
      </c>
      <c r="T16" s="52">
        <f t="shared" si="5"/>
        <v>5</v>
      </c>
      <c r="U16" s="52"/>
      <c r="V16" s="51">
        <f t="shared" si="6"/>
        <v>2</v>
      </c>
      <c r="W16" s="52">
        <f t="shared" si="7"/>
        <v>-5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92</v>
      </c>
      <c r="C17" s="37">
        <v>186.0</v>
      </c>
      <c r="D17" s="37">
        <v>17.0</v>
      </c>
      <c r="E17" s="42">
        <f t="shared" si="2"/>
        <v>16.83333333</v>
      </c>
      <c r="F17" s="89">
        <v>3.0</v>
      </c>
      <c r="G17" s="90">
        <v>0.0</v>
      </c>
      <c r="H17" s="91">
        <v>9.0</v>
      </c>
      <c r="I17" s="90">
        <v>0.0</v>
      </c>
      <c r="J17" s="90">
        <v>0.0</v>
      </c>
      <c r="K17" s="90">
        <v>0.0</v>
      </c>
      <c r="L17" s="92">
        <v>9.0</v>
      </c>
      <c r="M17" s="90">
        <v>0.0</v>
      </c>
      <c r="N17" s="37">
        <f t="shared" ref="N17:O17" si="22">C17+L17</f>
        <v>195</v>
      </c>
      <c r="O17" s="37">
        <f t="shared" si="22"/>
        <v>17</v>
      </c>
      <c r="P17" s="50" t="s">
        <v>60</v>
      </c>
      <c r="Q17" s="50" t="s">
        <v>60</v>
      </c>
      <c r="R17" s="50" t="s">
        <v>60</v>
      </c>
      <c r="S17" s="51">
        <f t="shared" si="4"/>
        <v>6</v>
      </c>
      <c r="T17" s="52">
        <f t="shared" si="5"/>
        <v>1</v>
      </c>
      <c r="U17" s="52"/>
      <c r="V17" s="51">
        <f t="shared" si="6"/>
        <v>8</v>
      </c>
      <c r="W17" s="52">
        <f t="shared" si="7"/>
        <v>5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131</v>
      </c>
      <c r="C18" s="37">
        <v>186.0</v>
      </c>
      <c r="D18" s="37">
        <v>16.0</v>
      </c>
      <c r="E18" s="42">
        <f t="shared" si="2"/>
        <v>12.25</v>
      </c>
      <c r="F18" s="89">
        <v>1.0</v>
      </c>
      <c r="G18" s="90">
        <v>3.0</v>
      </c>
      <c r="H18" s="91">
        <v>0.0</v>
      </c>
      <c r="I18" s="90">
        <v>3.0</v>
      </c>
      <c r="J18" s="90">
        <v>2.0</v>
      </c>
      <c r="K18" s="90">
        <v>6.0</v>
      </c>
      <c r="L18" s="92">
        <v>11.0</v>
      </c>
      <c r="M18" s="90">
        <v>1.0</v>
      </c>
      <c r="N18" s="37">
        <f t="shared" ref="N18:O18" si="23">C18+L18</f>
        <v>197</v>
      </c>
      <c r="O18" s="37">
        <f t="shared" si="23"/>
        <v>17</v>
      </c>
      <c r="P18" s="50" t="s">
        <v>60</v>
      </c>
      <c r="Q18" s="50" t="s">
        <v>60</v>
      </c>
      <c r="R18" s="50" t="s">
        <v>60</v>
      </c>
      <c r="S18" s="51">
        <f t="shared" si="4"/>
        <v>12</v>
      </c>
      <c r="T18" s="52">
        <f t="shared" si="5"/>
        <v>3</v>
      </c>
      <c r="U18" s="52"/>
      <c r="V18" s="51">
        <f t="shared" si="6"/>
        <v>0</v>
      </c>
      <c r="W18" s="52">
        <f t="shared" si="7"/>
        <v>-1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98</v>
      </c>
      <c r="C19" s="37">
        <v>185.0</v>
      </c>
      <c r="D19" s="37">
        <v>16.0</v>
      </c>
      <c r="E19" s="42">
        <f t="shared" si="2"/>
        <v>12.84615385</v>
      </c>
      <c r="F19" s="89">
        <v>1.0</v>
      </c>
      <c r="G19" s="90">
        <v>3.0</v>
      </c>
      <c r="H19" s="91">
        <v>0.0</v>
      </c>
      <c r="I19" s="90">
        <v>3.0</v>
      </c>
      <c r="J19" s="90">
        <v>6.0</v>
      </c>
      <c r="K19" s="90">
        <v>4.0</v>
      </c>
      <c r="L19" s="92">
        <v>13.0</v>
      </c>
      <c r="M19" s="90">
        <v>1.0</v>
      </c>
      <c r="N19" s="37">
        <f t="shared" ref="N19:O19" si="24">C19+L19</f>
        <v>198</v>
      </c>
      <c r="O19" s="37">
        <f t="shared" si="24"/>
        <v>17</v>
      </c>
      <c r="P19" s="50" t="s">
        <v>60</v>
      </c>
      <c r="Q19" s="50" t="s">
        <v>60</v>
      </c>
      <c r="R19" s="50" t="s">
        <v>60</v>
      </c>
      <c r="S19" s="51">
        <f t="shared" si="4"/>
        <v>13</v>
      </c>
      <c r="T19" s="52">
        <f t="shared" si="5"/>
        <v>0</v>
      </c>
      <c r="U19" s="52"/>
      <c r="V19" s="51">
        <f t="shared" si="6"/>
        <v>2</v>
      </c>
      <c r="W19" s="52">
        <f t="shared" si="7"/>
        <v>2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135</v>
      </c>
      <c r="C20" s="37">
        <v>182.0</v>
      </c>
      <c r="D20" s="37">
        <v>18.0</v>
      </c>
      <c r="E20" s="42">
        <f t="shared" si="2"/>
        <v>12.61538462</v>
      </c>
      <c r="F20" s="89">
        <v>1.0</v>
      </c>
      <c r="G20" s="90">
        <v>3.0</v>
      </c>
      <c r="H20" s="91">
        <v>0.0</v>
      </c>
      <c r="I20" s="90">
        <v>6.0</v>
      </c>
      <c r="J20" s="90">
        <v>2.0</v>
      </c>
      <c r="K20" s="90">
        <v>4.0</v>
      </c>
      <c r="L20" s="92">
        <v>12.0</v>
      </c>
      <c r="M20" s="90">
        <v>1.0</v>
      </c>
      <c r="N20" s="37">
        <f t="shared" ref="N20:O20" si="25">C20+L20</f>
        <v>194</v>
      </c>
      <c r="O20" s="37">
        <f t="shared" si="25"/>
        <v>19</v>
      </c>
      <c r="P20" s="50" t="s">
        <v>60</v>
      </c>
      <c r="Q20" s="50" t="s">
        <v>60</v>
      </c>
      <c r="R20" s="50" t="s">
        <v>60</v>
      </c>
      <c r="S20" s="51">
        <f t="shared" si="4"/>
        <v>13</v>
      </c>
      <c r="T20" s="52">
        <f t="shared" si="5"/>
        <v>0</v>
      </c>
      <c r="U20" s="52"/>
      <c r="V20" s="51">
        <f t="shared" si="6"/>
        <v>2</v>
      </c>
      <c r="W20" s="52">
        <f t="shared" si="7"/>
        <v>3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122</v>
      </c>
      <c r="C21" s="37">
        <v>182.0</v>
      </c>
      <c r="D21" s="37">
        <v>15.0</v>
      </c>
      <c r="E21" s="42">
        <f t="shared" si="2"/>
        <v>13.33333333</v>
      </c>
      <c r="F21" s="89">
        <v>1.0</v>
      </c>
      <c r="G21" s="90">
        <v>4.0</v>
      </c>
      <c r="H21" s="91">
        <v>0.0</v>
      </c>
      <c r="I21" s="90">
        <v>6.0</v>
      </c>
      <c r="J21" s="90">
        <v>6.0</v>
      </c>
      <c r="K21" s="90">
        <v>6.0</v>
      </c>
      <c r="L21" s="92">
        <v>18.0</v>
      </c>
      <c r="M21" s="90">
        <v>3.0</v>
      </c>
      <c r="N21" s="37">
        <f t="shared" ref="N21:O21" si="26">C21+L21</f>
        <v>200</v>
      </c>
      <c r="O21" s="37">
        <f t="shared" si="26"/>
        <v>18</v>
      </c>
      <c r="P21" s="50" t="s">
        <v>60</v>
      </c>
      <c r="Q21" s="50" t="s">
        <v>60</v>
      </c>
      <c r="R21" s="50" t="s">
        <v>60</v>
      </c>
      <c r="S21" s="51">
        <f t="shared" si="4"/>
        <v>9</v>
      </c>
      <c r="T21" s="52">
        <f t="shared" si="5"/>
        <v>2</v>
      </c>
      <c r="U21" s="52"/>
      <c r="V21" s="51">
        <f t="shared" si="6"/>
        <v>4</v>
      </c>
      <c r="W21" s="52">
        <f t="shared" si="7"/>
        <v>-1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101</v>
      </c>
      <c r="C22" s="37">
        <v>181.0</v>
      </c>
      <c r="D22" s="37">
        <v>18.0</v>
      </c>
      <c r="E22" s="42">
        <f t="shared" si="2"/>
        <v>12.53846154</v>
      </c>
      <c r="F22" s="89">
        <v>3.0</v>
      </c>
      <c r="G22" s="90">
        <v>0.0</v>
      </c>
      <c r="H22" s="91">
        <v>9.0</v>
      </c>
      <c r="I22" s="90">
        <v>0.0</v>
      </c>
      <c r="J22" s="90">
        <v>0.0</v>
      </c>
      <c r="K22" s="90">
        <v>0.0</v>
      </c>
      <c r="L22" s="92">
        <v>9.0</v>
      </c>
      <c r="M22" s="90">
        <v>0.0</v>
      </c>
      <c r="N22" s="37">
        <f t="shared" ref="N22:O22" si="27">C22+L22</f>
        <v>190</v>
      </c>
      <c r="O22" s="37">
        <f t="shared" si="27"/>
        <v>18</v>
      </c>
      <c r="P22" s="50" t="s">
        <v>60</v>
      </c>
      <c r="Q22" s="50" t="s">
        <v>60</v>
      </c>
      <c r="R22" s="50" t="s">
        <v>60</v>
      </c>
      <c r="S22" s="51">
        <f t="shared" si="4"/>
        <v>13</v>
      </c>
      <c r="T22" s="52">
        <f t="shared" si="5"/>
        <v>0</v>
      </c>
      <c r="U22" s="52"/>
      <c r="V22" s="51">
        <f t="shared" si="6"/>
        <v>2</v>
      </c>
      <c r="W22" s="52">
        <f t="shared" si="7"/>
        <v>2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81</v>
      </c>
      <c r="C23" s="37">
        <v>181.0</v>
      </c>
      <c r="D23" s="37">
        <v>16.0</v>
      </c>
      <c r="E23" s="42">
        <f t="shared" si="2"/>
        <v>14.75</v>
      </c>
      <c r="F23" s="89">
        <v>1.0</v>
      </c>
      <c r="G23" s="90">
        <v>4.0</v>
      </c>
      <c r="H23" s="91">
        <v>0.0</v>
      </c>
      <c r="I23" s="90">
        <v>6.0</v>
      </c>
      <c r="J23" s="90">
        <v>4.0</v>
      </c>
      <c r="K23" s="90">
        <v>3.0</v>
      </c>
      <c r="L23" s="92">
        <v>13.0</v>
      </c>
      <c r="M23" s="90">
        <v>1.0</v>
      </c>
      <c r="N23" s="37">
        <f t="shared" ref="N23:O23" si="28">C23+L23</f>
        <v>194</v>
      </c>
      <c r="O23" s="37">
        <f t="shared" si="28"/>
        <v>17</v>
      </c>
      <c r="P23" s="50" t="s">
        <v>60</v>
      </c>
      <c r="Q23" s="50" t="s">
        <v>60</v>
      </c>
      <c r="R23" s="50" t="s">
        <v>60</v>
      </c>
      <c r="S23" s="51">
        <f t="shared" si="4"/>
        <v>8</v>
      </c>
      <c r="T23" s="52">
        <f t="shared" si="5"/>
        <v>0</v>
      </c>
      <c r="U23" s="52"/>
      <c r="V23" s="51">
        <f t="shared" si="6"/>
        <v>7</v>
      </c>
      <c r="W23" s="52">
        <f t="shared" si="7"/>
        <v>-5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108</v>
      </c>
      <c r="C24" s="37">
        <v>181.0</v>
      </c>
      <c r="D24" s="37">
        <v>10.0</v>
      </c>
      <c r="E24" s="42">
        <f t="shared" si="2"/>
        <v>12.75</v>
      </c>
      <c r="F24" s="89">
        <v>3.0</v>
      </c>
      <c r="G24" s="90">
        <v>0.0</v>
      </c>
      <c r="H24" s="91">
        <v>9.0</v>
      </c>
      <c r="I24" s="90">
        <v>0.0</v>
      </c>
      <c r="J24" s="90">
        <v>0.0</v>
      </c>
      <c r="K24" s="90">
        <v>0.0</v>
      </c>
      <c r="L24" s="92">
        <v>9.0</v>
      </c>
      <c r="M24" s="90">
        <v>0.0</v>
      </c>
      <c r="N24" s="37">
        <f t="shared" ref="N24:O24" si="29">C24+L24</f>
        <v>190</v>
      </c>
      <c r="O24" s="37">
        <f t="shared" si="29"/>
        <v>10</v>
      </c>
      <c r="P24" s="50" t="s">
        <v>60</v>
      </c>
      <c r="Q24" s="50" t="s">
        <v>60</v>
      </c>
      <c r="R24" s="50" t="s">
        <v>60</v>
      </c>
      <c r="S24" s="51">
        <f t="shared" si="4"/>
        <v>8</v>
      </c>
      <c r="T24" s="52">
        <f t="shared" si="5"/>
        <v>4</v>
      </c>
      <c r="U24" s="52"/>
      <c r="V24" s="51">
        <f t="shared" si="6"/>
        <v>3</v>
      </c>
      <c r="W24" s="52">
        <f t="shared" si="7"/>
        <v>-5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102</v>
      </c>
      <c r="C25" s="37">
        <v>179.0</v>
      </c>
      <c r="D25" s="37">
        <v>11.0</v>
      </c>
      <c r="E25" s="42">
        <f t="shared" si="2"/>
        <v>13.8</v>
      </c>
      <c r="F25" s="89">
        <v>3.0</v>
      </c>
      <c r="G25" s="90">
        <v>0.0</v>
      </c>
      <c r="H25" s="91">
        <v>9.0</v>
      </c>
      <c r="I25" s="90">
        <v>0.0</v>
      </c>
      <c r="J25" s="90">
        <v>0.0</v>
      </c>
      <c r="K25" s="90">
        <v>0.0</v>
      </c>
      <c r="L25" s="92">
        <v>9.0</v>
      </c>
      <c r="M25" s="90">
        <v>0.0</v>
      </c>
      <c r="N25" s="37">
        <f t="shared" ref="N25:O25" si="30">C25+L25</f>
        <v>188</v>
      </c>
      <c r="O25" s="37">
        <f t="shared" si="30"/>
        <v>11</v>
      </c>
      <c r="P25" s="50" t="s">
        <v>60</v>
      </c>
      <c r="Q25" s="50" t="s">
        <v>60</v>
      </c>
      <c r="R25" s="50" t="s">
        <v>60</v>
      </c>
      <c r="S25" s="51">
        <f t="shared" si="4"/>
        <v>5</v>
      </c>
      <c r="T25" s="52">
        <f t="shared" si="5"/>
        <v>5</v>
      </c>
      <c r="U25" s="52"/>
      <c r="V25" s="51">
        <f t="shared" si="6"/>
        <v>5</v>
      </c>
      <c r="W25" s="52">
        <f t="shared" si="7"/>
        <v>1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121</v>
      </c>
      <c r="C26" s="37">
        <v>178.0</v>
      </c>
      <c r="D26" s="37">
        <v>17.0</v>
      </c>
      <c r="E26" s="42">
        <f t="shared" si="2"/>
        <v>15.14285714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187</v>
      </c>
      <c r="O26" s="37">
        <f t="shared" si="31"/>
        <v>17</v>
      </c>
      <c r="P26" s="50" t="s">
        <v>60</v>
      </c>
      <c r="Q26" s="50" t="s">
        <v>60</v>
      </c>
      <c r="R26" s="50" t="s">
        <v>60</v>
      </c>
      <c r="S26" s="51">
        <f t="shared" si="4"/>
        <v>7</v>
      </c>
      <c r="T26" s="52">
        <f t="shared" si="5"/>
        <v>0</v>
      </c>
      <c r="U26" s="52"/>
      <c r="V26" s="51">
        <f t="shared" si="6"/>
        <v>8</v>
      </c>
      <c r="W26" s="52">
        <f t="shared" si="7"/>
        <v>2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140</v>
      </c>
      <c r="C27" s="37">
        <v>173.0</v>
      </c>
      <c r="D27" s="37">
        <v>15.0</v>
      </c>
      <c r="E27" s="42">
        <f t="shared" si="2"/>
        <v>12.16666667</v>
      </c>
      <c r="F27" s="89">
        <v>1.0</v>
      </c>
      <c r="G27" s="90">
        <v>4.0</v>
      </c>
      <c r="H27" s="91">
        <v>0.0</v>
      </c>
      <c r="I27" s="90">
        <v>4.0</v>
      </c>
      <c r="J27" s="90">
        <v>4.0</v>
      </c>
      <c r="K27" s="90">
        <v>6.0</v>
      </c>
      <c r="L27" s="92">
        <v>14.0</v>
      </c>
      <c r="M27" s="90">
        <v>1.0</v>
      </c>
      <c r="N27" s="37">
        <f t="shared" ref="N27:O27" si="32">C27+L27</f>
        <v>187</v>
      </c>
      <c r="O27" s="37">
        <f t="shared" si="32"/>
        <v>16</v>
      </c>
      <c r="P27" s="50" t="s">
        <v>60</v>
      </c>
      <c r="Q27" s="50" t="s">
        <v>60</v>
      </c>
      <c r="R27" s="50" t="s">
        <v>60</v>
      </c>
      <c r="S27" s="51">
        <f t="shared" si="4"/>
        <v>12</v>
      </c>
      <c r="T27" s="52">
        <f t="shared" si="5"/>
        <v>0</v>
      </c>
      <c r="U27" s="52"/>
      <c r="V27" s="51">
        <f t="shared" si="6"/>
        <v>3</v>
      </c>
      <c r="W27" s="52">
        <f t="shared" si="7"/>
        <v>-2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126</v>
      </c>
      <c r="C28" s="37">
        <v>172.0</v>
      </c>
      <c r="D28" s="37">
        <v>12.0</v>
      </c>
      <c r="E28" s="42">
        <f t="shared" si="2"/>
        <v>14.5</v>
      </c>
      <c r="F28" s="89">
        <v>3.0</v>
      </c>
      <c r="G28" s="90">
        <v>0.0</v>
      </c>
      <c r="H28" s="91">
        <v>9.0</v>
      </c>
      <c r="I28" s="90">
        <v>0.0</v>
      </c>
      <c r="J28" s="90">
        <v>0.0</v>
      </c>
      <c r="K28" s="90">
        <v>0.0</v>
      </c>
      <c r="L28" s="92">
        <v>9.0</v>
      </c>
      <c r="M28" s="90">
        <v>0.0</v>
      </c>
      <c r="N28" s="37">
        <f t="shared" ref="N28:O28" si="33">C28+L28</f>
        <v>181</v>
      </c>
      <c r="O28" s="37">
        <f t="shared" si="33"/>
        <v>12</v>
      </c>
      <c r="P28" s="50" t="s">
        <v>60</v>
      </c>
      <c r="Q28" s="50" t="s">
        <v>60</v>
      </c>
      <c r="R28" s="50" t="s">
        <v>60</v>
      </c>
      <c r="S28" s="51">
        <f t="shared" si="4"/>
        <v>6</v>
      </c>
      <c r="T28" s="52">
        <f t="shared" si="5"/>
        <v>1</v>
      </c>
      <c r="U28" s="52"/>
      <c r="V28" s="51">
        <f t="shared" si="6"/>
        <v>8</v>
      </c>
      <c r="W28" s="52">
        <f t="shared" si="7"/>
        <v>-1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94</v>
      </c>
      <c r="C29" s="37">
        <v>169.0</v>
      </c>
      <c r="D29" s="37">
        <v>14.0</v>
      </c>
      <c r="E29" s="42">
        <f t="shared" si="2"/>
        <v>12.33333333</v>
      </c>
      <c r="F29" s="89">
        <v>1.0</v>
      </c>
      <c r="G29" s="90">
        <v>4.0</v>
      </c>
      <c r="H29" s="91">
        <v>0.0</v>
      </c>
      <c r="I29" s="90">
        <v>4.0</v>
      </c>
      <c r="J29" s="90">
        <v>6.0</v>
      </c>
      <c r="K29" s="90">
        <v>3.0</v>
      </c>
      <c r="L29" s="92">
        <v>13.0</v>
      </c>
      <c r="M29" s="90">
        <v>1.0</v>
      </c>
      <c r="N29" s="37">
        <f t="shared" ref="N29:O29" si="34">C29+L29</f>
        <v>182</v>
      </c>
      <c r="O29" s="37">
        <f t="shared" si="34"/>
        <v>15</v>
      </c>
      <c r="P29" s="50" t="s">
        <v>60</v>
      </c>
      <c r="Q29" s="50" t="s">
        <v>60</v>
      </c>
      <c r="R29" s="50" t="s">
        <v>60</v>
      </c>
      <c r="S29" s="51">
        <f t="shared" si="4"/>
        <v>9</v>
      </c>
      <c r="T29" s="52">
        <f t="shared" si="5"/>
        <v>1</v>
      </c>
      <c r="U29" s="52"/>
      <c r="V29" s="51">
        <f t="shared" si="6"/>
        <v>5</v>
      </c>
      <c r="W29" s="52">
        <f t="shared" si="7"/>
        <v>1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130</v>
      </c>
      <c r="C30" s="37">
        <v>169.0</v>
      </c>
      <c r="D30" s="37">
        <v>14.0</v>
      </c>
      <c r="E30" s="42">
        <f t="shared" si="2"/>
        <v>12.71428571</v>
      </c>
      <c r="F30" s="89">
        <v>3.0</v>
      </c>
      <c r="G30" s="90">
        <v>0.0</v>
      </c>
      <c r="H30" s="91">
        <v>9.0</v>
      </c>
      <c r="I30" s="90">
        <v>0.0</v>
      </c>
      <c r="J30" s="90">
        <v>0.0</v>
      </c>
      <c r="K30" s="90">
        <v>0.0</v>
      </c>
      <c r="L30" s="92">
        <v>9.0</v>
      </c>
      <c r="M30" s="90">
        <v>0.0</v>
      </c>
      <c r="N30" s="37">
        <f t="shared" ref="N30:O30" si="35">C30+L30</f>
        <v>178</v>
      </c>
      <c r="O30" s="37">
        <f t="shared" si="35"/>
        <v>14</v>
      </c>
      <c r="P30" s="50" t="s">
        <v>60</v>
      </c>
      <c r="Q30" s="50" t="s">
        <v>60</v>
      </c>
      <c r="R30" s="50" t="s">
        <v>60</v>
      </c>
      <c r="S30" s="51">
        <f t="shared" si="4"/>
        <v>7</v>
      </c>
      <c r="T30" s="52">
        <f t="shared" si="5"/>
        <v>2</v>
      </c>
      <c r="U30" s="52"/>
      <c r="V30" s="51">
        <f t="shared" si="6"/>
        <v>6</v>
      </c>
      <c r="W30" s="52">
        <f t="shared" si="7"/>
        <v>1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115</v>
      </c>
      <c r="C31" s="37">
        <v>169.0</v>
      </c>
      <c r="D31" s="37">
        <v>10.0</v>
      </c>
      <c r="E31" s="42">
        <f t="shared" si="2"/>
        <v>12.75</v>
      </c>
      <c r="F31" s="89">
        <v>4.0</v>
      </c>
      <c r="G31" s="90">
        <v>0.0</v>
      </c>
      <c r="H31" s="91">
        <v>9.0</v>
      </c>
      <c r="I31" s="90">
        <v>0.0</v>
      </c>
      <c r="J31" s="90">
        <v>0.0</v>
      </c>
      <c r="K31" s="90">
        <v>0.0</v>
      </c>
      <c r="L31" s="92">
        <v>9.0</v>
      </c>
      <c r="M31" s="90">
        <v>0.0</v>
      </c>
      <c r="N31" s="37">
        <f t="shared" ref="N31:O31" si="36">C31+L31</f>
        <v>178</v>
      </c>
      <c r="O31" s="37">
        <f t="shared" si="36"/>
        <v>10</v>
      </c>
      <c r="P31" s="50" t="s">
        <v>60</v>
      </c>
      <c r="Q31" s="50" t="s">
        <v>60</v>
      </c>
      <c r="R31" s="50" t="s">
        <v>60</v>
      </c>
      <c r="S31" s="51">
        <f t="shared" si="4"/>
        <v>8</v>
      </c>
      <c r="T31" s="52">
        <f t="shared" si="5"/>
        <v>1</v>
      </c>
      <c r="U31" s="52"/>
      <c r="V31" s="51">
        <f t="shared" si="6"/>
        <v>6</v>
      </c>
      <c r="W31" s="52">
        <f t="shared" si="7"/>
        <v>1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100</v>
      </c>
      <c r="C32" s="37">
        <v>168.0</v>
      </c>
      <c r="D32" s="37">
        <v>14.0</v>
      </c>
      <c r="E32" s="42">
        <f t="shared" si="2"/>
        <v>11.53846154</v>
      </c>
      <c r="F32" s="89">
        <v>1.0</v>
      </c>
      <c r="G32" s="90">
        <v>5.0</v>
      </c>
      <c r="H32" s="91">
        <v>0.0</v>
      </c>
      <c r="I32" s="90">
        <v>6.0</v>
      </c>
      <c r="J32" s="90">
        <v>6.0</v>
      </c>
      <c r="K32" s="90">
        <v>2.0</v>
      </c>
      <c r="L32" s="92">
        <v>14.0</v>
      </c>
      <c r="M32" s="90">
        <v>2.0</v>
      </c>
      <c r="N32" s="37">
        <f t="shared" ref="N32:O32" si="37">C32+L32</f>
        <v>182</v>
      </c>
      <c r="O32" s="37">
        <f t="shared" si="37"/>
        <v>16</v>
      </c>
      <c r="P32" s="50" t="s">
        <v>60</v>
      </c>
      <c r="Q32" s="50" t="s">
        <v>60</v>
      </c>
      <c r="R32" s="50" t="s">
        <v>60</v>
      </c>
      <c r="S32" s="51">
        <f t="shared" si="4"/>
        <v>13</v>
      </c>
      <c r="T32" s="52">
        <f t="shared" si="5"/>
        <v>0</v>
      </c>
      <c r="U32" s="52"/>
      <c r="V32" s="51">
        <f t="shared" si="6"/>
        <v>2</v>
      </c>
      <c r="W32" s="52">
        <f t="shared" si="7"/>
        <v>2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127</v>
      </c>
      <c r="C33" s="37">
        <v>168.0</v>
      </c>
      <c r="D33" s="37">
        <v>12.0</v>
      </c>
      <c r="E33" s="42">
        <f t="shared" si="2"/>
        <v>11.77777778</v>
      </c>
      <c r="F33" s="89">
        <v>1.0</v>
      </c>
      <c r="G33" s="90">
        <v>5.0</v>
      </c>
      <c r="H33" s="91">
        <v>0.0</v>
      </c>
      <c r="I33" s="90">
        <v>1.0</v>
      </c>
      <c r="J33" s="90">
        <v>6.0</v>
      </c>
      <c r="K33" s="90">
        <v>6.0</v>
      </c>
      <c r="L33" s="92">
        <v>13.0</v>
      </c>
      <c r="M33" s="90">
        <v>2.0</v>
      </c>
      <c r="N33" s="37">
        <f t="shared" ref="N33:O33" si="38">C33+L33</f>
        <v>181</v>
      </c>
      <c r="O33" s="37">
        <f t="shared" si="38"/>
        <v>14</v>
      </c>
      <c r="P33" s="50" t="s">
        <v>60</v>
      </c>
      <c r="Q33" s="50" t="s">
        <v>60</v>
      </c>
      <c r="R33" s="50" t="s">
        <v>60</v>
      </c>
      <c r="S33" s="51">
        <f t="shared" si="4"/>
        <v>9</v>
      </c>
      <c r="T33" s="52">
        <f t="shared" si="5"/>
        <v>2</v>
      </c>
      <c r="U33" s="52"/>
      <c r="V33" s="51">
        <f t="shared" si="6"/>
        <v>4</v>
      </c>
      <c r="W33" s="52">
        <f t="shared" si="7"/>
        <v>-4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87</v>
      </c>
      <c r="C34" s="37">
        <v>167.0</v>
      </c>
      <c r="D34" s="37">
        <v>10.0</v>
      </c>
      <c r="E34" s="42">
        <f t="shared" si="2"/>
        <v>11.15384615</v>
      </c>
      <c r="F34" s="89">
        <v>1.0</v>
      </c>
      <c r="G34" s="90">
        <v>5.0</v>
      </c>
      <c r="H34" s="91">
        <v>0.0</v>
      </c>
      <c r="I34" s="90">
        <v>1.0</v>
      </c>
      <c r="J34" s="90">
        <v>4.0</v>
      </c>
      <c r="K34" s="90">
        <v>2.0</v>
      </c>
      <c r="L34" s="92">
        <v>7.0</v>
      </c>
      <c r="M34" s="90">
        <v>0.0</v>
      </c>
      <c r="N34" s="37">
        <f t="shared" ref="N34:O34" si="39">C34+L34</f>
        <v>174</v>
      </c>
      <c r="O34" s="37">
        <f t="shared" si="39"/>
        <v>10</v>
      </c>
      <c r="P34" s="50" t="s">
        <v>60</v>
      </c>
      <c r="Q34" s="50" t="s">
        <v>60</v>
      </c>
      <c r="R34" s="50" t="s">
        <v>60</v>
      </c>
      <c r="S34" s="51">
        <f t="shared" si="4"/>
        <v>13</v>
      </c>
      <c r="T34" s="52">
        <f t="shared" si="5"/>
        <v>1</v>
      </c>
      <c r="U34" s="52"/>
      <c r="V34" s="51">
        <f t="shared" si="6"/>
        <v>1</v>
      </c>
      <c r="W34" s="52">
        <f t="shared" si="7"/>
        <v>-1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120</v>
      </c>
      <c r="C35" s="37">
        <v>166.0</v>
      </c>
      <c r="D35" s="37">
        <v>10.0</v>
      </c>
      <c r="E35" s="42">
        <f t="shared" si="2"/>
        <v>13.5</v>
      </c>
      <c r="F35" s="89">
        <v>1.0</v>
      </c>
      <c r="G35" s="90">
        <v>5.0</v>
      </c>
      <c r="H35" s="91">
        <v>0.0</v>
      </c>
      <c r="I35" s="90">
        <v>6.0</v>
      </c>
      <c r="J35" s="90">
        <v>4.0</v>
      </c>
      <c r="K35" s="90">
        <v>6.0</v>
      </c>
      <c r="L35" s="92">
        <v>16.0</v>
      </c>
      <c r="M35" s="90">
        <v>2.0</v>
      </c>
      <c r="N35" s="37">
        <f t="shared" ref="N35:O35" si="40">C35+L35</f>
        <v>182</v>
      </c>
      <c r="O35" s="37">
        <f t="shared" si="40"/>
        <v>12</v>
      </c>
      <c r="P35" s="50" t="s">
        <v>60</v>
      </c>
      <c r="Q35" s="50" t="s">
        <v>60</v>
      </c>
      <c r="R35" s="50" t="s">
        <v>60</v>
      </c>
      <c r="S35" s="51">
        <f t="shared" si="4"/>
        <v>6</v>
      </c>
      <c r="T35" s="52">
        <f t="shared" si="5"/>
        <v>1</v>
      </c>
      <c r="U35" s="52"/>
      <c r="V35" s="51">
        <f t="shared" si="6"/>
        <v>8</v>
      </c>
      <c r="W35" s="52">
        <f t="shared" si="7"/>
        <v>2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142</v>
      </c>
      <c r="C36" s="37">
        <v>166.0</v>
      </c>
      <c r="D36" s="37">
        <v>10.0</v>
      </c>
      <c r="E36" s="42">
        <f t="shared" si="2"/>
        <v>15.75</v>
      </c>
      <c r="F36" s="89">
        <v>3.0</v>
      </c>
      <c r="G36" s="90">
        <v>0.0</v>
      </c>
      <c r="H36" s="91">
        <v>9.0</v>
      </c>
      <c r="I36" s="90">
        <v>0.0</v>
      </c>
      <c r="J36" s="90">
        <v>0.0</v>
      </c>
      <c r="K36" s="90">
        <v>0.0</v>
      </c>
      <c r="L36" s="92">
        <v>9.0</v>
      </c>
      <c r="M36" s="90">
        <v>0.0</v>
      </c>
      <c r="N36" s="37">
        <f t="shared" ref="N36:O36" si="41">C36+L36</f>
        <v>175</v>
      </c>
      <c r="O36" s="37">
        <f t="shared" si="41"/>
        <v>10</v>
      </c>
      <c r="P36" s="50" t="s">
        <v>60</v>
      </c>
      <c r="Q36" s="50" t="s">
        <v>60</v>
      </c>
      <c r="R36" s="50" t="s">
        <v>60</v>
      </c>
      <c r="S36" s="51">
        <f t="shared" si="4"/>
        <v>4</v>
      </c>
      <c r="T36" s="52">
        <f t="shared" si="5"/>
        <v>1</v>
      </c>
      <c r="U36" s="52"/>
      <c r="V36" s="51">
        <f t="shared" si="6"/>
        <v>10</v>
      </c>
      <c r="W36" s="52">
        <f t="shared" si="7"/>
        <v>2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128</v>
      </c>
      <c r="C37" s="37">
        <v>164.0</v>
      </c>
      <c r="D37" s="37">
        <v>12.0</v>
      </c>
      <c r="E37" s="42">
        <f t="shared" si="2"/>
        <v>12.57142857</v>
      </c>
      <c r="F37" s="89">
        <v>1.0</v>
      </c>
      <c r="G37" s="90">
        <v>6.0</v>
      </c>
      <c r="H37" s="91">
        <v>0.0</v>
      </c>
      <c r="I37" s="90">
        <v>6.0</v>
      </c>
      <c r="J37" s="90">
        <v>6.0</v>
      </c>
      <c r="K37" s="90">
        <v>7.0</v>
      </c>
      <c r="L37" s="92">
        <v>19.0</v>
      </c>
      <c r="M37" s="90">
        <v>3.0</v>
      </c>
      <c r="N37" s="37">
        <f t="shared" ref="N37:O37" si="42">C37+L37</f>
        <v>183</v>
      </c>
      <c r="O37" s="37">
        <f t="shared" si="42"/>
        <v>15</v>
      </c>
      <c r="P37" s="50" t="s">
        <v>60</v>
      </c>
      <c r="Q37" s="50" t="s">
        <v>60</v>
      </c>
      <c r="R37" s="50" t="s">
        <v>60</v>
      </c>
      <c r="S37" s="51">
        <f t="shared" si="4"/>
        <v>7</v>
      </c>
      <c r="T37" s="52">
        <f t="shared" si="5"/>
        <v>1</v>
      </c>
      <c r="U37" s="52"/>
      <c r="V37" s="51">
        <f t="shared" si="6"/>
        <v>7</v>
      </c>
      <c r="W37" s="52">
        <f t="shared" si="7"/>
        <v>5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136</v>
      </c>
      <c r="C38" s="37">
        <v>164.0</v>
      </c>
      <c r="D38" s="37">
        <v>9.0</v>
      </c>
      <c r="E38" s="42">
        <f t="shared" si="2"/>
        <v>11.625</v>
      </c>
      <c r="F38" s="89">
        <v>3.0</v>
      </c>
      <c r="G38" s="90">
        <v>0.0</v>
      </c>
      <c r="H38" s="91">
        <v>9.0</v>
      </c>
      <c r="I38" s="90">
        <v>0.0</v>
      </c>
      <c r="J38" s="90">
        <v>0.0</v>
      </c>
      <c r="K38" s="90">
        <v>0.0</v>
      </c>
      <c r="L38" s="92">
        <v>9.0</v>
      </c>
      <c r="M38" s="90">
        <v>0.0</v>
      </c>
      <c r="N38" s="37">
        <f t="shared" ref="N38:O38" si="43">C38+L38</f>
        <v>173</v>
      </c>
      <c r="O38" s="37">
        <f t="shared" si="43"/>
        <v>9</v>
      </c>
      <c r="P38" s="50" t="s">
        <v>60</v>
      </c>
      <c r="Q38" s="50" t="s">
        <v>60</v>
      </c>
      <c r="R38" s="50" t="s">
        <v>60</v>
      </c>
      <c r="S38" s="51">
        <f t="shared" si="4"/>
        <v>8</v>
      </c>
      <c r="T38" s="52">
        <f t="shared" si="5"/>
        <v>2</v>
      </c>
      <c r="U38" s="52"/>
      <c r="V38" s="51">
        <f t="shared" si="6"/>
        <v>5</v>
      </c>
      <c r="W38" s="52">
        <f t="shared" si="7"/>
        <v>-3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90</v>
      </c>
      <c r="C39" s="37">
        <v>164.0</v>
      </c>
      <c r="D39" s="37">
        <v>7.0</v>
      </c>
      <c r="E39" s="42">
        <f t="shared" si="2"/>
        <v>11.16666667</v>
      </c>
      <c r="F39" s="89">
        <v>1.0</v>
      </c>
      <c r="G39" s="90">
        <v>6.0</v>
      </c>
      <c r="H39" s="91">
        <v>0.0</v>
      </c>
      <c r="I39" s="90">
        <v>3.0</v>
      </c>
      <c r="J39" s="90">
        <v>6.0</v>
      </c>
      <c r="K39" s="90">
        <v>5.0</v>
      </c>
      <c r="L39" s="92">
        <v>14.0</v>
      </c>
      <c r="M39" s="90">
        <v>1.0</v>
      </c>
      <c r="N39" s="37">
        <f t="shared" ref="N39:O39" si="44">C39+L39</f>
        <v>178</v>
      </c>
      <c r="O39" s="37">
        <f t="shared" si="44"/>
        <v>8</v>
      </c>
      <c r="P39" s="50" t="s">
        <v>60</v>
      </c>
      <c r="Q39" s="50" t="s">
        <v>60</v>
      </c>
      <c r="R39" s="50" t="s">
        <v>60</v>
      </c>
      <c r="S39" s="51">
        <f t="shared" si="4"/>
        <v>6</v>
      </c>
      <c r="T39" s="52">
        <f t="shared" si="5"/>
        <v>4</v>
      </c>
      <c r="U39" s="52"/>
      <c r="V39" s="51">
        <f t="shared" si="6"/>
        <v>5</v>
      </c>
      <c r="W39" s="52">
        <f t="shared" si="7"/>
        <v>2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114</v>
      </c>
      <c r="C40" s="37">
        <v>163.0</v>
      </c>
      <c r="D40" s="37">
        <v>12.0</v>
      </c>
      <c r="E40" s="42">
        <f t="shared" si="2"/>
        <v>11.5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172</v>
      </c>
      <c r="O40" s="37">
        <f t="shared" si="45"/>
        <v>12</v>
      </c>
      <c r="P40" s="50" t="s">
        <v>60</v>
      </c>
      <c r="Q40" s="50" t="s">
        <v>60</v>
      </c>
      <c r="R40" s="50" t="s">
        <v>60</v>
      </c>
      <c r="S40" s="51">
        <f t="shared" si="4"/>
        <v>8</v>
      </c>
      <c r="T40" s="52">
        <f t="shared" si="5"/>
        <v>2</v>
      </c>
      <c r="U40" s="52"/>
      <c r="V40" s="51">
        <f t="shared" si="6"/>
        <v>5</v>
      </c>
      <c r="W40" s="52">
        <f t="shared" si="7"/>
        <v>-4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105</v>
      </c>
      <c r="C41" s="37">
        <v>163.0</v>
      </c>
      <c r="D41" s="37">
        <v>8.0</v>
      </c>
      <c r="E41" s="42">
        <f t="shared" si="2"/>
        <v>11.85714286</v>
      </c>
      <c r="F41" s="89">
        <v>1.0</v>
      </c>
      <c r="G41" s="90">
        <v>6.0</v>
      </c>
      <c r="H41" s="91">
        <v>0.0</v>
      </c>
      <c r="I41" s="90">
        <v>3.0</v>
      </c>
      <c r="J41" s="90">
        <v>2.0</v>
      </c>
      <c r="K41" s="90">
        <v>7.0</v>
      </c>
      <c r="L41" s="92">
        <v>12.0</v>
      </c>
      <c r="M41" s="90">
        <v>1.0</v>
      </c>
      <c r="N41" s="37">
        <f t="shared" ref="N41:O41" si="46">C41+L41</f>
        <v>175</v>
      </c>
      <c r="O41" s="37">
        <f t="shared" si="46"/>
        <v>9</v>
      </c>
      <c r="P41" s="50" t="s">
        <v>60</v>
      </c>
      <c r="Q41" s="50" t="s">
        <v>60</v>
      </c>
      <c r="R41" s="50" t="s">
        <v>60</v>
      </c>
      <c r="S41" s="51">
        <f t="shared" si="4"/>
        <v>7</v>
      </c>
      <c r="T41" s="52">
        <f t="shared" si="5"/>
        <v>2</v>
      </c>
      <c r="U41" s="52"/>
      <c r="V41" s="51">
        <f t="shared" si="6"/>
        <v>6</v>
      </c>
      <c r="W41" s="52">
        <f t="shared" si="7"/>
        <v>3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109</v>
      </c>
      <c r="C42" s="37">
        <v>161.0</v>
      </c>
      <c r="D42" s="37">
        <v>6.0</v>
      </c>
      <c r="E42" s="42">
        <f t="shared" si="2"/>
        <v>10.42857143</v>
      </c>
      <c r="F42" s="89">
        <v>1.0</v>
      </c>
      <c r="G42" s="90">
        <v>6.0</v>
      </c>
      <c r="H42" s="91">
        <v>0.0</v>
      </c>
      <c r="I42" s="90">
        <v>6.0</v>
      </c>
      <c r="J42" s="90">
        <v>2.0</v>
      </c>
      <c r="K42" s="90">
        <v>5.0</v>
      </c>
      <c r="L42" s="92">
        <v>13.0</v>
      </c>
      <c r="M42" s="90">
        <v>1.0</v>
      </c>
      <c r="N42" s="37">
        <f t="shared" ref="N42:O42" si="47">C42+L42</f>
        <v>174</v>
      </c>
      <c r="O42" s="37">
        <f t="shared" si="47"/>
        <v>7</v>
      </c>
      <c r="P42" s="50" t="s">
        <v>60</v>
      </c>
      <c r="Q42" s="50" t="s">
        <v>60</v>
      </c>
      <c r="R42" s="50" t="s">
        <v>60</v>
      </c>
      <c r="S42" s="51">
        <f t="shared" si="4"/>
        <v>7</v>
      </c>
      <c r="T42" s="52">
        <f t="shared" si="5"/>
        <v>4</v>
      </c>
      <c r="U42" s="52"/>
      <c r="V42" s="51">
        <f t="shared" si="6"/>
        <v>4</v>
      </c>
      <c r="W42" s="52">
        <f t="shared" si="7"/>
        <v>-3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133</v>
      </c>
      <c r="C43" s="37">
        <v>160.0</v>
      </c>
      <c r="D43" s="37">
        <v>8.0</v>
      </c>
      <c r="E43" s="42">
        <f t="shared" si="2"/>
        <v>11.625</v>
      </c>
      <c r="F43" s="89">
        <v>1.0</v>
      </c>
      <c r="G43" s="90">
        <v>7.0</v>
      </c>
      <c r="H43" s="91">
        <v>0.0</v>
      </c>
      <c r="I43" s="90">
        <v>4.0</v>
      </c>
      <c r="J43" s="90">
        <v>6.0</v>
      </c>
      <c r="K43" s="90">
        <v>6.0</v>
      </c>
      <c r="L43" s="92">
        <v>16.0</v>
      </c>
      <c r="M43" s="90">
        <v>2.0</v>
      </c>
      <c r="N43" s="37">
        <f t="shared" ref="N43:O43" si="48">C43+L43</f>
        <v>176</v>
      </c>
      <c r="O43" s="37">
        <f t="shared" si="48"/>
        <v>10</v>
      </c>
      <c r="P43" s="50" t="s">
        <v>60</v>
      </c>
      <c r="Q43" s="50" t="s">
        <v>60</v>
      </c>
      <c r="R43" s="50" t="s">
        <v>60</v>
      </c>
      <c r="S43" s="51">
        <f t="shared" si="4"/>
        <v>8</v>
      </c>
      <c r="T43" s="52">
        <f t="shared" si="5"/>
        <v>1</v>
      </c>
      <c r="U43" s="52"/>
      <c r="V43" s="51">
        <f t="shared" si="6"/>
        <v>6</v>
      </c>
      <c r="W43" s="52">
        <f t="shared" si="7"/>
        <v>-3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125</v>
      </c>
      <c r="C44" s="37">
        <v>158.0</v>
      </c>
      <c r="D44" s="37">
        <v>4.0</v>
      </c>
      <c r="E44" s="42">
        <f t="shared" si="2"/>
        <v>10.83333333</v>
      </c>
      <c r="F44" s="89">
        <v>1.0</v>
      </c>
      <c r="G44" s="90">
        <v>7.0</v>
      </c>
      <c r="H44" s="91">
        <v>0.0</v>
      </c>
      <c r="I44" s="90">
        <v>6.0</v>
      </c>
      <c r="J44" s="90">
        <v>2.0</v>
      </c>
      <c r="K44" s="90">
        <v>6.0</v>
      </c>
      <c r="L44" s="92">
        <v>14.0</v>
      </c>
      <c r="M44" s="90">
        <v>2.0</v>
      </c>
      <c r="N44" s="37">
        <f t="shared" ref="N44:O44" si="49">C44+L44</f>
        <v>172</v>
      </c>
      <c r="O44" s="37">
        <f t="shared" si="49"/>
        <v>6</v>
      </c>
      <c r="P44" s="50" t="s">
        <v>60</v>
      </c>
      <c r="Q44" s="50" t="s">
        <v>60</v>
      </c>
      <c r="R44" s="50" t="s">
        <v>60</v>
      </c>
      <c r="S44" s="51">
        <f t="shared" si="4"/>
        <v>6</v>
      </c>
      <c r="T44" s="52">
        <f t="shared" si="5"/>
        <v>3</v>
      </c>
      <c r="U44" s="52"/>
      <c r="V44" s="51">
        <f t="shared" si="6"/>
        <v>6</v>
      </c>
      <c r="W44" s="52">
        <f t="shared" si="7"/>
        <v>1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67</v>
      </c>
      <c r="C45" s="37">
        <v>155.0</v>
      </c>
      <c r="D45" s="37">
        <v>11.0</v>
      </c>
      <c r="E45" s="42">
        <f t="shared" si="2"/>
        <v>10.81818182</v>
      </c>
      <c r="F45" s="89">
        <v>1.0</v>
      </c>
      <c r="G45" s="90">
        <v>7.0</v>
      </c>
      <c r="H45" s="91">
        <v>0.0</v>
      </c>
      <c r="I45" s="90">
        <v>6.0</v>
      </c>
      <c r="J45" s="90">
        <v>6.0</v>
      </c>
      <c r="K45" s="90">
        <v>1.0</v>
      </c>
      <c r="L45" s="92">
        <v>13.0</v>
      </c>
      <c r="M45" s="90">
        <v>2.0</v>
      </c>
      <c r="N45" s="37">
        <f t="shared" ref="N45:O45" si="50">C45+L45</f>
        <v>168</v>
      </c>
      <c r="O45" s="37">
        <f t="shared" si="50"/>
        <v>13</v>
      </c>
      <c r="P45" s="50" t="s">
        <v>60</v>
      </c>
      <c r="Q45" s="50" t="s">
        <v>60</v>
      </c>
      <c r="R45" s="50" t="s">
        <v>60</v>
      </c>
      <c r="S45" s="51">
        <f t="shared" si="4"/>
        <v>11</v>
      </c>
      <c r="T45" s="52">
        <f t="shared" si="5"/>
        <v>0</v>
      </c>
      <c r="U45" s="52"/>
      <c r="V45" s="51">
        <f t="shared" si="6"/>
        <v>4</v>
      </c>
      <c r="W45" s="52">
        <f t="shared" si="7"/>
        <v>3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106</v>
      </c>
      <c r="C46" s="37">
        <v>154.0</v>
      </c>
      <c r="D46" s="37">
        <v>10.0</v>
      </c>
      <c r="E46" s="42">
        <f t="shared" si="2"/>
        <v>12.16666667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163</v>
      </c>
      <c r="O46" s="37">
        <f t="shared" si="51"/>
        <v>10</v>
      </c>
      <c r="P46" s="50" t="s">
        <v>60</v>
      </c>
      <c r="Q46" s="50" t="s">
        <v>60</v>
      </c>
      <c r="R46" s="50" t="s">
        <v>60</v>
      </c>
      <c r="S46" s="51">
        <f t="shared" si="4"/>
        <v>6</v>
      </c>
      <c r="T46" s="52">
        <f t="shared" si="5"/>
        <v>0</v>
      </c>
      <c r="U46" s="52"/>
      <c r="V46" s="51">
        <f t="shared" si="6"/>
        <v>9</v>
      </c>
      <c r="W46" s="52">
        <f t="shared" si="7"/>
        <v>-3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139</v>
      </c>
      <c r="C47" s="37">
        <v>154.0</v>
      </c>
      <c r="D47" s="37">
        <v>9.0</v>
      </c>
      <c r="E47" s="42">
        <f t="shared" si="2"/>
        <v>13.75</v>
      </c>
      <c r="F47" s="89">
        <v>3.0</v>
      </c>
      <c r="G47" s="90">
        <v>0.0</v>
      </c>
      <c r="H47" s="91">
        <v>9.0</v>
      </c>
      <c r="I47" s="90">
        <v>0.0</v>
      </c>
      <c r="J47" s="90">
        <v>0.0</v>
      </c>
      <c r="K47" s="90">
        <v>0.0</v>
      </c>
      <c r="L47" s="92">
        <v>9.0</v>
      </c>
      <c r="M47" s="90">
        <v>0.0</v>
      </c>
      <c r="N47" s="37">
        <f t="shared" ref="N47:O47" si="52">C47+L47</f>
        <v>163</v>
      </c>
      <c r="O47" s="37">
        <f t="shared" si="52"/>
        <v>9</v>
      </c>
      <c r="P47" s="50" t="s">
        <v>60</v>
      </c>
      <c r="Q47" s="50" t="s">
        <v>60</v>
      </c>
      <c r="R47" s="50" t="s">
        <v>60</v>
      </c>
      <c r="S47" s="51">
        <f t="shared" si="4"/>
        <v>4</v>
      </c>
      <c r="T47" s="52">
        <f t="shared" si="5"/>
        <v>0</v>
      </c>
      <c r="U47" s="52"/>
      <c r="V47" s="51">
        <f t="shared" si="6"/>
        <v>11</v>
      </c>
      <c r="W47" s="52">
        <f t="shared" si="7"/>
        <v>5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72</v>
      </c>
      <c r="C48" s="37">
        <v>154.0</v>
      </c>
      <c r="D48" s="37">
        <v>2.0</v>
      </c>
      <c r="E48" s="42">
        <f t="shared" si="2"/>
        <v>9.75</v>
      </c>
      <c r="F48" s="89">
        <v>3.0</v>
      </c>
      <c r="G48" s="90">
        <v>0.0</v>
      </c>
      <c r="H48" s="91">
        <v>9.0</v>
      </c>
      <c r="I48" s="90">
        <v>0.0</v>
      </c>
      <c r="J48" s="90">
        <v>0.0</v>
      </c>
      <c r="K48" s="90">
        <v>0.0</v>
      </c>
      <c r="L48" s="92">
        <v>9.0</v>
      </c>
      <c r="M48" s="90">
        <v>0.0</v>
      </c>
      <c r="N48" s="37">
        <f t="shared" ref="N48:O48" si="53">C48+L48</f>
        <v>163</v>
      </c>
      <c r="O48" s="37">
        <f t="shared" si="53"/>
        <v>2</v>
      </c>
      <c r="P48" s="50" t="s">
        <v>60</v>
      </c>
      <c r="Q48" s="50" t="s">
        <v>60</v>
      </c>
      <c r="R48" s="50" t="s">
        <v>60</v>
      </c>
      <c r="S48" s="51">
        <f t="shared" si="4"/>
        <v>4</v>
      </c>
      <c r="T48" s="52">
        <f t="shared" si="5"/>
        <v>4</v>
      </c>
      <c r="U48" s="52"/>
      <c r="V48" s="51">
        <f t="shared" si="6"/>
        <v>7</v>
      </c>
      <c r="W48" s="52">
        <f t="shared" si="7"/>
        <v>2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146</v>
      </c>
      <c r="C49" s="37">
        <v>152.0</v>
      </c>
      <c r="D49" s="37">
        <v>13.0</v>
      </c>
      <c r="E49" s="42">
        <f t="shared" si="2"/>
        <v>10.125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161</v>
      </c>
      <c r="O49" s="37">
        <f t="shared" si="54"/>
        <v>13</v>
      </c>
      <c r="P49" s="50" t="s">
        <v>60</v>
      </c>
      <c r="Q49" s="50" t="s">
        <v>60</v>
      </c>
      <c r="R49" s="50" t="s">
        <v>60</v>
      </c>
      <c r="S49" s="51">
        <f t="shared" si="4"/>
        <v>8</v>
      </c>
      <c r="T49" s="52">
        <f t="shared" si="5"/>
        <v>2</v>
      </c>
      <c r="U49" s="52"/>
      <c r="V49" s="51">
        <f t="shared" si="6"/>
        <v>5</v>
      </c>
      <c r="W49" s="52">
        <f t="shared" si="7"/>
        <v>-3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84</v>
      </c>
      <c r="C50" s="37">
        <v>152.0</v>
      </c>
      <c r="D50" s="37">
        <v>4.0</v>
      </c>
      <c r="E50" s="42">
        <f t="shared" si="2"/>
        <v>8.5</v>
      </c>
      <c r="F50" s="89">
        <v>2.0</v>
      </c>
      <c r="G50" s="90">
        <v>7.0</v>
      </c>
      <c r="H50" s="91">
        <v>0.0</v>
      </c>
      <c r="I50" s="90">
        <v>4.0</v>
      </c>
      <c r="J50" s="90">
        <v>2.0</v>
      </c>
      <c r="K50" s="90">
        <v>1.0</v>
      </c>
      <c r="L50" s="92">
        <v>7.0</v>
      </c>
      <c r="M50" s="90">
        <v>0.0</v>
      </c>
      <c r="N50" s="37">
        <f t="shared" ref="N50:O50" si="55">C50+L50</f>
        <v>159</v>
      </c>
      <c r="O50" s="37">
        <f t="shared" si="55"/>
        <v>4</v>
      </c>
      <c r="P50" s="50" t="s">
        <v>60</v>
      </c>
      <c r="Q50" s="50" t="s">
        <v>60</v>
      </c>
      <c r="R50" s="50" t="s">
        <v>60</v>
      </c>
      <c r="S50" s="51">
        <f t="shared" si="4"/>
        <v>6</v>
      </c>
      <c r="T50" s="52">
        <f t="shared" si="5"/>
        <v>5</v>
      </c>
      <c r="U50" s="52"/>
      <c r="V50" s="51">
        <f t="shared" si="6"/>
        <v>4</v>
      </c>
      <c r="W50" s="52">
        <f t="shared" si="7"/>
        <v>-3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111</v>
      </c>
      <c r="C51" s="37">
        <v>151.0</v>
      </c>
      <c r="D51" s="37">
        <v>6.0</v>
      </c>
      <c r="E51" s="42">
        <f t="shared" si="2"/>
        <v>11.66666667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160</v>
      </c>
      <c r="O51" s="37">
        <f t="shared" si="56"/>
        <v>6</v>
      </c>
      <c r="P51" s="50" t="s">
        <v>60</v>
      </c>
      <c r="Q51" s="50" t="s">
        <v>60</v>
      </c>
      <c r="R51" s="50" t="s">
        <v>60</v>
      </c>
      <c r="S51" s="51">
        <f t="shared" si="4"/>
        <v>6</v>
      </c>
      <c r="T51" s="52">
        <f t="shared" si="5"/>
        <v>0</v>
      </c>
      <c r="U51" s="52"/>
      <c r="V51" s="51">
        <f t="shared" si="6"/>
        <v>9</v>
      </c>
      <c r="W51" s="52">
        <f t="shared" si="7"/>
        <v>-2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134</v>
      </c>
      <c r="C52" s="37">
        <v>151.0</v>
      </c>
      <c r="D52" s="37">
        <v>6.0</v>
      </c>
      <c r="E52" s="42">
        <f t="shared" si="2"/>
        <v>9</v>
      </c>
      <c r="F52" s="89">
        <v>3.0</v>
      </c>
      <c r="G52" s="90">
        <v>0.0</v>
      </c>
      <c r="H52" s="91">
        <v>9.0</v>
      </c>
      <c r="I52" s="90">
        <v>0.0</v>
      </c>
      <c r="J52" s="90">
        <v>0.0</v>
      </c>
      <c r="K52" s="90">
        <v>0.0</v>
      </c>
      <c r="L52" s="92">
        <v>9.0</v>
      </c>
      <c r="M52" s="90">
        <v>0.0</v>
      </c>
      <c r="N52" s="37">
        <f t="shared" ref="N52:O52" si="57">C52+L52</f>
        <v>160</v>
      </c>
      <c r="O52" s="37">
        <f t="shared" si="57"/>
        <v>6</v>
      </c>
      <c r="P52" s="50" t="s">
        <v>60</v>
      </c>
      <c r="Q52" s="50" t="s">
        <v>60</v>
      </c>
      <c r="R52" s="50" t="s">
        <v>60</v>
      </c>
      <c r="S52" s="51">
        <f t="shared" si="4"/>
        <v>7</v>
      </c>
      <c r="T52" s="52">
        <f t="shared" si="5"/>
        <v>4</v>
      </c>
      <c r="U52" s="52"/>
      <c r="V52" s="51">
        <f t="shared" si="6"/>
        <v>4</v>
      </c>
      <c r="W52" s="52">
        <f t="shared" si="7"/>
        <v>1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117</v>
      </c>
      <c r="C53" s="37">
        <v>149.0</v>
      </c>
      <c r="D53" s="37">
        <v>8.0</v>
      </c>
      <c r="E53" s="42">
        <f t="shared" si="2"/>
        <v>11</v>
      </c>
      <c r="F53" s="89">
        <v>1.0</v>
      </c>
      <c r="G53" s="90">
        <v>8.0</v>
      </c>
      <c r="H53" s="91">
        <v>0.0</v>
      </c>
      <c r="I53" s="90">
        <v>4.0</v>
      </c>
      <c r="J53" s="90">
        <v>3.0</v>
      </c>
      <c r="K53" s="90">
        <v>5.0</v>
      </c>
      <c r="L53" s="92">
        <v>12.0</v>
      </c>
      <c r="M53" s="90">
        <v>0.0</v>
      </c>
      <c r="N53" s="37">
        <f t="shared" ref="N53:O53" si="58">C53+L53</f>
        <v>161</v>
      </c>
      <c r="O53" s="37">
        <f t="shared" si="58"/>
        <v>8</v>
      </c>
      <c r="P53" s="50" t="s">
        <v>60</v>
      </c>
      <c r="Q53" s="50" t="s">
        <v>60</v>
      </c>
      <c r="R53" s="50" t="s">
        <v>60</v>
      </c>
      <c r="S53" s="51">
        <f t="shared" si="4"/>
        <v>7</v>
      </c>
      <c r="T53" s="52">
        <f t="shared" si="5"/>
        <v>0</v>
      </c>
      <c r="U53" s="52"/>
      <c r="V53" s="51">
        <f t="shared" si="6"/>
        <v>8</v>
      </c>
      <c r="W53" s="52">
        <f t="shared" si="7"/>
        <v>-2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104</v>
      </c>
      <c r="C54" s="37">
        <v>149.0</v>
      </c>
      <c r="D54" s="37">
        <v>5.0</v>
      </c>
      <c r="E54" s="42">
        <f t="shared" si="2"/>
        <v>12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158</v>
      </c>
      <c r="O54" s="37">
        <f t="shared" si="59"/>
        <v>5</v>
      </c>
      <c r="P54" s="50" t="s">
        <v>60</v>
      </c>
      <c r="Q54" s="50" t="s">
        <v>60</v>
      </c>
      <c r="R54" s="50" t="s">
        <v>60</v>
      </c>
      <c r="S54" s="51">
        <f t="shared" si="4"/>
        <v>2</v>
      </c>
      <c r="T54" s="52">
        <f t="shared" si="5"/>
        <v>2</v>
      </c>
      <c r="U54" s="52"/>
      <c r="V54" s="51">
        <f t="shared" si="6"/>
        <v>11</v>
      </c>
      <c r="W54" s="52">
        <f t="shared" si="7"/>
        <v>3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61</v>
      </c>
      <c r="C55" s="37">
        <v>147.0</v>
      </c>
      <c r="D55" s="37">
        <v>9.0</v>
      </c>
      <c r="E55" s="42">
        <f t="shared" si="2"/>
        <v>10.71428571</v>
      </c>
      <c r="F55" s="89">
        <v>1.0</v>
      </c>
      <c r="G55" s="90">
        <v>8.0</v>
      </c>
      <c r="H55" s="91">
        <v>0.0</v>
      </c>
      <c r="I55" s="90">
        <v>6.0</v>
      </c>
      <c r="J55" s="90">
        <v>6.0</v>
      </c>
      <c r="K55" s="90">
        <v>5.0</v>
      </c>
      <c r="L55" s="92">
        <v>17.0</v>
      </c>
      <c r="M55" s="90">
        <v>2.0</v>
      </c>
      <c r="N55" s="37">
        <f t="shared" ref="N55:O55" si="60">C55+L55</f>
        <v>164</v>
      </c>
      <c r="O55" s="37">
        <f t="shared" si="60"/>
        <v>11</v>
      </c>
      <c r="P55" s="50" t="s">
        <v>60</v>
      </c>
      <c r="Q55" s="50" t="s">
        <v>60</v>
      </c>
      <c r="R55" s="50" t="s">
        <v>60</v>
      </c>
      <c r="S55" s="51">
        <f t="shared" si="4"/>
        <v>7</v>
      </c>
      <c r="T55" s="52">
        <f t="shared" si="5"/>
        <v>0</v>
      </c>
      <c r="U55" s="52"/>
      <c r="V55" s="51">
        <f t="shared" si="6"/>
        <v>8</v>
      </c>
      <c r="W55" s="52">
        <f t="shared" si="7"/>
        <v>0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144</v>
      </c>
      <c r="C56" s="37">
        <v>144.0</v>
      </c>
      <c r="D56" s="37">
        <v>3.0</v>
      </c>
      <c r="E56" s="42">
        <f t="shared" si="2"/>
        <v>8.25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153</v>
      </c>
      <c r="O56" s="37">
        <f t="shared" si="61"/>
        <v>3</v>
      </c>
      <c r="P56" s="50" t="s">
        <v>60</v>
      </c>
      <c r="Q56" s="50" t="s">
        <v>60</v>
      </c>
      <c r="R56" s="50" t="s">
        <v>60</v>
      </c>
      <c r="S56" s="51">
        <f t="shared" si="4"/>
        <v>4</v>
      </c>
      <c r="T56" s="52">
        <f t="shared" si="5"/>
        <v>3</v>
      </c>
      <c r="U56" s="52"/>
      <c r="V56" s="51">
        <f t="shared" si="6"/>
        <v>8</v>
      </c>
      <c r="W56" s="52">
        <f t="shared" si="7"/>
        <v>-2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129</v>
      </c>
      <c r="C57" s="37">
        <v>141.0</v>
      </c>
      <c r="D57" s="37">
        <v>6.0</v>
      </c>
      <c r="E57" s="42">
        <f t="shared" si="2"/>
        <v>9.857142857</v>
      </c>
      <c r="F57" s="89">
        <v>1.0</v>
      </c>
      <c r="G57" s="90">
        <v>8.0</v>
      </c>
      <c r="H57" s="91">
        <v>0.0</v>
      </c>
      <c r="I57" s="90">
        <v>4.0</v>
      </c>
      <c r="J57" s="90">
        <v>6.0</v>
      </c>
      <c r="K57" s="90">
        <v>7.0</v>
      </c>
      <c r="L57" s="92">
        <v>17.0</v>
      </c>
      <c r="M57" s="90">
        <v>2.0</v>
      </c>
      <c r="N57" s="37">
        <f t="shared" ref="N57:O57" si="62">C57+L57</f>
        <v>158</v>
      </c>
      <c r="O57" s="37">
        <f t="shared" si="62"/>
        <v>8</v>
      </c>
      <c r="P57" s="50" t="s">
        <v>60</v>
      </c>
      <c r="Q57" s="50" t="s">
        <v>60</v>
      </c>
      <c r="R57" s="50" t="s">
        <v>60</v>
      </c>
      <c r="S57" s="51">
        <f t="shared" si="4"/>
        <v>7</v>
      </c>
      <c r="T57" s="52">
        <f t="shared" si="5"/>
        <v>0</v>
      </c>
      <c r="U57" s="52"/>
      <c r="V57" s="51">
        <f t="shared" si="6"/>
        <v>8</v>
      </c>
      <c r="W57" s="52">
        <f t="shared" si="7"/>
        <v>2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141</v>
      </c>
      <c r="C58" s="37">
        <v>140.0</v>
      </c>
      <c r="D58" s="37">
        <v>5.0</v>
      </c>
      <c r="E58" s="42">
        <f t="shared" si="2"/>
        <v>8.571428571</v>
      </c>
      <c r="F58" s="89">
        <v>2.0</v>
      </c>
      <c r="G58" s="90">
        <v>8.0</v>
      </c>
      <c r="H58" s="91">
        <v>0.0</v>
      </c>
      <c r="I58" s="90">
        <v>6.0</v>
      </c>
      <c r="J58" s="90">
        <v>3.0</v>
      </c>
      <c r="K58" s="90">
        <v>7.0</v>
      </c>
      <c r="L58" s="92">
        <v>16.0</v>
      </c>
      <c r="M58" s="90">
        <v>2.0</v>
      </c>
      <c r="N58" s="37">
        <f t="shared" ref="N58:O58" si="63">C58+L58</f>
        <v>156</v>
      </c>
      <c r="O58" s="37">
        <f t="shared" si="63"/>
        <v>7</v>
      </c>
      <c r="P58" s="50" t="s">
        <v>60</v>
      </c>
      <c r="Q58" s="50" t="s">
        <v>60</v>
      </c>
      <c r="R58" s="50" t="s">
        <v>60</v>
      </c>
      <c r="S58" s="51">
        <f t="shared" si="4"/>
        <v>7</v>
      </c>
      <c r="T58" s="52">
        <f t="shared" si="5"/>
        <v>2</v>
      </c>
      <c r="U58" s="52"/>
      <c r="V58" s="51">
        <f t="shared" si="6"/>
        <v>6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145</v>
      </c>
      <c r="C59" s="37">
        <v>140.0</v>
      </c>
      <c r="D59" s="37">
        <v>3.0</v>
      </c>
      <c r="E59" s="42">
        <f t="shared" si="2"/>
        <v>10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149</v>
      </c>
      <c r="O59" s="37">
        <f t="shared" si="64"/>
        <v>3</v>
      </c>
      <c r="P59" s="50" t="s">
        <v>60</v>
      </c>
      <c r="Q59" s="50" t="s">
        <v>60</v>
      </c>
      <c r="R59" s="50" t="s">
        <v>60</v>
      </c>
      <c r="S59" s="51">
        <f t="shared" si="4"/>
        <v>1</v>
      </c>
      <c r="T59" s="52">
        <f t="shared" si="5"/>
        <v>1</v>
      </c>
      <c r="U59" s="52"/>
      <c r="V59" s="51">
        <f t="shared" si="6"/>
        <v>13</v>
      </c>
      <c r="W59" s="52">
        <f t="shared" si="7"/>
        <v>-3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137</v>
      </c>
      <c r="C60" s="37">
        <v>138.0</v>
      </c>
      <c r="D60" s="37">
        <v>1.0</v>
      </c>
      <c r="E60" s="42">
        <f t="shared" si="2"/>
        <v>6.5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147</v>
      </c>
      <c r="O60" s="37">
        <f t="shared" si="65"/>
        <v>1</v>
      </c>
      <c r="P60" s="50" t="s">
        <v>60</v>
      </c>
      <c r="Q60" s="50" t="s">
        <v>60</v>
      </c>
      <c r="R60" s="50" t="s">
        <v>60</v>
      </c>
      <c r="S60" s="51">
        <f t="shared" si="4"/>
        <v>2</v>
      </c>
      <c r="T60" s="52">
        <f t="shared" si="5"/>
        <v>2</v>
      </c>
      <c r="U60" s="52"/>
      <c r="V60" s="51">
        <f t="shared" si="6"/>
        <v>11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96</v>
      </c>
      <c r="C61" s="37">
        <v>132.0</v>
      </c>
      <c r="D61" s="37">
        <v>9.0</v>
      </c>
      <c r="E61" s="42">
        <f t="shared" si="2"/>
        <v>8.769230769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141</v>
      </c>
      <c r="O61" s="37">
        <f t="shared" si="66"/>
        <v>9</v>
      </c>
      <c r="P61" s="50" t="s">
        <v>60</v>
      </c>
      <c r="Q61" s="50" t="s">
        <v>60</v>
      </c>
      <c r="R61" s="50" t="s">
        <v>60</v>
      </c>
      <c r="S61" s="51">
        <f t="shared" si="4"/>
        <v>13</v>
      </c>
      <c r="T61" s="52">
        <f t="shared" si="5"/>
        <v>0</v>
      </c>
      <c r="U61" s="52"/>
      <c r="V61" s="51">
        <f t="shared" si="6"/>
        <v>2</v>
      </c>
      <c r="W61" s="52">
        <f t="shared" si="7"/>
        <v>3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89</v>
      </c>
      <c r="C62" s="37">
        <v>132.0</v>
      </c>
      <c r="D62" s="37">
        <v>2.0</v>
      </c>
      <c r="E62" s="42">
        <f t="shared" si="2"/>
        <v>6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141</v>
      </c>
      <c r="O62" s="37">
        <f t="shared" si="67"/>
        <v>2</v>
      </c>
      <c r="P62" s="50" t="s">
        <v>60</v>
      </c>
      <c r="Q62" s="50" t="s">
        <v>60</v>
      </c>
      <c r="R62" s="50" t="s">
        <v>60</v>
      </c>
      <c r="S62" s="51">
        <f t="shared" si="4"/>
        <v>1</v>
      </c>
      <c r="T62" s="52">
        <f t="shared" si="5"/>
        <v>0</v>
      </c>
      <c r="U62" s="52"/>
      <c r="V62" s="51">
        <f t="shared" si="6"/>
        <v>14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138</v>
      </c>
      <c r="C63" s="37">
        <v>132.0</v>
      </c>
      <c r="D63" s="37">
        <v>1.0</v>
      </c>
      <c r="E63" s="42">
        <f t="shared" si="2"/>
        <v>2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141</v>
      </c>
      <c r="O63" s="37">
        <f t="shared" si="68"/>
        <v>1</v>
      </c>
      <c r="P63" s="50" t="s">
        <v>60</v>
      </c>
      <c r="Q63" s="50" t="s">
        <v>60</v>
      </c>
      <c r="R63" s="50" t="s">
        <v>60</v>
      </c>
      <c r="S63" s="51">
        <f t="shared" si="4"/>
        <v>1</v>
      </c>
      <c r="T63" s="52">
        <f t="shared" si="5"/>
        <v>1</v>
      </c>
      <c r="U63" s="52"/>
      <c r="V63" s="51">
        <f t="shared" si="6"/>
        <v>13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56</v>
      </c>
      <c r="C64" s="37">
        <v>131.0</v>
      </c>
      <c r="D64" s="37">
        <v>2.0</v>
      </c>
      <c r="E64" s="42">
        <f t="shared" si="2"/>
        <v>5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140</v>
      </c>
      <c r="O64" s="37">
        <f t="shared" si="69"/>
        <v>2</v>
      </c>
      <c r="P64" s="50" t="s">
        <v>60</v>
      </c>
      <c r="Q64" s="50" t="s">
        <v>60</v>
      </c>
      <c r="R64" s="50" t="s">
        <v>60</v>
      </c>
      <c r="S64" s="51">
        <f t="shared" si="4"/>
        <v>1</v>
      </c>
      <c r="T64" s="52">
        <f t="shared" si="5"/>
        <v>0</v>
      </c>
      <c r="U64" s="52"/>
      <c r="V64" s="51">
        <f t="shared" si="6"/>
        <v>14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119</v>
      </c>
      <c r="C65" s="37">
        <v>129.0</v>
      </c>
      <c r="D65" s="37">
        <v>1.0</v>
      </c>
      <c r="E65" s="42">
        <f t="shared" si="2"/>
        <v>-1</v>
      </c>
      <c r="F65" s="89">
        <v>5.0</v>
      </c>
      <c r="G65" s="90">
        <v>0.0</v>
      </c>
      <c r="H65" s="91">
        <v>13.0</v>
      </c>
      <c r="I65" s="90">
        <v>0.0</v>
      </c>
      <c r="J65" s="90">
        <v>0.0</v>
      </c>
      <c r="K65" s="90">
        <v>0.0</v>
      </c>
      <c r="L65" s="92">
        <v>13.0</v>
      </c>
      <c r="M65" s="90">
        <v>0.0</v>
      </c>
      <c r="N65" s="37">
        <f t="shared" ref="N65:O65" si="70">C65+L65</f>
        <v>142</v>
      </c>
      <c r="O65" s="37">
        <f t="shared" si="70"/>
        <v>1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1</v>
      </c>
      <c r="U65" s="52"/>
      <c r="V65" s="51">
        <f t="shared" si="6"/>
        <v>13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116</v>
      </c>
      <c r="C66" s="37">
        <v>128.0</v>
      </c>
      <c r="D66" s="37">
        <v>1.0</v>
      </c>
      <c r="E66" s="42">
        <f t="shared" si="2"/>
        <v>-2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137</v>
      </c>
      <c r="O66" s="37">
        <f t="shared" si="71"/>
        <v>1</v>
      </c>
      <c r="P66" s="50" t="s">
        <v>60</v>
      </c>
      <c r="Q66" s="50" t="s">
        <v>60</v>
      </c>
      <c r="R66" s="50" t="s">
        <v>60</v>
      </c>
      <c r="S66" s="51">
        <f t="shared" si="4"/>
        <v>1</v>
      </c>
      <c r="T66" s="52">
        <f t="shared" si="5"/>
        <v>1</v>
      </c>
      <c r="U66" s="52"/>
      <c r="V66" s="51">
        <f t="shared" si="6"/>
        <v>13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95</v>
      </c>
      <c r="C67" s="37">
        <v>126.0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135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15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77</v>
      </c>
      <c r="C68" s="37">
        <v>126.0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135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15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132</v>
      </c>
      <c r="C69" s="37">
        <v>126.0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135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15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53</v>
      </c>
      <c r="C70" s="37">
        <v>126.0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135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15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126.0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135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13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10/03/26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desc"",0)"),"Darren Wong")</f>
        <v>Darren Wong</v>
      </c>
      <c r="C83" s="125">
        <f>IFERROR(__xludf.DUMMYFUNCTION("""COMPUTED_VALUE"""),20.0)</f>
        <v>20</v>
      </c>
      <c r="D83" s="125">
        <f>IFERROR(__xludf.DUMMYFUNCTION("""COMPUTED_VALUE"""),3.0)</f>
        <v>3</v>
      </c>
      <c r="E83" s="125">
        <f>IFERROR(__xludf.DUMMYFUNCTION("""COMPUTED_VALUE"""),3.0)</f>
        <v>3</v>
      </c>
      <c r="F83" s="2"/>
    </row>
    <row r="84">
      <c r="A84" s="2"/>
      <c r="B84" s="36" t="str">
        <f>IFERROR(__xludf.DUMMYFUNCTION("""COMPUTED_VALUE"""),"Tom Le")</f>
        <v>Tom Le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IFERROR(__xludf.DUMMYFUNCTION("""COMPUTED_VALUE"""),1.0)</f>
        <v>1</v>
      </c>
      <c r="F84" s="2"/>
    </row>
    <row r="85">
      <c r="A85" s="2"/>
      <c r="B85" s="36" t="str">
        <f>IFERROR(__xludf.DUMMYFUNCTION("""COMPUTED_VALUE"""),"Manish Anand")</f>
        <v>Manish Anand</v>
      </c>
      <c r="C85" s="125">
        <f>IFERROR(__xludf.DUMMYFUNCTION("""COMPUTED_VALUE"""),19.0)</f>
        <v>19</v>
      </c>
      <c r="D85" s="125">
        <f>IFERROR(__xludf.DUMMYFUNCTION("""COMPUTED_VALUE"""),3.0)</f>
        <v>3</v>
      </c>
      <c r="E85" s="125">
        <f>IFERROR(__xludf.DUMMYFUNCTION("""COMPUTED_VALUE"""),2.0)</f>
        <v>2</v>
      </c>
      <c r="F85" s="2"/>
    </row>
    <row r="86">
      <c r="A86" s="2"/>
      <c r="B86" s="36" t="str">
        <f>IFERROR(__xludf.DUMMYFUNCTION("""COMPUTED_VALUE"""),"Sean Chang")</f>
        <v>Sean Chang</v>
      </c>
      <c r="C86" s="125">
        <f>IFERROR(__xludf.DUMMYFUNCTION("""COMPUTED_VALUE"""),19.0)</f>
        <v>19</v>
      </c>
      <c r="D86" s="125">
        <f>IFERROR(__xludf.DUMMYFUNCTION("""COMPUTED_VALUE"""),2.0)</f>
        <v>2</v>
      </c>
      <c r="E86" s="125">
        <f>IFERROR(__xludf.DUMMYFUNCTION("""COMPUTED_VALUE"""),6.0)</f>
        <v>6</v>
      </c>
      <c r="F86" s="2"/>
    </row>
    <row r="87">
      <c r="A87" s="2"/>
      <c r="B87" s="36" t="str">
        <f>IFERROR(__xludf.DUMMYFUNCTION("""COMPUTED_VALUE"""),"Troy Wong")</f>
        <v>Troy Wong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IFERROR(__xludf.DUMMYFUNCTION("""COMPUTED_VALUE"""),5.0)</f>
        <v>5</v>
      </c>
      <c r="F87" s="2"/>
    </row>
    <row r="88">
      <c r="A88" s="2"/>
      <c r="B88" s="36" t="str">
        <f>IFERROR(__xludf.DUMMYFUNCTION("""COMPUTED_VALUE"""),"Robert Chang")</f>
        <v>Robert Chang</v>
      </c>
      <c r="C88" s="125">
        <f>IFERROR(__xludf.DUMMYFUNCTION("""COMPUTED_VALUE"""),18.0)</f>
        <v>18</v>
      </c>
      <c r="D88" s="125">
        <f>IFERROR(__xludf.DUMMYFUNCTION("""COMPUTED_VALUE"""),3.0)</f>
        <v>3</v>
      </c>
      <c r="E88" s="125">
        <f>IFERROR(__xludf.DUMMYFUNCTION("""COMPUTED_VALUE"""),8.0)</f>
        <v>8</v>
      </c>
      <c r="F88" s="2"/>
    </row>
    <row r="89">
      <c r="A89" s="2"/>
      <c r="B89" s="36" t="str">
        <f>IFERROR(__xludf.DUMMYFUNCTION("""COMPUTED_VALUE"""),"Naveen Raj")</f>
        <v>Naveen Raj</v>
      </c>
      <c r="C89" s="125">
        <f>IFERROR(__xludf.DUMMYFUNCTION("""COMPUTED_VALUE"""),18.0)</f>
        <v>18</v>
      </c>
      <c r="D89" s="125">
        <f>IFERROR(__xludf.DUMMYFUNCTION("""COMPUTED_VALUE"""),2.0)</f>
        <v>2</v>
      </c>
      <c r="E89" s="125">
        <f>IFERROR(__xludf.DUMMYFUNCTION("""COMPUTED_VALUE"""),6.0)</f>
        <v>6</v>
      </c>
      <c r="F89" s="2"/>
    </row>
    <row r="90">
      <c r="A90" s="2"/>
      <c r="B90" s="36" t="str">
        <f>IFERROR(__xludf.DUMMYFUNCTION("""COMPUTED_VALUE"""),"Erik Hoeckmann")</f>
        <v>Erik Hoeckmann</v>
      </c>
      <c r="C90" s="125">
        <f>IFERROR(__xludf.DUMMYFUNCTION("""COMPUTED_VALUE"""),18.0)</f>
        <v>18</v>
      </c>
      <c r="D90" s="125">
        <f>IFERROR(__xludf.DUMMYFUNCTION("""COMPUTED_VALUE"""),1.0)</f>
        <v>1</v>
      </c>
      <c r="E90" s="125">
        <f>IFERROR(__xludf.DUMMYFUNCTION("""COMPUTED_VALUE"""),3.0)</f>
        <v>3</v>
      </c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10"")"),"Darren Wong")</f>
        <v>Darren Wong</v>
      </c>
      <c r="C102" s="125">
        <f>IFERROR(__xludf.DUMMYFUNCTION("""COMPUTED_VALUE"""),5.0)</f>
        <v>5</v>
      </c>
      <c r="D102" s="125">
        <f t="shared" ref="D102:D111" si="77">VLOOKUP(B102,indirect($AC$2&amp;"!B$5:X$79"),23, false)</f>
        <v>18</v>
      </c>
      <c r="E102" s="125">
        <f t="shared" ref="E102:E111" si="78">VLOOKUP(B102,B$5:X$71,23, false)</f>
        <v>13</v>
      </c>
      <c r="F102" s="125">
        <f t="shared" ref="F102:F111" si="79">VLOOKUP(B102,indirect($AC$2&amp;"!B$5:U$79"),11, false)</f>
        <v>20</v>
      </c>
      <c r="G102" s="125">
        <f t="shared" ref="G102:G111" si="80">VLOOKUP(B102,indirect($AC$2&amp;"!B$5:U$79"),6, false)</f>
        <v>3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IFERROR(__xludf.DUMMYFUNCTION("""COMPUTED_VALUE"""),"Naveen Raj")</f>
        <v>Naveen Raj</v>
      </c>
      <c r="C103" s="125">
        <f>IFERROR(__xludf.DUMMYFUNCTION("""COMPUTED_VALUE"""),5.0)</f>
        <v>5</v>
      </c>
      <c r="D103" s="125">
        <f t="shared" si="77"/>
        <v>38</v>
      </c>
      <c r="E103" s="125">
        <f t="shared" si="78"/>
        <v>33</v>
      </c>
      <c r="F103" s="125">
        <f t="shared" si="79"/>
        <v>18</v>
      </c>
      <c r="G103" s="125">
        <f t="shared" si="80"/>
        <v>6</v>
      </c>
      <c r="L103" s="125" t="str">
        <f t="shared" si="81"/>
        <v>ok</v>
      </c>
    </row>
    <row r="104">
      <c r="A104" s="2"/>
      <c r="B104" s="36" t="str">
        <f>IFERROR(__xludf.DUMMYFUNCTION("""COMPUTED_VALUE"""),"Susanta Mishra")</f>
        <v>Susanta Mishra</v>
      </c>
      <c r="C104" s="125">
        <f>IFERROR(__xludf.DUMMYFUNCTION("""COMPUTED_VALUE"""),5.0)</f>
        <v>5</v>
      </c>
      <c r="D104" s="125">
        <f t="shared" si="77"/>
        <v>48</v>
      </c>
      <c r="E104" s="125">
        <f t="shared" si="78"/>
        <v>43</v>
      </c>
      <c r="F104" s="125">
        <f t="shared" si="79"/>
        <v>16</v>
      </c>
      <c r="G104" s="125">
        <f t="shared" si="80"/>
        <v>7</v>
      </c>
      <c r="L104" s="125" t="str">
        <f t="shared" si="81"/>
        <v>ok</v>
      </c>
    </row>
    <row r="105">
      <c r="A105" s="2"/>
      <c r="B105" s="36" t="str">
        <f>IFERROR(__xludf.DUMMYFUNCTION("""COMPUTED_VALUE"""),"Manish Anand")</f>
        <v>Manish Anand</v>
      </c>
      <c r="C105" s="125">
        <f>IFERROR(__xludf.DUMMYFUNCTION("""COMPUTED_VALUE"""),4.0)</f>
        <v>4</v>
      </c>
      <c r="D105" s="125">
        <f t="shared" si="77"/>
        <v>11</v>
      </c>
      <c r="E105" s="125">
        <f t="shared" si="78"/>
        <v>7</v>
      </c>
      <c r="F105" s="125">
        <f t="shared" si="79"/>
        <v>19</v>
      </c>
      <c r="G105" s="125">
        <f t="shared" si="80"/>
        <v>2</v>
      </c>
      <c r="L105" s="125" t="str">
        <f t="shared" si="81"/>
        <v>ok</v>
      </c>
    </row>
    <row r="106">
      <c r="A106" s="2"/>
      <c r="B106" s="36" t="str">
        <f>IFERROR(__xludf.DUMMYFUNCTION("""COMPUTED_VALUE"""),"Tina Hanson")</f>
        <v>Tina Hanson</v>
      </c>
      <c r="C106" s="125">
        <f>IFERROR(__xludf.DUMMYFUNCTION("""COMPUTED_VALUE"""),3.0)</f>
        <v>3</v>
      </c>
      <c r="D106" s="125">
        <f t="shared" si="77"/>
        <v>19</v>
      </c>
      <c r="E106" s="125">
        <f t="shared" si="78"/>
        <v>16</v>
      </c>
      <c r="F106" s="125">
        <f t="shared" si="79"/>
        <v>17</v>
      </c>
      <c r="G106" s="125">
        <f t="shared" si="80"/>
        <v>3</v>
      </c>
      <c r="L106" s="125" t="str">
        <f t="shared" si="81"/>
        <v>ok</v>
      </c>
    </row>
    <row r="107">
      <c r="A107" s="2"/>
      <c r="B107" s="36" t="str">
        <f>IFERROR(__xludf.DUMMYFUNCTION("""COMPUTED_VALUE"""),"Sean Chang")</f>
        <v>Sean Chang</v>
      </c>
      <c r="C107" s="125">
        <f>IFERROR(__xludf.DUMMYFUNCTION("""COMPUTED_VALUE"""),3.0)</f>
        <v>3</v>
      </c>
      <c r="D107" s="125">
        <f t="shared" si="77"/>
        <v>40</v>
      </c>
      <c r="E107" s="125">
        <f t="shared" si="78"/>
        <v>37</v>
      </c>
      <c r="F107" s="125">
        <f t="shared" si="79"/>
        <v>19</v>
      </c>
      <c r="G107" s="125">
        <f t="shared" si="80"/>
        <v>6</v>
      </c>
      <c r="L107" s="125" t="str">
        <f t="shared" si="81"/>
        <v>ok</v>
      </c>
    </row>
    <row r="108">
      <c r="A108" s="2"/>
      <c r="B108" s="36" t="str">
        <f>IFERROR(__xludf.DUMMYFUNCTION("""COMPUTED_VALUE"""),"Allen Zhang")</f>
        <v>Allen Zhang</v>
      </c>
      <c r="C108" s="125">
        <f>IFERROR(__xludf.DUMMYFUNCTION("""COMPUTED_VALUE"""),3.0)</f>
        <v>3</v>
      </c>
      <c r="D108" s="125">
        <f t="shared" si="77"/>
        <v>44</v>
      </c>
      <c r="E108" s="125">
        <f t="shared" si="78"/>
        <v>41</v>
      </c>
      <c r="F108" s="125">
        <f t="shared" si="79"/>
        <v>13</v>
      </c>
      <c r="G108" s="125">
        <f t="shared" si="80"/>
        <v>7</v>
      </c>
      <c r="L108" s="125" t="str">
        <f t="shared" si="81"/>
        <v>ok</v>
      </c>
    </row>
    <row r="109">
      <c r="A109" s="2"/>
      <c r="B109" s="36" t="str">
        <f>IFERROR(__xludf.DUMMYFUNCTION("""COMPUTED_VALUE"""),"Robert Chang")</f>
        <v>Robert Chang</v>
      </c>
      <c r="C109" s="125">
        <f>IFERROR(__xludf.DUMMYFUNCTION("""COMPUTED_VALUE"""),3.0)</f>
        <v>3</v>
      </c>
      <c r="D109" s="125">
        <f t="shared" si="77"/>
        <v>53</v>
      </c>
      <c r="E109" s="125">
        <f t="shared" si="78"/>
        <v>50</v>
      </c>
      <c r="F109" s="125">
        <f t="shared" si="79"/>
        <v>18</v>
      </c>
      <c r="G109" s="125">
        <f t="shared" si="80"/>
        <v>8</v>
      </c>
      <c r="L109" s="125" t="str">
        <f t="shared" si="81"/>
        <v>ok</v>
      </c>
    </row>
    <row r="110">
      <c r="A110" s="2"/>
      <c r="B110" s="36" t="str">
        <f>IFERROR(__xludf.DUMMYFUNCTION("""COMPUTED_VALUE"""),"Eric Tan")</f>
        <v>Eric Tan</v>
      </c>
      <c r="C110" s="125">
        <f>IFERROR(__xludf.DUMMYFUNCTION("""COMPUTED_VALUE"""),3.0)</f>
        <v>3</v>
      </c>
      <c r="D110" s="125">
        <f t="shared" si="77"/>
        <v>60</v>
      </c>
      <c r="E110" s="125">
        <f t="shared" si="78"/>
        <v>57</v>
      </c>
      <c r="F110" s="125">
        <f t="shared" si="79"/>
        <v>12</v>
      </c>
      <c r="G110" s="125">
        <f t="shared" si="80"/>
        <v>8</v>
      </c>
      <c r="L110" s="125" t="str">
        <f t="shared" si="81"/>
        <v>ok</v>
      </c>
    </row>
    <row r="111">
      <c r="A111" s="2"/>
      <c r="B111" s="36" t="str">
        <f>IFERROR(__xludf.DUMMYFUNCTION("""COMPUTED_VALUE"""),"Erik Hoeckmann")</f>
        <v>Erik Hoeckmann</v>
      </c>
      <c r="C111" s="125">
        <f>IFERROR(__xludf.DUMMYFUNCTION("""COMPUTED_VALUE"""),2.0)</f>
        <v>2</v>
      </c>
      <c r="D111" s="125">
        <f t="shared" si="77"/>
        <v>17</v>
      </c>
      <c r="E111" s="125">
        <f t="shared" si="78"/>
        <v>15</v>
      </c>
      <c r="F111" s="125">
        <f t="shared" si="79"/>
        <v>18</v>
      </c>
      <c r="G111" s="125">
        <f t="shared" si="80"/>
        <v>3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15 Weeks</v>
      </c>
      <c r="B117" s="26"/>
      <c r="C117" s="26"/>
      <c r="D117" s="26"/>
      <c r="E117" s="27"/>
      <c r="F117" s="2"/>
    </row>
    <row r="118">
      <c r="A118" s="123" t="s">
        <v>39</v>
      </c>
      <c r="B118" s="123" t="s">
        <v>7</v>
      </c>
      <c r="C118" s="123" t="s">
        <v>4</v>
      </c>
      <c r="D118" s="123" t="s">
        <v>6</v>
      </c>
      <c r="E118" s="123" t="s">
        <v>40</v>
      </c>
      <c r="F118" s="2"/>
    </row>
    <row r="119">
      <c r="A119" s="125">
        <f t="shared" ref="A119:E119" si="82">A5</f>
        <v>1</v>
      </c>
      <c r="B119" s="36" t="str">
        <f t="shared" si="82"/>
        <v>Tom Le</v>
      </c>
      <c r="C119" s="125">
        <f t="shared" si="82"/>
        <v>213</v>
      </c>
      <c r="D119" s="125">
        <f t="shared" si="82"/>
        <v>24</v>
      </c>
      <c r="E119" s="125">
        <f t="shared" si="82"/>
        <v>16.09090909</v>
      </c>
      <c r="F119" s="2"/>
    </row>
    <row r="120">
      <c r="A120" s="125">
        <f t="shared" ref="A120:E120" si="83">A6</f>
        <v>2</v>
      </c>
      <c r="B120" s="36" t="str">
        <f t="shared" si="83"/>
        <v>Andrew Yao</v>
      </c>
      <c r="C120" s="125">
        <f t="shared" si="83"/>
        <v>205</v>
      </c>
      <c r="D120" s="125">
        <f t="shared" si="83"/>
        <v>20</v>
      </c>
      <c r="E120" s="125">
        <f t="shared" si="83"/>
        <v>13.76923077</v>
      </c>
      <c r="F120" s="2"/>
    </row>
    <row r="121">
      <c r="A121" s="125">
        <f t="shared" ref="A121:E121" si="84">A7</f>
        <v>3</v>
      </c>
      <c r="B121" s="36" t="str">
        <f t="shared" si="84"/>
        <v>Pavan Akkimsetty</v>
      </c>
      <c r="C121" s="125">
        <f t="shared" si="84"/>
        <v>205</v>
      </c>
      <c r="D121" s="125">
        <f t="shared" si="84"/>
        <v>20</v>
      </c>
      <c r="E121" s="125">
        <f t="shared" si="84"/>
        <v>14.07692308</v>
      </c>
      <c r="F121" s="2"/>
    </row>
    <row r="122">
      <c r="A122" s="125">
        <f t="shared" ref="A122:E122" si="85">A8</f>
        <v>4</v>
      </c>
      <c r="B122" s="36" t="str">
        <f t="shared" si="85"/>
        <v>Pulkit Mathur</v>
      </c>
      <c r="C122" s="125">
        <f t="shared" si="85"/>
        <v>203</v>
      </c>
      <c r="D122" s="125">
        <f t="shared" si="85"/>
        <v>24</v>
      </c>
      <c r="E122" s="125">
        <f t="shared" si="85"/>
        <v>15</v>
      </c>
      <c r="F122" s="2"/>
    </row>
    <row r="123">
      <c r="A123" s="125">
        <f t="shared" ref="A123:E123" si="86">A9</f>
        <v>5</v>
      </c>
      <c r="B123" s="36" t="str">
        <f t="shared" si="86"/>
        <v>David Shin</v>
      </c>
      <c r="C123" s="125">
        <f t="shared" si="86"/>
        <v>201</v>
      </c>
      <c r="D123" s="125">
        <f t="shared" si="86"/>
        <v>21</v>
      </c>
      <c r="E123" s="125">
        <f t="shared" si="86"/>
        <v>13.76923077</v>
      </c>
      <c r="F123" s="2"/>
    </row>
    <row r="124">
      <c r="A124" s="125">
        <f t="shared" ref="A124:E124" si="87">A10</f>
        <v>6</v>
      </c>
      <c r="B124" s="36" t="str">
        <f t="shared" si="87"/>
        <v>Rudy Tatang</v>
      </c>
      <c r="C124" s="125">
        <f t="shared" si="87"/>
        <v>200</v>
      </c>
      <c r="D124" s="125">
        <f t="shared" si="87"/>
        <v>17</v>
      </c>
      <c r="E124" s="125">
        <f t="shared" si="87"/>
        <v>14.7</v>
      </c>
      <c r="F124" s="2"/>
    </row>
    <row r="125">
      <c r="A125" s="125">
        <f t="shared" ref="A125:E125" si="88">A11</f>
        <v>7</v>
      </c>
      <c r="B125" s="36" t="str">
        <f t="shared" si="88"/>
        <v>Manish Anand</v>
      </c>
      <c r="C125" s="125">
        <f t="shared" si="88"/>
        <v>194</v>
      </c>
      <c r="D125" s="125">
        <f t="shared" si="88"/>
        <v>18</v>
      </c>
      <c r="E125" s="125">
        <f t="shared" si="88"/>
        <v>13.58333333</v>
      </c>
      <c r="F125" s="2"/>
    </row>
    <row r="126">
      <c r="A126" s="125">
        <f t="shared" ref="A126:E126" si="89">A12</f>
        <v>8</v>
      </c>
      <c r="B126" s="36" t="str">
        <f t="shared" si="89"/>
        <v>Vinotkumar Nagappan</v>
      </c>
      <c r="C126" s="125">
        <f t="shared" si="89"/>
        <v>193</v>
      </c>
      <c r="D126" s="125">
        <f t="shared" si="89"/>
        <v>16</v>
      </c>
      <c r="E126" s="125">
        <f t="shared" si="89"/>
        <v>12.86666667</v>
      </c>
      <c r="F126" s="2"/>
    </row>
    <row r="127">
      <c r="A127" s="125">
        <f t="shared" ref="A127:E127" si="90">A13</f>
        <v>9</v>
      </c>
      <c r="B127" s="36" t="str">
        <f t="shared" si="90"/>
        <v>Jaya Sogata</v>
      </c>
      <c r="C127" s="125">
        <f t="shared" si="90"/>
        <v>192</v>
      </c>
      <c r="D127" s="125">
        <f t="shared" si="90"/>
        <v>13</v>
      </c>
      <c r="E127" s="125">
        <f t="shared" si="90"/>
        <v>13.55555556</v>
      </c>
      <c r="F127" s="2"/>
    </row>
    <row r="128">
      <c r="A128" s="125">
        <f t="shared" ref="A128:E128" si="91">A14</f>
        <v>10</v>
      </c>
      <c r="B128" s="36" t="str">
        <f t="shared" si="91"/>
        <v>Rajasekar Ramasamy</v>
      </c>
      <c r="C128" s="125">
        <f t="shared" si="91"/>
        <v>188</v>
      </c>
      <c r="D128" s="125">
        <f t="shared" si="91"/>
        <v>17</v>
      </c>
      <c r="E128" s="125">
        <f t="shared" si="91"/>
        <v>12.46153846</v>
      </c>
      <c r="F128" s="2"/>
    </row>
    <row r="129">
      <c r="A129" s="2"/>
      <c r="C129" s="2"/>
      <c r="D129" s="2"/>
      <c r="E129" s="2"/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130" t="s">
        <v>202</v>
      </c>
      <c r="B133" s="27"/>
      <c r="C133" s="2"/>
      <c r="D133" s="2"/>
      <c r="E133" s="2"/>
      <c r="F133" s="2"/>
    </row>
    <row r="134">
      <c r="A134" s="123" t="s">
        <v>2</v>
      </c>
      <c r="B134" s="123" t="s">
        <v>1</v>
      </c>
      <c r="C134" s="2"/>
      <c r="D134" s="2"/>
      <c r="E134" s="2"/>
      <c r="F134" s="2"/>
    </row>
    <row r="135">
      <c r="A135" s="125">
        <f>if(B135&lt;&gt;"",1,0)</f>
        <v>1</v>
      </c>
      <c r="B135" s="36" t="str">
        <f>IFERROR(__xludf.DUMMYFUNCTION("query(B5:Y71,""select B where Y = 'Y' order by B ASC"")"),"Vinotkumar Nagappan")</f>
        <v>Vinotkumar Nagappan</v>
      </c>
      <c r="C135" s="2"/>
      <c r="D135" s="2"/>
      <c r="E135" s="2"/>
      <c r="F135" s="2"/>
    </row>
    <row r="136">
      <c r="A136" s="125">
        <f t="shared" ref="A136:A210" si="92">if(B136&lt;&gt;"",A135+1,0)</f>
        <v>0</v>
      </c>
      <c r="B136" s="36"/>
      <c r="C136" s="2"/>
      <c r="D136" s="2"/>
      <c r="E136" s="2"/>
      <c r="F136" s="2"/>
    </row>
    <row r="137">
      <c r="A137" s="125">
        <f t="shared" si="92"/>
        <v>0</v>
      </c>
      <c r="B137" s="36"/>
      <c r="C137" s="2"/>
      <c r="D137" s="2"/>
      <c r="E137" s="2"/>
      <c r="F137" s="2"/>
      <c r="P137" s="36"/>
    </row>
    <row r="138">
      <c r="A138" s="125">
        <f t="shared" si="92"/>
        <v>0</v>
      </c>
      <c r="B138" s="36"/>
      <c r="C138" s="2"/>
      <c r="D138" s="2"/>
      <c r="E138" s="2"/>
      <c r="F138" s="2"/>
    </row>
    <row r="139">
      <c r="A139" s="125">
        <f t="shared" si="92"/>
        <v>0</v>
      </c>
      <c r="B139" s="36"/>
      <c r="C139" s="2"/>
      <c r="D139" s="2"/>
      <c r="E139" s="2"/>
      <c r="F139" s="2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2"/>
      <c r="C211" s="2"/>
      <c r="D211" s="2"/>
      <c r="E211" s="2"/>
      <c r="F211" s="2"/>
    </row>
    <row r="212">
      <c r="A212" s="2"/>
      <c r="C212" s="2"/>
      <c r="D212" s="2"/>
      <c r="E212" s="2"/>
      <c r="F212" s="2"/>
    </row>
    <row r="213">
      <c r="A213" s="2"/>
      <c r="B213" s="130" t="s">
        <v>203</v>
      </c>
      <c r="C213" s="27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23" t="s">
        <v>1</v>
      </c>
      <c r="C215" s="123" t="s">
        <v>204</v>
      </c>
      <c r="D215" s="2"/>
      <c r="E215" s="2"/>
      <c r="F215" s="2"/>
    </row>
    <row r="216">
      <c r="A216" s="2"/>
      <c r="B216" s="36" t="str">
        <f>Data!F109</f>
        <v/>
      </c>
      <c r="C216" s="125" t="str">
        <f>Data!G109</f>
        <v/>
      </c>
      <c r="D216" s="2"/>
      <c r="E216" s="2"/>
      <c r="F216" s="2"/>
    </row>
    <row r="217">
      <c r="A217" s="2"/>
      <c r="B217" s="36" t="str">
        <f>Data!F110</f>
        <v/>
      </c>
      <c r="C217" s="125" t="str">
        <f>Data!G110</f>
        <v/>
      </c>
      <c r="D217" s="2"/>
      <c r="E217" s="2"/>
      <c r="F217" s="2"/>
    </row>
    <row r="218">
      <c r="A218" s="2"/>
      <c r="B218" s="36" t="str">
        <f>Data!F111</f>
        <v/>
      </c>
      <c r="C218" s="125" t="str">
        <f>Data!G111</f>
        <v/>
      </c>
      <c r="D218" s="2"/>
      <c r="E218" s="2"/>
      <c r="F218" s="2"/>
    </row>
    <row r="219">
      <c r="A219" s="2"/>
      <c r="B219" s="36" t="str">
        <f>Data!F112</f>
        <v/>
      </c>
      <c r="C219" s="125" t="str">
        <f>Data!G112</f>
        <v/>
      </c>
      <c r="D219" s="2"/>
      <c r="E219" s="2"/>
      <c r="F219" s="2"/>
    </row>
    <row r="220">
      <c r="A220" s="2"/>
      <c r="B220" s="36" t="str">
        <f>Data!F113</f>
        <v/>
      </c>
      <c r="C220" s="125" t="str">
        <f t="shared" ref="C220:C221" si="93">#REF!</f>
        <v>#REF!</v>
      </c>
      <c r="D220" s="2"/>
      <c r="E220" s="2"/>
      <c r="F220" s="2"/>
    </row>
    <row r="221">
      <c r="A221" s="2"/>
      <c r="B221" s="36" t="str">
        <f>Data!F114</f>
        <v/>
      </c>
      <c r="C221" s="125" t="str">
        <f t="shared" si="93"/>
        <v>#REF!</v>
      </c>
      <c r="D221" s="2"/>
      <c r="E221" s="2"/>
      <c r="F221" s="2"/>
    </row>
    <row r="222">
      <c r="A222" s="2"/>
      <c r="B222" s="36" t="str">
        <f t="shared" ref="B222:C222" si="94">#REF!</f>
        <v>#REF!</v>
      </c>
      <c r="C222" s="125" t="str">
        <f t="shared" si="94"/>
        <v>#REF!</v>
      </c>
      <c r="D222" s="2"/>
      <c r="E222" s="2"/>
      <c r="F222" s="2"/>
    </row>
    <row r="223">
      <c r="A223" s="2"/>
      <c r="B223" s="36" t="str">
        <f t="shared" ref="B223:C223" si="95">#REF!</f>
        <v>#REF!</v>
      </c>
      <c r="C223" s="125" t="str">
        <f t="shared" si="95"/>
        <v>#REF!</v>
      </c>
      <c r="D223" s="2"/>
      <c r="E223" s="2"/>
      <c r="F223" s="2"/>
    </row>
    <row r="224">
      <c r="A224" s="2"/>
      <c r="B224" s="36" t="str">
        <f t="shared" ref="B224:C224" si="96">#REF!</f>
        <v>#REF!</v>
      </c>
      <c r="C224" s="125" t="str">
        <f t="shared" si="96"/>
        <v>#REF!</v>
      </c>
      <c r="D224" s="2"/>
      <c r="E224" s="2"/>
      <c r="F224" s="2"/>
    </row>
    <row r="225">
      <c r="A225" s="2"/>
      <c r="B225" s="36" t="str">
        <f t="shared" ref="B225:C225" si="97">#REF!</f>
        <v>#REF!</v>
      </c>
      <c r="C225" s="125" t="str">
        <f t="shared" si="97"/>
        <v>#REF!</v>
      </c>
      <c r="D225" s="2"/>
      <c r="E225" s="2"/>
      <c r="F225" s="2"/>
    </row>
    <row r="226">
      <c r="A226" s="2"/>
      <c r="B226" s="36" t="str">
        <f t="shared" ref="B226:C226" si="98">#REF!</f>
        <v>#REF!</v>
      </c>
      <c r="C226" s="125" t="str">
        <f t="shared" si="98"/>
        <v>#REF!</v>
      </c>
      <c r="D226" s="2"/>
      <c r="E226" s="2"/>
      <c r="F226" s="2"/>
    </row>
    <row r="227">
      <c r="A227" s="2"/>
      <c r="C227" s="2"/>
      <c r="D227" s="2"/>
      <c r="E227" s="2"/>
      <c r="F227" s="2"/>
    </row>
    <row r="228">
      <c r="A228" s="2"/>
      <c r="C228" s="2"/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B234" s="129" t="str">
        <f>concatenate("Scores for : " &amp; AC2)</f>
        <v>Scores for : 10/03/26</v>
      </c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123" t="s">
        <v>0</v>
      </c>
      <c r="B236" s="123" t="s">
        <v>1</v>
      </c>
      <c r="C236" s="123" t="s">
        <v>10</v>
      </c>
      <c r="D236" s="123" t="s">
        <v>11</v>
      </c>
      <c r="E236" s="123" t="s">
        <v>12</v>
      </c>
      <c r="F236" s="123" t="s">
        <v>13</v>
      </c>
      <c r="G236" s="123" t="s">
        <v>6</v>
      </c>
    </row>
    <row r="237">
      <c r="A237" s="125">
        <f>IFERROR(__xludf.DUMMYFUNCTION("QUERY(indirect(AC2 &amp; ""!B5:M79""),""Select G, B, I, J, K,L, M where G &gt; 0 order by G asc"",0)"),1.0)</f>
        <v>1</v>
      </c>
      <c r="B237" s="36" t="str">
        <f>IFERROR(__xludf.DUMMYFUNCTION("""COMPUTED_VALUE"""),"Tom Le")</f>
        <v>Tom Le</v>
      </c>
      <c r="C237" s="131">
        <f>IFERROR(__xludf.DUMMYFUNCTION("""COMPUTED_VALUE"""),6.0)</f>
        <v>6</v>
      </c>
      <c r="D237" s="131">
        <f>IFERROR(__xludf.DUMMYFUNCTION("""COMPUTED_VALUE"""),7.0)</f>
        <v>7</v>
      </c>
      <c r="E237" s="131">
        <f>IFERROR(__xludf.DUMMYFUNCTION("""COMPUTED_VALUE"""),6.0)</f>
        <v>6</v>
      </c>
      <c r="F237" s="131">
        <f>IFERROR(__xludf.DUMMYFUNCTION("""COMPUTED_VALUE"""),19.0)</f>
        <v>19</v>
      </c>
      <c r="G237" s="131">
        <f>IFERROR(__xludf.DUMMYFUNCTION("""COMPUTED_VALUE"""),3.0)</f>
        <v>3</v>
      </c>
    </row>
    <row r="238">
      <c r="A238" s="125">
        <f>IFERROR(__xludf.DUMMYFUNCTION("""COMPUTED_VALUE"""),1.0)</f>
        <v>1</v>
      </c>
      <c r="B238" s="36" t="str">
        <f>IFERROR(__xludf.DUMMYFUNCTION("""COMPUTED_VALUE"""),"Pavan Akkimsetty")</f>
        <v>Pavan Akkimsetty</v>
      </c>
      <c r="C238" s="131">
        <f>IFERROR(__xludf.DUMMYFUNCTION("""COMPUTED_VALUE"""),6.0)</f>
        <v>6</v>
      </c>
      <c r="D238" s="131">
        <f>IFERROR(__xludf.DUMMYFUNCTION("""COMPUTED_VALUE"""),6.0)</f>
        <v>6</v>
      </c>
      <c r="E238" s="131">
        <f>IFERROR(__xludf.DUMMYFUNCTION("""COMPUTED_VALUE"""),2.0)</f>
        <v>2</v>
      </c>
      <c r="F238" s="131">
        <f>IFERROR(__xludf.DUMMYFUNCTION("""COMPUTED_VALUE"""),14.0)</f>
        <v>14</v>
      </c>
      <c r="G238" s="131">
        <f>IFERROR(__xludf.DUMMYFUNCTION("""COMPUTED_VALUE"""),1.0)</f>
        <v>1</v>
      </c>
    </row>
    <row r="239">
      <c r="A239" s="125">
        <f>IFERROR(__xludf.DUMMYFUNCTION("""COMPUTED_VALUE"""),1.0)</f>
        <v>1</v>
      </c>
      <c r="B239" s="36" t="str">
        <f>IFERROR(__xludf.DUMMYFUNCTION("""COMPUTED_VALUE"""),"David Shin")</f>
        <v>David Shin</v>
      </c>
      <c r="C239" s="131">
        <f>IFERROR(__xludf.DUMMYFUNCTION("""COMPUTED_VALUE"""),4.0)</f>
        <v>4</v>
      </c>
      <c r="D239" s="131">
        <f>IFERROR(__xludf.DUMMYFUNCTION("""COMPUTED_VALUE"""),7.0)</f>
        <v>7</v>
      </c>
      <c r="E239" s="131">
        <f>IFERROR(__xludf.DUMMYFUNCTION("""COMPUTED_VALUE"""),2.0)</f>
        <v>2</v>
      </c>
      <c r="F239" s="131">
        <f>IFERROR(__xludf.DUMMYFUNCTION("""COMPUTED_VALUE"""),13.0)</f>
        <v>13</v>
      </c>
      <c r="G239" s="131">
        <f>IFERROR(__xludf.DUMMYFUNCTION("""COMPUTED_VALUE"""),1.0)</f>
        <v>1</v>
      </c>
    </row>
    <row r="240">
      <c r="A240" s="125">
        <f>IFERROR(__xludf.DUMMYFUNCTION("""COMPUTED_VALUE"""),1.0)</f>
        <v>1</v>
      </c>
      <c r="B240" s="36" t="str">
        <f>IFERROR(__xludf.DUMMYFUNCTION("""COMPUTED_VALUE"""),"Vinotkumar Nagappan")</f>
        <v>Vinotkumar Nagappan</v>
      </c>
      <c r="C240" s="131">
        <f>IFERROR(__xludf.DUMMYFUNCTION("""COMPUTED_VALUE"""),4.0)</f>
        <v>4</v>
      </c>
      <c r="D240" s="131">
        <f>IFERROR(__xludf.DUMMYFUNCTION("""COMPUTED_VALUE"""),6.0)</f>
        <v>6</v>
      </c>
      <c r="E240" s="131">
        <f>IFERROR(__xludf.DUMMYFUNCTION("""COMPUTED_VALUE"""),6.0)</f>
        <v>6</v>
      </c>
      <c r="F240" s="131">
        <f>IFERROR(__xludf.DUMMYFUNCTION("""COMPUTED_VALUE"""),16.0)</f>
        <v>16</v>
      </c>
      <c r="G240" s="131">
        <f>IFERROR(__xludf.DUMMYFUNCTION("""COMPUTED_VALUE"""),1.0)</f>
        <v>1</v>
      </c>
    </row>
    <row r="241">
      <c r="A241" s="132">
        <f>IFERROR(__xludf.DUMMYFUNCTION("""COMPUTED_VALUE"""),2.0)</f>
        <v>2</v>
      </c>
      <c r="B241" s="133" t="str">
        <f>IFERROR(__xludf.DUMMYFUNCTION("""COMPUTED_VALUE"""),"Jaya Sogata")</f>
        <v>Jaya Sogata</v>
      </c>
      <c r="C241" s="134">
        <f>IFERROR(__xludf.DUMMYFUNCTION("""COMPUTED_VALUE"""),5.0)</f>
        <v>5</v>
      </c>
      <c r="D241" s="134">
        <f>IFERROR(__xludf.DUMMYFUNCTION("""COMPUTED_VALUE"""),6.0)</f>
        <v>6</v>
      </c>
      <c r="E241" s="134">
        <f>IFERROR(__xludf.DUMMYFUNCTION("""COMPUTED_VALUE"""),4.0)</f>
        <v>4</v>
      </c>
      <c r="F241" s="134">
        <f>IFERROR(__xludf.DUMMYFUNCTION("""COMPUTED_VALUE"""),15.0)</f>
        <v>15</v>
      </c>
      <c r="G241" s="134">
        <f>IFERROR(__xludf.DUMMYFUNCTION("""COMPUTED_VALUE"""),1.0)</f>
        <v>1</v>
      </c>
    </row>
    <row r="242">
      <c r="A242" s="132">
        <f>IFERROR(__xludf.DUMMYFUNCTION("""COMPUTED_VALUE"""),2.0)</f>
        <v>2</v>
      </c>
      <c r="B242" s="133" t="str">
        <f>IFERROR(__xludf.DUMMYFUNCTION("""COMPUTED_VALUE"""),"Rajasekar Ramasamy")</f>
        <v>Rajasekar Ramasamy</v>
      </c>
      <c r="C242" s="134">
        <f>IFERROR(__xludf.DUMMYFUNCTION("""COMPUTED_VALUE"""),7.0)</f>
        <v>7</v>
      </c>
      <c r="D242" s="134">
        <f>IFERROR(__xludf.DUMMYFUNCTION("""COMPUTED_VALUE"""),1.0)</f>
        <v>1</v>
      </c>
      <c r="E242" s="134">
        <f>IFERROR(__xludf.DUMMYFUNCTION("""COMPUTED_VALUE"""),4.0)</f>
        <v>4</v>
      </c>
      <c r="F242" s="134">
        <f>IFERROR(__xludf.DUMMYFUNCTION("""COMPUTED_VALUE"""),12.0)</f>
        <v>12</v>
      </c>
      <c r="G242" s="134">
        <f>IFERROR(__xludf.DUMMYFUNCTION("""COMPUTED_VALUE"""),1.0)</f>
        <v>1</v>
      </c>
    </row>
    <row r="243">
      <c r="A243" s="132">
        <f>IFERROR(__xludf.DUMMYFUNCTION("""COMPUTED_VALUE"""),2.0)</f>
        <v>2</v>
      </c>
      <c r="B243" s="133" t="str">
        <f>IFERROR(__xludf.DUMMYFUNCTION("""COMPUTED_VALUE"""),"Manish Anand")</f>
        <v>Manish Anand</v>
      </c>
      <c r="C243" s="134">
        <f>IFERROR(__xludf.DUMMYFUNCTION("""COMPUTED_VALUE"""),7.0)</f>
        <v>7</v>
      </c>
      <c r="D243" s="134">
        <f>IFERROR(__xludf.DUMMYFUNCTION("""COMPUTED_VALUE"""),6.0)</f>
        <v>6</v>
      </c>
      <c r="E243" s="134">
        <f>IFERROR(__xludf.DUMMYFUNCTION("""COMPUTED_VALUE"""),6.0)</f>
        <v>6</v>
      </c>
      <c r="F243" s="134">
        <f>IFERROR(__xludf.DUMMYFUNCTION("""COMPUTED_VALUE"""),19.0)</f>
        <v>19</v>
      </c>
      <c r="G243" s="134">
        <f>IFERROR(__xludf.DUMMYFUNCTION("""COMPUTED_VALUE"""),3.0)</f>
        <v>3</v>
      </c>
    </row>
    <row r="244">
      <c r="A244" s="132">
        <f>IFERROR(__xludf.DUMMYFUNCTION("""COMPUTED_VALUE"""),2.0)</f>
        <v>2</v>
      </c>
      <c r="B244" s="133" t="str">
        <f>IFERROR(__xludf.DUMMYFUNCTION("""COMPUTED_VALUE"""),"Sandeep Kamalon")</f>
        <v>Sandeep Kamalon</v>
      </c>
      <c r="C244" s="134">
        <f>IFERROR(__xludf.DUMMYFUNCTION("""COMPUTED_VALUE"""),5.0)</f>
        <v>5</v>
      </c>
      <c r="D244" s="134">
        <f>IFERROR(__xludf.DUMMYFUNCTION("""COMPUTED_VALUE"""),1.0)</f>
        <v>1</v>
      </c>
      <c r="E244" s="134">
        <f>IFERROR(__xludf.DUMMYFUNCTION("""COMPUTED_VALUE"""),6.0)</f>
        <v>6</v>
      </c>
      <c r="F244" s="134">
        <f>IFERROR(__xludf.DUMMYFUNCTION("""COMPUTED_VALUE"""),12.0)</f>
        <v>12</v>
      </c>
      <c r="G244" s="134">
        <f>IFERROR(__xludf.DUMMYFUNCTION("""COMPUTED_VALUE"""),1.0)</f>
        <v>1</v>
      </c>
    </row>
    <row r="245">
      <c r="A245" s="125">
        <f>IFERROR(__xludf.DUMMYFUNCTION("""COMPUTED_VALUE"""),3.0)</f>
        <v>3</v>
      </c>
      <c r="B245" s="36" t="str">
        <f>IFERROR(__xludf.DUMMYFUNCTION("""COMPUTED_VALUE"""),"Erik Hoeckmann")</f>
        <v>Erik Hoeckmann</v>
      </c>
      <c r="C245" s="131">
        <f>IFERROR(__xludf.DUMMYFUNCTION("""COMPUTED_VALUE"""),6.0)</f>
        <v>6</v>
      </c>
      <c r="D245" s="131">
        <f>IFERROR(__xludf.DUMMYFUNCTION("""COMPUTED_VALUE"""),6.0)</f>
        <v>6</v>
      </c>
      <c r="E245" s="131">
        <f>IFERROR(__xludf.DUMMYFUNCTION("""COMPUTED_VALUE"""),6.0)</f>
        <v>6</v>
      </c>
      <c r="F245" s="131">
        <f>IFERROR(__xludf.DUMMYFUNCTION("""COMPUTED_VALUE"""),18.0)</f>
        <v>18</v>
      </c>
      <c r="G245" s="131">
        <f>IFERROR(__xludf.DUMMYFUNCTION("""COMPUTED_VALUE"""),1.0)</f>
        <v>1</v>
      </c>
    </row>
    <row r="246">
      <c r="A246" s="125">
        <f>IFERROR(__xludf.DUMMYFUNCTION("""COMPUTED_VALUE"""),3.0)</f>
        <v>3</v>
      </c>
      <c r="B246" s="36" t="str">
        <f>IFERROR(__xludf.DUMMYFUNCTION("""COMPUTED_VALUE"""),"Darren Wong")</f>
        <v>Darren Wong</v>
      </c>
      <c r="C246" s="131">
        <f>IFERROR(__xludf.DUMMYFUNCTION("""COMPUTED_VALUE"""),7.0)</f>
        <v>7</v>
      </c>
      <c r="D246" s="131">
        <f>IFERROR(__xludf.DUMMYFUNCTION("""COMPUTED_VALUE"""),7.0)</f>
        <v>7</v>
      </c>
      <c r="E246" s="131">
        <f>IFERROR(__xludf.DUMMYFUNCTION("""COMPUTED_VALUE"""),6.0)</f>
        <v>6</v>
      </c>
      <c r="F246" s="131">
        <f>IFERROR(__xludf.DUMMYFUNCTION("""COMPUTED_VALUE"""),20.0)</f>
        <v>20</v>
      </c>
      <c r="G246" s="131">
        <f>IFERROR(__xludf.DUMMYFUNCTION("""COMPUTED_VALUE"""),3.0)</f>
        <v>3</v>
      </c>
    </row>
    <row r="247">
      <c r="A247" s="125">
        <f>IFERROR(__xludf.DUMMYFUNCTION("""COMPUTED_VALUE"""),3.0)</f>
        <v>3</v>
      </c>
      <c r="B247" s="36" t="str">
        <f>IFERROR(__xludf.DUMMYFUNCTION("""COMPUTED_VALUE"""),"Tina Hanson")</f>
        <v>Tina Hanson</v>
      </c>
      <c r="C247" s="131">
        <f>IFERROR(__xludf.DUMMYFUNCTION("""COMPUTED_VALUE"""),7.0)</f>
        <v>7</v>
      </c>
      <c r="D247" s="131">
        <f>IFERROR(__xludf.DUMMYFUNCTION("""COMPUTED_VALUE"""),6.0)</f>
        <v>6</v>
      </c>
      <c r="E247" s="131">
        <f>IFERROR(__xludf.DUMMYFUNCTION("""COMPUTED_VALUE"""),4.0)</f>
        <v>4</v>
      </c>
      <c r="F247" s="131">
        <f>IFERROR(__xludf.DUMMYFUNCTION("""COMPUTED_VALUE"""),17.0)</f>
        <v>17</v>
      </c>
      <c r="G247" s="131">
        <f>IFERROR(__xludf.DUMMYFUNCTION("""COMPUTED_VALUE"""),1.0)</f>
        <v>1</v>
      </c>
    </row>
    <row r="248">
      <c r="A248" s="125">
        <f>IFERROR(__xludf.DUMMYFUNCTION("""COMPUTED_VALUE"""),3.0)</f>
        <v>3</v>
      </c>
      <c r="B248" s="36" t="str">
        <f>IFERROR(__xludf.DUMMYFUNCTION("""COMPUTED_VALUE"""),"Joe Luzzi")</f>
        <v>Joe Luzzi</v>
      </c>
      <c r="C248" s="131">
        <f>IFERROR(__xludf.DUMMYFUNCTION("""COMPUTED_VALUE"""),6.0)</f>
        <v>6</v>
      </c>
      <c r="D248" s="131">
        <f>IFERROR(__xludf.DUMMYFUNCTION("""COMPUTED_VALUE"""),7.0)</f>
        <v>7</v>
      </c>
      <c r="E248" s="131">
        <f>IFERROR(__xludf.DUMMYFUNCTION("""COMPUTED_VALUE"""),4.0)</f>
        <v>4</v>
      </c>
      <c r="F248" s="131">
        <f>IFERROR(__xludf.DUMMYFUNCTION("""COMPUTED_VALUE"""),17.0)</f>
        <v>17</v>
      </c>
      <c r="G248" s="131">
        <f>IFERROR(__xludf.DUMMYFUNCTION("""COMPUTED_VALUE"""),1.0)</f>
        <v>1</v>
      </c>
    </row>
    <row r="249">
      <c r="A249" s="132">
        <f>IFERROR(__xludf.DUMMYFUNCTION("""COMPUTED_VALUE"""),4.0)</f>
        <v>4</v>
      </c>
      <c r="B249" s="133" t="str">
        <f>IFERROR(__xludf.DUMMYFUNCTION("""COMPUTED_VALUE"""),"Lam Bui")</f>
        <v>Lam Bui</v>
      </c>
      <c r="C249" s="134">
        <f>IFERROR(__xludf.DUMMYFUNCTION("""COMPUTED_VALUE"""),6.0)</f>
        <v>6</v>
      </c>
      <c r="D249" s="134">
        <f>IFERROR(__xludf.DUMMYFUNCTION("""COMPUTED_VALUE"""),3.0)</f>
        <v>3</v>
      </c>
      <c r="E249" s="134">
        <f>IFERROR(__xludf.DUMMYFUNCTION("""COMPUTED_VALUE"""),6.0)</f>
        <v>6</v>
      </c>
      <c r="F249" s="134">
        <f>IFERROR(__xludf.DUMMYFUNCTION("""COMPUTED_VALUE"""),15.0)</f>
        <v>15</v>
      </c>
      <c r="G249" s="134">
        <f>IFERROR(__xludf.DUMMYFUNCTION("""COMPUTED_VALUE"""),2.0)</f>
        <v>2</v>
      </c>
    </row>
    <row r="250">
      <c r="A250" s="132">
        <f>IFERROR(__xludf.DUMMYFUNCTION("""COMPUTED_VALUE"""),4.0)</f>
        <v>4</v>
      </c>
      <c r="B250" s="133" t="str">
        <f>IFERROR(__xludf.DUMMYFUNCTION("""COMPUTED_VALUE"""),"Luis Hsu")</f>
        <v>Luis Hsu</v>
      </c>
      <c r="C250" s="134">
        <f>IFERROR(__xludf.DUMMYFUNCTION("""COMPUTED_VALUE"""),4.0)</f>
        <v>4</v>
      </c>
      <c r="D250" s="134">
        <f>IFERROR(__xludf.DUMMYFUNCTION("""COMPUTED_VALUE"""),6.0)</f>
        <v>6</v>
      </c>
      <c r="E250" s="134">
        <f>IFERROR(__xludf.DUMMYFUNCTION("""COMPUTED_VALUE"""),6.0)</f>
        <v>6</v>
      </c>
      <c r="F250" s="134">
        <f>IFERROR(__xludf.DUMMYFUNCTION("""COMPUTED_VALUE"""),16.0)</f>
        <v>16</v>
      </c>
      <c r="G250" s="134">
        <f>IFERROR(__xludf.DUMMYFUNCTION("""COMPUTED_VALUE"""),2.0)</f>
        <v>2</v>
      </c>
    </row>
    <row r="251">
      <c r="A251" s="132">
        <f>IFERROR(__xludf.DUMMYFUNCTION("""COMPUTED_VALUE"""),4.0)</f>
        <v>4</v>
      </c>
      <c r="B251" s="133" t="str">
        <f>IFERROR(__xludf.DUMMYFUNCTION("""COMPUTED_VALUE"""),"Mauricio Palacios")</f>
        <v>Mauricio Palacios</v>
      </c>
      <c r="C251" s="134">
        <f>IFERROR(__xludf.DUMMYFUNCTION("""COMPUTED_VALUE"""),4.0)</f>
        <v>4</v>
      </c>
      <c r="D251" s="134">
        <f>IFERROR(__xludf.DUMMYFUNCTION("""COMPUTED_VALUE"""),3.0)</f>
        <v>3</v>
      </c>
      <c r="E251" s="134">
        <f>IFERROR(__xludf.DUMMYFUNCTION("""COMPUTED_VALUE"""),0.0)</f>
        <v>0</v>
      </c>
      <c r="F251" s="134">
        <f>IFERROR(__xludf.DUMMYFUNCTION("""COMPUTED_VALUE"""),7.0)</f>
        <v>7</v>
      </c>
      <c r="G251" s="134">
        <f>IFERROR(__xludf.DUMMYFUNCTION("""COMPUTED_VALUE"""),0.0)</f>
        <v>0</v>
      </c>
    </row>
    <row r="252">
      <c r="A252" s="132">
        <f>IFERROR(__xludf.DUMMYFUNCTION("""COMPUTED_VALUE"""),4.0)</f>
        <v>4</v>
      </c>
      <c r="B252" s="133" t="str">
        <f>IFERROR(__xludf.DUMMYFUNCTION("""COMPUTED_VALUE"""),"Ethan Gu")</f>
        <v>Ethan Gu</v>
      </c>
      <c r="C252" s="134">
        <f>IFERROR(__xludf.DUMMYFUNCTION("""COMPUTED_VALUE"""),6.0)</f>
        <v>6</v>
      </c>
      <c r="D252" s="134">
        <f>IFERROR(__xludf.DUMMYFUNCTION("""COMPUTED_VALUE"""),6.0)</f>
        <v>6</v>
      </c>
      <c r="E252" s="134">
        <f>IFERROR(__xludf.DUMMYFUNCTION("""COMPUTED_VALUE"""),0.0)</f>
        <v>0</v>
      </c>
      <c r="F252" s="134">
        <f>IFERROR(__xludf.DUMMYFUNCTION("""COMPUTED_VALUE"""),12.0)</f>
        <v>12</v>
      </c>
      <c r="G252" s="134">
        <f>IFERROR(__xludf.DUMMYFUNCTION("""COMPUTED_VALUE"""),2.0)</f>
        <v>2</v>
      </c>
    </row>
    <row r="253">
      <c r="A253" s="125">
        <f>IFERROR(__xludf.DUMMYFUNCTION("""COMPUTED_VALUE"""),5.0)</f>
        <v>5</v>
      </c>
      <c r="B253" s="36" t="str">
        <f>IFERROR(__xludf.DUMMYFUNCTION("""COMPUTED_VALUE"""),"Lloyd Sagar")</f>
        <v>Lloyd Sagar</v>
      </c>
      <c r="C253" s="131">
        <f>IFERROR(__xludf.DUMMYFUNCTION("""COMPUTED_VALUE"""),4.0)</f>
        <v>4</v>
      </c>
      <c r="D253" s="131">
        <f>IFERROR(__xludf.DUMMYFUNCTION("""COMPUTED_VALUE"""),4.0)</f>
        <v>4</v>
      </c>
      <c r="E253" s="131">
        <f>IFERROR(__xludf.DUMMYFUNCTION("""COMPUTED_VALUE"""),6.0)</f>
        <v>6</v>
      </c>
      <c r="F253" s="131">
        <f>IFERROR(__xludf.DUMMYFUNCTION("""COMPUTED_VALUE"""),14.0)</f>
        <v>14</v>
      </c>
      <c r="G253" s="131">
        <f>IFERROR(__xludf.DUMMYFUNCTION("""COMPUTED_VALUE"""),1.0)</f>
        <v>1</v>
      </c>
    </row>
    <row r="254">
      <c r="A254" s="125">
        <f>IFERROR(__xludf.DUMMYFUNCTION("""COMPUTED_VALUE"""),5.0)</f>
        <v>5</v>
      </c>
      <c r="B254" s="36" t="str">
        <f>IFERROR(__xludf.DUMMYFUNCTION("""COMPUTED_VALUE"""),"Troy Wong")</f>
        <v>Troy Wong</v>
      </c>
      <c r="C254" s="131">
        <f>IFERROR(__xludf.DUMMYFUNCTION("""COMPUTED_VALUE"""),6.0)</f>
        <v>6</v>
      </c>
      <c r="D254" s="131">
        <f>IFERROR(__xludf.DUMMYFUNCTION("""COMPUTED_VALUE"""),6.0)</f>
        <v>6</v>
      </c>
      <c r="E254" s="131">
        <f>IFERROR(__xludf.DUMMYFUNCTION("""COMPUTED_VALUE"""),6.0)</f>
        <v>6</v>
      </c>
      <c r="F254" s="131">
        <f>IFERROR(__xludf.DUMMYFUNCTION("""COMPUTED_VALUE"""),18.0)</f>
        <v>18</v>
      </c>
      <c r="G254" s="131">
        <f>IFERROR(__xludf.DUMMYFUNCTION("""COMPUTED_VALUE"""),3.0)</f>
        <v>3</v>
      </c>
    </row>
    <row r="255">
      <c r="A255" s="125">
        <f>IFERROR(__xludf.DUMMYFUNCTION("""COMPUTED_VALUE"""),5.0)</f>
        <v>5</v>
      </c>
      <c r="B255" s="36" t="str">
        <f>IFERROR(__xludf.DUMMYFUNCTION("""COMPUTED_VALUE"""),"Hongyuan Wen")</f>
        <v>Hongyuan Wen</v>
      </c>
      <c r="C255" s="131">
        <f>IFERROR(__xludf.DUMMYFUNCTION("""COMPUTED_VALUE"""),6.0)</f>
        <v>6</v>
      </c>
      <c r="D255" s="131">
        <f>IFERROR(__xludf.DUMMYFUNCTION("""COMPUTED_VALUE"""),4.0)</f>
        <v>4</v>
      </c>
      <c r="E255" s="131">
        <f>IFERROR(__xludf.DUMMYFUNCTION("""COMPUTED_VALUE"""),3.0)</f>
        <v>3</v>
      </c>
      <c r="F255" s="131">
        <f>IFERROR(__xludf.DUMMYFUNCTION("""COMPUTED_VALUE"""),13.0)</f>
        <v>13</v>
      </c>
      <c r="G255" s="131">
        <f>IFERROR(__xludf.DUMMYFUNCTION("""COMPUTED_VALUE"""),1.0)</f>
        <v>1</v>
      </c>
    </row>
    <row r="256">
      <c r="A256" s="125">
        <f>IFERROR(__xludf.DUMMYFUNCTION("""COMPUTED_VALUE"""),5.0)</f>
        <v>5</v>
      </c>
      <c r="B256" s="36" t="str">
        <f>IFERROR(__xludf.DUMMYFUNCTION("""COMPUTED_VALUE"""),"Ramesh Bandaru")</f>
        <v>Ramesh Bandaru</v>
      </c>
      <c r="C256" s="131">
        <f>IFERROR(__xludf.DUMMYFUNCTION("""COMPUTED_VALUE"""),4.0)</f>
        <v>4</v>
      </c>
      <c r="D256" s="131">
        <f>IFERROR(__xludf.DUMMYFUNCTION("""COMPUTED_VALUE"""),6.0)</f>
        <v>6</v>
      </c>
      <c r="E256" s="131">
        <f>IFERROR(__xludf.DUMMYFUNCTION("""COMPUTED_VALUE"""),3.0)</f>
        <v>3</v>
      </c>
      <c r="F256" s="131">
        <f>IFERROR(__xludf.DUMMYFUNCTION("""COMPUTED_VALUE"""),13.0)</f>
        <v>13</v>
      </c>
      <c r="G256" s="131">
        <f>IFERROR(__xludf.DUMMYFUNCTION("""COMPUTED_VALUE"""),1.0)</f>
        <v>1</v>
      </c>
    </row>
    <row r="257">
      <c r="A257" s="132">
        <f>IFERROR(__xludf.DUMMYFUNCTION("""COMPUTED_VALUE"""),6.0)</f>
        <v>6</v>
      </c>
      <c r="B257" s="133" t="str">
        <f>IFERROR(__xludf.DUMMYFUNCTION("""COMPUTED_VALUE"""),"Coco Yan")</f>
        <v>Coco Yan</v>
      </c>
      <c r="C257" s="134">
        <f>IFERROR(__xludf.DUMMYFUNCTION("""COMPUTED_VALUE"""),7.0)</f>
        <v>7</v>
      </c>
      <c r="D257" s="134">
        <f>IFERROR(__xludf.DUMMYFUNCTION("""COMPUTED_VALUE"""),7.0)</f>
        <v>7</v>
      </c>
      <c r="E257" s="134">
        <f>IFERROR(__xludf.DUMMYFUNCTION("""COMPUTED_VALUE"""),3.0)</f>
        <v>3</v>
      </c>
      <c r="F257" s="134">
        <f>IFERROR(__xludf.DUMMYFUNCTION("""COMPUTED_VALUE"""),17.0)</f>
        <v>17</v>
      </c>
      <c r="G257" s="134">
        <f>IFERROR(__xludf.DUMMYFUNCTION("""COMPUTED_VALUE"""),2.0)</f>
        <v>2</v>
      </c>
    </row>
    <row r="258">
      <c r="A258" s="132">
        <f>IFERROR(__xludf.DUMMYFUNCTION("""COMPUTED_VALUE"""),6.0)</f>
        <v>6</v>
      </c>
      <c r="B258" s="133" t="str">
        <f>IFERROR(__xludf.DUMMYFUNCTION("""COMPUTED_VALUE"""),"Naveen Raj")</f>
        <v>Naveen Raj</v>
      </c>
      <c r="C258" s="134">
        <f>IFERROR(__xludf.DUMMYFUNCTION("""COMPUTED_VALUE"""),5.0)</f>
        <v>5</v>
      </c>
      <c r="D258" s="134">
        <f>IFERROR(__xludf.DUMMYFUNCTION("""COMPUTED_VALUE"""),7.0)</f>
        <v>7</v>
      </c>
      <c r="E258" s="134">
        <f>IFERROR(__xludf.DUMMYFUNCTION("""COMPUTED_VALUE"""),6.0)</f>
        <v>6</v>
      </c>
      <c r="F258" s="134">
        <f>IFERROR(__xludf.DUMMYFUNCTION("""COMPUTED_VALUE"""),18.0)</f>
        <v>18</v>
      </c>
      <c r="G258" s="134">
        <f>IFERROR(__xludf.DUMMYFUNCTION("""COMPUTED_VALUE"""),2.0)</f>
        <v>2</v>
      </c>
    </row>
    <row r="259">
      <c r="A259" s="132">
        <f>IFERROR(__xludf.DUMMYFUNCTION("""COMPUTED_VALUE"""),6.0)</f>
        <v>6</v>
      </c>
      <c r="B259" s="133" t="str">
        <f>IFERROR(__xludf.DUMMYFUNCTION("""COMPUTED_VALUE"""),"Sean Chang")</f>
        <v>Sean Chang</v>
      </c>
      <c r="C259" s="134">
        <f>IFERROR(__xludf.DUMMYFUNCTION("""COMPUTED_VALUE"""),7.0)</f>
        <v>7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IFERROR(__xludf.DUMMYFUNCTION("""COMPUTED_VALUE"""),19.0)</f>
        <v>19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IFERROR(__xludf.DUMMYFUNCTION("""COMPUTED_VALUE"""),"Manuel Rivera")</f>
        <v>Manuel Rivera</v>
      </c>
      <c r="C260" s="134">
        <f>IFERROR(__xludf.DUMMYFUNCTION("""COMPUTED_VALUE"""),5.0)</f>
        <v>5</v>
      </c>
      <c r="D260" s="134">
        <f>IFERROR(__xludf.DUMMYFUNCTION("""COMPUTED_VALUE"""),6.0)</f>
        <v>6</v>
      </c>
      <c r="E260" s="134">
        <f>IFERROR(__xludf.DUMMYFUNCTION("""COMPUTED_VALUE"""),3.0)</f>
        <v>3</v>
      </c>
      <c r="F260" s="134">
        <f>IFERROR(__xludf.DUMMYFUNCTION("""COMPUTED_VALUE"""),14.0)</f>
        <v>14</v>
      </c>
      <c r="G260" s="134">
        <f>IFERROR(__xludf.DUMMYFUNCTION("""COMPUTED_VALUE"""),0.0)</f>
        <v>0</v>
      </c>
    </row>
    <row r="261">
      <c r="A261" s="125">
        <f>IFERROR(__xludf.DUMMYFUNCTION("""COMPUTED_VALUE"""),7.0)</f>
        <v>7</v>
      </c>
      <c r="B261" s="36" t="str">
        <f>IFERROR(__xludf.DUMMYFUNCTION("""COMPUTED_VALUE"""),"Allen Zhang")</f>
        <v>Allen Zhang</v>
      </c>
      <c r="C261" s="131">
        <f>IFERROR(__xludf.DUMMYFUNCTION("""COMPUTED_VALUE"""),1.0)</f>
        <v>1</v>
      </c>
      <c r="D261" s="131">
        <f>IFERROR(__xludf.DUMMYFUNCTION("""COMPUTED_VALUE"""),6.0)</f>
        <v>6</v>
      </c>
      <c r="E261" s="131">
        <f>IFERROR(__xludf.DUMMYFUNCTION("""COMPUTED_VALUE"""),6.0)</f>
        <v>6</v>
      </c>
      <c r="F261" s="131">
        <f>IFERROR(__xludf.DUMMYFUNCTION("""COMPUTED_VALUE"""),13.0)</f>
        <v>13</v>
      </c>
      <c r="G261" s="131">
        <f>IFERROR(__xludf.DUMMYFUNCTION("""COMPUTED_VALUE"""),2.0)</f>
        <v>2</v>
      </c>
    </row>
    <row r="262">
      <c r="A262" s="125">
        <f>IFERROR(__xludf.DUMMYFUNCTION("""COMPUTED_VALUE"""),7.0)</f>
        <v>7</v>
      </c>
      <c r="B262" s="36" t="str">
        <f>IFERROR(__xludf.DUMMYFUNCTION("""COMPUTED_VALUE"""),"Kumar Palakeel")</f>
        <v>Kumar Palakeel</v>
      </c>
      <c r="C262" s="131">
        <f>IFERROR(__xludf.DUMMYFUNCTION("""COMPUTED_VALUE"""),1.0)</f>
        <v>1</v>
      </c>
      <c r="D262" s="131">
        <f>IFERROR(__xludf.DUMMYFUNCTION("""COMPUTED_VALUE"""),4.0)</f>
        <v>4</v>
      </c>
      <c r="E262" s="131">
        <f>IFERROR(__xludf.DUMMYFUNCTION("""COMPUTED_VALUE"""),4.0)</f>
        <v>4</v>
      </c>
      <c r="F262" s="131">
        <f>IFERROR(__xludf.DUMMYFUNCTION("""COMPUTED_VALUE"""),9.0)</f>
        <v>9</v>
      </c>
      <c r="G262" s="131">
        <f>IFERROR(__xludf.DUMMYFUNCTION("""COMPUTED_VALUE"""),0.0)</f>
        <v>0</v>
      </c>
    </row>
    <row r="263">
      <c r="A263" s="125">
        <f>IFERROR(__xludf.DUMMYFUNCTION("""COMPUTED_VALUE"""),7.0)</f>
        <v>7</v>
      </c>
      <c r="B263" s="36" t="str">
        <f>IFERROR(__xludf.DUMMYFUNCTION("""COMPUTED_VALUE"""),"Susanta Mishra")</f>
        <v>Susanta Mishra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IFERROR(__xludf.DUMMYFUNCTION("""COMPUTED_VALUE"""),4.0)</f>
        <v>4</v>
      </c>
      <c r="F263" s="131">
        <f>IFERROR(__xludf.DUMMYFUNCTION("""COMPUTED_VALUE"""),16.0)</f>
        <v>16</v>
      </c>
      <c r="G263" s="131">
        <f>IFERROR(__xludf.DUMMYFUNCTION("""COMPUTED_VALUE"""),2.0)</f>
        <v>2</v>
      </c>
    </row>
    <row r="264">
      <c r="A264" s="125">
        <f>IFERROR(__xludf.DUMMYFUNCTION("""COMPUTED_VALUE"""),7.0)</f>
        <v>7</v>
      </c>
      <c r="B264" s="36" t="str">
        <f>IFERROR(__xludf.DUMMYFUNCTION("""COMPUTED_VALUE"""),"Alex Hou")</f>
        <v>Alex Hou</v>
      </c>
      <c r="C264" s="131">
        <f>IFERROR(__xludf.DUMMYFUNCTION("""COMPUTED_VALUE"""),6.0)</f>
        <v>6</v>
      </c>
      <c r="D264" s="131">
        <f>IFERROR(__xludf.DUMMYFUNCTION("""COMPUTED_VALUE"""),4.0)</f>
        <v>4</v>
      </c>
      <c r="E264" s="131">
        <f>IFERROR(__xludf.DUMMYFUNCTION("""COMPUTED_VALUE"""),6.0)</f>
        <v>6</v>
      </c>
      <c r="F264" s="131">
        <f>IFERROR(__xludf.DUMMYFUNCTION("""COMPUTED_VALUE"""),16.0)</f>
        <v>16</v>
      </c>
      <c r="G264" s="131">
        <f>IFERROR(__xludf.DUMMYFUNCTION("""COMPUTED_VALUE"""),2.0)</f>
        <v>2</v>
      </c>
    </row>
    <row r="265">
      <c r="A265" s="132">
        <f>IFERROR(__xludf.DUMMYFUNCTION("""COMPUTED_VALUE"""),8.0)</f>
        <v>8</v>
      </c>
      <c r="B265" s="133" t="str">
        <f>IFERROR(__xludf.DUMMYFUNCTION("""COMPUTED_VALUE"""),"Robert Chang")</f>
        <v>Robert Chang</v>
      </c>
      <c r="C265" s="134">
        <f>IFERROR(__xludf.DUMMYFUNCTION("""COMPUTED_VALUE"""),6.0)</f>
        <v>6</v>
      </c>
      <c r="D265" s="134">
        <f>IFERROR(__xludf.DUMMYFUNCTION("""COMPUTED_VALUE"""),6.0)</f>
        <v>6</v>
      </c>
      <c r="E265" s="134">
        <f>IFERROR(__xludf.DUMMYFUNCTION("""COMPUTED_VALUE"""),6.0)</f>
        <v>6</v>
      </c>
      <c r="F265" s="134">
        <f>IFERROR(__xludf.DUMMYFUNCTION("""COMPUTED_VALUE"""),18.0)</f>
        <v>18</v>
      </c>
      <c r="G265" s="134">
        <f>IFERROR(__xludf.DUMMYFUNCTION("""COMPUTED_VALUE"""),3.0)</f>
        <v>3</v>
      </c>
    </row>
    <row r="266">
      <c r="A266" s="132">
        <f>IFERROR(__xludf.DUMMYFUNCTION("""COMPUTED_VALUE"""),8.0)</f>
        <v>8</v>
      </c>
      <c r="B266" s="133" t="str">
        <f>IFERROR(__xludf.DUMMYFUNCTION("""COMPUTED_VALUE"""),"Trish Newlin")</f>
        <v>Trish Newlin</v>
      </c>
      <c r="C266" s="134">
        <f>IFERROR(__xludf.DUMMYFUNCTION("""COMPUTED_VALUE"""),6.0)</f>
        <v>6</v>
      </c>
      <c r="D266" s="134">
        <f>IFERROR(__xludf.DUMMYFUNCTION("""COMPUTED_VALUE"""),2.0)</f>
        <v>2</v>
      </c>
      <c r="E266" s="134">
        <f>IFERROR(__xludf.DUMMYFUNCTION("""COMPUTED_VALUE"""),3.0)</f>
        <v>3</v>
      </c>
      <c r="F266" s="134">
        <f>IFERROR(__xludf.DUMMYFUNCTION("""COMPUTED_VALUE"""),11.0)</f>
        <v>11</v>
      </c>
      <c r="G266" s="134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IFERROR(__xludf.DUMMYFUNCTION("""COMPUTED_VALUE"""),"Nicole Ni")</f>
        <v>Nicole Ni</v>
      </c>
      <c r="C267" s="134">
        <f>IFERROR(__xludf.DUMMYFUNCTION("""COMPUTED_VALUE"""),4.0)</f>
        <v>4</v>
      </c>
      <c r="D267" s="134">
        <f>IFERROR(__xludf.DUMMYFUNCTION("""COMPUTED_VALUE"""),6.0)</f>
        <v>6</v>
      </c>
      <c r="E267" s="134">
        <f>IFERROR(__xludf.DUMMYFUNCTION("""COMPUTED_VALUE"""),3.0)</f>
        <v>3</v>
      </c>
      <c r="F267" s="134">
        <f>IFERROR(__xludf.DUMMYFUNCTION("""COMPUTED_VALUE"""),13.0)</f>
        <v>13</v>
      </c>
      <c r="G267" s="134">
        <f>IFERROR(__xludf.DUMMYFUNCTION("""COMPUTED_VALUE"""),1.0)</f>
        <v>1</v>
      </c>
    </row>
    <row r="268">
      <c r="A268" s="132">
        <f>IFERROR(__xludf.DUMMYFUNCTION("""COMPUTED_VALUE"""),8.0)</f>
        <v>8</v>
      </c>
      <c r="B268" s="133" t="str">
        <f>IFERROR(__xludf.DUMMYFUNCTION("""COMPUTED_VALUE"""),"Eric Tan")</f>
        <v>Eric Tan</v>
      </c>
      <c r="C268" s="134">
        <f>IFERROR(__xludf.DUMMYFUNCTION("""COMPUTED_VALUE"""),4.0)</f>
        <v>4</v>
      </c>
      <c r="D268" s="134">
        <f>IFERROR(__xludf.DUMMYFUNCTION("""COMPUTED_VALUE"""),2.0)</f>
        <v>2</v>
      </c>
      <c r="E268" s="134">
        <f>IFERROR(__xludf.DUMMYFUNCTION("""COMPUTED_VALUE"""),6.0)</f>
        <v>6</v>
      </c>
      <c r="F268" s="134">
        <f>IFERROR(__xludf.DUMMYFUNCTION("""COMPUTED_VALUE"""),12.0)</f>
        <v>12</v>
      </c>
      <c r="G268" s="134">
        <f>IFERROR(__xludf.DUMMYFUNCTION("""COMPUTED_VALUE"""),1.0)</f>
        <v>1</v>
      </c>
    </row>
    <row r="269">
      <c r="A269" s="125"/>
      <c r="B269" s="36"/>
      <c r="C269" s="131"/>
      <c r="D269" s="131"/>
      <c r="E269" s="131"/>
      <c r="F269" s="131"/>
      <c r="G269" s="131"/>
    </row>
    <row r="270">
      <c r="A270" s="125"/>
      <c r="B270" s="36"/>
      <c r="C270" s="131"/>
      <c r="D270" s="131"/>
      <c r="E270" s="131"/>
      <c r="F270" s="131"/>
      <c r="G270" s="131"/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32"/>
      <c r="B273" s="133"/>
      <c r="C273" s="134"/>
      <c r="D273" s="134"/>
      <c r="E273" s="134"/>
      <c r="F273" s="134"/>
      <c r="G273" s="134"/>
    </row>
    <row r="274">
      <c r="A274" s="132"/>
      <c r="B274" s="133"/>
      <c r="C274" s="134"/>
      <c r="D274" s="134"/>
      <c r="E274" s="134"/>
      <c r="F274" s="134"/>
      <c r="G274" s="134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25"/>
      <c r="B277" s="36"/>
      <c r="C277" s="131"/>
      <c r="D277" s="131"/>
      <c r="E277" s="131"/>
      <c r="F277" s="131"/>
      <c r="G277" s="131"/>
    </row>
    <row r="278">
      <c r="A278" s="125"/>
      <c r="B278" s="36"/>
      <c r="C278" s="131"/>
      <c r="D278" s="131"/>
      <c r="E278" s="131"/>
      <c r="F278" s="131"/>
      <c r="G278" s="131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2"/>
      <c r="C281" s="2"/>
      <c r="D281" s="2"/>
      <c r="E281" s="2"/>
      <c r="F281" s="2"/>
    </row>
    <row r="282">
      <c r="A282" s="2"/>
      <c r="C282" s="2"/>
      <c r="D282" s="2"/>
      <c r="E282" s="2"/>
      <c r="F282" s="2"/>
    </row>
    <row r="283">
      <c r="A283" s="2"/>
      <c r="C283" s="2"/>
      <c r="D283" s="2"/>
      <c r="E283" s="2"/>
      <c r="F283" s="2"/>
    </row>
    <row r="284">
      <c r="A284" s="40"/>
      <c r="B284" s="133" t="s">
        <v>189</v>
      </c>
      <c r="C284" s="2"/>
      <c r="D284" s="119" t="s">
        <v>192</v>
      </c>
      <c r="E284" s="26"/>
      <c r="F284" s="27"/>
      <c r="H284" s="119" t="s">
        <v>191</v>
      </c>
      <c r="I284" s="26"/>
      <c r="J284" s="27"/>
    </row>
    <row r="285">
      <c r="A285" s="135">
        <v>1.0</v>
      </c>
      <c r="B285" s="136" t="str">
        <f>IFERROR(__xludf.DUMMYFUNCTION("QUERY(B5:R71,""Select B where R = 'X' order by B asc"",0)"),"Adrian Tay")</f>
        <v>Adrian Tay</v>
      </c>
      <c r="C285" s="137">
        <f t="shared" ref="C285:C359" si="99">A285</f>
        <v>1</v>
      </c>
      <c r="D285" s="138" t="str">
        <f>IFERROR(__xludf.DUMMYFUNCTION("QUERY(B5:R71,""Select B where R = '' order by B asc"",0)"),"#N/A")</f>
        <v>#N/A</v>
      </c>
      <c r="E285" s="26"/>
      <c r="F285" s="27"/>
      <c r="G285" s="137">
        <f t="shared" ref="G285:G359" si="100">C285</f>
        <v>1</v>
      </c>
      <c r="H285" s="138" t="str">
        <f>IFERROR(__xludf.DUMMYFUNCTION("QUERY(B5:R71,""Select B where R = 'N' order by B asc"",0)"),"#N/A")</f>
        <v>#N/A</v>
      </c>
      <c r="I285" s="26"/>
      <c r="J285" s="27"/>
    </row>
    <row r="286">
      <c r="A286" s="135">
        <f t="shared" ref="A286:A359" si="101">A285+1</f>
        <v>2</v>
      </c>
      <c r="B286" s="136" t="str">
        <f>IFERROR(__xludf.DUMMYFUNCTION("""COMPUTED_VALUE"""),"Alejandro Mejia")</f>
        <v>Alejandro Mejia</v>
      </c>
      <c r="C286" s="137">
        <f t="shared" si="99"/>
        <v>2</v>
      </c>
      <c r="D286" s="138"/>
      <c r="E286" s="26"/>
      <c r="F286" s="27"/>
      <c r="G286" s="137">
        <f t="shared" si="100"/>
        <v>2</v>
      </c>
      <c r="H286" s="138"/>
      <c r="I286" s="26"/>
      <c r="J286" s="27"/>
    </row>
    <row r="287">
      <c r="A287" s="135">
        <f t="shared" si="101"/>
        <v>3</v>
      </c>
      <c r="B287" s="136" t="str">
        <f>IFERROR(__xludf.DUMMYFUNCTION("""COMPUTED_VALUE"""),"Alex Hou")</f>
        <v>Alex Hou</v>
      </c>
      <c r="C287" s="137">
        <f t="shared" si="99"/>
        <v>3</v>
      </c>
      <c r="D287" s="138"/>
      <c r="E287" s="26"/>
      <c r="F287" s="27"/>
      <c r="G287" s="137">
        <f t="shared" si="100"/>
        <v>3</v>
      </c>
      <c r="H287" s="138"/>
      <c r="I287" s="26"/>
      <c r="J287" s="27"/>
    </row>
    <row r="288">
      <c r="A288" s="135">
        <f t="shared" si="101"/>
        <v>4</v>
      </c>
      <c r="B288" s="136" t="str">
        <f>IFERROR(__xludf.DUMMYFUNCTION("""COMPUTED_VALUE"""),"Allen Zhang")</f>
        <v>Allen Zhang</v>
      </c>
      <c r="C288" s="137">
        <f t="shared" si="99"/>
        <v>4</v>
      </c>
      <c r="D288" s="138"/>
      <c r="E288" s="26"/>
      <c r="F288" s="27"/>
      <c r="G288" s="137">
        <f t="shared" si="100"/>
        <v>4</v>
      </c>
      <c r="H288" s="138"/>
      <c r="I288" s="26"/>
      <c r="J288" s="27"/>
    </row>
    <row r="289">
      <c r="A289" s="135">
        <f t="shared" si="101"/>
        <v>5</v>
      </c>
      <c r="B289" s="136" t="str">
        <f>IFERROR(__xludf.DUMMYFUNCTION("""COMPUTED_VALUE"""),"Andrew Wen")</f>
        <v>Andrew Wen</v>
      </c>
      <c r="C289" s="137">
        <f t="shared" si="99"/>
        <v>5</v>
      </c>
      <c r="D289" s="138"/>
      <c r="E289" s="26"/>
      <c r="F289" s="27"/>
      <c r="G289" s="137">
        <f t="shared" si="100"/>
        <v>5</v>
      </c>
      <c r="H289" s="138"/>
      <c r="I289" s="26"/>
      <c r="J289" s="27"/>
    </row>
    <row r="290">
      <c r="A290" s="135">
        <f t="shared" si="101"/>
        <v>6</v>
      </c>
      <c r="B290" s="136" t="str">
        <f>IFERROR(__xludf.DUMMYFUNCTION("""COMPUTED_VALUE"""),"Andrew Yao")</f>
        <v>Andrew Yao</v>
      </c>
      <c r="C290" s="137">
        <f t="shared" si="99"/>
        <v>6</v>
      </c>
      <c r="D290" s="138"/>
      <c r="E290" s="26"/>
      <c r="F290" s="27"/>
      <c r="G290" s="137">
        <f t="shared" si="100"/>
        <v>6</v>
      </c>
      <c r="H290" s="138"/>
      <c r="I290" s="26"/>
      <c r="J290" s="27"/>
    </row>
    <row r="291">
      <c r="A291" s="135">
        <f t="shared" si="101"/>
        <v>7</v>
      </c>
      <c r="B291" s="136" t="str">
        <f>IFERROR(__xludf.DUMMYFUNCTION("""COMPUTED_VALUE"""),"Art Hui")</f>
        <v>Art Hui</v>
      </c>
      <c r="C291" s="137">
        <f t="shared" si="99"/>
        <v>7</v>
      </c>
      <c r="D291" s="138"/>
      <c r="E291" s="26"/>
      <c r="F291" s="27"/>
      <c r="G291" s="137">
        <f t="shared" si="100"/>
        <v>7</v>
      </c>
      <c r="H291" s="138"/>
      <c r="I291" s="26"/>
      <c r="J291" s="27"/>
    </row>
    <row r="292">
      <c r="A292" s="135">
        <f t="shared" si="101"/>
        <v>8</v>
      </c>
      <c r="B292" s="136" t="str">
        <f>IFERROR(__xludf.DUMMYFUNCTION("""COMPUTED_VALUE"""),"Basudev Thoppai Vidyasankar")</f>
        <v>Basudev Thoppai Vidyasankar</v>
      </c>
      <c r="C292" s="137">
        <f t="shared" si="99"/>
        <v>8</v>
      </c>
      <c r="D292" s="138"/>
      <c r="E292" s="26"/>
      <c r="F292" s="27"/>
      <c r="G292" s="137">
        <f t="shared" si="100"/>
        <v>8</v>
      </c>
      <c r="H292" s="138"/>
      <c r="I292" s="26"/>
      <c r="J292" s="27"/>
    </row>
    <row r="293">
      <c r="A293" s="135">
        <f t="shared" si="101"/>
        <v>9</v>
      </c>
      <c r="B293" s="136" t="str">
        <f>IFERROR(__xludf.DUMMYFUNCTION("""COMPUTED_VALUE"""),"Camille Jung")</f>
        <v>Camille Jung</v>
      </c>
      <c r="C293" s="137">
        <f t="shared" si="99"/>
        <v>9</v>
      </c>
      <c r="D293" s="138"/>
      <c r="E293" s="26"/>
      <c r="F293" s="27"/>
      <c r="G293" s="137">
        <f t="shared" si="100"/>
        <v>9</v>
      </c>
      <c r="H293" s="138"/>
      <c r="I293" s="26"/>
      <c r="J293" s="27"/>
    </row>
    <row r="294">
      <c r="A294" s="135">
        <f t="shared" si="101"/>
        <v>10</v>
      </c>
      <c r="B294" s="136" t="str">
        <f>IFERROR(__xludf.DUMMYFUNCTION("""COMPUTED_VALUE"""),"Chinna Ponnaganti")</f>
        <v>Chinna Ponnaganti</v>
      </c>
      <c r="C294" s="137">
        <f t="shared" si="99"/>
        <v>10</v>
      </c>
      <c r="D294" s="138"/>
      <c r="E294" s="26"/>
      <c r="F294" s="27"/>
      <c r="G294" s="137">
        <f t="shared" si="100"/>
        <v>10</v>
      </c>
      <c r="H294" s="138"/>
      <c r="I294" s="26"/>
      <c r="J294" s="27"/>
    </row>
    <row r="295">
      <c r="A295" s="135">
        <f t="shared" si="101"/>
        <v>11</v>
      </c>
      <c r="B295" s="136" t="str">
        <f>IFERROR(__xludf.DUMMYFUNCTION("""COMPUTED_VALUE"""),"Cid Macaraeg")</f>
        <v>Cid Macaraeg</v>
      </c>
      <c r="C295" s="137">
        <f t="shared" si="99"/>
        <v>11</v>
      </c>
      <c r="D295" s="138"/>
      <c r="E295" s="26"/>
      <c r="F295" s="27"/>
      <c r="G295" s="137">
        <f t="shared" si="100"/>
        <v>11</v>
      </c>
      <c r="H295" s="138"/>
      <c r="I295" s="26"/>
      <c r="J295" s="27"/>
    </row>
    <row r="296">
      <c r="A296" s="135">
        <f t="shared" si="101"/>
        <v>12</v>
      </c>
      <c r="B296" s="136" t="str">
        <f>IFERROR(__xludf.DUMMYFUNCTION("""COMPUTED_VALUE"""),"Coco Yan")</f>
        <v>Coco Yan</v>
      </c>
      <c r="C296" s="137">
        <f t="shared" si="99"/>
        <v>12</v>
      </c>
      <c r="D296" s="138"/>
      <c r="E296" s="26"/>
      <c r="F296" s="27"/>
      <c r="G296" s="137">
        <f t="shared" si="100"/>
        <v>12</v>
      </c>
      <c r="H296" s="138"/>
      <c r="I296" s="26"/>
      <c r="J296" s="27"/>
    </row>
    <row r="297">
      <c r="A297" s="135">
        <f t="shared" si="101"/>
        <v>13</v>
      </c>
      <c r="B297" s="136" t="str">
        <f>IFERROR(__xludf.DUMMYFUNCTION("""COMPUTED_VALUE"""),"Darren Wong")</f>
        <v>Darren Wong</v>
      </c>
      <c r="C297" s="137">
        <f t="shared" si="99"/>
        <v>13</v>
      </c>
      <c r="D297" s="138"/>
      <c r="E297" s="26"/>
      <c r="F297" s="27"/>
      <c r="G297" s="137">
        <f t="shared" si="100"/>
        <v>13</v>
      </c>
      <c r="H297" s="138"/>
      <c r="I297" s="26"/>
      <c r="J297" s="27"/>
    </row>
    <row r="298">
      <c r="A298" s="135">
        <f t="shared" si="101"/>
        <v>14</v>
      </c>
      <c r="B298" s="136" t="str">
        <f>IFERROR(__xludf.DUMMYFUNCTION("""COMPUTED_VALUE"""),"David Shin")</f>
        <v>David Shin</v>
      </c>
      <c r="C298" s="137">
        <f t="shared" si="99"/>
        <v>14</v>
      </c>
      <c r="D298" s="138"/>
      <c r="E298" s="26"/>
      <c r="F298" s="27"/>
      <c r="G298" s="137">
        <f t="shared" si="100"/>
        <v>14</v>
      </c>
      <c r="H298" s="138"/>
      <c r="I298" s="26"/>
      <c r="J298" s="27"/>
    </row>
    <row r="299">
      <c r="A299" s="135">
        <f t="shared" si="101"/>
        <v>15</v>
      </c>
      <c r="B299" s="136" t="str">
        <f>IFERROR(__xludf.DUMMYFUNCTION("""COMPUTED_VALUE"""),"Elayaraja Thangaraj")</f>
        <v>Elayaraja Thangaraj</v>
      </c>
      <c r="C299" s="137">
        <f t="shared" si="99"/>
        <v>15</v>
      </c>
      <c r="D299" s="138"/>
      <c r="E299" s="26"/>
      <c r="F299" s="27"/>
      <c r="G299" s="137">
        <f t="shared" si="100"/>
        <v>15</v>
      </c>
      <c r="H299" s="138"/>
      <c r="I299" s="26"/>
      <c r="J299" s="27"/>
    </row>
    <row r="300">
      <c r="A300" s="135">
        <f t="shared" si="101"/>
        <v>16</v>
      </c>
      <c r="B300" s="136" t="str">
        <f>IFERROR(__xludf.DUMMYFUNCTION("""COMPUTED_VALUE"""),"Eric Pan")</f>
        <v>Eric Pan</v>
      </c>
      <c r="C300" s="137">
        <f t="shared" si="99"/>
        <v>16</v>
      </c>
      <c r="D300" s="138"/>
      <c r="E300" s="26"/>
      <c r="F300" s="27"/>
      <c r="G300" s="137">
        <f t="shared" si="100"/>
        <v>16</v>
      </c>
      <c r="H300" s="138"/>
      <c r="I300" s="26"/>
      <c r="J300" s="27"/>
    </row>
    <row r="301">
      <c r="A301" s="135">
        <f t="shared" si="101"/>
        <v>17</v>
      </c>
      <c r="B301" s="136" t="str">
        <f>IFERROR(__xludf.DUMMYFUNCTION("""COMPUTED_VALUE"""),"Eric Tan")</f>
        <v>Eric Tan</v>
      </c>
      <c r="C301" s="137">
        <f t="shared" si="99"/>
        <v>17</v>
      </c>
      <c r="D301" s="138"/>
      <c r="E301" s="26"/>
      <c r="F301" s="27"/>
      <c r="G301" s="137">
        <f t="shared" si="100"/>
        <v>17</v>
      </c>
      <c r="H301" s="138"/>
      <c r="I301" s="26"/>
      <c r="J301" s="27"/>
    </row>
    <row r="302">
      <c r="A302" s="135">
        <f t="shared" si="101"/>
        <v>18</v>
      </c>
      <c r="B302" s="136" t="str">
        <f>IFERROR(__xludf.DUMMYFUNCTION("""COMPUTED_VALUE"""),"Erik Hoeckmann")</f>
        <v>Erik Hoeckmann</v>
      </c>
      <c r="C302" s="137">
        <f t="shared" si="99"/>
        <v>18</v>
      </c>
      <c r="D302" s="138"/>
      <c r="E302" s="26"/>
      <c r="F302" s="27"/>
      <c r="G302" s="137">
        <f t="shared" si="100"/>
        <v>18</v>
      </c>
      <c r="H302" s="138"/>
      <c r="I302" s="26"/>
      <c r="J302" s="27"/>
    </row>
    <row r="303">
      <c r="A303" s="135">
        <f t="shared" si="101"/>
        <v>19</v>
      </c>
      <c r="B303" s="136" t="str">
        <f>IFERROR(__xludf.DUMMYFUNCTION("""COMPUTED_VALUE"""),"Ethan Gu")</f>
        <v>Ethan Gu</v>
      </c>
      <c r="C303" s="137">
        <f t="shared" si="99"/>
        <v>19</v>
      </c>
      <c r="D303" s="138"/>
      <c r="E303" s="26"/>
      <c r="F303" s="27"/>
      <c r="G303" s="137">
        <f t="shared" si="100"/>
        <v>19</v>
      </c>
      <c r="H303" s="138"/>
      <c r="I303" s="26"/>
      <c r="J303" s="27"/>
    </row>
    <row r="304">
      <c r="A304" s="135">
        <f t="shared" si="101"/>
        <v>20</v>
      </c>
      <c r="B304" s="136" t="str">
        <f>IFERROR(__xludf.DUMMYFUNCTION("""COMPUTED_VALUE"""),"Frank Moon")</f>
        <v>Frank Moon</v>
      </c>
      <c r="C304" s="137">
        <f t="shared" si="99"/>
        <v>20</v>
      </c>
      <c r="D304" s="138"/>
      <c r="E304" s="26"/>
      <c r="F304" s="27"/>
      <c r="G304" s="137">
        <f t="shared" si="100"/>
        <v>20</v>
      </c>
      <c r="H304" s="138"/>
      <c r="I304" s="26"/>
      <c r="J304" s="27"/>
    </row>
    <row r="305">
      <c r="A305" s="135">
        <f t="shared" si="101"/>
        <v>21</v>
      </c>
      <c r="B305" s="136" t="str">
        <f>IFERROR(__xludf.DUMMYFUNCTION("""COMPUTED_VALUE"""),"Herman Au")</f>
        <v>Herman Au</v>
      </c>
      <c r="C305" s="137">
        <f t="shared" si="99"/>
        <v>21</v>
      </c>
      <c r="D305" s="138"/>
      <c r="E305" s="26"/>
      <c r="F305" s="27"/>
      <c r="G305" s="137">
        <f t="shared" si="100"/>
        <v>21</v>
      </c>
      <c r="H305" s="138"/>
      <c r="I305" s="26"/>
      <c r="J305" s="27"/>
    </row>
    <row r="306">
      <c r="A306" s="135">
        <f t="shared" si="101"/>
        <v>22</v>
      </c>
      <c r="B306" s="136" t="str">
        <f>IFERROR(__xludf.DUMMYFUNCTION("""COMPUTED_VALUE"""),"Hongyuan Wen")</f>
        <v>Hongyuan Wen</v>
      </c>
      <c r="C306" s="137">
        <f t="shared" si="99"/>
        <v>22</v>
      </c>
      <c r="D306" s="138"/>
      <c r="E306" s="26"/>
      <c r="F306" s="27"/>
      <c r="G306" s="137">
        <f t="shared" si="100"/>
        <v>22</v>
      </c>
      <c r="H306" s="138"/>
      <c r="I306" s="26"/>
      <c r="J306" s="27"/>
    </row>
    <row r="307">
      <c r="A307" s="135">
        <f t="shared" si="101"/>
        <v>23</v>
      </c>
      <c r="B307" s="136" t="str">
        <f>IFERROR(__xludf.DUMMYFUNCTION("""COMPUTED_VALUE"""),"Jaya Sogata")</f>
        <v>Jaya Sogata</v>
      </c>
      <c r="C307" s="137">
        <f t="shared" si="99"/>
        <v>23</v>
      </c>
      <c r="D307" s="138"/>
      <c r="E307" s="26"/>
      <c r="F307" s="27"/>
      <c r="G307" s="137">
        <f t="shared" si="100"/>
        <v>23</v>
      </c>
      <c r="H307" s="138"/>
      <c r="I307" s="26"/>
      <c r="J307" s="27"/>
    </row>
    <row r="308">
      <c r="A308" s="135">
        <f t="shared" si="101"/>
        <v>24</v>
      </c>
      <c r="B308" s="136" t="str">
        <f>IFERROR(__xludf.DUMMYFUNCTION("""COMPUTED_VALUE"""),"Jim Miao")</f>
        <v>Jim Miao</v>
      </c>
      <c r="C308" s="137">
        <f t="shared" si="99"/>
        <v>24</v>
      </c>
      <c r="D308" s="138"/>
      <c r="E308" s="26"/>
      <c r="F308" s="27"/>
      <c r="G308" s="137">
        <f t="shared" si="100"/>
        <v>24</v>
      </c>
      <c r="H308" s="138"/>
      <c r="I308" s="26"/>
      <c r="J308" s="27"/>
    </row>
    <row r="309">
      <c r="A309" s="135">
        <f t="shared" si="101"/>
        <v>25</v>
      </c>
      <c r="B309" s="136" t="str">
        <f>IFERROR(__xludf.DUMMYFUNCTION("""COMPUTED_VALUE"""),"Jimmy Awolesi")</f>
        <v>Jimmy Awolesi</v>
      </c>
      <c r="C309" s="137">
        <f t="shared" si="99"/>
        <v>25</v>
      </c>
      <c r="D309" s="138"/>
      <c r="E309" s="26"/>
      <c r="F309" s="27"/>
      <c r="G309" s="137">
        <f t="shared" si="100"/>
        <v>25</v>
      </c>
      <c r="H309" s="138"/>
      <c r="I309" s="26"/>
      <c r="J309" s="27"/>
    </row>
    <row r="310">
      <c r="A310" s="135">
        <f t="shared" si="101"/>
        <v>26</v>
      </c>
      <c r="B310" s="136" t="str">
        <f>IFERROR(__xludf.DUMMYFUNCTION("""COMPUTED_VALUE"""),"Joe Luzzi")</f>
        <v>Joe Luzzi</v>
      </c>
      <c r="C310" s="137">
        <f t="shared" si="99"/>
        <v>26</v>
      </c>
      <c r="D310" s="138"/>
      <c r="E310" s="26"/>
      <c r="F310" s="27"/>
      <c r="G310" s="137">
        <f t="shared" si="100"/>
        <v>26</v>
      </c>
      <c r="H310" s="138"/>
      <c r="I310" s="26"/>
      <c r="J310" s="27"/>
    </row>
    <row r="311">
      <c r="A311" s="135">
        <f t="shared" si="101"/>
        <v>27</v>
      </c>
      <c r="B311" s="136" t="str">
        <f>IFERROR(__xludf.DUMMYFUNCTION("""COMPUTED_VALUE"""),"Jonathan Phan")</f>
        <v>Jonathan Phan</v>
      </c>
      <c r="C311" s="137">
        <f t="shared" si="99"/>
        <v>27</v>
      </c>
      <c r="D311" s="138"/>
      <c r="E311" s="26"/>
      <c r="F311" s="27"/>
      <c r="G311" s="137">
        <f t="shared" si="100"/>
        <v>27</v>
      </c>
      <c r="H311" s="138"/>
      <c r="I311" s="26"/>
      <c r="J311" s="27"/>
    </row>
    <row r="312">
      <c r="A312" s="135">
        <f t="shared" si="101"/>
        <v>28</v>
      </c>
      <c r="B312" s="136" t="str">
        <f>IFERROR(__xludf.DUMMYFUNCTION("""COMPUTED_VALUE"""),"Joyce Zhu")</f>
        <v>Joyce Zhu</v>
      </c>
      <c r="C312" s="137">
        <f t="shared" si="99"/>
        <v>28</v>
      </c>
      <c r="D312" s="138"/>
      <c r="E312" s="26"/>
      <c r="F312" s="27"/>
      <c r="G312" s="137">
        <f t="shared" si="100"/>
        <v>28</v>
      </c>
      <c r="H312" s="138"/>
      <c r="I312" s="26"/>
      <c r="J312" s="27"/>
    </row>
    <row r="313">
      <c r="A313" s="135">
        <f t="shared" si="101"/>
        <v>29</v>
      </c>
      <c r="B313" s="136" t="str">
        <f>IFERROR(__xludf.DUMMYFUNCTION("""COMPUTED_VALUE"""),"Kumar Palakeel")</f>
        <v>Kumar Palakeel</v>
      </c>
      <c r="C313" s="137">
        <f t="shared" si="99"/>
        <v>29</v>
      </c>
      <c r="D313" s="138"/>
      <c r="E313" s="26"/>
      <c r="F313" s="27"/>
      <c r="G313" s="137">
        <f t="shared" si="100"/>
        <v>29</v>
      </c>
      <c r="H313" s="138"/>
      <c r="I313" s="26"/>
      <c r="J313" s="27"/>
    </row>
    <row r="314">
      <c r="A314" s="135">
        <f t="shared" si="101"/>
        <v>30</v>
      </c>
      <c r="B314" s="136" t="str">
        <f>IFERROR(__xludf.DUMMYFUNCTION("""COMPUTED_VALUE"""),"Lam Bui")</f>
        <v>Lam Bui</v>
      </c>
      <c r="C314" s="137">
        <f t="shared" si="99"/>
        <v>30</v>
      </c>
      <c r="D314" s="138"/>
      <c r="E314" s="26"/>
      <c r="F314" s="27"/>
      <c r="G314" s="137">
        <f t="shared" si="100"/>
        <v>30</v>
      </c>
      <c r="H314" s="138"/>
      <c r="I314" s="26"/>
      <c r="J314" s="27"/>
    </row>
    <row r="315">
      <c r="A315" s="135">
        <f t="shared" si="101"/>
        <v>31</v>
      </c>
      <c r="B315" s="136" t="str">
        <f>IFERROR(__xludf.DUMMYFUNCTION("""COMPUTED_VALUE"""),"Lenin Belangonda")</f>
        <v>Lenin Belangonda</v>
      </c>
      <c r="C315" s="137">
        <f t="shared" si="99"/>
        <v>31</v>
      </c>
      <c r="D315" s="138"/>
      <c r="E315" s="26"/>
      <c r="F315" s="27"/>
      <c r="G315" s="137">
        <f t="shared" si="100"/>
        <v>31</v>
      </c>
      <c r="H315" s="138"/>
      <c r="I315" s="26"/>
      <c r="J315" s="27"/>
    </row>
    <row r="316">
      <c r="A316" s="135">
        <f t="shared" si="101"/>
        <v>32</v>
      </c>
      <c r="B316" s="136" t="str">
        <f>IFERROR(__xludf.DUMMYFUNCTION("""COMPUTED_VALUE"""),"Lloyd Sagar")</f>
        <v>Lloyd Sagar</v>
      </c>
      <c r="C316" s="137">
        <f t="shared" si="99"/>
        <v>32</v>
      </c>
      <c r="D316" s="138"/>
      <c r="E316" s="26"/>
      <c r="F316" s="27"/>
      <c r="G316" s="137">
        <f t="shared" si="100"/>
        <v>32</v>
      </c>
      <c r="H316" s="138"/>
      <c r="I316" s="26"/>
      <c r="J316" s="27"/>
    </row>
    <row r="317">
      <c r="A317" s="135">
        <f t="shared" si="101"/>
        <v>33</v>
      </c>
      <c r="B317" s="136" t="str">
        <f>IFERROR(__xludf.DUMMYFUNCTION("""COMPUTED_VALUE"""),"Luis Hsu")</f>
        <v>Luis Hsu</v>
      </c>
      <c r="C317" s="137">
        <f t="shared" si="99"/>
        <v>33</v>
      </c>
      <c r="D317" s="138"/>
      <c r="E317" s="26"/>
      <c r="F317" s="27"/>
      <c r="G317" s="137">
        <f t="shared" si="100"/>
        <v>33</v>
      </c>
      <c r="H317" s="138"/>
      <c r="I317" s="26"/>
      <c r="J317" s="27"/>
    </row>
    <row r="318">
      <c r="A318" s="135">
        <f t="shared" si="101"/>
        <v>34</v>
      </c>
      <c r="B318" s="136" t="str">
        <f>IFERROR(__xludf.DUMMYFUNCTION("""COMPUTED_VALUE"""),"Manish Anand")</f>
        <v>Manish Anand</v>
      </c>
      <c r="C318" s="137">
        <f t="shared" si="99"/>
        <v>34</v>
      </c>
      <c r="D318" s="138"/>
      <c r="E318" s="26"/>
      <c r="F318" s="27"/>
      <c r="G318" s="137">
        <f t="shared" si="100"/>
        <v>34</v>
      </c>
      <c r="H318" s="138"/>
      <c r="I318" s="26"/>
      <c r="J318" s="27"/>
    </row>
    <row r="319">
      <c r="A319" s="135">
        <f t="shared" si="101"/>
        <v>35</v>
      </c>
      <c r="B319" s="136" t="str">
        <f>IFERROR(__xludf.DUMMYFUNCTION("""COMPUTED_VALUE"""),"Manuel Rivera")</f>
        <v>Manuel Rivera</v>
      </c>
      <c r="C319" s="137">
        <f t="shared" si="99"/>
        <v>35</v>
      </c>
      <c r="D319" s="138"/>
      <c r="E319" s="26"/>
      <c r="F319" s="27"/>
      <c r="G319" s="137">
        <f t="shared" si="100"/>
        <v>35</v>
      </c>
      <c r="H319" s="138"/>
      <c r="I319" s="26"/>
      <c r="J319" s="27"/>
    </row>
    <row r="320">
      <c r="A320" s="135">
        <f t="shared" si="101"/>
        <v>36</v>
      </c>
      <c r="B320" s="136" t="str">
        <f>IFERROR(__xludf.DUMMYFUNCTION("""COMPUTED_VALUE"""),"Matthew Huang")</f>
        <v>Matthew Huang</v>
      </c>
      <c r="C320" s="137">
        <f t="shared" si="99"/>
        <v>36</v>
      </c>
      <c r="D320" s="138"/>
      <c r="E320" s="26"/>
      <c r="F320" s="27"/>
      <c r="G320" s="137">
        <f t="shared" si="100"/>
        <v>36</v>
      </c>
      <c r="H320" s="138"/>
      <c r="I320" s="26"/>
      <c r="J320" s="27"/>
    </row>
    <row r="321">
      <c r="A321" s="135">
        <f t="shared" si="101"/>
        <v>37</v>
      </c>
      <c r="B321" s="136" t="str">
        <f>IFERROR(__xludf.DUMMYFUNCTION("""COMPUTED_VALUE"""),"Mauricio Palacios")</f>
        <v>Mauricio Palacios</v>
      </c>
      <c r="C321" s="137">
        <f t="shared" si="99"/>
        <v>37</v>
      </c>
      <c r="D321" s="138"/>
      <c r="E321" s="26"/>
      <c r="F321" s="27"/>
      <c r="G321" s="137">
        <f t="shared" si="100"/>
        <v>37</v>
      </c>
      <c r="H321" s="138"/>
      <c r="I321" s="26"/>
      <c r="J321" s="27"/>
    </row>
    <row r="322">
      <c r="A322" s="135">
        <f t="shared" si="101"/>
        <v>38</v>
      </c>
      <c r="B322" s="136" t="str">
        <f>IFERROR(__xludf.DUMMYFUNCTION("""COMPUTED_VALUE"""),"Naveen Raj")</f>
        <v>Naveen Raj</v>
      </c>
      <c r="C322" s="137">
        <f t="shared" si="99"/>
        <v>38</v>
      </c>
      <c r="D322" s="138"/>
      <c r="E322" s="26"/>
      <c r="F322" s="27"/>
      <c r="G322" s="137">
        <f t="shared" si="100"/>
        <v>38</v>
      </c>
      <c r="H322" s="138"/>
      <c r="I322" s="26"/>
      <c r="J322" s="27"/>
    </row>
    <row r="323">
      <c r="A323" s="135">
        <f t="shared" si="101"/>
        <v>39</v>
      </c>
      <c r="B323" s="136" t="str">
        <f>IFERROR(__xludf.DUMMYFUNCTION("""COMPUTED_VALUE"""),"Nicole Ni")</f>
        <v>Nicole Ni</v>
      </c>
      <c r="C323" s="137">
        <f t="shared" si="99"/>
        <v>39</v>
      </c>
      <c r="D323" s="138"/>
      <c r="E323" s="26"/>
      <c r="F323" s="27"/>
      <c r="G323" s="137">
        <f t="shared" si="100"/>
        <v>39</v>
      </c>
      <c r="H323" s="138"/>
      <c r="I323" s="26"/>
      <c r="J323" s="27"/>
    </row>
    <row r="324">
      <c r="A324" s="135">
        <f t="shared" si="101"/>
        <v>40</v>
      </c>
      <c r="B324" s="136" t="str">
        <f>IFERROR(__xludf.DUMMYFUNCTION("""COMPUTED_VALUE"""),"Oscar Bonilla")</f>
        <v>Oscar Bonilla</v>
      </c>
      <c r="C324" s="137">
        <f t="shared" si="99"/>
        <v>40</v>
      </c>
      <c r="D324" s="138"/>
      <c r="E324" s="26"/>
      <c r="F324" s="27"/>
      <c r="G324" s="137">
        <f t="shared" si="100"/>
        <v>40</v>
      </c>
      <c r="H324" s="138"/>
      <c r="I324" s="26"/>
      <c r="J324" s="27"/>
    </row>
    <row r="325">
      <c r="A325" s="135">
        <f t="shared" si="101"/>
        <v>41</v>
      </c>
      <c r="B325" s="136" t="str">
        <f>IFERROR(__xludf.DUMMYFUNCTION("""COMPUTED_VALUE"""),"Pavan Akkimsetty")</f>
        <v>Pavan Akkimsetty</v>
      </c>
      <c r="C325" s="137">
        <f t="shared" si="99"/>
        <v>41</v>
      </c>
      <c r="D325" s="138"/>
      <c r="E325" s="26"/>
      <c r="F325" s="27"/>
      <c r="G325" s="137">
        <f t="shared" si="100"/>
        <v>41</v>
      </c>
      <c r="H325" s="138"/>
      <c r="I325" s="26"/>
      <c r="J325" s="27"/>
    </row>
    <row r="326">
      <c r="A326" s="135">
        <f t="shared" si="101"/>
        <v>42</v>
      </c>
      <c r="B326" s="136" t="str">
        <f>IFERROR(__xludf.DUMMYFUNCTION("""COMPUTED_VALUE"""),"Pulkit Mathur")</f>
        <v>Pulkit Mathur</v>
      </c>
      <c r="C326" s="137">
        <f t="shared" si="99"/>
        <v>42</v>
      </c>
      <c r="D326" s="138"/>
      <c r="E326" s="26"/>
      <c r="F326" s="27"/>
      <c r="G326" s="137">
        <f t="shared" si="100"/>
        <v>42</v>
      </c>
      <c r="H326" s="138"/>
      <c r="I326" s="26"/>
      <c r="J326" s="27"/>
    </row>
    <row r="327">
      <c r="A327" s="135">
        <f t="shared" si="101"/>
        <v>43</v>
      </c>
      <c r="B327" s="136" t="str">
        <f>IFERROR(__xludf.DUMMYFUNCTION("""COMPUTED_VALUE"""),"Rajasekar Ramasamy")</f>
        <v>Rajasekar Ramasamy</v>
      </c>
      <c r="C327" s="137">
        <f t="shared" si="99"/>
        <v>43</v>
      </c>
      <c r="D327" s="138"/>
      <c r="E327" s="26"/>
      <c r="F327" s="27"/>
      <c r="G327" s="137">
        <f t="shared" si="100"/>
        <v>43</v>
      </c>
      <c r="H327" s="138"/>
      <c r="I327" s="26"/>
      <c r="J327" s="27"/>
    </row>
    <row r="328">
      <c r="A328" s="135">
        <f t="shared" si="101"/>
        <v>44</v>
      </c>
      <c r="B328" s="136" t="str">
        <f>IFERROR(__xludf.DUMMYFUNCTION("""COMPUTED_VALUE"""),"Rajesh Dorairaj")</f>
        <v>Rajesh Dorairaj</v>
      </c>
      <c r="C328" s="137">
        <f t="shared" si="99"/>
        <v>44</v>
      </c>
      <c r="D328" s="138"/>
      <c r="E328" s="26"/>
      <c r="F328" s="27"/>
      <c r="G328" s="137">
        <f t="shared" si="100"/>
        <v>44</v>
      </c>
      <c r="H328" s="138"/>
      <c r="I328" s="26"/>
      <c r="J328" s="27"/>
    </row>
    <row r="329">
      <c r="A329" s="135">
        <f t="shared" si="101"/>
        <v>45</v>
      </c>
      <c r="B329" s="136" t="str">
        <f>IFERROR(__xludf.DUMMYFUNCTION("""COMPUTED_VALUE"""),"Ramesh Bandaru")</f>
        <v>Ramesh Bandaru</v>
      </c>
      <c r="C329" s="137">
        <f t="shared" si="99"/>
        <v>45</v>
      </c>
      <c r="D329" s="138"/>
      <c r="E329" s="26"/>
      <c r="F329" s="27"/>
      <c r="G329" s="137">
        <f t="shared" si="100"/>
        <v>45</v>
      </c>
      <c r="H329" s="138"/>
      <c r="I329" s="26"/>
      <c r="J329" s="27"/>
    </row>
    <row r="330">
      <c r="A330" s="135">
        <f t="shared" si="101"/>
        <v>46</v>
      </c>
      <c r="B330" s="136" t="str">
        <f>IFERROR(__xludf.DUMMYFUNCTION("""COMPUTED_VALUE"""),"Ranjith Doraiswamy")</f>
        <v>Ranjith Doraiswamy</v>
      </c>
      <c r="C330" s="137">
        <f t="shared" si="99"/>
        <v>46</v>
      </c>
      <c r="D330" s="138"/>
      <c r="E330" s="26"/>
      <c r="F330" s="27"/>
      <c r="G330" s="137">
        <f t="shared" si="100"/>
        <v>46</v>
      </c>
      <c r="H330" s="138"/>
      <c r="I330" s="26"/>
      <c r="J330" s="27"/>
    </row>
    <row r="331">
      <c r="A331" s="135">
        <f t="shared" si="101"/>
        <v>47</v>
      </c>
      <c r="B331" s="136" t="str">
        <f>IFERROR(__xludf.DUMMYFUNCTION("""COMPUTED_VALUE"""),"Robert Chang")</f>
        <v>Robert Chang</v>
      </c>
      <c r="C331" s="137">
        <f t="shared" si="99"/>
        <v>47</v>
      </c>
      <c r="D331" s="138"/>
      <c r="E331" s="26"/>
      <c r="F331" s="27"/>
      <c r="G331" s="137">
        <f t="shared" si="100"/>
        <v>47</v>
      </c>
      <c r="H331" s="138"/>
      <c r="I331" s="26"/>
      <c r="J331" s="27"/>
    </row>
    <row r="332">
      <c r="A332" s="135">
        <f t="shared" si="101"/>
        <v>48</v>
      </c>
      <c r="B332" s="136" t="str">
        <f>IFERROR(__xludf.DUMMYFUNCTION("""COMPUTED_VALUE"""),"Ruben Ron")</f>
        <v>Ruben Ron</v>
      </c>
      <c r="C332" s="137">
        <f t="shared" si="99"/>
        <v>48</v>
      </c>
      <c r="D332" s="138"/>
      <c r="E332" s="26"/>
      <c r="F332" s="27"/>
      <c r="G332" s="137">
        <f t="shared" si="100"/>
        <v>48</v>
      </c>
      <c r="H332" s="138"/>
      <c r="I332" s="26"/>
      <c r="J332" s="27"/>
    </row>
    <row r="333">
      <c r="A333" s="135">
        <f t="shared" si="101"/>
        <v>49</v>
      </c>
      <c r="B333" s="136" t="str">
        <f>IFERROR(__xludf.DUMMYFUNCTION("""COMPUTED_VALUE"""),"Rudy Tatang")</f>
        <v>Rudy Tatang</v>
      </c>
      <c r="C333" s="137">
        <f t="shared" si="99"/>
        <v>49</v>
      </c>
      <c r="D333" s="138"/>
      <c r="E333" s="26"/>
      <c r="F333" s="27"/>
      <c r="G333" s="137">
        <f t="shared" si="100"/>
        <v>49</v>
      </c>
      <c r="H333" s="138"/>
      <c r="I333" s="26"/>
      <c r="J333" s="27"/>
    </row>
    <row r="334">
      <c r="A334" s="135">
        <f t="shared" si="101"/>
        <v>50</v>
      </c>
      <c r="B334" s="136" t="str">
        <f>IFERROR(__xludf.DUMMYFUNCTION("""COMPUTED_VALUE"""),"Sandeep Kamalon")</f>
        <v>Sandeep Kamalon</v>
      </c>
      <c r="C334" s="137">
        <f t="shared" si="99"/>
        <v>50</v>
      </c>
      <c r="D334" s="138"/>
      <c r="E334" s="26"/>
      <c r="F334" s="27"/>
      <c r="G334" s="137">
        <f t="shared" si="100"/>
        <v>50</v>
      </c>
      <c r="H334" s="138"/>
      <c r="I334" s="26"/>
      <c r="J334" s="27"/>
    </row>
    <row r="335">
      <c r="A335" s="135">
        <f t="shared" si="101"/>
        <v>51</v>
      </c>
      <c r="B335" s="136" t="str">
        <f>IFERROR(__xludf.DUMMYFUNCTION("""COMPUTED_VALUE"""),"Sanjaye Elayattu")</f>
        <v>Sanjaye Elayattu</v>
      </c>
      <c r="C335" s="137">
        <f t="shared" si="99"/>
        <v>51</v>
      </c>
      <c r="D335" s="138"/>
      <c r="E335" s="26"/>
      <c r="F335" s="27"/>
      <c r="G335" s="137">
        <f t="shared" si="100"/>
        <v>51</v>
      </c>
      <c r="H335" s="138"/>
      <c r="I335" s="26"/>
      <c r="J335" s="27"/>
    </row>
    <row r="336">
      <c r="A336" s="135">
        <f t="shared" si="101"/>
        <v>52</v>
      </c>
      <c r="B336" s="136" t="str">
        <f>IFERROR(__xludf.DUMMYFUNCTION("""COMPUTED_VALUE"""),"Santosh Sundaresan")</f>
        <v>Santosh Sundaresan</v>
      </c>
      <c r="C336" s="137">
        <f t="shared" si="99"/>
        <v>52</v>
      </c>
      <c r="D336" s="138"/>
      <c r="E336" s="26"/>
      <c r="F336" s="27"/>
      <c r="G336" s="137">
        <f t="shared" si="100"/>
        <v>52</v>
      </c>
      <c r="H336" s="138"/>
      <c r="I336" s="26"/>
      <c r="J336" s="27"/>
    </row>
    <row r="337">
      <c r="A337" s="135">
        <f t="shared" si="101"/>
        <v>53</v>
      </c>
      <c r="B337" s="136" t="str">
        <f>IFERROR(__xludf.DUMMYFUNCTION("""COMPUTED_VALUE"""),"Saravanan Veerapandian")</f>
        <v>Saravanan Veerapandian</v>
      </c>
      <c r="C337" s="137">
        <f t="shared" si="99"/>
        <v>53</v>
      </c>
      <c r="D337" s="138"/>
      <c r="E337" s="26"/>
      <c r="F337" s="27"/>
      <c r="G337" s="137">
        <f t="shared" si="100"/>
        <v>53</v>
      </c>
      <c r="H337" s="138"/>
      <c r="I337" s="26"/>
      <c r="J337" s="27"/>
    </row>
    <row r="338">
      <c r="A338" s="135">
        <f t="shared" si="101"/>
        <v>54</v>
      </c>
      <c r="B338" s="136" t="str">
        <f>IFERROR(__xludf.DUMMYFUNCTION("""COMPUTED_VALUE"""),"Scott Li")</f>
        <v>Scott Li</v>
      </c>
      <c r="C338" s="137">
        <f t="shared" si="99"/>
        <v>54</v>
      </c>
      <c r="D338" s="138"/>
      <c r="E338" s="26"/>
      <c r="F338" s="27"/>
      <c r="G338" s="137">
        <f t="shared" si="100"/>
        <v>54</v>
      </c>
      <c r="H338" s="138"/>
      <c r="I338" s="26"/>
      <c r="J338" s="27"/>
    </row>
    <row r="339">
      <c r="A339" s="135">
        <f t="shared" si="101"/>
        <v>55</v>
      </c>
      <c r="B339" s="136" t="str">
        <f>IFERROR(__xludf.DUMMYFUNCTION("""COMPUTED_VALUE"""),"Sean Chang")</f>
        <v>Sean Chang</v>
      </c>
      <c r="C339" s="137">
        <f t="shared" si="99"/>
        <v>55</v>
      </c>
      <c r="D339" s="138"/>
      <c r="E339" s="26"/>
      <c r="F339" s="27"/>
      <c r="G339" s="137">
        <f t="shared" si="100"/>
        <v>55</v>
      </c>
      <c r="H339" s="138"/>
      <c r="I339" s="26"/>
      <c r="J339" s="27"/>
    </row>
    <row r="340">
      <c r="A340" s="135">
        <f t="shared" si="101"/>
        <v>56</v>
      </c>
      <c r="B340" s="136" t="str">
        <f>IFERROR(__xludf.DUMMYFUNCTION("""COMPUTED_VALUE"""),"Suleman Alidina")</f>
        <v>Suleman Alidina</v>
      </c>
      <c r="C340" s="137">
        <f t="shared" si="99"/>
        <v>56</v>
      </c>
      <c r="D340" s="138"/>
      <c r="E340" s="26"/>
      <c r="F340" s="27"/>
      <c r="G340" s="137">
        <f t="shared" si="100"/>
        <v>56</v>
      </c>
      <c r="H340" s="138"/>
      <c r="I340" s="26"/>
      <c r="J340" s="27"/>
    </row>
    <row r="341">
      <c r="A341" s="135">
        <f t="shared" si="101"/>
        <v>57</v>
      </c>
      <c r="B341" s="136" t="str">
        <f>IFERROR(__xludf.DUMMYFUNCTION("""COMPUTED_VALUE"""),"Susanta Mishra")</f>
        <v>Susanta Mishra</v>
      </c>
      <c r="C341" s="137">
        <f t="shared" si="99"/>
        <v>57</v>
      </c>
      <c r="D341" s="138"/>
      <c r="E341" s="26"/>
      <c r="F341" s="27"/>
      <c r="G341" s="137">
        <f t="shared" si="100"/>
        <v>57</v>
      </c>
      <c r="H341" s="138"/>
      <c r="I341" s="26"/>
      <c r="J341" s="27"/>
    </row>
    <row r="342">
      <c r="A342" s="135">
        <f t="shared" si="101"/>
        <v>58</v>
      </c>
      <c r="B342" s="136" t="str">
        <f>IFERROR(__xludf.DUMMYFUNCTION("""COMPUTED_VALUE"""),"Ted Shen")</f>
        <v>Ted Shen</v>
      </c>
      <c r="C342" s="137">
        <f t="shared" si="99"/>
        <v>58</v>
      </c>
      <c r="D342" s="138"/>
      <c r="E342" s="26"/>
      <c r="F342" s="27"/>
      <c r="G342" s="137">
        <f t="shared" si="100"/>
        <v>58</v>
      </c>
      <c r="H342" s="138"/>
      <c r="I342" s="26"/>
      <c r="J342" s="27"/>
    </row>
    <row r="343">
      <c r="A343" s="135">
        <f t="shared" si="101"/>
        <v>59</v>
      </c>
      <c r="B343" s="136" t="str">
        <f>IFERROR(__xludf.DUMMYFUNCTION("""COMPUTED_VALUE"""),"Tina Hanson")</f>
        <v>Tina Hanson</v>
      </c>
      <c r="C343" s="137">
        <f t="shared" si="99"/>
        <v>59</v>
      </c>
      <c r="D343" s="138"/>
      <c r="E343" s="26"/>
      <c r="F343" s="27"/>
      <c r="G343" s="137">
        <f t="shared" si="100"/>
        <v>59</v>
      </c>
      <c r="H343" s="138"/>
      <c r="I343" s="26"/>
      <c r="J343" s="27"/>
    </row>
    <row r="344">
      <c r="A344" s="135">
        <f t="shared" si="101"/>
        <v>60</v>
      </c>
      <c r="B344" s="136" t="str">
        <f>IFERROR(__xludf.DUMMYFUNCTION("""COMPUTED_VALUE"""),"Tom Le")</f>
        <v>Tom Le</v>
      </c>
      <c r="C344" s="137">
        <f t="shared" si="99"/>
        <v>60</v>
      </c>
      <c r="D344" s="138"/>
      <c r="E344" s="26"/>
      <c r="F344" s="27"/>
      <c r="G344" s="137">
        <f t="shared" si="100"/>
        <v>60</v>
      </c>
      <c r="H344" s="138"/>
      <c r="I344" s="26"/>
      <c r="J344" s="27"/>
    </row>
    <row r="345">
      <c r="A345" s="135">
        <f t="shared" si="101"/>
        <v>61</v>
      </c>
      <c r="B345" s="136" t="str">
        <f>IFERROR(__xludf.DUMMYFUNCTION("""COMPUTED_VALUE"""),"Trish Newlin")</f>
        <v>Trish Newlin</v>
      </c>
      <c r="C345" s="137">
        <f t="shared" si="99"/>
        <v>61</v>
      </c>
      <c r="D345" s="138"/>
      <c r="E345" s="26"/>
      <c r="F345" s="27"/>
      <c r="G345" s="137">
        <f t="shared" si="100"/>
        <v>61</v>
      </c>
      <c r="H345" s="138"/>
      <c r="I345" s="26"/>
      <c r="J345" s="27"/>
    </row>
    <row r="346">
      <c r="A346" s="135">
        <f t="shared" si="101"/>
        <v>62</v>
      </c>
      <c r="B346" s="136" t="str">
        <f>IFERROR(__xludf.DUMMYFUNCTION("""COMPUTED_VALUE"""),"Troy Wong")</f>
        <v>Troy Wong</v>
      </c>
      <c r="C346" s="137">
        <f t="shared" si="99"/>
        <v>62</v>
      </c>
      <c r="D346" s="138"/>
      <c r="E346" s="26"/>
      <c r="F346" s="27"/>
      <c r="G346" s="137">
        <f t="shared" si="100"/>
        <v>62</v>
      </c>
      <c r="H346" s="138"/>
      <c r="I346" s="26"/>
      <c r="J346" s="27"/>
    </row>
    <row r="347">
      <c r="A347" s="135">
        <f t="shared" si="101"/>
        <v>63</v>
      </c>
      <c r="B347" s="136" t="str">
        <f>IFERROR(__xludf.DUMMYFUNCTION("""COMPUTED_VALUE"""),"Vicki Martinet")</f>
        <v>Vicki Martinet</v>
      </c>
      <c r="C347" s="137">
        <f t="shared" si="99"/>
        <v>63</v>
      </c>
      <c r="D347" s="138"/>
      <c r="E347" s="26"/>
      <c r="F347" s="27"/>
      <c r="G347" s="137">
        <f t="shared" si="100"/>
        <v>63</v>
      </c>
      <c r="H347" s="138"/>
      <c r="I347" s="26"/>
      <c r="J347" s="27"/>
    </row>
    <row r="348">
      <c r="A348" s="135">
        <f t="shared" si="101"/>
        <v>64</v>
      </c>
      <c r="B348" s="136" t="str">
        <f>IFERROR(__xludf.DUMMYFUNCTION("""COMPUTED_VALUE"""),"Vinaya Kajla")</f>
        <v>Vinaya Kajla</v>
      </c>
      <c r="C348" s="137">
        <f t="shared" si="99"/>
        <v>64</v>
      </c>
      <c r="D348" s="138"/>
      <c r="E348" s="26"/>
      <c r="F348" s="27"/>
      <c r="G348" s="137">
        <f t="shared" si="100"/>
        <v>64</v>
      </c>
      <c r="H348" s="138"/>
      <c r="I348" s="26"/>
      <c r="J348" s="27"/>
    </row>
    <row r="349">
      <c r="A349" s="135">
        <f t="shared" si="101"/>
        <v>65</v>
      </c>
      <c r="B349" s="136" t="str">
        <f>IFERROR(__xludf.DUMMYFUNCTION("""COMPUTED_VALUE"""),"Vinotkumar Nagappan")</f>
        <v>Vinotkumar Nagappan</v>
      </c>
      <c r="C349" s="137">
        <f t="shared" si="99"/>
        <v>65</v>
      </c>
      <c r="D349" s="138"/>
      <c r="E349" s="26"/>
      <c r="F349" s="27"/>
      <c r="G349" s="137">
        <f t="shared" si="100"/>
        <v>65</v>
      </c>
      <c r="H349" s="138"/>
      <c r="I349" s="26"/>
      <c r="J349" s="27"/>
    </row>
    <row r="350">
      <c r="A350" s="135">
        <f t="shared" si="101"/>
        <v>66</v>
      </c>
      <c r="B350" s="136" t="str">
        <f>IFERROR(__xludf.DUMMYFUNCTION("""COMPUTED_VALUE"""),"Vishnu Amarnath")</f>
        <v>Vishnu Amarnath</v>
      </c>
      <c r="C350" s="137">
        <f t="shared" si="99"/>
        <v>66</v>
      </c>
      <c r="D350" s="138"/>
      <c r="E350" s="26"/>
      <c r="F350" s="27"/>
      <c r="G350" s="137">
        <f t="shared" si="100"/>
        <v>66</v>
      </c>
      <c r="H350" s="138"/>
      <c r="I350" s="26"/>
      <c r="J350" s="27"/>
    </row>
    <row r="351">
      <c r="A351" s="135">
        <f t="shared" si="101"/>
        <v>67</v>
      </c>
      <c r="B351" s="136" t="str">
        <f>IFERROR(__xludf.DUMMYFUNCTION("""COMPUTED_VALUE"""),"Wayne Liu")</f>
        <v>Wayne Liu</v>
      </c>
      <c r="C351" s="137">
        <f t="shared" si="99"/>
        <v>67</v>
      </c>
      <c r="D351" s="138"/>
      <c r="E351" s="26"/>
      <c r="F351" s="27"/>
      <c r="G351" s="137">
        <f t="shared" si="100"/>
        <v>67</v>
      </c>
      <c r="H351" s="138"/>
      <c r="I351" s="26"/>
      <c r="J351" s="27"/>
    </row>
    <row r="352">
      <c r="A352" s="135">
        <f t="shared" si="101"/>
        <v>68</v>
      </c>
      <c r="B352" s="136"/>
      <c r="C352" s="137">
        <f t="shared" si="99"/>
        <v>68</v>
      </c>
      <c r="D352" s="138"/>
      <c r="E352" s="26"/>
      <c r="F352" s="27"/>
      <c r="G352" s="137">
        <f t="shared" si="100"/>
        <v>68</v>
      </c>
      <c r="H352" s="138"/>
      <c r="I352" s="26"/>
      <c r="J352" s="27"/>
    </row>
    <row r="353">
      <c r="A353" s="135">
        <f t="shared" si="101"/>
        <v>69</v>
      </c>
      <c r="B353" s="136"/>
      <c r="C353" s="137">
        <f t="shared" si="99"/>
        <v>69</v>
      </c>
      <c r="D353" s="138"/>
      <c r="E353" s="26"/>
      <c r="F353" s="27"/>
      <c r="G353" s="137">
        <f t="shared" si="100"/>
        <v>69</v>
      </c>
      <c r="H353" s="138"/>
      <c r="I353" s="26"/>
      <c r="J353" s="27"/>
    </row>
    <row r="354">
      <c r="A354" s="135">
        <f t="shared" si="101"/>
        <v>70</v>
      </c>
      <c r="B354" s="136"/>
      <c r="C354" s="137">
        <f t="shared" si="99"/>
        <v>70</v>
      </c>
      <c r="D354" s="138"/>
      <c r="E354" s="26"/>
      <c r="F354" s="27"/>
      <c r="G354" s="137">
        <f t="shared" si="100"/>
        <v>70</v>
      </c>
      <c r="H354" s="138"/>
      <c r="I354" s="26"/>
      <c r="J354" s="27"/>
    </row>
    <row r="355">
      <c r="A355" s="135">
        <f t="shared" si="101"/>
        <v>71</v>
      </c>
      <c r="B355" s="136"/>
      <c r="C355" s="137">
        <f t="shared" si="99"/>
        <v>71</v>
      </c>
      <c r="D355" s="138"/>
      <c r="E355" s="26"/>
      <c r="F355" s="27"/>
      <c r="G355" s="137">
        <f t="shared" si="100"/>
        <v>71</v>
      </c>
      <c r="H355" s="138"/>
      <c r="I355" s="26"/>
      <c r="J355" s="27"/>
    </row>
    <row r="356">
      <c r="A356" s="135">
        <f t="shared" si="101"/>
        <v>72</v>
      </c>
      <c r="B356" s="136"/>
      <c r="C356" s="137">
        <f t="shared" si="99"/>
        <v>72</v>
      </c>
      <c r="D356" s="138"/>
      <c r="E356" s="26"/>
      <c r="F356" s="27"/>
      <c r="G356" s="137">
        <f t="shared" si="100"/>
        <v>72</v>
      </c>
      <c r="H356" s="138"/>
      <c r="I356" s="26"/>
      <c r="J356" s="27"/>
    </row>
    <row r="357">
      <c r="A357" s="135">
        <f t="shared" si="101"/>
        <v>73</v>
      </c>
      <c r="B357" s="136"/>
      <c r="C357" s="137">
        <f t="shared" si="99"/>
        <v>73</v>
      </c>
      <c r="D357" s="138"/>
      <c r="E357" s="26"/>
      <c r="F357" s="27"/>
      <c r="G357" s="137">
        <f t="shared" si="100"/>
        <v>73</v>
      </c>
      <c r="H357" s="138"/>
      <c r="I357" s="26"/>
      <c r="J357" s="27"/>
    </row>
    <row r="358">
      <c r="A358" s="135">
        <f t="shared" si="101"/>
        <v>74</v>
      </c>
      <c r="B358" s="136"/>
      <c r="C358" s="137">
        <f t="shared" si="99"/>
        <v>74</v>
      </c>
      <c r="D358" s="138"/>
      <c r="E358" s="26"/>
      <c r="F358" s="27"/>
      <c r="G358" s="137">
        <f t="shared" si="100"/>
        <v>74</v>
      </c>
      <c r="H358" s="138"/>
      <c r="I358" s="26"/>
      <c r="J358" s="27"/>
    </row>
    <row r="359">
      <c r="A359" s="135">
        <f t="shared" si="101"/>
        <v>75</v>
      </c>
      <c r="B359" s="136"/>
      <c r="C359" s="137">
        <f t="shared" si="99"/>
        <v>75</v>
      </c>
      <c r="D359" s="138"/>
      <c r="E359" s="26"/>
      <c r="F359" s="27"/>
      <c r="G359" s="137">
        <f t="shared" si="100"/>
        <v>75</v>
      </c>
      <c r="H359" s="138"/>
      <c r="I359" s="26"/>
      <c r="J359" s="27"/>
    </row>
    <row r="360">
      <c r="A360" s="2"/>
      <c r="C360" s="2"/>
      <c r="D360" s="2"/>
      <c r="E360" s="2"/>
      <c r="F360" s="2"/>
    </row>
    <row r="361">
      <c r="A361" s="2"/>
      <c r="C361" s="2"/>
      <c r="D361" s="2"/>
      <c r="E361" s="2"/>
      <c r="F361" s="2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3:B133"/>
    <mergeCell ref="B213:C213"/>
    <mergeCell ref="D284:F284"/>
    <mergeCell ref="H284:J284"/>
    <mergeCell ref="H285:J285"/>
    <mergeCell ref="H288:J288"/>
    <mergeCell ref="H289:J289"/>
    <mergeCell ref="D285:F285"/>
    <mergeCell ref="D286:F286"/>
    <mergeCell ref="H286:J286"/>
    <mergeCell ref="D287:F287"/>
    <mergeCell ref="H287:J287"/>
    <mergeCell ref="D288:F288"/>
    <mergeCell ref="D289:F289"/>
    <mergeCell ref="D290:F290"/>
    <mergeCell ref="H290:J290"/>
    <mergeCell ref="D291:F291"/>
    <mergeCell ref="H291:J291"/>
    <mergeCell ref="D292:F292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49:F349"/>
    <mergeCell ref="D350:F350"/>
    <mergeCell ref="D351:F351"/>
    <mergeCell ref="D352:F352"/>
    <mergeCell ref="D353:F353"/>
    <mergeCell ref="D354:F354"/>
    <mergeCell ref="D355:F355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H357:J357"/>
    <mergeCell ref="H358:J358"/>
    <mergeCell ref="H359:J359"/>
    <mergeCell ref="H350:J350"/>
    <mergeCell ref="H351:J351"/>
    <mergeCell ref="H352:J352"/>
    <mergeCell ref="H353:J353"/>
    <mergeCell ref="H354:J354"/>
    <mergeCell ref="H355:J355"/>
    <mergeCell ref="H356:J356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46298.0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14.0</v>
      </c>
      <c r="E2" s="2"/>
      <c r="F2" s="2"/>
      <c r="R2" s="19"/>
      <c r="AC2" s="23" t="str">
        <f>TEXT(C1-7,"mm/dd/yy")</f>
        <v>09/26/26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68</v>
      </c>
      <c r="C5" s="37">
        <v>194.0</v>
      </c>
      <c r="D5" s="37">
        <v>21.0</v>
      </c>
      <c r="E5" s="42">
        <f t="shared" ref="E5:E71" si="2">if(S5&gt;0,(C5-(V5*9)-(T5*13))/S5,0)</f>
        <v>15.18181818</v>
      </c>
      <c r="F5" s="89">
        <v>1.0</v>
      </c>
      <c r="G5" s="90">
        <v>1.0</v>
      </c>
      <c r="H5" s="91">
        <v>0.0</v>
      </c>
      <c r="I5" s="90">
        <v>6.0</v>
      </c>
      <c r="J5" s="90">
        <v>7.0</v>
      </c>
      <c r="K5" s="90">
        <v>6.0</v>
      </c>
      <c r="L5" s="92">
        <v>19.0</v>
      </c>
      <c r="M5" s="90">
        <v>3.0</v>
      </c>
      <c r="N5" s="37">
        <f t="shared" ref="N5:O5" si="1">C5+L5</f>
        <v>213</v>
      </c>
      <c r="O5" s="37">
        <f t="shared" si="1"/>
        <v>24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11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3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192.0</v>
      </c>
      <c r="D6" s="37">
        <v>20.0</v>
      </c>
      <c r="E6" s="42">
        <f t="shared" si="2"/>
        <v>13.83333333</v>
      </c>
      <c r="F6" s="89">
        <v>5.0</v>
      </c>
      <c r="G6" s="90">
        <v>0.0</v>
      </c>
      <c r="H6" s="91">
        <v>13.0</v>
      </c>
      <c r="I6" s="90">
        <v>0.0</v>
      </c>
      <c r="J6" s="90">
        <v>0.0</v>
      </c>
      <c r="K6" s="90">
        <v>0.0</v>
      </c>
      <c r="L6" s="92">
        <v>13.0</v>
      </c>
      <c r="M6" s="90">
        <v>0.0</v>
      </c>
      <c r="N6" s="37">
        <f t="shared" ref="N6:O6" si="3">C6+L6</f>
        <v>205</v>
      </c>
      <c r="O6" s="37">
        <f t="shared" si="3"/>
        <v>20</v>
      </c>
      <c r="P6" s="50" t="s">
        <v>60</v>
      </c>
      <c r="Q6" s="50" t="s">
        <v>60</v>
      </c>
      <c r="R6" s="50" t="s">
        <v>60</v>
      </c>
      <c r="S6" s="51">
        <f t="shared" si="4"/>
        <v>12</v>
      </c>
      <c r="T6" s="52">
        <f t="shared" si="5"/>
        <v>2</v>
      </c>
      <c r="U6" s="52"/>
      <c r="V6" s="51">
        <f t="shared" si="6"/>
        <v>0</v>
      </c>
      <c r="W6" s="52">
        <f t="shared" si="7"/>
        <v>2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74</v>
      </c>
      <c r="C7" s="37">
        <v>191.0</v>
      </c>
      <c r="D7" s="37">
        <v>19.0</v>
      </c>
      <c r="E7" s="42">
        <f t="shared" si="2"/>
        <v>14.08333333</v>
      </c>
      <c r="F7" s="89">
        <v>1.0</v>
      </c>
      <c r="G7" s="90">
        <v>1.0</v>
      </c>
      <c r="H7" s="91">
        <v>0.0</v>
      </c>
      <c r="I7" s="90">
        <v>6.0</v>
      </c>
      <c r="J7" s="90">
        <v>6.0</v>
      </c>
      <c r="K7" s="90">
        <v>2.0</v>
      </c>
      <c r="L7" s="92">
        <v>14.0</v>
      </c>
      <c r="M7" s="90">
        <v>1.0</v>
      </c>
      <c r="N7" s="37">
        <f t="shared" ref="N7:O7" si="11">C7+L7</f>
        <v>205</v>
      </c>
      <c r="O7" s="37">
        <f t="shared" si="11"/>
        <v>20</v>
      </c>
      <c r="P7" s="50" t="s">
        <v>60</v>
      </c>
      <c r="Q7" s="50" t="s">
        <v>60</v>
      </c>
      <c r="R7" s="50" t="s">
        <v>60</v>
      </c>
      <c r="S7" s="51">
        <f t="shared" si="4"/>
        <v>12</v>
      </c>
      <c r="T7" s="52">
        <f t="shared" si="5"/>
        <v>1</v>
      </c>
      <c r="U7" s="52"/>
      <c r="V7" s="51">
        <f t="shared" si="6"/>
        <v>1</v>
      </c>
      <c r="W7" s="52">
        <f t="shared" si="7"/>
        <v>-1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85</v>
      </c>
      <c r="C8" s="37">
        <v>190.0</v>
      </c>
      <c r="D8" s="37">
        <v>24.0</v>
      </c>
      <c r="E8" s="42">
        <f t="shared" si="2"/>
        <v>15</v>
      </c>
      <c r="F8" s="89">
        <v>5.0</v>
      </c>
      <c r="G8" s="90">
        <v>0.0</v>
      </c>
      <c r="H8" s="91">
        <v>13.0</v>
      </c>
      <c r="I8" s="90">
        <v>0.0</v>
      </c>
      <c r="J8" s="90">
        <v>0.0</v>
      </c>
      <c r="K8" s="90">
        <v>0.0</v>
      </c>
      <c r="L8" s="92">
        <v>13.0</v>
      </c>
      <c r="M8" s="90">
        <v>0.0</v>
      </c>
      <c r="N8" s="37">
        <f t="shared" ref="N8:O8" si="13">C8+L8</f>
        <v>203</v>
      </c>
      <c r="O8" s="37">
        <f t="shared" si="13"/>
        <v>24</v>
      </c>
      <c r="P8" s="50" t="s">
        <v>60</v>
      </c>
      <c r="Q8" s="50" t="s">
        <v>60</v>
      </c>
      <c r="R8" s="50" t="s">
        <v>60</v>
      </c>
      <c r="S8" s="51">
        <f t="shared" si="4"/>
        <v>10</v>
      </c>
      <c r="T8" s="52">
        <f t="shared" si="5"/>
        <v>1</v>
      </c>
      <c r="U8" s="52"/>
      <c r="V8" s="51">
        <f t="shared" si="6"/>
        <v>3</v>
      </c>
      <c r="W8" s="52">
        <f t="shared" si="7"/>
        <v>2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88</v>
      </c>
      <c r="C9" s="37">
        <v>188.0</v>
      </c>
      <c r="D9" s="37">
        <v>20.0</v>
      </c>
      <c r="E9" s="42">
        <f t="shared" si="2"/>
        <v>13.46153846</v>
      </c>
      <c r="F9" s="89">
        <v>1.0</v>
      </c>
      <c r="G9" s="90">
        <v>1.0</v>
      </c>
      <c r="H9" s="91">
        <v>0.0</v>
      </c>
      <c r="I9" s="90">
        <v>4.0</v>
      </c>
      <c r="J9" s="90">
        <v>7.0</v>
      </c>
      <c r="K9" s="90">
        <v>2.0</v>
      </c>
      <c r="L9" s="92">
        <v>13.0</v>
      </c>
      <c r="M9" s="90">
        <v>1.0</v>
      </c>
      <c r="N9" s="37">
        <f t="shared" ref="N9:O9" si="14">C9+L9</f>
        <v>201</v>
      </c>
      <c r="O9" s="37">
        <f t="shared" si="14"/>
        <v>21</v>
      </c>
      <c r="P9" s="50" t="s">
        <v>60</v>
      </c>
      <c r="Q9" s="50" t="s">
        <v>60</v>
      </c>
      <c r="R9" s="50" t="s">
        <v>60</v>
      </c>
      <c r="S9" s="51">
        <f t="shared" si="4"/>
        <v>13</v>
      </c>
      <c r="T9" s="52">
        <f t="shared" si="5"/>
        <v>1</v>
      </c>
      <c r="U9" s="52"/>
      <c r="V9" s="51">
        <f t="shared" si="6"/>
        <v>0</v>
      </c>
      <c r="W9" s="52">
        <f t="shared" si="7"/>
        <v>-2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80</v>
      </c>
      <c r="C10" s="37">
        <v>187.0</v>
      </c>
      <c r="D10" s="37">
        <v>17.0</v>
      </c>
      <c r="E10" s="42">
        <f t="shared" si="2"/>
        <v>14.88888889</v>
      </c>
      <c r="F10" s="89">
        <v>5.0</v>
      </c>
      <c r="G10" s="90">
        <v>0.0</v>
      </c>
      <c r="H10" s="91">
        <v>13.0</v>
      </c>
      <c r="I10" s="90">
        <v>0.0</v>
      </c>
      <c r="J10" s="90">
        <v>0.0</v>
      </c>
      <c r="K10" s="90">
        <v>0.0</v>
      </c>
      <c r="L10" s="92">
        <v>13.0</v>
      </c>
      <c r="M10" s="90">
        <v>0.0</v>
      </c>
      <c r="N10" s="37">
        <f t="shared" ref="N10:O10" si="15">C10+L10</f>
        <v>200</v>
      </c>
      <c r="O10" s="37">
        <f t="shared" si="15"/>
        <v>17</v>
      </c>
      <c r="P10" s="50" t="s">
        <v>60</v>
      </c>
      <c r="Q10" s="50" t="s">
        <v>60</v>
      </c>
      <c r="R10" s="50" t="s">
        <v>60</v>
      </c>
      <c r="S10" s="51">
        <f t="shared" si="4"/>
        <v>9</v>
      </c>
      <c r="T10" s="52">
        <f t="shared" si="5"/>
        <v>2</v>
      </c>
      <c r="U10" s="52"/>
      <c r="V10" s="51">
        <f t="shared" si="6"/>
        <v>3</v>
      </c>
      <c r="W10" s="52">
        <f t="shared" si="7"/>
        <v>-1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93</v>
      </c>
      <c r="C11" s="37">
        <v>179.0</v>
      </c>
      <c r="D11" s="37">
        <v>11.0</v>
      </c>
      <c r="E11" s="42">
        <f t="shared" si="2"/>
        <v>13.71428571</v>
      </c>
      <c r="F11" s="89">
        <v>3.0</v>
      </c>
      <c r="G11" s="90">
        <v>0.0</v>
      </c>
      <c r="H11" s="91">
        <v>9.0</v>
      </c>
      <c r="I11" s="90">
        <v>0.0</v>
      </c>
      <c r="J11" s="90">
        <v>0.0</v>
      </c>
      <c r="K11" s="90">
        <v>0.0</v>
      </c>
      <c r="L11" s="92">
        <v>9.0</v>
      </c>
      <c r="M11" s="90">
        <v>0.0</v>
      </c>
      <c r="N11" s="37">
        <f t="shared" ref="N11:O11" si="16">C11+L11</f>
        <v>188</v>
      </c>
      <c r="O11" s="37">
        <f t="shared" si="16"/>
        <v>11</v>
      </c>
      <c r="P11" s="50" t="s">
        <v>60</v>
      </c>
      <c r="Q11" s="50" t="s">
        <v>60</v>
      </c>
      <c r="R11" s="50" t="s">
        <v>60</v>
      </c>
      <c r="S11" s="51">
        <f t="shared" si="4"/>
        <v>7</v>
      </c>
      <c r="T11" s="52">
        <f t="shared" si="5"/>
        <v>5</v>
      </c>
      <c r="U11" s="52"/>
      <c r="V11" s="51">
        <f t="shared" si="6"/>
        <v>2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97</v>
      </c>
      <c r="C12" s="37">
        <v>177.0</v>
      </c>
      <c r="D12" s="37">
        <v>15.0</v>
      </c>
      <c r="E12" s="42">
        <f t="shared" si="2"/>
        <v>12.64285714</v>
      </c>
      <c r="F12" s="89">
        <v>1.0</v>
      </c>
      <c r="G12" s="90">
        <v>1.0</v>
      </c>
      <c r="H12" s="91">
        <v>0.0</v>
      </c>
      <c r="I12" s="90">
        <v>4.0</v>
      </c>
      <c r="J12" s="90">
        <v>6.0</v>
      </c>
      <c r="K12" s="90">
        <v>6.0</v>
      </c>
      <c r="L12" s="92">
        <v>16.0</v>
      </c>
      <c r="M12" s="90">
        <v>1.0</v>
      </c>
      <c r="N12" s="37">
        <f t="shared" ref="N12:O12" si="17">C12+L12</f>
        <v>193</v>
      </c>
      <c r="O12" s="37">
        <f t="shared" si="17"/>
        <v>16</v>
      </c>
      <c r="P12" s="50" t="s">
        <v>60</v>
      </c>
      <c r="Q12" s="50" t="s">
        <v>60</v>
      </c>
      <c r="R12" s="50" t="s">
        <v>60</v>
      </c>
      <c r="S12" s="51">
        <f t="shared" si="4"/>
        <v>14</v>
      </c>
      <c r="T12" s="52">
        <f t="shared" si="5"/>
        <v>0</v>
      </c>
      <c r="U12" s="52"/>
      <c r="V12" s="51">
        <f t="shared" si="6"/>
        <v>0</v>
      </c>
      <c r="W12" s="52">
        <f t="shared" si="7"/>
        <v>0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91</v>
      </c>
      <c r="C13" s="37">
        <v>177.0</v>
      </c>
      <c r="D13" s="37">
        <v>12.0</v>
      </c>
      <c r="E13" s="42">
        <f t="shared" si="2"/>
        <v>13.375</v>
      </c>
      <c r="F13" s="89">
        <v>2.0</v>
      </c>
      <c r="G13" s="90">
        <v>2.0</v>
      </c>
      <c r="H13" s="91">
        <v>0.0</v>
      </c>
      <c r="I13" s="90">
        <v>5.0</v>
      </c>
      <c r="J13" s="90">
        <v>6.0</v>
      </c>
      <c r="K13" s="90">
        <v>4.0</v>
      </c>
      <c r="L13" s="92">
        <v>15.0</v>
      </c>
      <c r="M13" s="90">
        <v>1.0</v>
      </c>
      <c r="N13" s="37">
        <f t="shared" ref="N13:O13" si="18">C13+L13</f>
        <v>192</v>
      </c>
      <c r="O13" s="37">
        <f t="shared" si="18"/>
        <v>13</v>
      </c>
      <c r="P13" s="50" t="s">
        <v>60</v>
      </c>
      <c r="Q13" s="50" t="s">
        <v>60</v>
      </c>
      <c r="R13" s="50" t="s">
        <v>60</v>
      </c>
      <c r="S13" s="51">
        <f t="shared" si="4"/>
        <v>8</v>
      </c>
      <c r="T13" s="52">
        <f t="shared" si="5"/>
        <v>4</v>
      </c>
      <c r="U13" s="52"/>
      <c r="V13" s="51">
        <f t="shared" si="6"/>
        <v>2</v>
      </c>
      <c r="W13" s="52">
        <f t="shared" si="7"/>
        <v>0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118</v>
      </c>
      <c r="C14" s="37">
        <v>176.0</v>
      </c>
      <c r="D14" s="37">
        <v>16.0</v>
      </c>
      <c r="E14" s="42">
        <f t="shared" si="2"/>
        <v>12.5</v>
      </c>
      <c r="F14" s="89">
        <v>1.0</v>
      </c>
      <c r="G14" s="90">
        <v>2.0</v>
      </c>
      <c r="H14" s="91">
        <v>0.0</v>
      </c>
      <c r="I14" s="90">
        <v>7.0</v>
      </c>
      <c r="J14" s="90">
        <v>1.0</v>
      </c>
      <c r="K14" s="90">
        <v>4.0</v>
      </c>
      <c r="L14" s="92">
        <v>12.0</v>
      </c>
      <c r="M14" s="90">
        <v>1.0</v>
      </c>
      <c r="N14" s="37">
        <f t="shared" ref="N14:O14" si="19">C14+L14</f>
        <v>188</v>
      </c>
      <c r="O14" s="37">
        <f t="shared" si="19"/>
        <v>17</v>
      </c>
      <c r="P14" s="50" t="s">
        <v>60</v>
      </c>
      <c r="Q14" s="50" t="s">
        <v>60</v>
      </c>
      <c r="R14" s="50" t="s">
        <v>60</v>
      </c>
      <c r="S14" s="51">
        <f t="shared" si="4"/>
        <v>12</v>
      </c>
      <c r="T14" s="52">
        <f t="shared" si="5"/>
        <v>2</v>
      </c>
      <c r="U14" s="52"/>
      <c r="V14" s="51">
        <f t="shared" si="6"/>
        <v>0</v>
      </c>
      <c r="W14" s="52">
        <f t="shared" si="7"/>
        <v>0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113</v>
      </c>
      <c r="C15" s="37">
        <v>175.0</v>
      </c>
      <c r="D15" s="37">
        <v>15.0</v>
      </c>
      <c r="E15" s="42">
        <f t="shared" si="2"/>
        <v>13.09090909</v>
      </c>
      <c r="F15" s="89">
        <v>1.0</v>
      </c>
      <c r="G15" s="90">
        <v>2.0</v>
      </c>
      <c r="H15" s="91">
        <v>0.0</v>
      </c>
      <c r="I15" s="90">
        <v>7.0</v>
      </c>
      <c r="J15" s="90">
        <v>6.0</v>
      </c>
      <c r="K15" s="90">
        <v>6.0</v>
      </c>
      <c r="L15" s="92">
        <v>19.0</v>
      </c>
      <c r="M15" s="90">
        <v>3.0</v>
      </c>
      <c r="N15" s="37">
        <f t="shared" ref="N15:O15" si="20">C15+L15</f>
        <v>194</v>
      </c>
      <c r="O15" s="37">
        <f t="shared" si="20"/>
        <v>18</v>
      </c>
      <c r="P15" s="50" t="s">
        <v>60</v>
      </c>
      <c r="Q15" s="50" t="s">
        <v>60</v>
      </c>
      <c r="R15" s="50" t="s">
        <v>60</v>
      </c>
      <c r="S15" s="51">
        <f t="shared" si="4"/>
        <v>11</v>
      </c>
      <c r="T15" s="52">
        <f t="shared" si="5"/>
        <v>1</v>
      </c>
      <c r="U15" s="52"/>
      <c r="V15" s="51">
        <f t="shared" si="6"/>
        <v>2</v>
      </c>
      <c r="W15" s="52">
        <f t="shared" si="7"/>
        <v>2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107</v>
      </c>
      <c r="C16" s="37">
        <v>175.0</v>
      </c>
      <c r="D16" s="37">
        <v>13.0</v>
      </c>
      <c r="E16" s="42">
        <f t="shared" si="2"/>
        <v>14.5</v>
      </c>
      <c r="F16" s="89">
        <v>5.0</v>
      </c>
      <c r="G16" s="90">
        <v>0.0</v>
      </c>
      <c r="H16" s="91">
        <v>13.0</v>
      </c>
      <c r="I16" s="90">
        <v>0.0</v>
      </c>
      <c r="J16" s="90">
        <v>0.0</v>
      </c>
      <c r="K16" s="90">
        <v>0.0</v>
      </c>
      <c r="L16" s="92">
        <v>13.0</v>
      </c>
      <c r="M16" s="90">
        <v>0.0</v>
      </c>
      <c r="N16" s="37">
        <f t="shared" ref="N16:O16" si="21">C16+L16</f>
        <v>188</v>
      </c>
      <c r="O16" s="37">
        <f t="shared" si="21"/>
        <v>13</v>
      </c>
      <c r="P16" s="50" t="s">
        <v>60</v>
      </c>
      <c r="Q16" s="50" t="s">
        <v>60</v>
      </c>
      <c r="R16" s="50" t="s">
        <v>60</v>
      </c>
      <c r="S16" s="51">
        <f t="shared" si="4"/>
        <v>6</v>
      </c>
      <c r="T16" s="52">
        <f t="shared" si="5"/>
        <v>4</v>
      </c>
      <c r="U16" s="52"/>
      <c r="V16" s="51">
        <f t="shared" si="6"/>
        <v>4</v>
      </c>
      <c r="W16" s="52">
        <f t="shared" si="7"/>
        <v>-1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131</v>
      </c>
      <c r="C17" s="37">
        <v>173.0</v>
      </c>
      <c r="D17" s="37">
        <v>16.0</v>
      </c>
      <c r="E17" s="42">
        <f t="shared" si="2"/>
        <v>12.18181818</v>
      </c>
      <c r="F17" s="89">
        <v>5.0</v>
      </c>
      <c r="G17" s="90">
        <v>0.0</v>
      </c>
      <c r="H17" s="91">
        <v>13.0</v>
      </c>
      <c r="I17" s="90">
        <v>0.0</v>
      </c>
      <c r="J17" s="90">
        <v>0.0</v>
      </c>
      <c r="K17" s="90">
        <v>0.0</v>
      </c>
      <c r="L17" s="92">
        <v>13.0</v>
      </c>
      <c r="M17" s="90">
        <v>0.0</v>
      </c>
      <c r="N17" s="37">
        <f t="shared" ref="N17:O17" si="22">C17+L17</f>
        <v>186</v>
      </c>
      <c r="O17" s="37">
        <f t="shared" si="22"/>
        <v>16</v>
      </c>
      <c r="P17" s="50" t="s">
        <v>60</v>
      </c>
      <c r="Q17" s="50" t="s">
        <v>60</v>
      </c>
      <c r="R17" s="50" t="s">
        <v>60</v>
      </c>
      <c r="S17" s="51">
        <f t="shared" si="4"/>
        <v>11</v>
      </c>
      <c r="T17" s="52">
        <f t="shared" si="5"/>
        <v>3</v>
      </c>
      <c r="U17" s="52"/>
      <c r="V17" s="51">
        <f t="shared" si="6"/>
        <v>0</v>
      </c>
      <c r="W17" s="52">
        <f t="shared" si="7"/>
        <v>-1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81</v>
      </c>
      <c r="C18" s="37">
        <v>172.0</v>
      </c>
      <c r="D18" s="37">
        <v>16.0</v>
      </c>
      <c r="E18" s="42">
        <f t="shared" si="2"/>
        <v>15.57142857</v>
      </c>
      <c r="F18" s="89">
        <v>3.0</v>
      </c>
      <c r="G18" s="90">
        <v>0.0</v>
      </c>
      <c r="H18" s="91">
        <v>9.0</v>
      </c>
      <c r="I18" s="90">
        <v>0.0</v>
      </c>
      <c r="J18" s="90">
        <v>0.0</v>
      </c>
      <c r="K18" s="90">
        <v>0.0</v>
      </c>
      <c r="L18" s="92">
        <v>9.0</v>
      </c>
      <c r="M18" s="90">
        <v>0.0</v>
      </c>
      <c r="N18" s="37">
        <f t="shared" ref="N18:O18" si="23">C18+L18</f>
        <v>181</v>
      </c>
      <c r="O18" s="37">
        <f t="shared" si="23"/>
        <v>16</v>
      </c>
      <c r="P18" s="50" t="s">
        <v>60</v>
      </c>
      <c r="Q18" s="50" t="s">
        <v>60</v>
      </c>
      <c r="R18" s="50" t="s">
        <v>60</v>
      </c>
      <c r="S18" s="51">
        <f t="shared" si="4"/>
        <v>7</v>
      </c>
      <c r="T18" s="52">
        <f t="shared" si="5"/>
        <v>0</v>
      </c>
      <c r="U18" s="52"/>
      <c r="V18" s="51">
        <f t="shared" si="6"/>
        <v>7</v>
      </c>
      <c r="W18" s="52">
        <f t="shared" si="7"/>
        <v>7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108</v>
      </c>
      <c r="C19" s="37">
        <v>172.0</v>
      </c>
      <c r="D19" s="37">
        <v>10.0</v>
      </c>
      <c r="E19" s="42">
        <f t="shared" si="2"/>
        <v>12.75</v>
      </c>
      <c r="F19" s="89">
        <v>3.0</v>
      </c>
      <c r="G19" s="90">
        <v>0.0</v>
      </c>
      <c r="H19" s="91">
        <v>9.0</v>
      </c>
      <c r="I19" s="90">
        <v>0.0</v>
      </c>
      <c r="J19" s="90">
        <v>0.0</v>
      </c>
      <c r="K19" s="90">
        <v>0.0</v>
      </c>
      <c r="L19" s="92">
        <v>9.0</v>
      </c>
      <c r="M19" s="90">
        <v>0.0</v>
      </c>
      <c r="N19" s="37">
        <f t="shared" ref="N19:O19" si="24">C19+L19</f>
        <v>181</v>
      </c>
      <c r="O19" s="37">
        <f t="shared" si="24"/>
        <v>10</v>
      </c>
      <c r="P19" s="50" t="s">
        <v>60</v>
      </c>
      <c r="Q19" s="50" t="s">
        <v>60</v>
      </c>
      <c r="R19" s="50" t="s">
        <v>60</v>
      </c>
      <c r="S19" s="51">
        <f t="shared" si="4"/>
        <v>8</v>
      </c>
      <c r="T19" s="52">
        <f t="shared" si="5"/>
        <v>4</v>
      </c>
      <c r="U19" s="52"/>
      <c r="V19" s="51">
        <f t="shared" si="6"/>
        <v>2</v>
      </c>
      <c r="W19" s="52">
        <f t="shared" si="7"/>
        <v>1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122</v>
      </c>
      <c r="C20" s="37">
        <v>170.0</v>
      </c>
      <c r="D20" s="37">
        <v>14.0</v>
      </c>
      <c r="E20" s="42">
        <f t="shared" si="2"/>
        <v>13.5</v>
      </c>
      <c r="F20" s="89">
        <v>1.0</v>
      </c>
      <c r="G20" s="90">
        <v>2.0</v>
      </c>
      <c r="H20" s="91">
        <v>0.0</v>
      </c>
      <c r="I20" s="90">
        <v>5.0</v>
      </c>
      <c r="J20" s="90">
        <v>1.0</v>
      </c>
      <c r="K20" s="90">
        <v>6.0</v>
      </c>
      <c r="L20" s="92">
        <v>12.0</v>
      </c>
      <c r="M20" s="90">
        <v>1.0</v>
      </c>
      <c r="N20" s="37">
        <f t="shared" ref="N20:O20" si="25">C20+L20</f>
        <v>182</v>
      </c>
      <c r="O20" s="37">
        <f t="shared" si="25"/>
        <v>15</v>
      </c>
      <c r="P20" s="50" t="s">
        <v>60</v>
      </c>
      <c r="Q20" s="50" t="s">
        <v>60</v>
      </c>
      <c r="R20" s="50" t="s">
        <v>60</v>
      </c>
      <c r="S20" s="51">
        <f t="shared" si="4"/>
        <v>8</v>
      </c>
      <c r="T20" s="52">
        <f t="shared" si="5"/>
        <v>2</v>
      </c>
      <c r="U20" s="52"/>
      <c r="V20" s="51">
        <f t="shared" si="6"/>
        <v>4</v>
      </c>
      <c r="W20" s="52">
        <f t="shared" si="7"/>
        <v>2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98</v>
      </c>
      <c r="C21" s="37">
        <v>167.0</v>
      </c>
      <c r="D21" s="37">
        <v>15.0</v>
      </c>
      <c r="E21" s="42">
        <f t="shared" si="2"/>
        <v>12.41666667</v>
      </c>
      <c r="F21" s="89">
        <v>1.0</v>
      </c>
      <c r="G21" s="90">
        <v>3.0</v>
      </c>
      <c r="H21" s="91">
        <v>0.0</v>
      </c>
      <c r="I21" s="90">
        <v>6.0</v>
      </c>
      <c r="J21" s="90">
        <v>6.0</v>
      </c>
      <c r="K21" s="90">
        <v>6.0</v>
      </c>
      <c r="L21" s="92">
        <v>18.0</v>
      </c>
      <c r="M21" s="90">
        <v>1.0</v>
      </c>
      <c r="N21" s="37">
        <f t="shared" ref="N21:O21" si="26">C21+L21</f>
        <v>185</v>
      </c>
      <c r="O21" s="37">
        <f t="shared" si="26"/>
        <v>16</v>
      </c>
      <c r="P21" s="50" t="s">
        <v>60</v>
      </c>
      <c r="Q21" s="50" t="s">
        <v>60</v>
      </c>
      <c r="R21" s="50" t="s">
        <v>60</v>
      </c>
      <c r="S21" s="51">
        <f t="shared" si="4"/>
        <v>12</v>
      </c>
      <c r="T21" s="52">
        <f t="shared" si="5"/>
        <v>0</v>
      </c>
      <c r="U21" s="52"/>
      <c r="V21" s="51">
        <f t="shared" si="6"/>
        <v>2</v>
      </c>
      <c r="W21" s="52">
        <f t="shared" si="7"/>
        <v>6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92</v>
      </c>
      <c r="C22" s="37">
        <v>166.0</v>
      </c>
      <c r="D22" s="37">
        <v>14.0</v>
      </c>
      <c r="E22" s="42">
        <f t="shared" si="2"/>
        <v>15</v>
      </c>
      <c r="F22" s="89">
        <v>1.0</v>
      </c>
      <c r="G22" s="90">
        <v>3.0</v>
      </c>
      <c r="H22" s="91">
        <v>0.0</v>
      </c>
      <c r="I22" s="90">
        <v>7.0</v>
      </c>
      <c r="J22" s="90">
        <v>7.0</v>
      </c>
      <c r="K22" s="90">
        <v>6.0</v>
      </c>
      <c r="L22" s="92">
        <v>20.0</v>
      </c>
      <c r="M22" s="90">
        <v>3.0</v>
      </c>
      <c r="N22" s="37">
        <f t="shared" ref="N22:O22" si="27">C22+L22</f>
        <v>186</v>
      </c>
      <c r="O22" s="37">
        <f t="shared" si="27"/>
        <v>17</v>
      </c>
      <c r="P22" s="50" t="s">
        <v>60</v>
      </c>
      <c r="Q22" s="50" t="s">
        <v>60</v>
      </c>
      <c r="R22" s="50" t="s">
        <v>60</v>
      </c>
      <c r="S22" s="51">
        <f t="shared" si="4"/>
        <v>6</v>
      </c>
      <c r="T22" s="52">
        <f t="shared" si="5"/>
        <v>1</v>
      </c>
      <c r="U22" s="52"/>
      <c r="V22" s="51">
        <f t="shared" si="6"/>
        <v>7</v>
      </c>
      <c r="W22" s="52">
        <f t="shared" si="7"/>
        <v>-4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135</v>
      </c>
      <c r="C23" s="37">
        <v>165.0</v>
      </c>
      <c r="D23" s="37">
        <v>17.0</v>
      </c>
      <c r="E23" s="42">
        <f t="shared" si="2"/>
        <v>12.25</v>
      </c>
      <c r="F23" s="89">
        <v>1.0</v>
      </c>
      <c r="G23" s="90">
        <v>3.0</v>
      </c>
      <c r="H23" s="91">
        <v>0.0</v>
      </c>
      <c r="I23" s="90">
        <v>7.0</v>
      </c>
      <c r="J23" s="90">
        <v>6.0</v>
      </c>
      <c r="K23" s="90">
        <v>4.0</v>
      </c>
      <c r="L23" s="92">
        <v>17.0</v>
      </c>
      <c r="M23" s="90">
        <v>1.0</v>
      </c>
      <c r="N23" s="37">
        <f t="shared" ref="N23:O23" si="28">C23+L23</f>
        <v>182</v>
      </c>
      <c r="O23" s="37">
        <f t="shared" si="28"/>
        <v>18</v>
      </c>
      <c r="P23" s="50" t="s">
        <v>60</v>
      </c>
      <c r="Q23" s="50" t="s">
        <v>60</v>
      </c>
      <c r="R23" s="50" t="s">
        <v>60</v>
      </c>
      <c r="S23" s="51">
        <f t="shared" si="4"/>
        <v>12</v>
      </c>
      <c r="T23" s="52">
        <f t="shared" si="5"/>
        <v>0</v>
      </c>
      <c r="U23" s="52"/>
      <c r="V23" s="51">
        <f t="shared" si="6"/>
        <v>2</v>
      </c>
      <c r="W23" s="52">
        <f t="shared" si="7"/>
        <v>3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101</v>
      </c>
      <c r="C24" s="37">
        <v>164.0</v>
      </c>
      <c r="D24" s="37">
        <v>17.0</v>
      </c>
      <c r="E24" s="42">
        <f t="shared" si="2"/>
        <v>11.92307692</v>
      </c>
      <c r="F24" s="89">
        <v>1.0</v>
      </c>
      <c r="G24" s="90">
        <v>3.0</v>
      </c>
      <c r="H24" s="91">
        <v>0.0</v>
      </c>
      <c r="I24" s="90">
        <v>6.0</v>
      </c>
      <c r="J24" s="90">
        <v>7.0</v>
      </c>
      <c r="K24" s="90">
        <v>4.0</v>
      </c>
      <c r="L24" s="92">
        <v>17.0</v>
      </c>
      <c r="M24" s="90">
        <v>1.0</v>
      </c>
      <c r="N24" s="37">
        <f t="shared" ref="N24:O24" si="29">C24+L24</f>
        <v>181</v>
      </c>
      <c r="O24" s="37">
        <f t="shared" si="29"/>
        <v>18</v>
      </c>
      <c r="P24" s="50" t="s">
        <v>60</v>
      </c>
      <c r="Q24" s="50" t="s">
        <v>60</v>
      </c>
      <c r="R24" s="50" t="s">
        <v>60</v>
      </c>
      <c r="S24" s="51">
        <f t="shared" si="4"/>
        <v>13</v>
      </c>
      <c r="T24" s="52">
        <f t="shared" si="5"/>
        <v>0</v>
      </c>
      <c r="U24" s="52"/>
      <c r="V24" s="51">
        <f t="shared" si="6"/>
        <v>1</v>
      </c>
      <c r="W24" s="52">
        <f t="shared" si="7"/>
        <v>-5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140</v>
      </c>
      <c r="C25" s="37">
        <v>164.0</v>
      </c>
      <c r="D25" s="37">
        <v>15.0</v>
      </c>
      <c r="E25" s="42">
        <f t="shared" si="2"/>
        <v>12.45454545</v>
      </c>
      <c r="F25" s="89">
        <v>3.0</v>
      </c>
      <c r="G25" s="90">
        <v>0.0</v>
      </c>
      <c r="H25" s="91">
        <v>9.0</v>
      </c>
      <c r="I25" s="90">
        <v>0.0</v>
      </c>
      <c r="J25" s="90">
        <v>0.0</v>
      </c>
      <c r="K25" s="90">
        <v>0.0</v>
      </c>
      <c r="L25" s="92">
        <v>9.0</v>
      </c>
      <c r="M25" s="90">
        <v>0.0</v>
      </c>
      <c r="N25" s="37">
        <f t="shared" ref="N25:O25" si="30">C25+L25</f>
        <v>173</v>
      </c>
      <c r="O25" s="37">
        <f t="shared" si="30"/>
        <v>15</v>
      </c>
      <c r="P25" s="50" t="s">
        <v>60</v>
      </c>
      <c r="Q25" s="50" t="s">
        <v>60</v>
      </c>
      <c r="R25" s="50" t="s">
        <v>60</v>
      </c>
      <c r="S25" s="51">
        <f t="shared" si="4"/>
        <v>11</v>
      </c>
      <c r="T25" s="52">
        <f t="shared" si="5"/>
        <v>0</v>
      </c>
      <c r="U25" s="52"/>
      <c r="V25" s="51">
        <f t="shared" si="6"/>
        <v>3</v>
      </c>
      <c r="W25" s="52">
        <f t="shared" si="7"/>
        <v>-4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102</v>
      </c>
      <c r="C26" s="37">
        <v>164.0</v>
      </c>
      <c r="D26" s="37">
        <v>9.0</v>
      </c>
      <c r="E26" s="42">
        <f t="shared" si="2"/>
        <v>12.6</v>
      </c>
      <c r="F26" s="89">
        <v>1.0</v>
      </c>
      <c r="G26" s="90">
        <v>4.0</v>
      </c>
      <c r="H26" s="91">
        <v>0.0</v>
      </c>
      <c r="I26" s="90">
        <v>6.0</v>
      </c>
      <c r="J26" s="90">
        <v>3.0</v>
      </c>
      <c r="K26" s="90">
        <v>6.0</v>
      </c>
      <c r="L26" s="92">
        <v>15.0</v>
      </c>
      <c r="M26" s="90">
        <v>2.0</v>
      </c>
      <c r="N26" s="37">
        <f t="shared" ref="N26:O26" si="31">C26+L26</f>
        <v>179</v>
      </c>
      <c r="O26" s="37">
        <f t="shared" si="31"/>
        <v>11</v>
      </c>
      <c r="P26" s="50" t="s">
        <v>60</v>
      </c>
      <c r="Q26" s="50" t="s">
        <v>60</v>
      </c>
      <c r="R26" s="50" t="s">
        <v>60</v>
      </c>
      <c r="S26" s="51">
        <f t="shared" si="4"/>
        <v>5</v>
      </c>
      <c r="T26" s="52">
        <f t="shared" si="5"/>
        <v>5</v>
      </c>
      <c r="U26" s="52"/>
      <c r="V26" s="51">
        <f t="shared" si="6"/>
        <v>4</v>
      </c>
      <c r="W26" s="52">
        <f t="shared" si="7"/>
        <v>3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126</v>
      </c>
      <c r="C27" s="37">
        <v>163.0</v>
      </c>
      <c r="D27" s="37">
        <v>12.0</v>
      </c>
      <c r="E27" s="42">
        <f t="shared" si="2"/>
        <v>14.5</v>
      </c>
      <c r="F27" s="89">
        <v>3.0</v>
      </c>
      <c r="G27" s="90">
        <v>0.0</v>
      </c>
      <c r="H27" s="91">
        <v>9.0</v>
      </c>
      <c r="I27" s="90">
        <v>0.0</v>
      </c>
      <c r="J27" s="90">
        <v>0.0</v>
      </c>
      <c r="K27" s="90">
        <v>0.0</v>
      </c>
      <c r="L27" s="92">
        <v>9.0</v>
      </c>
      <c r="M27" s="90">
        <v>0.0</v>
      </c>
      <c r="N27" s="37">
        <f t="shared" ref="N27:O27" si="32">C27+L27</f>
        <v>172</v>
      </c>
      <c r="O27" s="37">
        <f t="shared" si="32"/>
        <v>12</v>
      </c>
      <c r="P27" s="50" t="s">
        <v>60</v>
      </c>
      <c r="Q27" s="50" t="s">
        <v>60</v>
      </c>
      <c r="R27" s="50" t="s">
        <v>60</v>
      </c>
      <c r="S27" s="51">
        <f t="shared" si="4"/>
        <v>6</v>
      </c>
      <c r="T27" s="52">
        <f t="shared" si="5"/>
        <v>1</v>
      </c>
      <c r="U27" s="52"/>
      <c r="V27" s="51">
        <f t="shared" si="6"/>
        <v>7</v>
      </c>
      <c r="W27" s="52">
        <f t="shared" si="7"/>
        <v>-4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121</v>
      </c>
      <c r="C28" s="37">
        <v>162.0</v>
      </c>
      <c r="D28" s="37">
        <v>15.0</v>
      </c>
      <c r="E28" s="42">
        <f t="shared" si="2"/>
        <v>14.14285714</v>
      </c>
      <c r="F28" s="89">
        <v>1.0</v>
      </c>
      <c r="G28" s="90">
        <v>4.0</v>
      </c>
      <c r="H28" s="91">
        <v>0.0</v>
      </c>
      <c r="I28" s="90">
        <v>4.0</v>
      </c>
      <c r="J28" s="90">
        <v>6.0</v>
      </c>
      <c r="K28" s="90">
        <v>6.0</v>
      </c>
      <c r="L28" s="92">
        <v>16.0</v>
      </c>
      <c r="M28" s="90">
        <v>2.0</v>
      </c>
      <c r="N28" s="37">
        <f t="shared" ref="N28:O28" si="33">C28+L28</f>
        <v>178</v>
      </c>
      <c r="O28" s="37">
        <f t="shared" si="33"/>
        <v>17</v>
      </c>
      <c r="P28" s="50" t="s">
        <v>60</v>
      </c>
      <c r="Q28" s="50" t="s">
        <v>60</v>
      </c>
      <c r="R28" s="50" t="s">
        <v>60</v>
      </c>
      <c r="S28" s="51">
        <f t="shared" si="4"/>
        <v>7</v>
      </c>
      <c r="T28" s="52">
        <f t="shared" si="5"/>
        <v>0</v>
      </c>
      <c r="U28" s="52"/>
      <c r="V28" s="51">
        <f t="shared" si="6"/>
        <v>7</v>
      </c>
      <c r="W28" s="52">
        <f t="shared" si="7"/>
        <v>-4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127</v>
      </c>
      <c r="C29" s="37">
        <v>161.0</v>
      </c>
      <c r="D29" s="37">
        <v>12.0</v>
      </c>
      <c r="E29" s="42">
        <f t="shared" si="2"/>
        <v>12.375</v>
      </c>
      <c r="F29" s="89">
        <v>1.0</v>
      </c>
      <c r="G29" s="90">
        <v>4.0</v>
      </c>
      <c r="H29" s="91">
        <v>0.0</v>
      </c>
      <c r="I29" s="90">
        <v>4.0</v>
      </c>
      <c r="J29" s="90">
        <v>3.0</v>
      </c>
      <c r="K29" s="90">
        <v>0.0</v>
      </c>
      <c r="L29" s="92">
        <v>7.0</v>
      </c>
      <c r="M29" s="90">
        <v>0.0</v>
      </c>
      <c r="N29" s="37">
        <f t="shared" ref="N29:O29" si="34">C29+L29</f>
        <v>168</v>
      </c>
      <c r="O29" s="37">
        <f t="shared" si="34"/>
        <v>12</v>
      </c>
      <c r="P29" s="50" t="s">
        <v>60</v>
      </c>
      <c r="Q29" s="50" t="s">
        <v>60</v>
      </c>
      <c r="R29" s="50" t="s">
        <v>60</v>
      </c>
      <c r="S29" s="51">
        <f t="shared" si="4"/>
        <v>8</v>
      </c>
      <c r="T29" s="52">
        <f t="shared" si="5"/>
        <v>2</v>
      </c>
      <c r="U29" s="52"/>
      <c r="V29" s="51">
        <f t="shared" si="6"/>
        <v>4</v>
      </c>
      <c r="W29" s="52">
        <f t="shared" si="7"/>
        <v>2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94</v>
      </c>
      <c r="C30" s="37">
        <v>160.0</v>
      </c>
      <c r="D30" s="37">
        <v>14.0</v>
      </c>
      <c r="E30" s="42">
        <f t="shared" si="2"/>
        <v>12.75</v>
      </c>
      <c r="F30" s="89">
        <v>3.0</v>
      </c>
      <c r="G30" s="90">
        <v>0.0</v>
      </c>
      <c r="H30" s="91">
        <v>9.0</v>
      </c>
      <c r="I30" s="90">
        <v>0.0</v>
      </c>
      <c r="J30" s="90">
        <v>0.0</v>
      </c>
      <c r="K30" s="90">
        <v>0.0</v>
      </c>
      <c r="L30" s="92">
        <v>9.0</v>
      </c>
      <c r="M30" s="90">
        <v>0.0</v>
      </c>
      <c r="N30" s="37">
        <f t="shared" ref="N30:O30" si="35">C30+L30</f>
        <v>169</v>
      </c>
      <c r="O30" s="37">
        <f t="shared" si="35"/>
        <v>14</v>
      </c>
      <c r="P30" s="50" t="s">
        <v>60</v>
      </c>
      <c r="Q30" s="50" t="s">
        <v>60</v>
      </c>
      <c r="R30" s="50" t="s">
        <v>60</v>
      </c>
      <c r="S30" s="51">
        <f t="shared" si="4"/>
        <v>8</v>
      </c>
      <c r="T30" s="52">
        <f t="shared" si="5"/>
        <v>1</v>
      </c>
      <c r="U30" s="52"/>
      <c r="V30" s="51">
        <f t="shared" si="6"/>
        <v>5</v>
      </c>
      <c r="W30" s="52">
        <f t="shared" si="7"/>
        <v>5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130</v>
      </c>
      <c r="C31" s="37">
        <v>160.0</v>
      </c>
      <c r="D31" s="37">
        <v>14.0</v>
      </c>
      <c r="E31" s="42">
        <f t="shared" si="2"/>
        <v>12.71428571</v>
      </c>
      <c r="F31" s="89">
        <v>3.0</v>
      </c>
      <c r="G31" s="90">
        <v>0.0</v>
      </c>
      <c r="H31" s="91">
        <v>9.0</v>
      </c>
      <c r="I31" s="90">
        <v>0.0</v>
      </c>
      <c r="J31" s="90">
        <v>0.0</v>
      </c>
      <c r="K31" s="90">
        <v>0.0</v>
      </c>
      <c r="L31" s="92">
        <v>9.0</v>
      </c>
      <c r="M31" s="90">
        <v>0.0</v>
      </c>
      <c r="N31" s="37">
        <f t="shared" ref="N31:O31" si="36">C31+L31</f>
        <v>169</v>
      </c>
      <c r="O31" s="37">
        <f t="shared" si="36"/>
        <v>14</v>
      </c>
      <c r="P31" s="50" t="s">
        <v>60</v>
      </c>
      <c r="Q31" s="50" t="s">
        <v>60</v>
      </c>
      <c r="R31" s="50" t="s">
        <v>60</v>
      </c>
      <c r="S31" s="51">
        <f t="shared" si="4"/>
        <v>7</v>
      </c>
      <c r="T31" s="52">
        <f t="shared" si="5"/>
        <v>2</v>
      </c>
      <c r="U31" s="52"/>
      <c r="V31" s="51">
        <f t="shared" si="6"/>
        <v>5</v>
      </c>
      <c r="W31" s="52">
        <f t="shared" si="7"/>
        <v>-1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115</v>
      </c>
      <c r="C32" s="37">
        <v>160.0</v>
      </c>
      <c r="D32" s="37">
        <v>10.0</v>
      </c>
      <c r="E32" s="42">
        <f t="shared" si="2"/>
        <v>12.75</v>
      </c>
      <c r="F32" s="89">
        <v>3.0</v>
      </c>
      <c r="G32" s="90">
        <v>0.0</v>
      </c>
      <c r="H32" s="91">
        <v>9.0</v>
      </c>
      <c r="I32" s="90">
        <v>0.0</v>
      </c>
      <c r="J32" s="90">
        <v>0.0</v>
      </c>
      <c r="K32" s="90">
        <v>0.0</v>
      </c>
      <c r="L32" s="92">
        <v>9.0</v>
      </c>
      <c r="M32" s="90">
        <v>0.0</v>
      </c>
      <c r="N32" s="37">
        <f t="shared" ref="N32:O32" si="37">C32+L32</f>
        <v>169</v>
      </c>
      <c r="O32" s="37">
        <f t="shared" si="37"/>
        <v>10</v>
      </c>
      <c r="P32" s="50" t="s">
        <v>60</v>
      </c>
      <c r="Q32" s="50" t="s">
        <v>60</v>
      </c>
      <c r="R32" s="50" t="s">
        <v>60</v>
      </c>
      <c r="S32" s="51">
        <f t="shared" si="4"/>
        <v>8</v>
      </c>
      <c r="T32" s="52">
        <f t="shared" si="5"/>
        <v>1</v>
      </c>
      <c r="U32" s="52"/>
      <c r="V32" s="51">
        <f t="shared" si="6"/>
        <v>5</v>
      </c>
      <c r="W32" s="52">
        <f t="shared" si="7"/>
        <v>-4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87</v>
      </c>
      <c r="C33" s="37">
        <v>158.0</v>
      </c>
      <c r="D33" s="37">
        <v>10.0</v>
      </c>
      <c r="E33" s="42">
        <f t="shared" si="2"/>
        <v>11.33333333</v>
      </c>
      <c r="F33" s="89">
        <v>3.0</v>
      </c>
      <c r="G33" s="90">
        <v>0.0</v>
      </c>
      <c r="H33" s="91">
        <v>9.0</v>
      </c>
      <c r="I33" s="90">
        <v>0.0</v>
      </c>
      <c r="J33" s="90">
        <v>0.0</v>
      </c>
      <c r="K33" s="90">
        <v>0.0</v>
      </c>
      <c r="L33" s="92">
        <v>9.0</v>
      </c>
      <c r="M33" s="90">
        <v>0.0</v>
      </c>
      <c r="N33" s="37">
        <f t="shared" ref="N33:O33" si="38">C33+L33</f>
        <v>167</v>
      </c>
      <c r="O33" s="37">
        <f t="shared" si="38"/>
        <v>10</v>
      </c>
      <c r="P33" s="50" t="s">
        <v>60</v>
      </c>
      <c r="Q33" s="50" t="s">
        <v>60</v>
      </c>
      <c r="R33" s="50" t="s">
        <v>60</v>
      </c>
      <c r="S33" s="51">
        <f t="shared" si="4"/>
        <v>12</v>
      </c>
      <c r="T33" s="52">
        <f t="shared" si="5"/>
        <v>1</v>
      </c>
      <c r="U33" s="52"/>
      <c r="V33" s="51">
        <f t="shared" si="6"/>
        <v>1</v>
      </c>
      <c r="W33" s="52">
        <f t="shared" si="7"/>
        <v>0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100</v>
      </c>
      <c r="C34" s="37">
        <v>156.0</v>
      </c>
      <c r="D34" s="37">
        <v>12.0</v>
      </c>
      <c r="E34" s="42">
        <f t="shared" si="2"/>
        <v>11.5</v>
      </c>
      <c r="F34" s="89">
        <v>1.0</v>
      </c>
      <c r="G34" s="90">
        <v>4.0</v>
      </c>
      <c r="H34" s="91">
        <v>0.0</v>
      </c>
      <c r="I34" s="90">
        <v>6.0</v>
      </c>
      <c r="J34" s="90">
        <v>6.0</v>
      </c>
      <c r="K34" s="90">
        <v>0.0</v>
      </c>
      <c r="L34" s="92">
        <v>12.0</v>
      </c>
      <c r="M34" s="90">
        <v>2.0</v>
      </c>
      <c r="N34" s="37">
        <f t="shared" ref="N34:O34" si="39">C34+L34</f>
        <v>168</v>
      </c>
      <c r="O34" s="37">
        <f t="shared" si="39"/>
        <v>14</v>
      </c>
      <c r="P34" s="50" t="s">
        <v>60</v>
      </c>
      <c r="Q34" s="50" t="s">
        <v>60</v>
      </c>
      <c r="R34" s="50" t="s">
        <v>60</v>
      </c>
      <c r="S34" s="51">
        <f t="shared" si="4"/>
        <v>12</v>
      </c>
      <c r="T34" s="52">
        <f t="shared" si="5"/>
        <v>0</v>
      </c>
      <c r="U34" s="52"/>
      <c r="V34" s="51">
        <f t="shared" si="6"/>
        <v>2</v>
      </c>
      <c r="W34" s="52">
        <f t="shared" si="7"/>
        <v>0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136</v>
      </c>
      <c r="C35" s="37">
        <v>155.0</v>
      </c>
      <c r="D35" s="37">
        <v>9.0</v>
      </c>
      <c r="E35" s="42">
        <f t="shared" si="2"/>
        <v>11.625</v>
      </c>
      <c r="F35" s="89">
        <v>3.0</v>
      </c>
      <c r="G35" s="90">
        <v>0.0</v>
      </c>
      <c r="H35" s="91">
        <v>9.0</v>
      </c>
      <c r="I35" s="90">
        <v>0.0</v>
      </c>
      <c r="J35" s="90">
        <v>0.0</v>
      </c>
      <c r="K35" s="90">
        <v>0.0</v>
      </c>
      <c r="L35" s="92">
        <v>9.0</v>
      </c>
      <c r="M35" s="90">
        <v>0.0</v>
      </c>
      <c r="N35" s="37">
        <f t="shared" ref="N35:O35" si="40">C35+L35</f>
        <v>164</v>
      </c>
      <c r="O35" s="37">
        <f t="shared" si="40"/>
        <v>9</v>
      </c>
      <c r="P35" s="50" t="s">
        <v>60</v>
      </c>
      <c r="Q35" s="50" t="s">
        <v>60</v>
      </c>
      <c r="R35" s="50" t="s">
        <v>60</v>
      </c>
      <c r="S35" s="51">
        <f t="shared" si="4"/>
        <v>8</v>
      </c>
      <c r="T35" s="52">
        <f t="shared" si="5"/>
        <v>2</v>
      </c>
      <c r="U35" s="52"/>
      <c r="V35" s="51">
        <f t="shared" si="6"/>
        <v>4</v>
      </c>
      <c r="W35" s="52">
        <f t="shared" si="7"/>
        <v>-3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114</v>
      </c>
      <c r="C36" s="37">
        <v>154.0</v>
      </c>
      <c r="D36" s="37">
        <v>12.0</v>
      </c>
      <c r="E36" s="42">
        <f t="shared" si="2"/>
        <v>11.5</v>
      </c>
      <c r="F36" s="89">
        <v>3.0</v>
      </c>
      <c r="G36" s="90">
        <v>0.0</v>
      </c>
      <c r="H36" s="91">
        <v>9.0</v>
      </c>
      <c r="I36" s="90">
        <v>0.0</v>
      </c>
      <c r="J36" s="90">
        <v>0.0</v>
      </c>
      <c r="K36" s="90">
        <v>0.0</v>
      </c>
      <c r="L36" s="92">
        <v>9.0</v>
      </c>
      <c r="M36" s="90">
        <v>0.0</v>
      </c>
      <c r="N36" s="37">
        <f t="shared" ref="N36:O36" si="41">C36+L36</f>
        <v>163</v>
      </c>
      <c r="O36" s="37">
        <f t="shared" si="41"/>
        <v>12</v>
      </c>
      <c r="P36" s="50" t="s">
        <v>60</v>
      </c>
      <c r="Q36" s="50" t="s">
        <v>60</v>
      </c>
      <c r="R36" s="50" t="s">
        <v>60</v>
      </c>
      <c r="S36" s="51">
        <f t="shared" si="4"/>
        <v>8</v>
      </c>
      <c r="T36" s="52">
        <f t="shared" si="5"/>
        <v>2</v>
      </c>
      <c r="U36" s="52"/>
      <c r="V36" s="51">
        <f t="shared" si="6"/>
        <v>4</v>
      </c>
      <c r="W36" s="52">
        <f t="shared" si="7"/>
        <v>1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120</v>
      </c>
      <c r="C37" s="37">
        <v>152.0</v>
      </c>
      <c r="D37" s="37">
        <v>9.0</v>
      </c>
      <c r="E37" s="42">
        <f t="shared" si="2"/>
        <v>13.4</v>
      </c>
      <c r="F37" s="89">
        <v>1.0</v>
      </c>
      <c r="G37" s="90">
        <v>5.0</v>
      </c>
      <c r="H37" s="91">
        <v>0.0</v>
      </c>
      <c r="I37" s="90">
        <v>4.0</v>
      </c>
      <c r="J37" s="90">
        <v>4.0</v>
      </c>
      <c r="K37" s="90">
        <v>6.0</v>
      </c>
      <c r="L37" s="92">
        <v>14.0</v>
      </c>
      <c r="M37" s="90">
        <v>1.0</v>
      </c>
      <c r="N37" s="37">
        <f t="shared" ref="N37:O37" si="42">C37+L37</f>
        <v>166</v>
      </c>
      <c r="O37" s="37">
        <f t="shared" si="42"/>
        <v>10</v>
      </c>
      <c r="P37" s="50" t="s">
        <v>60</v>
      </c>
      <c r="Q37" s="50" t="s">
        <v>60</v>
      </c>
      <c r="R37" s="50" t="s">
        <v>60</v>
      </c>
      <c r="S37" s="51">
        <f t="shared" si="4"/>
        <v>5</v>
      </c>
      <c r="T37" s="52">
        <f t="shared" si="5"/>
        <v>1</v>
      </c>
      <c r="U37" s="52"/>
      <c r="V37" s="51">
        <f t="shared" si="6"/>
        <v>8</v>
      </c>
      <c r="W37" s="52">
        <f t="shared" si="7"/>
        <v>6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142</v>
      </c>
      <c r="C38" s="37">
        <v>148.0</v>
      </c>
      <c r="D38" s="37">
        <v>7.0</v>
      </c>
      <c r="E38" s="42">
        <f t="shared" si="2"/>
        <v>13.5</v>
      </c>
      <c r="F38" s="89">
        <v>1.0</v>
      </c>
      <c r="G38" s="90">
        <v>5.0</v>
      </c>
      <c r="H38" s="91">
        <v>0.0</v>
      </c>
      <c r="I38" s="90">
        <v>6.0</v>
      </c>
      <c r="J38" s="90">
        <v>6.0</v>
      </c>
      <c r="K38" s="90">
        <v>6.0</v>
      </c>
      <c r="L38" s="92">
        <v>18.0</v>
      </c>
      <c r="M38" s="90">
        <v>3.0</v>
      </c>
      <c r="N38" s="37">
        <f t="shared" ref="N38:O38" si="43">C38+L38</f>
        <v>166</v>
      </c>
      <c r="O38" s="37">
        <f t="shared" si="43"/>
        <v>10</v>
      </c>
      <c r="P38" s="50" t="s">
        <v>60</v>
      </c>
      <c r="Q38" s="50" t="s">
        <v>60</v>
      </c>
      <c r="R38" s="50" t="s">
        <v>60</v>
      </c>
      <c r="S38" s="51">
        <f t="shared" si="4"/>
        <v>4</v>
      </c>
      <c r="T38" s="52">
        <f t="shared" si="5"/>
        <v>1</v>
      </c>
      <c r="U38" s="52"/>
      <c r="V38" s="51">
        <f t="shared" si="6"/>
        <v>9</v>
      </c>
      <c r="W38" s="52">
        <f t="shared" si="7"/>
        <v>-2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109</v>
      </c>
      <c r="C39" s="37">
        <v>148.0</v>
      </c>
      <c r="D39" s="37">
        <v>5.0</v>
      </c>
      <c r="E39" s="42">
        <f t="shared" si="2"/>
        <v>10</v>
      </c>
      <c r="F39" s="89">
        <v>1.0</v>
      </c>
      <c r="G39" s="90">
        <v>5.0</v>
      </c>
      <c r="H39" s="91">
        <v>0.0</v>
      </c>
      <c r="I39" s="90">
        <v>6.0</v>
      </c>
      <c r="J39" s="90">
        <v>4.0</v>
      </c>
      <c r="K39" s="90">
        <v>3.0</v>
      </c>
      <c r="L39" s="92">
        <v>13.0</v>
      </c>
      <c r="M39" s="90">
        <v>1.0</v>
      </c>
      <c r="N39" s="37">
        <f t="shared" ref="N39:O39" si="44">C39+L39</f>
        <v>161</v>
      </c>
      <c r="O39" s="37">
        <f t="shared" si="44"/>
        <v>6</v>
      </c>
      <c r="P39" s="50" t="s">
        <v>60</v>
      </c>
      <c r="Q39" s="50" t="s">
        <v>60</v>
      </c>
      <c r="R39" s="50" t="s">
        <v>60</v>
      </c>
      <c r="S39" s="51">
        <f t="shared" si="4"/>
        <v>6</v>
      </c>
      <c r="T39" s="52">
        <f t="shared" si="5"/>
        <v>4</v>
      </c>
      <c r="U39" s="52"/>
      <c r="V39" s="51">
        <f t="shared" si="6"/>
        <v>4</v>
      </c>
      <c r="W39" s="52">
        <f t="shared" si="7"/>
        <v>-1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133</v>
      </c>
      <c r="C40" s="37">
        <v>147.0</v>
      </c>
      <c r="D40" s="37">
        <v>7.0</v>
      </c>
      <c r="E40" s="42">
        <f t="shared" si="2"/>
        <v>11.42857143</v>
      </c>
      <c r="F40" s="89">
        <v>1.0</v>
      </c>
      <c r="G40" s="90">
        <v>5.0</v>
      </c>
      <c r="H40" s="91">
        <v>0.0</v>
      </c>
      <c r="I40" s="90">
        <v>4.0</v>
      </c>
      <c r="J40" s="90">
        <v>6.0</v>
      </c>
      <c r="K40" s="90">
        <v>3.0</v>
      </c>
      <c r="L40" s="92">
        <v>13.0</v>
      </c>
      <c r="M40" s="90">
        <v>1.0</v>
      </c>
      <c r="N40" s="37">
        <f t="shared" ref="N40:O40" si="45">C40+L40</f>
        <v>160</v>
      </c>
      <c r="O40" s="37">
        <f t="shared" si="45"/>
        <v>8</v>
      </c>
      <c r="P40" s="50" t="s">
        <v>60</v>
      </c>
      <c r="Q40" s="50" t="s">
        <v>60</v>
      </c>
      <c r="R40" s="50" t="s">
        <v>60</v>
      </c>
      <c r="S40" s="51">
        <f t="shared" si="4"/>
        <v>7</v>
      </c>
      <c r="T40" s="52">
        <f t="shared" si="5"/>
        <v>1</v>
      </c>
      <c r="U40" s="52"/>
      <c r="V40" s="51">
        <f t="shared" si="6"/>
        <v>6</v>
      </c>
      <c r="W40" s="52">
        <f t="shared" si="7"/>
        <v>1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90</v>
      </c>
      <c r="C41" s="37">
        <v>147.0</v>
      </c>
      <c r="D41" s="37">
        <v>5.0</v>
      </c>
      <c r="E41" s="42">
        <f t="shared" si="2"/>
        <v>10</v>
      </c>
      <c r="F41" s="89">
        <v>2.0</v>
      </c>
      <c r="G41" s="90">
        <v>6.0</v>
      </c>
      <c r="H41" s="91">
        <v>0.0</v>
      </c>
      <c r="I41" s="90">
        <v>7.0</v>
      </c>
      <c r="J41" s="90">
        <v>7.0</v>
      </c>
      <c r="K41" s="90">
        <v>3.0</v>
      </c>
      <c r="L41" s="92">
        <v>17.0</v>
      </c>
      <c r="M41" s="90">
        <v>2.0</v>
      </c>
      <c r="N41" s="37">
        <f t="shared" ref="N41:O41" si="46">C41+L41</f>
        <v>164</v>
      </c>
      <c r="O41" s="37">
        <f t="shared" si="46"/>
        <v>7</v>
      </c>
      <c r="P41" s="50" t="s">
        <v>60</v>
      </c>
      <c r="Q41" s="50" t="s">
        <v>60</v>
      </c>
      <c r="R41" s="50" t="s">
        <v>60</v>
      </c>
      <c r="S41" s="51">
        <f t="shared" si="4"/>
        <v>5</v>
      </c>
      <c r="T41" s="52">
        <f t="shared" si="5"/>
        <v>4</v>
      </c>
      <c r="U41" s="52"/>
      <c r="V41" s="51">
        <f t="shared" si="6"/>
        <v>5</v>
      </c>
      <c r="W41" s="52">
        <f t="shared" si="7"/>
        <v>10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128</v>
      </c>
      <c r="C42" s="37">
        <v>146.0</v>
      </c>
      <c r="D42" s="37">
        <v>10.0</v>
      </c>
      <c r="E42" s="42">
        <f t="shared" si="2"/>
        <v>11.66666667</v>
      </c>
      <c r="F42" s="89">
        <v>1.0</v>
      </c>
      <c r="G42" s="90">
        <v>6.0</v>
      </c>
      <c r="H42" s="91">
        <v>0.0</v>
      </c>
      <c r="I42" s="90">
        <v>5.0</v>
      </c>
      <c r="J42" s="90">
        <v>7.0</v>
      </c>
      <c r="K42" s="90">
        <v>6.0</v>
      </c>
      <c r="L42" s="92">
        <v>18.0</v>
      </c>
      <c r="M42" s="90">
        <v>2.0</v>
      </c>
      <c r="N42" s="37">
        <f t="shared" ref="N42:O42" si="47">C42+L42</f>
        <v>164</v>
      </c>
      <c r="O42" s="37">
        <f t="shared" si="47"/>
        <v>12</v>
      </c>
      <c r="P42" s="50" t="s">
        <v>60</v>
      </c>
      <c r="Q42" s="50" t="s">
        <v>60</v>
      </c>
      <c r="R42" s="50" t="s">
        <v>60</v>
      </c>
      <c r="S42" s="51">
        <f t="shared" si="4"/>
        <v>6</v>
      </c>
      <c r="T42" s="52">
        <f t="shared" si="5"/>
        <v>1</v>
      </c>
      <c r="U42" s="52"/>
      <c r="V42" s="51">
        <f t="shared" si="6"/>
        <v>7</v>
      </c>
      <c r="W42" s="52">
        <f t="shared" si="7"/>
        <v>0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106</v>
      </c>
      <c r="C43" s="37">
        <v>145.0</v>
      </c>
      <c r="D43" s="37">
        <v>10.0</v>
      </c>
      <c r="E43" s="42">
        <f t="shared" si="2"/>
        <v>12.16666667</v>
      </c>
      <c r="F43" s="89">
        <v>3.0</v>
      </c>
      <c r="G43" s="90">
        <v>0.0</v>
      </c>
      <c r="H43" s="91">
        <v>9.0</v>
      </c>
      <c r="I43" s="90">
        <v>0.0</v>
      </c>
      <c r="J43" s="90">
        <v>0.0</v>
      </c>
      <c r="K43" s="90">
        <v>0.0</v>
      </c>
      <c r="L43" s="92">
        <v>9.0</v>
      </c>
      <c r="M43" s="90">
        <v>0.0</v>
      </c>
      <c r="N43" s="37">
        <f t="shared" ref="N43:O43" si="48">C43+L43</f>
        <v>154</v>
      </c>
      <c r="O43" s="37">
        <f t="shared" si="48"/>
        <v>10</v>
      </c>
      <c r="P43" s="50" t="s">
        <v>60</v>
      </c>
      <c r="Q43" s="50" t="s">
        <v>60</v>
      </c>
      <c r="R43" s="50" t="s">
        <v>60</v>
      </c>
      <c r="S43" s="51">
        <f t="shared" si="4"/>
        <v>6</v>
      </c>
      <c r="T43" s="52">
        <f t="shared" si="5"/>
        <v>0</v>
      </c>
      <c r="U43" s="52"/>
      <c r="V43" s="51">
        <f t="shared" si="6"/>
        <v>8</v>
      </c>
      <c r="W43" s="52">
        <f t="shared" si="7"/>
        <v>-3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105</v>
      </c>
      <c r="C44" s="37">
        <v>144.0</v>
      </c>
      <c r="D44" s="37">
        <v>6.0</v>
      </c>
      <c r="E44" s="42">
        <f t="shared" si="2"/>
        <v>10.66666667</v>
      </c>
      <c r="F44" s="89">
        <v>1.0</v>
      </c>
      <c r="G44" s="90">
        <v>6.0</v>
      </c>
      <c r="H44" s="91">
        <v>0.0</v>
      </c>
      <c r="I44" s="90">
        <v>7.0</v>
      </c>
      <c r="J44" s="90">
        <v>6.0</v>
      </c>
      <c r="K44" s="90">
        <v>6.0</v>
      </c>
      <c r="L44" s="92">
        <v>19.0</v>
      </c>
      <c r="M44" s="90">
        <v>2.0</v>
      </c>
      <c r="N44" s="37">
        <f t="shared" ref="N44:O44" si="49">C44+L44</f>
        <v>163</v>
      </c>
      <c r="O44" s="37">
        <f t="shared" si="49"/>
        <v>8</v>
      </c>
      <c r="P44" s="50" t="s">
        <v>60</v>
      </c>
      <c r="Q44" s="50" t="s">
        <v>60</v>
      </c>
      <c r="R44" s="50" t="s">
        <v>60</v>
      </c>
      <c r="S44" s="51">
        <f t="shared" si="4"/>
        <v>6</v>
      </c>
      <c r="T44" s="52">
        <f t="shared" si="5"/>
        <v>2</v>
      </c>
      <c r="U44" s="52"/>
      <c r="V44" s="51">
        <f t="shared" si="6"/>
        <v>6</v>
      </c>
      <c r="W44" s="52">
        <f t="shared" si="7"/>
        <v>10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125</v>
      </c>
      <c r="C45" s="37">
        <v>144.0</v>
      </c>
      <c r="D45" s="37">
        <v>4.0</v>
      </c>
      <c r="E45" s="42">
        <f t="shared" si="2"/>
        <v>10.2</v>
      </c>
      <c r="F45" s="89">
        <v>2.0</v>
      </c>
      <c r="G45" s="90">
        <v>6.0</v>
      </c>
      <c r="H45" s="91">
        <v>0.0</v>
      </c>
      <c r="I45" s="90">
        <v>5.0</v>
      </c>
      <c r="J45" s="90">
        <v>6.0</v>
      </c>
      <c r="K45" s="90">
        <v>3.0</v>
      </c>
      <c r="L45" s="92">
        <v>14.0</v>
      </c>
      <c r="M45" s="90">
        <v>0.0</v>
      </c>
      <c r="N45" s="37">
        <f t="shared" ref="N45:O45" si="50">C45+L45</f>
        <v>158</v>
      </c>
      <c r="O45" s="37">
        <f t="shared" si="50"/>
        <v>4</v>
      </c>
      <c r="P45" s="50" t="s">
        <v>60</v>
      </c>
      <c r="Q45" s="50" t="s">
        <v>60</v>
      </c>
      <c r="R45" s="50" t="s">
        <v>60</v>
      </c>
      <c r="S45" s="51">
        <f t="shared" si="4"/>
        <v>5</v>
      </c>
      <c r="T45" s="52">
        <f t="shared" si="5"/>
        <v>3</v>
      </c>
      <c r="U45" s="52"/>
      <c r="V45" s="51">
        <f t="shared" si="6"/>
        <v>6</v>
      </c>
      <c r="W45" s="52">
        <f t="shared" si="7"/>
        <v>5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146</v>
      </c>
      <c r="C46" s="37">
        <v>143.0</v>
      </c>
      <c r="D46" s="37">
        <v>13.0</v>
      </c>
      <c r="E46" s="42">
        <f t="shared" si="2"/>
        <v>10.125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152</v>
      </c>
      <c r="O46" s="37">
        <f t="shared" si="51"/>
        <v>13</v>
      </c>
      <c r="P46" s="50" t="s">
        <v>60</v>
      </c>
      <c r="Q46" s="50" t="s">
        <v>60</v>
      </c>
      <c r="R46" s="50" t="s">
        <v>60</v>
      </c>
      <c r="S46" s="51">
        <f t="shared" si="4"/>
        <v>8</v>
      </c>
      <c r="T46" s="52">
        <f t="shared" si="5"/>
        <v>2</v>
      </c>
      <c r="U46" s="52"/>
      <c r="V46" s="51">
        <f t="shared" si="6"/>
        <v>4</v>
      </c>
      <c r="W46" s="52">
        <f t="shared" si="7"/>
        <v>-7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84</v>
      </c>
      <c r="C47" s="37">
        <v>143.0</v>
      </c>
      <c r="D47" s="37">
        <v>4.0</v>
      </c>
      <c r="E47" s="42">
        <f t="shared" si="2"/>
        <v>8.4</v>
      </c>
      <c r="F47" s="89">
        <v>3.0</v>
      </c>
      <c r="G47" s="90">
        <v>0.0</v>
      </c>
      <c r="H47" s="91">
        <v>9.0</v>
      </c>
      <c r="I47" s="90">
        <v>0.0</v>
      </c>
      <c r="J47" s="90">
        <v>0.0</v>
      </c>
      <c r="K47" s="90">
        <v>0.0</v>
      </c>
      <c r="L47" s="92">
        <v>9.0</v>
      </c>
      <c r="M47" s="90">
        <v>0.0</v>
      </c>
      <c r="N47" s="37">
        <f t="shared" ref="N47:O47" si="52">C47+L47</f>
        <v>152</v>
      </c>
      <c r="O47" s="37">
        <f t="shared" si="52"/>
        <v>4</v>
      </c>
      <c r="P47" s="50" t="s">
        <v>60</v>
      </c>
      <c r="Q47" s="50" t="s">
        <v>60</v>
      </c>
      <c r="R47" s="50" t="s">
        <v>60</v>
      </c>
      <c r="S47" s="51">
        <f t="shared" si="4"/>
        <v>5</v>
      </c>
      <c r="T47" s="52">
        <f t="shared" si="5"/>
        <v>5</v>
      </c>
      <c r="U47" s="52"/>
      <c r="V47" s="51">
        <f t="shared" si="6"/>
        <v>4</v>
      </c>
      <c r="W47" s="52">
        <f t="shared" si="7"/>
        <v>0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67</v>
      </c>
      <c r="C48" s="37">
        <v>142.0</v>
      </c>
      <c r="D48" s="37">
        <v>9.0</v>
      </c>
      <c r="E48" s="42">
        <f t="shared" si="2"/>
        <v>10.6</v>
      </c>
      <c r="F48" s="89">
        <v>1.0</v>
      </c>
      <c r="G48" s="90">
        <v>7.0</v>
      </c>
      <c r="H48" s="91">
        <v>0.0</v>
      </c>
      <c r="I48" s="90">
        <v>1.0</v>
      </c>
      <c r="J48" s="90">
        <v>6.0</v>
      </c>
      <c r="K48" s="90">
        <v>6.0</v>
      </c>
      <c r="L48" s="92">
        <v>13.0</v>
      </c>
      <c r="M48" s="90">
        <v>2.0</v>
      </c>
      <c r="N48" s="37">
        <f t="shared" ref="N48:O48" si="53">C48+L48</f>
        <v>155</v>
      </c>
      <c r="O48" s="37">
        <f t="shared" si="53"/>
        <v>11</v>
      </c>
      <c r="P48" s="50" t="s">
        <v>60</v>
      </c>
      <c r="Q48" s="50" t="s">
        <v>60</v>
      </c>
      <c r="R48" s="50" t="s">
        <v>60</v>
      </c>
      <c r="S48" s="51">
        <f t="shared" si="4"/>
        <v>10</v>
      </c>
      <c r="T48" s="52">
        <f t="shared" si="5"/>
        <v>0</v>
      </c>
      <c r="U48" s="52"/>
      <c r="V48" s="51">
        <f t="shared" si="6"/>
        <v>4</v>
      </c>
      <c r="W48" s="52">
        <f t="shared" si="7"/>
        <v>-4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111</v>
      </c>
      <c r="C49" s="37">
        <v>142.0</v>
      </c>
      <c r="D49" s="37">
        <v>6.0</v>
      </c>
      <c r="E49" s="42">
        <f t="shared" si="2"/>
        <v>11.66666667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151</v>
      </c>
      <c r="O49" s="37">
        <f t="shared" si="54"/>
        <v>6</v>
      </c>
      <c r="P49" s="50" t="s">
        <v>60</v>
      </c>
      <c r="Q49" s="50" t="s">
        <v>60</v>
      </c>
      <c r="R49" s="50" t="s">
        <v>60</v>
      </c>
      <c r="S49" s="51">
        <f t="shared" si="4"/>
        <v>6</v>
      </c>
      <c r="T49" s="52">
        <f t="shared" si="5"/>
        <v>0</v>
      </c>
      <c r="U49" s="52"/>
      <c r="V49" s="51">
        <f t="shared" si="6"/>
        <v>8</v>
      </c>
      <c r="W49" s="52">
        <f t="shared" si="7"/>
        <v>-3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72</v>
      </c>
      <c r="C50" s="37">
        <v>141.0</v>
      </c>
      <c r="D50" s="37">
        <v>2.0</v>
      </c>
      <c r="E50" s="42">
        <f t="shared" si="2"/>
        <v>8.75</v>
      </c>
      <c r="F50" s="89">
        <v>5.0</v>
      </c>
      <c r="G50" s="90">
        <v>0.0</v>
      </c>
      <c r="H50" s="91">
        <v>13.0</v>
      </c>
      <c r="I50" s="90">
        <v>0.0</v>
      </c>
      <c r="J50" s="90">
        <v>0.0</v>
      </c>
      <c r="K50" s="90">
        <v>0.0</v>
      </c>
      <c r="L50" s="92">
        <v>13.0</v>
      </c>
      <c r="M50" s="90">
        <v>0.0</v>
      </c>
      <c r="N50" s="37">
        <f t="shared" ref="N50:O50" si="55">C50+L50</f>
        <v>154</v>
      </c>
      <c r="O50" s="37">
        <f t="shared" si="55"/>
        <v>2</v>
      </c>
      <c r="P50" s="50" t="s">
        <v>60</v>
      </c>
      <c r="Q50" s="50" t="s">
        <v>60</v>
      </c>
      <c r="R50" s="50" t="s">
        <v>60</v>
      </c>
      <c r="S50" s="51">
        <f t="shared" si="4"/>
        <v>4</v>
      </c>
      <c r="T50" s="52">
        <f t="shared" si="5"/>
        <v>4</v>
      </c>
      <c r="U50" s="52"/>
      <c r="V50" s="51">
        <f t="shared" si="6"/>
        <v>6</v>
      </c>
      <c r="W50" s="52">
        <f t="shared" si="7"/>
        <v>2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117</v>
      </c>
      <c r="C51" s="37">
        <v>140.0</v>
      </c>
      <c r="D51" s="37">
        <v>8.0</v>
      </c>
      <c r="E51" s="42">
        <f t="shared" si="2"/>
        <v>11.33333333</v>
      </c>
      <c r="F51" s="89">
        <v>1.0</v>
      </c>
      <c r="G51" s="90">
        <v>7.0</v>
      </c>
      <c r="H51" s="91">
        <v>0.0</v>
      </c>
      <c r="I51" s="90">
        <v>1.0</v>
      </c>
      <c r="J51" s="90">
        <v>4.0</v>
      </c>
      <c r="K51" s="90">
        <v>4.0</v>
      </c>
      <c r="L51" s="92">
        <v>9.0</v>
      </c>
      <c r="M51" s="90">
        <v>0.0</v>
      </c>
      <c r="N51" s="37">
        <f t="shared" ref="N51:O51" si="56">C51+L51</f>
        <v>149</v>
      </c>
      <c r="O51" s="37">
        <f t="shared" si="56"/>
        <v>8</v>
      </c>
      <c r="P51" s="50" t="s">
        <v>60</v>
      </c>
      <c r="Q51" s="50" t="s">
        <v>60</v>
      </c>
      <c r="R51" s="50" t="s">
        <v>60</v>
      </c>
      <c r="S51" s="51">
        <f t="shared" si="4"/>
        <v>6</v>
      </c>
      <c r="T51" s="52">
        <f t="shared" si="5"/>
        <v>0</v>
      </c>
      <c r="U51" s="52"/>
      <c r="V51" s="51">
        <f t="shared" si="6"/>
        <v>8</v>
      </c>
      <c r="W51" s="52">
        <f t="shared" si="7"/>
        <v>-6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139</v>
      </c>
      <c r="C52" s="37">
        <v>138.0</v>
      </c>
      <c r="D52" s="37">
        <v>7.0</v>
      </c>
      <c r="E52" s="42">
        <f t="shared" si="2"/>
        <v>12</v>
      </c>
      <c r="F52" s="89">
        <v>1.0</v>
      </c>
      <c r="G52" s="90">
        <v>7.0</v>
      </c>
      <c r="H52" s="91">
        <v>0.0</v>
      </c>
      <c r="I52" s="90">
        <v>6.0</v>
      </c>
      <c r="J52" s="90">
        <v>6.0</v>
      </c>
      <c r="K52" s="90">
        <v>4.0</v>
      </c>
      <c r="L52" s="92">
        <v>16.0</v>
      </c>
      <c r="M52" s="90">
        <v>2.0</v>
      </c>
      <c r="N52" s="37">
        <f t="shared" ref="N52:O52" si="57">C52+L52</f>
        <v>154</v>
      </c>
      <c r="O52" s="37">
        <f t="shared" si="57"/>
        <v>9</v>
      </c>
      <c r="P52" s="50" t="s">
        <v>60</v>
      </c>
      <c r="Q52" s="50" t="s">
        <v>60</v>
      </c>
      <c r="R52" s="50" t="s">
        <v>60</v>
      </c>
      <c r="S52" s="51">
        <f t="shared" si="4"/>
        <v>4</v>
      </c>
      <c r="T52" s="52">
        <f t="shared" si="5"/>
        <v>0</v>
      </c>
      <c r="U52" s="52"/>
      <c r="V52" s="51">
        <f t="shared" si="6"/>
        <v>10</v>
      </c>
      <c r="W52" s="52">
        <f t="shared" si="7"/>
        <v>-4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134</v>
      </c>
      <c r="C53" s="37">
        <v>138.0</v>
      </c>
      <c r="D53" s="37">
        <v>6.0</v>
      </c>
      <c r="E53" s="42">
        <f t="shared" si="2"/>
        <v>8.428571429</v>
      </c>
      <c r="F53" s="89">
        <v>5.0</v>
      </c>
      <c r="G53" s="90">
        <v>0.0</v>
      </c>
      <c r="H53" s="91">
        <v>13.0</v>
      </c>
      <c r="I53" s="90">
        <v>0.0</v>
      </c>
      <c r="J53" s="90">
        <v>0.0</v>
      </c>
      <c r="K53" s="90">
        <v>0.0</v>
      </c>
      <c r="L53" s="92">
        <v>13.0</v>
      </c>
      <c r="M53" s="90">
        <v>0.0</v>
      </c>
      <c r="N53" s="37">
        <f t="shared" ref="N53:O53" si="58">C53+L53</f>
        <v>151</v>
      </c>
      <c r="O53" s="37">
        <f t="shared" si="58"/>
        <v>6</v>
      </c>
      <c r="P53" s="50" t="s">
        <v>60</v>
      </c>
      <c r="Q53" s="50" t="s">
        <v>60</v>
      </c>
      <c r="R53" s="50" t="s">
        <v>60</v>
      </c>
      <c r="S53" s="51">
        <f t="shared" si="4"/>
        <v>7</v>
      </c>
      <c r="T53" s="52">
        <f t="shared" si="5"/>
        <v>4</v>
      </c>
      <c r="U53" s="52"/>
      <c r="V53" s="51">
        <f t="shared" si="6"/>
        <v>3</v>
      </c>
      <c r="W53" s="52">
        <f t="shared" si="7"/>
        <v>-4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144</v>
      </c>
      <c r="C54" s="37">
        <v>135.0</v>
      </c>
      <c r="D54" s="37">
        <v>3.0</v>
      </c>
      <c r="E54" s="42">
        <f t="shared" si="2"/>
        <v>8.25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144</v>
      </c>
      <c r="O54" s="37">
        <f t="shared" si="59"/>
        <v>3</v>
      </c>
      <c r="P54" s="50" t="s">
        <v>60</v>
      </c>
      <c r="Q54" s="50" t="s">
        <v>60</v>
      </c>
      <c r="R54" s="50" t="s">
        <v>60</v>
      </c>
      <c r="S54" s="51">
        <f t="shared" si="4"/>
        <v>4</v>
      </c>
      <c r="T54" s="52">
        <f t="shared" si="5"/>
        <v>3</v>
      </c>
      <c r="U54" s="52"/>
      <c r="V54" s="51">
        <f t="shared" si="6"/>
        <v>7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61</v>
      </c>
      <c r="C55" s="37">
        <v>131.0</v>
      </c>
      <c r="D55" s="37">
        <v>7.0</v>
      </c>
      <c r="E55" s="42">
        <f t="shared" si="2"/>
        <v>9.833333333</v>
      </c>
      <c r="F55" s="89">
        <v>1.0</v>
      </c>
      <c r="G55" s="90">
        <v>7.0</v>
      </c>
      <c r="H55" s="91">
        <v>0.0</v>
      </c>
      <c r="I55" s="90">
        <v>6.0</v>
      </c>
      <c r="J55" s="90">
        <v>4.0</v>
      </c>
      <c r="K55" s="90">
        <v>6.0</v>
      </c>
      <c r="L55" s="92">
        <v>16.0</v>
      </c>
      <c r="M55" s="90">
        <v>2.0</v>
      </c>
      <c r="N55" s="37">
        <f t="shared" ref="N55:O55" si="60">C55+L55</f>
        <v>147</v>
      </c>
      <c r="O55" s="37">
        <f t="shared" si="60"/>
        <v>9</v>
      </c>
      <c r="P55" s="50" t="s">
        <v>60</v>
      </c>
      <c r="Q55" s="50" t="s">
        <v>60</v>
      </c>
      <c r="R55" s="50" t="s">
        <v>60</v>
      </c>
      <c r="S55" s="51">
        <f t="shared" si="4"/>
        <v>6</v>
      </c>
      <c r="T55" s="52">
        <f t="shared" si="5"/>
        <v>0</v>
      </c>
      <c r="U55" s="52"/>
      <c r="V55" s="51">
        <f t="shared" si="6"/>
        <v>8</v>
      </c>
      <c r="W55" s="52">
        <f t="shared" si="7"/>
        <v>0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145</v>
      </c>
      <c r="C56" s="37">
        <v>131.0</v>
      </c>
      <c r="D56" s="37">
        <v>3.0</v>
      </c>
      <c r="E56" s="42">
        <f t="shared" si="2"/>
        <v>10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140</v>
      </c>
      <c r="O56" s="37">
        <f t="shared" si="61"/>
        <v>3</v>
      </c>
      <c r="P56" s="50" t="s">
        <v>60</v>
      </c>
      <c r="Q56" s="50" t="s">
        <v>60</v>
      </c>
      <c r="R56" s="50" t="s">
        <v>60</v>
      </c>
      <c r="S56" s="51">
        <f t="shared" si="4"/>
        <v>1</v>
      </c>
      <c r="T56" s="52">
        <f t="shared" si="5"/>
        <v>1</v>
      </c>
      <c r="U56" s="52"/>
      <c r="V56" s="51">
        <f t="shared" si="6"/>
        <v>12</v>
      </c>
      <c r="W56" s="52">
        <f t="shared" si="7"/>
        <v>0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104</v>
      </c>
      <c r="C57" s="37">
        <v>131.0</v>
      </c>
      <c r="D57" s="37">
        <v>2.0</v>
      </c>
      <c r="E57" s="42">
        <f t="shared" si="2"/>
        <v>7.5</v>
      </c>
      <c r="F57" s="89">
        <v>1.0</v>
      </c>
      <c r="G57" s="90">
        <v>8.0</v>
      </c>
      <c r="H57" s="91">
        <v>0.0</v>
      </c>
      <c r="I57" s="90">
        <v>6.0</v>
      </c>
      <c r="J57" s="90">
        <v>6.0</v>
      </c>
      <c r="K57" s="90">
        <v>6.0</v>
      </c>
      <c r="L57" s="92">
        <v>18.0</v>
      </c>
      <c r="M57" s="90">
        <v>3.0</v>
      </c>
      <c r="N57" s="37">
        <f t="shared" ref="N57:O57" si="62">C57+L57</f>
        <v>149</v>
      </c>
      <c r="O57" s="37">
        <f t="shared" si="62"/>
        <v>5</v>
      </c>
      <c r="P57" s="50" t="s">
        <v>60</v>
      </c>
      <c r="Q57" s="50" t="s">
        <v>60</v>
      </c>
      <c r="R57" s="50" t="s">
        <v>60</v>
      </c>
      <c r="S57" s="51">
        <f t="shared" si="4"/>
        <v>2</v>
      </c>
      <c r="T57" s="52">
        <f t="shared" si="5"/>
        <v>2</v>
      </c>
      <c r="U57" s="52"/>
      <c r="V57" s="51">
        <f t="shared" si="6"/>
        <v>10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141</v>
      </c>
      <c r="C58" s="37">
        <v>129.0</v>
      </c>
      <c r="D58" s="37">
        <v>4.0</v>
      </c>
      <c r="E58" s="42">
        <f t="shared" si="2"/>
        <v>8.166666667</v>
      </c>
      <c r="F58" s="89">
        <v>1.0</v>
      </c>
      <c r="G58" s="90">
        <v>8.0</v>
      </c>
      <c r="H58" s="91">
        <v>0.0</v>
      </c>
      <c r="I58" s="90">
        <v>6.0</v>
      </c>
      <c r="J58" s="90">
        <v>2.0</v>
      </c>
      <c r="K58" s="90">
        <v>3.0</v>
      </c>
      <c r="L58" s="92">
        <v>11.0</v>
      </c>
      <c r="M58" s="90">
        <v>1.0</v>
      </c>
      <c r="N58" s="37">
        <f t="shared" ref="N58:O58" si="63">C58+L58</f>
        <v>140</v>
      </c>
      <c r="O58" s="37">
        <f t="shared" si="63"/>
        <v>5</v>
      </c>
      <c r="P58" s="50" t="s">
        <v>60</v>
      </c>
      <c r="Q58" s="50" t="s">
        <v>60</v>
      </c>
      <c r="R58" s="50" t="s">
        <v>60</v>
      </c>
      <c r="S58" s="51">
        <f t="shared" si="4"/>
        <v>6</v>
      </c>
      <c r="T58" s="52">
        <f t="shared" si="5"/>
        <v>2</v>
      </c>
      <c r="U58" s="52"/>
      <c r="V58" s="51">
        <f t="shared" si="6"/>
        <v>6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129</v>
      </c>
      <c r="C59" s="37">
        <v>128.0</v>
      </c>
      <c r="D59" s="37">
        <v>5.0</v>
      </c>
      <c r="E59" s="42">
        <f t="shared" si="2"/>
        <v>9.333333333</v>
      </c>
      <c r="F59" s="89">
        <v>1.0</v>
      </c>
      <c r="G59" s="90">
        <v>8.0</v>
      </c>
      <c r="H59" s="91">
        <v>0.0</v>
      </c>
      <c r="I59" s="90">
        <v>4.0</v>
      </c>
      <c r="J59" s="90">
        <v>6.0</v>
      </c>
      <c r="K59" s="90">
        <v>3.0</v>
      </c>
      <c r="L59" s="92">
        <v>13.0</v>
      </c>
      <c r="M59" s="90">
        <v>1.0</v>
      </c>
      <c r="N59" s="37">
        <f t="shared" ref="N59:O59" si="64">C59+L59</f>
        <v>141</v>
      </c>
      <c r="O59" s="37">
        <f t="shared" si="64"/>
        <v>6</v>
      </c>
      <c r="P59" s="50" t="s">
        <v>60</v>
      </c>
      <c r="Q59" s="50" t="s">
        <v>60</v>
      </c>
      <c r="R59" s="50" t="s">
        <v>60</v>
      </c>
      <c r="S59" s="51">
        <f t="shared" si="4"/>
        <v>6</v>
      </c>
      <c r="T59" s="52">
        <f t="shared" si="5"/>
        <v>0</v>
      </c>
      <c r="U59" s="52"/>
      <c r="V59" s="51">
        <f t="shared" si="6"/>
        <v>8</v>
      </c>
      <c r="W59" s="52">
        <f t="shared" si="7"/>
        <v>3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137</v>
      </c>
      <c r="C60" s="37">
        <v>125.0</v>
      </c>
      <c r="D60" s="37">
        <v>1.0</v>
      </c>
      <c r="E60" s="42">
        <f t="shared" si="2"/>
        <v>4.5</v>
      </c>
      <c r="F60" s="89">
        <v>5.0</v>
      </c>
      <c r="G60" s="90">
        <v>0.0</v>
      </c>
      <c r="H60" s="91">
        <v>13.0</v>
      </c>
      <c r="I60" s="90">
        <v>0.0</v>
      </c>
      <c r="J60" s="90">
        <v>0.0</v>
      </c>
      <c r="K60" s="90">
        <v>0.0</v>
      </c>
      <c r="L60" s="92">
        <v>13.0</v>
      </c>
      <c r="M60" s="90">
        <v>0.0</v>
      </c>
      <c r="N60" s="37">
        <f t="shared" ref="N60:O60" si="65">C60+L60</f>
        <v>138</v>
      </c>
      <c r="O60" s="37">
        <f t="shared" si="65"/>
        <v>1</v>
      </c>
      <c r="P60" s="50" t="s">
        <v>60</v>
      </c>
      <c r="Q60" s="50" t="s">
        <v>60</v>
      </c>
      <c r="R60" s="50" t="s">
        <v>60</v>
      </c>
      <c r="S60" s="51">
        <f t="shared" si="4"/>
        <v>2</v>
      </c>
      <c r="T60" s="52">
        <f t="shared" si="5"/>
        <v>2</v>
      </c>
      <c r="U60" s="52"/>
      <c r="V60" s="51">
        <f t="shared" si="6"/>
        <v>10</v>
      </c>
      <c r="W60" s="52">
        <f t="shared" si="7"/>
        <v>-1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89</v>
      </c>
      <c r="C61" s="37">
        <v>123.0</v>
      </c>
      <c r="D61" s="37">
        <v>2.0</v>
      </c>
      <c r="E61" s="42">
        <f t="shared" si="2"/>
        <v>6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132</v>
      </c>
      <c r="O61" s="37">
        <f t="shared" si="66"/>
        <v>2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13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138</v>
      </c>
      <c r="C62" s="37">
        <v>123.0</v>
      </c>
      <c r="D62" s="37">
        <v>1.0</v>
      </c>
      <c r="E62" s="42">
        <f t="shared" si="2"/>
        <v>2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132</v>
      </c>
      <c r="O62" s="37">
        <f t="shared" si="67"/>
        <v>1</v>
      </c>
      <c r="P62" s="50" t="s">
        <v>60</v>
      </c>
      <c r="Q62" s="50" t="s">
        <v>60</v>
      </c>
      <c r="R62" s="50" t="s">
        <v>60</v>
      </c>
      <c r="S62" s="51">
        <f t="shared" si="4"/>
        <v>1</v>
      </c>
      <c r="T62" s="52">
        <f t="shared" si="5"/>
        <v>1</v>
      </c>
      <c r="U62" s="52"/>
      <c r="V62" s="51">
        <f t="shared" si="6"/>
        <v>12</v>
      </c>
      <c r="W62" s="52">
        <f t="shared" si="7"/>
        <v>4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56</v>
      </c>
      <c r="C63" s="37">
        <v>122.0</v>
      </c>
      <c r="D63" s="37">
        <v>2.0</v>
      </c>
      <c r="E63" s="42">
        <f t="shared" si="2"/>
        <v>5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131</v>
      </c>
      <c r="O63" s="37">
        <f t="shared" si="68"/>
        <v>2</v>
      </c>
      <c r="P63" s="50" t="s">
        <v>60</v>
      </c>
      <c r="Q63" s="50" t="s">
        <v>60</v>
      </c>
      <c r="R63" s="50" t="s">
        <v>60</v>
      </c>
      <c r="S63" s="51">
        <f t="shared" si="4"/>
        <v>1</v>
      </c>
      <c r="T63" s="52">
        <f t="shared" si="5"/>
        <v>0</v>
      </c>
      <c r="U63" s="52"/>
      <c r="V63" s="51">
        <f t="shared" si="6"/>
        <v>13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96</v>
      </c>
      <c r="C64" s="37">
        <v>120.0</v>
      </c>
      <c r="D64" s="37">
        <v>8.0</v>
      </c>
      <c r="E64" s="42">
        <f t="shared" si="2"/>
        <v>8.538461538</v>
      </c>
      <c r="F64" s="89">
        <v>1.0</v>
      </c>
      <c r="G64" s="90">
        <v>8.0</v>
      </c>
      <c r="H64" s="91">
        <v>0.0</v>
      </c>
      <c r="I64" s="90">
        <v>4.0</v>
      </c>
      <c r="J64" s="90">
        <v>2.0</v>
      </c>
      <c r="K64" s="90">
        <v>6.0</v>
      </c>
      <c r="L64" s="92">
        <v>12.0</v>
      </c>
      <c r="M64" s="90">
        <v>1.0</v>
      </c>
      <c r="N64" s="37">
        <f t="shared" ref="N64:O64" si="69">C64+L64</f>
        <v>132</v>
      </c>
      <c r="O64" s="37">
        <f t="shared" si="69"/>
        <v>9</v>
      </c>
      <c r="P64" s="50" t="s">
        <v>60</v>
      </c>
      <c r="Q64" s="50" t="s">
        <v>60</v>
      </c>
      <c r="R64" s="50" t="s">
        <v>60</v>
      </c>
      <c r="S64" s="51">
        <f t="shared" si="4"/>
        <v>13</v>
      </c>
      <c r="T64" s="52">
        <f t="shared" si="5"/>
        <v>0</v>
      </c>
      <c r="U64" s="52"/>
      <c r="V64" s="51">
        <f t="shared" si="6"/>
        <v>1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119</v>
      </c>
      <c r="C65" s="37">
        <v>120.0</v>
      </c>
      <c r="D65" s="37">
        <v>1.0</v>
      </c>
      <c r="E65" s="42">
        <f t="shared" si="2"/>
        <v>3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129</v>
      </c>
      <c r="O65" s="37">
        <f t="shared" si="70"/>
        <v>1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0</v>
      </c>
      <c r="U65" s="52"/>
      <c r="V65" s="51">
        <f t="shared" si="6"/>
        <v>13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116</v>
      </c>
      <c r="C66" s="37">
        <v>119.0</v>
      </c>
      <c r="D66" s="37">
        <v>1.0</v>
      </c>
      <c r="E66" s="42">
        <f t="shared" si="2"/>
        <v>-2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128</v>
      </c>
      <c r="O66" s="37">
        <f t="shared" si="71"/>
        <v>1</v>
      </c>
      <c r="P66" s="50" t="s">
        <v>60</v>
      </c>
      <c r="Q66" s="50" t="s">
        <v>60</v>
      </c>
      <c r="R66" s="50" t="s">
        <v>60</v>
      </c>
      <c r="S66" s="51">
        <f t="shared" si="4"/>
        <v>1</v>
      </c>
      <c r="T66" s="52">
        <f t="shared" si="5"/>
        <v>1</v>
      </c>
      <c r="U66" s="52"/>
      <c r="V66" s="51">
        <f t="shared" si="6"/>
        <v>12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95</v>
      </c>
      <c r="C67" s="37">
        <v>117.0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126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14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77</v>
      </c>
      <c r="C68" s="37">
        <v>117.0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126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14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132</v>
      </c>
      <c r="C69" s="37">
        <v>117.0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126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14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53</v>
      </c>
      <c r="C70" s="37">
        <v>117.0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126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14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117.0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126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12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09/26/26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desc"",0)"),"Pulkit Mathur")</f>
        <v>Pulkit Mathur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IFERROR(__xludf.DUMMYFUNCTION("""COMPUTED_VALUE"""),2.0)</f>
        <v>2</v>
      </c>
      <c r="F83" s="2"/>
    </row>
    <row r="84">
      <c r="A84" s="2"/>
      <c r="B84" s="36" t="str">
        <f>IFERROR(__xludf.DUMMYFUNCTION("""COMPUTED_VALUE"""),"Basudev Thoppai Vidyasankar")</f>
        <v>Basudev Thoppai Vidyasankar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IFERROR(__xludf.DUMMYFUNCTION("""COMPUTED_VALUE"""),4.0)</f>
        <v>4</v>
      </c>
      <c r="F84" s="2"/>
    </row>
    <row r="85">
      <c r="A85" s="2"/>
      <c r="B85" s="36" t="str">
        <f>IFERROR(__xludf.DUMMYFUNCTION("""COMPUTED_VALUE"""),"Jimmy Awolesi")</f>
        <v>Jimmy Awolesi</v>
      </c>
      <c r="C85" s="125">
        <f>IFERROR(__xludf.DUMMYFUNCTION("""COMPUTED_VALUE"""),19.0)</f>
        <v>19</v>
      </c>
      <c r="D85" s="125">
        <f>IFERROR(__xludf.DUMMYFUNCTION("""COMPUTED_VALUE"""),3.0)</f>
        <v>3</v>
      </c>
      <c r="E85" s="125">
        <f>IFERROR(__xludf.DUMMYFUNCTION("""COMPUTED_VALUE"""),6.0)</f>
        <v>6</v>
      </c>
      <c r="F85" s="2"/>
    </row>
    <row r="86">
      <c r="A86" s="2"/>
      <c r="B86" s="36" t="str">
        <f>IFERROR(__xludf.DUMMYFUNCTION("""COMPUTED_VALUE"""),"Lloyd Sagar")</f>
        <v>Lloyd Sagar</v>
      </c>
      <c r="C86" s="125">
        <f>IFERROR(__xludf.DUMMYFUNCTION("""COMPUTED_VALUE"""),19.0)</f>
        <v>19</v>
      </c>
      <c r="D86" s="125">
        <f>IFERROR(__xludf.DUMMYFUNCTION("""COMPUTED_VALUE"""),3.0)</f>
        <v>3</v>
      </c>
      <c r="E86" s="125">
        <f>IFERROR(__xludf.DUMMYFUNCTION("""COMPUTED_VALUE"""),7.0)</f>
        <v>7</v>
      </c>
      <c r="F86" s="2"/>
    </row>
    <row r="87">
      <c r="A87" s="2"/>
      <c r="B87" s="36" t="str">
        <f>IFERROR(__xludf.DUMMYFUNCTION("""COMPUTED_VALUE"""),"Coco Yan")</f>
        <v>Coco Yan</v>
      </c>
      <c r="C87" s="125">
        <f>IFERROR(__xludf.DUMMYFUNCTION("""COMPUTED_VALUE"""),19.0)</f>
        <v>19</v>
      </c>
      <c r="D87" s="125">
        <f>IFERROR(__xludf.DUMMYFUNCTION("""COMPUTED_VALUE"""),2.0)</f>
        <v>2</v>
      </c>
      <c r="E87" s="125">
        <f>IFERROR(__xludf.DUMMYFUNCTION("""COMPUTED_VALUE"""),8.0)</f>
        <v>8</v>
      </c>
      <c r="F87" s="2"/>
    </row>
    <row r="88">
      <c r="A88" s="2"/>
      <c r="B88" s="36" t="str">
        <f>IFERROR(__xludf.DUMMYFUNCTION("""COMPUTED_VALUE"""),"Sean Chang")</f>
        <v>Sean Chang</v>
      </c>
      <c r="C88" s="125">
        <f>IFERROR(__xludf.DUMMYFUNCTION("""COMPUTED_VALUE"""),19.0)</f>
        <v>19</v>
      </c>
      <c r="D88" s="125">
        <f>IFERROR(__xludf.DUMMYFUNCTION("""COMPUTED_VALUE"""),2.0)</f>
        <v>2</v>
      </c>
      <c r="E88" s="125">
        <f>IFERROR(__xludf.DUMMYFUNCTION("""COMPUTED_VALUE"""),8.0)</f>
        <v>8</v>
      </c>
      <c r="F88" s="2"/>
    </row>
    <row r="89">
      <c r="A89" s="2"/>
      <c r="B89" s="36" t="str">
        <f>IFERROR(__xludf.DUMMYFUNCTION("""COMPUTED_VALUE"""),"Andrew Yao")</f>
        <v>Andrew Yao</v>
      </c>
      <c r="C89" s="125">
        <f>IFERROR(__xludf.DUMMYFUNCTION("""COMPUTED_VALUE"""),18.0)</f>
        <v>18</v>
      </c>
      <c r="D89" s="125">
        <f>IFERROR(__xludf.DUMMYFUNCTION("""COMPUTED_VALUE"""),3.0)</f>
        <v>3</v>
      </c>
      <c r="E89" s="125">
        <f>IFERROR(__xludf.DUMMYFUNCTION("""COMPUTED_VALUE"""),1.0)</f>
        <v>1</v>
      </c>
      <c r="F89" s="2"/>
    </row>
    <row r="90">
      <c r="A90" s="2"/>
      <c r="B90" s="36" t="str">
        <f>IFERROR(__xludf.DUMMYFUNCTION("""COMPUTED_VALUE"""),"Elayaraja Thangaraj")</f>
        <v>Elayaraja Thangaraj</v>
      </c>
      <c r="C90" s="125">
        <f>IFERROR(__xludf.DUMMYFUNCTION("""COMPUTED_VALUE"""),18.0)</f>
        <v>18</v>
      </c>
      <c r="D90" s="125">
        <f>IFERROR(__xludf.DUMMYFUNCTION("""COMPUTED_VALUE"""),3.0)</f>
        <v>3</v>
      </c>
      <c r="E90" s="125">
        <f>IFERROR(__xludf.DUMMYFUNCTION("""COMPUTED_VALUE"""),5.0)</f>
        <v>5</v>
      </c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10"")"),"Coco Yan")</f>
        <v>Coco Yan</v>
      </c>
      <c r="C102" s="125">
        <f>IFERROR(__xludf.DUMMYFUNCTION("""COMPUTED_VALUE"""),10.0)</f>
        <v>10</v>
      </c>
      <c r="D102" s="125">
        <f t="shared" ref="D102:D111" si="77">VLOOKUP(B102,indirect($AC$2&amp;"!B$5:X$79"),23, false)</f>
        <v>47</v>
      </c>
      <c r="E102" s="125">
        <f t="shared" ref="E102:E111" si="78">VLOOKUP(B102,B$5:X$71,23, false)</f>
        <v>37</v>
      </c>
      <c r="F102" s="125">
        <f t="shared" ref="F102:F111" si="79">VLOOKUP(B102,indirect($AC$2&amp;"!B$5:U$79"),11, false)</f>
        <v>19</v>
      </c>
      <c r="G102" s="125">
        <f t="shared" ref="G102:G111" si="80">VLOOKUP(B102,indirect($AC$2&amp;"!B$5:U$79"),6, false)</f>
        <v>8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IFERROR(__xludf.DUMMYFUNCTION("""COMPUTED_VALUE"""),"Sean Chang")</f>
        <v>Sean Chang</v>
      </c>
      <c r="C103" s="125">
        <f>IFERROR(__xludf.DUMMYFUNCTION("""COMPUTED_VALUE"""),10.0)</f>
        <v>10</v>
      </c>
      <c r="D103" s="125">
        <f t="shared" si="77"/>
        <v>50</v>
      </c>
      <c r="E103" s="125">
        <f t="shared" si="78"/>
        <v>40</v>
      </c>
      <c r="F103" s="125">
        <f t="shared" si="79"/>
        <v>19</v>
      </c>
      <c r="G103" s="125">
        <f t="shared" si="80"/>
        <v>8</v>
      </c>
      <c r="L103" s="125" t="str">
        <f t="shared" si="81"/>
        <v>ok</v>
      </c>
    </row>
    <row r="104">
      <c r="A104" s="2"/>
      <c r="B104" s="36" t="str">
        <f>IFERROR(__xludf.DUMMYFUNCTION("""COMPUTED_VALUE"""),"Basudev Thoppai Vidyasankar")</f>
        <v>Basudev Thoppai Vidyasankar</v>
      </c>
      <c r="C104" s="125">
        <f>IFERROR(__xludf.DUMMYFUNCTION("""COMPUTED_VALUE"""),7.0)</f>
        <v>7</v>
      </c>
      <c r="D104" s="125">
        <f t="shared" si="77"/>
        <v>21</v>
      </c>
      <c r="E104" s="125">
        <f t="shared" si="78"/>
        <v>14</v>
      </c>
      <c r="F104" s="125">
        <f t="shared" si="79"/>
        <v>19</v>
      </c>
      <c r="G104" s="125">
        <f t="shared" si="80"/>
        <v>4</v>
      </c>
      <c r="L104" s="125" t="str">
        <f t="shared" si="81"/>
        <v>ok</v>
      </c>
    </row>
    <row r="105">
      <c r="A105" s="2"/>
      <c r="B105" s="36" t="str">
        <f>IFERROR(__xludf.DUMMYFUNCTION("""COMPUTED_VALUE"""),"Erik Hoeckmann")</f>
        <v>Erik Hoeckmann</v>
      </c>
      <c r="C105" s="125">
        <f>IFERROR(__xludf.DUMMYFUNCTION("""COMPUTED_VALUE"""),6.0)</f>
        <v>6</v>
      </c>
      <c r="D105" s="125">
        <f t="shared" si="77"/>
        <v>23</v>
      </c>
      <c r="E105" s="125">
        <f t="shared" si="78"/>
        <v>17</v>
      </c>
      <c r="F105" s="125">
        <f t="shared" si="79"/>
        <v>15</v>
      </c>
      <c r="G105" s="125">
        <f t="shared" si="80"/>
        <v>4</v>
      </c>
      <c r="L105" s="125" t="str">
        <f t="shared" si="81"/>
        <v>ok</v>
      </c>
    </row>
    <row r="106">
      <c r="A106" s="2"/>
      <c r="B106" s="36" t="str">
        <f>IFERROR(__xludf.DUMMYFUNCTION("""COMPUTED_VALUE"""),"Lloyd Sagar")</f>
        <v>Lloyd Sagar</v>
      </c>
      <c r="C106" s="125">
        <f>IFERROR(__xludf.DUMMYFUNCTION("""COMPUTED_VALUE"""),6.0)</f>
        <v>6</v>
      </c>
      <c r="D106" s="125">
        <f t="shared" si="77"/>
        <v>39</v>
      </c>
      <c r="E106" s="125">
        <f t="shared" si="78"/>
        <v>33</v>
      </c>
      <c r="F106" s="125">
        <f t="shared" si="79"/>
        <v>19</v>
      </c>
      <c r="G106" s="125">
        <f t="shared" si="80"/>
        <v>7</v>
      </c>
      <c r="L106" s="125" t="str">
        <f t="shared" si="81"/>
        <v>ok</v>
      </c>
    </row>
    <row r="107">
      <c r="A107" s="2"/>
      <c r="B107" s="36" t="str">
        <f>IFERROR(__xludf.DUMMYFUNCTION("""COMPUTED_VALUE"""),"Elayaraja Thangaraj")</f>
        <v>Elayaraja Thangaraj</v>
      </c>
      <c r="C107" s="125">
        <f>IFERROR(__xludf.DUMMYFUNCTION("""COMPUTED_VALUE"""),5.0)</f>
        <v>5</v>
      </c>
      <c r="D107" s="125">
        <f t="shared" si="77"/>
        <v>31</v>
      </c>
      <c r="E107" s="125">
        <f t="shared" si="78"/>
        <v>26</v>
      </c>
      <c r="F107" s="125">
        <f t="shared" si="79"/>
        <v>18</v>
      </c>
      <c r="G107" s="125">
        <f t="shared" si="80"/>
        <v>5</v>
      </c>
      <c r="L107" s="125" t="str">
        <f t="shared" si="81"/>
        <v>ok</v>
      </c>
    </row>
    <row r="108">
      <c r="A108" s="2"/>
      <c r="B108" s="36" t="str">
        <f>IFERROR(__xludf.DUMMYFUNCTION("""COMPUTED_VALUE"""),"Manuel Rivera")</f>
        <v>Manuel Rivera</v>
      </c>
      <c r="C108" s="125">
        <f>IFERROR(__xludf.DUMMYFUNCTION("""COMPUTED_VALUE"""),5.0)</f>
        <v>5</v>
      </c>
      <c r="D108" s="125">
        <f t="shared" si="77"/>
        <v>46</v>
      </c>
      <c r="E108" s="125">
        <f t="shared" si="78"/>
        <v>41</v>
      </c>
      <c r="F108" s="125">
        <f t="shared" si="79"/>
        <v>15</v>
      </c>
      <c r="G108" s="125">
        <f t="shared" si="80"/>
        <v>7</v>
      </c>
      <c r="L108" s="125" t="str">
        <f t="shared" si="81"/>
        <v>ok</v>
      </c>
    </row>
    <row r="109">
      <c r="A109" s="2"/>
      <c r="B109" s="36" t="str">
        <f>IFERROR(__xludf.DUMMYFUNCTION("""COMPUTED_VALUE"""),"Saravanan Veerapandian")</f>
        <v>Saravanan Veerapandian</v>
      </c>
      <c r="C109" s="125">
        <f>IFERROR(__xludf.DUMMYFUNCTION("""COMPUTED_VALUE"""),4.0)</f>
        <v>4</v>
      </c>
      <c r="D109" s="125">
        <f t="shared" si="77"/>
        <v>62</v>
      </c>
      <c r="E109" s="125">
        <f t="shared" si="78"/>
        <v>58</v>
      </c>
      <c r="F109" s="125">
        <f t="shared" si="79"/>
        <v>13</v>
      </c>
      <c r="G109" s="125">
        <f t="shared" si="80"/>
        <v>0</v>
      </c>
      <c r="L109" s="125" t="str">
        <f t="shared" si="81"/>
        <v>ok</v>
      </c>
    </row>
    <row r="110">
      <c r="A110" s="2"/>
      <c r="B110" s="36" t="str">
        <f>IFERROR(__xludf.DUMMYFUNCTION("""COMPUTED_VALUE"""),"Tina Hanson")</f>
        <v>Tina Hanson</v>
      </c>
      <c r="C110" s="125">
        <f>IFERROR(__xludf.DUMMYFUNCTION("""COMPUTED_VALUE"""),3.0)</f>
        <v>3</v>
      </c>
      <c r="D110" s="125">
        <f t="shared" si="77"/>
        <v>22</v>
      </c>
      <c r="E110" s="125">
        <f t="shared" si="78"/>
        <v>19</v>
      </c>
      <c r="F110" s="125">
        <f t="shared" si="79"/>
        <v>13</v>
      </c>
      <c r="G110" s="125">
        <f t="shared" si="80"/>
        <v>4</v>
      </c>
      <c r="L110" s="125" t="str">
        <f t="shared" si="81"/>
        <v>ok</v>
      </c>
    </row>
    <row r="111">
      <c r="A111" s="2"/>
      <c r="B111" s="36" t="str">
        <f>IFERROR(__xludf.DUMMYFUNCTION("""COMPUTED_VALUE"""),"Lam Bui")</f>
        <v>Lam Bui</v>
      </c>
      <c r="C111" s="125">
        <f>IFERROR(__xludf.DUMMYFUNCTION("""COMPUTED_VALUE"""),3.0)</f>
        <v>3</v>
      </c>
      <c r="D111" s="125">
        <f t="shared" si="77"/>
        <v>25</v>
      </c>
      <c r="E111" s="125">
        <f t="shared" si="78"/>
        <v>22</v>
      </c>
      <c r="F111" s="125">
        <f t="shared" si="79"/>
        <v>13</v>
      </c>
      <c r="G111" s="125">
        <f t="shared" si="80"/>
        <v>0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14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Tom Le</v>
      </c>
      <c r="C120" s="125">
        <f t="shared" si="82"/>
        <v>194</v>
      </c>
      <c r="D120" s="125">
        <f t="shared" si="82"/>
        <v>21</v>
      </c>
      <c r="E120" s="125">
        <f t="shared" si="82"/>
        <v>15.18181818</v>
      </c>
      <c r="F120" s="2"/>
    </row>
    <row r="121">
      <c r="A121" s="125">
        <f t="shared" ref="A121:E121" si="83">A6</f>
        <v>2</v>
      </c>
      <c r="B121" s="36" t="str">
        <f t="shared" si="83"/>
        <v>Andrew Yao</v>
      </c>
      <c r="C121" s="125">
        <f t="shared" si="83"/>
        <v>192</v>
      </c>
      <c r="D121" s="125">
        <f t="shared" si="83"/>
        <v>20</v>
      </c>
      <c r="E121" s="125">
        <f t="shared" si="83"/>
        <v>13.83333333</v>
      </c>
      <c r="F121" s="2"/>
    </row>
    <row r="122">
      <c r="A122" s="125">
        <f t="shared" ref="A122:E122" si="84">A7</f>
        <v>3</v>
      </c>
      <c r="B122" s="36" t="str">
        <f t="shared" si="84"/>
        <v>Pavan Akkimsetty</v>
      </c>
      <c r="C122" s="125">
        <f t="shared" si="84"/>
        <v>191</v>
      </c>
      <c r="D122" s="125">
        <f t="shared" si="84"/>
        <v>19</v>
      </c>
      <c r="E122" s="125">
        <f t="shared" si="84"/>
        <v>14.08333333</v>
      </c>
      <c r="F122" s="2"/>
    </row>
    <row r="123">
      <c r="A123" s="125">
        <f t="shared" ref="A123:E123" si="85">A8</f>
        <v>4</v>
      </c>
      <c r="B123" s="36" t="str">
        <f t="shared" si="85"/>
        <v>Pulkit Mathur</v>
      </c>
      <c r="C123" s="125">
        <f t="shared" si="85"/>
        <v>190</v>
      </c>
      <c r="D123" s="125">
        <f t="shared" si="85"/>
        <v>24</v>
      </c>
      <c r="E123" s="125">
        <f t="shared" si="85"/>
        <v>15</v>
      </c>
      <c r="F123" s="2"/>
    </row>
    <row r="124">
      <c r="A124" s="125">
        <f t="shared" ref="A124:E124" si="86">A9</f>
        <v>5</v>
      </c>
      <c r="B124" s="36" t="str">
        <f t="shared" si="86"/>
        <v>David Shin</v>
      </c>
      <c r="C124" s="125">
        <f t="shared" si="86"/>
        <v>188</v>
      </c>
      <c r="D124" s="125">
        <f t="shared" si="86"/>
        <v>20</v>
      </c>
      <c r="E124" s="125">
        <f t="shared" si="86"/>
        <v>13.46153846</v>
      </c>
      <c r="F124" s="2"/>
    </row>
    <row r="125">
      <c r="A125" s="125">
        <f t="shared" ref="A125:E125" si="87">A10</f>
        <v>6</v>
      </c>
      <c r="B125" s="36" t="str">
        <f t="shared" si="87"/>
        <v>Rudy Tatang</v>
      </c>
      <c r="C125" s="125">
        <f t="shared" si="87"/>
        <v>187</v>
      </c>
      <c r="D125" s="125">
        <f t="shared" si="87"/>
        <v>17</v>
      </c>
      <c r="E125" s="125">
        <f t="shared" si="87"/>
        <v>14.88888889</v>
      </c>
      <c r="F125" s="2"/>
    </row>
    <row r="126">
      <c r="A126" s="125">
        <f t="shared" ref="A126:E126" si="88">A11</f>
        <v>7</v>
      </c>
      <c r="B126" s="36" t="str">
        <f t="shared" si="88"/>
        <v>Suleman Alidina</v>
      </c>
      <c r="C126" s="125">
        <f t="shared" si="88"/>
        <v>179</v>
      </c>
      <c r="D126" s="125">
        <f t="shared" si="88"/>
        <v>11</v>
      </c>
      <c r="E126" s="125">
        <f t="shared" si="88"/>
        <v>13.71428571</v>
      </c>
      <c r="F126" s="2"/>
    </row>
    <row r="127">
      <c r="A127" s="125">
        <f t="shared" ref="A127:E127" si="89">A12</f>
        <v>8</v>
      </c>
      <c r="B127" s="36" t="str">
        <f t="shared" si="89"/>
        <v>Vinotkumar Nagappan</v>
      </c>
      <c r="C127" s="125">
        <f t="shared" si="89"/>
        <v>177</v>
      </c>
      <c r="D127" s="125">
        <f t="shared" si="89"/>
        <v>15</v>
      </c>
      <c r="E127" s="125">
        <f t="shared" si="89"/>
        <v>12.64285714</v>
      </c>
      <c r="F127" s="2"/>
    </row>
    <row r="128">
      <c r="A128" s="125">
        <f t="shared" ref="A128:E128" si="90">A13</f>
        <v>9</v>
      </c>
      <c r="B128" s="36" t="str">
        <f t="shared" si="90"/>
        <v>Jaya Sogata</v>
      </c>
      <c r="C128" s="125">
        <f t="shared" si="90"/>
        <v>177</v>
      </c>
      <c r="D128" s="125">
        <f t="shared" si="90"/>
        <v>12</v>
      </c>
      <c r="E128" s="125">
        <f t="shared" si="90"/>
        <v>13.375</v>
      </c>
      <c r="F128" s="2"/>
    </row>
    <row r="129">
      <c r="A129" s="125">
        <f t="shared" ref="A129:E129" si="91">A14</f>
        <v>10</v>
      </c>
      <c r="B129" s="36" t="str">
        <f t="shared" si="91"/>
        <v>Rajasekar Ramasamy</v>
      </c>
      <c r="C129" s="125">
        <f t="shared" si="91"/>
        <v>176</v>
      </c>
      <c r="D129" s="125">
        <f t="shared" si="91"/>
        <v>16</v>
      </c>
      <c r="E129" s="125">
        <f t="shared" si="91"/>
        <v>12.5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ASC"")"),"Vinotkumar Nagappan")</f>
        <v>Vinotkumar Nagappan</v>
      </c>
      <c r="C137" s="2"/>
      <c r="D137" s="2"/>
      <c r="E137" s="2"/>
      <c r="F137" s="2"/>
    </row>
    <row r="138">
      <c r="A138" s="125">
        <f t="shared" ref="A138:A212" si="92">if(B138&lt;&gt;"",A137+1,0)</f>
        <v>0</v>
      </c>
      <c r="B138" s="36"/>
      <c r="C138" s="2"/>
      <c r="D138" s="2"/>
      <c r="E138" s="2"/>
      <c r="F138" s="2"/>
    </row>
    <row r="139">
      <c r="A139" s="125">
        <f t="shared" si="92"/>
        <v>0</v>
      </c>
      <c r="B139" s="36"/>
      <c r="C139" s="2"/>
      <c r="D139" s="2"/>
      <c r="E139" s="2"/>
      <c r="F139" s="2"/>
      <c r="P139" s="36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09/26/26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IFERROR(__xludf.DUMMYFUNCTION("""COMPUTED_VALUE"""),"Tom Le")</f>
        <v>Tom Le</v>
      </c>
      <c r="C239" s="131">
        <f>IFERROR(__xludf.DUMMYFUNCTION("""COMPUTED_VALUE"""),4.0)</f>
        <v>4</v>
      </c>
      <c r="D239" s="131">
        <f>IFERROR(__xludf.DUMMYFUNCTION("""COMPUTED_VALUE"""),4.0)</f>
        <v>4</v>
      </c>
      <c r="E239" s="131">
        <f>IFERROR(__xludf.DUMMYFUNCTION("""COMPUTED_VALUE"""),6.0)</f>
        <v>6</v>
      </c>
      <c r="F239" s="131">
        <f>IFERROR(__xludf.DUMMYFUNCTION("""COMPUTED_VALUE"""),14.0)</f>
        <v>14</v>
      </c>
      <c r="G239" s="131">
        <f>IFERROR(__xludf.DUMMYFUNCTION("""COMPUTED_VALUE"""),1.0)</f>
        <v>1</v>
      </c>
    </row>
    <row r="240">
      <c r="A240" s="125">
        <f>IFERROR(__xludf.DUMMYFUNCTION("""COMPUTED_VALUE"""),1.0)</f>
        <v>1</v>
      </c>
      <c r="B240" s="36" t="str">
        <f>IFERROR(__xludf.DUMMYFUNCTION("""COMPUTED_VALUE"""),"Pavan Akkimsetty")</f>
        <v>Pavan Akkimsetty</v>
      </c>
      <c r="C240" s="131">
        <f>IFERROR(__xludf.DUMMYFUNCTION("""COMPUTED_VALUE"""),6.0)</f>
        <v>6</v>
      </c>
      <c r="D240" s="131">
        <f>IFERROR(__xludf.DUMMYFUNCTION("""COMPUTED_VALUE"""),4.0)</f>
        <v>4</v>
      </c>
      <c r="E240" s="131">
        <f>IFERROR(__xludf.DUMMYFUNCTION("""COMPUTED_VALUE"""),4.0)</f>
        <v>4</v>
      </c>
      <c r="F240" s="131">
        <f>IFERROR(__xludf.DUMMYFUNCTION("""COMPUTED_VALUE"""),14.0)</f>
        <v>14</v>
      </c>
      <c r="G240" s="131">
        <f>IFERROR(__xludf.DUMMYFUNCTION("""COMPUTED_VALUE"""),1.0)</f>
        <v>1</v>
      </c>
    </row>
    <row r="241">
      <c r="A241" s="125">
        <f>IFERROR(__xludf.DUMMYFUNCTION("""COMPUTED_VALUE"""),1.0)</f>
        <v>1</v>
      </c>
      <c r="B241" s="36" t="str">
        <f>IFERROR(__xludf.DUMMYFUNCTION("""COMPUTED_VALUE"""),"David Shin")</f>
        <v>David Shin</v>
      </c>
      <c r="C241" s="131">
        <f>IFERROR(__xludf.DUMMYFUNCTION("""COMPUTED_VALUE"""),4.0)</f>
        <v>4</v>
      </c>
      <c r="D241" s="131">
        <f>IFERROR(__xludf.DUMMYFUNCTION("""COMPUTED_VALUE"""),6.0)</f>
        <v>6</v>
      </c>
      <c r="E241" s="131">
        <f>IFERROR(__xludf.DUMMYFUNCTION("""COMPUTED_VALUE"""),4.0)</f>
        <v>4</v>
      </c>
      <c r="F241" s="131">
        <f>IFERROR(__xludf.DUMMYFUNCTION("""COMPUTED_VALUE"""),14.0)</f>
        <v>14</v>
      </c>
      <c r="G241" s="131">
        <f>IFERROR(__xludf.DUMMYFUNCTION("""COMPUTED_VALUE"""),1.0)</f>
        <v>1</v>
      </c>
    </row>
    <row r="242">
      <c r="A242" s="125">
        <f>IFERROR(__xludf.DUMMYFUNCTION("""COMPUTED_VALUE"""),1.0)</f>
        <v>1</v>
      </c>
      <c r="B242" s="36" t="str">
        <f>IFERROR(__xludf.DUMMYFUNCTION("""COMPUTED_VALUE"""),"Andrew Yao")</f>
        <v>Andrew Yao</v>
      </c>
      <c r="C242" s="131">
        <f>IFERROR(__xludf.DUMMYFUNCTION("""COMPUTED_VALUE"""),6.0)</f>
        <v>6</v>
      </c>
      <c r="D242" s="131">
        <f>IFERROR(__xludf.DUMMYFUNCTION("""COMPUTED_VALUE"""),6.0)</f>
        <v>6</v>
      </c>
      <c r="E242" s="131">
        <f>IFERROR(__xludf.DUMMYFUNCTION("""COMPUTED_VALUE"""),6.0)</f>
        <v>6</v>
      </c>
      <c r="F242" s="131">
        <f>IFERROR(__xludf.DUMMYFUNCTION("""COMPUTED_VALUE"""),18.0)</f>
        <v>18</v>
      </c>
      <c r="G242" s="131">
        <f>IFERROR(__xludf.DUMMYFUNCTION("""COMPUTED_VALUE"""),3.0)</f>
        <v>3</v>
      </c>
    </row>
    <row r="243">
      <c r="A243" s="132">
        <f>IFERROR(__xludf.DUMMYFUNCTION("""COMPUTED_VALUE"""),2.0)</f>
        <v>2</v>
      </c>
      <c r="B243" s="133" t="str">
        <f>IFERROR(__xludf.DUMMYFUNCTION("""COMPUTED_VALUE"""),"Rudy Tatang")</f>
        <v>Rudy Tatang</v>
      </c>
      <c r="C243" s="134">
        <f>IFERROR(__xludf.DUMMYFUNCTION("""COMPUTED_VALUE"""),5.0)</f>
        <v>5</v>
      </c>
      <c r="D243" s="134">
        <f>IFERROR(__xludf.DUMMYFUNCTION("""COMPUTED_VALUE"""),2.0)</f>
        <v>2</v>
      </c>
      <c r="E243" s="134">
        <f>IFERROR(__xludf.DUMMYFUNCTION("""COMPUTED_VALUE"""),6.0)</f>
        <v>6</v>
      </c>
      <c r="F243" s="134">
        <f>IFERROR(__xludf.DUMMYFUNCTION("""COMPUTED_VALUE"""),13.0)</f>
        <v>13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IFERROR(__xludf.DUMMYFUNCTION("""COMPUTED_VALUE"""),"Pulkit Mathur")</f>
        <v>Pulkit Mathur</v>
      </c>
      <c r="C244" s="134">
        <f>IFERROR(__xludf.DUMMYFUNCTION("""COMPUTED_VALUE"""),7.0)</f>
        <v>7</v>
      </c>
      <c r="D244" s="134">
        <f>IFERROR(__xludf.DUMMYFUNCTION("""COMPUTED_VALUE"""),6.0)</f>
        <v>6</v>
      </c>
      <c r="E244" s="134">
        <f>IFERROR(__xludf.DUMMYFUNCTION("""COMPUTED_VALUE"""),6.0)</f>
        <v>6</v>
      </c>
      <c r="F244" s="134">
        <f>IFERROR(__xludf.DUMMYFUNCTION("""COMPUTED_VALUE"""),19.0)</f>
        <v>19</v>
      </c>
      <c r="G244" s="134">
        <f>IFERROR(__xludf.DUMMYFUNCTION("""COMPUTED_VALUE"""),3.0)</f>
        <v>3</v>
      </c>
    </row>
    <row r="245">
      <c r="A245" s="132">
        <f>IFERROR(__xludf.DUMMYFUNCTION("""COMPUTED_VALUE"""),2.0)</f>
        <v>2</v>
      </c>
      <c r="B245" s="133" t="str">
        <f>IFERROR(__xludf.DUMMYFUNCTION("""COMPUTED_VALUE"""),"Vinotkumar Nagappan")</f>
        <v>Vinotkumar Nagappan</v>
      </c>
      <c r="C245" s="134">
        <f>IFERROR(__xludf.DUMMYFUNCTION("""COMPUTED_VALUE"""),7.0)</f>
        <v>7</v>
      </c>
      <c r="D245" s="134">
        <f>IFERROR(__xludf.DUMMYFUNCTION("""COMPUTED_VALUE"""),2.0)</f>
        <v>2</v>
      </c>
      <c r="E245" s="134">
        <f>IFERROR(__xludf.DUMMYFUNCTION("""COMPUTED_VALUE"""),3.0)</f>
        <v>3</v>
      </c>
      <c r="F245" s="134">
        <f>IFERROR(__xludf.DUMMYFUNCTION("""COMPUTED_VALUE"""),12.0)</f>
        <v>12</v>
      </c>
      <c r="G245" s="134">
        <f>IFERROR(__xludf.DUMMYFUNCTION("""COMPUTED_VALUE"""),1.0)</f>
        <v>1</v>
      </c>
    </row>
    <row r="246">
      <c r="A246" s="132">
        <f>IFERROR(__xludf.DUMMYFUNCTION("""COMPUTED_VALUE"""),2.0)</f>
        <v>2</v>
      </c>
      <c r="B246" s="133" t="str">
        <f>IFERROR(__xludf.DUMMYFUNCTION("""COMPUTED_VALUE"""),"Rajasekar Ramasamy")</f>
        <v>Rajasekar Ramasamy</v>
      </c>
      <c r="C246" s="134">
        <f>IFERROR(__xludf.DUMMYFUNCTION("""COMPUTED_VALUE"""),5.0)</f>
        <v>5</v>
      </c>
      <c r="D246" s="134">
        <f>IFERROR(__xludf.DUMMYFUNCTION("""COMPUTED_VALUE"""),6.0)</f>
        <v>6</v>
      </c>
      <c r="E246" s="134">
        <f>IFERROR(__xludf.DUMMYFUNCTION("""COMPUTED_VALUE"""),3.0)</f>
        <v>3</v>
      </c>
      <c r="F246" s="134">
        <f>IFERROR(__xludf.DUMMYFUNCTION("""COMPUTED_VALUE"""),14.0)</f>
        <v>14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IFERROR(__xludf.DUMMYFUNCTION("""COMPUTED_VALUE"""),"Scott Li")</f>
        <v>Scott Li</v>
      </c>
      <c r="C247" s="131">
        <f>IFERROR(__xludf.DUMMYFUNCTION("""COMPUTED_VALUE"""),6.0)</f>
        <v>6</v>
      </c>
      <c r="D247" s="131">
        <f>IFERROR(__xludf.DUMMYFUNCTION("""COMPUTED_VALUE"""),1.0)</f>
        <v>1</v>
      </c>
      <c r="E247" s="131">
        <f>IFERROR(__xludf.DUMMYFUNCTION("""COMPUTED_VALUE"""),6.0)</f>
        <v>6</v>
      </c>
      <c r="F247" s="131">
        <f>IFERROR(__xludf.DUMMYFUNCTION("""COMPUTED_VALUE"""),13.0)</f>
        <v>13</v>
      </c>
      <c r="G247" s="131">
        <f>IFERROR(__xludf.DUMMYFUNCTION("""COMPUTED_VALUE"""),2.0)</f>
        <v>2</v>
      </c>
    </row>
    <row r="248">
      <c r="A248" s="125">
        <f>IFERROR(__xludf.DUMMYFUNCTION("""COMPUTED_VALUE"""),3.0)</f>
        <v>3</v>
      </c>
      <c r="B248" s="36" t="str">
        <f>IFERROR(__xludf.DUMMYFUNCTION("""COMPUTED_VALUE"""),"Manish Anand")</f>
        <v>Manish Anand</v>
      </c>
      <c r="C248" s="131">
        <f>IFERROR(__xludf.DUMMYFUNCTION("""COMPUTED_VALUE"""),3.0)</f>
        <v>3</v>
      </c>
      <c r="D248" s="131">
        <f>IFERROR(__xludf.DUMMYFUNCTION("""COMPUTED_VALUE"""),6.0)</f>
        <v>6</v>
      </c>
      <c r="E248" s="131">
        <f>IFERROR(__xludf.DUMMYFUNCTION("""COMPUTED_VALUE"""),6.0)</f>
        <v>6</v>
      </c>
      <c r="F248" s="131">
        <f>IFERROR(__xludf.DUMMYFUNCTION("""COMPUTED_VALUE"""),15.0)</f>
        <v>15</v>
      </c>
      <c r="G248" s="131">
        <f>IFERROR(__xludf.DUMMYFUNCTION("""COMPUTED_VALUE"""),2.0)</f>
        <v>2</v>
      </c>
    </row>
    <row r="249">
      <c r="A249" s="125">
        <f>IFERROR(__xludf.DUMMYFUNCTION("""COMPUTED_VALUE"""),3.0)</f>
        <v>3</v>
      </c>
      <c r="B249" s="36" t="str">
        <f>IFERROR(__xludf.DUMMYFUNCTION("""COMPUTED_VALUE"""),"Joe Luzzi")</f>
        <v>Joe Luzzi</v>
      </c>
      <c r="C249" s="131">
        <f>IFERROR(__xludf.DUMMYFUNCTION("""COMPUTED_VALUE"""),3.0)</f>
        <v>3</v>
      </c>
      <c r="D249" s="131">
        <f>IFERROR(__xludf.DUMMYFUNCTION("""COMPUTED_VALUE"""),1.0)</f>
        <v>1</v>
      </c>
      <c r="E249" s="131">
        <f>IFERROR(__xludf.DUMMYFUNCTION("""COMPUTED_VALUE"""),4.0)</f>
        <v>4</v>
      </c>
      <c r="F249" s="131">
        <f>IFERROR(__xludf.DUMMYFUNCTION("""COMPUTED_VALUE"""),8.0)</f>
        <v>8</v>
      </c>
      <c r="G249" s="131">
        <f>IFERROR(__xludf.DUMMYFUNCTION("""COMPUTED_VALUE"""),0.0)</f>
        <v>0</v>
      </c>
    </row>
    <row r="250">
      <c r="A250" s="125">
        <f>IFERROR(__xludf.DUMMYFUNCTION("""COMPUTED_VALUE"""),3.0)</f>
        <v>3</v>
      </c>
      <c r="B250" s="36" t="str">
        <f>IFERROR(__xludf.DUMMYFUNCTION("""COMPUTED_VALUE"""),"Herman Au")</f>
        <v>Herman Au</v>
      </c>
      <c r="C250" s="131">
        <f>IFERROR(__xludf.DUMMYFUNCTION("""COMPUTED_VALUE"""),6.0)</f>
        <v>6</v>
      </c>
      <c r="D250" s="131">
        <f>IFERROR(__xludf.DUMMYFUNCTION("""COMPUTED_VALUE"""),6.0)</f>
        <v>6</v>
      </c>
      <c r="E250" s="131">
        <f>IFERROR(__xludf.DUMMYFUNCTION("""COMPUTED_VALUE"""),4.0)</f>
        <v>4</v>
      </c>
      <c r="F250" s="131">
        <f>IFERROR(__xludf.DUMMYFUNCTION("""COMPUTED_VALUE"""),16.0)</f>
        <v>16</v>
      </c>
      <c r="G250" s="131">
        <f>IFERROR(__xludf.DUMMYFUNCTION("""COMPUTED_VALUE"""),2.0)</f>
        <v>2</v>
      </c>
    </row>
    <row r="251">
      <c r="A251" s="132">
        <f>IFERROR(__xludf.DUMMYFUNCTION("""COMPUTED_VALUE"""),4.0)</f>
        <v>4</v>
      </c>
      <c r="B251" s="133" t="str">
        <f>IFERROR(__xludf.DUMMYFUNCTION("""COMPUTED_VALUE"""),"Sandeep Kamalon")</f>
        <v>Sandeep Kamalon</v>
      </c>
      <c r="C251" s="134">
        <f>IFERROR(__xludf.DUMMYFUNCTION("""COMPUTED_VALUE"""),6.0)</f>
        <v>6</v>
      </c>
      <c r="D251" s="134">
        <f>IFERROR(__xludf.DUMMYFUNCTION("""COMPUTED_VALUE"""),6.0)</f>
        <v>6</v>
      </c>
      <c r="E251" s="134">
        <f>IFERROR(__xludf.DUMMYFUNCTION("""COMPUTED_VALUE"""),3.0)</f>
        <v>3</v>
      </c>
      <c r="F251" s="134">
        <f>IFERROR(__xludf.DUMMYFUNCTION("""COMPUTED_VALUE"""),15.0)</f>
        <v>15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IFERROR(__xludf.DUMMYFUNCTION("""COMPUTED_VALUE"""),"Basudev Thoppai Vidyasankar")</f>
        <v>Basudev Thoppai Vidyasankar</v>
      </c>
      <c r="C252" s="134">
        <f>IFERROR(__xludf.DUMMYFUNCTION("""COMPUTED_VALUE"""),7.0)</f>
        <v>7</v>
      </c>
      <c r="D252" s="134">
        <f>IFERROR(__xludf.DUMMYFUNCTION("""COMPUTED_VALUE"""),6.0)</f>
        <v>6</v>
      </c>
      <c r="E252" s="134">
        <f>IFERROR(__xludf.DUMMYFUNCTION("""COMPUTED_VALUE"""),6.0)</f>
        <v>6</v>
      </c>
      <c r="F252" s="134">
        <f>IFERROR(__xludf.DUMMYFUNCTION("""COMPUTED_VALUE"""),19.0)</f>
        <v>19</v>
      </c>
      <c r="G252" s="134">
        <f>IFERROR(__xludf.DUMMYFUNCTION("""COMPUTED_VALUE"""),3.0)</f>
        <v>3</v>
      </c>
    </row>
    <row r="253">
      <c r="A253" s="132">
        <f>IFERROR(__xludf.DUMMYFUNCTION("""COMPUTED_VALUE"""),4.0)</f>
        <v>4</v>
      </c>
      <c r="B253" s="133" t="str">
        <f>IFERROR(__xludf.DUMMYFUNCTION("""COMPUTED_VALUE"""),"Tina Hanson")</f>
        <v>Tina Hanson</v>
      </c>
      <c r="C253" s="134">
        <f>IFERROR(__xludf.DUMMYFUNCTION("""COMPUTED_VALUE"""),7.0)</f>
        <v>7</v>
      </c>
      <c r="D253" s="134">
        <f>IFERROR(__xludf.DUMMYFUNCTION("""COMPUTED_VALUE"""),3.0)</f>
        <v>3</v>
      </c>
      <c r="E253" s="134">
        <f>IFERROR(__xludf.DUMMYFUNCTION("""COMPUTED_VALUE"""),3.0)</f>
        <v>3</v>
      </c>
      <c r="F253" s="134">
        <f>IFERROR(__xludf.DUMMYFUNCTION("""COMPUTED_VALUE"""),13.0)</f>
        <v>13</v>
      </c>
      <c r="G253" s="134">
        <f>IFERROR(__xludf.DUMMYFUNCTION("""COMPUTED_VALUE"""),1.0)</f>
        <v>1</v>
      </c>
    </row>
    <row r="254">
      <c r="A254" s="132">
        <f>IFERROR(__xludf.DUMMYFUNCTION("""COMPUTED_VALUE"""),4.0)</f>
        <v>4</v>
      </c>
      <c r="B254" s="133" t="str">
        <f>IFERROR(__xludf.DUMMYFUNCTION("""COMPUTED_VALUE"""),"Erik Hoeckmann")</f>
        <v>Erik Hoeckmann</v>
      </c>
      <c r="C254" s="134">
        <f>IFERROR(__xludf.DUMMYFUNCTION("""COMPUTED_VALUE"""),6.0)</f>
        <v>6</v>
      </c>
      <c r="D254" s="134">
        <f>IFERROR(__xludf.DUMMYFUNCTION("""COMPUTED_VALUE"""),3.0)</f>
        <v>3</v>
      </c>
      <c r="E254" s="134">
        <f>IFERROR(__xludf.DUMMYFUNCTION("""COMPUTED_VALUE"""),6.0)</f>
        <v>6</v>
      </c>
      <c r="F254" s="134">
        <f>IFERROR(__xludf.DUMMYFUNCTION("""COMPUTED_VALUE"""),15.0)</f>
        <v>15</v>
      </c>
      <c r="G254" s="134">
        <f>IFERROR(__xludf.DUMMYFUNCTION("""COMPUTED_VALUE"""),1.0)</f>
        <v>1</v>
      </c>
    </row>
    <row r="255">
      <c r="A255" s="125">
        <f>IFERROR(__xludf.DUMMYFUNCTION("""COMPUTED_VALUE"""),5.0)</f>
        <v>5</v>
      </c>
      <c r="B255" s="36" t="str">
        <f>IFERROR(__xludf.DUMMYFUNCTION("""COMPUTED_VALUE"""),"Mauricio Palacios")</f>
        <v>Mauricio Palacios</v>
      </c>
      <c r="C255" s="131">
        <f>IFERROR(__xludf.DUMMYFUNCTION("""COMPUTED_VALUE"""),6.0)</f>
        <v>6</v>
      </c>
      <c r="D255" s="131">
        <f>IFERROR(__xludf.DUMMYFUNCTION("""COMPUTED_VALUE"""),4.0)</f>
        <v>4</v>
      </c>
      <c r="E255" s="131">
        <f>IFERROR(__xludf.DUMMYFUNCTION("""COMPUTED_VALUE"""),4.0)</f>
        <v>4</v>
      </c>
      <c r="F255" s="131">
        <f>IFERROR(__xludf.DUMMYFUNCTION("""COMPUTED_VALUE"""),14.0)</f>
        <v>14</v>
      </c>
      <c r="G255" s="131">
        <f>IFERROR(__xludf.DUMMYFUNCTION("""COMPUTED_VALUE"""),1.0)</f>
        <v>1</v>
      </c>
    </row>
    <row r="256">
      <c r="A256" s="125">
        <f>IFERROR(__xludf.DUMMYFUNCTION("""COMPUTED_VALUE"""),5.0)</f>
        <v>5</v>
      </c>
      <c r="B256" s="36" t="str">
        <f>IFERROR(__xludf.DUMMYFUNCTION("""COMPUTED_VALUE"""),"Chinna Ponnaganti")</f>
        <v>Chinna Ponnaganti</v>
      </c>
      <c r="C256" s="131">
        <f>IFERROR(__xludf.DUMMYFUNCTION("""COMPUTED_VALUE"""),4.0)</f>
        <v>4</v>
      </c>
      <c r="D256" s="131">
        <f>IFERROR(__xludf.DUMMYFUNCTION("""COMPUTED_VALUE"""),6.0)</f>
        <v>6</v>
      </c>
      <c r="E256" s="131">
        <f>IFERROR(__xludf.DUMMYFUNCTION("""COMPUTED_VALUE"""),4.0)</f>
        <v>4</v>
      </c>
      <c r="F256" s="131">
        <f>IFERROR(__xludf.DUMMYFUNCTION("""COMPUTED_VALUE"""),14.0)</f>
        <v>14</v>
      </c>
      <c r="G256" s="131">
        <f>IFERROR(__xludf.DUMMYFUNCTION("""COMPUTED_VALUE"""),1.0)</f>
        <v>1</v>
      </c>
    </row>
    <row r="257">
      <c r="A257" s="125">
        <f>IFERROR(__xludf.DUMMYFUNCTION("""COMPUTED_VALUE"""),5.0)</f>
        <v>5</v>
      </c>
      <c r="B257" s="36" t="str">
        <f>IFERROR(__xludf.DUMMYFUNCTION("""COMPUTED_VALUE"""),"Ethan Gu")</f>
        <v>Ethan Gu</v>
      </c>
      <c r="C257" s="131">
        <f>IFERROR(__xludf.DUMMYFUNCTION("""COMPUTED_VALUE"""),4.0)</f>
        <v>4</v>
      </c>
      <c r="D257" s="131">
        <f>IFERROR(__xludf.DUMMYFUNCTION("""COMPUTED_VALUE"""),4.0)</f>
        <v>4</v>
      </c>
      <c r="E257" s="131">
        <f>IFERROR(__xludf.DUMMYFUNCTION("""COMPUTED_VALUE"""),6.0)</f>
        <v>6</v>
      </c>
      <c r="F257" s="131">
        <f>IFERROR(__xludf.DUMMYFUNCTION("""COMPUTED_VALUE"""),14.0)</f>
        <v>14</v>
      </c>
      <c r="G257" s="131">
        <f>IFERROR(__xludf.DUMMYFUNCTION("""COMPUTED_VALUE"""),1.0)</f>
        <v>1</v>
      </c>
    </row>
    <row r="258">
      <c r="A258" s="125">
        <f>IFERROR(__xludf.DUMMYFUNCTION("""COMPUTED_VALUE"""),5.0)</f>
        <v>5</v>
      </c>
      <c r="B258" s="36" t="str">
        <f>IFERROR(__xludf.DUMMYFUNCTION("""COMPUTED_VALUE"""),"Elayaraja Thangaraj")</f>
        <v>Elayaraja Thangaraj</v>
      </c>
      <c r="C258" s="131">
        <f>IFERROR(__xludf.DUMMYFUNCTION("""COMPUTED_VALUE"""),6.0)</f>
        <v>6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IFERROR(__xludf.DUMMYFUNCTION("""COMPUTED_VALUE"""),18.0)</f>
        <v>18</v>
      </c>
      <c r="G258" s="131">
        <f>IFERROR(__xludf.DUMMYFUNCTION("""COMPUTED_VALUE"""),3.0)</f>
        <v>3</v>
      </c>
    </row>
    <row r="259">
      <c r="A259" s="132">
        <f>IFERROR(__xludf.DUMMYFUNCTION("""COMPUTED_VALUE"""),6.0)</f>
        <v>6</v>
      </c>
      <c r="B259" s="133" t="str">
        <f>IFERROR(__xludf.DUMMYFUNCTION("""COMPUTED_VALUE"""),"Jimmy Awolesi")</f>
        <v>Jimmy Awolesi</v>
      </c>
      <c r="C259" s="134">
        <f>IFERROR(__xludf.DUMMYFUNCTION("""COMPUTED_VALUE"""),7.0)</f>
        <v>7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IFERROR(__xludf.DUMMYFUNCTION("""COMPUTED_VALUE"""),19.0)</f>
        <v>19</v>
      </c>
      <c r="G259" s="134">
        <f>IFERROR(__xludf.DUMMYFUNCTION("""COMPUTED_VALUE"""),3.0)</f>
        <v>3</v>
      </c>
    </row>
    <row r="260">
      <c r="A260" s="132">
        <f>IFERROR(__xludf.DUMMYFUNCTION("""COMPUTED_VALUE"""),6.0)</f>
        <v>6</v>
      </c>
      <c r="B260" s="133" t="str">
        <f>IFERROR(__xludf.DUMMYFUNCTION("""COMPUTED_VALUE"""),"Hongyuan Wen")</f>
        <v>Hongyuan Wen</v>
      </c>
      <c r="C260" s="134">
        <f>IFERROR(__xludf.DUMMYFUNCTION("""COMPUTED_VALUE"""),5.0)</f>
        <v>5</v>
      </c>
      <c r="D260" s="134">
        <f>IFERROR(__xludf.DUMMYFUNCTION("""COMPUTED_VALUE"""),6.0)</f>
        <v>6</v>
      </c>
      <c r="E260" s="134">
        <f>IFERROR(__xludf.DUMMYFUNCTION("""COMPUTED_VALUE"""),2.0)</f>
        <v>2</v>
      </c>
      <c r="F260" s="134">
        <f>IFERROR(__xludf.DUMMYFUNCTION("""COMPUTED_VALUE"""),13.0)</f>
        <v>13</v>
      </c>
      <c r="G260" s="134">
        <f>IFERROR(__xludf.DUMMYFUNCTION("""COMPUTED_VALUE"""),1.0)</f>
        <v>1</v>
      </c>
    </row>
    <row r="261">
      <c r="A261" s="132">
        <f>IFERROR(__xludf.DUMMYFUNCTION("""COMPUTED_VALUE"""),6.0)</f>
        <v>6</v>
      </c>
      <c r="B261" s="133" t="str">
        <f>IFERROR(__xludf.DUMMYFUNCTION("""COMPUTED_VALUE"""),"Frank Moon")</f>
        <v>Frank Moon</v>
      </c>
      <c r="C261" s="134">
        <f>IFERROR(__xludf.DUMMYFUNCTION("""COMPUTED_VALUE"""),7.0)</f>
        <v>7</v>
      </c>
      <c r="D261" s="134">
        <f>IFERROR(__xludf.DUMMYFUNCTION("""COMPUTED_VALUE"""),2.0)</f>
        <v>2</v>
      </c>
      <c r="E261" s="134">
        <f>IFERROR(__xludf.DUMMYFUNCTION("""COMPUTED_VALUE"""),2.0)</f>
        <v>2</v>
      </c>
      <c r="F261" s="134">
        <f>IFERROR(__xludf.DUMMYFUNCTION("""COMPUTED_VALUE"""),11.0)</f>
        <v>11</v>
      </c>
      <c r="G261" s="134">
        <f>IFERROR(__xludf.DUMMYFUNCTION("""COMPUTED_VALUE"""),1.0)</f>
        <v>1</v>
      </c>
    </row>
    <row r="262">
      <c r="A262" s="132">
        <f>IFERROR(__xludf.DUMMYFUNCTION("""COMPUTED_VALUE"""),6.0)</f>
        <v>6</v>
      </c>
      <c r="B262" s="133" t="str">
        <f>IFERROR(__xludf.DUMMYFUNCTION("""COMPUTED_VALUE"""),"Ramesh Bandaru")</f>
        <v>Ramesh Bandaru</v>
      </c>
      <c r="C262" s="134">
        <f>IFERROR(__xludf.DUMMYFUNCTION("""COMPUTED_VALUE"""),5.0)</f>
        <v>5</v>
      </c>
      <c r="D262" s="134">
        <f>IFERROR(__xludf.DUMMYFUNCTION("""COMPUTED_VALUE"""),2.0)</f>
        <v>2</v>
      </c>
      <c r="E262" s="134">
        <f>IFERROR(__xludf.DUMMYFUNCTION("""COMPUTED_VALUE"""),6.0)</f>
        <v>6</v>
      </c>
      <c r="F262" s="134">
        <f>IFERROR(__xludf.DUMMYFUNCTION("""COMPUTED_VALUE"""),13.0)</f>
        <v>13</v>
      </c>
      <c r="G262" s="134">
        <f>IFERROR(__xludf.DUMMYFUNCTION("""COMPUTED_VALUE"""),1.0)</f>
        <v>1</v>
      </c>
    </row>
    <row r="263">
      <c r="A263" s="125">
        <f>IFERROR(__xludf.DUMMYFUNCTION("""COMPUTED_VALUE"""),7.0)</f>
        <v>7</v>
      </c>
      <c r="B263" s="36" t="str">
        <f>IFERROR(__xludf.DUMMYFUNCTION("""COMPUTED_VALUE"""),"Lloyd Sagar")</f>
        <v>Lloyd Sagar</v>
      </c>
      <c r="C263" s="131">
        <f>IFERROR(__xludf.DUMMYFUNCTION("""COMPUTED_VALUE"""),7.0)</f>
        <v>7</v>
      </c>
      <c r="D263" s="131">
        <f>IFERROR(__xludf.DUMMYFUNCTION("""COMPUTED_VALUE"""),6.0)</f>
        <v>6</v>
      </c>
      <c r="E263" s="131">
        <f>IFERROR(__xludf.DUMMYFUNCTION("""COMPUTED_VALUE"""),6.0)</f>
        <v>6</v>
      </c>
      <c r="F263" s="131">
        <f>IFERROR(__xludf.DUMMYFUNCTION("""COMPUTED_VALUE"""),19.0)</f>
        <v>19</v>
      </c>
      <c r="G263" s="131">
        <f>IFERROR(__xludf.DUMMYFUNCTION("""COMPUTED_VALUE"""),3.0)</f>
        <v>3</v>
      </c>
    </row>
    <row r="264">
      <c r="A264" s="125">
        <f>IFERROR(__xludf.DUMMYFUNCTION("""COMPUTED_VALUE"""),7.0)</f>
        <v>7</v>
      </c>
      <c r="B264" s="36" t="str">
        <f>IFERROR(__xludf.DUMMYFUNCTION("""COMPUTED_VALUE"""),"Allen Zhang")</f>
        <v>Allen Zhang</v>
      </c>
      <c r="C264" s="131">
        <f>IFERROR(__xludf.DUMMYFUNCTION("""COMPUTED_VALUE"""),5.0)</f>
        <v>5</v>
      </c>
      <c r="D264" s="131">
        <f>IFERROR(__xludf.DUMMYFUNCTION("""COMPUTED_VALUE"""),6.0)</f>
        <v>6</v>
      </c>
      <c r="E264" s="131">
        <f>IFERROR(__xludf.DUMMYFUNCTION("""COMPUTED_VALUE"""),0.0)</f>
        <v>0</v>
      </c>
      <c r="F264" s="131">
        <f>IFERROR(__xludf.DUMMYFUNCTION("""COMPUTED_VALUE"""),11.0)</f>
        <v>11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IFERROR(__xludf.DUMMYFUNCTION("""COMPUTED_VALUE"""),"Jim Miao")</f>
        <v>Jim Miao</v>
      </c>
      <c r="C265" s="131">
        <f>IFERROR(__xludf.DUMMYFUNCTION("""COMPUTED_VALUE"""),7.0)</f>
        <v>7</v>
      </c>
      <c r="D265" s="131">
        <f>IFERROR(__xludf.DUMMYFUNCTION("""COMPUTED_VALUE"""),4.0)</f>
        <v>4</v>
      </c>
      <c r="E265" s="131">
        <f>IFERROR(__xludf.DUMMYFUNCTION("""COMPUTED_VALUE"""),0.0)</f>
        <v>0</v>
      </c>
      <c r="F265" s="131">
        <f>IFERROR(__xludf.DUMMYFUNCTION("""COMPUTED_VALUE"""),11.0)</f>
        <v>11</v>
      </c>
      <c r="G265" s="131">
        <f>IFERROR(__xludf.DUMMYFUNCTION("""COMPUTED_VALUE"""),1.0)</f>
        <v>1</v>
      </c>
    </row>
    <row r="266">
      <c r="A266" s="125">
        <f>IFERROR(__xludf.DUMMYFUNCTION("""COMPUTED_VALUE"""),7.0)</f>
        <v>7</v>
      </c>
      <c r="B266" s="36" t="str">
        <f>IFERROR(__xludf.DUMMYFUNCTION("""COMPUTED_VALUE"""),"Manuel Rivera")</f>
        <v>Manuel Rivera</v>
      </c>
      <c r="C266" s="131">
        <f>IFERROR(__xludf.DUMMYFUNCTION("""COMPUTED_VALUE"""),5.0)</f>
        <v>5</v>
      </c>
      <c r="D266" s="131">
        <f>IFERROR(__xludf.DUMMYFUNCTION("""COMPUTED_VALUE"""),4.0)</f>
        <v>4</v>
      </c>
      <c r="E266" s="131">
        <f>IFERROR(__xludf.DUMMYFUNCTION("""COMPUTED_VALUE"""),6.0)</f>
        <v>6</v>
      </c>
      <c r="F266" s="131">
        <f>IFERROR(__xludf.DUMMYFUNCTION("""COMPUTED_VALUE"""),15.0)</f>
        <v>15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IFERROR(__xludf.DUMMYFUNCTION("""COMPUTED_VALUE"""),"Coco Yan")</f>
        <v>Coco Yan</v>
      </c>
      <c r="C267" s="134">
        <f>IFERROR(__xludf.DUMMYFUNCTION("""COMPUTED_VALUE"""),6.0)</f>
        <v>6</v>
      </c>
      <c r="D267" s="134">
        <f>IFERROR(__xludf.DUMMYFUNCTION("""COMPUTED_VALUE"""),6.0)</f>
        <v>6</v>
      </c>
      <c r="E267" s="134">
        <f>IFERROR(__xludf.DUMMYFUNCTION("""COMPUTED_VALUE"""),7.0)</f>
        <v>7</v>
      </c>
      <c r="F267" s="134">
        <f>IFERROR(__xludf.DUMMYFUNCTION("""COMPUTED_VALUE"""),19.0)</f>
        <v>19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IFERROR(__xludf.DUMMYFUNCTION("""COMPUTED_VALUE"""),"Andrew Wen")</f>
        <v>Andrew Wen</v>
      </c>
      <c r="C268" s="134">
        <f>IFERROR(__xludf.DUMMYFUNCTION("""COMPUTED_VALUE"""),2.0)</f>
        <v>2</v>
      </c>
      <c r="D268" s="134">
        <f>IFERROR(__xludf.DUMMYFUNCTION("""COMPUTED_VALUE"""),6.0)</f>
        <v>6</v>
      </c>
      <c r="E268" s="134">
        <f>IFERROR(__xludf.DUMMYFUNCTION("""COMPUTED_VALUE"""),6.0)</f>
        <v>6</v>
      </c>
      <c r="F268" s="134">
        <f>IFERROR(__xludf.DUMMYFUNCTION("""COMPUTED_VALUE"""),14.0)</f>
        <v>14</v>
      </c>
      <c r="G268" s="134">
        <f>IFERROR(__xludf.DUMMYFUNCTION("""COMPUTED_VALUE"""),0.0)</f>
        <v>0</v>
      </c>
    </row>
    <row r="269">
      <c r="A269" s="132">
        <f>IFERROR(__xludf.DUMMYFUNCTION("""COMPUTED_VALUE"""),8.0)</f>
        <v>8</v>
      </c>
      <c r="B269" s="133" t="str">
        <f>IFERROR(__xludf.DUMMYFUNCTION("""COMPUTED_VALUE"""),"Sean Chang")</f>
        <v>Sean Chang</v>
      </c>
      <c r="C269" s="134">
        <f>IFERROR(__xludf.DUMMYFUNCTION("""COMPUTED_VALUE"""),6.0)</f>
        <v>6</v>
      </c>
      <c r="D269" s="134">
        <f>IFERROR(__xludf.DUMMYFUNCTION("""COMPUTED_VALUE"""),7.0)</f>
        <v>7</v>
      </c>
      <c r="E269" s="134">
        <f>IFERROR(__xludf.DUMMYFUNCTION("""COMPUTED_VALUE"""),6.0)</f>
        <v>6</v>
      </c>
      <c r="F269" s="134">
        <f>IFERROR(__xludf.DUMMYFUNCTION("""COMPUTED_VALUE"""),19.0)</f>
        <v>19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IFERROR(__xludf.DUMMYFUNCTION("""COMPUTED_VALUE"""),"Nicole Ni")</f>
        <v>Nicole Ni</v>
      </c>
      <c r="C270" s="134">
        <f>IFERROR(__xludf.DUMMYFUNCTION("""COMPUTED_VALUE"""),2.0)</f>
        <v>2</v>
      </c>
      <c r="D270" s="134">
        <f>IFERROR(__xludf.DUMMYFUNCTION("""COMPUTED_VALUE"""),7.0)</f>
        <v>7</v>
      </c>
      <c r="E270" s="134">
        <f>IFERROR(__xludf.DUMMYFUNCTION("""COMPUTED_VALUE"""),7.0)</f>
        <v>7</v>
      </c>
      <c r="F270" s="134">
        <f>IFERROR(__xludf.DUMMYFUNCTION("""COMPUTED_VALUE"""),16.0)</f>
        <v>16</v>
      </c>
      <c r="G270" s="134">
        <f>IFERROR(__xludf.DUMMYFUNCTION("""COMPUTED_VALUE"""),2.0)</f>
        <v>2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46291.0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13.0</v>
      </c>
      <c r="E2" s="2"/>
      <c r="F2" s="2"/>
      <c r="R2" s="19"/>
      <c r="AC2" s="23" t="str">
        <f>TEXT(C1-7,"mm/dd/yy")</f>
        <v>09/19/26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68</v>
      </c>
      <c r="C5" s="37">
        <v>180.0</v>
      </c>
      <c r="D5" s="37">
        <v>20.0</v>
      </c>
      <c r="E5" s="42">
        <f t="shared" ref="E5:E71" si="2">if(S5&gt;0,(C5-(V5*9)-(T5*13))/S5,0)</f>
        <v>15.3</v>
      </c>
      <c r="F5" s="89">
        <v>1.0</v>
      </c>
      <c r="G5" s="90">
        <v>1.0</v>
      </c>
      <c r="H5" s="91">
        <v>0.0</v>
      </c>
      <c r="I5" s="90">
        <v>4.0</v>
      </c>
      <c r="J5" s="90">
        <v>4.0</v>
      </c>
      <c r="K5" s="90">
        <v>6.0</v>
      </c>
      <c r="L5" s="92">
        <v>14.0</v>
      </c>
      <c r="M5" s="90">
        <v>1.0</v>
      </c>
      <c r="N5" s="37">
        <f t="shared" ref="N5:O5" si="1">C5+L5</f>
        <v>194</v>
      </c>
      <c r="O5" s="37">
        <f t="shared" si="1"/>
        <v>21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10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3</v>
      </c>
      <c r="W5" s="52">
        <f t="shared" ref="W5:W71" si="7">vlookup(B5,indirect("'" &amp; AC$2 &amp; "'!B5:x71"),23,false)-X5</f>
        <v>3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74</v>
      </c>
      <c r="C6" s="37">
        <v>177.0</v>
      </c>
      <c r="D6" s="37">
        <v>18.0</v>
      </c>
      <c r="E6" s="42">
        <f t="shared" si="2"/>
        <v>14.09090909</v>
      </c>
      <c r="F6" s="89">
        <v>1.0</v>
      </c>
      <c r="G6" s="90">
        <v>1.0</v>
      </c>
      <c r="H6" s="91">
        <v>0.0</v>
      </c>
      <c r="I6" s="90">
        <v>6.0</v>
      </c>
      <c r="J6" s="90">
        <v>4.0</v>
      </c>
      <c r="K6" s="90">
        <v>4.0</v>
      </c>
      <c r="L6" s="92">
        <v>14.0</v>
      </c>
      <c r="M6" s="90">
        <v>1.0</v>
      </c>
      <c r="N6" s="37">
        <f t="shared" ref="N6:O6" si="3">C6+L6</f>
        <v>191</v>
      </c>
      <c r="O6" s="37">
        <f t="shared" si="3"/>
        <v>19</v>
      </c>
      <c r="P6" s="50" t="s">
        <v>60</v>
      </c>
      <c r="Q6" s="50" t="s">
        <v>60</v>
      </c>
      <c r="R6" s="50" t="s">
        <v>60</v>
      </c>
      <c r="S6" s="51">
        <f t="shared" si="4"/>
        <v>11</v>
      </c>
      <c r="T6" s="52">
        <f t="shared" si="5"/>
        <v>1</v>
      </c>
      <c r="U6" s="52"/>
      <c r="V6" s="51">
        <f t="shared" si="6"/>
        <v>1</v>
      </c>
      <c r="W6" s="52">
        <f t="shared" si="7"/>
        <v>1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88</v>
      </c>
      <c r="C7" s="37">
        <v>174.0</v>
      </c>
      <c r="D7" s="37">
        <v>19.0</v>
      </c>
      <c r="E7" s="42">
        <f t="shared" si="2"/>
        <v>13.41666667</v>
      </c>
      <c r="F7" s="89">
        <v>1.0</v>
      </c>
      <c r="G7" s="90">
        <v>1.0</v>
      </c>
      <c r="H7" s="91">
        <v>0.0</v>
      </c>
      <c r="I7" s="90">
        <v>4.0</v>
      </c>
      <c r="J7" s="90">
        <v>6.0</v>
      </c>
      <c r="K7" s="90">
        <v>4.0</v>
      </c>
      <c r="L7" s="92">
        <v>14.0</v>
      </c>
      <c r="M7" s="90">
        <v>1.0</v>
      </c>
      <c r="N7" s="37">
        <f t="shared" ref="N7:O7" si="11">C7+L7</f>
        <v>188</v>
      </c>
      <c r="O7" s="37">
        <f t="shared" si="11"/>
        <v>20</v>
      </c>
      <c r="P7" s="50" t="s">
        <v>60</v>
      </c>
      <c r="Q7" s="50" t="s">
        <v>60</v>
      </c>
      <c r="R7" s="50" t="s">
        <v>60</v>
      </c>
      <c r="S7" s="51">
        <f t="shared" si="4"/>
        <v>12</v>
      </c>
      <c r="T7" s="52">
        <f t="shared" si="5"/>
        <v>1</v>
      </c>
      <c r="U7" s="52"/>
      <c r="V7" s="51">
        <f t="shared" si="6"/>
        <v>0</v>
      </c>
      <c r="W7" s="52">
        <f t="shared" si="7"/>
        <v>-1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52</v>
      </c>
      <c r="C8" s="37">
        <v>174.0</v>
      </c>
      <c r="D8" s="37">
        <v>17.0</v>
      </c>
      <c r="E8" s="42">
        <f t="shared" si="2"/>
        <v>13.41666667</v>
      </c>
      <c r="F8" s="89">
        <v>1.0</v>
      </c>
      <c r="G8" s="90">
        <v>1.0</v>
      </c>
      <c r="H8" s="91">
        <v>0.0</v>
      </c>
      <c r="I8" s="90">
        <v>6.0</v>
      </c>
      <c r="J8" s="90">
        <v>6.0</v>
      </c>
      <c r="K8" s="90">
        <v>6.0</v>
      </c>
      <c r="L8" s="92">
        <v>18.0</v>
      </c>
      <c r="M8" s="90">
        <v>3.0</v>
      </c>
      <c r="N8" s="37">
        <f t="shared" ref="N8:O8" si="13">C8+L8</f>
        <v>192</v>
      </c>
      <c r="O8" s="37">
        <f t="shared" si="13"/>
        <v>20</v>
      </c>
      <c r="P8" s="50" t="s">
        <v>60</v>
      </c>
      <c r="Q8" s="50" t="s">
        <v>60</v>
      </c>
      <c r="R8" s="50" t="s">
        <v>60</v>
      </c>
      <c r="S8" s="51">
        <f t="shared" si="4"/>
        <v>12</v>
      </c>
      <c r="T8" s="52">
        <f t="shared" si="5"/>
        <v>1</v>
      </c>
      <c r="U8" s="52"/>
      <c r="V8" s="51">
        <f t="shared" si="6"/>
        <v>0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80</v>
      </c>
      <c r="C9" s="37">
        <v>174.0</v>
      </c>
      <c r="D9" s="37">
        <v>16.0</v>
      </c>
      <c r="E9" s="42">
        <f t="shared" si="2"/>
        <v>14.88888889</v>
      </c>
      <c r="F9" s="89">
        <v>1.0</v>
      </c>
      <c r="G9" s="90">
        <v>2.0</v>
      </c>
      <c r="H9" s="91">
        <v>0.0</v>
      </c>
      <c r="I9" s="90">
        <v>5.0</v>
      </c>
      <c r="J9" s="90">
        <v>2.0</v>
      </c>
      <c r="K9" s="90">
        <v>6.0</v>
      </c>
      <c r="L9" s="92">
        <v>13.0</v>
      </c>
      <c r="M9" s="90">
        <v>1.0</v>
      </c>
      <c r="N9" s="37">
        <f t="shared" ref="N9:O9" si="14">C9+L9</f>
        <v>187</v>
      </c>
      <c r="O9" s="37">
        <f t="shared" si="14"/>
        <v>17</v>
      </c>
      <c r="P9" s="50" t="s">
        <v>60</v>
      </c>
      <c r="Q9" s="50" t="s">
        <v>60</v>
      </c>
      <c r="R9" s="50" t="s">
        <v>60</v>
      </c>
      <c r="S9" s="51">
        <f t="shared" si="4"/>
        <v>9</v>
      </c>
      <c r="T9" s="52">
        <f t="shared" si="5"/>
        <v>1</v>
      </c>
      <c r="U9" s="52"/>
      <c r="V9" s="51">
        <f t="shared" si="6"/>
        <v>3</v>
      </c>
      <c r="W9" s="52">
        <f t="shared" si="7"/>
        <v>1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85</v>
      </c>
      <c r="C10" s="37">
        <v>171.0</v>
      </c>
      <c r="D10" s="37">
        <v>21.0</v>
      </c>
      <c r="E10" s="42">
        <f t="shared" si="2"/>
        <v>14.4</v>
      </c>
      <c r="F10" s="89">
        <v>1.0</v>
      </c>
      <c r="G10" s="90">
        <v>2.0</v>
      </c>
      <c r="H10" s="91">
        <v>0.0</v>
      </c>
      <c r="I10" s="90">
        <v>7.0</v>
      </c>
      <c r="J10" s="90">
        <v>6.0</v>
      </c>
      <c r="K10" s="90">
        <v>6.0</v>
      </c>
      <c r="L10" s="92">
        <v>19.0</v>
      </c>
      <c r="M10" s="90">
        <v>3.0</v>
      </c>
      <c r="N10" s="37">
        <f t="shared" ref="N10:O10" si="15">C10+L10</f>
        <v>190</v>
      </c>
      <c r="O10" s="37">
        <f t="shared" si="15"/>
        <v>24</v>
      </c>
      <c r="P10" s="50" t="s">
        <v>60</v>
      </c>
      <c r="Q10" s="50" t="s">
        <v>60</v>
      </c>
      <c r="R10" s="50" t="s">
        <v>60</v>
      </c>
      <c r="S10" s="51">
        <f t="shared" si="4"/>
        <v>10</v>
      </c>
      <c r="T10" s="52">
        <f t="shared" si="5"/>
        <v>0</v>
      </c>
      <c r="U10" s="52"/>
      <c r="V10" s="51">
        <f t="shared" si="6"/>
        <v>3</v>
      </c>
      <c r="W10" s="52">
        <f t="shared" si="7"/>
        <v>-5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93</v>
      </c>
      <c r="C11" s="37">
        <v>166.0</v>
      </c>
      <c r="D11" s="37">
        <v>11.0</v>
      </c>
      <c r="E11" s="42">
        <f t="shared" si="2"/>
        <v>13.14285714</v>
      </c>
      <c r="F11" s="89">
        <v>5.0</v>
      </c>
      <c r="G11" s="90">
        <v>0.0</v>
      </c>
      <c r="H11" s="91">
        <v>13.0</v>
      </c>
      <c r="I11" s="90">
        <v>0.0</v>
      </c>
      <c r="J11" s="90">
        <v>0.0</v>
      </c>
      <c r="K11" s="90">
        <v>0.0</v>
      </c>
      <c r="L11" s="92">
        <v>13.0</v>
      </c>
      <c r="M11" s="90">
        <v>0.0</v>
      </c>
      <c r="N11" s="37">
        <f t="shared" ref="N11:O11" si="16">C11+L11</f>
        <v>179</v>
      </c>
      <c r="O11" s="37">
        <f t="shared" si="16"/>
        <v>11</v>
      </c>
      <c r="P11" s="50" t="s">
        <v>60</v>
      </c>
      <c r="Q11" s="50" t="s">
        <v>60</v>
      </c>
      <c r="R11" s="50" t="s">
        <v>60</v>
      </c>
      <c r="S11" s="51">
        <f t="shared" si="4"/>
        <v>7</v>
      </c>
      <c r="T11" s="52">
        <f t="shared" si="5"/>
        <v>5</v>
      </c>
      <c r="U11" s="52"/>
      <c r="V11" s="51">
        <f t="shared" si="6"/>
        <v>1</v>
      </c>
      <c r="W11" s="52">
        <f t="shared" si="7"/>
        <v>1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97</v>
      </c>
      <c r="C12" s="37">
        <v>165.0</v>
      </c>
      <c r="D12" s="37">
        <v>14.0</v>
      </c>
      <c r="E12" s="42">
        <f t="shared" si="2"/>
        <v>12.69230769</v>
      </c>
      <c r="F12" s="89">
        <v>1.0</v>
      </c>
      <c r="G12" s="90">
        <v>2.0</v>
      </c>
      <c r="H12" s="91">
        <v>0.0</v>
      </c>
      <c r="I12" s="90">
        <v>7.0</v>
      </c>
      <c r="J12" s="90">
        <v>2.0</v>
      </c>
      <c r="K12" s="90">
        <v>3.0</v>
      </c>
      <c r="L12" s="92">
        <v>12.0</v>
      </c>
      <c r="M12" s="90">
        <v>1.0</v>
      </c>
      <c r="N12" s="37">
        <f t="shared" ref="N12:O12" si="17">C12+L12</f>
        <v>177</v>
      </c>
      <c r="O12" s="37">
        <f t="shared" si="17"/>
        <v>15</v>
      </c>
      <c r="P12" s="50" t="s">
        <v>60</v>
      </c>
      <c r="Q12" s="50" t="s">
        <v>60</v>
      </c>
      <c r="R12" s="50" t="s">
        <v>60</v>
      </c>
      <c r="S12" s="51">
        <f t="shared" si="4"/>
        <v>13</v>
      </c>
      <c r="T12" s="52">
        <f t="shared" si="5"/>
        <v>0</v>
      </c>
      <c r="U12" s="52"/>
      <c r="V12" s="51">
        <f t="shared" si="6"/>
        <v>0</v>
      </c>
      <c r="W12" s="52">
        <f t="shared" si="7"/>
        <v>1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91</v>
      </c>
      <c r="C13" s="37">
        <v>164.0</v>
      </c>
      <c r="D13" s="37">
        <v>12.0</v>
      </c>
      <c r="E13" s="42">
        <f t="shared" si="2"/>
        <v>13.42857143</v>
      </c>
      <c r="F13" s="89">
        <v>5.0</v>
      </c>
      <c r="G13" s="90">
        <v>0.0</v>
      </c>
      <c r="H13" s="91">
        <v>13.0</v>
      </c>
      <c r="I13" s="90">
        <v>0.0</v>
      </c>
      <c r="J13" s="90">
        <v>0.0</v>
      </c>
      <c r="K13" s="90">
        <v>0.0</v>
      </c>
      <c r="L13" s="92">
        <v>13.0</v>
      </c>
      <c r="M13" s="90">
        <v>0.0</v>
      </c>
      <c r="N13" s="37">
        <f t="shared" ref="N13:O13" si="18">C13+L13</f>
        <v>177</v>
      </c>
      <c r="O13" s="37">
        <f t="shared" si="18"/>
        <v>12</v>
      </c>
      <c r="P13" s="50" t="s">
        <v>60</v>
      </c>
      <c r="Q13" s="50" t="s">
        <v>60</v>
      </c>
      <c r="R13" s="50" t="s">
        <v>60</v>
      </c>
      <c r="S13" s="51">
        <f t="shared" si="4"/>
        <v>7</v>
      </c>
      <c r="T13" s="52">
        <f t="shared" si="5"/>
        <v>4</v>
      </c>
      <c r="U13" s="52"/>
      <c r="V13" s="51">
        <f t="shared" si="6"/>
        <v>2</v>
      </c>
      <c r="W13" s="52">
        <f t="shared" si="7"/>
        <v>-2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118</v>
      </c>
      <c r="C14" s="37">
        <v>162.0</v>
      </c>
      <c r="D14" s="37">
        <v>15.0</v>
      </c>
      <c r="E14" s="42">
        <f t="shared" si="2"/>
        <v>12.36363636</v>
      </c>
      <c r="F14" s="89">
        <v>1.0</v>
      </c>
      <c r="G14" s="90">
        <v>2.0</v>
      </c>
      <c r="H14" s="91">
        <v>0.0</v>
      </c>
      <c r="I14" s="90">
        <v>5.0</v>
      </c>
      <c r="J14" s="90">
        <v>6.0</v>
      </c>
      <c r="K14" s="90">
        <v>3.0</v>
      </c>
      <c r="L14" s="92">
        <v>14.0</v>
      </c>
      <c r="M14" s="90">
        <v>1.0</v>
      </c>
      <c r="N14" s="37">
        <f t="shared" ref="N14:O14" si="19">C14+L14</f>
        <v>176</v>
      </c>
      <c r="O14" s="37">
        <f t="shared" si="19"/>
        <v>16</v>
      </c>
      <c r="P14" s="50" t="s">
        <v>60</v>
      </c>
      <c r="Q14" s="50" t="s">
        <v>60</v>
      </c>
      <c r="R14" s="50" t="s">
        <v>60</v>
      </c>
      <c r="S14" s="51">
        <f t="shared" si="4"/>
        <v>11</v>
      </c>
      <c r="T14" s="52">
        <f t="shared" si="5"/>
        <v>2</v>
      </c>
      <c r="U14" s="52"/>
      <c r="V14" s="51">
        <f t="shared" si="6"/>
        <v>0</v>
      </c>
      <c r="W14" s="52">
        <f t="shared" si="7"/>
        <v>6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107</v>
      </c>
      <c r="C15" s="37">
        <v>162.0</v>
      </c>
      <c r="D15" s="37">
        <v>13.0</v>
      </c>
      <c r="E15" s="42">
        <f t="shared" si="2"/>
        <v>14.5</v>
      </c>
      <c r="F15" s="89">
        <v>5.0</v>
      </c>
      <c r="G15" s="90">
        <v>0.0</v>
      </c>
      <c r="H15" s="91">
        <v>13.0</v>
      </c>
      <c r="I15" s="90">
        <v>0.0</v>
      </c>
      <c r="J15" s="90">
        <v>0.0</v>
      </c>
      <c r="K15" s="90">
        <v>0.0</v>
      </c>
      <c r="L15" s="92">
        <v>13.0</v>
      </c>
      <c r="M15" s="90">
        <v>0.0</v>
      </c>
      <c r="N15" s="37">
        <f t="shared" ref="N15:O15" si="20">C15+L15</f>
        <v>175</v>
      </c>
      <c r="O15" s="37">
        <f t="shared" si="20"/>
        <v>13</v>
      </c>
      <c r="P15" s="50" t="s">
        <v>60</v>
      </c>
      <c r="Q15" s="50" t="s">
        <v>60</v>
      </c>
      <c r="R15" s="50" t="s">
        <v>60</v>
      </c>
      <c r="S15" s="51">
        <f t="shared" si="4"/>
        <v>6</v>
      </c>
      <c r="T15" s="52">
        <f t="shared" si="5"/>
        <v>3</v>
      </c>
      <c r="U15" s="52"/>
      <c r="V15" s="51">
        <f t="shared" si="6"/>
        <v>4</v>
      </c>
      <c r="W15" s="52">
        <f t="shared" si="7"/>
        <v>-1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131</v>
      </c>
      <c r="C16" s="37">
        <v>160.0</v>
      </c>
      <c r="D16" s="37">
        <v>14.0</v>
      </c>
      <c r="E16" s="42">
        <f t="shared" si="2"/>
        <v>12.18181818</v>
      </c>
      <c r="F16" s="89">
        <v>1.0</v>
      </c>
      <c r="G16" s="90">
        <v>3.0</v>
      </c>
      <c r="H16" s="91">
        <v>0.0</v>
      </c>
      <c r="I16" s="90">
        <v>6.0</v>
      </c>
      <c r="J16" s="90">
        <v>1.0</v>
      </c>
      <c r="K16" s="90">
        <v>6.0</v>
      </c>
      <c r="L16" s="92">
        <v>13.0</v>
      </c>
      <c r="M16" s="90">
        <v>2.0</v>
      </c>
      <c r="N16" s="37">
        <f t="shared" ref="N16:O16" si="21">C16+L16</f>
        <v>173</v>
      </c>
      <c r="O16" s="37">
        <f t="shared" si="21"/>
        <v>16</v>
      </c>
      <c r="P16" s="50" t="s">
        <v>60</v>
      </c>
      <c r="Q16" s="50" t="s">
        <v>60</v>
      </c>
      <c r="R16" s="50" t="s">
        <v>60</v>
      </c>
      <c r="S16" s="51">
        <f t="shared" si="4"/>
        <v>11</v>
      </c>
      <c r="T16" s="52">
        <f t="shared" si="5"/>
        <v>2</v>
      </c>
      <c r="U16" s="52"/>
      <c r="V16" s="51">
        <f t="shared" si="6"/>
        <v>0</v>
      </c>
      <c r="W16" s="52">
        <f t="shared" si="7"/>
        <v>-1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113</v>
      </c>
      <c r="C17" s="37">
        <v>160.0</v>
      </c>
      <c r="D17" s="37">
        <v>13.0</v>
      </c>
      <c r="E17" s="42">
        <f t="shared" si="2"/>
        <v>12.9</v>
      </c>
      <c r="F17" s="89">
        <v>1.0</v>
      </c>
      <c r="G17" s="90">
        <v>3.0</v>
      </c>
      <c r="H17" s="91">
        <v>0.0</v>
      </c>
      <c r="I17" s="90">
        <v>3.0</v>
      </c>
      <c r="J17" s="90">
        <v>6.0</v>
      </c>
      <c r="K17" s="90">
        <v>6.0</v>
      </c>
      <c r="L17" s="92">
        <v>15.0</v>
      </c>
      <c r="M17" s="90">
        <v>2.0</v>
      </c>
      <c r="N17" s="37">
        <f t="shared" ref="N17:O17" si="22">C17+L17</f>
        <v>175</v>
      </c>
      <c r="O17" s="37">
        <f t="shared" si="22"/>
        <v>15</v>
      </c>
      <c r="P17" s="50" t="s">
        <v>60</v>
      </c>
      <c r="Q17" s="50" t="s">
        <v>60</v>
      </c>
      <c r="R17" s="50" t="s">
        <v>60</v>
      </c>
      <c r="S17" s="51">
        <f t="shared" si="4"/>
        <v>10</v>
      </c>
      <c r="T17" s="52">
        <f t="shared" si="5"/>
        <v>1</v>
      </c>
      <c r="U17" s="52"/>
      <c r="V17" s="51">
        <f t="shared" si="6"/>
        <v>2</v>
      </c>
      <c r="W17" s="52">
        <f t="shared" si="7"/>
        <v>2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92</v>
      </c>
      <c r="C18" s="37">
        <v>157.0</v>
      </c>
      <c r="D18" s="37">
        <v>14.0</v>
      </c>
      <c r="E18" s="42">
        <f t="shared" si="2"/>
        <v>16.2</v>
      </c>
      <c r="F18" s="89">
        <v>3.0</v>
      </c>
      <c r="G18" s="90">
        <v>0.0</v>
      </c>
      <c r="H18" s="91">
        <v>9.0</v>
      </c>
      <c r="I18" s="90">
        <v>0.0</v>
      </c>
      <c r="J18" s="90">
        <v>0.0</v>
      </c>
      <c r="K18" s="90">
        <v>0.0</v>
      </c>
      <c r="L18" s="92">
        <v>9.0</v>
      </c>
      <c r="M18" s="90">
        <v>0.0</v>
      </c>
      <c r="N18" s="37">
        <f t="shared" ref="N18:O18" si="23">C18+L18</f>
        <v>166</v>
      </c>
      <c r="O18" s="37">
        <f t="shared" si="23"/>
        <v>14</v>
      </c>
      <c r="P18" s="50" t="s">
        <v>60</v>
      </c>
      <c r="Q18" s="50" t="s">
        <v>60</v>
      </c>
      <c r="R18" s="50" t="s">
        <v>60</v>
      </c>
      <c r="S18" s="51">
        <f t="shared" si="4"/>
        <v>5</v>
      </c>
      <c r="T18" s="52">
        <f t="shared" si="5"/>
        <v>1</v>
      </c>
      <c r="U18" s="52"/>
      <c r="V18" s="51">
        <f t="shared" si="6"/>
        <v>7</v>
      </c>
      <c r="W18" s="52">
        <f t="shared" si="7"/>
        <v>-2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101</v>
      </c>
      <c r="C19" s="37">
        <v>156.0</v>
      </c>
      <c r="D19" s="37">
        <v>17.0</v>
      </c>
      <c r="E19" s="42">
        <f t="shared" si="2"/>
        <v>12.25</v>
      </c>
      <c r="F19" s="89">
        <v>1.0</v>
      </c>
      <c r="G19" s="90">
        <v>3.0</v>
      </c>
      <c r="H19" s="91">
        <v>0.0</v>
      </c>
      <c r="I19" s="90">
        <v>3.0</v>
      </c>
      <c r="J19" s="90">
        <v>1.0</v>
      </c>
      <c r="K19" s="90">
        <v>4.0</v>
      </c>
      <c r="L19" s="92">
        <v>8.0</v>
      </c>
      <c r="M19" s="90">
        <v>0.0</v>
      </c>
      <c r="N19" s="37">
        <f t="shared" ref="N19:O19" si="24">C19+L19</f>
        <v>164</v>
      </c>
      <c r="O19" s="37">
        <f t="shared" si="24"/>
        <v>17</v>
      </c>
      <c r="P19" s="50" t="s">
        <v>60</v>
      </c>
      <c r="Q19" s="50" t="s">
        <v>60</v>
      </c>
      <c r="R19" s="50" t="s">
        <v>60</v>
      </c>
      <c r="S19" s="51">
        <f t="shared" si="4"/>
        <v>12</v>
      </c>
      <c r="T19" s="52">
        <f t="shared" si="5"/>
        <v>0</v>
      </c>
      <c r="U19" s="52"/>
      <c r="V19" s="51">
        <f t="shared" si="6"/>
        <v>1</v>
      </c>
      <c r="W19" s="52">
        <f t="shared" si="7"/>
        <v>8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108</v>
      </c>
      <c r="C20" s="37">
        <v>156.0</v>
      </c>
      <c r="D20" s="37">
        <v>8.0</v>
      </c>
      <c r="E20" s="42">
        <f t="shared" si="2"/>
        <v>11.875</v>
      </c>
      <c r="F20" s="89">
        <v>1.0</v>
      </c>
      <c r="G20" s="90">
        <v>3.0</v>
      </c>
      <c r="H20" s="91">
        <v>0.0</v>
      </c>
      <c r="I20" s="90">
        <v>6.0</v>
      </c>
      <c r="J20" s="90">
        <v>6.0</v>
      </c>
      <c r="K20" s="90">
        <v>4.0</v>
      </c>
      <c r="L20" s="92">
        <v>16.0</v>
      </c>
      <c r="M20" s="90">
        <v>2.0</v>
      </c>
      <c r="N20" s="37">
        <f t="shared" ref="N20:O20" si="25">C20+L20</f>
        <v>172</v>
      </c>
      <c r="O20" s="37">
        <f t="shared" si="25"/>
        <v>10</v>
      </c>
      <c r="P20" s="50" t="s">
        <v>60</v>
      </c>
      <c r="Q20" s="50" t="s">
        <v>60</v>
      </c>
      <c r="R20" s="50" t="s">
        <v>60</v>
      </c>
      <c r="S20" s="51">
        <f t="shared" si="4"/>
        <v>8</v>
      </c>
      <c r="T20" s="52">
        <f t="shared" si="5"/>
        <v>4</v>
      </c>
      <c r="U20" s="52"/>
      <c r="V20" s="51">
        <f t="shared" si="6"/>
        <v>1</v>
      </c>
      <c r="W20" s="52">
        <f t="shared" si="7"/>
        <v>-3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140</v>
      </c>
      <c r="C21" s="37">
        <v>155.0</v>
      </c>
      <c r="D21" s="37">
        <v>15.0</v>
      </c>
      <c r="E21" s="42">
        <f t="shared" si="2"/>
        <v>12.45454545</v>
      </c>
      <c r="F21" s="89">
        <v>3.0</v>
      </c>
      <c r="G21" s="90">
        <v>0.0</v>
      </c>
      <c r="H21" s="91">
        <v>9.0</v>
      </c>
      <c r="I21" s="90">
        <v>0.0</v>
      </c>
      <c r="J21" s="90">
        <v>0.0</v>
      </c>
      <c r="K21" s="90">
        <v>0.0</v>
      </c>
      <c r="L21" s="92">
        <v>9.0</v>
      </c>
      <c r="M21" s="90">
        <v>0.0</v>
      </c>
      <c r="N21" s="37">
        <f t="shared" ref="N21:O21" si="26">C21+L21</f>
        <v>164</v>
      </c>
      <c r="O21" s="37">
        <f t="shared" si="26"/>
        <v>15</v>
      </c>
      <c r="P21" s="50" t="s">
        <v>60</v>
      </c>
      <c r="Q21" s="50" t="s">
        <v>60</v>
      </c>
      <c r="R21" s="50" t="s">
        <v>60</v>
      </c>
      <c r="S21" s="51">
        <f t="shared" si="4"/>
        <v>11</v>
      </c>
      <c r="T21" s="52">
        <f t="shared" si="5"/>
        <v>0</v>
      </c>
      <c r="U21" s="52"/>
      <c r="V21" s="51">
        <f t="shared" si="6"/>
        <v>2</v>
      </c>
      <c r="W21" s="52">
        <f t="shared" si="7"/>
        <v>-3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122</v>
      </c>
      <c r="C22" s="37">
        <v>155.0</v>
      </c>
      <c r="D22" s="37">
        <v>13.0</v>
      </c>
      <c r="E22" s="42">
        <f t="shared" si="2"/>
        <v>13.28571429</v>
      </c>
      <c r="F22" s="89">
        <v>1.0</v>
      </c>
      <c r="G22" s="90">
        <v>4.0</v>
      </c>
      <c r="H22" s="91">
        <v>0.0</v>
      </c>
      <c r="I22" s="90">
        <v>6.0</v>
      </c>
      <c r="J22" s="90">
        <v>6.0</v>
      </c>
      <c r="K22" s="90">
        <v>3.0</v>
      </c>
      <c r="L22" s="92">
        <v>15.0</v>
      </c>
      <c r="M22" s="90">
        <v>1.0</v>
      </c>
      <c r="N22" s="37">
        <f t="shared" ref="N22:O22" si="27">C22+L22</f>
        <v>170</v>
      </c>
      <c r="O22" s="37">
        <f t="shared" si="27"/>
        <v>14</v>
      </c>
      <c r="P22" s="50" t="s">
        <v>60</v>
      </c>
      <c r="Q22" s="50" t="s">
        <v>60</v>
      </c>
      <c r="R22" s="50" t="s">
        <v>60</v>
      </c>
      <c r="S22" s="51">
        <f t="shared" si="4"/>
        <v>7</v>
      </c>
      <c r="T22" s="52">
        <f t="shared" si="5"/>
        <v>2</v>
      </c>
      <c r="U22" s="52"/>
      <c r="V22" s="51">
        <f t="shared" si="6"/>
        <v>4</v>
      </c>
      <c r="W22" s="52">
        <f t="shared" si="7"/>
        <v>3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126</v>
      </c>
      <c r="C23" s="37">
        <v>154.0</v>
      </c>
      <c r="D23" s="37">
        <v>12.0</v>
      </c>
      <c r="E23" s="42">
        <f t="shared" si="2"/>
        <v>14.5</v>
      </c>
      <c r="F23" s="89">
        <v>3.0</v>
      </c>
      <c r="G23" s="90">
        <v>0.0</v>
      </c>
      <c r="H23" s="91">
        <v>9.0</v>
      </c>
      <c r="I23" s="90">
        <v>0.0</v>
      </c>
      <c r="J23" s="90">
        <v>0.0</v>
      </c>
      <c r="K23" s="90">
        <v>0.0</v>
      </c>
      <c r="L23" s="92">
        <v>9.0</v>
      </c>
      <c r="M23" s="90">
        <v>0.0</v>
      </c>
      <c r="N23" s="37">
        <f t="shared" ref="N23:O23" si="28">C23+L23</f>
        <v>163</v>
      </c>
      <c r="O23" s="37">
        <f t="shared" si="28"/>
        <v>12</v>
      </c>
      <c r="P23" s="50" t="s">
        <v>60</v>
      </c>
      <c r="Q23" s="50" t="s">
        <v>60</v>
      </c>
      <c r="R23" s="50" t="s">
        <v>60</v>
      </c>
      <c r="S23" s="51">
        <f t="shared" si="4"/>
        <v>6</v>
      </c>
      <c r="T23" s="52">
        <f t="shared" si="5"/>
        <v>1</v>
      </c>
      <c r="U23" s="52"/>
      <c r="V23" s="51">
        <f t="shared" si="6"/>
        <v>6</v>
      </c>
      <c r="W23" s="52">
        <f t="shared" si="7"/>
        <v>-2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121</v>
      </c>
      <c r="C24" s="37">
        <v>153.0</v>
      </c>
      <c r="D24" s="37">
        <v>15.0</v>
      </c>
      <c r="E24" s="42">
        <f t="shared" si="2"/>
        <v>15</v>
      </c>
      <c r="F24" s="89">
        <v>3.0</v>
      </c>
      <c r="G24" s="90">
        <v>0.0</v>
      </c>
      <c r="H24" s="91">
        <v>9.0</v>
      </c>
      <c r="I24" s="90">
        <v>0.0</v>
      </c>
      <c r="J24" s="90">
        <v>0.0</v>
      </c>
      <c r="K24" s="90">
        <v>0.0</v>
      </c>
      <c r="L24" s="92">
        <v>9.0</v>
      </c>
      <c r="M24" s="90">
        <v>0.0</v>
      </c>
      <c r="N24" s="37">
        <f t="shared" ref="N24:O24" si="29">C24+L24</f>
        <v>162</v>
      </c>
      <c r="O24" s="37">
        <f t="shared" si="29"/>
        <v>15</v>
      </c>
      <c r="P24" s="50" t="s">
        <v>60</v>
      </c>
      <c r="Q24" s="50" t="s">
        <v>60</v>
      </c>
      <c r="R24" s="50" t="s">
        <v>60</v>
      </c>
      <c r="S24" s="51">
        <f t="shared" si="4"/>
        <v>6</v>
      </c>
      <c r="T24" s="52">
        <f t="shared" si="5"/>
        <v>0</v>
      </c>
      <c r="U24" s="52"/>
      <c r="V24" s="51">
        <f t="shared" si="6"/>
        <v>7</v>
      </c>
      <c r="W24" s="52">
        <f t="shared" si="7"/>
        <v>-2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81</v>
      </c>
      <c r="C25" s="37">
        <v>153.0</v>
      </c>
      <c r="D25" s="37">
        <v>13.0</v>
      </c>
      <c r="E25" s="42">
        <f t="shared" si="2"/>
        <v>14.14285714</v>
      </c>
      <c r="F25" s="89">
        <v>1.0</v>
      </c>
      <c r="G25" s="90">
        <v>4.0</v>
      </c>
      <c r="H25" s="91">
        <v>0.0</v>
      </c>
      <c r="I25" s="90">
        <v>7.0</v>
      </c>
      <c r="J25" s="90">
        <v>6.0</v>
      </c>
      <c r="K25" s="90">
        <v>6.0</v>
      </c>
      <c r="L25" s="92">
        <v>19.0</v>
      </c>
      <c r="M25" s="90">
        <v>3.0</v>
      </c>
      <c r="N25" s="37">
        <f t="shared" ref="N25:O25" si="30">C25+L25</f>
        <v>172</v>
      </c>
      <c r="O25" s="37">
        <f t="shared" si="30"/>
        <v>16</v>
      </c>
      <c r="P25" s="50" t="s">
        <v>60</v>
      </c>
      <c r="Q25" s="50" t="s">
        <v>60</v>
      </c>
      <c r="R25" s="50" t="s">
        <v>60</v>
      </c>
      <c r="S25" s="51">
        <f t="shared" si="4"/>
        <v>7</v>
      </c>
      <c r="T25" s="52">
        <f t="shared" si="5"/>
        <v>0</v>
      </c>
      <c r="U25" s="52"/>
      <c r="V25" s="51">
        <f t="shared" si="6"/>
        <v>6</v>
      </c>
      <c r="W25" s="52">
        <f t="shared" si="7"/>
        <v>4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135</v>
      </c>
      <c r="C26" s="37">
        <v>152.0</v>
      </c>
      <c r="D26" s="37">
        <v>16.0</v>
      </c>
      <c r="E26" s="42">
        <f t="shared" si="2"/>
        <v>12.18181818</v>
      </c>
      <c r="F26" s="89">
        <v>1.0</v>
      </c>
      <c r="G26" s="90">
        <v>4.0</v>
      </c>
      <c r="H26" s="91">
        <v>0.0</v>
      </c>
      <c r="I26" s="90">
        <v>7.0</v>
      </c>
      <c r="J26" s="90">
        <v>3.0</v>
      </c>
      <c r="K26" s="90">
        <v>3.0</v>
      </c>
      <c r="L26" s="92">
        <v>13.0</v>
      </c>
      <c r="M26" s="90">
        <v>1.0</v>
      </c>
      <c r="N26" s="37">
        <f t="shared" ref="N26:O26" si="31">C26+L26</f>
        <v>165</v>
      </c>
      <c r="O26" s="37">
        <f t="shared" si="31"/>
        <v>17</v>
      </c>
      <c r="P26" s="50" t="s">
        <v>60</v>
      </c>
      <c r="Q26" s="50" t="s">
        <v>60</v>
      </c>
      <c r="R26" s="50" t="s">
        <v>60</v>
      </c>
      <c r="S26" s="51">
        <f t="shared" si="4"/>
        <v>11</v>
      </c>
      <c r="T26" s="52">
        <f t="shared" si="5"/>
        <v>0</v>
      </c>
      <c r="U26" s="52"/>
      <c r="V26" s="51">
        <f t="shared" si="6"/>
        <v>2</v>
      </c>
      <c r="W26" s="52">
        <f t="shared" si="7"/>
        <v>-3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98</v>
      </c>
      <c r="C27" s="37">
        <v>152.0</v>
      </c>
      <c r="D27" s="37">
        <v>14.0</v>
      </c>
      <c r="E27" s="42">
        <f t="shared" si="2"/>
        <v>12.18181818</v>
      </c>
      <c r="F27" s="89">
        <v>1.0</v>
      </c>
      <c r="G27" s="90">
        <v>4.0</v>
      </c>
      <c r="H27" s="91">
        <v>0.0</v>
      </c>
      <c r="I27" s="90">
        <v>6.0</v>
      </c>
      <c r="J27" s="90">
        <v>3.0</v>
      </c>
      <c r="K27" s="90">
        <v>6.0</v>
      </c>
      <c r="L27" s="92">
        <v>15.0</v>
      </c>
      <c r="M27" s="90">
        <v>1.0</v>
      </c>
      <c r="N27" s="37">
        <f t="shared" ref="N27:O27" si="32">C27+L27</f>
        <v>167</v>
      </c>
      <c r="O27" s="37">
        <f t="shared" si="32"/>
        <v>15</v>
      </c>
      <c r="P27" s="50" t="s">
        <v>60</v>
      </c>
      <c r="Q27" s="50" t="s">
        <v>60</v>
      </c>
      <c r="R27" s="50" t="s">
        <v>60</v>
      </c>
      <c r="S27" s="51">
        <f t="shared" si="4"/>
        <v>11</v>
      </c>
      <c r="T27" s="52">
        <f t="shared" si="5"/>
        <v>0</v>
      </c>
      <c r="U27" s="52"/>
      <c r="V27" s="51">
        <f t="shared" si="6"/>
        <v>2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115</v>
      </c>
      <c r="C28" s="37">
        <v>151.0</v>
      </c>
      <c r="D28" s="37">
        <v>10.0</v>
      </c>
      <c r="E28" s="42">
        <f t="shared" si="2"/>
        <v>12.75</v>
      </c>
      <c r="F28" s="89">
        <v>3.0</v>
      </c>
      <c r="G28" s="90">
        <v>0.0</v>
      </c>
      <c r="H28" s="91">
        <v>9.0</v>
      </c>
      <c r="I28" s="90">
        <v>0.0</v>
      </c>
      <c r="J28" s="90">
        <v>0.0</v>
      </c>
      <c r="K28" s="90">
        <v>0.0</v>
      </c>
      <c r="L28" s="92">
        <v>9.0</v>
      </c>
      <c r="M28" s="90">
        <v>0.0</v>
      </c>
      <c r="N28" s="37">
        <f t="shared" ref="N28:O28" si="33">C28+L28</f>
        <v>160</v>
      </c>
      <c r="O28" s="37">
        <f t="shared" si="33"/>
        <v>10</v>
      </c>
      <c r="P28" s="50" t="s">
        <v>60</v>
      </c>
      <c r="Q28" s="50" t="s">
        <v>60</v>
      </c>
      <c r="R28" s="50" t="s">
        <v>60</v>
      </c>
      <c r="S28" s="51">
        <f t="shared" si="4"/>
        <v>8</v>
      </c>
      <c r="T28" s="52">
        <f t="shared" si="5"/>
        <v>1</v>
      </c>
      <c r="U28" s="52"/>
      <c r="V28" s="51">
        <f t="shared" si="6"/>
        <v>4</v>
      </c>
      <c r="W28" s="52">
        <f t="shared" si="7"/>
        <v>-2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102</v>
      </c>
      <c r="C29" s="37">
        <v>151.0</v>
      </c>
      <c r="D29" s="37">
        <v>9.0</v>
      </c>
      <c r="E29" s="42">
        <f t="shared" si="2"/>
        <v>12.5</v>
      </c>
      <c r="F29" s="89">
        <v>5.0</v>
      </c>
      <c r="G29" s="90">
        <v>0.0</v>
      </c>
      <c r="H29" s="91">
        <v>13.0</v>
      </c>
      <c r="I29" s="90">
        <v>0.0</v>
      </c>
      <c r="J29" s="90">
        <v>0.0</v>
      </c>
      <c r="K29" s="90">
        <v>0.0</v>
      </c>
      <c r="L29" s="92">
        <v>13.0</v>
      </c>
      <c r="M29" s="90">
        <v>0.0</v>
      </c>
      <c r="N29" s="37">
        <f t="shared" ref="N29:O29" si="34">C29+L29</f>
        <v>164</v>
      </c>
      <c r="O29" s="37">
        <f t="shared" si="34"/>
        <v>9</v>
      </c>
      <c r="P29" s="50" t="s">
        <v>60</v>
      </c>
      <c r="Q29" s="50" t="s">
        <v>60</v>
      </c>
      <c r="R29" s="50" t="s">
        <v>60</v>
      </c>
      <c r="S29" s="51">
        <f t="shared" si="4"/>
        <v>4</v>
      </c>
      <c r="T29" s="52">
        <f t="shared" si="5"/>
        <v>5</v>
      </c>
      <c r="U29" s="52"/>
      <c r="V29" s="51">
        <f t="shared" si="6"/>
        <v>4</v>
      </c>
      <c r="W29" s="52">
        <f t="shared" si="7"/>
        <v>-1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130</v>
      </c>
      <c r="C30" s="37">
        <v>147.0</v>
      </c>
      <c r="D30" s="37">
        <v>14.0</v>
      </c>
      <c r="E30" s="42">
        <f t="shared" si="2"/>
        <v>12.14285714</v>
      </c>
      <c r="F30" s="89">
        <v>5.0</v>
      </c>
      <c r="G30" s="90">
        <v>0.0</v>
      </c>
      <c r="H30" s="91">
        <v>13.0</v>
      </c>
      <c r="I30" s="90">
        <v>0.0</v>
      </c>
      <c r="J30" s="90">
        <v>0.0</v>
      </c>
      <c r="K30" s="90">
        <v>0.0</v>
      </c>
      <c r="L30" s="92">
        <v>13.0</v>
      </c>
      <c r="M30" s="90">
        <v>0.0</v>
      </c>
      <c r="N30" s="37">
        <f t="shared" ref="N30:O30" si="35">C30+L30</f>
        <v>160</v>
      </c>
      <c r="O30" s="37">
        <f t="shared" si="35"/>
        <v>14</v>
      </c>
      <c r="P30" s="50" t="s">
        <v>60</v>
      </c>
      <c r="Q30" s="50" t="s">
        <v>60</v>
      </c>
      <c r="R30" s="50" t="s">
        <v>60</v>
      </c>
      <c r="S30" s="51">
        <f t="shared" si="4"/>
        <v>7</v>
      </c>
      <c r="T30" s="52">
        <f t="shared" si="5"/>
        <v>2</v>
      </c>
      <c r="U30" s="52"/>
      <c r="V30" s="51">
        <f t="shared" si="6"/>
        <v>4</v>
      </c>
      <c r="W30" s="52">
        <f t="shared" si="7"/>
        <v>3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127</v>
      </c>
      <c r="C31" s="37">
        <v>147.0</v>
      </c>
      <c r="D31" s="37">
        <v>11.0</v>
      </c>
      <c r="E31" s="42">
        <f t="shared" si="2"/>
        <v>12.14285714</v>
      </c>
      <c r="F31" s="89">
        <v>1.0</v>
      </c>
      <c r="G31" s="90">
        <v>5.0</v>
      </c>
      <c r="H31" s="91">
        <v>0.0</v>
      </c>
      <c r="I31" s="90">
        <v>6.0</v>
      </c>
      <c r="J31" s="90">
        <v>4.0</v>
      </c>
      <c r="K31" s="90">
        <v>4.0</v>
      </c>
      <c r="L31" s="92">
        <v>14.0</v>
      </c>
      <c r="M31" s="90">
        <v>1.0</v>
      </c>
      <c r="N31" s="37">
        <f t="shared" ref="N31:O31" si="36">C31+L31</f>
        <v>161</v>
      </c>
      <c r="O31" s="37">
        <f t="shared" si="36"/>
        <v>12</v>
      </c>
      <c r="P31" s="50" t="s">
        <v>60</v>
      </c>
      <c r="Q31" s="50" t="s">
        <v>60</v>
      </c>
      <c r="R31" s="50" t="s">
        <v>60</v>
      </c>
      <c r="S31" s="51">
        <f t="shared" si="4"/>
        <v>7</v>
      </c>
      <c r="T31" s="52">
        <f t="shared" si="5"/>
        <v>2</v>
      </c>
      <c r="U31" s="52"/>
      <c r="V31" s="51">
        <f t="shared" si="6"/>
        <v>4</v>
      </c>
      <c r="W31" s="52">
        <f t="shared" si="7"/>
        <v>1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136</v>
      </c>
      <c r="C32" s="37">
        <v>146.0</v>
      </c>
      <c r="D32" s="37">
        <v>9.0</v>
      </c>
      <c r="E32" s="42">
        <f t="shared" si="2"/>
        <v>11.625</v>
      </c>
      <c r="F32" s="89">
        <v>3.0</v>
      </c>
      <c r="G32" s="90">
        <v>0.0</v>
      </c>
      <c r="H32" s="91">
        <v>9.0</v>
      </c>
      <c r="I32" s="90">
        <v>0.0</v>
      </c>
      <c r="J32" s="90">
        <v>0.0</v>
      </c>
      <c r="K32" s="90">
        <v>0.0</v>
      </c>
      <c r="L32" s="92">
        <v>9.0</v>
      </c>
      <c r="M32" s="90">
        <v>0.0</v>
      </c>
      <c r="N32" s="37">
        <f t="shared" ref="N32:O32" si="37">C32+L32</f>
        <v>155</v>
      </c>
      <c r="O32" s="37">
        <f t="shared" si="37"/>
        <v>9</v>
      </c>
      <c r="P32" s="50" t="s">
        <v>60</v>
      </c>
      <c r="Q32" s="50" t="s">
        <v>60</v>
      </c>
      <c r="R32" s="50" t="s">
        <v>60</v>
      </c>
      <c r="S32" s="51">
        <f t="shared" si="4"/>
        <v>8</v>
      </c>
      <c r="T32" s="52">
        <f t="shared" si="5"/>
        <v>2</v>
      </c>
      <c r="U32" s="52"/>
      <c r="V32" s="51">
        <f t="shared" si="6"/>
        <v>3</v>
      </c>
      <c r="W32" s="52">
        <f t="shared" si="7"/>
        <v>-1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87</v>
      </c>
      <c r="C33" s="37">
        <v>144.0</v>
      </c>
      <c r="D33" s="37">
        <v>9.0</v>
      </c>
      <c r="E33" s="42">
        <f t="shared" si="2"/>
        <v>10.91666667</v>
      </c>
      <c r="F33" s="89">
        <v>1.0</v>
      </c>
      <c r="G33" s="90">
        <v>5.0</v>
      </c>
      <c r="H33" s="91">
        <v>0.0</v>
      </c>
      <c r="I33" s="90">
        <v>4.0</v>
      </c>
      <c r="J33" s="90">
        <v>6.0</v>
      </c>
      <c r="K33" s="90">
        <v>4.0</v>
      </c>
      <c r="L33" s="92">
        <v>14.0</v>
      </c>
      <c r="M33" s="90">
        <v>1.0</v>
      </c>
      <c r="N33" s="37">
        <f t="shared" ref="N33:O33" si="38">C33+L33</f>
        <v>158</v>
      </c>
      <c r="O33" s="37">
        <f t="shared" si="38"/>
        <v>10</v>
      </c>
      <c r="P33" s="50" t="s">
        <v>60</v>
      </c>
      <c r="Q33" s="50" t="s">
        <v>60</v>
      </c>
      <c r="R33" s="50" t="s">
        <v>60</v>
      </c>
      <c r="S33" s="51">
        <f t="shared" si="4"/>
        <v>12</v>
      </c>
      <c r="T33" s="52">
        <f t="shared" si="5"/>
        <v>1</v>
      </c>
      <c r="U33" s="52"/>
      <c r="V33" s="51">
        <f t="shared" si="6"/>
        <v>0</v>
      </c>
      <c r="W33" s="52">
        <f t="shared" si="7"/>
        <v>-3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100</v>
      </c>
      <c r="C34" s="37">
        <v>142.0</v>
      </c>
      <c r="D34" s="37">
        <v>11.0</v>
      </c>
      <c r="E34" s="42">
        <f t="shared" si="2"/>
        <v>11.27272727</v>
      </c>
      <c r="F34" s="89">
        <v>1.0</v>
      </c>
      <c r="G34" s="90">
        <v>5.0</v>
      </c>
      <c r="H34" s="91">
        <v>0.0</v>
      </c>
      <c r="I34" s="90">
        <v>4.0</v>
      </c>
      <c r="J34" s="90">
        <v>4.0</v>
      </c>
      <c r="K34" s="90">
        <v>6.0</v>
      </c>
      <c r="L34" s="92">
        <v>14.0</v>
      </c>
      <c r="M34" s="90">
        <v>1.0</v>
      </c>
      <c r="N34" s="37">
        <f t="shared" ref="N34:O34" si="39">C34+L34</f>
        <v>156</v>
      </c>
      <c r="O34" s="37">
        <f t="shared" si="39"/>
        <v>12</v>
      </c>
      <c r="P34" s="50" t="s">
        <v>60</v>
      </c>
      <c r="Q34" s="50" t="s">
        <v>60</v>
      </c>
      <c r="R34" s="50" t="s">
        <v>60</v>
      </c>
      <c r="S34" s="51">
        <f t="shared" si="4"/>
        <v>11</v>
      </c>
      <c r="T34" s="52">
        <f t="shared" si="5"/>
        <v>0</v>
      </c>
      <c r="U34" s="52"/>
      <c r="V34" s="51">
        <f t="shared" si="6"/>
        <v>2</v>
      </c>
      <c r="W34" s="52">
        <f t="shared" si="7"/>
        <v>0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94</v>
      </c>
      <c r="C35" s="37">
        <v>142.0</v>
      </c>
      <c r="D35" s="37">
        <v>11.0</v>
      </c>
      <c r="E35" s="42">
        <f t="shared" si="2"/>
        <v>11.625</v>
      </c>
      <c r="F35" s="89">
        <v>1.0</v>
      </c>
      <c r="G35" s="90">
        <v>5.0</v>
      </c>
      <c r="H35" s="91">
        <v>0.0</v>
      </c>
      <c r="I35" s="90">
        <v>6.0</v>
      </c>
      <c r="J35" s="90">
        <v>6.0</v>
      </c>
      <c r="K35" s="90">
        <v>6.0</v>
      </c>
      <c r="L35" s="92">
        <v>18.0</v>
      </c>
      <c r="M35" s="90">
        <v>3.0</v>
      </c>
      <c r="N35" s="37">
        <f t="shared" ref="N35:O35" si="40">C35+L35</f>
        <v>160</v>
      </c>
      <c r="O35" s="37">
        <f t="shared" si="40"/>
        <v>14</v>
      </c>
      <c r="P35" s="50" t="s">
        <v>60</v>
      </c>
      <c r="Q35" s="50" t="s">
        <v>60</v>
      </c>
      <c r="R35" s="50" t="s">
        <v>60</v>
      </c>
      <c r="S35" s="51">
        <f t="shared" si="4"/>
        <v>8</v>
      </c>
      <c r="T35" s="52">
        <f t="shared" si="5"/>
        <v>1</v>
      </c>
      <c r="U35" s="52"/>
      <c r="V35" s="51">
        <f t="shared" si="6"/>
        <v>4</v>
      </c>
      <c r="W35" s="52">
        <f t="shared" si="7"/>
        <v>3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142</v>
      </c>
      <c r="C36" s="37">
        <v>139.0</v>
      </c>
      <c r="D36" s="37">
        <v>7.0</v>
      </c>
      <c r="E36" s="42">
        <f t="shared" si="2"/>
        <v>15</v>
      </c>
      <c r="F36" s="89">
        <v>3.0</v>
      </c>
      <c r="G36" s="90">
        <v>0.0</v>
      </c>
      <c r="H36" s="91">
        <v>9.0</v>
      </c>
      <c r="I36" s="90">
        <v>0.0</v>
      </c>
      <c r="J36" s="90">
        <v>0.0</v>
      </c>
      <c r="K36" s="90">
        <v>0.0</v>
      </c>
      <c r="L36" s="92">
        <v>9.0</v>
      </c>
      <c r="M36" s="90">
        <v>0.0</v>
      </c>
      <c r="N36" s="37">
        <f t="shared" ref="N36:O36" si="41">C36+L36</f>
        <v>148</v>
      </c>
      <c r="O36" s="37">
        <f t="shared" si="41"/>
        <v>7</v>
      </c>
      <c r="P36" s="50" t="s">
        <v>60</v>
      </c>
      <c r="Q36" s="50" t="s">
        <v>60</v>
      </c>
      <c r="R36" s="50" t="s">
        <v>60</v>
      </c>
      <c r="S36" s="51">
        <f t="shared" si="4"/>
        <v>3</v>
      </c>
      <c r="T36" s="52">
        <f t="shared" si="5"/>
        <v>1</v>
      </c>
      <c r="U36" s="52"/>
      <c r="V36" s="51">
        <f t="shared" si="6"/>
        <v>9</v>
      </c>
      <c r="W36" s="52">
        <f t="shared" si="7"/>
        <v>7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114</v>
      </c>
      <c r="C37" s="37">
        <v>135.0</v>
      </c>
      <c r="D37" s="37">
        <v>9.0</v>
      </c>
      <c r="E37" s="42">
        <f t="shared" si="2"/>
        <v>10.25</v>
      </c>
      <c r="F37" s="89">
        <v>1.0</v>
      </c>
      <c r="G37" s="90">
        <v>6.0</v>
      </c>
      <c r="H37" s="91">
        <v>0.0</v>
      </c>
      <c r="I37" s="90">
        <v>7.0</v>
      </c>
      <c r="J37" s="90">
        <v>6.0</v>
      </c>
      <c r="K37" s="90">
        <v>6.0</v>
      </c>
      <c r="L37" s="92">
        <v>19.0</v>
      </c>
      <c r="M37" s="90">
        <v>3.0</v>
      </c>
      <c r="N37" s="37">
        <f t="shared" ref="N37:O37" si="42">C37+L37</f>
        <v>154</v>
      </c>
      <c r="O37" s="37">
        <f t="shared" si="42"/>
        <v>12</v>
      </c>
      <c r="P37" s="50" t="s">
        <v>60</v>
      </c>
      <c r="Q37" s="50" t="s">
        <v>60</v>
      </c>
      <c r="R37" s="50" t="s">
        <v>60</v>
      </c>
      <c r="S37" s="51">
        <f t="shared" si="4"/>
        <v>8</v>
      </c>
      <c r="T37" s="52">
        <f t="shared" si="5"/>
        <v>2</v>
      </c>
      <c r="U37" s="52"/>
      <c r="V37" s="51">
        <f t="shared" si="6"/>
        <v>3</v>
      </c>
      <c r="W37" s="52">
        <f t="shared" si="7"/>
        <v>-2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109</v>
      </c>
      <c r="C38" s="37">
        <v>135.0</v>
      </c>
      <c r="D38" s="37">
        <v>4.0</v>
      </c>
      <c r="E38" s="42">
        <f t="shared" si="2"/>
        <v>9.4</v>
      </c>
      <c r="F38" s="89">
        <v>1.0</v>
      </c>
      <c r="G38" s="90">
        <v>6.0</v>
      </c>
      <c r="H38" s="91">
        <v>0.0</v>
      </c>
      <c r="I38" s="90">
        <v>5.0</v>
      </c>
      <c r="J38" s="90">
        <v>6.0</v>
      </c>
      <c r="K38" s="90">
        <v>2.0</v>
      </c>
      <c r="L38" s="92">
        <v>13.0</v>
      </c>
      <c r="M38" s="90">
        <v>1.0</v>
      </c>
      <c r="N38" s="37">
        <f t="shared" ref="N38:O38" si="43">C38+L38</f>
        <v>148</v>
      </c>
      <c r="O38" s="37">
        <f t="shared" si="43"/>
        <v>5</v>
      </c>
      <c r="P38" s="50" t="s">
        <v>60</v>
      </c>
      <c r="Q38" s="50" t="s">
        <v>60</v>
      </c>
      <c r="R38" s="50" t="s">
        <v>60</v>
      </c>
      <c r="S38" s="51">
        <f t="shared" si="4"/>
        <v>5</v>
      </c>
      <c r="T38" s="52">
        <f t="shared" si="5"/>
        <v>4</v>
      </c>
      <c r="U38" s="52"/>
      <c r="V38" s="51">
        <f t="shared" si="6"/>
        <v>4</v>
      </c>
      <c r="W38" s="52">
        <f t="shared" si="7"/>
        <v>1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146</v>
      </c>
      <c r="C39" s="37">
        <v>134.0</v>
      </c>
      <c r="D39" s="37">
        <v>13.0</v>
      </c>
      <c r="E39" s="42">
        <f t="shared" si="2"/>
        <v>10.125</v>
      </c>
      <c r="F39" s="89">
        <v>3.0</v>
      </c>
      <c r="G39" s="90">
        <v>0.0</v>
      </c>
      <c r="H39" s="91">
        <v>9.0</v>
      </c>
      <c r="I39" s="90">
        <v>0.0</v>
      </c>
      <c r="J39" s="90">
        <v>0.0</v>
      </c>
      <c r="K39" s="90">
        <v>0.0</v>
      </c>
      <c r="L39" s="92">
        <v>9.0</v>
      </c>
      <c r="M39" s="90">
        <v>0.0</v>
      </c>
      <c r="N39" s="37">
        <f t="shared" ref="N39:O39" si="44">C39+L39</f>
        <v>143</v>
      </c>
      <c r="O39" s="37">
        <f t="shared" si="44"/>
        <v>13</v>
      </c>
      <c r="P39" s="50" t="s">
        <v>60</v>
      </c>
      <c r="Q39" s="50" t="s">
        <v>60</v>
      </c>
      <c r="R39" s="50" t="s">
        <v>60</v>
      </c>
      <c r="S39" s="51">
        <f t="shared" si="4"/>
        <v>8</v>
      </c>
      <c r="T39" s="52">
        <f t="shared" si="5"/>
        <v>2</v>
      </c>
      <c r="U39" s="52"/>
      <c r="V39" s="51">
        <f t="shared" si="6"/>
        <v>3</v>
      </c>
      <c r="W39" s="52">
        <f t="shared" si="7"/>
        <v>-3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106</v>
      </c>
      <c r="C40" s="37">
        <v>134.0</v>
      </c>
      <c r="D40" s="37">
        <v>9.0</v>
      </c>
      <c r="E40" s="42">
        <f t="shared" si="2"/>
        <v>11.83333333</v>
      </c>
      <c r="F40" s="89">
        <v>1.0</v>
      </c>
      <c r="G40" s="90">
        <v>6.0</v>
      </c>
      <c r="H40" s="91">
        <v>0.0</v>
      </c>
      <c r="I40" s="90">
        <v>7.0</v>
      </c>
      <c r="J40" s="90">
        <v>2.0</v>
      </c>
      <c r="K40" s="90">
        <v>2.0</v>
      </c>
      <c r="L40" s="92">
        <v>11.0</v>
      </c>
      <c r="M40" s="90">
        <v>1.0</v>
      </c>
      <c r="N40" s="37">
        <f t="shared" ref="N40:O40" si="45">C40+L40</f>
        <v>145</v>
      </c>
      <c r="O40" s="37">
        <f t="shared" si="45"/>
        <v>10</v>
      </c>
      <c r="P40" s="50" t="s">
        <v>60</v>
      </c>
      <c r="Q40" s="50" t="s">
        <v>60</v>
      </c>
      <c r="R40" s="50" t="s">
        <v>60</v>
      </c>
      <c r="S40" s="51">
        <f t="shared" si="4"/>
        <v>6</v>
      </c>
      <c r="T40" s="52">
        <f t="shared" si="5"/>
        <v>0</v>
      </c>
      <c r="U40" s="52"/>
      <c r="V40" s="51">
        <f t="shared" si="6"/>
        <v>7</v>
      </c>
      <c r="W40" s="52">
        <f t="shared" si="7"/>
        <v>4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133</v>
      </c>
      <c r="C41" s="37">
        <v>134.0</v>
      </c>
      <c r="D41" s="37">
        <v>6.0</v>
      </c>
      <c r="E41" s="42">
        <f t="shared" si="2"/>
        <v>11.16666667</v>
      </c>
      <c r="F41" s="89">
        <v>1.0</v>
      </c>
      <c r="G41" s="90">
        <v>6.0</v>
      </c>
      <c r="H41" s="91">
        <v>0.0</v>
      </c>
      <c r="I41" s="90">
        <v>5.0</v>
      </c>
      <c r="J41" s="90">
        <v>2.0</v>
      </c>
      <c r="K41" s="90">
        <v>6.0</v>
      </c>
      <c r="L41" s="92">
        <v>13.0</v>
      </c>
      <c r="M41" s="90">
        <v>1.0</v>
      </c>
      <c r="N41" s="37">
        <f t="shared" ref="N41:O41" si="46">C41+L41</f>
        <v>147</v>
      </c>
      <c r="O41" s="37">
        <f t="shared" si="46"/>
        <v>7</v>
      </c>
      <c r="P41" s="50" t="s">
        <v>60</v>
      </c>
      <c r="Q41" s="50" t="s">
        <v>60</v>
      </c>
      <c r="R41" s="50" t="s">
        <v>60</v>
      </c>
      <c r="S41" s="51">
        <f t="shared" si="4"/>
        <v>6</v>
      </c>
      <c r="T41" s="52">
        <f t="shared" si="5"/>
        <v>1</v>
      </c>
      <c r="U41" s="52"/>
      <c r="V41" s="51">
        <f t="shared" si="6"/>
        <v>6</v>
      </c>
      <c r="W41" s="52">
        <f t="shared" si="7"/>
        <v>10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128</v>
      </c>
      <c r="C42" s="37">
        <v>133.0</v>
      </c>
      <c r="D42" s="37">
        <v>10.0</v>
      </c>
      <c r="E42" s="42">
        <f t="shared" si="2"/>
        <v>11.4</v>
      </c>
      <c r="F42" s="89">
        <v>5.0</v>
      </c>
      <c r="G42" s="90">
        <v>0.0</v>
      </c>
      <c r="H42" s="91">
        <v>13.0</v>
      </c>
      <c r="I42" s="90">
        <v>0.0</v>
      </c>
      <c r="J42" s="90">
        <v>0.0</v>
      </c>
      <c r="K42" s="90">
        <v>0.0</v>
      </c>
      <c r="L42" s="92">
        <v>13.0</v>
      </c>
      <c r="M42" s="90">
        <v>0.0</v>
      </c>
      <c r="N42" s="37">
        <f t="shared" ref="N42:O42" si="47">C42+L42</f>
        <v>146</v>
      </c>
      <c r="O42" s="37">
        <f t="shared" si="47"/>
        <v>10</v>
      </c>
      <c r="P42" s="50" t="s">
        <v>60</v>
      </c>
      <c r="Q42" s="50" t="s">
        <v>60</v>
      </c>
      <c r="R42" s="50" t="s">
        <v>60</v>
      </c>
      <c r="S42" s="51">
        <f t="shared" si="4"/>
        <v>5</v>
      </c>
      <c r="T42" s="52">
        <f t="shared" si="5"/>
        <v>1</v>
      </c>
      <c r="U42" s="52"/>
      <c r="V42" s="51">
        <f t="shared" si="6"/>
        <v>7</v>
      </c>
      <c r="W42" s="52">
        <f t="shared" si="7"/>
        <v>-5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120</v>
      </c>
      <c r="C43" s="37">
        <v>133.0</v>
      </c>
      <c r="D43" s="37">
        <v>6.0</v>
      </c>
      <c r="E43" s="42">
        <f t="shared" si="2"/>
        <v>12</v>
      </c>
      <c r="F43" s="89">
        <v>1.0</v>
      </c>
      <c r="G43" s="90">
        <v>7.0</v>
      </c>
      <c r="H43" s="91">
        <v>0.0</v>
      </c>
      <c r="I43" s="90">
        <v>7.0</v>
      </c>
      <c r="J43" s="90">
        <v>6.0</v>
      </c>
      <c r="K43" s="90">
        <v>6.0</v>
      </c>
      <c r="L43" s="92">
        <v>19.0</v>
      </c>
      <c r="M43" s="90">
        <v>3.0</v>
      </c>
      <c r="N43" s="37">
        <f t="shared" ref="N43:O43" si="48">C43+L43</f>
        <v>152</v>
      </c>
      <c r="O43" s="37">
        <f t="shared" si="48"/>
        <v>9</v>
      </c>
      <c r="P43" s="50" t="s">
        <v>60</v>
      </c>
      <c r="Q43" s="50" t="s">
        <v>60</v>
      </c>
      <c r="R43" s="50" t="s">
        <v>60</v>
      </c>
      <c r="S43" s="51">
        <f t="shared" si="4"/>
        <v>4</v>
      </c>
      <c r="T43" s="52">
        <f t="shared" si="5"/>
        <v>1</v>
      </c>
      <c r="U43" s="52"/>
      <c r="V43" s="51">
        <f t="shared" si="6"/>
        <v>8</v>
      </c>
      <c r="W43" s="52">
        <f t="shared" si="7"/>
        <v>4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67</v>
      </c>
      <c r="C44" s="37">
        <v>131.0</v>
      </c>
      <c r="D44" s="37">
        <v>8.0</v>
      </c>
      <c r="E44" s="42">
        <f t="shared" si="2"/>
        <v>10.55555556</v>
      </c>
      <c r="F44" s="89">
        <v>1.0</v>
      </c>
      <c r="G44" s="90">
        <v>7.0</v>
      </c>
      <c r="H44" s="91">
        <v>0.0</v>
      </c>
      <c r="I44" s="90">
        <v>5.0</v>
      </c>
      <c r="J44" s="90">
        <v>6.0</v>
      </c>
      <c r="K44" s="90">
        <v>0.0</v>
      </c>
      <c r="L44" s="92">
        <v>11.0</v>
      </c>
      <c r="M44" s="90">
        <v>1.0</v>
      </c>
      <c r="N44" s="37">
        <f t="shared" ref="N44:O44" si="49">C44+L44</f>
        <v>142</v>
      </c>
      <c r="O44" s="37">
        <f t="shared" si="49"/>
        <v>9</v>
      </c>
      <c r="P44" s="50" t="s">
        <v>60</v>
      </c>
      <c r="Q44" s="50" t="s">
        <v>60</v>
      </c>
      <c r="R44" s="50" t="s">
        <v>60</v>
      </c>
      <c r="S44" s="51">
        <f t="shared" si="4"/>
        <v>9</v>
      </c>
      <c r="T44" s="52">
        <f t="shared" si="5"/>
        <v>0</v>
      </c>
      <c r="U44" s="52"/>
      <c r="V44" s="51">
        <f t="shared" si="6"/>
        <v>4</v>
      </c>
      <c r="W44" s="52">
        <f t="shared" si="7"/>
        <v>-4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117</v>
      </c>
      <c r="C45" s="37">
        <v>131.0</v>
      </c>
      <c r="D45" s="37">
        <v>8.0</v>
      </c>
      <c r="E45" s="42">
        <f t="shared" si="2"/>
        <v>11.8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140</v>
      </c>
      <c r="O45" s="37">
        <f t="shared" si="50"/>
        <v>8</v>
      </c>
      <c r="P45" s="50" t="s">
        <v>60</v>
      </c>
      <c r="Q45" s="50" t="s">
        <v>60</v>
      </c>
      <c r="R45" s="50" t="s">
        <v>60</v>
      </c>
      <c r="S45" s="51">
        <f t="shared" si="4"/>
        <v>5</v>
      </c>
      <c r="T45" s="52">
        <f t="shared" si="5"/>
        <v>0</v>
      </c>
      <c r="U45" s="52"/>
      <c r="V45" s="51">
        <f t="shared" si="6"/>
        <v>8</v>
      </c>
      <c r="W45" s="52">
        <f t="shared" si="7"/>
        <v>-4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111</v>
      </c>
      <c r="C46" s="37">
        <v>131.0</v>
      </c>
      <c r="D46" s="37">
        <v>5.0</v>
      </c>
      <c r="E46" s="42">
        <f t="shared" si="2"/>
        <v>11.33333333</v>
      </c>
      <c r="F46" s="89">
        <v>1.0</v>
      </c>
      <c r="G46" s="90">
        <v>7.0</v>
      </c>
      <c r="H46" s="91">
        <v>0.0</v>
      </c>
      <c r="I46" s="90">
        <v>7.0</v>
      </c>
      <c r="J46" s="90">
        <v>4.0</v>
      </c>
      <c r="K46" s="90">
        <v>0.0</v>
      </c>
      <c r="L46" s="92">
        <v>11.0</v>
      </c>
      <c r="M46" s="90">
        <v>1.0</v>
      </c>
      <c r="N46" s="37">
        <f t="shared" ref="N46:O46" si="51">C46+L46</f>
        <v>142</v>
      </c>
      <c r="O46" s="37">
        <f t="shared" si="51"/>
        <v>6</v>
      </c>
      <c r="P46" s="50" t="s">
        <v>60</v>
      </c>
      <c r="Q46" s="50" t="s">
        <v>60</v>
      </c>
      <c r="R46" s="50" t="s">
        <v>60</v>
      </c>
      <c r="S46" s="51">
        <f t="shared" si="4"/>
        <v>6</v>
      </c>
      <c r="T46" s="52">
        <f t="shared" si="5"/>
        <v>0</v>
      </c>
      <c r="U46" s="52"/>
      <c r="V46" s="51">
        <f t="shared" si="6"/>
        <v>7</v>
      </c>
      <c r="W46" s="52">
        <f t="shared" si="7"/>
        <v>-4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84</v>
      </c>
      <c r="C47" s="37">
        <v>130.0</v>
      </c>
      <c r="D47" s="37">
        <v>4.0</v>
      </c>
      <c r="E47" s="42">
        <f t="shared" si="2"/>
        <v>7.6</v>
      </c>
      <c r="F47" s="89">
        <v>5.0</v>
      </c>
      <c r="G47" s="90">
        <v>0.0</v>
      </c>
      <c r="H47" s="91">
        <v>13.0</v>
      </c>
      <c r="I47" s="90">
        <v>0.0</v>
      </c>
      <c r="J47" s="90">
        <v>0.0</v>
      </c>
      <c r="K47" s="90">
        <v>0.0</v>
      </c>
      <c r="L47" s="92">
        <v>13.0</v>
      </c>
      <c r="M47" s="90">
        <v>0.0</v>
      </c>
      <c r="N47" s="37">
        <f t="shared" ref="N47:O47" si="52">C47+L47</f>
        <v>143</v>
      </c>
      <c r="O47" s="37">
        <f t="shared" si="52"/>
        <v>4</v>
      </c>
      <c r="P47" s="50" t="s">
        <v>60</v>
      </c>
      <c r="Q47" s="50" t="s">
        <v>60</v>
      </c>
      <c r="R47" s="50" t="s">
        <v>60</v>
      </c>
      <c r="S47" s="51">
        <f t="shared" si="4"/>
        <v>5</v>
      </c>
      <c r="T47" s="52">
        <f t="shared" si="5"/>
        <v>5</v>
      </c>
      <c r="U47" s="52"/>
      <c r="V47" s="51">
        <f t="shared" si="6"/>
        <v>3</v>
      </c>
      <c r="W47" s="52">
        <f t="shared" si="7"/>
        <v>1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139</v>
      </c>
      <c r="C48" s="37">
        <v>129.0</v>
      </c>
      <c r="D48" s="37">
        <v>7.0</v>
      </c>
      <c r="E48" s="42">
        <f t="shared" si="2"/>
        <v>13</v>
      </c>
      <c r="F48" s="89">
        <v>3.0</v>
      </c>
      <c r="G48" s="90">
        <v>0.0</v>
      </c>
      <c r="H48" s="91">
        <v>9.0</v>
      </c>
      <c r="I48" s="90">
        <v>0.0</v>
      </c>
      <c r="J48" s="90">
        <v>0.0</v>
      </c>
      <c r="K48" s="90">
        <v>0.0</v>
      </c>
      <c r="L48" s="92">
        <v>9.0</v>
      </c>
      <c r="M48" s="90">
        <v>0.0</v>
      </c>
      <c r="N48" s="37">
        <f t="shared" ref="N48:O48" si="53">C48+L48</f>
        <v>138</v>
      </c>
      <c r="O48" s="37">
        <f t="shared" si="53"/>
        <v>7</v>
      </c>
      <c r="P48" s="50" t="s">
        <v>60</v>
      </c>
      <c r="Q48" s="50" t="s">
        <v>60</v>
      </c>
      <c r="R48" s="50" t="s">
        <v>60</v>
      </c>
      <c r="S48" s="51">
        <f t="shared" si="4"/>
        <v>3</v>
      </c>
      <c r="T48" s="52">
        <f t="shared" si="5"/>
        <v>0</v>
      </c>
      <c r="U48" s="52"/>
      <c r="V48" s="51">
        <f t="shared" si="6"/>
        <v>10</v>
      </c>
      <c r="W48" s="52">
        <f t="shared" si="7"/>
        <v>8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134</v>
      </c>
      <c r="C49" s="37">
        <v>129.0</v>
      </c>
      <c r="D49" s="37">
        <v>6.0</v>
      </c>
      <c r="E49" s="42">
        <f t="shared" si="2"/>
        <v>9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138</v>
      </c>
      <c r="O49" s="37">
        <f t="shared" si="54"/>
        <v>6</v>
      </c>
      <c r="P49" s="50" t="s">
        <v>60</v>
      </c>
      <c r="Q49" s="50" t="s">
        <v>60</v>
      </c>
      <c r="R49" s="50" t="s">
        <v>60</v>
      </c>
      <c r="S49" s="51">
        <f t="shared" si="4"/>
        <v>7</v>
      </c>
      <c r="T49" s="52">
        <f t="shared" si="5"/>
        <v>3</v>
      </c>
      <c r="U49" s="52"/>
      <c r="V49" s="51">
        <f t="shared" si="6"/>
        <v>3</v>
      </c>
      <c r="W49" s="52">
        <f t="shared" si="7"/>
        <v>-4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125</v>
      </c>
      <c r="C50" s="37">
        <v>129.0</v>
      </c>
      <c r="D50" s="37">
        <v>3.0</v>
      </c>
      <c r="E50" s="42">
        <f t="shared" si="2"/>
        <v>9</v>
      </c>
      <c r="F50" s="89">
        <v>1.0</v>
      </c>
      <c r="G50" s="90">
        <v>7.0</v>
      </c>
      <c r="H50" s="91">
        <v>0.0</v>
      </c>
      <c r="I50" s="90">
        <v>5.0</v>
      </c>
      <c r="J50" s="90">
        <v>4.0</v>
      </c>
      <c r="K50" s="90">
        <v>6.0</v>
      </c>
      <c r="L50" s="92">
        <v>15.0</v>
      </c>
      <c r="M50" s="90">
        <v>1.0</v>
      </c>
      <c r="N50" s="37">
        <f t="shared" ref="N50:O50" si="55">C50+L50</f>
        <v>144</v>
      </c>
      <c r="O50" s="37">
        <f t="shared" si="55"/>
        <v>4</v>
      </c>
      <c r="P50" s="50" t="s">
        <v>60</v>
      </c>
      <c r="Q50" s="50" t="s">
        <v>60</v>
      </c>
      <c r="R50" s="50" t="s">
        <v>60</v>
      </c>
      <c r="S50" s="51">
        <f t="shared" si="4"/>
        <v>4</v>
      </c>
      <c r="T50" s="52">
        <f t="shared" si="5"/>
        <v>3</v>
      </c>
      <c r="U50" s="52"/>
      <c r="V50" s="51">
        <f t="shared" si="6"/>
        <v>6</v>
      </c>
      <c r="W50" s="52">
        <f t="shared" si="7"/>
        <v>2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90</v>
      </c>
      <c r="C51" s="37">
        <v>128.0</v>
      </c>
      <c r="D51" s="37">
        <v>3.0</v>
      </c>
      <c r="E51" s="42">
        <f t="shared" si="2"/>
        <v>7.75</v>
      </c>
      <c r="F51" s="89">
        <v>1.0</v>
      </c>
      <c r="G51" s="90">
        <v>8.0</v>
      </c>
      <c r="H51" s="91">
        <v>0.0</v>
      </c>
      <c r="I51" s="90">
        <v>6.0</v>
      </c>
      <c r="J51" s="90">
        <v>6.0</v>
      </c>
      <c r="K51" s="90">
        <v>7.0</v>
      </c>
      <c r="L51" s="92">
        <v>19.0</v>
      </c>
      <c r="M51" s="90">
        <v>2.0</v>
      </c>
      <c r="N51" s="37">
        <f t="shared" ref="N51:O51" si="56">C51+L51</f>
        <v>147</v>
      </c>
      <c r="O51" s="37">
        <f t="shared" si="56"/>
        <v>5</v>
      </c>
      <c r="P51" s="50" t="s">
        <v>60</v>
      </c>
      <c r="Q51" s="50" t="s">
        <v>60</v>
      </c>
      <c r="R51" s="50" t="s">
        <v>60</v>
      </c>
      <c r="S51" s="51">
        <f t="shared" si="4"/>
        <v>4</v>
      </c>
      <c r="T51" s="52">
        <f t="shared" si="5"/>
        <v>4</v>
      </c>
      <c r="U51" s="52"/>
      <c r="V51" s="51">
        <f t="shared" si="6"/>
        <v>5</v>
      </c>
      <c r="W51" s="52">
        <f t="shared" si="7"/>
        <v>-5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72</v>
      </c>
      <c r="C52" s="37">
        <v>127.0</v>
      </c>
      <c r="D52" s="37">
        <v>2.0</v>
      </c>
      <c r="E52" s="42">
        <f t="shared" si="2"/>
        <v>8.5</v>
      </c>
      <c r="F52" s="89">
        <v>1.0</v>
      </c>
      <c r="G52" s="90">
        <v>8.0</v>
      </c>
      <c r="H52" s="91">
        <v>0.0</v>
      </c>
      <c r="I52" s="90">
        <v>2.0</v>
      </c>
      <c r="J52" s="90">
        <v>6.0</v>
      </c>
      <c r="K52" s="90">
        <v>6.0</v>
      </c>
      <c r="L52" s="92">
        <v>14.0</v>
      </c>
      <c r="M52" s="90">
        <v>0.0</v>
      </c>
      <c r="N52" s="37">
        <f t="shared" ref="N52:O52" si="57">C52+L52</f>
        <v>141</v>
      </c>
      <c r="O52" s="37">
        <f t="shared" si="57"/>
        <v>2</v>
      </c>
      <c r="P52" s="50" t="s">
        <v>60</v>
      </c>
      <c r="Q52" s="50" t="s">
        <v>60</v>
      </c>
      <c r="R52" s="50" t="s">
        <v>60</v>
      </c>
      <c r="S52" s="51">
        <f t="shared" si="4"/>
        <v>4</v>
      </c>
      <c r="T52" s="52">
        <f t="shared" si="5"/>
        <v>3</v>
      </c>
      <c r="U52" s="52"/>
      <c r="V52" s="51">
        <f t="shared" si="6"/>
        <v>6</v>
      </c>
      <c r="W52" s="52">
        <f t="shared" si="7"/>
        <v>1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144</v>
      </c>
      <c r="C53" s="37">
        <v>126.0</v>
      </c>
      <c r="D53" s="37">
        <v>3.0</v>
      </c>
      <c r="E53" s="42">
        <f t="shared" si="2"/>
        <v>8.25</v>
      </c>
      <c r="F53" s="89">
        <v>3.0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135</v>
      </c>
      <c r="O53" s="37">
        <f t="shared" si="58"/>
        <v>3</v>
      </c>
      <c r="P53" s="50" t="s">
        <v>60</v>
      </c>
      <c r="Q53" s="50" t="s">
        <v>60</v>
      </c>
      <c r="R53" s="50" t="s">
        <v>60</v>
      </c>
      <c r="S53" s="51">
        <f t="shared" si="4"/>
        <v>4</v>
      </c>
      <c r="T53" s="52">
        <f t="shared" si="5"/>
        <v>3</v>
      </c>
      <c r="U53" s="52"/>
      <c r="V53" s="51">
        <f t="shared" si="6"/>
        <v>6</v>
      </c>
      <c r="W53" s="52">
        <f t="shared" si="7"/>
        <v>-4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105</v>
      </c>
      <c r="C54" s="37">
        <v>125.0</v>
      </c>
      <c r="D54" s="37">
        <v>4.0</v>
      </c>
      <c r="E54" s="42">
        <f t="shared" si="2"/>
        <v>9</v>
      </c>
      <c r="F54" s="89">
        <v>1.0</v>
      </c>
      <c r="G54" s="90">
        <v>8.0</v>
      </c>
      <c r="H54" s="91">
        <v>0.0</v>
      </c>
      <c r="I54" s="90">
        <v>6.0</v>
      </c>
      <c r="J54" s="90">
        <v>7.0</v>
      </c>
      <c r="K54" s="90">
        <v>6.0</v>
      </c>
      <c r="L54" s="92">
        <v>19.0</v>
      </c>
      <c r="M54" s="90">
        <v>2.0</v>
      </c>
      <c r="N54" s="37">
        <f t="shared" ref="N54:O54" si="59">C54+L54</f>
        <v>144</v>
      </c>
      <c r="O54" s="37">
        <f t="shared" si="59"/>
        <v>6</v>
      </c>
      <c r="P54" s="50" t="s">
        <v>60</v>
      </c>
      <c r="Q54" s="50" t="s">
        <v>60</v>
      </c>
      <c r="R54" s="50" t="s">
        <v>60</v>
      </c>
      <c r="S54" s="51">
        <f t="shared" si="4"/>
        <v>5</v>
      </c>
      <c r="T54" s="52">
        <f t="shared" si="5"/>
        <v>2</v>
      </c>
      <c r="U54" s="52"/>
      <c r="V54" s="51">
        <f t="shared" si="6"/>
        <v>6</v>
      </c>
      <c r="W54" s="52">
        <f t="shared" si="7"/>
        <v>-4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61</v>
      </c>
      <c r="C55" s="37">
        <v>122.0</v>
      </c>
      <c r="D55" s="37">
        <v>7.0</v>
      </c>
      <c r="E55" s="42">
        <f t="shared" si="2"/>
        <v>10</v>
      </c>
      <c r="F55" s="89">
        <v>3.0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131</v>
      </c>
      <c r="O55" s="37">
        <f t="shared" si="60"/>
        <v>7</v>
      </c>
      <c r="P55" s="50" t="s">
        <v>60</v>
      </c>
      <c r="Q55" s="50" t="s">
        <v>60</v>
      </c>
      <c r="R55" s="50" t="s">
        <v>60</v>
      </c>
      <c r="S55" s="51">
        <f t="shared" si="4"/>
        <v>5</v>
      </c>
      <c r="T55" s="52">
        <f t="shared" si="5"/>
        <v>0</v>
      </c>
      <c r="U55" s="52"/>
      <c r="V55" s="51">
        <f t="shared" si="6"/>
        <v>8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145</v>
      </c>
      <c r="C56" s="37">
        <v>122.0</v>
      </c>
      <c r="D56" s="37">
        <v>3.0</v>
      </c>
      <c r="E56" s="42">
        <f t="shared" si="2"/>
        <v>10</v>
      </c>
      <c r="F56" s="89">
        <v>4.0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131</v>
      </c>
      <c r="O56" s="37">
        <f t="shared" si="61"/>
        <v>3</v>
      </c>
      <c r="P56" s="50" t="s">
        <v>60</v>
      </c>
      <c r="Q56" s="50" t="s">
        <v>60</v>
      </c>
      <c r="R56" s="50" t="s">
        <v>60</v>
      </c>
      <c r="S56" s="51">
        <f t="shared" si="4"/>
        <v>1</v>
      </c>
      <c r="T56" s="52">
        <f t="shared" si="5"/>
        <v>1</v>
      </c>
      <c r="U56" s="52"/>
      <c r="V56" s="51">
        <f t="shared" si="6"/>
        <v>11</v>
      </c>
      <c r="W56" s="52">
        <f t="shared" si="7"/>
        <v>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104</v>
      </c>
      <c r="C57" s="37">
        <v>122.0</v>
      </c>
      <c r="D57" s="37">
        <v>2.0</v>
      </c>
      <c r="E57" s="42">
        <f t="shared" si="2"/>
        <v>6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131</v>
      </c>
      <c r="O57" s="37">
        <f t="shared" si="62"/>
        <v>2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2</v>
      </c>
      <c r="U57" s="52"/>
      <c r="V57" s="51">
        <f t="shared" si="6"/>
        <v>10</v>
      </c>
      <c r="W57" s="52">
        <f t="shared" si="7"/>
        <v>-2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141</v>
      </c>
      <c r="C58" s="37">
        <v>116.0</v>
      </c>
      <c r="D58" s="37">
        <v>4.0</v>
      </c>
      <c r="E58" s="42">
        <f t="shared" si="2"/>
        <v>7.2</v>
      </c>
      <c r="F58" s="89">
        <v>5.0</v>
      </c>
      <c r="G58" s="90">
        <v>0.0</v>
      </c>
      <c r="H58" s="91">
        <v>13.0</v>
      </c>
      <c r="I58" s="90">
        <v>0.0</v>
      </c>
      <c r="J58" s="90">
        <v>0.0</v>
      </c>
      <c r="K58" s="90">
        <v>0.0</v>
      </c>
      <c r="L58" s="92">
        <v>13.0</v>
      </c>
      <c r="M58" s="90">
        <v>0.0</v>
      </c>
      <c r="N58" s="37">
        <f t="shared" ref="N58:O58" si="63">C58+L58</f>
        <v>129</v>
      </c>
      <c r="O58" s="37">
        <f t="shared" si="63"/>
        <v>4</v>
      </c>
      <c r="P58" s="50" t="s">
        <v>60</v>
      </c>
      <c r="Q58" s="50" t="s">
        <v>60</v>
      </c>
      <c r="R58" s="50" t="s">
        <v>60</v>
      </c>
      <c r="S58" s="51">
        <f t="shared" si="4"/>
        <v>5</v>
      </c>
      <c r="T58" s="52">
        <f t="shared" si="5"/>
        <v>2</v>
      </c>
      <c r="U58" s="52"/>
      <c r="V58" s="51">
        <f t="shared" si="6"/>
        <v>6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137</v>
      </c>
      <c r="C59" s="37">
        <v>116.0</v>
      </c>
      <c r="D59" s="37">
        <v>1.0</v>
      </c>
      <c r="E59" s="42">
        <f t="shared" si="2"/>
        <v>6.5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125</v>
      </c>
      <c r="O59" s="37">
        <f t="shared" si="64"/>
        <v>1</v>
      </c>
      <c r="P59" s="50" t="s">
        <v>60</v>
      </c>
      <c r="Q59" s="50" t="s">
        <v>60</v>
      </c>
      <c r="R59" s="50" t="s">
        <v>60</v>
      </c>
      <c r="S59" s="51">
        <f t="shared" si="4"/>
        <v>2</v>
      </c>
      <c r="T59" s="52">
        <f t="shared" si="5"/>
        <v>1</v>
      </c>
      <c r="U59" s="52"/>
      <c r="V59" s="51">
        <f t="shared" si="6"/>
        <v>10</v>
      </c>
      <c r="W59" s="52">
        <f t="shared" si="7"/>
        <v>1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89</v>
      </c>
      <c r="C60" s="37">
        <v>114.0</v>
      </c>
      <c r="D60" s="37">
        <v>2.0</v>
      </c>
      <c r="E60" s="42">
        <f t="shared" si="2"/>
        <v>6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123</v>
      </c>
      <c r="O60" s="37">
        <f t="shared" si="65"/>
        <v>2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0</v>
      </c>
      <c r="U60" s="52"/>
      <c r="V60" s="51">
        <f t="shared" si="6"/>
        <v>12</v>
      </c>
      <c r="W60" s="52">
        <f t="shared" si="7"/>
        <v>-1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56</v>
      </c>
      <c r="C61" s="37">
        <v>113.0</v>
      </c>
      <c r="D61" s="37">
        <v>2.0</v>
      </c>
      <c r="E61" s="42">
        <f t="shared" si="2"/>
        <v>5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122</v>
      </c>
      <c r="O61" s="37">
        <f t="shared" si="66"/>
        <v>2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12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129</v>
      </c>
      <c r="C62" s="37">
        <v>112.0</v>
      </c>
      <c r="D62" s="37">
        <v>3.0</v>
      </c>
      <c r="E62" s="42">
        <f t="shared" si="2"/>
        <v>8</v>
      </c>
      <c r="F62" s="89">
        <v>1.0</v>
      </c>
      <c r="G62" s="90">
        <v>8.0</v>
      </c>
      <c r="H62" s="91">
        <v>0.0</v>
      </c>
      <c r="I62" s="90">
        <v>2.0</v>
      </c>
      <c r="J62" s="90">
        <v>7.0</v>
      </c>
      <c r="K62" s="90">
        <v>7.0</v>
      </c>
      <c r="L62" s="92">
        <v>16.0</v>
      </c>
      <c r="M62" s="90">
        <v>2.0</v>
      </c>
      <c r="N62" s="37">
        <f t="shared" ref="N62:O62" si="67">C62+L62</f>
        <v>128</v>
      </c>
      <c r="O62" s="37">
        <f t="shared" si="67"/>
        <v>5</v>
      </c>
      <c r="P62" s="50" t="s">
        <v>60</v>
      </c>
      <c r="Q62" s="50" t="s">
        <v>60</v>
      </c>
      <c r="R62" s="50" t="s">
        <v>60</v>
      </c>
      <c r="S62" s="51">
        <f t="shared" si="4"/>
        <v>5</v>
      </c>
      <c r="T62" s="52">
        <f t="shared" si="5"/>
        <v>0</v>
      </c>
      <c r="U62" s="52"/>
      <c r="V62" s="51">
        <f t="shared" si="6"/>
        <v>8</v>
      </c>
      <c r="W62" s="52">
        <f t="shared" si="7"/>
        <v>1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96</v>
      </c>
      <c r="C63" s="37">
        <v>111.0</v>
      </c>
      <c r="D63" s="37">
        <v>8.0</v>
      </c>
      <c r="E63" s="42">
        <f t="shared" si="2"/>
        <v>8.5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120</v>
      </c>
      <c r="O63" s="37">
        <f t="shared" si="68"/>
        <v>8</v>
      </c>
      <c r="P63" s="50" t="s">
        <v>60</v>
      </c>
      <c r="Q63" s="50" t="s">
        <v>60</v>
      </c>
      <c r="R63" s="50" t="s">
        <v>60</v>
      </c>
      <c r="S63" s="51">
        <f t="shared" si="4"/>
        <v>12</v>
      </c>
      <c r="T63" s="52">
        <f t="shared" si="5"/>
        <v>0</v>
      </c>
      <c r="U63" s="52"/>
      <c r="V63" s="51">
        <f t="shared" si="6"/>
        <v>1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119</v>
      </c>
      <c r="C64" s="37">
        <v>111.0</v>
      </c>
      <c r="D64" s="37">
        <v>1.0</v>
      </c>
      <c r="E64" s="42">
        <f t="shared" si="2"/>
        <v>3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120</v>
      </c>
      <c r="O64" s="37">
        <f t="shared" si="69"/>
        <v>1</v>
      </c>
      <c r="P64" s="50" t="s">
        <v>60</v>
      </c>
      <c r="Q64" s="50" t="s">
        <v>60</v>
      </c>
      <c r="R64" s="50" t="s">
        <v>60</v>
      </c>
      <c r="S64" s="51">
        <f t="shared" si="4"/>
        <v>1</v>
      </c>
      <c r="T64" s="52">
        <f t="shared" si="5"/>
        <v>0</v>
      </c>
      <c r="U64" s="52"/>
      <c r="V64" s="51">
        <f t="shared" si="6"/>
        <v>12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116</v>
      </c>
      <c r="C65" s="37">
        <v>110.0</v>
      </c>
      <c r="D65" s="37">
        <v>1.0</v>
      </c>
      <c r="E65" s="42">
        <f t="shared" si="2"/>
        <v>-2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119</v>
      </c>
      <c r="O65" s="37">
        <f t="shared" si="70"/>
        <v>1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1</v>
      </c>
      <c r="U65" s="52"/>
      <c r="V65" s="51">
        <f t="shared" si="6"/>
        <v>11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138</v>
      </c>
      <c r="C66" s="37">
        <v>110.0</v>
      </c>
      <c r="D66" s="37">
        <v>1.0</v>
      </c>
      <c r="E66" s="42">
        <f t="shared" si="2"/>
        <v>-2</v>
      </c>
      <c r="F66" s="89">
        <v>5.0</v>
      </c>
      <c r="G66" s="90">
        <v>0.0</v>
      </c>
      <c r="H66" s="91">
        <v>13.0</v>
      </c>
      <c r="I66" s="90">
        <v>0.0</v>
      </c>
      <c r="J66" s="90">
        <v>0.0</v>
      </c>
      <c r="K66" s="90">
        <v>0.0</v>
      </c>
      <c r="L66" s="92">
        <v>13.0</v>
      </c>
      <c r="M66" s="90">
        <v>0.0</v>
      </c>
      <c r="N66" s="37">
        <f t="shared" ref="N66:O66" si="71">C66+L66</f>
        <v>123</v>
      </c>
      <c r="O66" s="37">
        <f t="shared" si="71"/>
        <v>1</v>
      </c>
      <c r="P66" s="50" t="s">
        <v>60</v>
      </c>
      <c r="Q66" s="50" t="s">
        <v>60</v>
      </c>
      <c r="R66" s="50" t="s">
        <v>60</v>
      </c>
      <c r="S66" s="51">
        <f t="shared" si="4"/>
        <v>1</v>
      </c>
      <c r="T66" s="52">
        <f t="shared" si="5"/>
        <v>1</v>
      </c>
      <c r="U66" s="52"/>
      <c r="V66" s="51">
        <f t="shared" si="6"/>
        <v>11</v>
      </c>
      <c r="W66" s="52">
        <f t="shared" si="7"/>
        <v>4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95</v>
      </c>
      <c r="C67" s="37">
        <v>108.0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117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13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77</v>
      </c>
      <c r="C68" s="37">
        <v>108.0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117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13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132</v>
      </c>
      <c r="C69" s="37">
        <v>108.0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117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13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53</v>
      </c>
      <c r="C70" s="37">
        <v>108.0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117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13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108.0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117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11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09/19/26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desc"",0)"),"Tom Le")</f>
        <v>Tom Le</v>
      </c>
      <c r="C83" s="125">
        <f>IFERROR(__xludf.DUMMYFUNCTION("""COMPUTED_VALUE"""),19.0)</f>
        <v>19</v>
      </c>
      <c r="D83" s="125">
        <f>IFERROR(__xludf.DUMMYFUNCTION("""COMPUTED_VALUE"""),2.0)</f>
        <v>2</v>
      </c>
      <c r="E83" s="125">
        <f>IFERROR(__xludf.DUMMYFUNCTION("""COMPUTED_VALUE"""),1.0)</f>
        <v>1</v>
      </c>
      <c r="F83" s="2"/>
    </row>
    <row r="84">
      <c r="A84" s="2"/>
      <c r="B84" s="36" t="str">
        <f>IFERROR(__xludf.DUMMYFUNCTION("""COMPUTED_VALUE"""),"Rudy Tatang")</f>
        <v>Rudy Tatang</v>
      </c>
      <c r="C84" s="125">
        <f>IFERROR(__xludf.DUMMYFUNCTION("""COMPUTED_VALUE"""),18.0)</f>
        <v>18</v>
      </c>
      <c r="D84" s="125">
        <f>IFERROR(__xludf.DUMMYFUNCTION("""COMPUTED_VALUE"""),3.0)</f>
        <v>3</v>
      </c>
      <c r="E84" s="125">
        <f>IFERROR(__xludf.DUMMYFUNCTION("""COMPUTED_VALUE"""),2.0)</f>
        <v>2</v>
      </c>
      <c r="F84" s="2"/>
    </row>
    <row r="85">
      <c r="A85" s="2"/>
      <c r="B85" s="36" t="str">
        <f>IFERROR(__xludf.DUMMYFUNCTION("""COMPUTED_VALUE"""),"Elayaraja Thangaraj")</f>
        <v>Elayaraja Thangaraj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IFERROR(__xludf.DUMMYFUNCTION("""COMPUTED_VALUE"""),5.0)</f>
        <v>5</v>
      </c>
      <c r="F85" s="2"/>
    </row>
    <row r="86">
      <c r="A86" s="2"/>
      <c r="B86" s="36" t="str">
        <f>IFERROR(__xludf.DUMMYFUNCTION("""COMPUTED_VALUE"""),"Ramesh Bandaru")</f>
        <v>Ramesh Bandaru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IFERROR(__xludf.DUMMYFUNCTION("""COMPUTED_VALUE"""),7.0)</f>
        <v>7</v>
      </c>
      <c r="F86" s="2"/>
    </row>
    <row r="87">
      <c r="A87" s="2"/>
      <c r="B87" s="36" t="str">
        <f>IFERROR(__xludf.DUMMYFUNCTION("""COMPUTED_VALUE"""),"Susanta Mishra")</f>
        <v>Susanta Mishra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IFERROR(__xludf.DUMMYFUNCTION("""COMPUTED_VALUE"""),8.0)</f>
        <v>8</v>
      </c>
      <c r="F87" s="2"/>
    </row>
    <row r="88">
      <c r="A88" s="2"/>
      <c r="B88" s="36" t="str">
        <f>IFERROR(__xludf.DUMMYFUNCTION("""COMPUTED_VALUE"""),"Andrew Yao")</f>
        <v>Andrew Yao</v>
      </c>
      <c r="C88" s="125">
        <f>IFERROR(__xludf.DUMMYFUNCTION("""COMPUTED_VALUE"""),18.0)</f>
        <v>18</v>
      </c>
      <c r="D88" s="125">
        <f>IFERROR(__xludf.DUMMYFUNCTION("""COMPUTED_VALUE"""),2.0)</f>
        <v>2</v>
      </c>
      <c r="E88" s="125">
        <f>IFERROR(__xludf.DUMMYFUNCTION("""COMPUTED_VALUE"""),1.0)</f>
        <v>1</v>
      </c>
      <c r="F88" s="2"/>
    </row>
    <row r="89">
      <c r="A89" s="2"/>
      <c r="B89" s="36" t="str">
        <f>IFERROR(__xludf.DUMMYFUNCTION("""COMPUTED_VALUE"""),"Troy Wong")</f>
        <v>Troy Wong</v>
      </c>
      <c r="C89" s="125">
        <f>IFERROR(__xludf.DUMMYFUNCTION("""COMPUTED_VALUE"""),18.0)</f>
        <v>18</v>
      </c>
      <c r="D89" s="125">
        <f>IFERROR(__xludf.DUMMYFUNCTION("""COMPUTED_VALUE"""),2.0)</f>
        <v>2</v>
      </c>
      <c r="E89" s="125">
        <f>IFERROR(__xludf.DUMMYFUNCTION("""COMPUTED_VALUE"""),6.0)</f>
        <v>6</v>
      </c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10"")"),"Ramesh Bandaru")</f>
        <v>Ramesh Bandaru</v>
      </c>
      <c r="C102" s="125">
        <f>IFERROR(__xludf.DUMMYFUNCTION("""COMPUTED_VALUE"""),10.0)</f>
        <v>10</v>
      </c>
      <c r="D102" s="125">
        <f t="shared" ref="D102:D111" si="77">VLOOKUP(B102,indirect($AC$2&amp;"!B$5:X$79"),23, false)</f>
        <v>47</v>
      </c>
      <c r="E102" s="125">
        <f t="shared" ref="E102:E111" si="78">VLOOKUP(B102,B$5:X$71,23, false)</f>
        <v>37</v>
      </c>
      <c r="F102" s="125">
        <f t="shared" ref="F102:F111" si="79">VLOOKUP(B102,indirect($AC$2&amp;"!B$5:U$79"),11, false)</f>
        <v>18</v>
      </c>
      <c r="G102" s="125">
        <f t="shared" ref="G102:G111" si="80">VLOOKUP(B102,indirect($AC$2&amp;"!B$5:U$79"),6, false)</f>
        <v>7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IFERROR(__xludf.DUMMYFUNCTION("""COMPUTED_VALUE"""),"Joe Luzzi")</f>
        <v>Joe Luzzi</v>
      </c>
      <c r="C103" s="125">
        <f>IFERROR(__xludf.DUMMYFUNCTION("""COMPUTED_VALUE"""),8.0)</f>
        <v>8</v>
      </c>
      <c r="D103" s="125">
        <f t="shared" si="77"/>
        <v>23</v>
      </c>
      <c r="E103" s="125">
        <f t="shared" si="78"/>
        <v>15</v>
      </c>
      <c r="F103" s="125">
        <f t="shared" si="79"/>
        <v>16</v>
      </c>
      <c r="G103" s="125">
        <f t="shared" si="80"/>
        <v>3</v>
      </c>
      <c r="L103" s="125" t="str">
        <f t="shared" si="81"/>
        <v>ok</v>
      </c>
    </row>
    <row r="104">
      <c r="A104" s="2"/>
      <c r="B104" s="36" t="str">
        <f>IFERROR(__xludf.DUMMYFUNCTION("""COMPUTED_VALUE"""),"Susanta Mishra")</f>
        <v>Susanta Mishra</v>
      </c>
      <c r="C104" s="125">
        <f>IFERROR(__xludf.DUMMYFUNCTION("""COMPUTED_VALUE"""),8.0)</f>
        <v>8</v>
      </c>
      <c r="D104" s="125">
        <f t="shared" si="77"/>
        <v>52</v>
      </c>
      <c r="E104" s="125">
        <f t="shared" si="78"/>
        <v>44</v>
      </c>
      <c r="F104" s="125">
        <f t="shared" si="79"/>
        <v>18</v>
      </c>
      <c r="G104" s="125">
        <f t="shared" si="80"/>
        <v>8</v>
      </c>
      <c r="L104" s="125" t="str">
        <f t="shared" si="81"/>
        <v>ok</v>
      </c>
    </row>
    <row r="105">
      <c r="A105" s="2"/>
      <c r="B105" s="36" t="str">
        <f>IFERROR(__xludf.DUMMYFUNCTION("""COMPUTED_VALUE"""),"Troy Wong")</f>
        <v>Troy Wong</v>
      </c>
      <c r="C105" s="125">
        <f>IFERROR(__xludf.DUMMYFUNCTION("""COMPUTED_VALUE"""),7.0)</f>
        <v>7</v>
      </c>
      <c r="D105" s="125">
        <f t="shared" si="77"/>
        <v>39</v>
      </c>
      <c r="E105" s="125">
        <f t="shared" si="78"/>
        <v>32</v>
      </c>
      <c r="F105" s="125">
        <f t="shared" si="79"/>
        <v>18</v>
      </c>
      <c r="G105" s="125">
        <f t="shared" si="80"/>
        <v>6</v>
      </c>
      <c r="L105" s="125" t="str">
        <f t="shared" si="81"/>
        <v>ok</v>
      </c>
    </row>
    <row r="106">
      <c r="A106" s="2"/>
      <c r="B106" s="36" t="str">
        <f>IFERROR(__xludf.DUMMYFUNCTION("""COMPUTED_VALUE"""),"Rajasekar Ramasamy")</f>
        <v>Rajasekar Ramasamy</v>
      </c>
      <c r="C106" s="125">
        <f>IFERROR(__xludf.DUMMYFUNCTION("""COMPUTED_VALUE"""),6.0)</f>
        <v>6</v>
      </c>
      <c r="D106" s="125">
        <f t="shared" si="77"/>
        <v>16</v>
      </c>
      <c r="E106" s="125">
        <f t="shared" si="78"/>
        <v>10</v>
      </c>
      <c r="F106" s="125">
        <f t="shared" si="79"/>
        <v>17</v>
      </c>
      <c r="G106" s="125">
        <f t="shared" si="80"/>
        <v>3</v>
      </c>
      <c r="L106" s="125" t="str">
        <f t="shared" si="81"/>
        <v>ok</v>
      </c>
    </row>
    <row r="107">
      <c r="A107" s="2"/>
      <c r="B107" s="36" t="str">
        <f>IFERROR(__xludf.DUMMYFUNCTION("""COMPUTED_VALUE"""),"Basudev Thoppai Vidyasankar")</f>
        <v>Basudev Thoppai Vidyasankar</v>
      </c>
      <c r="C107" s="125">
        <f>IFERROR(__xludf.DUMMYFUNCTION("""COMPUTED_VALUE"""),4.0)</f>
        <v>4</v>
      </c>
      <c r="D107" s="125">
        <f t="shared" si="77"/>
        <v>25</v>
      </c>
      <c r="E107" s="125">
        <f t="shared" si="78"/>
        <v>21</v>
      </c>
      <c r="F107" s="125">
        <f t="shared" si="79"/>
        <v>16</v>
      </c>
      <c r="G107" s="125">
        <f t="shared" si="80"/>
        <v>4</v>
      </c>
      <c r="L107" s="125" t="str">
        <f t="shared" si="81"/>
        <v>ok</v>
      </c>
    </row>
    <row r="108">
      <c r="A108" s="2"/>
      <c r="B108" s="36" t="str">
        <f>IFERROR(__xludf.DUMMYFUNCTION("""COMPUTED_VALUE"""),"Frank Moon")</f>
        <v>Frank Moon</v>
      </c>
      <c r="C108" s="125">
        <f>IFERROR(__xludf.DUMMYFUNCTION("""COMPUTED_VALUE"""),4.0)</f>
        <v>4</v>
      </c>
      <c r="D108" s="125">
        <f t="shared" si="77"/>
        <v>40</v>
      </c>
      <c r="E108" s="125">
        <f t="shared" si="78"/>
        <v>36</v>
      </c>
      <c r="F108" s="125">
        <f t="shared" si="79"/>
        <v>14</v>
      </c>
      <c r="G108" s="125">
        <f t="shared" si="80"/>
        <v>6</v>
      </c>
      <c r="L108" s="125" t="str">
        <f t="shared" si="81"/>
        <v>ok</v>
      </c>
    </row>
    <row r="109">
      <c r="A109" s="2"/>
      <c r="B109" s="36" t="str">
        <f>IFERROR(__xludf.DUMMYFUNCTION("""COMPUTED_VALUE"""),"Lloyd Sagar")</f>
        <v>Lloyd Sagar</v>
      </c>
      <c r="C109" s="125">
        <f>IFERROR(__xludf.DUMMYFUNCTION("""COMPUTED_VALUE"""),4.0)</f>
        <v>4</v>
      </c>
      <c r="D109" s="125">
        <f t="shared" si="77"/>
        <v>43</v>
      </c>
      <c r="E109" s="125">
        <f t="shared" si="78"/>
        <v>39</v>
      </c>
      <c r="F109" s="125">
        <f t="shared" si="79"/>
        <v>15</v>
      </c>
      <c r="G109" s="125">
        <f t="shared" si="80"/>
        <v>6</v>
      </c>
      <c r="L109" s="125" t="str">
        <f t="shared" si="81"/>
        <v>ok</v>
      </c>
    </row>
    <row r="110">
      <c r="A110" s="2"/>
      <c r="B110" s="36" t="str">
        <f>IFERROR(__xludf.DUMMYFUNCTION("""COMPUTED_VALUE"""),"Saravanan Veerapandian")</f>
        <v>Saravanan Veerapandian</v>
      </c>
      <c r="C110" s="125">
        <f>IFERROR(__xludf.DUMMYFUNCTION("""COMPUTED_VALUE"""),4.0)</f>
        <v>4</v>
      </c>
      <c r="D110" s="125">
        <f t="shared" si="77"/>
        <v>66</v>
      </c>
      <c r="E110" s="125">
        <f t="shared" si="78"/>
        <v>62</v>
      </c>
      <c r="F110" s="125">
        <f t="shared" si="79"/>
        <v>11</v>
      </c>
      <c r="G110" s="125">
        <f t="shared" si="80"/>
        <v>8</v>
      </c>
      <c r="L110" s="125" t="str">
        <f t="shared" si="81"/>
        <v>ok</v>
      </c>
    </row>
    <row r="111">
      <c r="A111" s="2"/>
      <c r="B111" s="36" t="str">
        <f>IFERROR(__xludf.DUMMYFUNCTION("""COMPUTED_VALUE"""),"Tom Le")</f>
        <v>Tom Le</v>
      </c>
      <c r="C111" s="125">
        <f>IFERROR(__xludf.DUMMYFUNCTION("""COMPUTED_VALUE"""),3.0)</f>
        <v>3</v>
      </c>
      <c r="D111" s="125">
        <f t="shared" si="77"/>
        <v>4</v>
      </c>
      <c r="E111" s="125">
        <f t="shared" si="78"/>
        <v>1</v>
      </c>
      <c r="F111" s="125">
        <f t="shared" si="79"/>
        <v>19</v>
      </c>
      <c r="G111" s="125">
        <f t="shared" si="80"/>
        <v>1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13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Tom Le</v>
      </c>
      <c r="C120" s="125">
        <f t="shared" si="82"/>
        <v>180</v>
      </c>
      <c r="D120" s="125">
        <f t="shared" si="82"/>
        <v>20</v>
      </c>
      <c r="E120" s="125">
        <f t="shared" si="82"/>
        <v>15.3</v>
      </c>
      <c r="F120" s="2"/>
    </row>
    <row r="121">
      <c r="A121" s="125">
        <f t="shared" ref="A121:E121" si="83">A6</f>
        <v>2</v>
      </c>
      <c r="B121" s="36" t="str">
        <f t="shared" si="83"/>
        <v>Pavan Akkimsetty</v>
      </c>
      <c r="C121" s="125">
        <f t="shared" si="83"/>
        <v>177</v>
      </c>
      <c r="D121" s="125">
        <f t="shared" si="83"/>
        <v>18</v>
      </c>
      <c r="E121" s="125">
        <f t="shared" si="83"/>
        <v>14.09090909</v>
      </c>
      <c r="F121" s="2"/>
    </row>
    <row r="122">
      <c r="A122" s="125">
        <f t="shared" ref="A122:E122" si="84">A7</f>
        <v>3</v>
      </c>
      <c r="B122" s="36" t="str">
        <f t="shared" si="84"/>
        <v>David Shin</v>
      </c>
      <c r="C122" s="125">
        <f t="shared" si="84"/>
        <v>174</v>
      </c>
      <c r="D122" s="125">
        <f t="shared" si="84"/>
        <v>19</v>
      </c>
      <c r="E122" s="125">
        <f t="shared" si="84"/>
        <v>13.41666667</v>
      </c>
      <c r="F122" s="2"/>
    </row>
    <row r="123">
      <c r="A123" s="125">
        <f t="shared" ref="A123:E123" si="85">A8</f>
        <v>4</v>
      </c>
      <c r="B123" s="36" t="str">
        <f t="shared" si="85"/>
        <v>Andrew Yao</v>
      </c>
      <c r="C123" s="125">
        <f t="shared" si="85"/>
        <v>174</v>
      </c>
      <c r="D123" s="125">
        <f t="shared" si="85"/>
        <v>17</v>
      </c>
      <c r="E123" s="125">
        <f t="shared" si="85"/>
        <v>13.41666667</v>
      </c>
      <c r="F123" s="2"/>
    </row>
    <row r="124">
      <c r="A124" s="125">
        <f t="shared" ref="A124:E124" si="86">A9</f>
        <v>5</v>
      </c>
      <c r="B124" s="36" t="str">
        <f t="shared" si="86"/>
        <v>Rudy Tatang</v>
      </c>
      <c r="C124" s="125">
        <f t="shared" si="86"/>
        <v>174</v>
      </c>
      <c r="D124" s="125">
        <f t="shared" si="86"/>
        <v>16</v>
      </c>
      <c r="E124" s="125">
        <f t="shared" si="86"/>
        <v>14.88888889</v>
      </c>
      <c r="F124" s="2"/>
    </row>
    <row r="125">
      <c r="A125" s="125">
        <f t="shared" ref="A125:E125" si="87">A10</f>
        <v>6</v>
      </c>
      <c r="B125" s="36" t="str">
        <f t="shared" si="87"/>
        <v>Pulkit Mathur</v>
      </c>
      <c r="C125" s="125">
        <f t="shared" si="87"/>
        <v>171</v>
      </c>
      <c r="D125" s="125">
        <f t="shared" si="87"/>
        <v>21</v>
      </c>
      <c r="E125" s="125">
        <f t="shared" si="87"/>
        <v>14.4</v>
      </c>
      <c r="F125" s="2"/>
    </row>
    <row r="126">
      <c r="A126" s="125">
        <f t="shared" ref="A126:E126" si="88">A11</f>
        <v>7</v>
      </c>
      <c r="B126" s="36" t="str">
        <f t="shared" si="88"/>
        <v>Suleman Alidina</v>
      </c>
      <c r="C126" s="125">
        <f t="shared" si="88"/>
        <v>166</v>
      </c>
      <c r="D126" s="125">
        <f t="shared" si="88"/>
        <v>11</v>
      </c>
      <c r="E126" s="125">
        <f t="shared" si="88"/>
        <v>13.14285714</v>
      </c>
      <c r="F126" s="2"/>
    </row>
    <row r="127">
      <c r="A127" s="125">
        <f t="shared" ref="A127:E127" si="89">A12</f>
        <v>8</v>
      </c>
      <c r="B127" s="36" t="str">
        <f t="shared" si="89"/>
        <v>Vinotkumar Nagappan</v>
      </c>
      <c r="C127" s="125">
        <f t="shared" si="89"/>
        <v>165</v>
      </c>
      <c r="D127" s="125">
        <f t="shared" si="89"/>
        <v>14</v>
      </c>
      <c r="E127" s="125">
        <f t="shared" si="89"/>
        <v>12.69230769</v>
      </c>
      <c r="F127" s="2"/>
    </row>
    <row r="128">
      <c r="A128" s="125">
        <f t="shared" ref="A128:E128" si="90">A13</f>
        <v>9</v>
      </c>
      <c r="B128" s="36" t="str">
        <f t="shared" si="90"/>
        <v>Jaya Sogata</v>
      </c>
      <c r="C128" s="125">
        <f t="shared" si="90"/>
        <v>164</v>
      </c>
      <c r="D128" s="125">
        <f t="shared" si="90"/>
        <v>12</v>
      </c>
      <c r="E128" s="125">
        <f t="shared" si="90"/>
        <v>13.42857143</v>
      </c>
      <c r="F128" s="2"/>
    </row>
    <row r="129">
      <c r="A129" s="125">
        <f t="shared" ref="A129:E129" si="91">A14</f>
        <v>10</v>
      </c>
      <c r="B129" s="36" t="str">
        <f t="shared" si="91"/>
        <v>Rajasekar Ramasamy</v>
      </c>
      <c r="C129" s="125">
        <f t="shared" si="91"/>
        <v>162</v>
      </c>
      <c r="D129" s="125">
        <f t="shared" si="91"/>
        <v>15</v>
      </c>
      <c r="E129" s="125">
        <f t="shared" si="91"/>
        <v>12.36363636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ASC"")"),"Vinotkumar Nagappan")</f>
        <v>Vinotkumar Nagappan</v>
      </c>
      <c r="C137" s="2"/>
      <c r="D137" s="2"/>
      <c r="E137" s="2"/>
      <c r="F137" s="2"/>
    </row>
    <row r="138">
      <c r="A138" s="125">
        <f t="shared" ref="A138:A212" si="92">if(B138&lt;&gt;"",A137+1,0)</f>
        <v>0</v>
      </c>
      <c r="B138" s="36"/>
      <c r="C138" s="2"/>
      <c r="D138" s="2"/>
      <c r="E138" s="2"/>
      <c r="F138" s="2"/>
    </row>
    <row r="139">
      <c r="A139" s="125">
        <f t="shared" si="92"/>
        <v>0</v>
      </c>
      <c r="B139" s="36"/>
      <c r="C139" s="2"/>
      <c r="D139" s="2"/>
      <c r="E139" s="2"/>
      <c r="F139" s="2"/>
      <c r="P139" s="36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09/19/26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IFERROR(__xludf.DUMMYFUNCTION("""COMPUTED_VALUE"""),"David Shin")</f>
        <v>David Shin</v>
      </c>
      <c r="C239" s="131">
        <f>IFERROR(__xludf.DUMMYFUNCTION("""COMPUTED_VALUE"""),1.0)</f>
        <v>1</v>
      </c>
      <c r="D239" s="131">
        <f>IFERROR(__xludf.DUMMYFUNCTION("""COMPUTED_VALUE"""),5.0)</f>
        <v>5</v>
      </c>
      <c r="E239" s="131">
        <f>IFERROR(__xludf.DUMMYFUNCTION("""COMPUTED_VALUE"""),6.0)</f>
        <v>6</v>
      </c>
      <c r="F239" s="131">
        <f>IFERROR(__xludf.DUMMYFUNCTION("""COMPUTED_VALUE"""),12.0)</f>
        <v>12</v>
      </c>
      <c r="G239" s="131">
        <f>IFERROR(__xludf.DUMMYFUNCTION("""COMPUTED_VALUE"""),0.0)</f>
        <v>0</v>
      </c>
    </row>
    <row r="240">
      <c r="A240" s="125">
        <f>IFERROR(__xludf.DUMMYFUNCTION("""COMPUTED_VALUE"""),1.0)</f>
        <v>1</v>
      </c>
      <c r="B240" s="36" t="str">
        <f>IFERROR(__xludf.DUMMYFUNCTION("""COMPUTED_VALUE"""),"Pavan Akkimsetty")</f>
        <v>Pavan Akkimsetty</v>
      </c>
      <c r="C240" s="131">
        <f>IFERROR(__xludf.DUMMYFUNCTION("""COMPUTED_VALUE"""),1.0)</f>
        <v>1</v>
      </c>
      <c r="D240" s="131">
        <f>IFERROR(__xludf.DUMMYFUNCTION("""COMPUTED_VALUE"""),7.0)</f>
        <v>7</v>
      </c>
      <c r="E240" s="131">
        <f>IFERROR(__xludf.DUMMYFUNCTION("""COMPUTED_VALUE"""),7.0)</f>
        <v>7</v>
      </c>
      <c r="F240" s="131">
        <f>IFERROR(__xludf.DUMMYFUNCTION("""COMPUTED_VALUE"""),15.0)</f>
        <v>15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IFERROR(__xludf.DUMMYFUNCTION("""COMPUTED_VALUE"""),"Tom Le")</f>
        <v>Tom Le</v>
      </c>
      <c r="C241" s="131">
        <f>IFERROR(__xludf.DUMMYFUNCTION("""COMPUTED_VALUE"""),6.0)</f>
        <v>6</v>
      </c>
      <c r="D241" s="131">
        <f>IFERROR(__xludf.DUMMYFUNCTION("""COMPUTED_VALUE"""),7.0)</f>
        <v>7</v>
      </c>
      <c r="E241" s="131">
        <f>IFERROR(__xludf.DUMMYFUNCTION("""COMPUTED_VALUE"""),6.0)</f>
        <v>6</v>
      </c>
      <c r="F241" s="131">
        <f>IFERROR(__xludf.DUMMYFUNCTION("""COMPUTED_VALUE"""),19.0)</f>
        <v>19</v>
      </c>
      <c r="G241" s="131">
        <f>IFERROR(__xludf.DUMMYFUNCTION("""COMPUTED_VALUE"""),2.0)</f>
        <v>2</v>
      </c>
    </row>
    <row r="242">
      <c r="A242" s="125">
        <f>IFERROR(__xludf.DUMMYFUNCTION("""COMPUTED_VALUE"""),1.0)</f>
        <v>1</v>
      </c>
      <c r="B242" s="36" t="str">
        <f>IFERROR(__xludf.DUMMYFUNCTION("""COMPUTED_VALUE"""),"Andrew Yao")</f>
        <v>Andrew Yao</v>
      </c>
      <c r="C242" s="131">
        <f>IFERROR(__xludf.DUMMYFUNCTION("""COMPUTED_VALUE"""),6.0)</f>
        <v>6</v>
      </c>
      <c r="D242" s="131">
        <f>IFERROR(__xludf.DUMMYFUNCTION("""COMPUTED_VALUE"""),5.0)</f>
        <v>5</v>
      </c>
      <c r="E242" s="131">
        <f>IFERROR(__xludf.DUMMYFUNCTION("""COMPUTED_VALUE"""),7.0)</f>
        <v>7</v>
      </c>
      <c r="F242" s="131">
        <f>IFERROR(__xludf.DUMMYFUNCTION("""COMPUTED_VALUE"""),18.0)</f>
        <v>18</v>
      </c>
      <c r="G242" s="131">
        <f>IFERROR(__xludf.DUMMYFUNCTION("""COMPUTED_VALUE"""),2.0)</f>
        <v>2</v>
      </c>
    </row>
    <row r="243">
      <c r="A243" s="132">
        <f>IFERROR(__xludf.DUMMYFUNCTION("""COMPUTED_VALUE"""),2.0)</f>
        <v>2</v>
      </c>
      <c r="B243" s="133" t="str">
        <f>IFERROR(__xludf.DUMMYFUNCTION("""COMPUTED_VALUE"""),"Rudy Tatang")</f>
        <v>Rudy Tatang</v>
      </c>
      <c r="C243" s="134">
        <f>IFERROR(__xludf.DUMMYFUNCTION("""COMPUTED_VALUE"""),6.0)</f>
        <v>6</v>
      </c>
      <c r="D243" s="134">
        <f>IFERROR(__xludf.DUMMYFUNCTION("""COMPUTED_VALUE"""),6.0)</f>
        <v>6</v>
      </c>
      <c r="E243" s="134">
        <f>IFERROR(__xludf.DUMMYFUNCTION("""COMPUTED_VALUE"""),6.0)</f>
        <v>6</v>
      </c>
      <c r="F243" s="134">
        <f>IFERROR(__xludf.DUMMYFUNCTION("""COMPUTED_VALUE"""),18.0)</f>
        <v>18</v>
      </c>
      <c r="G243" s="134">
        <f>IFERROR(__xludf.DUMMYFUNCTION("""COMPUTED_VALUE"""),3.0)</f>
        <v>3</v>
      </c>
    </row>
    <row r="244">
      <c r="A244" s="132">
        <f>IFERROR(__xludf.DUMMYFUNCTION("""COMPUTED_VALUE"""),2.0)</f>
        <v>2</v>
      </c>
      <c r="B244" s="133" t="str">
        <f>IFERROR(__xludf.DUMMYFUNCTION("""COMPUTED_VALUE"""),"Suleman Alidina")</f>
        <v>Suleman Alidina</v>
      </c>
      <c r="C244" s="134">
        <f>IFERROR(__xludf.DUMMYFUNCTION("""COMPUTED_VALUE"""),2.0)</f>
        <v>2</v>
      </c>
      <c r="D244" s="134">
        <f>IFERROR(__xludf.DUMMYFUNCTION("""COMPUTED_VALUE"""),3.0)</f>
        <v>3</v>
      </c>
      <c r="E244" s="134">
        <f>IFERROR(__xludf.DUMMYFUNCTION("""COMPUTED_VALUE"""),6.0)</f>
        <v>6</v>
      </c>
      <c r="F244" s="134">
        <f>IFERROR(__xludf.DUMMYFUNCTION("""COMPUTED_VALUE"""),11.0)</f>
        <v>11</v>
      </c>
      <c r="G244" s="134">
        <f>IFERROR(__xludf.DUMMYFUNCTION("""COMPUTED_VALUE"""),1.0)</f>
        <v>1</v>
      </c>
    </row>
    <row r="245">
      <c r="A245" s="132">
        <f>IFERROR(__xludf.DUMMYFUNCTION("""COMPUTED_VALUE"""),2.0)</f>
        <v>2</v>
      </c>
      <c r="B245" s="133" t="str">
        <f>IFERROR(__xludf.DUMMYFUNCTION("""COMPUTED_VALUE"""),"Vinotkumar Nagappan")</f>
        <v>Vinotkumar Nagappan</v>
      </c>
      <c r="C245" s="134">
        <f>IFERROR(__xludf.DUMMYFUNCTION("""COMPUTED_VALUE"""),6.0)</f>
        <v>6</v>
      </c>
      <c r="D245" s="134">
        <f>IFERROR(__xludf.DUMMYFUNCTION("""COMPUTED_VALUE"""),3.0)</f>
        <v>3</v>
      </c>
      <c r="E245" s="134">
        <f>IFERROR(__xludf.DUMMYFUNCTION("""COMPUTED_VALUE"""),3.0)</f>
        <v>3</v>
      </c>
      <c r="F245" s="134">
        <f>IFERROR(__xludf.DUMMYFUNCTION("""COMPUTED_VALUE"""),12.0)</f>
        <v>12</v>
      </c>
      <c r="G245" s="134">
        <f>IFERROR(__xludf.DUMMYFUNCTION("""COMPUTED_VALUE"""),1.0)</f>
        <v>1</v>
      </c>
    </row>
    <row r="246">
      <c r="A246" s="132">
        <f>IFERROR(__xludf.DUMMYFUNCTION("""COMPUTED_VALUE"""),2.0)</f>
        <v>2</v>
      </c>
      <c r="B246" s="133" t="str">
        <f>IFERROR(__xludf.DUMMYFUNCTION("""COMPUTED_VALUE"""),"Scott Li")</f>
        <v>Scott Li</v>
      </c>
      <c r="C246" s="134">
        <f>IFERROR(__xludf.DUMMYFUNCTION("""COMPUTED_VALUE"""),2.0)</f>
        <v>2</v>
      </c>
      <c r="D246" s="134">
        <f>IFERROR(__xludf.DUMMYFUNCTION("""COMPUTED_VALUE"""),6.0)</f>
        <v>6</v>
      </c>
      <c r="E246" s="134">
        <f>IFERROR(__xludf.DUMMYFUNCTION("""COMPUTED_VALUE"""),3.0)</f>
        <v>3</v>
      </c>
      <c r="F246" s="134">
        <f>IFERROR(__xludf.DUMMYFUNCTION("""COMPUTED_VALUE"""),11.0)</f>
        <v>11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IFERROR(__xludf.DUMMYFUNCTION("""COMPUTED_VALUE"""),"Manish Anand")</f>
        <v>Manish Anand</v>
      </c>
      <c r="C247" s="131">
        <f>IFERROR(__xludf.DUMMYFUNCTION("""COMPUTED_VALUE"""),6.0)</f>
        <v>6</v>
      </c>
      <c r="D247" s="131">
        <f>IFERROR(__xludf.DUMMYFUNCTION("""COMPUTED_VALUE"""),1.0)</f>
        <v>1</v>
      </c>
      <c r="E247" s="131">
        <f>IFERROR(__xludf.DUMMYFUNCTION("""COMPUTED_VALUE"""),7.0)</f>
        <v>7</v>
      </c>
      <c r="F247" s="131">
        <f>IFERROR(__xludf.DUMMYFUNCTION("""COMPUTED_VALUE"""),14.0)</f>
        <v>14</v>
      </c>
      <c r="G247" s="131">
        <f>IFERROR(__xludf.DUMMYFUNCTION("""COMPUTED_VALUE"""),2.0)</f>
        <v>2</v>
      </c>
    </row>
    <row r="248">
      <c r="A248" s="125">
        <f>IFERROR(__xludf.DUMMYFUNCTION("""COMPUTED_VALUE"""),3.0)</f>
        <v>3</v>
      </c>
      <c r="B248" s="36" t="str">
        <f>IFERROR(__xludf.DUMMYFUNCTION("""COMPUTED_VALUE"""),"Rajasekar Ramasamy")</f>
        <v>Rajasekar Ramasamy</v>
      </c>
      <c r="C248" s="131">
        <f>IFERROR(__xludf.DUMMYFUNCTION("""COMPUTED_VALUE"""),6.0)</f>
        <v>6</v>
      </c>
      <c r="D248" s="131">
        <f>IFERROR(__xludf.DUMMYFUNCTION("""COMPUTED_VALUE"""),6.0)</f>
        <v>6</v>
      </c>
      <c r="E248" s="131">
        <f>IFERROR(__xludf.DUMMYFUNCTION("""COMPUTED_VALUE"""),5.0)</f>
        <v>5</v>
      </c>
      <c r="F248" s="131">
        <f>IFERROR(__xludf.DUMMYFUNCTION("""COMPUTED_VALUE"""),17.0)</f>
        <v>17</v>
      </c>
      <c r="G248" s="131">
        <f>IFERROR(__xludf.DUMMYFUNCTION("""COMPUTED_VALUE"""),2.0)</f>
        <v>2</v>
      </c>
    </row>
    <row r="249">
      <c r="A249" s="125">
        <f>IFERROR(__xludf.DUMMYFUNCTION("""COMPUTED_VALUE"""),3.0)</f>
        <v>3</v>
      </c>
      <c r="B249" s="36" t="str">
        <f>IFERROR(__xludf.DUMMYFUNCTION("""COMPUTED_VALUE"""),"Tina Hanson")</f>
        <v>Tina Hanson</v>
      </c>
      <c r="C249" s="131">
        <f>IFERROR(__xludf.DUMMYFUNCTION("""COMPUTED_VALUE"""),3.0)</f>
        <v>3</v>
      </c>
      <c r="D249" s="131">
        <f>IFERROR(__xludf.DUMMYFUNCTION("""COMPUTED_VALUE"""),1.0)</f>
        <v>1</v>
      </c>
      <c r="E249" s="131">
        <f>IFERROR(__xludf.DUMMYFUNCTION("""COMPUTED_VALUE"""),5.0)</f>
        <v>5</v>
      </c>
      <c r="F249" s="131">
        <f>IFERROR(__xludf.DUMMYFUNCTION("""COMPUTED_VALUE"""),9.0)</f>
        <v>9</v>
      </c>
      <c r="G249" s="131">
        <f>IFERROR(__xludf.DUMMYFUNCTION("""COMPUTED_VALUE"""),0.0)</f>
        <v>0</v>
      </c>
    </row>
    <row r="250">
      <c r="A250" s="125">
        <f>IFERROR(__xludf.DUMMYFUNCTION("""COMPUTED_VALUE"""),3.0)</f>
        <v>3</v>
      </c>
      <c r="B250" s="36" t="str">
        <f>IFERROR(__xludf.DUMMYFUNCTION("""COMPUTED_VALUE"""),"Joe Luzzi")</f>
        <v>Joe Luzzi</v>
      </c>
      <c r="C250" s="131">
        <f>IFERROR(__xludf.DUMMYFUNCTION("""COMPUTED_VALUE"""),3.0)</f>
        <v>3</v>
      </c>
      <c r="D250" s="131">
        <f>IFERROR(__xludf.DUMMYFUNCTION("""COMPUTED_VALUE"""),6.0)</f>
        <v>6</v>
      </c>
      <c r="E250" s="131">
        <f>IFERROR(__xludf.DUMMYFUNCTION("""COMPUTED_VALUE"""),7.0)</f>
        <v>7</v>
      </c>
      <c r="F250" s="131">
        <f>IFERROR(__xludf.DUMMYFUNCTION("""COMPUTED_VALUE"""),16.0)</f>
        <v>16</v>
      </c>
      <c r="G250" s="131">
        <f>IFERROR(__xludf.DUMMYFUNCTION("""COMPUTED_VALUE"""),2.0)</f>
        <v>2</v>
      </c>
    </row>
    <row r="251">
      <c r="A251" s="132">
        <f>IFERROR(__xludf.DUMMYFUNCTION("""COMPUTED_VALUE"""),4.0)</f>
        <v>4</v>
      </c>
      <c r="B251" s="133" t="str">
        <f>IFERROR(__xludf.DUMMYFUNCTION("""COMPUTED_VALUE"""),"Basudev Thoppai Vidyasankar")</f>
        <v>Basudev Thoppai Vidyasankar</v>
      </c>
      <c r="C251" s="134">
        <f>IFERROR(__xludf.DUMMYFUNCTION("""COMPUTED_VALUE"""),6.0)</f>
        <v>6</v>
      </c>
      <c r="D251" s="134">
        <f>IFERROR(__xludf.DUMMYFUNCTION("""COMPUTED_VALUE"""),4.0)</f>
        <v>4</v>
      </c>
      <c r="E251" s="134">
        <f>IFERROR(__xludf.DUMMYFUNCTION("""COMPUTED_VALUE"""),6.0)</f>
        <v>6</v>
      </c>
      <c r="F251" s="134">
        <f>IFERROR(__xludf.DUMMYFUNCTION("""COMPUTED_VALUE"""),16.0)</f>
        <v>16</v>
      </c>
      <c r="G251" s="134">
        <f>IFERROR(__xludf.DUMMYFUNCTION("""COMPUTED_VALUE"""),2.0)</f>
        <v>2</v>
      </c>
    </row>
    <row r="252">
      <c r="A252" s="132">
        <f>IFERROR(__xludf.DUMMYFUNCTION("""COMPUTED_VALUE"""),4.0)</f>
        <v>4</v>
      </c>
      <c r="B252" s="133" t="str">
        <f>IFERROR(__xludf.DUMMYFUNCTION("""COMPUTED_VALUE"""),"Chinna Ponnaganti")</f>
        <v>Chinna Ponnaganti</v>
      </c>
      <c r="C252" s="134">
        <f>IFERROR(__xludf.DUMMYFUNCTION("""COMPUTED_VALUE"""),2.0)</f>
        <v>2</v>
      </c>
      <c r="D252" s="134">
        <f>IFERROR(__xludf.DUMMYFUNCTION("""COMPUTED_VALUE"""),4.0)</f>
        <v>4</v>
      </c>
      <c r="E252" s="134">
        <f>IFERROR(__xludf.DUMMYFUNCTION("""COMPUTED_VALUE"""),1.0)</f>
        <v>1</v>
      </c>
      <c r="F252" s="134">
        <f>IFERROR(__xludf.DUMMYFUNCTION("""COMPUTED_VALUE"""),7.0)</f>
        <v>7</v>
      </c>
      <c r="G252" s="134">
        <f>IFERROR(__xludf.DUMMYFUNCTION("""COMPUTED_VALUE"""),0.0)</f>
        <v>0</v>
      </c>
    </row>
    <row r="253">
      <c r="A253" s="132">
        <f>IFERROR(__xludf.DUMMYFUNCTION("""COMPUTED_VALUE"""),4.0)</f>
        <v>4</v>
      </c>
      <c r="B253" s="133" t="str">
        <f>IFERROR(__xludf.DUMMYFUNCTION("""COMPUTED_VALUE"""),"Mauricio Palacios")</f>
        <v>Mauricio Palacios</v>
      </c>
      <c r="C253" s="134">
        <f>IFERROR(__xludf.DUMMYFUNCTION("""COMPUTED_VALUE"""),6.0)</f>
        <v>6</v>
      </c>
      <c r="D253" s="134">
        <f>IFERROR(__xludf.DUMMYFUNCTION("""COMPUTED_VALUE"""),6.0)</f>
        <v>6</v>
      </c>
      <c r="E253" s="134">
        <f>IFERROR(__xludf.DUMMYFUNCTION("""COMPUTED_VALUE"""),1.0)</f>
        <v>1</v>
      </c>
      <c r="F253" s="134">
        <f>IFERROR(__xludf.DUMMYFUNCTION("""COMPUTED_VALUE"""),13.0)</f>
        <v>13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IFERROR(__xludf.DUMMYFUNCTION("""COMPUTED_VALUE"""),"Oscar Bonilla")</f>
        <v>Oscar Bonilla</v>
      </c>
      <c r="C254" s="134">
        <f>IFERROR(__xludf.DUMMYFUNCTION("""COMPUTED_VALUE"""),2.0)</f>
        <v>2</v>
      </c>
      <c r="D254" s="134">
        <f>IFERROR(__xludf.DUMMYFUNCTION("""COMPUTED_VALUE"""),6.0)</f>
        <v>6</v>
      </c>
      <c r="E254" s="134">
        <f>IFERROR(__xludf.DUMMYFUNCTION("""COMPUTED_VALUE"""),6.0)</f>
        <v>6</v>
      </c>
      <c r="F254" s="134">
        <f>IFERROR(__xludf.DUMMYFUNCTION("""COMPUTED_VALUE"""),14.0)</f>
        <v>14</v>
      </c>
      <c r="G254" s="134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IFERROR(__xludf.DUMMYFUNCTION("""COMPUTED_VALUE"""),"Jimmy Awolesi")</f>
        <v>Jimmy Awolesi</v>
      </c>
      <c r="C255" s="131">
        <f>IFERROR(__xludf.DUMMYFUNCTION("""COMPUTED_VALUE"""),6.0)</f>
        <v>6</v>
      </c>
      <c r="D255" s="131">
        <f>IFERROR(__xludf.DUMMYFUNCTION("""COMPUTED_VALUE"""),2.0)</f>
        <v>2</v>
      </c>
      <c r="E255" s="131">
        <f>IFERROR(__xludf.DUMMYFUNCTION("""COMPUTED_VALUE"""),0.0)</f>
        <v>0</v>
      </c>
      <c r="F255" s="131">
        <f>IFERROR(__xludf.DUMMYFUNCTION("""COMPUTED_VALUE"""),8.0)</f>
        <v>8</v>
      </c>
      <c r="G255" s="131">
        <f>IFERROR(__xludf.DUMMYFUNCTION("""COMPUTED_VALUE"""),1.0)</f>
        <v>1</v>
      </c>
    </row>
    <row r="256">
      <c r="A256" s="125">
        <f>IFERROR(__xludf.DUMMYFUNCTION("""COMPUTED_VALUE"""),5.0)</f>
        <v>5</v>
      </c>
      <c r="B256" s="36" t="str">
        <f>IFERROR(__xludf.DUMMYFUNCTION("""COMPUTED_VALUE"""),"Wayne Liu")</f>
        <v>Wayne Liu</v>
      </c>
      <c r="C256" s="131">
        <f>IFERROR(__xludf.DUMMYFUNCTION("""COMPUTED_VALUE"""),4.0)</f>
        <v>4</v>
      </c>
      <c r="D256" s="131">
        <f>IFERROR(__xludf.DUMMYFUNCTION("""COMPUTED_VALUE"""),6.0)</f>
        <v>6</v>
      </c>
      <c r="E256" s="131">
        <f>IFERROR(__xludf.DUMMYFUNCTION("""COMPUTED_VALUE"""),0.0)</f>
        <v>0</v>
      </c>
      <c r="F256" s="131">
        <f>IFERROR(__xludf.DUMMYFUNCTION("""COMPUTED_VALUE"""),10.0)</f>
        <v>10</v>
      </c>
      <c r="G256" s="131">
        <f>IFERROR(__xludf.DUMMYFUNCTION("""COMPUTED_VALUE"""),1.0)</f>
        <v>1</v>
      </c>
    </row>
    <row r="257">
      <c r="A257" s="125">
        <f>IFERROR(__xludf.DUMMYFUNCTION("""COMPUTED_VALUE"""),5.0)</f>
        <v>5</v>
      </c>
      <c r="B257" s="36" t="str">
        <f>IFERROR(__xludf.DUMMYFUNCTION("""COMPUTED_VALUE"""),"Elayaraja Thangaraj")</f>
        <v>Elayaraja Thangaraj</v>
      </c>
      <c r="C257" s="131">
        <f>IFERROR(__xludf.DUMMYFUNCTION("""COMPUTED_VALUE"""),6.0)</f>
        <v>6</v>
      </c>
      <c r="D257" s="131">
        <f>IFERROR(__xludf.DUMMYFUNCTION("""COMPUTED_VALUE"""),6.0)</f>
        <v>6</v>
      </c>
      <c r="E257" s="131">
        <f>IFERROR(__xludf.DUMMYFUNCTION("""COMPUTED_VALUE"""),6.0)</f>
        <v>6</v>
      </c>
      <c r="F257" s="131">
        <f>IFERROR(__xludf.DUMMYFUNCTION("""COMPUTED_VALUE"""),18.0)</f>
        <v>18</v>
      </c>
      <c r="G257" s="131">
        <f>IFERROR(__xludf.DUMMYFUNCTION("""COMPUTED_VALUE"""),3.0)</f>
        <v>3</v>
      </c>
    </row>
    <row r="258">
      <c r="A258" s="125">
        <f>IFERROR(__xludf.DUMMYFUNCTION("""COMPUTED_VALUE"""),5.0)</f>
        <v>5</v>
      </c>
      <c r="B258" s="36" t="str">
        <f>IFERROR(__xludf.DUMMYFUNCTION("""COMPUTED_VALUE"""),"Hongyuan Wen")</f>
        <v>Hongyuan Wen</v>
      </c>
      <c r="C258" s="131">
        <f>IFERROR(__xludf.DUMMYFUNCTION("""COMPUTED_VALUE"""),4.0)</f>
        <v>4</v>
      </c>
      <c r="D258" s="131">
        <f>IFERROR(__xludf.DUMMYFUNCTION("""COMPUTED_VALUE"""),2.0)</f>
        <v>2</v>
      </c>
      <c r="E258" s="131">
        <f>IFERROR(__xludf.DUMMYFUNCTION("""COMPUTED_VALUE"""),6.0)</f>
        <v>6</v>
      </c>
      <c r="F258" s="131">
        <f>IFERROR(__xludf.DUMMYFUNCTION("""COMPUTED_VALUE"""),12.0)</f>
        <v>12</v>
      </c>
      <c r="G258" s="131">
        <f>IFERROR(__xludf.DUMMYFUNCTION("""COMPUTED_VALUE"""),1.0)</f>
        <v>1</v>
      </c>
    </row>
    <row r="259">
      <c r="A259" s="132">
        <f>IFERROR(__xludf.DUMMYFUNCTION("""COMPUTED_VALUE"""),6.0)</f>
        <v>6</v>
      </c>
      <c r="B259" s="133" t="str">
        <f>IFERROR(__xludf.DUMMYFUNCTION("""COMPUTED_VALUE"""),"Troy Wong")</f>
        <v>Troy Wong</v>
      </c>
      <c r="C259" s="134">
        <f>IFERROR(__xludf.DUMMYFUNCTION("""COMPUTED_VALUE"""),6.0)</f>
        <v>6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IFERROR(__xludf.DUMMYFUNCTION("""COMPUTED_VALUE"""),18.0)</f>
        <v>18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IFERROR(__xludf.DUMMYFUNCTION("""COMPUTED_VALUE"""),"Frank Moon")</f>
        <v>Frank Moon</v>
      </c>
      <c r="C260" s="134">
        <f>IFERROR(__xludf.DUMMYFUNCTION("""COMPUTED_VALUE"""),6.0)</f>
        <v>6</v>
      </c>
      <c r="D260" s="134">
        <f>IFERROR(__xludf.DUMMYFUNCTION("""COMPUTED_VALUE"""),7.0)</f>
        <v>7</v>
      </c>
      <c r="E260" s="134">
        <f>IFERROR(__xludf.DUMMYFUNCTION("""COMPUTED_VALUE"""),1.0)</f>
        <v>1</v>
      </c>
      <c r="F260" s="134">
        <f>IFERROR(__xludf.DUMMYFUNCTION("""COMPUTED_VALUE"""),14.0)</f>
        <v>14</v>
      </c>
      <c r="G260" s="134">
        <f>IFERROR(__xludf.DUMMYFUNCTION("""COMPUTED_VALUE"""),2.0)</f>
        <v>2</v>
      </c>
    </row>
    <row r="261">
      <c r="A261" s="132">
        <f>IFERROR(__xludf.DUMMYFUNCTION("""COMPUTED_VALUE"""),6.0)</f>
        <v>6</v>
      </c>
      <c r="B261" s="133" t="str">
        <f>IFERROR(__xludf.DUMMYFUNCTION("""COMPUTED_VALUE"""),"Ranjith Doraiswamy")</f>
        <v>Ranjith Doraiswamy</v>
      </c>
      <c r="C261" s="134">
        <f>IFERROR(__xludf.DUMMYFUNCTION("""COMPUTED_VALUE"""),2.0)</f>
        <v>2</v>
      </c>
      <c r="D261" s="134">
        <f>IFERROR(__xludf.DUMMYFUNCTION("""COMPUTED_VALUE"""),6.0)</f>
        <v>6</v>
      </c>
      <c r="E261" s="134">
        <f>IFERROR(__xludf.DUMMYFUNCTION("""COMPUTED_VALUE"""),1.0)</f>
        <v>1</v>
      </c>
      <c r="F261" s="134">
        <f>IFERROR(__xludf.DUMMYFUNCTION("""COMPUTED_VALUE"""),9.0)</f>
        <v>9</v>
      </c>
      <c r="G261" s="134">
        <f>IFERROR(__xludf.DUMMYFUNCTION("""COMPUTED_VALUE"""),0.0)</f>
        <v>0</v>
      </c>
    </row>
    <row r="262">
      <c r="A262" s="132">
        <f>IFERROR(__xludf.DUMMYFUNCTION("""COMPUTED_VALUE"""),6.0)</f>
        <v>6</v>
      </c>
      <c r="B262" s="133" t="str">
        <f>IFERROR(__xludf.DUMMYFUNCTION("""COMPUTED_VALUE"""),"Lloyd Sagar")</f>
        <v>Lloyd Sagar</v>
      </c>
      <c r="C262" s="134">
        <f>IFERROR(__xludf.DUMMYFUNCTION("""COMPUTED_VALUE"""),2.0)</f>
        <v>2</v>
      </c>
      <c r="D262" s="134">
        <f>IFERROR(__xludf.DUMMYFUNCTION("""COMPUTED_VALUE"""),7.0)</f>
        <v>7</v>
      </c>
      <c r="E262" s="134">
        <f>IFERROR(__xludf.DUMMYFUNCTION("""COMPUTED_VALUE"""),6.0)</f>
        <v>6</v>
      </c>
      <c r="F262" s="134">
        <f>IFERROR(__xludf.DUMMYFUNCTION("""COMPUTED_VALUE"""),15.0)</f>
        <v>15</v>
      </c>
      <c r="G262" s="134">
        <f>IFERROR(__xludf.DUMMYFUNCTION("""COMPUTED_VALUE"""),2.0)</f>
        <v>2</v>
      </c>
    </row>
    <row r="263">
      <c r="A263" s="125">
        <f>IFERROR(__xludf.DUMMYFUNCTION("""COMPUTED_VALUE"""),7.0)</f>
        <v>7</v>
      </c>
      <c r="B263" s="36" t="str">
        <f>IFERROR(__xludf.DUMMYFUNCTION("""COMPUTED_VALUE"""),"Camille Jung")</f>
        <v>Camille Jung</v>
      </c>
      <c r="C263" s="131">
        <f>IFERROR(__xludf.DUMMYFUNCTION("""COMPUTED_VALUE"""),4.0)</f>
        <v>4</v>
      </c>
      <c r="D263" s="131">
        <f>IFERROR(__xludf.DUMMYFUNCTION("""COMPUTED_VALUE"""),6.0)</f>
        <v>6</v>
      </c>
      <c r="E263" s="131">
        <f>IFERROR(__xludf.DUMMYFUNCTION("""COMPUTED_VALUE"""),2.0)</f>
        <v>2</v>
      </c>
      <c r="F263" s="131">
        <f>IFERROR(__xludf.DUMMYFUNCTION("""COMPUTED_VALUE"""),12.0)</f>
        <v>12</v>
      </c>
      <c r="G263" s="131">
        <f>IFERROR(__xludf.DUMMYFUNCTION("""COMPUTED_VALUE"""),1.0)</f>
        <v>1</v>
      </c>
    </row>
    <row r="264">
      <c r="A264" s="125">
        <f>IFERROR(__xludf.DUMMYFUNCTION("""COMPUTED_VALUE"""),7.0)</f>
        <v>7</v>
      </c>
      <c r="B264" s="36" t="str">
        <f>IFERROR(__xludf.DUMMYFUNCTION("""COMPUTED_VALUE"""),"Ramesh Bandaru")</f>
        <v>Ramesh Bandaru</v>
      </c>
      <c r="C264" s="131">
        <f>IFERROR(__xludf.DUMMYFUNCTION("""COMPUTED_VALUE"""),6.0)</f>
        <v>6</v>
      </c>
      <c r="D264" s="131">
        <f>IFERROR(__xludf.DUMMYFUNCTION("""COMPUTED_VALUE"""),6.0)</f>
        <v>6</v>
      </c>
      <c r="E264" s="131">
        <f>IFERROR(__xludf.DUMMYFUNCTION("""COMPUTED_VALUE"""),6.0)</f>
        <v>6</v>
      </c>
      <c r="F264" s="131">
        <f>IFERROR(__xludf.DUMMYFUNCTION("""COMPUTED_VALUE"""),18.0)</f>
        <v>18</v>
      </c>
      <c r="G264" s="131">
        <f>IFERROR(__xludf.DUMMYFUNCTION("""COMPUTED_VALUE"""),3.0)</f>
        <v>3</v>
      </c>
    </row>
    <row r="265">
      <c r="A265" s="125">
        <f>IFERROR(__xludf.DUMMYFUNCTION("""COMPUTED_VALUE"""),7.0)</f>
        <v>7</v>
      </c>
      <c r="B265" s="36" t="str">
        <f>IFERROR(__xludf.DUMMYFUNCTION("""COMPUTED_VALUE"""),"Manuel Rivera")</f>
        <v>Manuel Rivera</v>
      </c>
      <c r="C265" s="131">
        <f>IFERROR(__xludf.DUMMYFUNCTION("""COMPUTED_VALUE"""),4.0)</f>
        <v>4</v>
      </c>
      <c r="D265" s="131">
        <f>IFERROR(__xludf.DUMMYFUNCTION("""COMPUTED_VALUE"""),3.0)</f>
        <v>3</v>
      </c>
      <c r="E265" s="131">
        <f>IFERROR(__xludf.DUMMYFUNCTION("""COMPUTED_VALUE"""),6.0)</f>
        <v>6</v>
      </c>
      <c r="F265" s="131">
        <f>IFERROR(__xludf.DUMMYFUNCTION("""COMPUTED_VALUE"""),13.0)</f>
        <v>13</v>
      </c>
      <c r="G265" s="131">
        <f>IFERROR(__xludf.DUMMYFUNCTION("""COMPUTED_VALUE"""),1.0)</f>
        <v>1</v>
      </c>
    </row>
    <row r="266">
      <c r="A266" s="125">
        <f>IFERROR(__xludf.DUMMYFUNCTION("""COMPUTED_VALUE"""),7.0)</f>
        <v>7</v>
      </c>
      <c r="B266" s="36" t="str">
        <f>IFERROR(__xludf.DUMMYFUNCTION("""COMPUTED_VALUE"""),"Andrew Wen")</f>
        <v>Andrew Wen</v>
      </c>
      <c r="C266" s="131">
        <f>IFERROR(__xludf.DUMMYFUNCTION("""COMPUTED_VALUE"""),6.0)</f>
        <v>6</v>
      </c>
      <c r="D266" s="131">
        <f>IFERROR(__xludf.DUMMYFUNCTION("""COMPUTED_VALUE"""),3.0)</f>
        <v>3</v>
      </c>
      <c r="E266" s="131">
        <f>IFERROR(__xludf.DUMMYFUNCTION("""COMPUTED_VALUE"""),2.0)</f>
        <v>2</v>
      </c>
      <c r="F266" s="131">
        <f>IFERROR(__xludf.DUMMYFUNCTION("""COMPUTED_VALUE"""),11.0)</f>
        <v>11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IFERROR(__xludf.DUMMYFUNCTION("""COMPUTED_VALUE"""),"Susanta Mishra")</f>
        <v>Susanta Mishra</v>
      </c>
      <c r="C267" s="134">
        <f>IFERROR(__xludf.DUMMYFUNCTION("""COMPUTED_VALUE"""),6.0)</f>
        <v>6</v>
      </c>
      <c r="D267" s="134">
        <f>IFERROR(__xludf.DUMMYFUNCTION("""COMPUTED_VALUE"""),6.0)</f>
        <v>6</v>
      </c>
      <c r="E267" s="134">
        <f>IFERROR(__xludf.DUMMYFUNCTION("""COMPUTED_VALUE"""),6.0)</f>
        <v>6</v>
      </c>
      <c r="F267" s="134">
        <f>IFERROR(__xludf.DUMMYFUNCTION("""COMPUTED_VALUE"""),18.0)</f>
        <v>18</v>
      </c>
      <c r="G267" s="134">
        <f>IFERROR(__xludf.DUMMYFUNCTION("""COMPUTED_VALUE"""),3.0)</f>
        <v>3</v>
      </c>
    </row>
    <row r="268">
      <c r="A268" s="132">
        <f>IFERROR(__xludf.DUMMYFUNCTION("""COMPUTED_VALUE"""),8.0)</f>
        <v>8</v>
      </c>
      <c r="B268" s="133" t="str">
        <f>IFERROR(__xludf.DUMMYFUNCTION("""COMPUTED_VALUE"""),"Santosh Sundaresan")</f>
        <v>Santosh Sundaresan</v>
      </c>
      <c r="C268" s="134">
        <f>IFERROR(__xludf.DUMMYFUNCTION("""COMPUTED_VALUE"""),1.0)</f>
        <v>1</v>
      </c>
      <c r="D268" s="134">
        <f>IFERROR(__xludf.DUMMYFUNCTION("""COMPUTED_VALUE"""),6.0)</f>
        <v>6</v>
      </c>
      <c r="E268" s="134">
        <f>IFERROR(__xludf.DUMMYFUNCTION("""COMPUTED_VALUE"""),4.0)</f>
        <v>4</v>
      </c>
      <c r="F268" s="134">
        <f>IFERROR(__xludf.DUMMYFUNCTION("""COMPUTED_VALUE"""),11.0)</f>
        <v>11</v>
      </c>
      <c r="G268" s="134">
        <f>IFERROR(__xludf.DUMMYFUNCTION("""COMPUTED_VALUE"""),1.0)</f>
        <v>1</v>
      </c>
    </row>
    <row r="269">
      <c r="A269" s="132">
        <f>IFERROR(__xludf.DUMMYFUNCTION("""COMPUTED_VALUE"""),8.0)</f>
        <v>8</v>
      </c>
      <c r="B269" s="133" t="str">
        <f>IFERROR(__xludf.DUMMYFUNCTION("""COMPUTED_VALUE"""),"Eric Tan")</f>
        <v>Eric Tan</v>
      </c>
      <c r="C269" s="134">
        <f>IFERROR(__xludf.DUMMYFUNCTION("""COMPUTED_VALUE"""),1.0)</f>
        <v>1</v>
      </c>
      <c r="D269" s="134">
        <f>IFERROR(__xludf.DUMMYFUNCTION("""COMPUTED_VALUE"""),1.0)</f>
        <v>1</v>
      </c>
      <c r="E269" s="134">
        <f>IFERROR(__xludf.DUMMYFUNCTION("""COMPUTED_VALUE"""),6.0)</f>
        <v>6</v>
      </c>
      <c r="F269" s="134">
        <f>IFERROR(__xludf.DUMMYFUNCTION("""COMPUTED_VALUE"""),8.0)</f>
        <v>8</v>
      </c>
      <c r="G269" s="134">
        <f>IFERROR(__xludf.DUMMYFUNCTION("""COMPUTED_VALUE"""),1.0)</f>
        <v>1</v>
      </c>
    </row>
    <row r="270">
      <c r="A270" s="132">
        <f>IFERROR(__xludf.DUMMYFUNCTION("""COMPUTED_VALUE"""),8.0)</f>
        <v>8</v>
      </c>
      <c r="B270" s="133" t="str">
        <f>IFERROR(__xludf.DUMMYFUNCTION("""COMPUTED_VALUE"""),"Saravanan Veerapandian")</f>
        <v>Saravanan Veerapandian</v>
      </c>
      <c r="C270" s="134">
        <f>IFERROR(__xludf.DUMMYFUNCTION("""COMPUTED_VALUE"""),6.0)</f>
        <v>6</v>
      </c>
      <c r="D270" s="134">
        <f>IFERROR(__xludf.DUMMYFUNCTION("""COMPUTED_VALUE"""),1.0)</f>
        <v>1</v>
      </c>
      <c r="E270" s="134">
        <f>IFERROR(__xludf.DUMMYFUNCTION("""COMPUTED_VALUE"""),4.0)</f>
        <v>4</v>
      </c>
      <c r="F270" s="134">
        <f>IFERROR(__xludf.DUMMYFUNCTION("""COMPUTED_VALUE"""),11.0)</f>
        <v>11</v>
      </c>
      <c r="G270" s="134">
        <f>IFERROR(__xludf.DUMMYFUNCTION("""COMPUTED_VALUE"""),1.0)</f>
        <v>1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46284.0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12.0</v>
      </c>
      <c r="E2" s="2"/>
      <c r="F2" s="2"/>
      <c r="R2" s="19"/>
      <c r="AC2" s="23" t="str">
        <f>TEXT(C1-7,"mm/dd/yy")</f>
        <v>09/12/26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85</v>
      </c>
      <c r="C5" s="37">
        <v>162.0</v>
      </c>
      <c r="D5" s="37">
        <v>21.0</v>
      </c>
      <c r="E5" s="42">
        <f t="shared" ref="E5:E71" si="2">if(S5&gt;0,(C5-(V5*9)-(T5*13))/S5,0)</f>
        <v>15</v>
      </c>
      <c r="F5" s="89">
        <v>3.0</v>
      </c>
      <c r="G5" s="90">
        <v>0.0</v>
      </c>
      <c r="H5" s="91">
        <v>9.0</v>
      </c>
      <c r="I5" s="90">
        <v>0.0</v>
      </c>
      <c r="J5" s="90">
        <v>0.0</v>
      </c>
      <c r="K5" s="90">
        <v>0.0</v>
      </c>
      <c r="L5" s="92">
        <v>9.0</v>
      </c>
      <c r="M5" s="90">
        <v>0.0</v>
      </c>
      <c r="N5" s="37">
        <f t="shared" ref="N5:O5" si="1">C5+L5</f>
        <v>171</v>
      </c>
      <c r="O5" s="37">
        <f t="shared" si="1"/>
        <v>21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9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3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88</v>
      </c>
      <c r="C6" s="37">
        <v>162.0</v>
      </c>
      <c r="D6" s="37">
        <v>19.0</v>
      </c>
      <c r="E6" s="42">
        <f t="shared" si="2"/>
        <v>13.54545455</v>
      </c>
      <c r="F6" s="89">
        <v>1.0</v>
      </c>
      <c r="G6" s="90">
        <v>1.0</v>
      </c>
      <c r="H6" s="91">
        <v>0.0</v>
      </c>
      <c r="I6" s="90">
        <v>1.0</v>
      </c>
      <c r="J6" s="90">
        <v>5.0</v>
      </c>
      <c r="K6" s="90">
        <v>6.0</v>
      </c>
      <c r="L6" s="92">
        <v>12.0</v>
      </c>
      <c r="M6" s="90">
        <v>0.0</v>
      </c>
      <c r="N6" s="37">
        <f t="shared" ref="N6:O6" si="3">C6+L6</f>
        <v>174</v>
      </c>
      <c r="O6" s="37">
        <f t="shared" si="3"/>
        <v>19</v>
      </c>
      <c r="P6" s="50" t="s">
        <v>60</v>
      </c>
      <c r="Q6" s="50" t="s">
        <v>60</v>
      </c>
      <c r="R6" s="50" t="s">
        <v>60</v>
      </c>
      <c r="S6" s="51">
        <f t="shared" si="4"/>
        <v>11</v>
      </c>
      <c r="T6" s="52">
        <f t="shared" si="5"/>
        <v>1</v>
      </c>
      <c r="U6" s="52"/>
      <c r="V6" s="51">
        <f t="shared" si="6"/>
        <v>0</v>
      </c>
      <c r="W6" s="52">
        <f t="shared" si="7"/>
        <v>2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74</v>
      </c>
      <c r="C7" s="37">
        <v>162.0</v>
      </c>
      <c r="D7" s="37">
        <v>16.0</v>
      </c>
      <c r="E7" s="42">
        <f t="shared" si="2"/>
        <v>14</v>
      </c>
      <c r="F7" s="89">
        <v>1.0</v>
      </c>
      <c r="G7" s="90">
        <v>1.0</v>
      </c>
      <c r="H7" s="91">
        <v>0.0</v>
      </c>
      <c r="I7" s="90">
        <v>1.0</v>
      </c>
      <c r="J7" s="90">
        <v>7.0</v>
      </c>
      <c r="K7" s="90">
        <v>7.0</v>
      </c>
      <c r="L7" s="92">
        <v>15.0</v>
      </c>
      <c r="M7" s="90">
        <v>2.0</v>
      </c>
      <c r="N7" s="37">
        <f t="shared" ref="N7:O7" si="11">C7+L7</f>
        <v>177</v>
      </c>
      <c r="O7" s="37">
        <f t="shared" si="11"/>
        <v>18</v>
      </c>
      <c r="P7" s="50" t="s">
        <v>60</v>
      </c>
      <c r="Q7" s="50" t="s">
        <v>60</v>
      </c>
      <c r="R7" s="50" t="s">
        <v>60</v>
      </c>
      <c r="S7" s="51">
        <f t="shared" si="4"/>
        <v>10</v>
      </c>
      <c r="T7" s="52">
        <f t="shared" si="5"/>
        <v>1</v>
      </c>
      <c r="U7" s="52"/>
      <c r="V7" s="51">
        <f t="shared" si="6"/>
        <v>1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68</v>
      </c>
      <c r="C8" s="37">
        <v>161.0</v>
      </c>
      <c r="D8" s="37">
        <v>18.0</v>
      </c>
      <c r="E8" s="42">
        <f t="shared" si="2"/>
        <v>14.88888889</v>
      </c>
      <c r="F8" s="89">
        <v>1.0</v>
      </c>
      <c r="G8" s="90">
        <v>1.0</v>
      </c>
      <c r="H8" s="91">
        <v>0.0</v>
      </c>
      <c r="I8" s="90">
        <v>6.0</v>
      </c>
      <c r="J8" s="90">
        <v>7.0</v>
      </c>
      <c r="K8" s="90">
        <v>6.0</v>
      </c>
      <c r="L8" s="92">
        <v>19.0</v>
      </c>
      <c r="M8" s="90">
        <v>2.0</v>
      </c>
      <c r="N8" s="37">
        <f t="shared" ref="N8:O8" si="13">C8+L8</f>
        <v>180</v>
      </c>
      <c r="O8" s="37">
        <f t="shared" si="13"/>
        <v>20</v>
      </c>
      <c r="P8" s="50" t="s">
        <v>60</v>
      </c>
      <c r="Q8" s="50" t="s">
        <v>60</v>
      </c>
      <c r="R8" s="50" t="s">
        <v>60</v>
      </c>
      <c r="S8" s="51">
        <f t="shared" si="4"/>
        <v>9</v>
      </c>
      <c r="T8" s="52">
        <f t="shared" si="5"/>
        <v>0</v>
      </c>
      <c r="U8" s="52"/>
      <c r="V8" s="51">
        <f t="shared" si="6"/>
        <v>3</v>
      </c>
      <c r="W8" s="52">
        <f t="shared" si="7"/>
        <v>2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52</v>
      </c>
      <c r="C9" s="37">
        <v>156.0</v>
      </c>
      <c r="D9" s="37">
        <v>15.0</v>
      </c>
      <c r="E9" s="42">
        <f t="shared" si="2"/>
        <v>13</v>
      </c>
      <c r="F9" s="89">
        <v>1.0</v>
      </c>
      <c r="G9" s="90">
        <v>1.0</v>
      </c>
      <c r="H9" s="91">
        <v>0.0</v>
      </c>
      <c r="I9" s="90">
        <v>6.0</v>
      </c>
      <c r="J9" s="90">
        <v>5.0</v>
      </c>
      <c r="K9" s="90">
        <v>7.0</v>
      </c>
      <c r="L9" s="92">
        <v>18.0</v>
      </c>
      <c r="M9" s="90">
        <v>2.0</v>
      </c>
      <c r="N9" s="37">
        <f t="shared" ref="N9:O9" si="14">C9+L9</f>
        <v>174</v>
      </c>
      <c r="O9" s="37">
        <f t="shared" si="14"/>
        <v>17</v>
      </c>
      <c r="P9" s="50" t="s">
        <v>60</v>
      </c>
      <c r="Q9" s="50" t="s">
        <v>60</v>
      </c>
      <c r="R9" s="50" t="s">
        <v>60</v>
      </c>
      <c r="S9" s="51">
        <f t="shared" si="4"/>
        <v>11</v>
      </c>
      <c r="T9" s="52">
        <f t="shared" si="5"/>
        <v>1</v>
      </c>
      <c r="U9" s="52"/>
      <c r="V9" s="51">
        <f t="shared" si="6"/>
        <v>0</v>
      </c>
      <c r="W9" s="52">
        <f t="shared" si="7"/>
        <v>-3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80</v>
      </c>
      <c r="C10" s="37">
        <v>156.0</v>
      </c>
      <c r="D10" s="37">
        <v>13.0</v>
      </c>
      <c r="E10" s="42">
        <f t="shared" si="2"/>
        <v>14.5</v>
      </c>
      <c r="F10" s="89">
        <v>1.0</v>
      </c>
      <c r="G10" s="90">
        <v>2.0</v>
      </c>
      <c r="H10" s="91">
        <v>0.0</v>
      </c>
      <c r="I10" s="90">
        <v>6.0</v>
      </c>
      <c r="J10" s="90">
        <v>6.0</v>
      </c>
      <c r="K10" s="90">
        <v>6.0</v>
      </c>
      <c r="L10" s="92">
        <v>18.0</v>
      </c>
      <c r="M10" s="90">
        <v>3.0</v>
      </c>
      <c r="N10" s="37">
        <f t="shared" ref="N10:O10" si="15">C10+L10</f>
        <v>174</v>
      </c>
      <c r="O10" s="37">
        <f t="shared" si="15"/>
        <v>16</v>
      </c>
      <c r="P10" s="50" t="s">
        <v>60</v>
      </c>
      <c r="Q10" s="50" t="s">
        <v>60</v>
      </c>
      <c r="R10" s="50" t="s">
        <v>60</v>
      </c>
      <c r="S10" s="51">
        <f t="shared" si="4"/>
        <v>8</v>
      </c>
      <c r="T10" s="52">
        <f t="shared" si="5"/>
        <v>1</v>
      </c>
      <c r="U10" s="52"/>
      <c r="V10" s="51">
        <f t="shared" si="6"/>
        <v>3</v>
      </c>
      <c r="W10" s="52">
        <f t="shared" si="7"/>
        <v>-3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91</v>
      </c>
      <c r="C11" s="37">
        <v>155.0</v>
      </c>
      <c r="D11" s="37">
        <v>12.0</v>
      </c>
      <c r="E11" s="42">
        <f t="shared" si="2"/>
        <v>14</v>
      </c>
      <c r="F11" s="89">
        <v>3.0</v>
      </c>
      <c r="G11" s="90">
        <v>0.0</v>
      </c>
      <c r="H11" s="91">
        <v>9.0</v>
      </c>
      <c r="I11" s="90">
        <v>0.0</v>
      </c>
      <c r="J11" s="90">
        <v>0.0</v>
      </c>
      <c r="K11" s="90">
        <v>0.0</v>
      </c>
      <c r="L11" s="92">
        <v>9.0</v>
      </c>
      <c r="M11" s="90">
        <v>0.0</v>
      </c>
      <c r="N11" s="37">
        <f t="shared" ref="N11:O11" si="16">C11+L11</f>
        <v>164</v>
      </c>
      <c r="O11" s="37">
        <f t="shared" si="16"/>
        <v>12</v>
      </c>
      <c r="P11" s="50" t="s">
        <v>60</v>
      </c>
      <c r="Q11" s="50" t="s">
        <v>60</v>
      </c>
      <c r="R11" s="50" t="s">
        <v>60</v>
      </c>
      <c r="S11" s="51">
        <f t="shared" si="4"/>
        <v>7</v>
      </c>
      <c r="T11" s="52">
        <f t="shared" si="5"/>
        <v>3</v>
      </c>
      <c r="U11" s="52"/>
      <c r="V11" s="51">
        <f t="shared" si="6"/>
        <v>2</v>
      </c>
      <c r="W11" s="52">
        <f t="shared" si="7"/>
        <v>1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93</v>
      </c>
      <c r="C12" s="37">
        <v>155.0</v>
      </c>
      <c r="D12" s="37">
        <v>10.0</v>
      </c>
      <c r="E12" s="42">
        <f t="shared" si="2"/>
        <v>13.42857143</v>
      </c>
      <c r="F12" s="89">
        <v>2.0</v>
      </c>
      <c r="G12" s="90">
        <v>2.0</v>
      </c>
      <c r="H12" s="91">
        <v>0.0</v>
      </c>
      <c r="I12" s="90">
        <v>2.0</v>
      </c>
      <c r="J12" s="90">
        <v>3.0</v>
      </c>
      <c r="K12" s="90">
        <v>6.0</v>
      </c>
      <c r="L12" s="92">
        <v>11.0</v>
      </c>
      <c r="M12" s="90">
        <v>1.0</v>
      </c>
      <c r="N12" s="37">
        <f t="shared" ref="N12:O12" si="17">C12+L12</f>
        <v>166</v>
      </c>
      <c r="O12" s="37">
        <f t="shared" si="17"/>
        <v>11</v>
      </c>
      <c r="P12" s="50" t="s">
        <v>60</v>
      </c>
      <c r="Q12" s="50" t="s">
        <v>60</v>
      </c>
      <c r="R12" s="50" t="s">
        <v>60</v>
      </c>
      <c r="S12" s="51">
        <f t="shared" si="4"/>
        <v>7</v>
      </c>
      <c r="T12" s="52">
        <f t="shared" si="5"/>
        <v>4</v>
      </c>
      <c r="U12" s="52"/>
      <c r="V12" s="51">
        <f t="shared" si="6"/>
        <v>1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97</v>
      </c>
      <c r="C13" s="37">
        <v>153.0</v>
      </c>
      <c r="D13" s="37">
        <v>13.0</v>
      </c>
      <c r="E13" s="42">
        <f t="shared" si="2"/>
        <v>12.75</v>
      </c>
      <c r="F13" s="89">
        <v>1.0</v>
      </c>
      <c r="G13" s="90">
        <v>2.0</v>
      </c>
      <c r="H13" s="91">
        <v>0.0</v>
      </c>
      <c r="I13" s="90">
        <v>6.0</v>
      </c>
      <c r="J13" s="90">
        <v>3.0</v>
      </c>
      <c r="K13" s="90">
        <v>3.0</v>
      </c>
      <c r="L13" s="92">
        <v>12.0</v>
      </c>
      <c r="M13" s="90">
        <v>1.0</v>
      </c>
      <c r="N13" s="37">
        <f t="shared" ref="N13:O13" si="18">C13+L13</f>
        <v>165</v>
      </c>
      <c r="O13" s="37">
        <f t="shared" si="18"/>
        <v>14</v>
      </c>
      <c r="P13" s="50" t="s">
        <v>60</v>
      </c>
      <c r="Q13" s="50" t="s">
        <v>60</v>
      </c>
      <c r="R13" s="50" t="s">
        <v>60</v>
      </c>
      <c r="S13" s="51">
        <f t="shared" si="4"/>
        <v>12</v>
      </c>
      <c r="T13" s="52">
        <f t="shared" si="5"/>
        <v>0</v>
      </c>
      <c r="U13" s="52"/>
      <c r="V13" s="51">
        <f t="shared" si="6"/>
        <v>0</v>
      </c>
      <c r="W13" s="52">
        <f t="shared" si="7"/>
        <v>1</v>
      </c>
      <c r="X13" s="35">
        <f t="shared" si="12"/>
        <v>9</v>
      </c>
      <c r="Y13" s="35" t="str">
        <f t="shared" si="8"/>
        <v>Y</v>
      </c>
      <c r="Z13" s="22" t="str">
        <f t="shared" si="9"/>
        <v/>
      </c>
    </row>
    <row r="14">
      <c r="A14" s="35">
        <f t="shared" si="10"/>
        <v>10</v>
      </c>
      <c r="B14" s="36" t="s">
        <v>107</v>
      </c>
      <c r="C14" s="37">
        <v>153.0</v>
      </c>
      <c r="D14" s="37">
        <v>13.0</v>
      </c>
      <c r="E14" s="42">
        <f t="shared" si="2"/>
        <v>15.16666667</v>
      </c>
      <c r="F14" s="89">
        <v>3.0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162</v>
      </c>
      <c r="O14" s="37">
        <f t="shared" si="19"/>
        <v>13</v>
      </c>
      <c r="P14" s="50" t="s">
        <v>60</v>
      </c>
      <c r="Q14" s="50" t="s">
        <v>60</v>
      </c>
      <c r="R14" s="50" t="s">
        <v>60</v>
      </c>
      <c r="S14" s="51">
        <f t="shared" si="4"/>
        <v>6</v>
      </c>
      <c r="T14" s="52">
        <f t="shared" si="5"/>
        <v>2</v>
      </c>
      <c r="U14" s="52"/>
      <c r="V14" s="51">
        <f t="shared" si="6"/>
        <v>4</v>
      </c>
      <c r="W14" s="52">
        <f t="shared" si="7"/>
        <v>3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131</v>
      </c>
      <c r="C15" s="37">
        <v>149.0</v>
      </c>
      <c r="D15" s="37">
        <v>13.0</v>
      </c>
      <c r="E15" s="42">
        <f t="shared" si="2"/>
        <v>12.3</v>
      </c>
      <c r="F15" s="89">
        <v>1.0</v>
      </c>
      <c r="G15" s="90">
        <v>2.0</v>
      </c>
      <c r="H15" s="91">
        <v>0.0</v>
      </c>
      <c r="I15" s="90">
        <v>2.0</v>
      </c>
      <c r="J15" s="90">
        <v>6.0</v>
      </c>
      <c r="K15" s="90">
        <v>3.0</v>
      </c>
      <c r="L15" s="92">
        <v>11.0</v>
      </c>
      <c r="M15" s="90">
        <v>1.0</v>
      </c>
      <c r="N15" s="37">
        <f t="shared" ref="N15:O15" si="20">C15+L15</f>
        <v>160</v>
      </c>
      <c r="O15" s="37">
        <f t="shared" si="20"/>
        <v>14</v>
      </c>
      <c r="P15" s="50" t="s">
        <v>60</v>
      </c>
      <c r="Q15" s="50" t="s">
        <v>60</v>
      </c>
      <c r="R15" s="50" t="s">
        <v>60</v>
      </c>
      <c r="S15" s="51">
        <f t="shared" si="4"/>
        <v>10</v>
      </c>
      <c r="T15" s="52">
        <f t="shared" si="5"/>
        <v>2</v>
      </c>
      <c r="U15" s="52"/>
      <c r="V15" s="51">
        <f t="shared" si="6"/>
        <v>0</v>
      </c>
      <c r="W15" s="52">
        <f t="shared" si="7"/>
        <v>0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92</v>
      </c>
      <c r="C16" s="37">
        <v>148.0</v>
      </c>
      <c r="D16" s="37">
        <v>14.0</v>
      </c>
      <c r="E16" s="42">
        <f t="shared" si="2"/>
        <v>16.2</v>
      </c>
      <c r="F16" s="89">
        <v>3.0</v>
      </c>
      <c r="G16" s="90">
        <v>0.0</v>
      </c>
      <c r="H16" s="91">
        <v>9.0</v>
      </c>
      <c r="I16" s="90">
        <v>0.0</v>
      </c>
      <c r="J16" s="90">
        <v>0.0</v>
      </c>
      <c r="K16" s="90">
        <v>0.0</v>
      </c>
      <c r="L16" s="92">
        <v>9.0</v>
      </c>
      <c r="M16" s="90">
        <v>0.0</v>
      </c>
      <c r="N16" s="37">
        <f t="shared" ref="N16:O16" si="21">C16+L16</f>
        <v>157</v>
      </c>
      <c r="O16" s="37">
        <f t="shared" si="21"/>
        <v>14</v>
      </c>
      <c r="P16" s="50" t="s">
        <v>60</v>
      </c>
      <c r="Q16" s="50" t="s">
        <v>60</v>
      </c>
      <c r="R16" s="50" t="s">
        <v>60</v>
      </c>
      <c r="S16" s="51">
        <f t="shared" si="4"/>
        <v>5</v>
      </c>
      <c r="T16" s="52">
        <f t="shared" si="5"/>
        <v>1</v>
      </c>
      <c r="U16" s="52"/>
      <c r="V16" s="51">
        <f t="shared" si="6"/>
        <v>6</v>
      </c>
      <c r="W16" s="52">
        <f t="shared" si="7"/>
        <v>-3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108</v>
      </c>
      <c r="C17" s="37">
        <v>147.0</v>
      </c>
      <c r="D17" s="37">
        <v>8.0</v>
      </c>
      <c r="E17" s="42">
        <f t="shared" si="2"/>
        <v>12.28571429</v>
      </c>
      <c r="F17" s="89">
        <v>3.0</v>
      </c>
      <c r="G17" s="90">
        <v>0.0</v>
      </c>
      <c r="H17" s="91">
        <v>9.0</v>
      </c>
      <c r="I17" s="90">
        <v>0.0</v>
      </c>
      <c r="J17" s="90">
        <v>0.0</v>
      </c>
      <c r="K17" s="90">
        <v>0.0</v>
      </c>
      <c r="L17" s="92">
        <v>9.0</v>
      </c>
      <c r="M17" s="90">
        <v>0.0</v>
      </c>
      <c r="N17" s="37">
        <f t="shared" ref="N17:O17" si="22">C17+L17</f>
        <v>156</v>
      </c>
      <c r="O17" s="37">
        <f t="shared" si="22"/>
        <v>8</v>
      </c>
      <c r="P17" s="50" t="s">
        <v>60</v>
      </c>
      <c r="Q17" s="50" t="s">
        <v>60</v>
      </c>
      <c r="R17" s="50" t="s">
        <v>60</v>
      </c>
      <c r="S17" s="51">
        <f t="shared" si="4"/>
        <v>7</v>
      </c>
      <c r="T17" s="52">
        <f t="shared" si="5"/>
        <v>4</v>
      </c>
      <c r="U17" s="52"/>
      <c r="V17" s="51">
        <f t="shared" si="6"/>
        <v>1</v>
      </c>
      <c r="W17" s="52">
        <f t="shared" si="7"/>
        <v>2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140</v>
      </c>
      <c r="C18" s="37">
        <v>146.0</v>
      </c>
      <c r="D18" s="37">
        <v>15.0</v>
      </c>
      <c r="E18" s="42">
        <f t="shared" si="2"/>
        <v>12.45454545</v>
      </c>
      <c r="F18" s="89">
        <v>3.0</v>
      </c>
      <c r="G18" s="90">
        <v>0.0</v>
      </c>
      <c r="H18" s="91">
        <v>9.0</v>
      </c>
      <c r="I18" s="90">
        <v>0.0</v>
      </c>
      <c r="J18" s="90">
        <v>0.0</v>
      </c>
      <c r="K18" s="90">
        <v>0.0</v>
      </c>
      <c r="L18" s="92">
        <v>9.0</v>
      </c>
      <c r="M18" s="90">
        <v>0.0</v>
      </c>
      <c r="N18" s="37">
        <f t="shared" ref="N18:O18" si="23">C18+L18</f>
        <v>155</v>
      </c>
      <c r="O18" s="37">
        <f t="shared" si="23"/>
        <v>15</v>
      </c>
      <c r="P18" s="50" t="s">
        <v>60</v>
      </c>
      <c r="Q18" s="50" t="s">
        <v>60</v>
      </c>
      <c r="R18" s="50" t="s">
        <v>60</v>
      </c>
      <c r="S18" s="51">
        <f t="shared" si="4"/>
        <v>11</v>
      </c>
      <c r="T18" s="52">
        <f t="shared" si="5"/>
        <v>0</v>
      </c>
      <c r="U18" s="52"/>
      <c r="V18" s="51">
        <f t="shared" si="6"/>
        <v>1</v>
      </c>
      <c r="W18" s="52">
        <f t="shared" si="7"/>
        <v>5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113</v>
      </c>
      <c r="C19" s="37">
        <v>146.0</v>
      </c>
      <c r="D19" s="37">
        <v>11.0</v>
      </c>
      <c r="E19" s="42">
        <f t="shared" si="2"/>
        <v>12.77777778</v>
      </c>
      <c r="F19" s="89">
        <v>1.0</v>
      </c>
      <c r="G19" s="90">
        <v>3.0</v>
      </c>
      <c r="H19" s="91">
        <v>0.0</v>
      </c>
      <c r="I19" s="90">
        <v>6.0</v>
      </c>
      <c r="J19" s="90">
        <v>1.0</v>
      </c>
      <c r="K19" s="90">
        <v>7.0</v>
      </c>
      <c r="L19" s="92">
        <v>14.0</v>
      </c>
      <c r="M19" s="90">
        <v>2.0</v>
      </c>
      <c r="N19" s="37">
        <f t="shared" ref="N19:O19" si="24">C19+L19</f>
        <v>160</v>
      </c>
      <c r="O19" s="37">
        <f t="shared" si="24"/>
        <v>13</v>
      </c>
      <c r="P19" s="50" t="s">
        <v>60</v>
      </c>
      <c r="Q19" s="50" t="s">
        <v>60</v>
      </c>
      <c r="R19" s="50" t="s">
        <v>60</v>
      </c>
      <c r="S19" s="51">
        <f t="shared" si="4"/>
        <v>9</v>
      </c>
      <c r="T19" s="52">
        <f t="shared" si="5"/>
        <v>1</v>
      </c>
      <c r="U19" s="52"/>
      <c r="V19" s="51">
        <f t="shared" si="6"/>
        <v>2</v>
      </c>
      <c r="W19" s="52">
        <f t="shared" si="7"/>
        <v>5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118</v>
      </c>
      <c r="C20" s="37">
        <v>145.0</v>
      </c>
      <c r="D20" s="37">
        <v>13.0</v>
      </c>
      <c r="E20" s="42">
        <f t="shared" si="2"/>
        <v>11.9</v>
      </c>
      <c r="F20" s="89">
        <v>1.0</v>
      </c>
      <c r="G20" s="90">
        <v>3.0</v>
      </c>
      <c r="H20" s="91">
        <v>0.0</v>
      </c>
      <c r="I20" s="90">
        <v>6.0</v>
      </c>
      <c r="J20" s="90">
        <v>6.0</v>
      </c>
      <c r="K20" s="90">
        <v>5.0</v>
      </c>
      <c r="L20" s="92">
        <v>17.0</v>
      </c>
      <c r="M20" s="90">
        <v>2.0</v>
      </c>
      <c r="N20" s="37">
        <f t="shared" ref="N20:O20" si="25">C20+L20</f>
        <v>162</v>
      </c>
      <c r="O20" s="37">
        <f t="shared" si="25"/>
        <v>15</v>
      </c>
      <c r="P20" s="50" t="s">
        <v>60</v>
      </c>
      <c r="Q20" s="50" t="s">
        <v>60</v>
      </c>
      <c r="R20" s="50" t="s">
        <v>60</v>
      </c>
      <c r="S20" s="51">
        <f t="shared" si="4"/>
        <v>10</v>
      </c>
      <c r="T20" s="52">
        <f t="shared" si="5"/>
        <v>2</v>
      </c>
      <c r="U20" s="52"/>
      <c r="V20" s="51">
        <f t="shared" si="6"/>
        <v>0</v>
      </c>
      <c r="W20" s="52">
        <f t="shared" si="7"/>
        <v>0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126</v>
      </c>
      <c r="C21" s="37">
        <v>145.0</v>
      </c>
      <c r="D21" s="37">
        <v>12.0</v>
      </c>
      <c r="E21" s="42">
        <f t="shared" si="2"/>
        <v>14.5</v>
      </c>
      <c r="F21" s="89">
        <v>3.0</v>
      </c>
      <c r="G21" s="90">
        <v>0.0</v>
      </c>
      <c r="H21" s="91">
        <v>9.0</v>
      </c>
      <c r="I21" s="90">
        <v>0.0</v>
      </c>
      <c r="J21" s="90">
        <v>0.0</v>
      </c>
      <c r="K21" s="90">
        <v>0.0</v>
      </c>
      <c r="L21" s="92">
        <v>9.0</v>
      </c>
      <c r="M21" s="90">
        <v>0.0</v>
      </c>
      <c r="N21" s="37">
        <f t="shared" ref="N21:O21" si="26">C21+L21</f>
        <v>154</v>
      </c>
      <c r="O21" s="37">
        <f t="shared" si="26"/>
        <v>12</v>
      </c>
      <c r="P21" s="50" t="s">
        <v>60</v>
      </c>
      <c r="Q21" s="50" t="s">
        <v>60</v>
      </c>
      <c r="R21" s="50" t="s">
        <v>60</v>
      </c>
      <c r="S21" s="51">
        <f t="shared" si="4"/>
        <v>6</v>
      </c>
      <c r="T21" s="52">
        <f t="shared" si="5"/>
        <v>1</v>
      </c>
      <c r="U21" s="52"/>
      <c r="V21" s="51">
        <f t="shared" si="6"/>
        <v>5</v>
      </c>
      <c r="W21" s="52">
        <f t="shared" si="7"/>
        <v>-5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121</v>
      </c>
      <c r="C22" s="37">
        <v>144.0</v>
      </c>
      <c r="D22" s="37">
        <v>15.0</v>
      </c>
      <c r="E22" s="42">
        <f t="shared" si="2"/>
        <v>15</v>
      </c>
      <c r="F22" s="89">
        <v>3.0</v>
      </c>
      <c r="G22" s="90">
        <v>0.0</v>
      </c>
      <c r="H22" s="91">
        <v>9.0</v>
      </c>
      <c r="I22" s="90">
        <v>0.0</v>
      </c>
      <c r="J22" s="90">
        <v>0.0</v>
      </c>
      <c r="K22" s="90">
        <v>0.0</v>
      </c>
      <c r="L22" s="92">
        <v>9.0</v>
      </c>
      <c r="M22" s="90">
        <v>0.0</v>
      </c>
      <c r="N22" s="37">
        <f t="shared" ref="N22:O22" si="27">C22+L22</f>
        <v>153</v>
      </c>
      <c r="O22" s="37">
        <f t="shared" si="27"/>
        <v>15</v>
      </c>
      <c r="P22" s="50" t="s">
        <v>60</v>
      </c>
      <c r="Q22" s="50" t="s">
        <v>60</v>
      </c>
      <c r="R22" s="50" t="s">
        <v>60</v>
      </c>
      <c r="S22" s="51">
        <f t="shared" si="4"/>
        <v>6</v>
      </c>
      <c r="T22" s="52">
        <f t="shared" si="5"/>
        <v>0</v>
      </c>
      <c r="U22" s="52"/>
      <c r="V22" s="51">
        <f t="shared" si="6"/>
        <v>6</v>
      </c>
      <c r="W22" s="52">
        <f t="shared" si="7"/>
        <v>0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135</v>
      </c>
      <c r="C23" s="37">
        <v>143.0</v>
      </c>
      <c r="D23" s="37">
        <v>16.0</v>
      </c>
      <c r="E23" s="42">
        <f t="shared" si="2"/>
        <v>12.5</v>
      </c>
      <c r="F23" s="89">
        <v>1.0</v>
      </c>
      <c r="G23" s="90">
        <v>3.0</v>
      </c>
      <c r="H23" s="91">
        <v>0.0</v>
      </c>
      <c r="I23" s="90">
        <v>3.0</v>
      </c>
      <c r="J23" s="90">
        <v>1.0</v>
      </c>
      <c r="K23" s="90">
        <v>5.0</v>
      </c>
      <c r="L23" s="92">
        <v>9.0</v>
      </c>
      <c r="M23" s="90">
        <v>0.0</v>
      </c>
      <c r="N23" s="37">
        <f t="shared" ref="N23:O23" si="28">C23+L23</f>
        <v>152</v>
      </c>
      <c r="O23" s="37">
        <f t="shared" si="28"/>
        <v>16</v>
      </c>
      <c r="P23" s="50" t="s">
        <v>60</v>
      </c>
      <c r="Q23" s="50" t="s">
        <v>60</v>
      </c>
      <c r="R23" s="50" t="s">
        <v>60</v>
      </c>
      <c r="S23" s="51">
        <f t="shared" si="4"/>
        <v>10</v>
      </c>
      <c r="T23" s="52">
        <f t="shared" si="5"/>
        <v>0</v>
      </c>
      <c r="U23" s="52"/>
      <c r="V23" s="51">
        <f t="shared" si="6"/>
        <v>2</v>
      </c>
      <c r="W23" s="52">
        <f t="shared" si="7"/>
        <v>5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98</v>
      </c>
      <c r="C24" s="37">
        <v>143.0</v>
      </c>
      <c r="D24" s="37">
        <v>14.0</v>
      </c>
      <c r="E24" s="42">
        <f t="shared" si="2"/>
        <v>12.5</v>
      </c>
      <c r="F24" s="89">
        <v>3.0</v>
      </c>
      <c r="G24" s="90">
        <v>0.0</v>
      </c>
      <c r="H24" s="91">
        <v>9.0</v>
      </c>
      <c r="I24" s="90">
        <v>0.0</v>
      </c>
      <c r="J24" s="90">
        <v>0.0</v>
      </c>
      <c r="K24" s="90">
        <v>0.0</v>
      </c>
      <c r="L24" s="92">
        <v>9.0</v>
      </c>
      <c r="M24" s="90">
        <v>0.0</v>
      </c>
      <c r="N24" s="37">
        <f t="shared" ref="N24:O24" si="29">C24+L24</f>
        <v>152</v>
      </c>
      <c r="O24" s="37">
        <f t="shared" si="29"/>
        <v>14</v>
      </c>
      <c r="P24" s="50" t="s">
        <v>60</v>
      </c>
      <c r="Q24" s="50" t="s">
        <v>60</v>
      </c>
      <c r="R24" s="50" t="s">
        <v>60</v>
      </c>
      <c r="S24" s="51">
        <f t="shared" si="4"/>
        <v>10</v>
      </c>
      <c r="T24" s="52">
        <f t="shared" si="5"/>
        <v>0</v>
      </c>
      <c r="U24" s="52"/>
      <c r="V24" s="51">
        <f t="shared" si="6"/>
        <v>2</v>
      </c>
      <c r="W24" s="52">
        <f t="shared" si="7"/>
        <v>1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122</v>
      </c>
      <c r="C25" s="37">
        <v>142.0</v>
      </c>
      <c r="D25" s="37">
        <v>13.0</v>
      </c>
      <c r="E25" s="42">
        <f t="shared" si="2"/>
        <v>13.33333333</v>
      </c>
      <c r="F25" s="89">
        <v>5.0</v>
      </c>
      <c r="G25" s="90">
        <v>0.0</v>
      </c>
      <c r="H25" s="91">
        <v>13.0</v>
      </c>
      <c r="I25" s="90">
        <v>0.0</v>
      </c>
      <c r="J25" s="90">
        <v>0.0</v>
      </c>
      <c r="K25" s="90">
        <v>0.0</v>
      </c>
      <c r="L25" s="92">
        <v>13.0</v>
      </c>
      <c r="M25" s="90">
        <v>0.0</v>
      </c>
      <c r="N25" s="37">
        <f t="shared" ref="N25:O25" si="30">C25+L25</f>
        <v>155</v>
      </c>
      <c r="O25" s="37">
        <f t="shared" si="30"/>
        <v>13</v>
      </c>
      <c r="P25" s="50" t="s">
        <v>60</v>
      </c>
      <c r="Q25" s="50" t="s">
        <v>60</v>
      </c>
      <c r="R25" s="50" t="s">
        <v>60</v>
      </c>
      <c r="S25" s="51">
        <f t="shared" si="4"/>
        <v>6</v>
      </c>
      <c r="T25" s="52">
        <f t="shared" si="5"/>
        <v>2</v>
      </c>
      <c r="U25" s="52"/>
      <c r="V25" s="51">
        <f t="shared" si="6"/>
        <v>4</v>
      </c>
      <c r="W25" s="52">
        <f t="shared" si="7"/>
        <v>-7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115</v>
      </c>
      <c r="C26" s="37">
        <v>142.0</v>
      </c>
      <c r="D26" s="37">
        <v>10.0</v>
      </c>
      <c r="E26" s="42">
        <f t="shared" si="2"/>
        <v>12.75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151</v>
      </c>
      <c r="O26" s="37">
        <f t="shared" si="31"/>
        <v>10</v>
      </c>
      <c r="P26" s="50" t="s">
        <v>60</v>
      </c>
      <c r="Q26" s="50" t="s">
        <v>60</v>
      </c>
      <c r="R26" s="50" t="s">
        <v>60</v>
      </c>
      <c r="S26" s="51">
        <f t="shared" si="4"/>
        <v>8</v>
      </c>
      <c r="T26" s="52">
        <f t="shared" si="5"/>
        <v>1</v>
      </c>
      <c r="U26" s="52"/>
      <c r="V26" s="51">
        <f t="shared" si="6"/>
        <v>3</v>
      </c>
      <c r="W26" s="52">
        <f t="shared" si="7"/>
        <v>-5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101</v>
      </c>
      <c r="C27" s="37">
        <v>140.0</v>
      </c>
      <c r="D27" s="37">
        <v>15.0</v>
      </c>
      <c r="E27" s="42">
        <f t="shared" si="2"/>
        <v>11.90909091</v>
      </c>
      <c r="F27" s="89">
        <v>1.0</v>
      </c>
      <c r="G27" s="90">
        <v>3.0</v>
      </c>
      <c r="H27" s="91">
        <v>0.0</v>
      </c>
      <c r="I27" s="90">
        <v>3.0</v>
      </c>
      <c r="J27" s="90">
        <v>6.0</v>
      </c>
      <c r="K27" s="90">
        <v>7.0</v>
      </c>
      <c r="L27" s="92">
        <v>16.0</v>
      </c>
      <c r="M27" s="90">
        <v>2.0</v>
      </c>
      <c r="N27" s="37">
        <f t="shared" ref="N27:O27" si="32">C27+L27</f>
        <v>156</v>
      </c>
      <c r="O27" s="37">
        <f t="shared" si="32"/>
        <v>17</v>
      </c>
      <c r="P27" s="50" t="s">
        <v>60</v>
      </c>
      <c r="Q27" s="50" t="s">
        <v>60</v>
      </c>
      <c r="R27" s="50" t="s">
        <v>60</v>
      </c>
      <c r="S27" s="51">
        <f t="shared" si="4"/>
        <v>11</v>
      </c>
      <c r="T27" s="52">
        <f t="shared" si="5"/>
        <v>0</v>
      </c>
      <c r="U27" s="52"/>
      <c r="V27" s="51">
        <f t="shared" si="6"/>
        <v>1</v>
      </c>
      <c r="W27" s="52">
        <f t="shared" si="7"/>
        <v>2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102</v>
      </c>
      <c r="C28" s="37">
        <v>138.0</v>
      </c>
      <c r="D28" s="37">
        <v>9.0</v>
      </c>
      <c r="E28" s="42">
        <f t="shared" si="2"/>
        <v>12.5</v>
      </c>
      <c r="F28" s="89">
        <v>5.0</v>
      </c>
      <c r="G28" s="90">
        <v>0.0</v>
      </c>
      <c r="H28" s="91">
        <v>13.0</v>
      </c>
      <c r="I28" s="90">
        <v>0.0</v>
      </c>
      <c r="J28" s="90">
        <v>0.0</v>
      </c>
      <c r="K28" s="90">
        <v>0.0</v>
      </c>
      <c r="L28" s="92">
        <v>13.0</v>
      </c>
      <c r="M28" s="90">
        <v>0.0</v>
      </c>
      <c r="N28" s="37">
        <f t="shared" ref="N28:O28" si="33">C28+L28</f>
        <v>151</v>
      </c>
      <c r="O28" s="37">
        <f t="shared" si="33"/>
        <v>9</v>
      </c>
      <c r="P28" s="50" t="s">
        <v>60</v>
      </c>
      <c r="Q28" s="50" t="s">
        <v>60</v>
      </c>
      <c r="R28" s="50" t="s">
        <v>60</v>
      </c>
      <c r="S28" s="51">
        <f t="shared" si="4"/>
        <v>4</v>
      </c>
      <c r="T28" s="52">
        <f t="shared" si="5"/>
        <v>4</v>
      </c>
      <c r="U28" s="52"/>
      <c r="V28" s="51">
        <f t="shared" si="6"/>
        <v>4</v>
      </c>
      <c r="W28" s="52">
        <f t="shared" si="7"/>
        <v>5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81</v>
      </c>
      <c r="C29" s="37">
        <v>137.0</v>
      </c>
      <c r="D29" s="37">
        <v>11.0</v>
      </c>
      <c r="E29" s="42">
        <f t="shared" si="2"/>
        <v>13.83333333</v>
      </c>
      <c r="F29" s="89">
        <v>1.0</v>
      </c>
      <c r="G29" s="90">
        <v>4.0</v>
      </c>
      <c r="H29" s="91">
        <v>0.0</v>
      </c>
      <c r="I29" s="90">
        <v>6.0</v>
      </c>
      <c r="J29" s="90">
        <v>4.0</v>
      </c>
      <c r="K29" s="90">
        <v>6.0</v>
      </c>
      <c r="L29" s="92">
        <v>16.0</v>
      </c>
      <c r="M29" s="90">
        <v>2.0</v>
      </c>
      <c r="N29" s="37">
        <f t="shared" ref="N29:O29" si="34">C29+L29</f>
        <v>153</v>
      </c>
      <c r="O29" s="37">
        <f t="shared" si="34"/>
        <v>13</v>
      </c>
      <c r="P29" s="50" t="s">
        <v>60</v>
      </c>
      <c r="Q29" s="50" t="s">
        <v>60</v>
      </c>
      <c r="R29" s="50" t="s">
        <v>60</v>
      </c>
      <c r="S29" s="51">
        <f t="shared" si="4"/>
        <v>6</v>
      </c>
      <c r="T29" s="52">
        <f t="shared" si="5"/>
        <v>0</v>
      </c>
      <c r="U29" s="52"/>
      <c r="V29" s="51">
        <f t="shared" si="6"/>
        <v>6</v>
      </c>
      <c r="W29" s="52">
        <f t="shared" si="7"/>
        <v>-3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87</v>
      </c>
      <c r="C30" s="37">
        <v>137.0</v>
      </c>
      <c r="D30" s="37">
        <v>9.0</v>
      </c>
      <c r="E30" s="42">
        <f t="shared" si="2"/>
        <v>11.27272727</v>
      </c>
      <c r="F30" s="89">
        <v>1.0</v>
      </c>
      <c r="G30" s="90">
        <v>4.0</v>
      </c>
      <c r="H30" s="91">
        <v>0.0</v>
      </c>
      <c r="I30" s="90">
        <v>2.0</v>
      </c>
      <c r="J30" s="90">
        <v>4.0</v>
      </c>
      <c r="K30" s="90">
        <v>1.0</v>
      </c>
      <c r="L30" s="92">
        <v>7.0</v>
      </c>
      <c r="M30" s="90">
        <v>0.0</v>
      </c>
      <c r="N30" s="37">
        <f t="shared" ref="N30:O30" si="35">C30+L30</f>
        <v>144</v>
      </c>
      <c r="O30" s="37">
        <f t="shared" si="35"/>
        <v>9</v>
      </c>
      <c r="P30" s="50" t="s">
        <v>60</v>
      </c>
      <c r="Q30" s="50" t="s">
        <v>60</v>
      </c>
      <c r="R30" s="50" t="s">
        <v>60</v>
      </c>
      <c r="S30" s="51">
        <f t="shared" si="4"/>
        <v>11</v>
      </c>
      <c r="T30" s="52">
        <f t="shared" si="5"/>
        <v>1</v>
      </c>
      <c r="U30" s="52"/>
      <c r="V30" s="51">
        <f t="shared" si="6"/>
        <v>0</v>
      </c>
      <c r="W30" s="52">
        <f t="shared" si="7"/>
        <v>-3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136</v>
      </c>
      <c r="C31" s="37">
        <v>137.0</v>
      </c>
      <c r="D31" s="37">
        <v>9.0</v>
      </c>
      <c r="E31" s="42">
        <f t="shared" si="2"/>
        <v>11.625</v>
      </c>
      <c r="F31" s="89">
        <v>3.0</v>
      </c>
      <c r="G31" s="90">
        <v>0.0</v>
      </c>
      <c r="H31" s="91">
        <v>9.0</v>
      </c>
      <c r="I31" s="90">
        <v>0.0</v>
      </c>
      <c r="J31" s="90">
        <v>0.0</v>
      </c>
      <c r="K31" s="90">
        <v>0.0</v>
      </c>
      <c r="L31" s="92">
        <v>9.0</v>
      </c>
      <c r="M31" s="90">
        <v>0.0</v>
      </c>
      <c r="N31" s="37">
        <f t="shared" ref="N31:O31" si="36">C31+L31</f>
        <v>146</v>
      </c>
      <c r="O31" s="37">
        <f t="shared" si="36"/>
        <v>9</v>
      </c>
      <c r="P31" s="50" t="s">
        <v>60</v>
      </c>
      <c r="Q31" s="50" t="s">
        <v>60</v>
      </c>
      <c r="R31" s="50" t="s">
        <v>60</v>
      </c>
      <c r="S31" s="51">
        <f t="shared" si="4"/>
        <v>8</v>
      </c>
      <c r="T31" s="52">
        <f t="shared" si="5"/>
        <v>2</v>
      </c>
      <c r="U31" s="52"/>
      <c r="V31" s="51">
        <f t="shared" si="6"/>
        <v>2</v>
      </c>
      <c r="W31" s="52">
        <f t="shared" si="7"/>
        <v>-1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127</v>
      </c>
      <c r="C32" s="37">
        <v>134.0</v>
      </c>
      <c r="D32" s="37">
        <v>9.0</v>
      </c>
      <c r="E32" s="42">
        <f t="shared" si="2"/>
        <v>12</v>
      </c>
      <c r="F32" s="89">
        <v>1.0</v>
      </c>
      <c r="G32" s="90">
        <v>4.0</v>
      </c>
      <c r="H32" s="91">
        <v>0.0</v>
      </c>
      <c r="I32" s="90">
        <v>6.0</v>
      </c>
      <c r="J32" s="90">
        <v>6.0</v>
      </c>
      <c r="K32" s="90">
        <v>1.0</v>
      </c>
      <c r="L32" s="92">
        <v>13.0</v>
      </c>
      <c r="M32" s="90">
        <v>2.0</v>
      </c>
      <c r="N32" s="37">
        <f t="shared" ref="N32:O32" si="37">C32+L32</f>
        <v>147</v>
      </c>
      <c r="O32" s="37">
        <f t="shared" si="37"/>
        <v>11</v>
      </c>
      <c r="P32" s="50" t="s">
        <v>60</v>
      </c>
      <c r="Q32" s="50" t="s">
        <v>60</v>
      </c>
      <c r="R32" s="50" t="s">
        <v>60</v>
      </c>
      <c r="S32" s="51">
        <f t="shared" si="4"/>
        <v>6</v>
      </c>
      <c r="T32" s="52">
        <f t="shared" si="5"/>
        <v>2</v>
      </c>
      <c r="U32" s="52"/>
      <c r="V32" s="51">
        <f t="shared" si="6"/>
        <v>4</v>
      </c>
      <c r="W32" s="52">
        <f t="shared" si="7"/>
        <v>3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130</v>
      </c>
      <c r="C33" s="37">
        <v>133.0</v>
      </c>
      <c r="D33" s="37">
        <v>12.0</v>
      </c>
      <c r="E33" s="42">
        <f t="shared" si="2"/>
        <v>12</v>
      </c>
      <c r="F33" s="89">
        <v>1.0</v>
      </c>
      <c r="G33" s="90">
        <v>4.0</v>
      </c>
      <c r="H33" s="91">
        <v>0.0</v>
      </c>
      <c r="I33" s="90">
        <v>2.0</v>
      </c>
      <c r="J33" s="90">
        <v>6.0</v>
      </c>
      <c r="K33" s="90">
        <v>6.0</v>
      </c>
      <c r="L33" s="92">
        <v>14.0</v>
      </c>
      <c r="M33" s="90">
        <v>2.0</v>
      </c>
      <c r="N33" s="37">
        <f t="shared" ref="N33:O33" si="38">C33+L33</f>
        <v>147</v>
      </c>
      <c r="O33" s="37">
        <f t="shared" si="38"/>
        <v>14</v>
      </c>
      <c r="P33" s="50" t="s">
        <v>60</v>
      </c>
      <c r="Q33" s="50" t="s">
        <v>60</v>
      </c>
      <c r="R33" s="50" t="s">
        <v>60</v>
      </c>
      <c r="S33" s="51">
        <f t="shared" si="4"/>
        <v>7</v>
      </c>
      <c r="T33" s="52">
        <f t="shared" si="5"/>
        <v>1</v>
      </c>
      <c r="U33" s="52"/>
      <c r="V33" s="51">
        <f t="shared" si="6"/>
        <v>4</v>
      </c>
      <c r="W33" s="52">
        <f t="shared" si="7"/>
        <v>-2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100</v>
      </c>
      <c r="C34" s="37">
        <v>133.0</v>
      </c>
      <c r="D34" s="37">
        <v>11.0</v>
      </c>
      <c r="E34" s="42">
        <f t="shared" si="2"/>
        <v>11.5</v>
      </c>
      <c r="F34" s="89">
        <v>3.0</v>
      </c>
      <c r="G34" s="90">
        <v>0.0</v>
      </c>
      <c r="H34" s="91">
        <v>9.0</v>
      </c>
      <c r="I34" s="90">
        <v>0.0</v>
      </c>
      <c r="J34" s="90">
        <v>0.0</v>
      </c>
      <c r="K34" s="90">
        <v>0.0</v>
      </c>
      <c r="L34" s="92">
        <v>9.0</v>
      </c>
      <c r="M34" s="90">
        <v>0.0</v>
      </c>
      <c r="N34" s="37">
        <f t="shared" ref="N34:O34" si="39">C34+L34</f>
        <v>142</v>
      </c>
      <c r="O34" s="37">
        <f t="shared" si="39"/>
        <v>11</v>
      </c>
      <c r="P34" s="50" t="s">
        <v>60</v>
      </c>
      <c r="Q34" s="50" t="s">
        <v>60</v>
      </c>
      <c r="R34" s="50" t="s">
        <v>60</v>
      </c>
      <c r="S34" s="51">
        <f t="shared" si="4"/>
        <v>10</v>
      </c>
      <c r="T34" s="52">
        <f t="shared" si="5"/>
        <v>0</v>
      </c>
      <c r="U34" s="52"/>
      <c r="V34" s="51">
        <f t="shared" si="6"/>
        <v>2</v>
      </c>
      <c r="W34" s="52">
        <f t="shared" si="7"/>
        <v>-2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114</v>
      </c>
      <c r="C35" s="37">
        <v>127.0</v>
      </c>
      <c r="D35" s="37">
        <v>8.0</v>
      </c>
      <c r="E35" s="42">
        <f t="shared" si="2"/>
        <v>10.57142857</v>
      </c>
      <c r="F35" s="89">
        <v>1.0</v>
      </c>
      <c r="G35" s="90">
        <v>5.0</v>
      </c>
      <c r="H35" s="91">
        <v>0.0</v>
      </c>
      <c r="I35" s="90">
        <v>6.0</v>
      </c>
      <c r="J35" s="90">
        <v>2.0</v>
      </c>
      <c r="K35" s="90">
        <v>0.0</v>
      </c>
      <c r="L35" s="92">
        <v>8.0</v>
      </c>
      <c r="M35" s="90">
        <v>1.0</v>
      </c>
      <c r="N35" s="37">
        <f t="shared" ref="N35:O35" si="40">C35+L35</f>
        <v>135</v>
      </c>
      <c r="O35" s="37">
        <f t="shared" si="40"/>
        <v>9</v>
      </c>
      <c r="P35" s="50" t="s">
        <v>60</v>
      </c>
      <c r="Q35" s="50" t="s">
        <v>60</v>
      </c>
      <c r="R35" s="50" t="s">
        <v>60</v>
      </c>
      <c r="S35" s="51">
        <f t="shared" si="4"/>
        <v>7</v>
      </c>
      <c r="T35" s="52">
        <f t="shared" si="5"/>
        <v>2</v>
      </c>
      <c r="U35" s="52"/>
      <c r="V35" s="51">
        <f t="shared" si="6"/>
        <v>3</v>
      </c>
      <c r="W35" s="52">
        <f t="shared" si="7"/>
        <v>3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146</v>
      </c>
      <c r="C36" s="37">
        <v>124.0</v>
      </c>
      <c r="D36" s="37">
        <v>12.0</v>
      </c>
      <c r="E36" s="42">
        <f t="shared" si="2"/>
        <v>10</v>
      </c>
      <c r="F36" s="89">
        <v>1.0</v>
      </c>
      <c r="G36" s="90">
        <v>5.0</v>
      </c>
      <c r="H36" s="91">
        <v>0.0</v>
      </c>
      <c r="I36" s="90">
        <v>4.0</v>
      </c>
      <c r="J36" s="90">
        <v>6.0</v>
      </c>
      <c r="K36" s="90">
        <v>0.0</v>
      </c>
      <c r="L36" s="92">
        <v>10.0</v>
      </c>
      <c r="M36" s="90">
        <v>1.0</v>
      </c>
      <c r="N36" s="37">
        <f t="shared" ref="N36:O36" si="41">C36+L36</f>
        <v>134</v>
      </c>
      <c r="O36" s="37">
        <f t="shared" si="41"/>
        <v>13</v>
      </c>
      <c r="P36" s="50" t="s">
        <v>60</v>
      </c>
      <c r="Q36" s="50" t="s">
        <v>60</v>
      </c>
      <c r="R36" s="50" t="s">
        <v>60</v>
      </c>
      <c r="S36" s="51">
        <f t="shared" si="4"/>
        <v>8</v>
      </c>
      <c r="T36" s="52">
        <f t="shared" si="5"/>
        <v>2</v>
      </c>
      <c r="U36" s="52"/>
      <c r="V36" s="51">
        <f t="shared" si="6"/>
        <v>2</v>
      </c>
      <c r="W36" s="52">
        <f t="shared" si="7"/>
        <v>-2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128</v>
      </c>
      <c r="C37" s="37">
        <v>124.0</v>
      </c>
      <c r="D37" s="37">
        <v>10.0</v>
      </c>
      <c r="E37" s="42">
        <f t="shared" si="2"/>
        <v>12.2</v>
      </c>
      <c r="F37" s="89">
        <v>3.0</v>
      </c>
      <c r="G37" s="90">
        <v>0.0</v>
      </c>
      <c r="H37" s="91">
        <v>9.0</v>
      </c>
      <c r="I37" s="90">
        <v>0.0</v>
      </c>
      <c r="J37" s="90">
        <v>0.0</v>
      </c>
      <c r="K37" s="90">
        <v>0.0</v>
      </c>
      <c r="L37" s="92">
        <v>9.0</v>
      </c>
      <c r="M37" s="90">
        <v>0.0</v>
      </c>
      <c r="N37" s="37">
        <f t="shared" ref="N37:O37" si="42">C37+L37</f>
        <v>133</v>
      </c>
      <c r="O37" s="37">
        <f t="shared" si="42"/>
        <v>10</v>
      </c>
      <c r="P37" s="50" t="s">
        <v>60</v>
      </c>
      <c r="Q37" s="50" t="s">
        <v>60</v>
      </c>
      <c r="R37" s="50" t="s">
        <v>60</v>
      </c>
      <c r="S37" s="51">
        <f t="shared" si="4"/>
        <v>5</v>
      </c>
      <c r="T37" s="52">
        <f t="shared" si="5"/>
        <v>0</v>
      </c>
      <c r="U37" s="52"/>
      <c r="V37" s="51">
        <f t="shared" si="6"/>
        <v>7</v>
      </c>
      <c r="W37" s="52">
        <f t="shared" si="7"/>
        <v>-1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94</v>
      </c>
      <c r="C38" s="37">
        <v>124.0</v>
      </c>
      <c r="D38" s="37">
        <v>8.0</v>
      </c>
      <c r="E38" s="42">
        <f t="shared" si="2"/>
        <v>10.71428571</v>
      </c>
      <c r="F38" s="89">
        <v>1.0</v>
      </c>
      <c r="G38" s="90">
        <v>5.0</v>
      </c>
      <c r="H38" s="91">
        <v>0.0</v>
      </c>
      <c r="I38" s="90">
        <v>6.0</v>
      </c>
      <c r="J38" s="90">
        <v>6.0</v>
      </c>
      <c r="K38" s="90">
        <v>6.0</v>
      </c>
      <c r="L38" s="92">
        <v>18.0</v>
      </c>
      <c r="M38" s="90">
        <v>3.0</v>
      </c>
      <c r="N38" s="37">
        <f t="shared" ref="N38:O38" si="43">C38+L38</f>
        <v>142</v>
      </c>
      <c r="O38" s="37">
        <f t="shared" si="43"/>
        <v>11</v>
      </c>
      <c r="P38" s="50" t="s">
        <v>60</v>
      </c>
      <c r="Q38" s="50" t="s">
        <v>60</v>
      </c>
      <c r="R38" s="50" t="s">
        <v>60</v>
      </c>
      <c r="S38" s="51">
        <f t="shared" si="4"/>
        <v>7</v>
      </c>
      <c r="T38" s="52">
        <f t="shared" si="5"/>
        <v>1</v>
      </c>
      <c r="U38" s="52"/>
      <c r="V38" s="51">
        <f t="shared" si="6"/>
        <v>4</v>
      </c>
      <c r="W38" s="52">
        <f t="shared" si="7"/>
        <v>-1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109</v>
      </c>
      <c r="C39" s="37">
        <v>123.0</v>
      </c>
      <c r="D39" s="37">
        <v>3.0</v>
      </c>
      <c r="E39" s="42">
        <f t="shared" si="2"/>
        <v>8.75</v>
      </c>
      <c r="F39" s="89">
        <v>1.0</v>
      </c>
      <c r="G39" s="90">
        <v>5.0</v>
      </c>
      <c r="H39" s="91">
        <v>0.0</v>
      </c>
      <c r="I39" s="90">
        <v>4.0</v>
      </c>
      <c r="J39" s="90">
        <v>2.0</v>
      </c>
      <c r="K39" s="90">
        <v>6.0</v>
      </c>
      <c r="L39" s="92">
        <v>12.0</v>
      </c>
      <c r="M39" s="90">
        <v>1.0</v>
      </c>
      <c r="N39" s="37">
        <f t="shared" ref="N39:O39" si="44">C39+L39</f>
        <v>135</v>
      </c>
      <c r="O39" s="37">
        <f t="shared" si="44"/>
        <v>4</v>
      </c>
      <c r="P39" s="50" t="s">
        <v>60</v>
      </c>
      <c r="Q39" s="50" t="s">
        <v>60</v>
      </c>
      <c r="R39" s="50" t="s">
        <v>60</v>
      </c>
      <c r="S39" s="51">
        <f t="shared" si="4"/>
        <v>4</v>
      </c>
      <c r="T39" s="52">
        <f t="shared" si="5"/>
        <v>4</v>
      </c>
      <c r="U39" s="52"/>
      <c r="V39" s="51">
        <f t="shared" si="6"/>
        <v>4</v>
      </c>
      <c r="W39" s="52">
        <f t="shared" si="7"/>
        <v>4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67</v>
      </c>
      <c r="C40" s="37">
        <v>122.0</v>
      </c>
      <c r="D40" s="37">
        <v>8.0</v>
      </c>
      <c r="E40" s="42">
        <f t="shared" si="2"/>
        <v>10.75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131</v>
      </c>
      <c r="O40" s="37">
        <f t="shared" si="45"/>
        <v>8</v>
      </c>
      <c r="P40" s="50" t="s">
        <v>60</v>
      </c>
      <c r="Q40" s="50" t="s">
        <v>60</v>
      </c>
      <c r="R40" s="50" t="s">
        <v>60</v>
      </c>
      <c r="S40" s="51">
        <f t="shared" si="4"/>
        <v>8</v>
      </c>
      <c r="T40" s="52">
        <f t="shared" si="5"/>
        <v>0</v>
      </c>
      <c r="U40" s="52"/>
      <c r="V40" s="51">
        <f t="shared" si="6"/>
        <v>4</v>
      </c>
      <c r="W40" s="52">
        <f t="shared" si="7"/>
        <v>-1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117</v>
      </c>
      <c r="C41" s="37">
        <v>122.0</v>
      </c>
      <c r="D41" s="37">
        <v>8.0</v>
      </c>
      <c r="E41" s="42">
        <f t="shared" si="2"/>
        <v>11.8</v>
      </c>
      <c r="F41" s="89">
        <v>3.0</v>
      </c>
      <c r="G41" s="90">
        <v>0.0</v>
      </c>
      <c r="H41" s="91">
        <v>9.0</v>
      </c>
      <c r="I41" s="90">
        <v>0.0</v>
      </c>
      <c r="J41" s="90">
        <v>0.0</v>
      </c>
      <c r="K41" s="90">
        <v>0.0</v>
      </c>
      <c r="L41" s="92">
        <v>9.0</v>
      </c>
      <c r="M41" s="90">
        <v>0.0</v>
      </c>
      <c r="N41" s="37">
        <f t="shared" ref="N41:O41" si="46">C41+L41</f>
        <v>131</v>
      </c>
      <c r="O41" s="37">
        <f t="shared" si="46"/>
        <v>8</v>
      </c>
      <c r="P41" s="50" t="s">
        <v>60</v>
      </c>
      <c r="Q41" s="50" t="s">
        <v>60</v>
      </c>
      <c r="R41" s="50" t="s">
        <v>60</v>
      </c>
      <c r="S41" s="51">
        <f t="shared" si="4"/>
        <v>5</v>
      </c>
      <c r="T41" s="52">
        <f t="shared" si="5"/>
        <v>0</v>
      </c>
      <c r="U41" s="52"/>
      <c r="V41" s="51">
        <f t="shared" si="6"/>
        <v>7</v>
      </c>
      <c r="W41" s="52">
        <f t="shared" si="7"/>
        <v>-1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111</v>
      </c>
      <c r="C42" s="37">
        <v>122.0</v>
      </c>
      <c r="D42" s="37">
        <v>5.0</v>
      </c>
      <c r="E42" s="42">
        <f t="shared" si="2"/>
        <v>11.8</v>
      </c>
      <c r="F42" s="89">
        <v>3.0</v>
      </c>
      <c r="G42" s="90">
        <v>0.0</v>
      </c>
      <c r="H42" s="91">
        <v>9.0</v>
      </c>
      <c r="I42" s="90">
        <v>0.0</v>
      </c>
      <c r="J42" s="90">
        <v>0.0</v>
      </c>
      <c r="K42" s="90">
        <v>0.0</v>
      </c>
      <c r="L42" s="92">
        <v>9.0</v>
      </c>
      <c r="M42" s="90">
        <v>0.0</v>
      </c>
      <c r="N42" s="37">
        <f t="shared" ref="N42:O42" si="47">C42+L42</f>
        <v>131</v>
      </c>
      <c r="O42" s="37">
        <f t="shared" si="47"/>
        <v>5</v>
      </c>
      <c r="P42" s="50" t="s">
        <v>60</v>
      </c>
      <c r="Q42" s="50" t="s">
        <v>60</v>
      </c>
      <c r="R42" s="50" t="s">
        <v>60</v>
      </c>
      <c r="S42" s="51">
        <f t="shared" si="4"/>
        <v>5</v>
      </c>
      <c r="T42" s="52">
        <f t="shared" si="5"/>
        <v>0</v>
      </c>
      <c r="U42" s="52"/>
      <c r="V42" s="51">
        <f t="shared" si="6"/>
        <v>7</v>
      </c>
      <c r="W42" s="52">
        <f t="shared" si="7"/>
        <v>-1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142</v>
      </c>
      <c r="C43" s="37">
        <v>121.0</v>
      </c>
      <c r="D43" s="37">
        <v>5.0</v>
      </c>
      <c r="E43" s="42">
        <f t="shared" si="2"/>
        <v>12</v>
      </c>
      <c r="F43" s="89">
        <v>1.0</v>
      </c>
      <c r="G43" s="90">
        <v>6.0</v>
      </c>
      <c r="H43" s="91">
        <v>0.0</v>
      </c>
      <c r="I43" s="90">
        <v>6.0</v>
      </c>
      <c r="J43" s="90">
        <v>6.0</v>
      </c>
      <c r="K43" s="90">
        <v>6.0</v>
      </c>
      <c r="L43" s="92">
        <v>18.0</v>
      </c>
      <c r="M43" s="90">
        <v>2.0</v>
      </c>
      <c r="N43" s="37">
        <f t="shared" ref="N43:O43" si="48">C43+L43</f>
        <v>139</v>
      </c>
      <c r="O43" s="37">
        <f t="shared" si="48"/>
        <v>7</v>
      </c>
      <c r="P43" s="50" t="s">
        <v>60</v>
      </c>
      <c r="Q43" s="50" t="s">
        <v>60</v>
      </c>
      <c r="R43" s="50" t="s">
        <v>60</v>
      </c>
      <c r="S43" s="51">
        <f t="shared" si="4"/>
        <v>3</v>
      </c>
      <c r="T43" s="52">
        <f t="shared" si="5"/>
        <v>1</v>
      </c>
      <c r="U43" s="52"/>
      <c r="V43" s="51">
        <f t="shared" si="6"/>
        <v>8</v>
      </c>
      <c r="W43" s="52">
        <f t="shared" si="7"/>
        <v>-1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106</v>
      </c>
      <c r="C44" s="37">
        <v>120.0</v>
      </c>
      <c r="D44" s="37">
        <v>7.0</v>
      </c>
      <c r="E44" s="42">
        <f t="shared" si="2"/>
        <v>11.4</v>
      </c>
      <c r="F44" s="89">
        <v>1.0</v>
      </c>
      <c r="G44" s="90">
        <v>6.0</v>
      </c>
      <c r="H44" s="91">
        <v>0.0</v>
      </c>
      <c r="I44" s="90">
        <v>6.0</v>
      </c>
      <c r="J44" s="90">
        <v>7.0</v>
      </c>
      <c r="K44" s="90">
        <v>1.0</v>
      </c>
      <c r="L44" s="92">
        <v>14.0</v>
      </c>
      <c r="M44" s="90">
        <v>2.0</v>
      </c>
      <c r="N44" s="37">
        <f t="shared" ref="N44:O44" si="49">C44+L44</f>
        <v>134</v>
      </c>
      <c r="O44" s="37">
        <f t="shared" si="49"/>
        <v>9</v>
      </c>
      <c r="P44" s="50" t="s">
        <v>60</v>
      </c>
      <c r="Q44" s="50" t="s">
        <v>60</v>
      </c>
      <c r="R44" s="50" t="s">
        <v>60</v>
      </c>
      <c r="S44" s="51">
        <f t="shared" si="4"/>
        <v>5</v>
      </c>
      <c r="T44" s="52">
        <f t="shared" si="5"/>
        <v>0</v>
      </c>
      <c r="U44" s="52"/>
      <c r="V44" s="51">
        <f t="shared" si="6"/>
        <v>7</v>
      </c>
      <c r="W44" s="52">
        <f t="shared" si="7"/>
        <v>4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134</v>
      </c>
      <c r="C45" s="37">
        <v>120.0</v>
      </c>
      <c r="D45" s="37">
        <v>6.0</v>
      </c>
      <c r="E45" s="42">
        <f t="shared" si="2"/>
        <v>9</v>
      </c>
      <c r="F45" s="89">
        <v>1.0</v>
      </c>
      <c r="G45" s="90">
        <v>6.0</v>
      </c>
      <c r="H45" s="91">
        <v>0.0</v>
      </c>
      <c r="I45" s="90">
        <v>2.0</v>
      </c>
      <c r="J45" s="90">
        <v>6.0</v>
      </c>
      <c r="K45" s="90">
        <v>1.0</v>
      </c>
      <c r="L45" s="92">
        <v>9.0</v>
      </c>
      <c r="M45" s="90">
        <v>0.0</v>
      </c>
      <c r="N45" s="37">
        <f t="shared" ref="N45:O45" si="50">C45+L45</f>
        <v>129</v>
      </c>
      <c r="O45" s="37">
        <f t="shared" si="50"/>
        <v>6</v>
      </c>
      <c r="P45" s="50" t="s">
        <v>60</v>
      </c>
      <c r="Q45" s="50" t="s">
        <v>60</v>
      </c>
      <c r="R45" s="50" t="s">
        <v>60</v>
      </c>
      <c r="S45" s="51">
        <f t="shared" si="4"/>
        <v>7</v>
      </c>
      <c r="T45" s="52">
        <f t="shared" si="5"/>
        <v>3</v>
      </c>
      <c r="U45" s="52"/>
      <c r="V45" s="51">
        <f t="shared" si="6"/>
        <v>2</v>
      </c>
      <c r="W45" s="52">
        <f t="shared" si="7"/>
        <v>0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90</v>
      </c>
      <c r="C46" s="37">
        <v>119.0</v>
      </c>
      <c r="D46" s="37">
        <v>3.0</v>
      </c>
      <c r="E46" s="42">
        <f t="shared" si="2"/>
        <v>7.333333333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128</v>
      </c>
      <c r="O46" s="37">
        <f t="shared" si="51"/>
        <v>3</v>
      </c>
      <c r="P46" s="50" t="s">
        <v>60</v>
      </c>
      <c r="Q46" s="50" t="s">
        <v>60</v>
      </c>
      <c r="R46" s="50" t="s">
        <v>60</v>
      </c>
      <c r="S46" s="51">
        <f t="shared" si="4"/>
        <v>3</v>
      </c>
      <c r="T46" s="52">
        <f t="shared" si="5"/>
        <v>4</v>
      </c>
      <c r="U46" s="52"/>
      <c r="V46" s="51">
        <f t="shared" si="6"/>
        <v>5</v>
      </c>
      <c r="W46" s="52">
        <f t="shared" si="7"/>
        <v>-2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120</v>
      </c>
      <c r="C47" s="37">
        <v>118.0</v>
      </c>
      <c r="D47" s="37">
        <v>4.0</v>
      </c>
      <c r="E47" s="42">
        <f t="shared" si="2"/>
        <v>11</v>
      </c>
      <c r="F47" s="89">
        <v>1.0</v>
      </c>
      <c r="G47" s="90">
        <v>6.0</v>
      </c>
      <c r="H47" s="91">
        <v>0.0</v>
      </c>
      <c r="I47" s="90">
        <v>2.0</v>
      </c>
      <c r="J47" s="90">
        <v>7.0</v>
      </c>
      <c r="K47" s="90">
        <v>6.0</v>
      </c>
      <c r="L47" s="92">
        <v>15.0</v>
      </c>
      <c r="M47" s="90">
        <v>2.0</v>
      </c>
      <c r="N47" s="37">
        <f t="shared" ref="N47:O47" si="52">C47+L47</f>
        <v>133</v>
      </c>
      <c r="O47" s="37">
        <f t="shared" si="52"/>
        <v>6</v>
      </c>
      <c r="P47" s="50" t="s">
        <v>60</v>
      </c>
      <c r="Q47" s="50" t="s">
        <v>60</v>
      </c>
      <c r="R47" s="50" t="s">
        <v>60</v>
      </c>
      <c r="S47" s="51">
        <f t="shared" si="4"/>
        <v>3</v>
      </c>
      <c r="T47" s="52">
        <f t="shared" si="5"/>
        <v>1</v>
      </c>
      <c r="U47" s="52"/>
      <c r="V47" s="51">
        <f t="shared" si="6"/>
        <v>8</v>
      </c>
      <c r="W47" s="52">
        <f t="shared" si="7"/>
        <v>6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84</v>
      </c>
      <c r="C48" s="37">
        <v>118.0</v>
      </c>
      <c r="D48" s="37">
        <v>3.0</v>
      </c>
      <c r="E48" s="42">
        <f t="shared" si="2"/>
        <v>7.8</v>
      </c>
      <c r="F48" s="89">
        <v>2.0</v>
      </c>
      <c r="G48" s="90">
        <v>7.0</v>
      </c>
      <c r="H48" s="91">
        <v>0.0</v>
      </c>
      <c r="I48" s="90">
        <v>4.0</v>
      </c>
      <c r="J48" s="90">
        <v>6.0</v>
      </c>
      <c r="K48" s="90">
        <v>2.0</v>
      </c>
      <c r="L48" s="92">
        <v>12.0</v>
      </c>
      <c r="M48" s="90">
        <v>1.0</v>
      </c>
      <c r="N48" s="37">
        <f t="shared" ref="N48:O48" si="53">C48+L48</f>
        <v>130</v>
      </c>
      <c r="O48" s="37">
        <f t="shared" si="53"/>
        <v>4</v>
      </c>
      <c r="P48" s="50" t="s">
        <v>60</v>
      </c>
      <c r="Q48" s="50" t="s">
        <v>60</v>
      </c>
      <c r="R48" s="50" t="s">
        <v>60</v>
      </c>
      <c r="S48" s="51">
        <f t="shared" si="4"/>
        <v>5</v>
      </c>
      <c r="T48" s="52">
        <f t="shared" si="5"/>
        <v>4</v>
      </c>
      <c r="U48" s="52"/>
      <c r="V48" s="51">
        <f t="shared" si="6"/>
        <v>3</v>
      </c>
      <c r="W48" s="52">
        <f t="shared" si="7"/>
        <v>-2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144</v>
      </c>
      <c r="C49" s="37">
        <v>117.0</v>
      </c>
      <c r="D49" s="37">
        <v>3.0</v>
      </c>
      <c r="E49" s="42">
        <f t="shared" si="2"/>
        <v>8.25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126</v>
      </c>
      <c r="O49" s="37">
        <f t="shared" si="54"/>
        <v>3</v>
      </c>
      <c r="P49" s="50" t="s">
        <v>60</v>
      </c>
      <c r="Q49" s="50" t="s">
        <v>60</v>
      </c>
      <c r="R49" s="50" t="s">
        <v>60</v>
      </c>
      <c r="S49" s="51">
        <f t="shared" si="4"/>
        <v>4</v>
      </c>
      <c r="T49" s="52">
        <f t="shared" si="5"/>
        <v>3</v>
      </c>
      <c r="U49" s="52"/>
      <c r="V49" s="51">
        <f t="shared" si="6"/>
        <v>5</v>
      </c>
      <c r="W49" s="52">
        <f t="shared" si="7"/>
        <v>-2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105</v>
      </c>
      <c r="C50" s="37">
        <v>116.0</v>
      </c>
      <c r="D50" s="37">
        <v>4.0</v>
      </c>
      <c r="E50" s="42">
        <f t="shared" si="2"/>
        <v>9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125</v>
      </c>
      <c r="O50" s="37">
        <f t="shared" si="55"/>
        <v>4</v>
      </c>
      <c r="P50" s="50" t="s">
        <v>60</v>
      </c>
      <c r="Q50" s="50" t="s">
        <v>60</v>
      </c>
      <c r="R50" s="50" t="s">
        <v>60</v>
      </c>
      <c r="S50" s="51">
        <f t="shared" si="4"/>
        <v>4</v>
      </c>
      <c r="T50" s="52">
        <f t="shared" si="5"/>
        <v>2</v>
      </c>
      <c r="U50" s="52"/>
      <c r="V50" s="51">
        <f t="shared" si="6"/>
        <v>6</v>
      </c>
      <c r="W50" s="52">
        <f t="shared" si="7"/>
        <v>-1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133</v>
      </c>
      <c r="C51" s="37">
        <v>116.0</v>
      </c>
      <c r="D51" s="37">
        <v>3.0</v>
      </c>
      <c r="E51" s="42">
        <f t="shared" si="2"/>
        <v>9.8</v>
      </c>
      <c r="F51" s="89">
        <v>1.0</v>
      </c>
      <c r="G51" s="90">
        <v>7.0</v>
      </c>
      <c r="H51" s="91">
        <v>0.0</v>
      </c>
      <c r="I51" s="90">
        <v>6.0</v>
      </c>
      <c r="J51" s="90">
        <v>6.0</v>
      </c>
      <c r="K51" s="90">
        <v>6.0</v>
      </c>
      <c r="L51" s="92">
        <v>18.0</v>
      </c>
      <c r="M51" s="90">
        <v>3.0</v>
      </c>
      <c r="N51" s="37">
        <f t="shared" ref="N51:O51" si="56">C51+L51</f>
        <v>134</v>
      </c>
      <c r="O51" s="37">
        <f t="shared" si="56"/>
        <v>6</v>
      </c>
      <c r="P51" s="50" t="s">
        <v>60</v>
      </c>
      <c r="Q51" s="50" t="s">
        <v>60</v>
      </c>
      <c r="R51" s="50" t="s">
        <v>60</v>
      </c>
      <c r="S51" s="51">
        <f t="shared" si="4"/>
        <v>5</v>
      </c>
      <c r="T51" s="52">
        <f t="shared" si="5"/>
        <v>1</v>
      </c>
      <c r="U51" s="52"/>
      <c r="V51" s="51">
        <f t="shared" si="6"/>
        <v>6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125</v>
      </c>
      <c r="C52" s="37">
        <v>116.0</v>
      </c>
      <c r="D52" s="37">
        <v>2.0</v>
      </c>
      <c r="E52" s="42">
        <f t="shared" si="2"/>
        <v>7.666666667</v>
      </c>
      <c r="F52" s="89">
        <v>1.0</v>
      </c>
      <c r="G52" s="90">
        <v>7.0</v>
      </c>
      <c r="H52" s="91">
        <v>0.0</v>
      </c>
      <c r="I52" s="90">
        <v>4.0</v>
      </c>
      <c r="J52" s="90">
        <v>3.0</v>
      </c>
      <c r="K52" s="90">
        <v>6.0</v>
      </c>
      <c r="L52" s="92">
        <v>13.0</v>
      </c>
      <c r="M52" s="90">
        <v>1.0</v>
      </c>
      <c r="N52" s="37">
        <f t="shared" ref="N52:O52" si="57">C52+L52</f>
        <v>129</v>
      </c>
      <c r="O52" s="37">
        <f t="shared" si="57"/>
        <v>3</v>
      </c>
      <c r="P52" s="50" t="s">
        <v>60</v>
      </c>
      <c r="Q52" s="50" t="s">
        <v>60</v>
      </c>
      <c r="R52" s="50" t="s">
        <v>60</v>
      </c>
      <c r="S52" s="51">
        <f t="shared" si="4"/>
        <v>3</v>
      </c>
      <c r="T52" s="52">
        <f t="shared" si="5"/>
        <v>3</v>
      </c>
      <c r="U52" s="52"/>
      <c r="V52" s="51">
        <f t="shared" si="6"/>
        <v>6</v>
      </c>
      <c r="W52" s="52">
        <f t="shared" si="7"/>
        <v>-1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72</v>
      </c>
      <c r="C53" s="37">
        <v>116.0</v>
      </c>
      <c r="D53" s="37">
        <v>1.0</v>
      </c>
      <c r="E53" s="42">
        <f t="shared" si="2"/>
        <v>7.666666667</v>
      </c>
      <c r="F53" s="89">
        <v>1.0</v>
      </c>
      <c r="G53" s="90">
        <v>7.0</v>
      </c>
      <c r="H53" s="91">
        <v>0.0</v>
      </c>
      <c r="I53" s="90">
        <v>6.0</v>
      </c>
      <c r="J53" s="90">
        <v>3.0</v>
      </c>
      <c r="K53" s="90">
        <v>2.0</v>
      </c>
      <c r="L53" s="92">
        <v>11.0</v>
      </c>
      <c r="M53" s="90">
        <v>1.0</v>
      </c>
      <c r="N53" s="37">
        <f t="shared" ref="N53:O53" si="58">C53+L53</f>
        <v>127</v>
      </c>
      <c r="O53" s="37">
        <f t="shared" si="58"/>
        <v>2</v>
      </c>
      <c r="P53" s="50" t="s">
        <v>60</v>
      </c>
      <c r="Q53" s="50" t="s">
        <v>60</v>
      </c>
      <c r="R53" s="50" t="s">
        <v>60</v>
      </c>
      <c r="S53" s="51">
        <f t="shared" si="4"/>
        <v>3</v>
      </c>
      <c r="T53" s="52">
        <f t="shared" si="5"/>
        <v>3</v>
      </c>
      <c r="U53" s="52"/>
      <c r="V53" s="51">
        <f t="shared" si="6"/>
        <v>6</v>
      </c>
      <c r="W53" s="52">
        <f t="shared" si="7"/>
        <v>-1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61</v>
      </c>
      <c r="C54" s="37">
        <v>113.0</v>
      </c>
      <c r="D54" s="37">
        <v>7.0</v>
      </c>
      <c r="E54" s="42">
        <f t="shared" si="2"/>
        <v>10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122</v>
      </c>
      <c r="O54" s="37">
        <f t="shared" si="59"/>
        <v>7</v>
      </c>
      <c r="P54" s="50" t="s">
        <v>60</v>
      </c>
      <c r="Q54" s="50" t="s">
        <v>60</v>
      </c>
      <c r="R54" s="50" t="s">
        <v>60</v>
      </c>
      <c r="S54" s="51">
        <f t="shared" si="4"/>
        <v>5</v>
      </c>
      <c r="T54" s="52">
        <f t="shared" si="5"/>
        <v>0</v>
      </c>
      <c r="U54" s="52"/>
      <c r="V54" s="51">
        <f t="shared" si="6"/>
        <v>7</v>
      </c>
      <c r="W54" s="52">
        <f t="shared" si="7"/>
        <v>0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104</v>
      </c>
      <c r="C55" s="37">
        <v>113.0</v>
      </c>
      <c r="D55" s="37">
        <v>2.0</v>
      </c>
      <c r="E55" s="42">
        <f t="shared" si="2"/>
        <v>6</v>
      </c>
      <c r="F55" s="89">
        <v>3.0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122</v>
      </c>
      <c r="O55" s="37">
        <f t="shared" si="60"/>
        <v>2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2</v>
      </c>
      <c r="U55" s="52"/>
      <c r="V55" s="51">
        <f t="shared" si="6"/>
        <v>9</v>
      </c>
      <c r="W55" s="52">
        <f t="shared" si="7"/>
        <v>2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139</v>
      </c>
      <c r="C56" s="37">
        <v>111.0</v>
      </c>
      <c r="D56" s="37">
        <v>4.0</v>
      </c>
      <c r="E56" s="42">
        <f t="shared" si="2"/>
        <v>10</v>
      </c>
      <c r="F56" s="89">
        <v>1.0</v>
      </c>
      <c r="G56" s="90">
        <v>8.0</v>
      </c>
      <c r="H56" s="91">
        <v>0.0</v>
      </c>
      <c r="I56" s="90">
        <v>6.0</v>
      </c>
      <c r="J56" s="90">
        <v>6.0</v>
      </c>
      <c r="K56" s="90">
        <v>6.0</v>
      </c>
      <c r="L56" s="92">
        <v>18.0</v>
      </c>
      <c r="M56" s="90">
        <v>3.0</v>
      </c>
      <c r="N56" s="37">
        <f t="shared" ref="N56:O56" si="61">C56+L56</f>
        <v>129</v>
      </c>
      <c r="O56" s="37">
        <f t="shared" si="61"/>
        <v>7</v>
      </c>
      <c r="P56" s="50" t="s">
        <v>60</v>
      </c>
      <c r="Q56" s="50" t="s">
        <v>60</v>
      </c>
      <c r="R56" s="50" t="s">
        <v>60</v>
      </c>
      <c r="S56" s="51">
        <f t="shared" si="4"/>
        <v>3</v>
      </c>
      <c r="T56" s="52">
        <f t="shared" si="5"/>
        <v>0</v>
      </c>
      <c r="U56" s="52"/>
      <c r="V56" s="51">
        <f t="shared" si="6"/>
        <v>9</v>
      </c>
      <c r="W56" s="52">
        <f t="shared" si="7"/>
        <v>3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145</v>
      </c>
      <c r="C57" s="37">
        <v>109.0</v>
      </c>
      <c r="D57" s="37">
        <v>3.0</v>
      </c>
      <c r="E57" s="42">
        <f t="shared" si="2"/>
        <v>6</v>
      </c>
      <c r="F57" s="89">
        <v>5.0</v>
      </c>
      <c r="G57" s="90">
        <v>0.0</v>
      </c>
      <c r="H57" s="91">
        <v>13.0</v>
      </c>
      <c r="I57" s="90">
        <v>0.0</v>
      </c>
      <c r="J57" s="90">
        <v>0.0</v>
      </c>
      <c r="K57" s="90">
        <v>0.0</v>
      </c>
      <c r="L57" s="92">
        <v>13.0</v>
      </c>
      <c r="M57" s="90">
        <v>0.0</v>
      </c>
      <c r="N57" s="37">
        <f t="shared" ref="N57:O57" si="62">C57+L57</f>
        <v>122</v>
      </c>
      <c r="O57" s="37">
        <f t="shared" si="62"/>
        <v>3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1</v>
      </c>
      <c r="U57" s="52"/>
      <c r="V57" s="51">
        <f t="shared" si="6"/>
        <v>10</v>
      </c>
      <c r="W57" s="52">
        <f t="shared" si="7"/>
        <v>-2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141</v>
      </c>
      <c r="C58" s="37">
        <v>107.0</v>
      </c>
      <c r="D58" s="37">
        <v>4.0</v>
      </c>
      <c r="E58" s="42">
        <f t="shared" si="2"/>
        <v>8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116</v>
      </c>
      <c r="O58" s="37">
        <f t="shared" si="63"/>
        <v>4</v>
      </c>
      <c r="P58" s="50" t="s">
        <v>60</v>
      </c>
      <c r="Q58" s="50" t="s">
        <v>60</v>
      </c>
      <c r="R58" s="50" t="s">
        <v>60</v>
      </c>
      <c r="S58" s="51">
        <f t="shared" si="4"/>
        <v>5</v>
      </c>
      <c r="T58" s="52">
        <f t="shared" si="5"/>
        <v>1</v>
      </c>
      <c r="U58" s="52"/>
      <c r="V58" s="51">
        <f t="shared" si="6"/>
        <v>6</v>
      </c>
      <c r="W58" s="52">
        <f t="shared" si="7"/>
        <v>-2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89</v>
      </c>
      <c r="C59" s="37">
        <v>105.0</v>
      </c>
      <c r="D59" s="37">
        <v>2.0</v>
      </c>
      <c r="E59" s="42">
        <f t="shared" si="2"/>
        <v>6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114</v>
      </c>
      <c r="O59" s="37">
        <f t="shared" si="64"/>
        <v>2</v>
      </c>
      <c r="P59" s="50" t="s">
        <v>60</v>
      </c>
      <c r="Q59" s="50" t="s">
        <v>60</v>
      </c>
      <c r="R59" s="50" t="s">
        <v>60</v>
      </c>
      <c r="S59" s="51">
        <f t="shared" si="4"/>
        <v>1</v>
      </c>
      <c r="T59" s="52">
        <f t="shared" si="5"/>
        <v>0</v>
      </c>
      <c r="U59" s="52"/>
      <c r="V59" s="51">
        <f t="shared" si="6"/>
        <v>11</v>
      </c>
      <c r="W59" s="52">
        <f t="shared" si="7"/>
        <v>1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137</v>
      </c>
      <c r="C60" s="37">
        <v>105.0</v>
      </c>
      <c r="D60" s="37">
        <v>0.0</v>
      </c>
      <c r="E60" s="42">
        <f t="shared" si="2"/>
        <v>5.5</v>
      </c>
      <c r="F60" s="89">
        <v>1.0</v>
      </c>
      <c r="G60" s="90">
        <v>8.0</v>
      </c>
      <c r="H60" s="91">
        <v>0.0</v>
      </c>
      <c r="I60" s="90">
        <v>1.0</v>
      </c>
      <c r="J60" s="90">
        <v>6.0</v>
      </c>
      <c r="K60" s="90">
        <v>4.0</v>
      </c>
      <c r="L60" s="92">
        <v>11.0</v>
      </c>
      <c r="M60" s="90">
        <v>1.0</v>
      </c>
      <c r="N60" s="37">
        <f t="shared" ref="N60:O60" si="65">C60+L60</f>
        <v>116</v>
      </c>
      <c r="O60" s="37">
        <f t="shared" si="65"/>
        <v>1</v>
      </c>
      <c r="P60" s="50" t="s">
        <v>60</v>
      </c>
      <c r="Q60" s="50" t="s">
        <v>60</v>
      </c>
      <c r="R60" s="50" t="s">
        <v>60</v>
      </c>
      <c r="S60" s="51">
        <f t="shared" si="4"/>
        <v>2</v>
      </c>
      <c r="T60" s="52">
        <f t="shared" si="5"/>
        <v>1</v>
      </c>
      <c r="U60" s="52"/>
      <c r="V60" s="51">
        <f t="shared" si="6"/>
        <v>9</v>
      </c>
      <c r="W60" s="52">
        <f t="shared" si="7"/>
        <v>1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56</v>
      </c>
      <c r="C61" s="37">
        <v>104.0</v>
      </c>
      <c r="D61" s="37">
        <v>2.0</v>
      </c>
      <c r="E61" s="42">
        <f t="shared" si="2"/>
        <v>5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113</v>
      </c>
      <c r="O61" s="37">
        <f t="shared" si="66"/>
        <v>2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11</v>
      </c>
      <c r="W61" s="52">
        <f t="shared" si="7"/>
        <v>1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96</v>
      </c>
      <c r="C62" s="37">
        <v>103.0</v>
      </c>
      <c r="D62" s="37">
        <v>7.0</v>
      </c>
      <c r="E62" s="42">
        <f t="shared" si="2"/>
        <v>8.583333333</v>
      </c>
      <c r="F62" s="89">
        <v>1.0</v>
      </c>
      <c r="G62" s="90">
        <v>8.0</v>
      </c>
      <c r="H62" s="91">
        <v>0.0</v>
      </c>
      <c r="I62" s="90">
        <v>1.0</v>
      </c>
      <c r="J62" s="90">
        <v>1.0</v>
      </c>
      <c r="K62" s="90">
        <v>6.0</v>
      </c>
      <c r="L62" s="92">
        <v>8.0</v>
      </c>
      <c r="M62" s="90">
        <v>1.0</v>
      </c>
      <c r="N62" s="37">
        <f t="shared" ref="N62:O62" si="67">C62+L62</f>
        <v>111</v>
      </c>
      <c r="O62" s="37">
        <f t="shared" si="67"/>
        <v>8</v>
      </c>
      <c r="P62" s="50" t="s">
        <v>60</v>
      </c>
      <c r="Q62" s="50" t="s">
        <v>60</v>
      </c>
      <c r="R62" s="50" t="s">
        <v>60</v>
      </c>
      <c r="S62" s="51">
        <f t="shared" si="4"/>
        <v>12</v>
      </c>
      <c r="T62" s="52">
        <f t="shared" si="5"/>
        <v>0</v>
      </c>
      <c r="U62" s="52"/>
      <c r="V62" s="51">
        <f t="shared" si="6"/>
        <v>0</v>
      </c>
      <c r="W62" s="52">
        <f t="shared" si="7"/>
        <v>-4</v>
      </c>
      <c r="X62" s="35">
        <f t="shared" si="12"/>
        <v>58</v>
      </c>
      <c r="Y62" s="35" t="str">
        <f t="shared" si="8"/>
        <v>Y</v>
      </c>
      <c r="Z62" s="22" t="str">
        <f t="shared" si="9"/>
        <v/>
      </c>
    </row>
    <row r="63">
      <c r="A63" s="35">
        <f t="shared" si="10"/>
        <v>59</v>
      </c>
      <c r="B63" s="36" t="s">
        <v>129</v>
      </c>
      <c r="C63" s="37">
        <v>103.0</v>
      </c>
      <c r="D63" s="37">
        <v>3.0</v>
      </c>
      <c r="E63" s="42">
        <f t="shared" si="2"/>
        <v>7.75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112</v>
      </c>
      <c r="O63" s="37">
        <f t="shared" si="68"/>
        <v>3</v>
      </c>
      <c r="P63" s="50" t="s">
        <v>60</v>
      </c>
      <c r="Q63" s="50" t="s">
        <v>60</v>
      </c>
      <c r="R63" s="50" t="s">
        <v>60</v>
      </c>
      <c r="S63" s="51">
        <f t="shared" si="4"/>
        <v>4</v>
      </c>
      <c r="T63" s="52">
        <f t="shared" si="5"/>
        <v>0</v>
      </c>
      <c r="U63" s="52"/>
      <c r="V63" s="51">
        <f t="shared" si="6"/>
        <v>8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119</v>
      </c>
      <c r="C64" s="37">
        <v>102.0</v>
      </c>
      <c r="D64" s="37">
        <v>1.0</v>
      </c>
      <c r="E64" s="42">
        <f t="shared" si="2"/>
        <v>3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111</v>
      </c>
      <c r="O64" s="37">
        <f t="shared" si="69"/>
        <v>1</v>
      </c>
      <c r="P64" s="50" t="s">
        <v>60</v>
      </c>
      <c r="Q64" s="50" t="s">
        <v>60</v>
      </c>
      <c r="R64" s="50" t="s">
        <v>60</v>
      </c>
      <c r="S64" s="51">
        <f t="shared" si="4"/>
        <v>1</v>
      </c>
      <c r="T64" s="52">
        <f t="shared" si="5"/>
        <v>0</v>
      </c>
      <c r="U64" s="52"/>
      <c r="V64" s="51">
        <f t="shared" si="6"/>
        <v>11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116</v>
      </c>
      <c r="C65" s="37">
        <v>101.0</v>
      </c>
      <c r="D65" s="37">
        <v>1.0</v>
      </c>
      <c r="E65" s="42">
        <f t="shared" si="2"/>
        <v>-2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110</v>
      </c>
      <c r="O65" s="37">
        <f t="shared" si="70"/>
        <v>1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1</v>
      </c>
      <c r="U65" s="52"/>
      <c r="V65" s="51">
        <f t="shared" si="6"/>
        <v>10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95</v>
      </c>
      <c r="C66" s="37">
        <v>99.0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108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12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77</v>
      </c>
      <c r="C67" s="37">
        <v>99.0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108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12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132</v>
      </c>
      <c r="C68" s="37">
        <v>99.0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108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12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53</v>
      </c>
      <c r="C69" s="37">
        <v>99.0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108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12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138</v>
      </c>
      <c r="C70" s="37">
        <v>99.0</v>
      </c>
      <c r="D70" s="37">
        <v>0.0</v>
      </c>
      <c r="E70" s="42">
        <f t="shared" si="2"/>
        <v>0</v>
      </c>
      <c r="F70" s="89">
        <v>1.0</v>
      </c>
      <c r="G70" s="90">
        <v>8.0</v>
      </c>
      <c r="H70" s="91">
        <v>0.0</v>
      </c>
      <c r="I70" s="90">
        <v>6.0</v>
      </c>
      <c r="J70" s="90">
        <v>1.0</v>
      </c>
      <c r="K70" s="90">
        <v>4.0</v>
      </c>
      <c r="L70" s="92">
        <v>11.0</v>
      </c>
      <c r="M70" s="90">
        <v>1.0</v>
      </c>
      <c r="N70" s="37">
        <f t="shared" ref="N70:O70" si="75">C70+L70</f>
        <v>110</v>
      </c>
      <c r="O70" s="37">
        <f t="shared" si="75"/>
        <v>1</v>
      </c>
      <c r="P70" s="50" t="s">
        <v>60</v>
      </c>
      <c r="Q70" s="50" t="s">
        <v>60</v>
      </c>
      <c r="R70" s="50" t="s">
        <v>60</v>
      </c>
      <c r="S70" s="51">
        <f t="shared" si="4"/>
        <v>1</v>
      </c>
      <c r="T70" s="52">
        <f t="shared" si="5"/>
        <v>0</v>
      </c>
      <c r="U70" s="52"/>
      <c r="V70" s="51">
        <f t="shared" si="6"/>
        <v>11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99.0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108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10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09/12/26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desc"",0)"),"Ruben Ron")</f>
        <v>Ruben Ron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IFERROR(__xludf.DUMMYFUNCTION("""COMPUTED_VALUE"""),3.0)</f>
        <v>3</v>
      </c>
      <c r="F83" s="2"/>
    </row>
    <row r="84">
      <c r="A84" s="2"/>
      <c r="B84" s="36" t="str">
        <f>IFERROR(__xludf.DUMMYFUNCTION("""COMPUTED_VALUE"""),"Pavan Akkimsetty")</f>
        <v>Pavan Akkimsetty</v>
      </c>
      <c r="C84" s="125">
        <f>IFERROR(__xludf.DUMMYFUNCTION("""COMPUTED_VALUE"""),19.0)</f>
        <v>19</v>
      </c>
      <c r="D84" s="125">
        <f>IFERROR(__xludf.DUMMYFUNCTION("""COMPUTED_VALUE"""),2.0)</f>
        <v>2</v>
      </c>
      <c r="E84" s="125">
        <f>IFERROR(__xludf.DUMMYFUNCTION("""COMPUTED_VALUE"""),2.0)</f>
        <v>2</v>
      </c>
      <c r="F84" s="2"/>
    </row>
    <row r="85">
      <c r="A85" s="2"/>
      <c r="B85" s="36" t="str">
        <f>IFERROR(__xludf.DUMMYFUNCTION("""COMPUTED_VALUE"""),"Tom Le")</f>
        <v>Tom Le</v>
      </c>
      <c r="C85" s="125">
        <f>IFERROR(__xludf.DUMMYFUNCTION("""COMPUTED_VALUE"""),19.0)</f>
        <v>19</v>
      </c>
      <c r="D85" s="125">
        <f>IFERROR(__xludf.DUMMYFUNCTION("""COMPUTED_VALUE"""),2.0)</f>
        <v>2</v>
      </c>
      <c r="E85" s="125">
        <f>IFERROR(__xludf.DUMMYFUNCTION("""COMPUTED_VALUE"""),2.0)</f>
        <v>2</v>
      </c>
      <c r="F85" s="2"/>
    </row>
    <row r="86">
      <c r="A86" s="2"/>
      <c r="B86" s="36" t="str">
        <f>IFERROR(__xludf.DUMMYFUNCTION("""COMPUTED_VALUE"""),"David Shin")</f>
        <v>David Shin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IFERROR(__xludf.DUMMYFUNCTION("""COMPUTED_VALUE"""),1.0)</f>
        <v>1</v>
      </c>
      <c r="F86" s="2"/>
    </row>
    <row r="87">
      <c r="A87" s="2"/>
      <c r="B87" s="36" t="str">
        <f>IFERROR(__xludf.DUMMYFUNCTION("""COMPUTED_VALUE"""),"Lam Bui")</f>
        <v>Lam Bui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IFERROR(__xludf.DUMMYFUNCTION("""COMPUTED_VALUE"""),6.0)</f>
        <v>6</v>
      </c>
      <c r="F87" s="2"/>
    </row>
    <row r="88">
      <c r="A88" s="2"/>
      <c r="B88" s="36" t="str">
        <f>IFERROR(__xludf.DUMMYFUNCTION("""COMPUTED_VALUE"""),"Mauricio Palacios")</f>
        <v>Mauricio Palacios</v>
      </c>
      <c r="C88" s="125">
        <f>IFERROR(__xludf.DUMMYFUNCTION("""COMPUTED_VALUE"""),18.0)</f>
        <v>18</v>
      </c>
      <c r="D88" s="125">
        <f>IFERROR(__xludf.DUMMYFUNCTION("""COMPUTED_VALUE"""),3.0)</f>
        <v>3</v>
      </c>
      <c r="E88" s="125">
        <f>IFERROR(__xludf.DUMMYFUNCTION("""COMPUTED_VALUE"""),7.0)</f>
        <v>7</v>
      </c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10"")"),"Lloyd Sagar")</f>
        <v>Lloyd Sagar</v>
      </c>
      <c r="C102" s="125">
        <f>IFERROR(__xludf.DUMMYFUNCTION("""COMPUTED_VALUE"""),6.0)</f>
        <v>6</v>
      </c>
      <c r="D102" s="125">
        <f t="shared" ref="D102:D111" si="77">VLOOKUP(B102,indirect($AC$2&amp;"!B$5:X$79"),23, false)</f>
        <v>49</v>
      </c>
      <c r="E102" s="125">
        <f t="shared" ref="E102:E111" si="78">VLOOKUP(B102,B$5:X$71,23, false)</f>
        <v>43</v>
      </c>
      <c r="F102" s="125">
        <f t="shared" ref="F102:F111" si="79">VLOOKUP(B102,indirect($AC$2&amp;"!B$5:U$79"),11, false)</f>
        <v>13</v>
      </c>
      <c r="G102" s="125">
        <f t="shared" ref="G102:G111" si="80">VLOOKUP(B102,indirect($AC$2&amp;"!B$5:U$79"),6, false)</f>
        <v>0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IFERROR(__xludf.DUMMYFUNCTION("""COMPUTED_VALUE"""),"Ted Shen")</f>
        <v>Ted Shen</v>
      </c>
      <c r="C103" s="125">
        <f>IFERROR(__xludf.DUMMYFUNCTION("""COMPUTED_VALUE"""),5.0)</f>
        <v>5</v>
      </c>
      <c r="D103" s="125">
        <f t="shared" si="77"/>
        <v>19</v>
      </c>
      <c r="E103" s="125">
        <f t="shared" si="78"/>
        <v>14</v>
      </c>
      <c r="F103" s="125">
        <f t="shared" si="79"/>
        <v>16</v>
      </c>
      <c r="G103" s="125">
        <f t="shared" si="80"/>
        <v>4</v>
      </c>
      <c r="L103" s="125" t="str">
        <f t="shared" si="81"/>
        <v>ok</v>
      </c>
    </row>
    <row r="104">
      <c r="A104" s="2"/>
      <c r="B104" s="36" t="str">
        <f>IFERROR(__xludf.DUMMYFUNCTION("""COMPUTED_VALUE"""),"Manish Anand")</f>
        <v>Manish Anand</v>
      </c>
      <c r="C104" s="125">
        <f>IFERROR(__xludf.DUMMYFUNCTION("""COMPUTED_VALUE"""),5.0)</f>
        <v>5</v>
      </c>
      <c r="D104" s="125">
        <f t="shared" si="77"/>
        <v>20</v>
      </c>
      <c r="E104" s="125">
        <f t="shared" si="78"/>
        <v>15</v>
      </c>
      <c r="F104" s="125">
        <f t="shared" si="79"/>
        <v>16</v>
      </c>
      <c r="G104" s="125">
        <f t="shared" si="80"/>
        <v>4</v>
      </c>
      <c r="L104" s="125" t="str">
        <f t="shared" si="81"/>
        <v>ok</v>
      </c>
    </row>
    <row r="105">
      <c r="A105" s="2"/>
      <c r="B105" s="36" t="str">
        <f>IFERROR(__xludf.DUMMYFUNCTION("""COMPUTED_VALUE"""),"Tina Hanson")</f>
        <v>Tina Hanson</v>
      </c>
      <c r="C105" s="125">
        <f>IFERROR(__xludf.DUMMYFUNCTION("""COMPUTED_VALUE"""),5.0)</f>
        <v>5</v>
      </c>
      <c r="D105" s="125">
        <f t="shared" si="77"/>
        <v>24</v>
      </c>
      <c r="E105" s="125">
        <f t="shared" si="78"/>
        <v>19</v>
      </c>
      <c r="F105" s="125">
        <f t="shared" si="79"/>
        <v>16</v>
      </c>
      <c r="G105" s="125">
        <f t="shared" si="80"/>
        <v>5</v>
      </c>
      <c r="L105" s="125" t="str">
        <f t="shared" si="81"/>
        <v>ok</v>
      </c>
    </row>
    <row r="106">
      <c r="A106" s="2"/>
      <c r="B106" s="36" t="str">
        <f>IFERROR(__xludf.DUMMYFUNCTION("""COMPUTED_VALUE"""),"Lam Bui")</f>
        <v>Lam Bui</v>
      </c>
      <c r="C106" s="125">
        <f>IFERROR(__xludf.DUMMYFUNCTION("""COMPUTED_VALUE"""),5.0)</f>
        <v>5</v>
      </c>
      <c r="D106" s="125">
        <f t="shared" si="77"/>
        <v>29</v>
      </c>
      <c r="E106" s="125">
        <f t="shared" si="78"/>
        <v>24</v>
      </c>
      <c r="F106" s="125">
        <f t="shared" si="79"/>
        <v>18</v>
      </c>
      <c r="G106" s="125">
        <f t="shared" si="80"/>
        <v>6</v>
      </c>
      <c r="L106" s="125" t="str">
        <f t="shared" si="81"/>
        <v>ok</v>
      </c>
    </row>
    <row r="107">
      <c r="A107" s="2"/>
      <c r="B107" s="36" t="str">
        <f>IFERROR(__xludf.DUMMYFUNCTION("""COMPUTED_VALUE"""),"Hongyuan Wen")</f>
        <v>Hongyuan Wen</v>
      </c>
      <c r="C107" s="125">
        <f>IFERROR(__xludf.DUMMYFUNCTION("""COMPUTED_VALUE"""),4.0)</f>
        <v>4</v>
      </c>
      <c r="D107" s="125">
        <f t="shared" si="77"/>
        <v>39</v>
      </c>
      <c r="E107" s="125">
        <f t="shared" si="78"/>
        <v>35</v>
      </c>
      <c r="F107" s="125">
        <f t="shared" si="79"/>
        <v>12</v>
      </c>
      <c r="G107" s="125">
        <f t="shared" si="80"/>
        <v>7</v>
      </c>
      <c r="L107" s="125" t="str">
        <f t="shared" si="81"/>
        <v>ok</v>
      </c>
    </row>
    <row r="108">
      <c r="A108" s="2"/>
      <c r="B108" s="36" t="str">
        <f>IFERROR(__xludf.DUMMYFUNCTION("""COMPUTED_VALUE"""),"Frank Moon")</f>
        <v>Frank Moon</v>
      </c>
      <c r="C108" s="125">
        <f>IFERROR(__xludf.DUMMYFUNCTION("""COMPUTED_VALUE"""),4.0)</f>
        <v>4</v>
      </c>
      <c r="D108" s="125">
        <f t="shared" si="77"/>
        <v>44</v>
      </c>
      <c r="E108" s="125">
        <f t="shared" si="78"/>
        <v>40</v>
      </c>
      <c r="F108" s="125">
        <f t="shared" si="79"/>
        <v>13</v>
      </c>
      <c r="G108" s="125">
        <f t="shared" si="80"/>
        <v>8</v>
      </c>
      <c r="L108" s="125" t="str">
        <f t="shared" si="81"/>
        <v>ok</v>
      </c>
    </row>
    <row r="109">
      <c r="A109" s="2"/>
      <c r="B109" s="36" t="str">
        <f>IFERROR(__xludf.DUMMYFUNCTION("""COMPUTED_VALUE"""),"Ruben Ron")</f>
        <v>Ruben Ron</v>
      </c>
      <c r="C109" s="125">
        <f>IFERROR(__xludf.DUMMYFUNCTION("""COMPUTED_VALUE"""),3.0)</f>
        <v>3</v>
      </c>
      <c r="D109" s="125">
        <f t="shared" si="77"/>
        <v>13</v>
      </c>
      <c r="E109" s="125">
        <f t="shared" si="78"/>
        <v>10</v>
      </c>
      <c r="F109" s="125">
        <f t="shared" si="79"/>
        <v>19</v>
      </c>
      <c r="G109" s="125">
        <f t="shared" si="80"/>
        <v>3</v>
      </c>
      <c r="L109" s="125" t="str">
        <f t="shared" si="81"/>
        <v>ok</v>
      </c>
    </row>
    <row r="110">
      <c r="A110" s="2"/>
      <c r="B110" s="36" t="str">
        <f>IFERROR(__xludf.DUMMYFUNCTION("""COMPUTED_VALUE"""),"Mauricio Palacios")</f>
        <v>Mauricio Palacios</v>
      </c>
      <c r="C110" s="125">
        <f>IFERROR(__xludf.DUMMYFUNCTION("""COMPUTED_VALUE"""),3.0)</f>
        <v>3</v>
      </c>
      <c r="D110" s="125">
        <f t="shared" si="77"/>
        <v>31</v>
      </c>
      <c r="E110" s="125">
        <f t="shared" si="78"/>
        <v>28</v>
      </c>
      <c r="F110" s="125">
        <f t="shared" si="79"/>
        <v>18</v>
      </c>
      <c r="G110" s="125">
        <f t="shared" si="80"/>
        <v>7</v>
      </c>
      <c r="L110" s="125" t="str">
        <f t="shared" si="81"/>
        <v>ok</v>
      </c>
    </row>
    <row r="111">
      <c r="A111" s="2"/>
      <c r="B111" s="36" t="str">
        <f>IFERROR(__xludf.DUMMYFUNCTION("""COMPUTED_VALUE"""),"Jimmy Awolesi")</f>
        <v>Jimmy Awolesi</v>
      </c>
      <c r="C111" s="125">
        <f>IFERROR(__xludf.DUMMYFUNCTION("""COMPUTED_VALUE"""),3.0)</f>
        <v>3</v>
      </c>
      <c r="D111" s="125">
        <f t="shared" si="77"/>
        <v>34</v>
      </c>
      <c r="E111" s="125">
        <f t="shared" si="78"/>
        <v>31</v>
      </c>
      <c r="F111" s="125">
        <f t="shared" si="79"/>
        <v>13</v>
      </c>
      <c r="G111" s="125">
        <f t="shared" si="80"/>
        <v>7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12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Pulkit Mathur</v>
      </c>
      <c r="C120" s="125">
        <f t="shared" si="82"/>
        <v>162</v>
      </c>
      <c r="D120" s="125">
        <f t="shared" si="82"/>
        <v>21</v>
      </c>
      <c r="E120" s="125">
        <f t="shared" si="82"/>
        <v>15</v>
      </c>
      <c r="F120" s="2"/>
    </row>
    <row r="121">
      <c r="A121" s="125">
        <f t="shared" ref="A121:E121" si="83">A6</f>
        <v>2</v>
      </c>
      <c r="B121" s="36" t="str">
        <f t="shared" si="83"/>
        <v>David Shin</v>
      </c>
      <c r="C121" s="125">
        <f t="shared" si="83"/>
        <v>162</v>
      </c>
      <c r="D121" s="125">
        <f t="shared" si="83"/>
        <v>19</v>
      </c>
      <c r="E121" s="125">
        <f t="shared" si="83"/>
        <v>13.54545455</v>
      </c>
      <c r="F121" s="2"/>
    </row>
    <row r="122">
      <c r="A122" s="125">
        <f t="shared" ref="A122:E122" si="84">A7</f>
        <v>3</v>
      </c>
      <c r="B122" s="36" t="str">
        <f t="shared" si="84"/>
        <v>Pavan Akkimsetty</v>
      </c>
      <c r="C122" s="125">
        <f t="shared" si="84"/>
        <v>162</v>
      </c>
      <c r="D122" s="125">
        <f t="shared" si="84"/>
        <v>16</v>
      </c>
      <c r="E122" s="125">
        <f t="shared" si="84"/>
        <v>14</v>
      </c>
      <c r="F122" s="2"/>
    </row>
    <row r="123">
      <c r="A123" s="125">
        <f t="shared" ref="A123:E123" si="85">A8</f>
        <v>4</v>
      </c>
      <c r="B123" s="36" t="str">
        <f t="shared" si="85"/>
        <v>Tom Le</v>
      </c>
      <c r="C123" s="125">
        <f t="shared" si="85"/>
        <v>161</v>
      </c>
      <c r="D123" s="125">
        <f t="shared" si="85"/>
        <v>18</v>
      </c>
      <c r="E123" s="125">
        <f t="shared" si="85"/>
        <v>14.88888889</v>
      </c>
      <c r="F123" s="2"/>
    </row>
    <row r="124">
      <c r="A124" s="125">
        <f t="shared" ref="A124:E124" si="86">A9</f>
        <v>5</v>
      </c>
      <c r="B124" s="36" t="str">
        <f t="shared" si="86"/>
        <v>Andrew Yao</v>
      </c>
      <c r="C124" s="125">
        <f t="shared" si="86"/>
        <v>156</v>
      </c>
      <c r="D124" s="125">
        <f t="shared" si="86"/>
        <v>15</v>
      </c>
      <c r="E124" s="125">
        <f t="shared" si="86"/>
        <v>13</v>
      </c>
      <c r="F124" s="2"/>
    </row>
    <row r="125">
      <c r="A125" s="125">
        <f t="shared" ref="A125:E125" si="87">A10</f>
        <v>6</v>
      </c>
      <c r="B125" s="36" t="str">
        <f t="shared" si="87"/>
        <v>Rudy Tatang</v>
      </c>
      <c r="C125" s="125">
        <f t="shared" si="87"/>
        <v>156</v>
      </c>
      <c r="D125" s="125">
        <f t="shared" si="87"/>
        <v>13</v>
      </c>
      <c r="E125" s="125">
        <f t="shared" si="87"/>
        <v>14.5</v>
      </c>
      <c r="F125" s="2"/>
    </row>
    <row r="126">
      <c r="A126" s="125">
        <f t="shared" ref="A126:E126" si="88">A11</f>
        <v>7</v>
      </c>
      <c r="B126" s="36" t="str">
        <f t="shared" si="88"/>
        <v>Jaya Sogata</v>
      </c>
      <c r="C126" s="125">
        <f t="shared" si="88"/>
        <v>155</v>
      </c>
      <c r="D126" s="125">
        <f t="shared" si="88"/>
        <v>12</v>
      </c>
      <c r="E126" s="125">
        <f t="shared" si="88"/>
        <v>14</v>
      </c>
      <c r="F126" s="2"/>
    </row>
    <row r="127">
      <c r="A127" s="125">
        <f t="shared" ref="A127:E127" si="89">A12</f>
        <v>8</v>
      </c>
      <c r="B127" s="36" t="str">
        <f t="shared" si="89"/>
        <v>Suleman Alidina</v>
      </c>
      <c r="C127" s="125">
        <f t="shared" si="89"/>
        <v>155</v>
      </c>
      <c r="D127" s="125">
        <f t="shared" si="89"/>
        <v>10</v>
      </c>
      <c r="E127" s="125">
        <f t="shared" si="89"/>
        <v>13.42857143</v>
      </c>
      <c r="F127" s="2"/>
    </row>
    <row r="128">
      <c r="A128" s="125">
        <f t="shared" ref="A128:E128" si="90">A13</f>
        <v>9</v>
      </c>
      <c r="B128" s="36" t="str">
        <f t="shared" si="90"/>
        <v>Vinotkumar Nagappan</v>
      </c>
      <c r="C128" s="125">
        <f t="shared" si="90"/>
        <v>153</v>
      </c>
      <c r="D128" s="125">
        <f t="shared" si="90"/>
        <v>13</v>
      </c>
      <c r="E128" s="125">
        <f t="shared" si="90"/>
        <v>12.75</v>
      </c>
      <c r="F128" s="2"/>
    </row>
    <row r="129">
      <c r="A129" s="125">
        <f t="shared" ref="A129:E129" si="91">A14</f>
        <v>10</v>
      </c>
      <c r="B129" s="36" t="str">
        <f t="shared" si="91"/>
        <v>Ruben Ron</v>
      </c>
      <c r="C129" s="125">
        <f t="shared" si="91"/>
        <v>153</v>
      </c>
      <c r="D129" s="125">
        <f t="shared" si="91"/>
        <v>13</v>
      </c>
      <c r="E129" s="125">
        <f t="shared" si="91"/>
        <v>15.16666667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ASC"")"),"Eric Tan")</f>
        <v>Eric Tan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IFERROR(__xludf.DUMMYFUNCTION("""COMPUTED_VALUE"""),"Vinotkumar Nagappan")</f>
        <v>Vinotkumar Nagappan</v>
      </c>
      <c r="C138" s="2"/>
      <c r="D138" s="2"/>
      <c r="E138" s="2"/>
      <c r="F138" s="2"/>
    </row>
    <row r="139">
      <c r="A139" s="125">
        <f t="shared" si="92"/>
        <v>0</v>
      </c>
      <c r="B139" s="36"/>
      <c r="C139" s="2"/>
      <c r="D139" s="2"/>
      <c r="E139" s="2"/>
      <c r="F139" s="2"/>
      <c r="P139" s="36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09/12/26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IFERROR(__xludf.DUMMYFUNCTION("""COMPUTED_VALUE"""),"Pulkit Mathur")</f>
        <v>Pulkit Mathur</v>
      </c>
      <c r="C239" s="131">
        <f>IFERROR(__xludf.DUMMYFUNCTION("""COMPUTED_VALUE"""),6.0)</f>
        <v>6</v>
      </c>
      <c r="D239" s="131">
        <f>IFERROR(__xludf.DUMMYFUNCTION("""COMPUTED_VALUE"""),4.0)</f>
        <v>4</v>
      </c>
      <c r="E239" s="131">
        <f>IFERROR(__xludf.DUMMYFUNCTION("""COMPUTED_VALUE"""),4.0)</f>
        <v>4</v>
      </c>
      <c r="F239" s="131">
        <f>IFERROR(__xludf.DUMMYFUNCTION("""COMPUTED_VALUE"""),14.0)</f>
        <v>14</v>
      </c>
      <c r="G239" s="131">
        <f>IFERROR(__xludf.DUMMYFUNCTION("""COMPUTED_VALUE"""),1.0)</f>
        <v>1</v>
      </c>
    </row>
    <row r="240">
      <c r="A240" s="125">
        <f>IFERROR(__xludf.DUMMYFUNCTION("""COMPUTED_VALUE"""),1.0)</f>
        <v>1</v>
      </c>
      <c r="B240" s="36" t="str">
        <f>IFERROR(__xludf.DUMMYFUNCTION("""COMPUTED_VALUE"""),"Andrew Yao")</f>
        <v>Andrew Yao</v>
      </c>
      <c r="C240" s="131">
        <f>IFERROR(__xludf.DUMMYFUNCTION("""COMPUTED_VALUE"""),1.0)</f>
        <v>1</v>
      </c>
      <c r="D240" s="131">
        <f>IFERROR(__xludf.DUMMYFUNCTION("""COMPUTED_VALUE"""),6.0)</f>
        <v>6</v>
      </c>
      <c r="E240" s="131">
        <f>IFERROR(__xludf.DUMMYFUNCTION("""COMPUTED_VALUE"""),4.0)</f>
        <v>4</v>
      </c>
      <c r="F240" s="131">
        <f>IFERROR(__xludf.DUMMYFUNCTION("""COMPUTED_VALUE"""),11.0)</f>
        <v>11</v>
      </c>
      <c r="G240" s="131">
        <f>IFERROR(__xludf.DUMMYFUNCTION("""COMPUTED_VALUE"""),1.0)</f>
        <v>1</v>
      </c>
    </row>
    <row r="241">
      <c r="A241" s="125">
        <f>IFERROR(__xludf.DUMMYFUNCTION("""COMPUTED_VALUE"""),1.0)</f>
        <v>1</v>
      </c>
      <c r="B241" s="36" t="str">
        <f>IFERROR(__xludf.DUMMYFUNCTION("""COMPUTED_VALUE"""),"Rudy Tatang")</f>
        <v>Rudy Tatang</v>
      </c>
      <c r="C241" s="131">
        <f>IFERROR(__xludf.DUMMYFUNCTION("""COMPUTED_VALUE"""),1.0)</f>
        <v>1</v>
      </c>
      <c r="D241" s="131">
        <f>IFERROR(__xludf.DUMMYFUNCTION("""COMPUTED_VALUE"""),4.0)</f>
        <v>4</v>
      </c>
      <c r="E241" s="131">
        <f>IFERROR(__xludf.DUMMYFUNCTION("""COMPUTED_VALUE"""),6.0)</f>
        <v>6</v>
      </c>
      <c r="F241" s="131">
        <f>IFERROR(__xludf.DUMMYFUNCTION("""COMPUTED_VALUE"""),11.0)</f>
        <v>11</v>
      </c>
      <c r="G241" s="131">
        <f>IFERROR(__xludf.DUMMYFUNCTION("""COMPUTED_VALUE"""),1.0)</f>
        <v>1</v>
      </c>
    </row>
    <row r="242">
      <c r="A242" s="125">
        <f>IFERROR(__xludf.DUMMYFUNCTION("""COMPUTED_VALUE"""),1.0)</f>
        <v>1</v>
      </c>
      <c r="B242" s="36" t="str">
        <f>IFERROR(__xludf.DUMMYFUNCTION("""COMPUTED_VALUE"""),"David Shin")</f>
        <v>David Shin</v>
      </c>
      <c r="C242" s="131">
        <f>IFERROR(__xludf.DUMMYFUNCTION("""COMPUTED_VALUE"""),6.0)</f>
        <v>6</v>
      </c>
      <c r="D242" s="131">
        <f>IFERROR(__xludf.DUMMYFUNCTION("""COMPUTED_VALUE"""),6.0)</f>
        <v>6</v>
      </c>
      <c r="E242" s="131">
        <f>IFERROR(__xludf.DUMMYFUNCTION("""COMPUTED_VALUE"""),6.0)</f>
        <v>6</v>
      </c>
      <c r="F242" s="131">
        <f>IFERROR(__xludf.DUMMYFUNCTION("""COMPUTED_VALUE"""),18.0)</f>
        <v>18</v>
      </c>
      <c r="G242" s="131">
        <f>IFERROR(__xludf.DUMMYFUNCTION("""COMPUTED_VALUE"""),3.0)</f>
        <v>3</v>
      </c>
    </row>
    <row r="243">
      <c r="A243" s="132">
        <f>IFERROR(__xludf.DUMMYFUNCTION("""COMPUTED_VALUE"""),2.0)</f>
        <v>2</v>
      </c>
      <c r="B243" s="133" t="str">
        <f>IFERROR(__xludf.DUMMYFUNCTION("""COMPUTED_VALUE"""),"Pavan Akkimsetty")</f>
        <v>Pavan Akkimsetty</v>
      </c>
      <c r="C243" s="134">
        <f>IFERROR(__xludf.DUMMYFUNCTION("""COMPUTED_VALUE"""),7.0)</f>
        <v>7</v>
      </c>
      <c r="D243" s="134">
        <f>IFERROR(__xludf.DUMMYFUNCTION("""COMPUTED_VALUE"""),6.0)</f>
        <v>6</v>
      </c>
      <c r="E243" s="134">
        <f>IFERROR(__xludf.DUMMYFUNCTION("""COMPUTED_VALUE"""),6.0)</f>
        <v>6</v>
      </c>
      <c r="F243" s="134">
        <f>IFERROR(__xludf.DUMMYFUNCTION("""COMPUTED_VALUE"""),19.0)</f>
        <v>19</v>
      </c>
      <c r="G243" s="134">
        <f>IFERROR(__xludf.DUMMYFUNCTION("""COMPUTED_VALUE"""),2.0)</f>
        <v>2</v>
      </c>
    </row>
    <row r="244">
      <c r="A244" s="132">
        <f>IFERROR(__xludf.DUMMYFUNCTION("""COMPUTED_VALUE"""),2.0)</f>
        <v>2</v>
      </c>
      <c r="B244" s="133" t="str">
        <f>IFERROR(__xludf.DUMMYFUNCTION("""COMPUTED_VALUE"""),"Tom Le")</f>
        <v>Tom Le</v>
      </c>
      <c r="C244" s="134">
        <f>IFERROR(__xludf.DUMMYFUNCTION("""COMPUTED_VALUE"""),6.0)</f>
        <v>6</v>
      </c>
      <c r="D244" s="134">
        <f>IFERROR(__xludf.DUMMYFUNCTION("""COMPUTED_VALUE"""),7.0)</f>
        <v>7</v>
      </c>
      <c r="E244" s="134">
        <f>IFERROR(__xludf.DUMMYFUNCTION("""COMPUTED_VALUE"""),6.0)</f>
        <v>6</v>
      </c>
      <c r="F244" s="134">
        <f>IFERROR(__xludf.DUMMYFUNCTION("""COMPUTED_VALUE"""),19.0)</f>
        <v>19</v>
      </c>
      <c r="G244" s="134">
        <f>IFERROR(__xludf.DUMMYFUNCTION("""COMPUTED_VALUE"""),2.0)</f>
        <v>2</v>
      </c>
    </row>
    <row r="245">
      <c r="A245" s="132">
        <f>IFERROR(__xludf.DUMMYFUNCTION("""COMPUTED_VALUE"""),2.0)</f>
        <v>2</v>
      </c>
      <c r="B245" s="133" t="str">
        <f>IFERROR(__xludf.DUMMYFUNCTION("""COMPUTED_VALUE"""),"Suleman Alidina")</f>
        <v>Suleman Alidina</v>
      </c>
      <c r="C245" s="134">
        <f>IFERROR(__xludf.DUMMYFUNCTION("""COMPUTED_VALUE"""),6.0)</f>
        <v>6</v>
      </c>
      <c r="D245" s="134">
        <f>IFERROR(__xludf.DUMMYFUNCTION("""COMPUTED_VALUE"""),6.0)</f>
        <v>6</v>
      </c>
      <c r="E245" s="134">
        <f>IFERROR(__xludf.DUMMYFUNCTION("""COMPUTED_VALUE"""),1.0)</f>
        <v>1</v>
      </c>
      <c r="F245" s="134">
        <f>IFERROR(__xludf.DUMMYFUNCTION("""COMPUTED_VALUE"""),13.0)</f>
        <v>13</v>
      </c>
      <c r="G245" s="134">
        <f>IFERROR(__xludf.DUMMYFUNCTION("""COMPUTED_VALUE"""),0.0)</f>
        <v>0</v>
      </c>
    </row>
    <row r="246">
      <c r="A246" s="132">
        <f>IFERROR(__xludf.DUMMYFUNCTION("""COMPUTED_VALUE"""),2.0)</f>
        <v>2</v>
      </c>
      <c r="B246" s="133" t="str">
        <f>IFERROR(__xludf.DUMMYFUNCTION("""COMPUTED_VALUE"""),"Jaya Sogata")</f>
        <v>Jaya Sogata</v>
      </c>
      <c r="C246" s="134">
        <f>IFERROR(__xludf.DUMMYFUNCTION("""COMPUTED_VALUE"""),7.0)</f>
        <v>7</v>
      </c>
      <c r="D246" s="134">
        <f>IFERROR(__xludf.DUMMYFUNCTION("""COMPUTED_VALUE"""),7.0)</f>
        <v>7</v>
      </c>
      <c r="E246" s="134">
        <f>IFERROR(__xludf.DUMMYFUNCTION("""COMPUTED_VALUE"""),1.0)</f>
        <v>1</v>
      </c>
      <c r="F246" s="134">
        <f>IFERROR(__xludf.DUMMYFUNCTION("""COMPUTED_VALUE"""),15.0)</f>
        <v>15</v>
      </c>
      <c r="G246" s="134">
        <f>IFERROR(__xludf.DUMMYFUNCTION("""COMPUTED_VALUE"""),2.0)</f>
        <v>2</v>
      </c>
    </row>
    <row r="247">
      <c r="A247" s="125">
        <f>IFERROR(__xludf.DUMMYFUNCTION("""COMPUTED_VALUE"""),3.0)</f>
        <v>3</v>
      </c>
      <c r="B247" s="36" t="str">
        <f>IFERROR(__xludf.DUMMYFUNCTION("""COMPUTED_VALUE"""),"Vinotkumar Nagappan")</f>
        <v>Vinotkumar Nagappan</v>
      </c>
      <c r="C247" s="131">
        <f>IFERROR(__xludf.DUMMYFUNCTION("""COMPUTED_VALUE"""),3.0)</f>
        <v>3</v>
      </c>
      <c r="D247" s="131">
        <f>IFERROR(__xludf.DUMMYFUNCTION("""COMPUTED_VALUE"""),5.0)</f>
        <v>5</v>
      </c>
      <c r="E247" s="131">
        <f>IFERROR(__xludf.DUMMYFUNCTION("""COMPUTED_VALUE"""),6.0)</f>
        <v>6</v>
      </c>
      <c r="F247" s="131">
        <f>IFERROR(__xludf.DUMMYFUNCTION("""COMPUTED_VALUE"""),14.0)</f>
        <v>14</v>
      </c>
      <c r="G247" s="131">
        <f>IFERROR(__xludf.DUMMYFUNCTION("""COMPUTED_VALUE"""),1.0)</f>
        <v>1</v>
      </c>
    </row>
    <row r="248">
      <c r="A248" s="125">
        <f>IFERROR(__xludf.DUMMYFUNCTION("""COMPUTED_VALUE"""),3.0)</f>
        <v>3</v>
      </c>
      <c r="B248" s="36" t="str">
        <f>IFERROR(__xludf.DUMMYFUNCTION("""COMPUTED_VALUE"""),"Ruben Ron")</f>
        <v>Ruben Ron</v>
      </c>
      <c r="C248" s="131">
        <f>IFERROR(__xludf.DUMMYFUNCTION("""COMPUTED_VALUE"""),6.0)</f>
        <v>6</v>
      </c>
      <c r="D248" s="131">
        <f>IFERROR(__xludf.DUMMYFUNCTION("""COMPUTED_VALUE"""),7.0)</f>
        <v>7</v>
      </c>
      <c r="E248" s="131">
        <f>IFERROR(__xludf.DUMMYFUNCTION("""COMPUTED_VALUE"""),6.0)</f>
        <v>6</v>
      </c>
      <c r="F248" s="131">
        <f>IFERROR(__xludf.DUMMYFUNCTION("""COMPUTED_VALUE"""),19.0)</f>
        <v>19</v>
      </c>
      <c r="G248" s="131">
        <f>IFERROR(__xludf.DUMMYFUNCTION("""COMPUTED_VALUE"""),3.0)</f>
        <v>3</v>
      </c>
    </row>
    <row r="249">
      <c r="A249" s="125">
        <f>IFERROR(__xludf.DUMMYFUNCTION("""COMPUTED_VALUE"""),3.0)</f>
        <v>3</v>
      </c>
      <c r="B249" s="36" t="str">
        <f>IFERROR(__xludf.DUMMYFUNCTION("""COMPUTED_VALUE"""),"Herman Au")</f>
        <v>Herman Au</v>
      </c>
      <c r="C249" s="131">
        <f>IFERROR(__xludf.DUMMYFUNCTION("""COMPUTED_VALUE"""),6.0)</f>
        <v>6</v>
      </c>
      <c r="D249" s="131">
        <f>IFERROR(__xludf.DUMMYFUNCTION("""COMPUTED_VALUE"""),5.0)</f>
        <v>5</v>
      </c>
      <c r="E249" s="131">
        <f>IFERROR(__xludf.DUMMYFUNCTION("""COMPUTED_VALUE"""),3.0)</f>
        <v>3</v>
      </c>
      <c r="F249" s="131">
        <f>IFERROR(__xludf.DUMMYFUNCTION("""COMPUTED_VALUE"""),14.0)</f>
        <v>14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IFERROR(__xludf.DUMMYFUNCTION("""COMPUTED_VALUE"""),"Rajasekar Ramasamy")</f>
        <v>Rajasekar Ramasamy</v>
      </c>
      <c r="C250" s="131">
        <f>IFERROR(__xludf.DUMMYFUNCTION("""COMPUTED_VALUE"""),3.0)</f>
        <v>3</v>
      </c>
      <c r="D250" s="131">
        <f>IFERROR(__xludf.DUMMYFUNCTION("""COMPUTED_VALUE"""),7.0)</f>
        <v>7</v>
      </c>
      <c r="E250" s="131">
        <f>IFERROR(__xludf.DUMMYFUNCTION("""COMPUTED_VALUE"""),3.0)</f>
        <v>3</v>
      </c>
      <c r="F250" s="131">
        <f>IFERROR(__xludf.DUMMYFUNCTION("""COMPUTED_VALUE"""),13.0)</f>
        <v>13</v>
      </c>
      <c r="G250" s="131">
        <f>IFERROR(__xludf.DUMMYFUNCTION("""COMPUTED_VALUE"""),1.0)</f>
        <v>1</v>
      </c>
    </row>
    <row r="251">
      <c r="A251" s="132">
        <f>IFERROR(__xludf.DUMMYFUNCTION("""COMPUTED_VALUE"""),4.0)</f>
        <v>4</v>
      </c>
      <c r="B251" s="133" t="str">
        <f>IFERROR(__xludf.DUMMYFUNCTION("""COMPUTED_VALUE"""),"Jonathan Phan")</f>
        <v>Jonathan Phan</v>
      </c>
      <c r="C251" s="134">
        <f>IFERROR(__xludf.DUMMYFUNCTION("""COMPUTED_VALUE"""),4.0)</f>
        <v>4</v>
      </c>
      <c r="D251" s="134">
        <f>IFERROR(__xludf.DUMMYFUNCTION("""COMPUTED_VALUE"""),4.0)</f>
        <v>4</v>
      </c>
      <c r="E251" s="134">
        <f>IFERROR(__xludf.DUMMYFUNCTION("""COMPUTED_VALUE"""),2.0)</f>
        <v>2</v>
      </c>
      <c r="F251" s="134">
        <f>IFERROR(__xludf.DUMMYFUNCTION("""COMPUTED_VALUE"""),10.0)</f>
        <v>10</v>
      </c>
      <c r="G251" s="134">
        <f>IFERROR(__xludf.DUMMYFUNCTION("""COMPUTED_VALUE"""),0.0)</f>
        <v>0</v>
      </c>
    </row>
    <row r="252">
      <c r="A252" s="132">
        <f>IFERROR(__xludf.DUMMYFUNCTION("""COMPUTED_VALUE"""),4.0)</f>
        <v>4</v>
      </c>
      <c r="B252" s="133" t="str">
        <f>IFERROR(__xludf.DUMMYFUNCTION("""COMPUTED_VALUE"""),"Luis Hsu")</f>
        <v>Luis Hsu</v>
      </c>
      <c r="C252" s="134">
        <f>IFERROR(__xludf.DUMMYFUNCTION("""COMPUTED_VALUE"""),6.0)</f>
        <v>6</v>
      </c>
      <c r="D252" s="134">
        <f>IFERROR(__xludf.DUMMYFUNCTION("""COMPUTED_VALUE"""),6.0)</f>
        <v>6</v>
      </c>
      <c r="E252" s="134">
        <f>IFERROR(__xludf.DUMMYFUNCTION("""COMPUTED_VALUE"""),2.0)</f>
        <v>2</v>
      </c>
      <c r="F252" s="134">
        <f>IFERROR(__xludf.DUMMYFUNCTION("""COMPUTED_VALUE"""),14.0)</f>
        <v>14</v>
      </c>
      <c r="G252" s="134">
        <f>IFERROR(__xludf.DUMMYFUNCTION("""COMPUTED_VALUE"""),2.0)</f>
        <v>2</v>
      </c>
    </row>
    <row r="253">
      <c r="A253" s="132">
        <f>IFERROR(__xludf.DUMMYFUNCTION("""COMPUTED_VALUE"""),4.0)</f>
        <v>4</v>
      </c>
      <c r="B253" s="133" t="str">
        <f>IFERROR(__xludf.DUMMYFUNCTION("""COMPUTED_VALUE"""),"Ted Shen")</f>
        <v>Ted Shen</v>
      </c>
      <c r="C253" s="134">
        <f>IFERROR(__xludf.DUMMYFUNCTION("""COMPUTED_VALUE"""),6.0)</f>
        <v>6</v>
      </c>
      <c r="D253" s="134">
        <f>IFERROR(__xludf.DUMMYFUNCTION("""COMPUTED_VALUE"""),4.0)</f>
        <v>4</v>
      </c>
      <c r="E253" s="134">
        <f>IFERROR(__xludf.DUMMYFUNCTION("""COMPUTED_VALUE"""),6.0)</f>
        <v>6</v>
      </c>
      <c r="F253" s="134">
        <f>IFERROR(__xludf.DUMMYFUNCTION("""COMPUTED_VALUE"""),16.0)</f>
        <v>16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IFERROR(__xludf.DUMMYFUNCTION("""COMPUTED_VALUE"""),"Manish Anand")</f>
        <v>Manish Anand</v>
      </c>
      <c r="C254" s="134">
        <f>IFERROR(__xludf.DUMMYFUNCTION("""COMPUTED_VALUE"""),4.0)</f>
        <v>4</v>
      </c>
      <c r="D254" s="134">
        <f>IFERROR(__xludf.DUMMYFUNCTION("""COMPUTED_VALUE"""),6.0)</f>
        <v>6</v>
      </c>
      <c r="E254" s="134">
        <f>IFERROR(__xludf.DUMMYFUNCTION("""COMPUTED_VALUE"""),6.0)</f>
        <v>6</v>
      </c>
      <c r="F254" s="134">
        <f>IFERROR(__xludf.DUMMYFUNCTION("""COMPUTED_VALUE"""),16.0)</f>
        <v>16</v>
      </c>
      <c r="G254" s="134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IFERROR(__xludf.DUMMYFUNCTION("""COMPUTED_VALUE"""),"Erik Hoeckmann")</f>
        <v>Erik Hoeckmann</v>
      </c>
      <c r="C255" s="131">
        <f>IFERROR(__xludf.DUMMYFUNCTION("""COMPUTED_VALUE"""),2.0)</f>
        <v>2</v>
      </c>
      <c r="D255" s="131">
        <f>IFERROR(__xludf.DUMMYFUNCTION("""COMPUTED_VALUE"""),6.0)</f>
        <v>6</v>
      </c>
      <c r="E255" s="131">
        <f>IFERROR(__xludf.DUMMYFUNCTION("""COMPUTED_VALUE"""),6.0)</f>
        <v>6</v>
      </c>
      <c r="F255" s="131">
        <f>IFERROR(__xludf.DUMMYFUNCTION("""COMPUTED_VALUE"""),14.0)</f>
        <v>14</v>
      </c>
      <c r="G255" s="131">
        <f>IFERROR(__xludf.DUMMYFUNCTION("""COMPUTED_VALUE"""),2.0)</f>
        <v>2</v>
      </c>
    </row>
    <row r="256">
      <c r="A256" s="125">
        <f>IFERROR(__xludf.DUMMYFUNCTION("""COMPUTED_VALUE"""),5.0)</f>
        <v>5</v>
      </c>
      <c r="B256" s="36" t="str">
        <f>IFERROR(__xludf.DUMMYFUNCTION("""COMPUTED_VALUE"""),"Chinna Ponnaganti")</f>
        <v>Chinna Ponnaganti</v>
      </c>
      <c r="C256" s="131">
        <f>IFERROR(__xludf.DUMMYFUNCTION("""COMPUTED_VALUE"""),2.0)</f>
        <v>2</v>
      </c>
      <c r="D256" s="131">
        <f>IFERROR(__xludf.DUMMYFUNCTION("""COMPUTED_VALUE"""),4.0)</f>
        <v>4</v>
      </c>
      <c r="E256" s="131">
        <f>IFERROR(__xludf.DUMMYFUNCTION("""COMPUTED_VALUE"""),3.0)</f>
        <v>3</v>
      </c>
      <c r="F256" s="131">
        <f>IFERROR(__xludf.DUMMYFUNCTION("""COMPUTED_VALUE"""),9.0)</f>
        <v>9</v>
      </c>
      <c r="G256" s="131">
        <f>IFERROR(__xludf.DUMMYFUNCTION("""COMPUTED_VALUE"""),0.0)</f>
        <v>0</v>
      </c>
    </row>
    <row r="257">
      <c r="A257" s="125">
        <f>IFERROR(__xludf.DUMMYFUNCTION("""COMPUTED_VALUE"""),5.0)</f>
        <v>5</v>
      </c>
      <c r="B257" s="36" t="str">
        <f>IFERROR(__xludf.DUMMYFUNCTION("""COMPUTED_VALUE"""),"Tina Hanson")</f>
        <v>Tina Hanson</v>
      </c>
      <c r="C257" s="131">
        <f>IFERROR(__xludf.DUMMYFUNCTION("""COMPUTED_VALUE"""),6.0)</f>
        <v>6</v>
      </c>
      <c r="D257" s="131">
        <f>IFERROR(__xludf.DUMMYFUNCTION("""COMPUTED_VALUE"""),4.0)</f>
        <v>4</v>
      </c>
      <c r="E257" s="131">
        <f>IFERROR(__xludf.DUMMYFUNCTION("""COMPUTED_VALUE"""),6.0)</f>
        <v>6</v>
      </c>
      <c r="F257" s="131">
        <f>IFERROR(__xludf.DUMMYFUNCTION("""COMPUTED_VALUE"""),16.0)</f>
        <v>16</v>
      </c>
      <c r="G257" s="131">
        <f>IFERROR(__xludf.DUMMYFUNCTION("""COMPUTED_VALUE"""),2.0)</f>
        <v>2</v>
      </c>
    </row>
    <row r="258">
      <c r="A258" s="125">
        <f>IFERROR(__xludf.DUMMYFUNCTION("""COMPUTED_VALUE"""),5.0)</f>
        <v>5</v>
      </c>
      <c r="B258" s="36" t="str">
        <f>IFERROR(__xludf.DUMMYFUNCTION("""COMPUTED_VALUE"""),"Joe Luzzi")</f>
        <v>Joe Luzzi</v>
      </c>
      <c r="C258" s="131">
        <f>IFERROR(__xludf.DUMMYFUNCTION("""COMPUTED_VALUE"""),6.0)</f>
        <v>6</v>
      </c>
      <c r="D258" s="131">
        <f>IFERROR(__xludf.DUMMYFUNCTION("""COMPUTED_VALUE"""),6.0)</f>
        <v>6</v>
      </c>
      <c r="E258" s="131">
        <f>IFERROR(__xludf.DUMMYFUNCTION("""COMPUTED_VALUE"""),3.0)</f>
        <v>3</v>
      </c>
      <c r="F258" s="131">
        <f>IFERROR(__xludf.DUMMYFUNCTION("""COMPUTED_VALUE"""),15.0)</f>
        <v>15</v>
      </c>
      <c r="G258" s="131">
        <f>IFERROR(__xludf.DUMMYFUNCTION("""COMPUTED_VALUE"""),2.0)</f>
        <v>2</v>
      </c>
    </row>
    <row r="259">
      <c r="A259" s="132">
        <f>IFERROR(__xludf.DUMMYFUNCTION("""COMPUTED_VALUE"""),6.0)</f>
        <v>6</v>
      </c>
      <c r="B259" s="133" t="str">
        <f>IFERROR(__xludf.DUMMYFUNCTION("""COMPUTED_VALUE"""),"Oscar Bonilla")</f>
        <v>Oscar Bonilla</v>
      </c>
      <c r="C259" s="134">
        <f>IFERROR(__xludf.DUMMYFUNCTION("""COMPUTED_VALUE"""),0.0)</f>
        <v>0</v>
      </c>
      <c r="D259" s="134">
        <f>IFERROR(__xludf.DUMMYFUNCTION("""COMPUTED_VALUE"""),6.0)</f>
        <v>6</v>
      </c>
      <c r="E259" s="134">
        <f>IFERROR(__xludf.DUMMYFUNCTION("""COMPUTED_VALUE"""),4.0)</f>
        <v>4</v>
      </c>
      <c r="F259" s="134">
        <f>IFERROR(__xludf.DUMMYFUNCTION("""COMPUTED_VALUE"""),10.0)</f>
        <v>10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IFERROR(__xludf.DUMMYFUNCTION("""COMPUTED_VALUE"""),"Ethan Gu")</f>
        <v>Ethan Gu</v>
      </c>
      <c r="C260" s="134">
        <f>IFERROR(__xludf.DUMMYFUNCTION("""COMPUTED_VALUE"""),6.0)</f>
        <v>6</v>
      </c>
      <c r="D260" s="134">
        <f>IFERROR(__xludf.DUMMYFUNCTION("""COMPUTED_VALUE"""),1.0)</f>
        <v>1</v>
      </c>
      <c r="E260" s="134">
        <f>IFERROR(__xludf.DUMMYFUNCTION("""COMPUTED_VALUE"""),4.0)</f>
        <v>4</v>
      </c>
      <c r="F260" s="134">
        <f>IFERROR(__xludf.DUMMYFUNCTION("""COMPUTED_VALUE"""),11.0)</f>
        <v>11</v>
      </c>
      <c r="G260" s="134">
        <f>IFERROR(__xludf.DUMMYFUNCTION("""COMPUTED_VALUE"""),1.0)</f>
        <v>1</v>
      </c>
    </row>
    <row r="261">
      <c r="A261" s="132">
        <f>IFERROR(__xludf.DUMMYFUNCTION("""COMPUTED_VALUE"""),6.0)</f>
        <v>6</v>
      </c>
      <c r="B261" s="133" t="str">
        <f>IFERROR(__xludf.DUMMYFUNCTION("""COMPUTED_VALUE"""),"Lam Bui")</f>
        <v>Lam Bui</v>
      </c>
      <c r="C261" s="134">
        <f>IFERROR(__xludf.DUMMYFUNCTION("""COMPUTED_VALUE"""),6.0)</f>
        <v>6</v>
      </c>
      <c r="D261" s="134">
        <f>IFERROR(__xludf.DUMMYFUNCTION("""COMPUTED_VALUE"""),6.0)</f>
        <v>6</v>
      </c>
      <c r="E261" s="134">
        <f>IFERROR(__xludf.DUMMYFUNCTION("""COMPUTED_VALUE"""),6.0)</f>
        <v>6</v>
      </c>
      <c r="F261" s="134">
        <f>IFERROR(__xludf.DUMMYFUNCTION("""COMPUTED_VALUE"""),18.0)</f>
        <v>18</v>
      </c>
      <c r="G261" s="134">
        <f>IFERROR(__xludf.DUMMYFUNCTION("""COMPUTED_VALUE"""),3.0)</f>
        <v>3</v>
      </c>
    </row>
    <row r="262">
      <c r="A262" s="132">
        <f>IFERROR(__xludf.DUMMYFUNCTION("""COMPUTED_VALUE"""),6.0)</f>
        <v>6</v>
      </c>
      <c r="B262" s="133" t="str">
        <f>IFERROR(__xludf.DUMMYFUNCTION("""COMPUTED_VALUE"""),"Wayne Liu")</f>
        <v>Wayne Liu</v>
      </c>
      <c r="C262" s="134">
        <f>IFERROR(__xludf.DUMMYFUNCTION("""COMPUTED_VALUE"""),0.0)</f>
        <v>0</v>
      </c>
      <c r="D262" s="134">
        <f>IFERROR(__xludf.DUMMYFUNCTION("""COMPUTED_VALUE"""),1.0)</f>
        <v>1</v>
      </c>
      <c r="E262" s="134">
        <f>IFERROR(__xludf.DUMMYFUNCTION("""COMPUTED_VALUE"""),6.0)</f>
        <v>6</v>
      </c>
      <c r="F262" s="134">
        <f>IFERROR(__xludf.DUMMYFUNCTION("""COMPUTED_VALUE"""),7.0)</f>
        <v>7</v>
      </c>
      <c r="G262" s="134">
        <f>IFERROR(__xludf.DUMMYFUNCTION("""COMPUTED_VALUE"""),1.0)</f>
        <v>1</v>
      </c>
    </row>
    <row r="263">
      <c r="A263" s="125">
        <f>IFERROR(__xludf.DUMMYFUNCTION("""COMPUTED_VALUE"""),7.0)</f>
        <v>7</v>
      </c>
      <c r="B263" s="36" t="str">
        <f>IFERROR(__xludf.DUMMYFUNCTION("""COMPUTED_VALUE"""),"Mauricio Palacios")</f>
        <v>Mauricio Palacios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IFERROR(__xludf.DUMMYFUNCTION("""COMPUTED_VALUE"""),6.0)</f>
        <v>6</v>
      </c>
      <c r="F263" s="131">
        <f>IFERROR(__xludf.DUMMYFUNCTION("""COMPUTED_VALUE"""),18.0)</f>
        <v>18</v>
      </c>
      <c r="G263" s="131">
        <f>IFERROR(__xludf.DUMMYFUNCTION("""COMPUTED_VALUE"""),3.0)</f>
        <v>3</v>
      </c>
    </row>
    <row r="264">
      <c r="A264" s="125">
        <f>IFERROR(__xludf.DUMMYFUNCTION("""COMPUTED_VALUE"""),7.0)</f>
        <v>7</v>
      </c>
      <c r="B264" s="36" t="str">
        <f>IFERROR(__xludf.DUMMYFUNCTION("""COMPUTED_VALUE"""),"Jimmy Awolesi")</f>
        <v>Jimmy Awolesi</v>
      </c>
      <c r="C264" s="131">
        <f>IFERROR(__xludf.DUMMYFUNCTION("""COMPUTED_VALUE"""),6.0)</f>
        <v>6</v>
      </c>
      <c r="D264" s="131">
        <f>IFERROR(__xludf.DUMMYFUNCTION("""COMPUTED_VALUE"""),4.0)</f>
        <v>4</v>
      </c>
      <c r="E264" s="131">
        <f>IFERROR(__xludf.DUMMYFUNCTION("""COMPUTED_VALUE"""),3.0)</f>
        <v>3</v>
      </c>
      <c r="F264" s="131">
        <f>IFERROR(__xludf.DUMMYFUNCTION("""COMPUTED_VALUE"""),13.0)</f>
        <v>13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IFERROR(__xludf.DUMMYFUNCTION("""COMPUTED_VALUE"""),"Hongyuan Wen")</f>
        <v>Hongyuan Wen</v>
      </c>
      <c r="C265" s="131">
        <f>IFERROR(__xludf.DUMMYFUNCTION("""COMPUTED_VALUE"""),2.0)</f>
        <v>2</v>
      </c>
      <c r="D265" s="131">
        <f>IFERROR(__xludf.DUMMYFUNCTION("""COMPUTED_VALUE"""),4.0)</f>
        <v>4</v>
      </c>
      <c r="E265" s="131">
        <f>IFERROR(__xludf.DUMMYFUNCTION("""COMPUTED_VALUE"""),6.0)</f>
        <v>6</v>
      </c>
      <c r="F265" s="131">
        <f>IFERROR(__xludf.DUMMYFUNCTION("""COMPUTED_VALUE"""),12.0)</f>
        <v>12</v>
      </c>
      <c r="G265" s="131">
        <f>IFERROR(__xludf.DUMMYFUNCTION("""COMPUTED_VALUE"""),1.0)</f>
        <v>1</v>
      </c>
    </row>
    <row r="266">
      <c r="A266" s="125">
        <f>IFERROR(__xludf.DUMMYFUNCTION("""COMPUTED_VALUE"""),7.0)</f>
        <v>7</v>
      </c>
      <c r="B266" s="36" t="str">
        <f>IFERROR(__xludf.DUMMYFUNCTION("""COMPUTED_VALUE"""),"Ranjith Doraiswamy")</f>
        <v>Ranjith Doraiswamy</v>
      </c>
      <c r="C266" s="131">
        <f>IFERROR(__xludf.DUMMYFUNCTION("""COMPUTED_VALUE"""),2.0)</f>
        <v>2</v>
      </c>
      <c r="D266" s="131">
        <f>IFERROR(__xludf.DUMMYFUNCTION("""COMPUTED_VALUE"""),6.0)</f>
        <v>6</v>
      </c>
      <c r="E266" s="131">
        <f>IFERROR(__xludf.DUMMYFUNCTION("""COMPUTED_VALUE"""),3.0)</f>
        <v>3</v>
      </c>
      <c r="F266" s="131">
        <f>IFERROR(__xludf.DUMMYFUNCTION("""COMPUTED_VALUE"""),11.0)</f>
        <v>11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IFERROR(__xludf.DUMMYFUNCTION("""COMPUTED_VALUE"""),"Frank Moon")</f>
        <v>Frank Moon</v>
      </c>
      <c r="C267" s="134">
        <f>IFERROR(__xludf.DUMMYFUNCTION("""COMPUTED_VALUE"""),1.0)</f>
        <v>1</v>
      </c>
      <c r="D267" s="134">
        <f>IFERROR(__xludf.DUMMYFUNCTION("""COMPUTED_VALUE"""),6.0)</f>
        <v>6</v>
      </c>
      <c r="E267" s="134">
        <f>IFERROR(__xludf.DUMMYFUNCTION("""COMPUTED_VALUE"""),6.0)</f>
        <v>6</v>
      </c>
      <c r="F267" s="134">
        <f>IFERROR(__xludf.DUMMYFUNCTION("""COMPUTED_VALUE"""),13.0)</f>
        <v>13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IFERROR(__xludf.DUMMYFUNCTION("""COMPUTED_VALUE"""),"Robert Chang")</f>
        <v>Robert Chang</v>
      </c>
      <c r="C268" s="134">
        <f>IFERROR(__xludf.DUMMYFUNCTION("""COMPUTED_VALUE"""),6.0)</f>
        <v>6</v>
      </c>
      <c r="D268" s="134">
        <f>IFERROR(__xludf.DUMMYFUNCTION("""COMPUTED_VALUE"""),6.0)</f>
        <v>6</v>
      </c>
      <c r="E268" s="134">
        <f>IFERROR(__xludf.DUMMYFUNCTION("""COMPUTED_VALUE"""),3.0)</f>
        <v>3</v>
      </c>
      <c r="F268" s="134">
        <f>IFERROR(__xludf.DUMMYFUNCTION("""COMPUTED_VALUE"""),15.0)</f>
        <v>15</v>
      </c>
      <c r="G268" s="134">
        <f>IFERROR(__xludf.DUMMYFUNCTION("""COMPUTED_VALUE"""),2.0)</f>
        <v>2</v>
      </c>
    </row>
    <row r="269">
      <c r="A269" s="132">
        <f>IFERROR(__xludf.DUMMYFUNCTION("""COMPUTED_VALUE"""),8.0)</f>
        <v>8</v>
      </c>
      <c r="B269" s="133" t="str">
        <f>IFERROR(__xludf.DUMMYFUNCTION("""COMPUTED_VALUE"""),"Eric Tan")</f>
        <v>Eric Tan</v>
      </c>
      <c r="C269" s="134">
        <f>IFERROR(__xludf.DUMMYFUNCTION("""COMPUTED_VALUE"""),1.0)</f>
        <v>1</v>
      </c>
      <c r="D269" s="134">
        <f>IFERROR(__xludf.DUMMYFUNCTION("""COMPUTED_VALUE"""),2.0)</f>
        <v>2</v>
      </c>
      <c r="E269" s="134">
        <f>IFERROR(__xludf.DUMMYFUNCTION("""COMPUTED_VALUE"""),3.0)</f>
        <v>3</v>
      </c>
      <c r="F269" s="134">
        <f>IFERROR(__xludf.DUMMYFUNCTION("""COMPUTED_VALUE"""),6.0)</f>
        <v>6</v>
      </c>
      <c r="G269" s="134">
        <f>IFERROR(__xludf.DUMMYFUNCTION("""COMPUTED_VALUE"""),0.0)</f>
        <v>0</v>
      </c>
    </row>
    <row r="270">
      <c r="A270" s="132">
        <f>IFERROR(__xludf.DUMMYFUNCTION("""COMPUTED_VALUE"""),8.0)</f>
        <v>8</v>
      </c>
      <c r="B270" s="133" t="str">
        <f>IFERROR(__xludf.DUMMYFUNCTION("""COMPUTED_VALUE"""),"Susanta Mishra")</f>
        <v>Susanta Mishra</v>
      </c>
      <c r="C270" s="134">
        <f>IFERROR(__xludf.DUMMYFUNCTION("""COMPUTED_VALUE"""),6.0)</f>
        <v>6</v>
      </c>
      <c r="D270" s="134">
        <f>IFERROR(__xludf.DUMMYFUNCTION("""COMPUTED_VALUE"""),2.0)</f>
        <v>2</v>
      </c>
      <c r="E270" s="134">
        <f>IFERROR(__xludf.DUMMYFUNCTION("""COMPUTED_VALUE"""),6.0)</f>
        <v>6</v>
      </c>
      <c r="F270" s="134">
        <f>IFERROR(__xludf.DUMMYFUNCTION("""COMPUTED_VALUE"""),14.0)</f>
        <v>14</v>
      </c>
      <c r="G270" s="134">
        <f>IFERROR(__xludf.DUMMYFUNCTION("""COMPUTED_VALUE"""),2.0)</f>
        <v>2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46277.0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11.0</v>
      </c>
      <c r="E2" s="2"/>
      <c r="F2" s="2"/>
      <c r="R2" s="19"/>
      <c r="AC2" s="23" t="str">
        <f>TEXT(C1-7,"mm/dd/yy")</f>
        <v>09/05/26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85</v>
      </c>
      <c r="C5" s="37">
        <v>148.0</v>
      </c>
      <c r="D5" s="37">
        <v>20.0</v>
      </c>
      <c r="E5" s="42">
        <f t="shared" ref="E5:E71" si="2">if(S5&gt;0,(C5-(V5*9)-(T5*13))/S5,0)</f>
        <v>14.44444444</v>
      </c>
      <c r="F5" s="89">
        <v>1.0</v>
      </c>
      <c r="G5" s="90">
        <v>1.0</v>
      </c>
      <c r="H5" s="91">
        <v>0.0</v>
      </c>
      <c r="I5" s="90">
        <v>6.0</v>
      </c>
      <c r="J5" s="90">
        <v>4.0</v>
      </c>
      <c r="K5" s="90">
        <v>4.0</v>
      </c>
      <c r="L5" s="92">
        <v>14.0</v>
      </c>
      <c r="M5" s="90">
        <v>1.0</v>
      </c>
      <c r="N5" s="37">
        <f t="shared" ref="N5:O5" si="1">C5+L5</f>
        <v>162</v>
      </c>
      <c r="O5" s="37">
        <f t="shared" si="1"/>
        <v>21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9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2</v>
      </c>
      <c r="W5" s="52">
        <f t="shared" ref="W5:W71" si="7">vlookup(B5,indirect("'" &amp; AC$2 &amp; "'!B5:x71"),23,false)-X5</f>
        <v>2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145.0</v>
      </c>
      <c r="D6" s="37">
        <v>14.0</v>
      </c>
      <c r="E6" s="42">
        <f t="shared" si="2"/>
        <v>13.2</v>
      </c>
      <c r="F6" s="89">
        <v>1.0</v>
      </c>
      <c r="G6" s="90">
        <v>1.0</v>
      </c>
      <c r="H6" s="91">
        <v>0.0</v>
      </c>
      <c r="I6" s="90">
        <v>1.0</v>
      </c>
      <c r="J6" s="90">
        <v>6.0</v>
      </c>
      <c r="K6" s="90">
        <v>4.0</v>
      </c>
      <c r="L6" s="92">
        <v>11.0</v>
      </c>
      <c r="M6" s="90">
        <v>1.0</v>
      </c>
      <c r="N6" s="37">
        <f t="shared" ref="N6:O6" si="3">C6+L6</f>
        <v>156</v>
      </c>
      <c r="O6" s="37">
        <f t="shared" si="3"/>
        <v>15</v>
      </c>
      <c r="P6" s="50" t="s">
        <v>60</v>
      </c>
      <c r="Q6" s="50" t="s">
        <v>60</v>
      </c>
      <c r="R6" s="50" t="s">
        <v>60</v>
      </c>
      <c r="S6" s="51">
        <f t="shared" si="4"/>
        <v>10</v>
      </c>
      <c r="T6" s="52">
        <f t="shared" si="5"/>
        <v>1</v>
      </c>
      <c r="U6" s="52"/>
      <c r="V6" s="51">
        <f t="shared" si="6"/>
        <v>0</v>
      </c>
      <c r="W6" s="52">
        <f t="shared" si="7"/>
        <v>-1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80</v>
      </c>
      <c r="C7" s="37">
        <v>145.0</v>
      </c>
      <c r="D7" s="37">
        <v>12.0</v>
      </c>
      <c r="E7" s="42">
        <f t="shared" si="2"/>
        <v>15</v>
      </c>
      <c r="F7" s="89">
        <v>1.0</v>
      </c>
      <c r="G7" s="90">
        <v>1.0</v>
      </c>
      <c r="H7" s="91">
        <v>0.0</v>
      </c>
      <c r="I7" s="90">
        <v>1.0</v>
      </c>
      <c r="J7" s="90">
        <v>4.0</v>
      </c>
      <c r="K7" s="90">
        <v>6.0</v>
      </c>
      <c r="L7" s="92">
        <v>11.0</v>
      </c>
      <c r="M7" s="90">
        <v>1.0</v>
      </c>
      <c r="N7" s="37">
        <f t="shared" ref="N7:O7" si="11">C7+L7</f>
        <v>156</v>
      </c>
      <c r="O7" s="37">
        <f t="shared" si="11"/>
        <v>13</v>
      </c>
      <c r="P7" s="50" t="s">
        <v>60</v>
      </c>
      <c r="Q7" s="50" t="s">
        <v>60</v>
      </c>
      <c r="R7" s="50" t="s">
        <v>60</v>
      </c>
      <c r="S7" s="51">
        <f t="shared" si="4"/>
        <v>7</v>
      </c>
      <c r="T7" s="52">
        <f t="shared" si="5"/>
        <v>1</v>
      </c>
      <c r="U7" s="52"/>
      <c r="V7" s="51">
        <f t="shared" si="6"/>
        <v>3</v>
      </c>
      <c r="W7" s="52">
        <f t="shared" si="7"/>
        <v>-1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88</v>
      </c>
      <c r="C8" s="37">
        <v>144.0</v>
      </c>
      <c r="D8" s="37">
        <v>16.0</v>
      </c>
      <c r="E8" s="42">
        <f t="shared" si="2"/>
        <v>13.1</v>
      </c>
      <c r="F8" s="89">
        <v>1.0</v>
      </c>
      <c r="G8" s="90">
        <v>1.0</v>
      </c>
      <c r="H8" s="91">
        <v>0.0</v>
      </c>
      <c r="I8" s="90">
        <v>6.0</v>
      </c>
      <c r="J8" s="90">
        <v>6.0</v>
      </c>
      <c r="K8" s="90">
        <v>6.0</v>
      </c>
      <c r="L8" s="92">
        <v>18.0</v>
      </c>
      <c r="M8" s="90">
        <v>3.0</v>
      </c>
      <c r="N8" s="37">
        <f t="shared" ref="N8:O8" si="13">C8+L8</f>
        <v>162</v>
      </c>
      <c r="O8" s="37">
        <f t="shared" si="13"/>
        <v>19</v>
      </c>
      <c r="P8" s="50" t="s">
        <v>60</v>
      </c>
      <c r="Q8" s="50" t="s">
        <v>60</v>
      </c>
      <c r="R8" s="50" t="s">
        <v>60</v>
      </c>
      <c r="S8" s="51">
        <f t="shared" si="4"/>
        <v>10</v>
      </c>
      <c r="T8" s="52">
        <f t="shared" si="5"/>
        <v>1</v>
      </c>
      <c r="U8" s="52"/>
      <c r="V8" s="51">
        <f t="shared" si="6"/>
        <v>0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74</v>
      </c>
      <c r="C9" s="37">
        <v>143.0</v>
      </c>
      <c r="D9" s="37">
        <v>14.0</v>
      </c>
      <c r="E9" s="42">
        <f t="shared" si="2"/>
        <v>13.44444444</v>
      </c>
      <c r="F9" s="89">
        <v>1.0</v>
      </c>
      <c r="G9" s="90">
        <v>2.0</v>
      </c>
      <c r="H9" s="91">
        <v>0.0</v>
      </c>
      <c r="I9" s="90">
        <v>7.0</v>
      </c>
      <c r="J9" s="90">
        <v>6.0</v>
      </c>
      <c r="K9" s="90">
        <v>6.0</v>
      </c>
      <c r="L9" s="92">
        <v>19.0</v>
      </c>
      <c r="M9" s="90">
        <v>2.0</v>
      </c>
      <c r="N9" s="37">
        <f t="shared" ref="N9:O9" si="14">C9+L9</f>
        <v>162</v>
      </c>
      <c r="O9" s="37">
        <f t="shared" si="14"/>
        <v>16</v>
      </c>
      <c r="P9" s="50" t="s">
        <v>60</v>
      </c>
      <c r="Q9" s="50" t="s">
        <v>60</v>
      </c>
      <c r="R9" s="50" t="s">
        <v>60</v>
      </c>
      <c r="S9" s="51">
        <f t="shared" si="4"/>
        <v>9</v>
      </c>
      <c r="T9" s="52">
        <f t="shared" si="5"/>
        <v>1</v>
      </c>
      <c r="U9" s="52"/>
      <c r="V9" s="51">
        <f t="shared" si="6"/>
        <v>1</v>
      </c>
      <c r="W9" s="52">
        <f t="shared" si="7"/>
        <v>3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68</v>
      </c>
      <c r="C10" s="37">
        <v>142.0</v>
      </c>
      <c r="D10" s="37">
        <v>16.0</v>
      </c>
      <c r="E10" s="42">
        <f t="shared" si="2"/>
        <v>14.375</v>
      </c>
      <c r="F10" s="89">
        <v>1.0</v>
      </c>
      <c r="G10" s="90">
        <v>2.0</v>
      </c>
      <c r="H10" s="91">
        <v>0.0</v>
      </c>
      <c r="I10" s="90">
        <v>6.0</v>
      </c>
      <c r="J10" s="90">
        <v>7.0</v>
      </c>
      <c r="K10" s="90">
        <v>6.0</v>
      </c>
      <c r="L10" s="92">
        <v>19.0</v>
      </c>
      <c r="M10" s="90">
        <v>2.0</v>
      </c>
      <c r="N10" s="37">
        <f t="shared" ref="N10:O10" si="15">C10+L10</f>
        <v>161</v>
      </c>
      <c r="O10" s="37">
        <f t="shared" si="15"/>
        <v>18</v>
      </c>
      <c r="P10" s="50" t="s">
        <v>60</v>
      </c>
      <c r="Q10" s="50" t="s">
        <v>60</v>
      </c>
      <c r="R10" s="50" t="s">
        <v>60</v>
      </c>
      <c r="S10" s="51">
        <f t="shared" si="4"/>
        <v>8</v>
      </c>
      <c r="T10" s="52">
        <f t="shared" si="5"/>
        <v>0</v>
      </c>
      <c r="U10" s="52"/>
      <c r="V10" s="51">
        <f t="shared" si="6"/>
        <v>3</v>
      </c>
      <c r="W10" s="52">
        <f t="shared" si="7"/>
        <v>0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93</v>
      </c>
      <c r="C11" s="37">
        <v>142.0</v>
      </c>
      <c r="D11" s="37">
        <v>10.0</v>
      </c>
      <c r="E11" s="42">
        <f t="shared" si="2"/>
        <v>13.5</v>
      </c>
      <c r="F11" s="89">
        <v>1.0</v>
      </c>
      <c r="G11" s="90">
        <v>2.0</v>
      </c>
      <c r="H11" s="91">
        <v>0.0</v>
      </c>
      <c r="I11" s="90">
        <v>6.0</v>
      </c>
      <c r="J11" s="90">
        <v>6.0</v>
      </c>
      <c r="K11" s="90">
        <v>1.0</v>
      </c>
      <c r="L11" s="92">
        <v>13.0</v>
      </c>
      <c r="M11" s="90">
        <v>0.0</v>
      </c>
      <c r="N11" s="37">
        <f t="shared" ref="N11:O11" si="16">C11+L11</f>
        <v>155</v>
      </c>
      <c r="O11" s="37">
        <f t="shared" si="16"/>
        <v>10</v>
      </c>
      <c r="P11" s="50" t="s">
        <v>60</v>
      </c>
      <c r="Q11" s="50" t="s">
        <v>60</v>
      </c>
      <c r="R11" s="50" t="s">
        <v>60</v>
      </c>
      <c r="S11" s="51">
        <f t="shared" si="4"/>
        <v>6</v>
      </c>
      <c r="T11" s="52">
        <f t="shared" si="5"/>
        <v>4</v>
      </c>
      <c r="U11" s="52"/>
      <c r="V11" s="51">
        <f t="shared" si="6"/>
        <v>1</v>
      </c>
      <c r="W11" s="52">
        <f t="shared" si="7"/>
        <v>-2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91</v>
      </c>
      <c r="C12" s="37">
        <v>140.0</v>
      </c>
      <c r="D12" s="37">
        <v>10.0</v>
      </c>
      <c r="E12" s="42">
        <f t="shared" si="2"/>
        <v>13.14285714</v>
      </c>
      <c r="F12" s="89">
        <v>1.0</v>
      </c>
      <c r="G12" s="90">
        <v>2.0</v>
      </c>
      <c r="H12" s="91">
        <v>0.0</v>
      </c>
      <c r="I12" s="90">
        <v>7.0</v>
      </c>
      <c r="J12" s="90">
        <v>7.0</v>
      </c>
      <c r="K12" s="90">
        <v>1.0</v>
      </c>
      <c r="L12" s="92">
        <v>15.0</v>
      </c>
      <c r="M12" s="90">
        <v>2.0</v>
      </c>
      <c r="N12" s="37">
        <f t="shared" ref="N12:O12" si="17">C12+L12</f>
        <v>155</v>
      </c>
      <c r="O12" s="37">
        <f t="shared" si="17"/>
        <v>12</v>
      </c>
      <c r="P12" s="50" t="s">
        <v>60</v>
      </c>
      <c r="Q12" s="50" t="s">
        <v>60</v>
      </c>
      <c r="R12" s="50" t="s">
        <v>60</v>
      </c>
      <c r="S12" s="51">
        <f t="shared" si="4"/>
        <v>7</v>
      </c>
      <c r="T12" s="52">
        <f t="shared" si="5"/>
        <v>3</v>
      </c>
      <c r="U12" s="52"/>
      <c r="V12" s="51">
        <f t="shared" si="6"/>
        <v>1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92</v>
      </c>
      <c r="C13" s="37">
        <v>139.0</v>
      </c>
      <c r="D13" s="37">
        <v>14.0</v>
      </c>
      <c r="E13" s="42">
        <f t="shared" si="2"/>
        <v>16.2</v>
      </c>
      <c r="F13" s="89">
        <v>3.0</v>
      </c>
      <c r="G13" s="90">
        <v>0.0</v>
      </c>
      <c r="H13" s="91">
        <v>9.0</v>
      </c>
      <c r="I13" s="90">
        <v>0.0</v>
      </c>
      <c r="J13" s="90">
        <v>0.0</v>
      </c>
      <c r="K13" s="90">
        <v>0.0</v>
      </c>
      <c r="L13" s="92">
        <v>9.0</v>
      </c>
      <c r="M13" s="90">
        <v>0.0</v>
      </c>
      <c r="N13" s="37">
        <f t="shared" ref="N13:O13" si="18">C13+L13</f>
        <v>148</v>
      </c>
      <c r="O13" s="37">
        <f t="shared" si="18"/>
        <v>14</v>
      </c>
      <c r="P13" s="50" t="s">
        <v>60</v>
      </c>
      <c r="Q13" s="50" t="s">
        <v>60</v>
      </c>
      <c r="R13" s="50" t="s">
        <v>60</v>
      </c>
      <c r="S13" s="51">
        <f t="shared" si="4"/>
        <v>5</v>
      </c>
      <c r="T13" s="52">
        <f t="shared" si="5"/>
        <v>1</v>
      </c>
      <c r="U13" s="52"/>
      <c r="V13" s="51">
        <f t="shared" si="6"/>
        <v>5</v>
      </c>
      <c r="W13" s="52">
        <f t="shared" si="7"/>
        <v>3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97</v>
      </c>
      <c r="C14" s="37">
        <v>139.0</v>
      </c>
      <c r="D14" s="37">
        <v>12.0</v>
      </c>
      <c r="E14" s="42">
        <f t="shared" si="2"/>
        <v>12.63636364</v>
      </c>
      <c r="F14" s="89">
        <v>1.0</v>
      </c>
      <c r="G14" s="90">
        <v>3.0</v>
      </c>
      <c r="H14" s="91">
        <v>0.0</v>
      </c>
      <c r="I14" s="90">
        <v>3.0</v>
      </c>
      <c r="J14" s="90">
        <v>5.0</v>
      </c>
      <c r="K14" s="90">
        <v>6.0</v>
      </c>
      <c r="L14" s="92">
        <v>14.0</v>
      </c>
      <c r="M14" s="90">
        <v>1.0</v>
      </c>
      <c r="N14" s="37">
        <f t="shared" ref="N14:O14" si="19">C14+L14</f>
        <v>153</v>
      </c>
      <c r="O14" s="37">
        <f t="shared" si="19"/>
        <v>13</v>
      </c>
      <c r="P14" s="50" t="s">
        <v>60</v>
      </c>
      <c r="Q14" s="50" t="s">
        <v>60</v>
      </c>
      <c r="R14" s="50" t="s">
        <v>60</v>
      </c>
      <c r="S14" s="51">
        <f t="shared" si="4"/>
        <v>11</v>
      </c>
      <c r="T14" s="52">
        <f t="shared" si="5"/>
        <v>0</v>
      </c>
      <c r="U14" s="52"/>
      <c r="V14" s="51">
        <f t="shared" si="6"/>
        <v>0</v>
      </c>
      <c r="W14" s="52">
        <f t="shared" si="7"/>
        <v>-1</v>
      </c>
      <c r="X14" s="35">
        <f t="shared" si="12"/>
        <v>10</v>
      </c>
      <c r="Y14" s="35" t="str">
        <f t="shared" si="8"/>
        <v>Y</v>
      </c>
      <c r="Z14" s="22" t="str">
        <f t="shared" si="9"/>
        <v/>
      </c>
    </row>
    <row r="15">
      <c r="A15" s="35">
        <f t="shared" si="10"/>
        <v>11</v>
      </c>
      <c r="B15" s="36" t="s">
        <v>131</v>
      </c>
      <c r="C15" s="37">
        <v>136.0</v>
      </c>
      <c r="D15" s="37">
        <v>13.0</v>
      </c>
      <c r="E15" s="42">
        <f t="shared" si="2"/>
        <v>12.22222222</v>
      </c>
      <c r="F15" s="89">
        <v>5.0</v>
      </c>
      <c r="G15" s="90">
        <v>0.0</v>
      </c>
      <c r="H15" s="91">
        <v>13.0</v>
      </c>
      <c r="I15" s="90">
        <v>0.0</v>
      </c>
      <c r="J15" s="90">
        <v>0.0</v>
      </c>
      <c r="K15" s="90">
        <v>0.0</v>
      </c>
      <c r="L15" s="92">
        <v>13.0</v>
      </c>
      <c r="M15" s="90">
        <v>0.0</v>
      </c>
      <c r="N15" s="37">
        <f t="shared" ref="N15:O15" si="20">C15+L15</f>
        <v>149</v>
      </c>
      <c r="O15" s="37">
        <f t="shared" si="20"/>
        <v>13</v>
      </c>
      <c r="P15" s="50" t="s">
        <v>60</v>
      </c>
      <c r="Q15" s="50" t="s">
        <v>60</v>
      </c>
      <c r="R15" s="50" t="s">
        <v>60</v>
      </c>
      <c r="S15" s="51">
        <f t="shared" si="4"/>
        <v>9</v>
      </c>
      <c r="T15" s="52">
        <f t="shared" si="5"/>
        <v>2</v>
      </c>
      <c r="U15" s="52"/>
      <c r="V15" s="51">
        <f t="shared" si="6"/>
        <v>0</v>
      </c>
      <c r="W15" s="52">
        <f t="shared" si="7"/>
        <v>0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126</v>
      </c>
      <c r="C16" s="37">
        <v>136.0</v>
      </c>
      <c r="D16" s="37">
        <v>12.0</v>
      </c>
      <c r="E16" s="42">
        <f t="shared" si="2"/>
        <v>14.5</v>
      </c>
      <c r="F16" s="89">
        <v>3.0</v>
      </c>
      <c r="G16" s="90">
        <v>0.0</v>
      </c>
      <c r="H16" s="91">
        <v>9.0</v>
      </c>
      <c r="I16" s="90">
        <v>0.0</v>
      </c>
      <c r="J16" s="90">
        <v>0.0</v>
      </c>
      <c r="K16" s="90">
        <v>0.0</v>
      </c>
      <c r="L16" s="92">
        <v>9.0</v>
      </c>
      <c r="M16" s="90">
        <v>0.0</v>
      </c>
      <c r="N16" s="37">
        <f t="shared" ref="N16:O16" si="21">C16+L16</f>
        <v>145</v>
      </c>
      <c r="O16" s="37">
        <f t="shared" si="21"/>
        <v>12</v>
      </c>
      <c r="P16" s="50" t="s">
        <v>60</v>
      </c>
      <c r="Q16" s="50" t="s">
        <v>60</v>
      </c>
      <c r="R16" s="50" t="s">
        <v>60</v>
      </c>
      <c r="S16" s="51">
        <f t="shared" si="4"/>
        <v>6</v>
      </c>
      <c r="T16" s="52">
        <f t="shared" si="5"/>
        <v>1</v>
      </c>
      <c r="U16" s="52"/>
      <c r="V16" s="51">
        <f t="shared" si="6"/>
        <v>4</v>
      </c>
      <c r="W16" s="52">
        <f t="shared" si="7"/>
        <v>7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107</v>
      </c>
      <c r="C17" s="37">
        <v>134.0</v>
      </c>
      <c r="D17" s="37">
        <v>10.0</v>
      </c>
      <c r="E17" s="42">
        <f t="shared" si="2"/>
        <v>13.5</v>
      </c>
      <c r="F17" s="89">
        <v>2.0</v>
      </c>
      <c r="G17" s="90">
        <v>3.0</v>
      </c>
      <c r="H17" s="91">
        <v>0.0</v>
      </c>
      <c r="I17" s="90">
        <v>6.0</v>
      </c>
      <c r="J17" s="90">
        <v>7.0</v>
      </c>
      <c r="K17" s="90">
        <v>6.0</v>
      </c>
      <c r="L17" s="92">
        <v>19.0</v>
      </c>
      <c r="M17" s="90">
        <v>3.0</v>
      </c>
      <c r="N17" s="37">
        <f t="shared" ref="N17:O17" si="22">C17+L17</f>
        <v>153</v>
      </c>
      <c r="O17" s="37">
        <f t="shared" si="22"/>
        <v>13</v>
      </c>
      <c r="P17" s="50" t="s">
        <v>60</v>
      </c>
      <c r="Q17" s="50" t="s">
        <v>60</v>
      </c>
      <c r="R17" s="50" t="s">
        <v>60</v>
      </c>
      <c r="S17" s="51">
        <f t="shared" si="4"/>
        <v>6</v>
      </c>
      <c r="T17" s="52">
        <f t="shared" si="5"/>
        <v>2</v>
      </c>
      <c r="U17" s="52"/>
      <c r="V17" s="51">
        <f t="shared" si="6"/>
        <v>3</v>
      </c>
      <c r="W17" s="52">
        <f t="shared" si="7"/>
        <v>8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122</v>
      </c>
      <c r="C18" s="37">
        <v>133.0</v>
      </c>
      <c r="D18" s="37">
        <v>13.0</v>
      </c>
      <c r="E18" s="42">
        <f t="shared" si="2"/>
        <v>14</v>
      </c>
      <c r="F18" s="89">
        <v>3.0</v>
      </c>
      <c r="G18" s="90">
        <v>0.0</v>
      </c>
      <c r="H18" s="91">
        <v>9.0</v>
      </c>
      <c r="I18" s="90">
        <v>0.0</v>
      </c>
      <c r="J18" s="90">
        <v>0.0</v>
      </c>
      <c r="K18" s="90">
        <v>0.0</v>
      </c>
      <c r="L18" s="92">
        <v>9.0</v>
      </c>
      <c r="M18" s="90">
        <v>0.0</v>
      </c>
      <c r="N18" s="37">
        <f t="shared" ref="N18:O18" si="23">C18+L18</f>
        <v>142</v>
      </c>
      <c r="O18" s="37">
        <f t="shared" si="23"/>
        <v>13</v>
      </c>
      <c r="P18" s="50" t="s">
        <v>60</v>
      </c>
      <c r="Q18" s="50" t="s">
        <v>60</v>
      </c>
      <c r="R18" s="50" t="s">
        <v>60</v>
      </c>
      <c r="S18" s="51">
        <f t="shared" si="4"/>
        <v>6</v>
      </c>
      <c r="T18" s="52">
        <f t="shared" si="5"/>
        <v>1</v>
      </c>
      <c r="U18" s="52"/>
      <c r="V18" s="51">
        <f t="shared" si="6"/>
        <v>4</v>
      </c>
      <c r="W18" s="52">
        <f t="shared" si="7"/>
        <v>1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108</v>
      </c>
      <c r="C19" s="37">
        <v>133.0</v>
      </c>
      <c r="D19" s="37">
        <v>7.0</v>
      </c>
      <c r="E19" s="42">
        <f t="shared" si="2"/>
        <v>11.57142857</v>
      </c>
      <c r="F19" s="89">
        <v>1.0</v>
      </c>
      <c r="G19" s="90">
        <v>3.0</v>
      </c>
      <c r="H19" s="91">
        <v>0.0</v>
      </c>
      <c r="I19" s="90">
        <v>6.0</v>
      </c>
      <c r="J19" s="90">
        <v>5.0</v>
      </c>
      <c r="K19" s="90">
        <v>3.0</v>
      </c>
      <c r="L19" s="92">
        <v>14.0</v>
      </c>
      <c r="M19" s="90">
        <v>1.0</v>
      </c>
      <c r="N19" s="37">
        <f t="shared" ref="N19:O19" si="24">C19+L19</f>
        <v>147</v>
      </c>
      <c r="O19" s="37">
        <f t="shared" si="24"/>
        <v>8</v>
      </c>
      <c r="P19" s="50" t="s">
        <v>60</v>
      </c>
      <c r="Q19" s="50" t="s">
        <v>60</v>
      </c>
      <c r="R19" s="50" t="s">
        <v>60</v>
      </c>
      <c r="S19" s="51">
        <f t="shared" si="4"/>
        <v>7</v>
      </c>
      <c r="T19" s="52">
        <f t="shared" si="5"/>
        <v>4</v>
      </c>
      <c r="U19" s="52"/>
      <c r="V19" s="51">
        <f t="shared" si="6"/>
        <v>0</v>
      </c>
      <c r="W19" s="52">
        <f t="shared" si="7"/>
        <v>2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118</v>
      </c>
      <c r="C20" s="37">
        <v>132.0</v>
      </c>
      <c r="D20" s="37">
        <v>12.0</v>
      </c>
      <c r="E20" s="42">
        <f t="shared" si="2"/>
        <v>11.77777778</v>
      </c>
      <c r="F20" s="89">
        <v>1.0</v>
      </c>
      <c r="G20" s="90">
        <v>3.0</v>
      </c>
      <c r="H20" s="91">
        <v>0.0</v>
      </c>
      <c r="I20" s="90">
        <v>3.0</v>
      </c>
      <c r="J20" s="90">
        <v>7.0</v>
      </c>
      <c r="K20" s="90">
        <v>3.0</v>
      </c>
      <c r="L20" s="92">
        <v>13.0</v>
      </c>
      <c r="M20" s="90">
        <v>1.0</v>
      </c>
      <c r="N20" s="37">
        <f t="shared" ref="N20:O20" si="25">C20+L20</f>
        <v>145</v>
      </c>
      <c r="O20" s="37">
        <f t="shared" si="25"/>
        <v>13</v>
      </c>
      <c r="P20" s="50" t="s">
        <v>60</v>
      </c>
      <c r="Q20" s="50" t="s">
        <v>60</v>
      </c>
      <c r="R20" s="50" t="s">
        <v>60</v>
      </c>
      <c r="S20" s="51">
        <f t="shared" si="4"/>
        <v>9</v>
      </c>
      <c r="T20" s="52">
        <f t="shared" si="5"/>
        <v>2</v>
      </c>
      <c r="U20" s="52"/>
      <c r="V20" s="51">
        <f t="shared" si="6"/>
        <v>0</v>
      </c>
      <c r="W20" s="52">
        <f t="shared" si="7"/>
        <v>2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115</v>
      </c>
      <c r="C21" s="37">
        <v>132.0</v>
      </c>
      <c r="D21" s="37">
        <v>10.0</v>
      </c>
      <c r="E21" s="42">
        <f t="shared" si="2"/>
        <v>12.625</v>
      </c>
      <c r="F21" s="89">
        <v>1.0</v>
      </c>
      <c r="G21" s="90">
        <v>4.0</v>
      </c>
      <c r="H21" s="91">
        <v>0.0</v>
      </c>
      <c r="I21" s="90">
        <v>4.0</v>
      </c>
      <c r="J21" s="90">
        <v>4.0</v>
      </c>
      <c r="K21" s="90">
        <v>2.0</v>
      </c>
      <c r="L21" s="92">
        <v>10.0</v>
      </c>
      <c r="M21" s="90">
        <v>0.0</v>
      </c>
      <c r="N21" s="37">
        <f t="shared" ref="N21:O21" si="26">C21+L21</f>
        <v>142</v>
      </c>
      <c r="O21" s="37">
        <f t="shared" si="26"/>
        <v>10</v>
      </c>
      <c r="P21" s="50" t="s">
        <v>60</v>
      </c>
      <c r="Q21" s="50" t="s">
        <v>60</v>
      </c>
      <c r="R21" s="50" t="s">
        <v>60</v>
      </c>
      <c r="S21" s="51">
        <f t="shared" si="4"/>
        <v>8</v>
      </c>
      <c r="T21" s="52">
        <f t="shared" si="5"/>
        <v>1</v>
      </c>
      <c r="U21" s="52"/>
      <c r="V21" s="51">
        <f t="shared" si="6"/>
        <v>2</v>
      </c>
      <c r="W21" s="52">
        <f t="shared" si="7"/>
        <v>-4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121</v>
      </c>
      <c r="C22" s="37">
        <v>130.0</v>
      </c>
      <c r="D22" s="37">
        <v>13.0</v>
      </c>
      <c r="E22" s="42">
        <f t="shared" si="2"/>
        <v>14.16666667</v>
      </c>
      <c r="F22" s="89">
        <v>1.0</v>
      </c>
      <c r="G22" s="90">
        <v>4.0</v>
      </c>
      <c r="H22" s="91">
        <v>0.0</v>
      </c>
      <c r="I22" s="90">
        <v>6.0</v>
      </c>
      <c r="J22" s="90">
        <v>6.0</v>
      </c>
      <c r="K22" s="90">
        <v>2.0</v>
      </c>
      <c r="L22" s="92">
        <v>14.0</v>
      </c>
      <c r="M22" s="90">
        <v>2.0</v>
      </c>
      <c r="N22" s="37">
        <f t="shared" ref="N22:O22" si="27">C22+L22</f>
        <v>144</v>
      </c>
      <c r="O22" s="37">
        <f t="shared" si="27"/>
        <v>15</v>
      </c>
      <c r="P22" s="50" t="s">
        <v>60</v>
      </c>
      <c r="Q22" s="50" t="s">
        <v>60</v>
      </c>
      <c r="R22" s="50" t="s">
        <v>60</v>
      </c>
      <c r="S22" s="51">
        <f t="shared" si="4"/>
        <v>6</v>
      </c>
      <c r="T22" s="52">
        <f t="shared" si="5"/>
        <v>0</v>
      </c>
      <c r="U22" s="52"/>
      <c r="V22" s="51">
        <f t="shared" si="6"/>
        <v>5</v>
      </c>
      <c r="W22" s="52">
        <f t="shared" si="7"/>
        <v>-8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140</v>
      </c>
      <c r="C23" s="37">
        <v>130.0</v>
      </c>
      <c r="D23" s="37">
        <v>13.0</v>
      </c>
      <c r="E23" s="42">
        <f t="shared" si="2"/>
        <v>11.81818182</v>
      </c>
      <c r="F23" s="89">
        <v>1.0</v>
      </c>
      <c r="G23" s="90">
        <v>4.0</v>
      </c>
      <c r="H23" s="91">
        <v>0.0</v>
      </c>
      <c r="I23" s="90">
        <v>6.0</v>
      </c>
      <c r="J23" s="90">
        <v>4.0</v>
      </c>
      <c r="K23" s="90">
        <v>6.0</v>
      </c>
      <c r="L23" s="92">
        <v>16.0</v>
      </c>
      <c r="M23" s="90">
        <v>2.0</v>
      </c>
      <c r="N23" s="37">
        <f t="shared" ref="N23:O23" si="28">C23+L23</f>
        <v>146</v>
      </c>
      <c r="O23" s="37">
        <f t="shared" si="28"/>
        <v>15</v>
      </c>
      <c r="P23" s="50" t="s">
        <v>60</v>
      </c>
      <c r="Q23" s="50" t="s">
        <v>60</v>
      </c>
      <c r="R23" s="50" t="s">
        <v>60</v>
      </c>
      <c r="S23" s="51">
        <f t="shared" si="4"/>
        <v>11</v>
      </c>
      <c r="T23" s="52">
        <f t="shared" si="5"/>
        <v>0</v>
      </c>
      <c r="U23" s="52"/>
      <c r="V23" s="51">
        <f t="shared" si="6"/>
        <v>0</v>
      </c>
      <c r="W23" s="52">
        <f t="shared" si="7"/>
        <v>-3</v>
      </c>
      <c r="X23" s="35">
        <f t="shared" si="12"/>
        <v>19</v>
      </c>
      <c r="Y23" s="35" t="str">
        <f t="shared" si="8"/>
        <v>Y</v>
      </c>
      <c r="Z23" s="22" t="str">
        <f t="shared" si="9"/>
        <v/>
      </c>
    </row>
    <row r="24">
      <c r="A24" s="35">
        <f t="shared" si="10"/>
        <v>20</v>
      </c>
      <c r="B24" s="36" t="s">
        <v>113</v>
      </c>
      <c r="C24" s="37">
        <v>130.0</v>
      </c>
      <c r="D24" s="37">
        <v>9.0</v>
      </c>
      <c r="E24" s="42">
        <f t="shared" si="2"/>
        <v>12.375</v>
      </c>
      <c r="F24" s="89">
        <v>1.0</v>
      </c>
      <c r="G24" s="90">
        <v>4.0</v>
      </c>
      <c r="H24" s="91">
        <v>0.0</v>
      </c>
      <c r="I24" s="90">
        <v>4.0</v>
      </c>
      <c r="J24" s="90">
        <v>6.0</v>
      </c>
      <c r="K24" s="90">
        <v>6.0</v>
      </c>
      <c r="L24" s="92">
        <v>16.0</v>
      </c>
      <c r="M24" s="90">
        <v>2.0</v>
      </c>
      <c r="N24" s="37">
        <f t="shared" ref="N24:O24" si="29">C24+L24</f>
        <v>146</v>
      </c>
      <c r="O24" s="37">
        <f t="shared" si="29"/>
        <v>11</v>
      </c>
      <c r="P24" s="50" t="s">
        <v>60</v>
      </c>
      <c r="Q24" s="50" t="s">
        <v>60</v>
      </c>
      <c r="R24" s="50" t="s">
        <v>60</v>
      </c>
      <c r="S24" s="51">
        <f t="shared" si="4"/>
        <v>8</v>
      </c>
      <c r="T24" s="52">
        <f t="shared" si="5"/>
        <v>1</v>
      </c>
      <c r="U24" s="52"/>
      <c r="V24" s="51">
        <f t="shared" si="6"/>
        <v>2</v>
      </c>
      <c r="W24" s="52">
        <f t="shared" si="7"/>
        <v>-6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98</v>
      </c>
      <c r="C25" s="37">
        <v>129.0</v>
      </c>
      <c r="D25" s="37">
        <v>12.0</v>
      </c>
      <c r="E25" s="42">
        <f t="shared" si="2"/>
        <v>12</v>
      </c>
      <c r="F25" s="89">
        <v>1.0</v>
      </c>
      <c r="G25" s="90">
        <v>5.0</v>
      </c>
      <c r="H25" s="91">
        <v>0.0</v>
      </c>
      <c r="I25" s="90">
        <v>2.0</v>
      </c>
      <c r="J25" s="90">
        <v>6.0</v>
      </c>
      <c r="K25" s="90">
        <v>6.0</v>
      </c>
      <c r="L25" s="92">
        <v>14.0</v>
      </c>
      <c r="M25" s="90">
        <v>2.0</v>
      </c>
      <c r="N25" s="37">
        <f t="shared" ref="N25:O25" si="30">C25+L25</f>
        <v>143</v>
      </c>
      <c r="O25" s="37">
        <f t="shared" si="30"/>
        <v>14</v>
      </c>
      <c r="P25" s="50" t="s">
        <v>60</v>
      </c>
      <c r="Q25" s="50" t="s">
        <v>60</v>
      </c>
      <c r="R25" s="50" t="s">
        <v>60</v>
      </c>
      <c r="S25" s="51">
        <f t="shared" si="4"/>
        <v>10</v>
      </c>
      <c r="T25" s="52">
        <f t="shared" si="5"/>
        <v>0</v>
      </c>
      <c r="U25" s="52"/>
      <c r="V25" s="51">
        <f t="shared" si="6"/>
        <v>1</v>
      </c>
      <c r="W25" s="52">
        <f t="shared" si="7"/>
        <v>1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81</v>
      </c>
      <c r="C26" s="37">
        <v>128.0</v>
      </c>
      <c r="D26" s="37">
        <v>11.0</v>
      </c>
      <c r="E26" s="42">
        <f t="shared" si="2"/>
        <v>14.8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137</v>
      </c>
      <c r="O26" s="37">
        <f t="shared" si="31"/>
        <v>11</v>
      </c>
      <c r="P26" s="50" t="s">
        <v>60</v>
      </c>
      <c r="Q26" s="50" t="s">
        <v>60</v>
      </c>
      <c r="R26" s="50" t="s">
        <v>60</v>
      </c>
      <c r="S26" s="51">
        <f t="shared" si="4"/>
        <v>5</v>
      </c>
      <c r="T26" s="52">
        <f t="shared" si="5"/>
        <v>0</v>
      </c>
      <c r="U26" s="52"/>
      <c r="V26" s="51">
        <f t="shared" si="6"/>
        <v>6</v>
      </c>
      <c r="W26" s="52">
        <f t="shared" si="7"/>
        <v>2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87</v>
      </c>
      <c r="C27" s="37">
        <v>128.0</v>
      </c>
      <c r="D27" s="37">
        <v>9.0</v>
      </c>
      <c r="E27" s="42">
        <f t="shared" si="2"/>
        <v>11.5</v>
      </c>
      <c r="F27" s="89">
        <v>1.0</v>
      </c>
      <c r="G27" s="90">
        <v>5.0</v>
      </c>
      <c r="H27" s="91">
        <v>0.0</v>
      </c>
      <c r="I27" s="90">
        <v>2.0</v>
      </c>
      <c r="J27" s="90">
        <v>4.0</v>
      </c>
      <c r="K27" s="90">
        <v>3.0</v>
      </c>
      <c r="L27" s="92">
        <v>9.0</v>
      </c>
      <c r="M27" s="90">
        <v>0.0</v>
      </c>
      <c r="N27" s="37">
        <f t="shared" ref="N27:O27" si="32">C27+L27</f>
        <v>137</v>
      </c>
      <c r="O27" s="37">
        <f t="shared" si="32"/>
        <v>9</v>
      </c>
      <c r="P27" s="50" t="s">
        <v>60</v>
      </c>
      <c r="Q27" s="50" t="s">
        <v>60</v>
      </c>
      <c r="R27" s="50" t="s">
        <v>60</v>
      </c>
      <c r="S27" s="51">
        <f t="shared" si="4"/>
        <v>10</v>
      </c>
      <c r="T27" s="52">
        <f t="shared" si="5"/>
        <v>1</v>
      </c>
      <c r="U27" s="52"/>
      <c r="V27" s="51">
        <f t="shared" si="6"/>
        <v>0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135</v>
      </c>
      <c r="C28" s="37">
        <v>127.0</v>
      </c>
      <c r="D28" s="37">
        <v>14.0</v>
      </c>
      <c r="E28" s="42">
        <f t="shared" si="2"/>
        <v>12.11111111</v>
      </c>
      <c r="F28" s="89">
        <v>1.0</v>
      </c>
      <c r="G28" s="90">
        <v>5.0</v>
      </c>
      <c r="H28" s="91">
        <v>0.0</v>
      </c>
      <c r="I28" s="90">
        <v>6.0</v>
      </c>
      <c r="J28" s="90">
        <v>4.0</v>
      </c>
      <c r="K28" s="90">
        <v>6.0</v>
      </c>
      <c r="L28" s="92">
        <v>16.0</v>
      </c>
      <c r="M28" s="90">
        <v>2.0</v>
      </c>
      <c r="N28" s="37">
        <f t="shared" ref="N28:O28" si="33">C28+L28</f>
        <v>143</v>
      </c>
      <c r="O28" s="37">
        <f t="shared" si="33"/>
        <v>16</v>
      </c>
      <c r="P28" s="50" t="s">
        <v>60</v>
      </c>
      <c r="Q28" s="50" t="s">
        <v>60</v>
      </c>
      <c r="R28" s="50" t="s">
        <v>60</v>
      </c>
      <c r="S28" s="51">
        <f t="shared" si="4"/>
        <v>9</v>
      </c>
      <c r="T28" s="52">
        <f t="shared" si="5"/>
        <v>0</v>
      </c>
      <c r="U28" s="52"/>
      <c r="V28" s="51">
        <f t="shared" si="6"/>
        <v>2</v>
      </c>
      <c r="W28" s="52">
        <f t="shared" si="7"/>
        <v>1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101</v>
      </c>
      <c r="C29" s="37">
        <v>125.0</v>
      </c>
      <c r="D29" s="37">
        <v>13.0</v>
      </c>
      <c r="E29" s="42">
        <f t="shared" si="2"/>
        <v>11.6</v>
      </c>
      <c r="F29" s="89">
        <v>1.0</v>
      </c>
      <c r="G29" s="90">
        <v>5.0</v>
      </c>
      <c r="H29" s="91">
        <v>0.0</v>
      </c>
      <c r="I29" s="90">
        <v>6.0</v>
      </c>
      <c r="J29" s="90">
        <v>6.0</v>
      </c>
      <c r="K29" s="90">
        <v>3.0</v>
      </c>
      <c r="L29" s="92">
        <v>15.0</v>
      </c>
      <c r="M29" s="90">
        <v>2.0</v>
      </c>
      <c r="N29" s="37">
        <f t="shared" ref="N29:O29" si="34">C29+L29</f>
        <v>140</v>
      </c>
      <c r="O29" s="37">
        <f t="shared" si="34"/>
        <v>15</v>
      </c>
      <c r="P29" s="50" t="s">
        <v>60</v>
      </c>
      <c r="Q29" s="50" t="s">
        <v>60</v>
      </c>
      <c r="R29" s="50" t="s">
        <v>60</v>
      </c>
      <c r="S29" s="51">
        <f t="shared" si="4"/>
        <v>10</v>
      </c>
      <c r="T29" s="52">
        <f t="shared" si="5"/>
        <v>0</v>
      </c>
      <c r="U29" s="52"/>
      <c r="V29" s="51">
        <f t="shared" si="6"/>
        <v>1</v>
      </c>
      <c r="W29" s="52">
        <f t="shared" si="7"/>
        <v>1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136</v>
      </c>
      <c r="C30" s="37">
        <v>124.0</v>
      </c>
      <c r="D30" s="37">
        <v>9.0</v>
      </c>
      <c r="E30" s="42">
        <f t="shared" si="2"/>
        <v>11.125</v>
      </c>
      <c r="F30" s="89">
        <v>5.0</v>
      </c>
      <c r="G30" s="90">
        <v>0.0</v>
      </c>
      <c r="H30" s="91">
        <v>13.0</v>
      </c>
      <c r="I30" s="90">
        <v>0.0</v>
      </c>
      <c r="J30" s="90">
        <v>0.0</v>
      </c>
      <c r="K30" s="90">
        <v>0.0</v>
      </c>
      <c r="L30" s="92">
        <v>13.0</v>
      </c>
      <c r="M30" s="90">
        <v>0.0</v>
      </c>
      <c r="N30" s="37">
        <f t="shared" ref="N30:O30" si="35">C30+L30</f>
        <v>137</v>
      </c>
      <c r="O30" s="37">
        <f t="shared" si="35"/>
        <v>9</v>
      </c>
      <c r="P30" s="50" t="s">
        <v>60</v>
      </c>
      <c r="Q30" s="50" t="s">
        <v>60</v>
      </c>
      <c r="R30" s="50" t="s">
        <v>60</v>
      </c>
      <c r="S30" s="51">
        <f t="shared" si="4"/>
        <v>8</v>
      </c>
      <c r="T30" s="52">
        <f t="shared" si="5"/>
        <v>2</v>
      </c>
      <c r="U30" s="52"/>
      <c r="V30" s="51">
        <f t="shared" si="6"/>
        <v>1</v>
      </c>
      <c r="W30" s="52">
        <f t="shared" si="7"/>
        <v>-3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130</v>
      </c>
      <c r="C31" s="37">
        <v>123.0</v>
      </c>
      <c r="D31" s="37">
        <v>11.0</v>
      </c>
      <c r="E31" s="42">
        <f t="shared" si="2"/>
        <v>12.33333333</v>
      </c>
      <c r="F31" s="89">
        <v>1.0</v>
      </c>
      <c r="G31" s="90">
        <v>6.0</v>
      </c>
      <c r="H31" s="91">
        <v>0.0</v>
      </c>
      <c r="I31" s="90">
        <v>0.0</v>
      </c>
      <c r="J31" s="90">
        <v>6.0</v>
      </c>
      <c r="K31" s="90">
        <v>4.0</v>
      </c>
      <c r="L31" s="92">
        <v>10.0</v>
      </c>
      <c r="M31" s="90">
        <v>1.0</v>
      </c>
      <c r="N31" s="37">
        <f t="shared" ref="N31:O31" si="36">C31+L31</f>
        <v>133</v>
      </c>
      <c r="O31" s="37">
        <f t="shared" si="36"/>
        <v>12</v>
      </c>
      <c r="P31" s="50" t="s">
        <v>60</v>
      </c>
      <c r="Q31" s="50" t="s">
        <v>60</v>
      </c>
      <c r="R31" s="50" t="s">
        <v>60</v>
      </c>
      <c r="S31" s="51">
        <f t="shared" si="4"/>
        <v>6</v>
      </c>
      <c r="T31" s="52">
        <f t="shared" si="5"/>
        <v>1</v>
      </c>
      <c r="U31" s="52"/>
      <c r="V31" s="51">
        <f t="shared" si="6"/>
        <v>4</v>
      </c>
      <c r="W31" s="52">
        <f t="shared" si="7"/>
        <v>0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100</v>
      </c>
      <c r="C32" s="37">
        <v>122.0</v>
      </c>
      <c r="D32" s="37">
        <v>10.0</v>
      </c>
      <c r="E32" s="42">
        <f t="shared" si="2"/>
        <v>11.3</v>
      </c>
      <c r="F32" s="89">
        <v>1.0</v>
      </c>
      <c r="G32" s="90">
        <v>6.0</v>
      </c>
      <c r="H32" s="91">
        <v>0.0</v>
      </c>
      <c r="I32" s="90">
        <v>6.0</v>
      </c>
      <c r="J32" s="90">
        <v>1.0</v>
      </c>
      <c r="K32" s="90">
        <v>4.0</v>
      </c>
      <c r="L32" s="92">
        <v>11.0</v>
      </c>
      <c r="M32" s="90">
        <v>1.0</v>
      </c>
      <c r="N32" s="37">
        <f t="shared" ref="N32:O32" si="37">C32+L32</f>
        <v>133</v>
      </c>
      <c r="O32" s="37">
        <f t="shared" si="37"/>
        <v>11</v>
      </c>
      <c r="P32" s="50" t="s">
        <v>60</v>
      </c>
      <c r="Q32" s="50" t="s">
        <v>60</v>
      </c>
      <c r="R32" s="50" t="s">
        <v>60</v>
      </c>
      <c r="S32" s="51">
        <f t="shared" si="4"/>
        <v>10</v>
      </c>
      <c r="T32" s="52">
        <f t="shared" si="5"/>
        <v>0</v>
      </c>
      <c r="U32" s="52"/>
      <c r="V32" s="51">
        <f t="shared" si="6"/>
        <v>1</v>
      </c>
      <c r="W32" s="52">
        <f t="shared" si="7"/>
        <v>0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102</v>
      </c>
      <c r="C33" s="37">
        <v>120.0</v>
      </c>
      <c r="D33" s="37">
        <v>6.0</v>
      </c>
      <c r="E33" s="42">
        <f t="shared" si="2"/>
        <v>11.25</v>
      </c>
      <c r="F33" s="89">
        <v>2.0</v>
      </c>
      <c r="G33" s="90">
        <v>6.0</v>
      </c>
      <c r="H33" s="91">
        <v>0.0</v>
      </c>
      <c r="I33" s="90">
        <v>6.0</v>
      </c>
      <c r="J33" s="90">
        <v>6.0</v>
      </c>
      <c r="K33" s="90">
        <v>6.0</v>
      </c>
      <c r="L33" s="92">
        <v>18.0</v>
      </c>
      <c r="M33" s="90">
        <v>3.0</v>
      </c>
      <c r="N33" s="37">
        <f t="shared" ref="N33:O33" si="38">C33+L33</f>
        <v>138</v>
      </c>
      <c r="O33" s="37">
        <f t="shared" si="38"/>
        <v>9</v>
      </c>
      <c r="P33" s="50" t="s">
        <v>60</v>
      </c>
      <c r="Q33" s="50" t="s">
        <v>60</v>
      </c>
      <c r="R33" s="50" t="s">
        <v>60</v>
      </c>
      <c r="S33" s="51">
        <f t="shared" si="4"/>
        <v>4</v>
      </c>
      <c r="T33" s="52">
        <f t="shared" si="5"/>
        <v>3</v>
      </c>
      <c r="U33" s="52"/>
      <c r="V33" s="51">
        <f t="shared" si="6"/>
        <v>4</v>
      </c>
      <c r="W33" s="52">
        <f t="shared" si="7"/>
        <v>3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146</v>
      </c>
      <c r="C34" s="37">
        <v>117.0</v>
      </c>
      <c r="D34" s="37">
        <v>11.0</v>
      </c>
      <c r="E34" s="42">
        <f t="shared" si="2"/>
        <v>10.42857143</v>
      </c>
      <c r="F34" s="89">
        <v>1.0</v>
      </c>
      <c r="G34" s="90">
        <v>6.0</v>
      </c>
      <c r="H34" s="91">
        <v>0.0</v>
      </c>
      <c r="I34" s="90">
        <v>0.0</v>
      </c>
      <c r="J34" s="90">
        <v>1.0</v>
      </c>
      <c r="K34" s="90">
        <v>6.0</v>
      </c>
      <c r="L34" s="92">
        <v>7.0</v>
      </c>
      <c r="M34" s="90">
        <v>1.0</v>
      </c>
      <c r="N34" s="37">
        <f t="shared" ref="N34:O34" si="39">C34+L34</f>
        <v>124</v>
      </c>
      <c r="O34" s="37">
        <f t="shared" si="39"/>
        <v>12</v>
      </c>
      <c r="P34" s="50" t="s">
        <v>60</v>
      </c>
      <c r="Q34" s="50" t="s">
        <v>60</v>
      </c>
      <c r="R34" s="50" t="s">
        <v>60</v>
      </c>
      <c r="S34" s="51">
        <f t="shared" si="4"/>
        <v>7</v>
      </c>
      <c r="T34" s="52">
        <f t="shared" si="5"/>
        <v>2</v>
      </c>
      <c r="U34" s="52"/>
      <c r="V34" s="51">
        <f t="shared" si="6"/>
        <v>2</v>
      </c>
      <c r="W34" s="52">
        <f t="shared" si="7"/>
        <v>3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127</v>
      </c>
      <c r="C35" s="37">
        <v>116.0</v>
      </c>
      <c r="D35" s="37">
        <v>6.0</v>
      </c>
      <c r="E35" s="42">
        <f t="shared" si="2"/>
        <v>10.8</v>
      </c>
      <c r="F35" s="89">
        <v>1.0</v>
      </c>
      <c r="G35" s="90">
        <v>7.0</v>
      </c>
      <c r="H35" s="91">
        <v>0.0</v>
      </c>
      <c r="I35" s="90">
        <v>6.0</v>
      </c>
      <c r="J35" s="90">
        <v>6.0</v>
      </c>
      <c r="K35" s="90">
        <v>6.0</v>
      </c>
      <c r="L35" s="92">
        <v>18.0</v>
      </c>
      <c r="M35" s="90">
        <v>3.0</v>
      </c>
      <c r="N35" s="37">
        <f t="shared" ref="N35:O35" si="40">C35+L35</f>
        <v>134</v>
      </c>
      <c r="O35" s="37">
        <f t="shared" si="40"/>
        <v>9</v>
      </c>
      <c r="P35" s="50" t="s">
        <v>60</v>
      </c>
      <c r="Q35" s="50" t="s">
        <v>60</v>
      </c>
      <c r="R35" s="50" t="s">
        <v>60</v>
      </c>
      <c r="S35" s="51">
        <f t="shared" si="4"/>
        <v>5</v>
      </c>
      <c r="T35" s="52">
        <f t="shared" si="5"/>
        <v>2</v>
      </c>
      <c r="U35" s="52"/>
      <c r="V35" s="51">
        <f t="shared" si="6"/>
        <v>4</v>
      </c>
      <c r="W35" s="52">
        <f t="shared" si="7"/>
        <v>-2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128</v>
      </c>
      <c r="C36" s="37">
        <v>115.0</v>
      </c>
      <c r="D36" s="37">
        <v>10.0</v>
      </c>
      <c r="E36" s="42">
        <f t="shared" si="2"/>
        <v>12.2</v>
      </c>
      <c r="F36" s="89">
        <v>3.0</v>
      </c>
      <c r="G36" s="90">
        <v>0.0</v>
      </c>
      <c r="H36" s="91">
        <v>9.0</v>
      </c>
      <c r="I36" s="90">
        <v>0.0</v>
      </c>
      <c r="J36" s="90">
        <v>0.0</v>
      </c>
      <c r="K36" s="90">
        <v>0.0</v>
      </c>
      <c r="L36" s="92">
        <v>9.0</v>
      </c>
      <c r="M36" s="90">
        <v>0.0</v>
      </c>
      <c r="N36" s="37">
        <f t="shared" ref="N36:O36" si="41">C36+L36</f>
        <v>124</v>
      </c>
      <c r="O36" s="37">
        <f t="shared" si="41"/>
        <v>10</v>
      </c>
      <c r="P36" s="50" t="s">
        <v>60</v>
      </c>
      <c r="Q36" s="50" t="s">
        <v>60</v>
      </c>
      <c r="R36" s="50" t="s">
        <v>60</v>
      </c>
      <c r="S36" s="51">
        <f t="shared" si="4"/>
        <v>5</v>
      </c>
      <c r="T36" s="52">
        <f t="shared" si="5"/>
        <v>0</v>
      </c>
      <c r="U36" s="52"/>
      <c r="V36" s="51">
        <f t="shared" si="6"/>
        <v>6</v>
      </c>
      <c r="W36" s="52">
        <f t="shared" si="7"/>
        <v>-2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94</v>
      </c>
      <c r="C37" s="37">
        <v>115.0</v>
      </c>
      <c r="D37" s="37">
        <v>8.0</v>
      </c>
      <c r="E37" s="42">
        <f t="shared" si="2"/>
        <v>11</v>
      </c>
      <c r="F37" s="89">
        <v>3.0</v>
      </c>
      <c r="G37" s="90">
        <v>0.0</v>
      </c>
      <c r="H37" s="91">
        <v>9.0</v>
      </c>
      <c r="I37" s="90">
        <v>0.0</v>
      </c>
      <c r="J37" s="90">
        <v>0.0</v>
      </c>
      <c r="K37" s="90">
        <v>0.0</v>
      </c>
      <c r="L37" s="92">
        <v>9.0</v>
      </c>
      <c r="M37" s="90">
        <v>0.0</v>
      </c>
      <c r="N37" s="37">
        <f t="shared" ref="N37:O37" si="42">C37+L37</f>
        <v>124</v>
      </c>
      <c r="O37" s="37">
        <f t="shared" si="42"/>
        <v>8</v>
      </c>
      <c r="P37" s="50" t="s">
        <v>60</v>
      </c>
      <c r="Q37" s="50" t="s">
        <v>60</v>
      </c>
      <c r="R37" s="50" t="s">
        <v>60</v>
      </c>
      <c r="S37" s="51">
        <f t="shared" si="4"/>
        <v>6</v>
      </c>
      <c r="T37" s="52">
        <f t="shared" si="5"/>
        <v>1</v>
      </c>
      <c r="U37" s="52"/>
      <c r="V37" s="51">
        <f t="shared" si="6"/>
        <v>4</v>
      </c>
      <c r="W37" s="52">
        <f t="shared" si="7"/>
        <v>-2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114</v>
      </c>
      <c r="C38" s="37">
        <v>114.0</v>
      </c>
      <c r="D38" s="37">
        <v>7.0</v>
      </c>
      <c r="E38" s="42">
        <f t="shared" si="2"/>
        <v>10.16666667</v>
      </c>
      <c r="F38" s="89">
        <v>1.0</v>
      </c>
      <c r="G38" s="90">
        <v>7.0</v>
      </c>
      <c r="H38" s="91">
        <v>0.0</v>
      </c>
      <c r="I38" s="90">
        <v>6.0</v>
      </c>
      <c r="J38" s="90">
        <v>4.0</v>
      </c>
      <c r="K38" s="90">
        <v>3.0</v>
      </c>
      <c r="L38" s="92">
        <v>13.0</v>
      </c>
      <c r="M38" s="90">
        <v>1.0</v>
      </c>
      <c r="N38" s="37">
        <f t="shared" ref="N38:O38" si="43">C38+L38</f>
        <v>127</v>
      </c>
      <c r="O38" s="37">
        <f t="shared" si="43"/>
        <v>8</v>
      </c>
      <c r="P38" s="50" t="s">
        <v>60</v>
      </c>
      <c r="Q38" s="50" t="s">
        <v>60</v>
      </c>
      <c r="R38" s="50" t="s">
        <v>60</v>
      </c>
      <c r="S38" s="51">
        <f t="shared" si="4"/>
        <v>6</v>
      </c>
      <c r="T38" s="52">
        <f t="shared" si="5"/>
        <v>2</v>
      </c>
      <c r="U38" s="52"/>
      <c r="V38" s="51">
        <f t="shared" si="6"/>
        <v>3</v>
      </c>
      <c r="W38" s="52">
        <f t="shared" si="7"/>
        <v>4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67</v>
      </c>
      <c r="C39" s="37">
        <v>113.0</v>
      </c>
      <c r="D39" s="37">
        <v>8.0</v>
      </c>
      <c r="E39" s="42">
        <f t="shared" si="2"/>
        <v>10.75</v>
      </c>
      <c r="F39" s="89">
        <v>3.0</v>
      </c>
      <c r="G39" s="90">
        <v>0.0</v>
      </c>
      <c r="H39" s="91">
        <v>9.0</v>
      </c>
      <c r="I39" s="90">
        <v>0.0</v>
      </c>
      <c r="J39" s="90">
        <v>0.0</v>
      </c>
      <c r="K39" s="90">
        <v>0.0</v>
      </c>
      <c r="L39" s="92">
        <v>9.0</v>
      </c>
      <c r="M39" s="90">
        <v>0.0</v>
      </c>
      <c r="N39" s="37">
        <f t="shared" ref="N39:O39" si="44">C39+L39</f>
        <v>122</v>
      </c>
      <c r="O39" s="37">
        <f t="shared" si="44"/>
        <v>8</v>
      </c>
      <c r="P39" s="50" t="s">
        <v>60</v>
      </c>
      <c r="Q39" s="50" t="s">
        <v>60</v>
      </c>
      <c r="R39" s="50" t="s">
        <v>60</v>
      </c>
      <c r="S39" s="51">
        <f t="shared" si="4"/>
        <v>8</v>
      </c>
      <c r="T39" s="52">
        <f t="shared" si="5"/>
        <v>0</v>
      </c>
      <c r="U39" s="52"/>
      <c r="V39" s="51">
        <f t="shared" si="6"/>
        <v>3</v>
      </c>
      <c r="W39" s="52">
        <f t="shared" si="7"/>
        <v>-1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117</v>
      </c>
      <c r="C40" s="37">
        <v>113.0</v>
      </c>
      <c r="D40" s="37">
        <v>8.0</v>
      </c>
      <c r="E40" s="42">
        <f t="shared" si="2"/>
        <v>11.8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122</v>
      </c>
      <c r="O40" s="37">
        <f t="shared" si="45"/>
        <v>8</v>
      </c>
      <c r="P40" s="50" t="s">
        <v>60</v>
      </c>
      <c r="Q40" s="50" t="s">
        <v>60</v>
      </c>
      <c r="R40" s="50" t="s">
        <v>60</v>
      </c>
      <c r="S40" s="51">
        <f t="shared" si="4"/>
        <v>5</v>
      </c>
      <c r="T40" s="52">
        <f t="shared" si="5"/>
        <v>0</v>
      </c>
      <c r="U40" s="52"/>
      <c r="V40" s="51">
        <f t="shared" si="6"/>
        <v>6</v>
      </c>
      <c r="W40" s="52">
        <f t="shared" si="7"/>
        <v>11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111</v>
      </c>
      <c r="C41" s="37">
        <v>113.0</v>
      </c>
      <c r="D41" s="37">
        <v>5.0</v>
      </c>
      <c r="E41" s="42">
        <f t="shared" si="2"/>
        <v>11.8</v>
      </c>
      <c r="F41" s="89">
        <v>3.0</v>
      </c>
      <c r="G41" s="90">
        <v>0.0</v>
      </c>
      <c r="H41" s="91">
        <v>9.0</v>
      </c>
      <c r="I41" s="90">
        <v>0.0</v>
      </c>
      <c r="J41" s="90">
        <v>0.0</v>
      </c>
      <c r="K41" s="90">
        <v>0.0</v>
      </c>
      <c r="L41" s="92">
        <v>9.0</v>
      </c>
      <c r="M41" s="90">
        <v>0.0</v>
      </c>
      <c r="N41" s="37">
        <f t="shared" ref="N41:O41" si="46">C41+L41</f>
        <v>122</v>
      </c>
      <c r="O41" s="37">
        <f t="shared" si="46"/>
        <v>5</v>
      </c>
      <c r="P41" s="50" t="s">
        <v>60</v>
      </c>
      <c r="Q41" s="50" t="s">
        <v>60</v>
      </c>
      <c r="R41" s="50" t="s">
        <v>60</v>
      </c>
      <c r="S41" s="51">
        <f t="shared" si="4"/>
        <v>5</v>
      </c>
      <c r="T41" s="52">
        <f t="shared" si="5"/>
        <v>0</v>
      </c>
      <c r="U41" s="52"/>
      <c r="V41" s="51">
        <f t="shared" si="6"/>
        <v>6</v>
      </c>
      <c r="W41" s="52">
        <f t="shared" si="7"/>
        <v>-2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142</v>
      </c>
      <c r="C42" s="37">
        <v>112.0</v>
      </c>
      <c r="D42" s="37">
        <v>5.0</v>
      </c>
      <c r="E42" s="42">
        <f t="shared" si="2"/>
        <v>13.5</v>
      </c>
      <c r="F42" s="89">
        <v>3.0</v>
      </c>
      <c r="G42" s="90">
        <v>0.0</v>
      </c>
      <c r="H42" s="91">
        <v>9.0</v>
      </c>
      <c r="I42" s="90">
        <v>0.0</v>
      </c>
      <c r="J42" s="90">
        <v>0.0</v>
      </c>
      <c r="K42" s="90">
        <v>0.0</v>
      </c>
      <c r="L42" s="92">
        <v>9.0</v>
      </c>
      <c r="M42" s="90">
        <v>0.0</v>
      </c>
      <c r="N42" s="37">
        <f t="shared" ref="N42:O42" si="47">C42+L42</f>
        <v>121</v>
      </c>
      <c r="O42" s="37">
        <f t="shared" si="47"/>
        <v>5</v>
      </c>
      <c r="P42" s="50" t="s">
        <v>60</v>
      </c>
      <c r="Q42" s="50" t="s">
        <v>60</v>
      </c>
      <c r="R42" s="50" t="s">
        <v>60</v>
      </c>
      <c r="S42" s="51">
        <f t="shared" si="4"/>
        <v>2</v>
      </c>
      <c r="T42" s="52">
        <f t="shared" si="5"/>
        <v>1</v>
      </c>
      <c r="U42" s="52"/>
      <c r="V42" s="51">
        <f t="shared" si="6"/>
        <v>8</v>
      </c>
      <c r="W42" s="52">
        <f t="shared" si="7"/>
        <v>1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109</v>
      </c>
      <c r="C43" s="37">
        <v>111.0</v>
      </c>
      <c r="D43" s="37">
        <v>2.0</v>
      </c>
      <c r="E43" s="42">
        <f t="shared" si="2"/>
        <v>7.666666667</v>
      </c>
      <c r="F43" s="89">
        <v>1.0</v>
      </c>
      <c r="G43" s="90">
        <v>7.0</v>
      </c>
      <c r="H43" s="91">
        <v>0.0</v>
      </c>
      <c r="I43" s="90">
        <v>2.0</v>
      </c>
      <c r="J43" s="90">
        <v>4.0</v>
      </c>
      <c r="K43" s="90">
        <v>6.0</v>
      </c>
      <c r="L43" s="92">
        <v>12.0</v>
      </c>
      <c r="M43" s="90">
        <v>1.0</v>
      </c>
      <c r="N43" s="37">
        <f t="shared" ref="N43:O43" si="48">C43+L43</f>
        <v>123</v>
      </c>
      <c r="O43" s="37">
        <f t="shared" si="48"/>
        <v>3</v>
      </c>
      <c r="P43" s="50" t="s">
        <v>60</v>
      </c>
      <c r="Q43" s="50" t="s">
        <v>60</v>
      </c>
      <c r="R43" s="50" t="s">
        <v>60</v>
      </c>
      <c r="S43" s="51">
        <f t="shared" si="4"/>
        <v>3</v>
      </c>
      <c r="T43" s="52">
        <f t="shared" si="5"/>
        <v>4</v>
      </c>
      <c r="U43" s="52"/>
      <c r="V43" s="51">
        <f t="shared" si="6"/>
        <v>4</v>
      </c>
      <c r="W43" s="52">
        <f t="shared" si="7"/>
        <v>-2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90</v>
      </c>
      <c r="C44" s="37">
        <v>110.0</v>
      </c>
      <c r="D44" s="37">
        <v>3.0</v>
      </c>
      <c r="E44" s="42">
        <f t="shared" si="2"/>
        <v>7.333333333</v>
      </c>
      <c r="F44" s="89">
        <v>3.0</v>
      </c>
      <c r="G44" s="90">
        <v>0.0</v>
      </c>
      <c r="H44" s="91">
        <v>9.0</v>
      </c>
      <c r="I44" s="90">
        <v>0.0</v>
      </c>
      <c r="J44" s="90">
        <v>0.0</v>
      </c>
      <c r="K44" s="90">
        <v>0.0</v>
      </c>
      <c r="L44" s="92">
        <v>9.0</v>
      </c>
      <c r="M44" s="90">
        <v>0.0</v>
      </c>
      <c r="N44" s="37">
        <f t="shared" ref="N44:O44" si="49">C44+L44</f>
        <v>119</v>
      </c>
      <c r="O44" s="37">
        <f t="shared" si="49"/>
        <v>3</v>
      </c>
      <c r="P44" s="50" t="s">
        <v>60</v>
      </c>
      <c r="Q44" s="50" t="s">
        <v>60</v>
      </c>
      <c r="R44" s="50" t="s">
        <v>60</v>
      </c>
      <c r="S44" s="51">
        <f t="shared" si="4"/>
        <v>3</v>
      </c>
      <c r="T44" s="52">
        <f t="shared" si="5"/>
        <v>4</v>
      </c>
      <c r="U44" s="52"/>
      <c r="V44" s="51">
        <f t="shared" si="6"/>
        <v>4</v>
      </c>
      <c r="W44" s="52">
        <f t="shared" si="7"/>
        <v>4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134</v>
      </c>
      <c r="C45" s="37">
        <v>109.0</v>
      </c>
      <c r="D45" s="37">
        <v>5.0</v>
      </c>
      <c r="E45" s="42">
        <f t="shared" si="2"/>
        <v>8.666666667</v>
      </c>
      <c r="F45" s="89">
        <v>2.0</v>
      </c>
      <c r="G45" s="90">
        <v>7.0</v>
      </c>
      <c r="H45" s="91">
        <v>0.0</v>
      </c>
      <c r="I45" s="90">
        <v>2.0</v>
      </c>
      <c r="J45" s="90">
        <v>6.0</v>
      </c>
      <c r="K45" s="90">
        <v>3.0</v>
      </c>
      <c r="L45" s="92">
        <v>11.0</v>
      </c>
      <c r="M45" s="90">
        <v>1.0</v>
      </c>
      <c r="N45" s="37">
        <f t="shared" ref="N45:O45" si="50">C45+L45</f>
        <v>120</v>
      </c>
      <c r="O45" s="37">
        <f t="shared" si="50"/>
        <v>6</v>
      </c>
      <c r="P45" s="50" t="s">
        <v>60</v>
      </c>
      <c r="Q45" s="50" t="s">
        <v>60</v>
      </c>
      <c r="R45" s="50" t="s">
        <v>60</v>
      </c>
      <c r="S45" s="51">
        <f t="shared" si="4"/>
        <v>6</v>
      </c>
      <c r="T45" s="52">
        <f t="shared" si="5"/>
        <v>3</v>
      </c>
      <c r="U45" s="52"/>
      <c r="V45" s="51">
        <f t="shared" si="6"/>
        <v>2</v>
      </c>
      <c r="W45" s="52">
        <f t="shared" si="7"/>
        <v>2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84</v>
      </c>
      <c r="C46" s="37">
        <v>109.0</v>
      </c>
      <c r="D46" s="37">
        <v>3.0</v>
      </c>
      <c r="E46" s="42">
        <f t="shared" si="2"/>
        <v>7.5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118</v>
      </c>
      <c r="O46" s="37">
        <f t="shared" si="51"/>
        <v>3</v>
      </c>
      <c r="P46" s="50" t="s">
        <v>60</v>
      </c>
      <c r="Q46" s="50" t="s">
        <v>60</v>
      </c>
      <c r="R46" s="50" t="s">
        <v>60</v>
      </c>
      <c r="S46" s="51">
        <f t="shared" si="4"/>
        <v>4</v>
      </c>
      <c r="T46" s="52">
        <f t="shared" si="5"/>
        <v>4</v>
      </c>
      <c r="U46" s="52"/>
      <c r="V46" s="51">
        <f t="shared" si="6"/>
        <v>3</v>
      </c>
      <c r="W46" s="52">
        <f t="shared" si="7"/>
        <v>4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144</v>
      </c>
      <c r="C47" s="37">
        <v>108.0</v>
      </c>
      <c r="D47" s="37">
        <v>3.0</v>
      </c>
      <c r="E47" s="42">
        <f t="shared" si="2"/>
        <v>8.25</v>
      </c>
      <c r="F47" s="89">
        <v>3.0</v>
      </c>
      <c r="G47" s="90">
        <v>0.0</v>
      </c>
      <c r="H47" s="91">
        <v>9.0</v>
      </c>
      <c r="I47" s="90">
        <v>0.0</v>
      </c>
      <c r="J47" s="90">
        <v>0.0</v>
      </c>
      <c r="K47" s="90">
        <v>0.0</v>
      </c>
      <c r="L47" s="92">
        <v>9.0</v>
      </c>
      <c r="M47" s="90">
        <v>0.0</v>
      </c>
      <c r="N47" s="37">
        <f t="shared" ref="N47:O47" si="52">C47+L47</f>
        <v>117</v>
      </c>
      <c r="O47" s="37">
        <f t="shared" si="52"/>
        <v>3</v>
      </c>
      <c r="P47" s="50" t="s">
        <v>60</v>
      </c>
      <c r="Q47" s="50" t="s">
        <v>60</v>
      </c>
      <c r="R47" s="50" t="s">
        <v>60</v>
      </c>
      <c r="S47" s="51">
        <f t="shared" si="4"/>
        <v>4</v>
      </c>
      <c r="T47" s="52">
        <f t="shared" si="5"/>
        <v>3</v>
      </c>
      <c r="U47" s="52"/>
      <c r="V47" s="51">
        <f t="shared" si="6"/>
        <v>4</v>
      </c>
      <c r="W47" s="52">
        <f t="shared" si="7"/>
        <v>-7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106</v>
      </c>
      <c r="C48" s="37">
        <v>107.0</v>
      </c>
      <c r="D48" s="37">
        <v>5.0</v>
      </c>
      <c r="E48" s="42">
        <f t="shared" si="2"/>
        <v>11</v>
      </c>
      <c r="F48" s="89">
        <v>1.0</v>
      </c>
      <c r="G48" s="90">
        <v>8.0</v>
      </c>
      <c r="H48" s="91">
        <v>0.0</v>
      </c>
      <c r="I48" s="90">
        <v>1.0</v>
      </c>
      <c r="J48" s="90">
        <v>6.0</v>
      </c>
      <c r="K48" s="90">
        <v>6.0</v>
      </c>
      <c r="L48" s="92">
        <v>13.0</v>
      </c>
      <c r="M48" s="90">
        <v>2.0</v>
      </c>
      <c r="N48" s="37">
        <f t="shared" ref="N48:O48" si="53">C48+L48</f>
        <v>120</v>
      </c>
      <c r="O48" s="37">
        <f t="shared" si="53"/>
        <v>7</v>
      </c>
      <c r="P48" s="50" t="s">
        <v>60</v>
      </c>
      <c r="Q48" s="50" t="s">
        <v>60</v>
      </c>
      <c r="R48" s="50" t="s">
        <v>60</v>
      </c>
      <c r="S48" s="51">
        <f t="shared" si="4"/>
        <v>4</v>
      </c>
      <c r="T48" s="52">
        <f t="shared" si="5"/>
        <v>0</v>
      </c>
      <c r="U48" s="52"/>
      <c r="V48" s="51">
        <f t="shared" si="6"/>
        <v>7</v>
      </c>
      <c r="W48" s="52">
        <f t="shared" si="7"/>
        <v>6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105</v>
      </c>
      <c r="C49" s="37">
        <v>107.0</v>
      </c>
      <c r="D49" s="37">
        <v>4.0</v>
      </c>
      <c r="E49" s="42">
        <f t="shared" si="2"/>
        <v>9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116</v>
      </c>
      <c r="O49" s="37">
        <f t="shared" si="54"/>
        <v>4</v>
      </c>
      <c r="P49" s="50" t="s">
        <v>60</v>
      </c>
      <c r="Q49" s="50" t="s">
        <v>60</v>
      </c>
      <c r="R49" s="50" t="s">
        <v>60</v>
      </c>
      <c r="S49" s="51">
        <f t="shared" si="4"/>
        <v>4</v>
      </c>
      <c r="T49" s="52">
        <f t="shared" si="5"/>
        <v>2</v>
      </c>
      <c r="U49" s="52"/>
      <c r="V49" s="51">
        <f t="shared" si="6"/>
        <v>5</v>
      </c>
      <c r="W49" s="52">
        <f t="shared" si="7"/>
        <v>-5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133</v>
      </c>
      <c r="C50" s="37">
        <v>107.0</v>
      </c>
      <c r="D50" s="37">
        <v>3.0</v>
      </c>
      <c r="E50" s="42">
        <f t="shared" si="2"/>
        <v>10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116</v>
      </c>
      <c r="O50" s="37">
        <f t="shared" si="55"/>
        <v>3</v>
      </c>
      <c r="P50" s="50" t="s">
        <v>60</v>
      </c>
      <c r="Q50" s="50" t="s">
        <v>60</v>
      </c>
      <c r="R50" s="50" t="s">
        <v>60</v>
      </c>
      <c r="S50" s="51">
        <f t="shared" si="4"/>
        <v>4</v>
      </c>
      <c r="T50" s="52">
        <f t="shared" si="5"/>
        <v>1</v>
      </c>
      <c r="U50" s="52"/>
      <c r="V50" s="51">
        <f t="shared" si="6"/>
        <v>6</v>
      </c>
      <c r="W50" s="52">
        <f t="shared" si="7"/>
        <v>-5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125</v>
      </c>
      <c r="C51" s="37">
        <v>107.0</v>
      </c>
      <c r="D51" s="37">
        <v>2.0</v>
      </c>
      <c r="E51" s="42">
        <f t="shared" si="2"/>
        <v>7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116</v>
      </c>
      <c r="O51" s="37">
        <f t="shared" si="56"/>
        <v>2</v>
      </c>
      <c r="P51" s="50" t="s">
        <v>60</v>
      </c>
      <c r="Q51" s="50" t="s">
        <v>60</v>
      </c>
      <c r="R51" s="50" t="s">
        <v>60</v>
      </c>
      <c r="S51" s="51">
        <f t="shared" si="4"/>
        <v>2</v>
      </c>
      <c r="T51" s="52">
        <f t="shared" si="5"/>
        <v>3</v>
      </c>
      <c r="U51" s="52"/>
      <c r="V51" s="51">
        <f t="shared" si="6"/>
        <v>6</v>
      </c>
      <c r="W51" s="52">
        <f t="shared" si="7"/>
        <v>-5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72</v>
      </c>
      <c r="C52" s="37">
        <v>107.0</v>
      </c>
      <c r="D52" s="37">
        <v>1.0</v>
      </c>
      <c r="E52" s="42">
        <f t="shared" si="2"/>
        <v>7</v>
      </c>
      <c r="F52" s="89">
        <v>3.0</v>
      </c>
      <c r="G52" s="90">
        <v>0.0</v>
      </c>
      <c r="H52" s="91">
        <v>9.0</v>
      </c>
      <c r="I52" s="90">
        <v>0.0</v>
      </c>
      <c r="J52" s="90">
        <v>0.0</v>
      </c>
      <c r="K52" s="90">
        <v>0.0</v>
      </c>
      <c r="L52" s="92">
        <v>9.0</v>
      </c>
      <c r="M52" s="90">
        <v>0.0</v>
      </c>
      <c r="N52" s="37">
        <f t="shared" ref="N52:O52" si="57">C52+L52</f>
        <v>116</v>
      </c>
      <c r="O52" s="37">
        <f t="shared" si="57"/>
        <v>1</v>
      </c>
      <c r="P52" s="50" t="s">
        <v>60</v>
      </c>
      <c r="Q52" s="50" t="s">
        <v>60</v>
      </c>
      <c r="R52" s="50" t="s">
        <v>60</v>
      </c>
      <c r="S52" s="51">
        <f t="shared" si="4"/>
        <v>2</v>
      </c>
      <c r="T52" s="52">
        <f t="shared" si="5"/>
        <v>3</v>
      </c>
      <c r="U52" s="52"/>
      <c r="V52" s="51">
        <f t="shared" si="6"/>
        <v>6</v>
      </c>
      <c r="W52" s="52">
        <f t="shared" si="7"/>
        <v>0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120</v>
      </c>
      <c r="C53" s="37">
        <v>105.0</v>
      </c>
      <c r="D53" s="37">
        <v>4.0</v>
      </c>
      <c r="E53" s="42">
        <f t="shared" si="2"/>
        <v>10</v>
      </c>
      <c r="F53" s="89">
        <v>5.0</v>
      </c>
      <c r="G53" s="90">
        <v>0.0</v>
      </c>
      <c r="H53" s="91">
        <v>13.0</v>
      </c>
      <c r="I53" s="90">
        <v>0.0</v>
      </c>
      <c r="J53" s="90">
        <v>0.0</v>
      </c>
      <c r="K53" s="90">
        <v>0.0</v>
      </c>
      <c r="L53" s="92">
        <v>13.0</v>
      </c>
      <c r="M53" s="90">
        <v>0.0</v>
      </c>
      <c r="N53" s="37">
        <f t="shared" ref="N53:O53" si="58">C53+L53</f>
        <v>118</v>
      </c>
      <c r="O53" s="37">
        <f t="shared" si="58"/>
        <v>4</v>
      </c>
      <c r="P53" s="50" t="s">
        <v>60</v>
      </c>
      <c r="Q53" s="50" t="s">
        <v>60</v>
      </c>
      <c r="R53" s="50" t="s">
        <v>60</v>
      </c>
      <c r="S53" s="51">
        <f t="shared" si="4"/>
        <v>2</v>
      </c>
      <c r="T53" s="52">
        <f t="shared" si="5"/>
        <v>1</v>
      </c>
      <c r="U53" s="52"/>
      <c r="V53" s="51">
        <f t="shared" si="6"/>
        <v>8</v>
      </c>
      <c r="W53" s="52">
        <f t="shared" si="7"/>
        <v>3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61</v>
      </c>
      <c r="C54" s="37">
        <v>104.0</v>
      </c>
      <c r="D54" s="37">
        <v>7.0</v>
      </c>
      <c r="E54" s="42">
        <f t="shared" si="2"/>
        <v>10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113</v>
      </c>
      <c r="O54" s="37">
        <f t="shared" si="59"/>
        <v>7</v>
      </c>
      <c r="P54" s="50" t="s">
        <v>60</v>
      </c>
      <c r="Q54" s="50" t="s">
        <v>60</v>
      </c>
      <c r="R54" s="50" t="s">
        <v>60</v>
      </c>
      <c r="S54" s="51">
        <f t="shared" si="4"/>
        <v>5</v>
      </c>
      <c r="T54" s="52">
        <f t="shared" si="5"/>
        <v>0</v>
      </c>
      <c r="U54" s="52"/>
      <c r="V54" s="51">
        <f t="shared" si="6"/>
        <v>6</v>
      </c>
      <c r="W54" s="52">
        <f t="shared" si="7"/>
        <v>-5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145</v>
      </c>
      <c r="C55" s="37">
        <v>100.0</v>
      </c>
      <c r="D55" s="37">
        <v>3.0</v>
      </c>
      <c r="E55" s="42">
        <f t="shared" si="2"/>
        <v>10</v>
      </c>
      <c r="F55" s="89">
        <v>4.0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109</v>
      </c>
      <c r="O55" s="37">
        <f t="shared" si="60"/>
        <v>3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0</v>
      </c>
      <c r="U55" s="52"/>
      <c r="V55" s="51">
        <f t="shared" si="6"/>
        <v>10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141</v>
      </c>
      <c r="C56" s="37">
        <v>98.0</v>
      </c>
      <c r="D56" s="37">
        <v>4.0</v>
      </c>
      <c r="E56" s="42">
        <f t="shared" si="2"/>
        <v>8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107</v>
      </c>
      <c r="O56" s="37">
        <f t="shared" si="61"/>
        <v>4</v>
      </c>
      <c r="P56" s="50" t="s">
        <v>60</v>
      </c>
      <c r="Q56" s="50" t="s">
        <v>60</v>
      </c>
      <c r="R56" s="50" t="s">
        <v>60</v>
      </c>
      <c r="S56" s="51">
        <f t="shared" si="4"/>
        <v>5</v>
      </c>
      <c r="T56" s="52">
        <f t="shared" si="5"/>
        <v>1</v>
      </c>
      <c r="U56" s="52"/>
      <c r="V56" s="51">
        <f t="shared" si="6"/>
        <v>5</v>
      </c>
      <c r="W56" s="52">
        <f t="shared" si="7"/>
        <v>-1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104</v>
      </c>
      <c r="C57" s="37">
        <v>98.0</v>
      </c>
      <c r="D57" s="37">
        <v>0.0</v>
      </c>
      <c r="E57" s="42">
        <f t="shared" si="2"/>
        <v>0</v>
      </c>
      <c r="F57" s="89">
        <v>1.0</v>
      </c>
      <c r="G57" s="90">
        <v>8.0</v>
      </c>
      <c r="H57" s="91">
        <v>0.0</v>
      </c>
      <c r="I57" s="90">
        <v>6.0</v>
      </c>
      <c r="J57" s="90">
        <v>6.0</v>
      </c>
      <c r="K57" s="90">
        <v>3.0</v>
      </c>
      <c r="L57" s="92">
        <v>15.0</v>
      </c>
      <c r="M57" s="90">
        <v>2.0</v>
      </c>
      <c r="N57" s="37">
        <f t="shared" ref="N57:O57" si="62">C57+L57</f>
        <v>113</v>
      </c>
      <c r="O57" s="37">
        <f t="shared" si="62"/>
        <v>2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2</v>
      </c>
      <c r="U57" s="52"/>
      <c r="V57" s="51">
        <f t="shared" si="6"/>
        <v>8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96</v>
      </c>
      <c r="C58" s="37">
        <v>97.0</v>
      </c>
      <c r="D58" s="37">
        <v>7.0</v>
      </c>
      <c r="E58" s="42">
        <f t="shared" si="2"/>
        <v>8.818181818</v>
      </c>
      <c r="F58" s="89">
        <v>1.0</v>
      </c>
      <c r="G58" s="90">
        <v>8.0</v>
      </c>
      <c r="H58" s="91">
        <v>0.0</v>
      </c>
      <c r="I58" s="90">
        <v>1.0</v>
      </c>
      <c r="J58" s="90">
        <v>2.0</v>
      </c>
      <c r="K58" s="90">
        <v>3.0</v>
      </c>
      <c r="L58" s="92">
        <v>6.0</v>
      </c>
      <c r="M58" s="90">
        <v>0.0</v>
      </c>
      <c r="N58" s="37">
        <f t="shared" ref="N58:O58" si="63">C58+L58</f>
        <v>103</v>
      </c>
      <c r="O58" s="37">
        <f t="shared" si="63"/>
        <v>7</v>
      </c>
      <c r="P58" s="50" t="s">
        <v>60</v>
      </c>
      <c r="Q58" s="50" t="s">
        <v>60</v>
      </c>
      <c r="R58" s="50" t="s">
        <v>60</v>
      </c>
      <c r="S58" s="51">
        <f t="shared" si="4"/>
        <v>11</v>
      </c>
      <c r="T58" s="52">
        <f t="shared" si="5"/>
        <v>0</v>
      </c>
      <c r="U58" s="52"/>
      <c r="V58" s="51">
        <f t="shared" si="6"/>
        <v>0</v>
      </c>
      <c r="W58" s="52">
        <f t="shared" si="7"/>
        <v>2</v>
      </c>
      <c r="X58" s="35">
        <f t="shared" si="12"/>
        <v>54</v>
      </c>
      <c r="Y58" s="35" t="str">
        <f t="shared" si="8"/>
        <v>Y</v>
      </c>
      <c r="Z58" s="22" t="str">
        <f t="shared" si="9"/>
        <v/>
      </c>
    </row>
    <row r="59">
      <c r="A59" s="35">
        <f t="shared" si="10"/>
        <v>55</v>
      </c>
      <c r="B59" s="36" t="s">
        <v>139</v>
      </c>
      <c r="C59" s="37">
        <v>97.0</v>
      </c>
      <c r="D59" s="37">
        <v>2.0</v>
      </c>
      <c r="E59" s="42">
        <f t="shared" si="2"/>
        <v>8</v>
      </c>
      <c r="F59" s="89">
        <v>1.0</v>
      </c>
      <c r="G59" s="90">
        <v>8.0</v>
      </c>
      <c r="H59" s="91">
        <v>0.0</v>
      </c>
      <c r="I59" s="90">
        <v>6.0</v>
      </c>
      <c r="J59" s="90">
        <v>2.0</v>
      </c>
      <c r="K59" s="90">
        <v>6.0</v>
      </c>
      <c r="L59" s="92">
        <v>14.0</v>
      </c>
      <c r="M59" s="90">
        <v>2.0</v>
      </c>
      <c r="N59" s="37">
        <f t="shared" ref="N59:O59" si="64">C59+L59</f>
        <v>111</v>
      </c>
      <c r="O59" s="37">
        <f t="shared" si="64"/>
        <v>4</v>
      </c>
      <c r="P59" s="50" t="s">
        <v>60</v>
      </c>
      <c r="Q59" s="50" t="s">
        <v>60</v>
      </c>
      <c r="R59" s="50" t="s">
        <v>60</v>
      </c>
      <c r="S59" s="51">
        <f t="shared" si="4"/>
        <v>2</v>
      </c>
      <c r="T59" s="52">
        <f t="shared" si="5"/>
        <v>0</v>
      </c>
      <c r="U59" s="52"/>
      <c r="V59" s="51">
        <f t="shared" si="6"/>
        <v>9</v>
      </c>
      <c r="W59" s="52">
        <f t="shared" si="7"/>
        <v>10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89</v>
      </c>
      <c r="C60" s="37">
        <v>96.0</v>
      </c>
      <c r="D60" s="37">
        <v>2.0</v>
      </c>
      <c r="E60" s="42">
        <f t="shared" si="2"/>
        <v>6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105</v>
      </c>
      <c r="O60" s="37">
        <f t="shared" si="65"/>
        <v>2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0</v>
      </c>
      <c r="U60" s="52"/>
      <c r="V60" s="51">
        <f t="shared" si="6"/>
        <v>10</v>
      </c>
      <c r="W60" s="52">
        <f t="shared" si="7"/>
        <v>-2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137</v>
      </c>
      <c r="C61" s="37">
        <v>96.0</v>
      </c>
      <c r="D61" s="37">
        <v>0.0</v>
      </c>
      <c r="E61" s="42">
        <f t="shared" si="2"/>
        <v>2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105</v>
      </c>
      <c r="O61" s="37">
        <f t="shared" si="66"/>
        <v>0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1</v>
      </c>
      <c r="U61" s="52"/>
      <c r="V61" s="51">
        <f t="shared" si="6"/>
        <v>9</v>
      </c>
      <c r="W61" s="52">
        <f t="shared" si="7"/>
        <v>-2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56</v>
      </c>
      <c r="C62" s="37">
        <v>95.0</v>
      </c>
      <c r="D62" s="37">
        <v>2.0</v>
      </c>
      <c r="E62" s="42">
        <f t="shared" si="2"/>
        <v>5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104</v>
      </c>
      <c r="O62" s="37">
        <f t="shared" si="67"/>
        <v>2</v>
      </c>
      <c r="P62" s="50" t="s">
        <v>60</v>
      </c>
      <c r="Q62" s="50" t="s">
        <v>60</v>
      </c>
      <c r="R62" s="50" t="s">
        <v>60</v>
      </c>
      <c r="S62" s="51">
        <f t="shared" si="4"/>
        <v>1</v>
      </c>
      <c r="T62" s="52">
        <f t="shared" si="5"/>
        <v>0</v>
      </c>
      <c r="U62" s="52"/>
      <c r="V62" s="51">
        <f t="shared" si="6"/>
        <v>10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129</v>
      </c>
      <c r="C63" s="37">
        <v>94.0</v>
      </c>
      <c r="D63" s="37">
        <v>3.0</v>
      </c>
      <c r="E63" s="42">
        <f t="shared" si="2"/>
        <v>7.75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103</v>
      </c>
      <c r="O63" s="37">
        <f t="shared" si="68"/>
        <v>3</v>
      </c>
      <c r="P63" s="50" t="s">
        <v>60</v>
      </c>
      <c r="Q63" s="50" t="s">
        <v>60</v>
      </c>
      <c r="R63" s="50" t="s">
        <v>60</v>
      </c>
      <c r="S63" s="51">
        <f t="shared" si="4"/>
        <v>4</v>
      </c>
      <c r="T63" s="52">
        <f t="shared" si="5"/>
        <v>0</v>
      </c>
      <c r="U63" s="52"/>
      <c r="V63" s="51">
        <f t="shared" si="6"/>
        <v>7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119</v>
      </c>
      <c r="C64" s="37">
        <v>93.0</v>
      </c>
      <c r="D64" s="37">
        <v>1.0</v>
      </c>
      <c r="E64" s="42">
        <f t="shared" si="2"/>
        <v>3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102</v>
      </c>
      <c r="O64" s="37">
        <f t="shared" si="69"/>
        <v>1</v>
      </c>
      <c r="P64" s="50" t="s">
        <v>60</v>
      </c>
      <c r="Q64" s="50" t="s">
        <v>60</v>
      </c>
      <c r="R64" s="50" t="s">
        <v>60</v>
      </c>
      <c r="S64" s="51">
        <f t="shared" si="4"/>
        <v>1</v>
      </c>
      <c r="T64" s="52">
        <f t="shared" si="5"/>
        <v>0</v>
      </c>
      <c r="U64" s="52"/>
      <c r="V64" s="51">
        <f t="shared" si="6"/>
        <v>10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116</v>
      </c>
      <c r="C65" s="37">
        <v>92.0</v>
      </c>
      <c r="D65" s="37">
        <v>1.0</v>
      </c>
      <c r="E65" s="42">
        <f t="shared" si="2"/>
        <v>-2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101</v>
      </c>
      <c r="O65" s="37">
        <f t="shared" si="70"/>
        <v>1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1</v>
      </c>
      <c r="U65" s="52"/>
      <c r="V65" s="51">
        <f t="shared" si="6"/>
        <v>9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95</v>
      </c>
      <c r="C66" s="37">
        <v>90.0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99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11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77</v>
      </c>
      <c r="C67" s="37">
        <v>90.0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99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11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132</v>
      </c>
      <c r="C68" s="37">
        <v>90.0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99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11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53</v>
      </c>
      <c r="C69" s="37">
        <v>90.0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99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11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138</v>
      </c>
      <c r="C70" s="37">
        <v>90.0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99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11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90.0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99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9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09/05/26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desc"",0)"),"Pavan Akkimsetty")</f>
        <v>Pavan Akkimsetty</v>
      </c>
      <c r="C83" s="125">
        <f>IFERROR(__xludf.DUMMYFUNCTION("""COMPUTED_VALUE"""),20.0)</f>
        <v>20</v>
      </c>
      <c r="D83" s="125">
        <f>IFERROR(__xludf.DUMMYFUNCTION("""COMPUTED_VALUE"""),3.0)</f>
        <v>3</v>
      </c>
      <c r="E83" s="125">
        <f>IFERROR(__xludf.DUMMYFUNCTION("""COMPUTED_VALUE"""),2.0)</f>
        <v>2</v>
      </c>
      <c r="F83" s="2"/>
    </row>
    <row r="84">
      <c r="A84" s="2"/>
      <c r="B84" s="36" t="str">
        <f>IFERROR(__xludf.DUMMYFUNCTION("""COMPUTED_VALUE"""),"Kumar Palakeel")</f>
        <v>Kumar Palakeel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IFERROR(__xludf.DUMMYFUNCTION("""COMPUTED_VALUE"""),7.0)</f>
        <v>7</v>
      </c>
      <c r="F84" s="2"/>
    </row>
    <row r="85">
      <c r="A85" s="2"/>
      <c r="B85" s="36" t="str">
        <f>IFERROR(__xludf.DUMMYFUNCTION("""COMPUTED_VALUE"""),"Darren Wong")</f>
        <v>Darren Wong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IFERROR(__xludf.DUMMYFUNCTION("""COMPUTED_VALUE"""),3.0)</f>
        <v>3</v>
      </c>
      <c r="F85" s="2"/>
    </row>
    <row r="86">
      <c r="A86" s="2"/>
      <c r="B86" s="36" t="str">
        <f>IFERROR(__xludf.DUMMYFUNCTION("""COMPUTED_VALUE"""),"Matthew Huang")</f>
        <v>Matthew Huang</v>
      </c>
      <c r="C86" s="125">
        <f>IFERROR(__xludf.DUMMYFUNCTION("""COMPUTED_VALUE"""),18.0)</f>
        <v>18</v>
      </c>
      <c r="D86" s="125">
        <f>IFERROR(__xludf.DUMMYFUNCTION("""COMPUTED_VALUE"""),2.0)</f>
        <v>2</v>
      </c>
      <c r="E86" s="125">
        <f>IFERROR(__xludf.DUMMYFUNCTION("""COMPUTED_VALUE"""),4.0)</f>
        <v>4</v>
      </c>
      <c r="F86" s="2"/>
    </row>
    <row r="87">
      <c r="A87" s="2"/>
      <c r="B87" s="36" t="str">
        <f>IFERROR(__xludf.DUMMYFUNCTION("""COMPUTED_VALUE"""),"Ruben Ron")</f>
        <v>Ruben Ron</v>
      </c>
      <c r="C87" s="125">
        <f>IFERROR(__xludf.DUMMYFUNCTION("""COMPUTED_VALUE"""),18.0)</f>
        <v>18</v>
      </c>
      <c r="D87" s="125">
        <f>IFERROR(__xludf.DUMMYFUNCTION("""COMPUTED_VALUE"""),2.0)</f>
        <v>2</v>
      </c>
      <c r="E87" s="125">
        <f>IFERROR(__xludf.DUMMYFUNCTION("""COMPUTED_VALUE"""),4.0)</f>
        <v>4</v>
      </c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10"")"),"Kumar Palakeel")</f>
        <v>Kumar Palakeel</v>
      </c>
      <c r="C102" s="125">
        <f>IFERROR(__xludf.DUMMYFUNCTION("""COMPUTED_VALUE"""),11.0)</f>
        <v>11</v>
      </c>
      <c r="D102" s="125">
        <f t="shared" ref="D102:D111" si="77">VLOOKUP(B102,indirect($AC$2&amp;"!B$5:X$79"),23, false)</f>
        <v>47</v>
      </c>
      <c r="E102" s="125">
        <f t="shared" ref="E102:E111" si="78">VLOOKUP(B102,B$5:X$71,23, false)</f>
        <v>36</v>
      </c>
      <c r="F102" s="125">
        <f t="shared" ref="F102:F111" si="79">VLOOKUP(B102,indirect($AC$2&amp;"!B$5:U$79"),11, false)</f>
        <v>19</v>
      </c>
      <c r="G102" s="125">
        <f t="shared" ref="G102:G111" si="80">VLOOKUP(B102,indirect($AC$2&amp;"!B$5:U$79"),6, false)</f>
        <v>7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IFERROR(__xludf.DUMMYFUNCTION("""COMPUTED_VALUE"""),"Susanta Mishra")</f>
        <v>Susanta Mishra</v>
      </c>
      <c r="C103" s="125">
        <f>IFERROR(__xludf.DUMMYFUNCTION("""COMPUTED_VALUE"""),10.0)</f>
        <v>10</v>
      </c>
      <c r="D103" s="125">
        <f t="shared" si="77"/>
        <v>65</v>
      </c>
      <c r="E103" s="125">
        <f t="shared" si="78"/>
        <v>55</v>
      </c>
      <c r="F103" s="125">
        <f t="shared" si="79"/>
        <v>16</v>
      </c>
      <c r="G103" s="125">
        <f t="shared" si="80"/>
        <v>8</v>
      </c>
      <c r="L103" s="125" t="str">
        <f t="shared" si="81"/>
        <v>ok</v>
      </c>
    </row>
    <row r="104">
      <c r="A104" s="2"/>
      <c r="B104" s="36" t="str">
        <f>IFERROR(__xludf.DUMMYFUNCTION("""COMPUTED_VALUE"""),"Ruben Ron")</f>
        <v>Ruben Ron</v>
      </c>
      <c r="C104" s="125">
        <f>IFERROR(__xludf.DUMMYFUNCTION("""COMPUTED_VALUE"""),8.0)</f>
        <v>8</v>
      </c>
      <c r="D104" s="125">
        <f t="shared" si="77"/>
        <v>21</v>
      </c>
      <c r="E104" s="125">
        <f t="shared" si="78"/>
        <v>13</v>
      </c>
      <c r="F104" s="125">
        <f t="shared" si="79"/>
        <v>18</v>
      </c>
      <c r="G104" s="125">
        <f t="shared" si="80"/>
        <v>4</v>
      </c>
      <c r="L104" s="125" t="str">
        <f t="shared" si="81"/>
        <v>ok</v>
      </c>
    </row>
    <row r="105">
      <c r="A105" s="2"/>
      <c r="B105" s="36" t="str">
        <f>IFERROR(__xludf.DUMMYFUNCTION("""COMPUTED_VALUE"""),"Matthew Huang")</f>
        <v>Matthew Huang</v>
      </c>
      <c r="C105" s="125">
        <f>IFERROR(__xludf.DUMMYFUNCTION("""COMPUTED_VALUE"""),7.0)</f>
        <v>7</v>
      </c>
      <c r="D105" s="125">
        <f t="shared" si="77"/>
        <v>19</v>
      </c>
      <c r="E105" s="125">
        <f t="shared" si="78"/>
        <v>12</v>
      </c>
      <c r="F105" s="125">
        <f t="shared" si="79"/>
        <v>18</v>
      </c>
      <c r="G105" s="125">
        <f t="shared" si="80"/>
        <v>4</v>
      </c>
      <c r="L105" s="125" t="str">
        <f t="shared" si="81"/>
        <v>ok</v>
      </c>
    </row>
    <row r="106">
      <c r="A106" s="2"/>
      <c r="B106" s="36" t="str">
        <f>IFERROR(__xludf.DUMMYFUNCTION("""COMPUTED_VALUE"""),"Frank Moon")</f>
        <v>Frank Moon</v>
      </c>
      <c r="C106" s="125">
        <f>IFERROR(__xludf.DUMMYFUNCTION("""COMPUTED_VALUE"""),6.0)</f>
        <v>6</v>
      </c>
      <c r="D106" s="125">
        <f t="shared" si="77"/>
        <v>50</v>
      </c>
      <c r="E106" s="125">
        <f t="shared" si="78"/>
        <v>44</v>
      </c>
      <c r="F106" s="125">
        <f t="shared" si="79"/>
        <v>17</v>
      </c>
      <c r="G106" s="125">
        <f t="shared" si="80"/>
        <v>8</v>
      </c>
      <c r="L106" s="125" t="str">
        <f t="shared" si="81"/>
        <v>ok</v>
      </c>
    </row>
    <row r="107">
      <c r="A107" s="2"/>
      <c r="B107" s="36" t="str">
        <f>IFERROR(__xludf.DUMMYFUNCTION("""COMPUTED_VALUE"""),"Jimmy Awolesi")</f>
        <v>Jimmy Awolesi</v>
      </c>
      <c r="C107" s="125">
        <f>IFERROR(__xludf.DUMMYFUNCTION("""COMPUTED_VALUE"""),4.0)</f>
        <v>4</v>
      </c>
      <c r="D107" s="125">
        <f t="shared" si="77"/>
        <v>38</v>
      </c>
      <c r="E107" s="125">
        <f t="shared" si="78"/>
        <v>34</v>
      </c>
      <c r="F107" s="125">
        <f t="shared" si="79"/>
        <v>13</v>
      </c>
      <c r="G107" s="125">
        <f t="shared" si="80"/>
        <v>0</v>
      </c>
      <c r="L107" s="125" t="str">
        <f t="shared" si="81"/>
        <v>ok</v>
      </c>
    </row>
    <row r="108">
      <c r="A108" s="2"/>
      <c r="B108" s="36" t="str">
        <f>IFERROR(__xludf.DUMMYFUNCTION("""COMPUTED_VALUE"""),"Coco Yan")</f>
        <v>Coco Yan</v>
      </c>
      <c r="C108" s="125">
        <f>IFERROR(__xludf.DUMMYFUNCTION("""COMPUTED_VALUE"""),4.0)</f>
        <v>4</v>
      </c>
      <c r="D108" s="125">
        <f t="shared" si="77"/>
        <v>44</v>
      </c>
      <c r="E108" s="125">
        <f t="shared" si="78"/>
        <v>40</v>
      </c>
      <c r="F108" s="125">
        <f t="shared" si="79"/>
        <v>13</v>
      </c>
      <c r="G108" s="125">
        <f t="shared" si="80"/>
        <v>0</v>
      </c>
      <c r="L108" s="125" t="str">
        <f t="shared" si="81"/>
        <v>ok</v>
      </c>
    </row>
    <row r="109">
      <c r="A109" s="2"/>
      <c r="B109" s="36" t="str">
        <f>IFERROR(__xludf.DUMMYFUNCTION("""COMPUTED_VALUE"""),"Camille Jung")</f>
        <v>Camille Jung</v>
      </c>
      <c r="C109" s="125">
        <f>IFERROR(__xludf.DUMMYFUNCTION("""COMPUTED_VALUE"""),4.0)</f>
        <v>4</v>
      </c>
      <c r="D109" s="125">
        <f t="shared" si="77"/>
        <v>46</v>
      </c>
      <c r="E109" s="125">
        <f t="shared" si="78"/>
        <v>42</v>
      </c>
      <c r="F109" s="125">
        <f t="shared" si="79"/>
        <v>14</v>
      </c>
      <c r="G109" s="125">
        <f t="shared" si="80"/>
        <v>7</v>
      </c>
      <c r="L109" s="125" t="str">
        <f t="shared" si="81"/>
        <v>ok</v>
      </c>
    </row>
    <row r="110">
      <c r="A110" s="2"/>
      <c r="B110" s="36" t="str">
        <f>IFERROR(__xludf.DUMMYFUNCTION("""COMPUTED_VALUE"""),"Pavan Akkimsetty")</f>
        <v>Pavan Akkimsetty</v>
      </c>
      <c r="C110" s="125">
        <f>IFERROR(__xludf.DUMMYFUNCTION("""COMPUTED_VALUE"""),3.0)</f>
        <v>3</v>
      </c>
      <c r="D110" s="125">
        <f t="shared" si="77"/>
        <v>8</v>
      </c>
      <c r="E110" s="125">
        <f t="shared" si="78"/>
        <v>5</v>
      </c>
      <c r="F110" s="125">
        <f t="shared" si="79"/>
        <v>20</v>
      </c>
      <c r="G110" s="125">
        <f t="shared" si="80"/>
        <v>2</v>
      </c>
      <c r="L110" s="125" t="str">
        <f t="shared" si="81"/>
        <v>ok</v>
      </c>
    </row>
    <row r="111">
      <c r="A111" s="2"/>
      <c r="B111" s="36" t="str">
        <f>IFERROR(__xludf.DUMMYFUNCTION("""COMPUTED_VALUE"""),"Darren Wong")</f>
        <v>Darren Wong</v>
      </c>
      <c r="C111" s="125">
        <f>IFERROR(__xludf.DUMMYFUNCTION("""COMPUTED_VALUE"""),3.0)</f>
        <v>3</v>
      </c>
      <c r="D111" s="125">
        <f t="shared" si="77"/>
        <v>12</v>
      </c>
      <c r="E111" s="125">
        <f t="shared" si="78"/>
        <v>9</v>
      </c>
      <c r="F111" s="125">
        <f t="shared" si="79"/>
        <v>18</v>
      </c>
      <c r="G111" s="125">
        <f t="shared" si="80"/>
        <v>3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11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Pulkit Mathur</v>
      </c>
      <c r="C120" s="125">
        <f t="shared" si="82"/>
        <v>148</v>
      </c>
      <c r="D120" s="125">
        <f t="shared" si="82"/>
        <v>20</v>
      </c>
      <c r="E120" s="125">
        <f t="shared" si="82"/>
        <v>14.44444444</v>
      </c>
      <c r="F120" s="2"/>
    </row>
    <row r="121">
      <c r="A121" s="125">
        <f t="shared" ref="A121:E121" si="83">A6</f>
        <v>2</v>
      </c>
      <c r="B121" s="36" t="str">
        <f t="shared" si="83"/>
        <v>Andrew Yao</v>
      </c>
      <c r="C121" s="125">
        <f t="shared" si="83"/>
        <v>145</v>
      </c>
      <c r="D121" s="125">
        <f t="shared" si="83"/>
        <v>14</v>
      </c>
      <c r="E121" s="125">
        <f t="shared" si="83"/>
        <v>13.2</v>
      </c>
      <c r="F121" s="2"/>
    </row>
    <row r="122">
      <c r="A122" s="125">
        <f t="shared" ref="A122:E122" si="84">A7</f>
        <v>3</v>
      </c>
      <c r="B122" s="36" t="str">
        <f t="shared" si="84"/>
        <v>Rudy Tatang</v>
      </c>
      <c r="C122" s="125">
        <f t="shared" si="84"/>
        <v>145</v>
      </c>
      <c r="D122" s="125">
        <f t="shared" si="84"/>
        <v>12</v>
      </c>
      <c r="E122" s="125">
        <f t="shared" si="84"/>
        <v>15</v>
      </c>
      <c r="F122" s="2"/>
    </row>
    <row r="123">
      <c r="A123" s="125">
        <f t="shared" ref="A123:E123" si="85">A8</f>
        <v>4</v>
      </c>
      <c r="B123" s="36" t="str">
        <f t="shared" si="85"/>
        <v>David Shin</v>
      </c>
      <c r="C123" s="125">
        <f t="shared" si="85"/>
        <v>144</v>
      </c>
      <c r="D123" s="125">
        <f t="shared" si="85"/>
        <v>16</v>
      </c>
      <c r="E123" s="125">
        <f t="shared" si="85"/>
        <v>13.1</v>
      </c>
      <c r="F123" s="2"/>
    </row>
    <row r="124">
      <c r="A124" s="125">
        <f t="shared" ref="A124:E124" si="86">A9</f>
        <v>5</v>
      </c>
      <c r="B124" s="36" t="str">
        <f t="shared" si="86"/>
        <v>Pavan Akkimsetty</v>
      </c>
      <c r="C124" s="125">
        <f t="shared" si="86"/>
        <v>143</v>
      </c>
      <c r="D124" s="125">
        <f t="shared" si="86"/>
        <v>14</v>
      </c>
      <c r="E124" s="125">
        <f t="shared" si="86"/>
        <v>13.44444444</v>
      </c>
      <c r="F124" s="2"/>
    </row>
    <row r="125">
      <c r="A125" s="125">
        <f t="shared" ref="A125:E125" si="87">A10</f>
        <v>6</v>
      </c>
      <c r="B125" s="36" t="str">
        <f t="shared" si="87"/>
        <v>Tom Le</v>
      </c>
      <c r="C125" s="125">
        <f t="shared" si="87"/>
        <v>142</v>
      </c>
      <c r="D125" s="125">
        <f t="shared" si="87"/>
        <v>16</v>
      </c>
      <c r="E125" s="125">
        <f t="shared" si="87"/>
        <v>14.375</v>
      </c>
      <c r="F125" s="2"/>
    </row>
    <row r="126">
      <c r="A126" s="125">
        <f t="shared" ref="A126:E126" si="88">A11</f>
        <v>7</v>
      </c>
      <c r="B126" s="36" t="str">
        <f t="shared" si="88"/>
        <v>Suleman Alidina</v>
      </c>
      <c r="C126" s="125">
        <f t="shared" si="88"/>
        <v>142</v>
      </c>
      <c r="D126" s="125">
        <f t="shared" si="88"/>
        <v>10</v>
      </c>
      <c r="E126" s="125">
        <f t="shared" si="88"/>
        <v>13.5</v>
      </c>
      <c r="F126" s="2"/>
    </row>
    <row r="127">
      <c r="A127" s="125">
        <f t="shared" ref="A127:E127" si="89">A12</f>
        <v>8</v>
      </c>
      <c r="B127" s="36" t="str">
        <f t="shared" si="89"/>
        <v>Jaya Sogata</v>
      </c>
      <c r="C127" s="125">
        <f t="shared" si="89"/>
        <v>140</v>
      </c>
      <c r="D127" s="125">
        <f t="shared" si="89"/>
        <v>10</v>
      </c>
      <c r="E127" s="125">
        <f t="shared" si="89"/>
        <v>13.14285714</v>
      </c>
      <c r="F127" s="2"/>
    </row>
    <row r="128">
      <c r="A128" s="125">
        <f t="shared" ref="A128:E128" si="90">A13</f>
        <v>9</v>
      </c>
      <c r="B128" s="36" t="str">
        <f t="shared" si="90"/>
        <v>Darren Wong</v>
      </c>
      <c r="C128" s="125">
        <f t="shared" si="90"/>
        <v>139</v>
      </c>
      <c r="D128" s="125">
        <f t="shared" si="90"/>
        <v>14</v>
      </c>
      <c r="E128" s="125">
        <f t="shared" si="90"/>
        <v>16.2</v>
      </c>
      <c r="F128" s="2"/>
    </row>
    <row r="129">
      <c r="A129" s="125">
        <f t="shared" ref="A129:E129" si="91">A14</f>
        <v>10</v>
      </c>
      <c r="B129" s="36" t="str">
        <f t="shared" si="91"/>
        <v>Vinotkumar Nagappan</v>
      </c>
      <c r="C129" s="125">
        <f t="shared" si="91"/>
        <v>139</v>
      </c>
      <c r="D129" s="125">
        <f t="shared" si="91"/>
        <v>12</v>
      </c>
      <c r="E129" s="125">
        <f t="shared" si="91"/>
        <v>12.63636364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ASC"")"),"Eric Tan")</f>
        <v>Eric Tan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IFERROR(__xludf.DUMMYFUNCTION("""COMPUTED_VALUE"""),"Ted Shen")</f>
        <v>Ted Shen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IFERROR(__xludf.DUMMYFUNCTION("""COMPUTED_VALUE"""),"Vinotkumar Nagappan")</f>
        <v>Vinotkumar Nagappan</v>
      </c>
      <c r="C139" s="2"/>
      <c r="D139" s="2"/>
      <c r="E139" s="2"/>
      <c r="F139" s="2"/>
      <c r="P139" s="36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09/05/26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IFERROR(__xludf.DUMMYFUNCTION("""COMPUTED_VALUE"""),"Andrew Yao")</f>
        <v>Andrew Yao</v>
      </c>
      <c r="C239" s="131">
        <f>IFERROR(__xludf.DUMMYFUNCTION("""COMPUTED_VALUE"""),1.0)</f>
        <v>1</v>
      </c>
      <c r="D239" s="131">
        <f>IFERROR(__xludf.DUMMYFUNCTION("""COMPUTED_VALUE"""),2.0)</f>
        <v>2</v>
      </c>
      <c r="E239" s="131">
        <f>IFERROR(__xludf.DUMMYFUNCTION("""COMPUTED_VALUE"""),5.0)</f>
        <v>5</v>
      </c>
      <c r="F239" s="131">
        <f>IFERROR(__xludf.DUMMYFUNCTION("""COMPUTED_VALUE"""),8.0)</f>
        <v>8</v>
      </c>
      <c r="G239" s="131">
        <f>IFERROR(__xludf.DUMMYFUNCTION("""COMPUTED_VALUE"""),0.0)</f>
        <v>0</v>
      </c>
    </row>
    <row r="240">
      <c r="A240" s="125">
        <f>IFERROR(__xludf.DUMMYFUNCTION("""COMPUTED_VALUE"""),1.0)</f>
        <v>1</v>
      </c>
      <c r="B240" s="36" t="str">
        <f>IFERROR(__xludf.DUMMYFUNCTION("""COMPUTED_VALUE"""),"Pulkit Mathur")</f>
        <v>Pulkit Mathur</v>
      </c>
      <c r="C240" s="131">
        <f>IFERROR(__xludf.DUMMYFUNCTION("""COMPUTED_VALUE"""),6.0)</f>
        <v>6</v>
      </c>
      <c r="D240" s="131">
        <f>IFERROR(__xludf.DUMMYFUNCTION("""COMPUTED_VALUE"""),6.0)</f>
        <v>6</v>
      </c>
      <c r="E240" s="131">
        <f>IFERROR(__xludf.DUMMYFUNCTION("""COMPUTED_VALUE"""),5.0)</f>
        <v>5</v>
      </c>
      <c r="F240" s="131">
        <f>IFERROR(__xludf.DUMMYFUNCTION("""COMPUTED_VALUE"""),17.0)</f>
        <v>17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IFERROR(__xludf.DUMMYFUNCTION("""COMPUTED_VALUE"""),"David Shin")</f>
        <v>David Shin</v>
      </c>
      <c r="C241" s="131">
        <f>IFERROR(__xludf.DUMMYFUNCTION("""COMPUTED_VALUE"""),6.0)</f>
        <v>6</v>
      </c>
      <c r="D241" s="131">
        <f>IFERROR(__xludf.DUMMYFUNCTION("""COMPUTED_VALUE"""),2.0)</f>
        <v>2</v>
      </c>
      <c r="E241" s="131">
        <f>IFERROR(__xludf.DUMMYFUNCTION("""COMPUTED_VALUE"""),7.0)</f>
        <v>7</v>
      </c>
      <c r="F241" s="131">
        <f>IFERROR(__xludf.DUMMYFUNCTION("""COMPUTED_VALUE"""),15.0)</f>
        <v>15</v>
      </c>
      <c r="G241" s="131">
        <f>IFERROR(__xludf.DUMMYFUNCTION("""COMPUTED_VALUE"""),2.0)</f>
        <v>2</v>
      </c>
    </row>
    <row r="242">
      <c r="A242" s="125">
        <f>IFERROR(__xludf.DUMMYFUNCTION("""COMPUTED_VALUE"""),1.0)</f>
        <v>1</v>
      </c>
      <c r="B242" s="36" t="str">
        <f>IFERROR(__xludf.DUMMYFUNCTION("""COMPUTED_VALUE"""),"Tom Le")</f>
        <v>Tom Le</v>
      </c>
      <c r="C242" s="131">
        <f>IFERROR(__xludf.DUMMYFUNCTION("""COMPUTED_VALUE"""),1.0)</f>
        <v>1</v>
      </c>
      <c r="D242" s="131">
        <f>IFERROR(__xludf.DUMMYFUNCTION("""COMPUTED_VALUE"""),6.0)</f>
        <v>6</v>
      </c>
      <c r="E242" s="131">
        <f>IFERROR(__xludf.DUMMYFUNCTION("""COMPUTED_VALUE"""),7.0)</f>
        <v>7</v>
      </c>
      <c r="F242" s="131">
        <f>IFERROR(__xludf.DUMMYFUNCTION("""COMPUTED_VALUE"""),14.0)</f>
        <v>14</v>
      </c>
      <c r="G242" s="131">
        <f>IFERROR(__xludf.DUMMYFUNCTION("""COMPUTED_VALUE"""),2.0)</f>
        <v>2</v>
      </c>
    </row>
    <row r="243">
      <c r="A243" s="132">
        <f>IFERROR(__xludf.DUMMYFUNCTION("""COMPUTED_VALUE"""),2.0)</f>
        <v>2</v>
      </c>
      <c r="B243" s="133" t="str">
        <f>IFERROR(__xludf.DUMMYFUNCTION("""COMPUTED_VALUE"""),"Jaya Sogata")</f>
        <v>Jaya Sogata</v>
      </c>
      <c r="C243" s="134">
        <f>IFERROR(__xludf.DUMMYFUNCTION("""COMPUTED_VALUE"""),7.0)</f>
        <v>7</v>
      </c>
      <c r="D243" s="134">
        <f>IFERROR(__xludf.DUMMYFUNCTION("""COMPUTED_VALUE"""),3.0)</f>
        <v>3</v>
      </c>
      <c r="E243" s="134">
        <f>IFERROR(__xludf.DUMMYFUNCTION("""COMPUTED_VALUE"""),6.0)</f>
        <v>6</v>
      </c>
      <c r="F243" s="134">
        <f>IFERROR(__xludf.DUMMYFUNCTION("""COMPUTED_VALUE"""),16.0)</f>
        <v>16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IFERROR(__xludf.DUMMYFUNCTION("""COMPUTED_VALUE"""),"Pavan Akkimsetty")</f>
        <v>Pavan Akkimsetty</v>
      </c>
      <c r="C244" s="134">
        <f>IFERROR(__xludf.DUMMYFUNCTION("""COMPUTED_VALUE"""),7.0)</f>
        <v>7</v>
      </c>
      <c r="D244" s="134">
        <f>IFERROR(__xludf.DUMMYFUNCTION("""COMPUTED_VALUE"""),6.0)</f>
        <v>6</v>
      </c>
      <c r="E244" s="134">
        <f>IFERROR(__xludf.DUMMYFUNCTION("""COMPUTED_VALUE"""),7.0)</f>
        <v>7</v>
      </c>
      <c r="F244" s="134">
        <f>IFERROR(__xludf.DUMMYFUNCTION("""COMPUTED_VALUE"""),20.0)</f>
        <v>20</v>
      </c>
      <c r="G244" s="134">
        <f>IFERROR(__xludf.DUMMYFUNCTION("""COMPUTED_VALUE"""),3.0)</f>
        <v>3</v>
      </c>
    </row>
    <row r="245">
      <c r="A245" s="132">
        <f>IFERROR(__xludf.DUMMYFUNCTION("""COMPUTED_VALUE"""),2.0)</f>
        <v>2</v>
      </c>
      <c r="B245" s="133" t="str">
        <f>IFERROR(__xludf.DUMMYFUNCTION("""COMPUTED_VALUE"""),"Vinotkumar Nagappan")</f>
        <v>Vinotkumar Nagappan</v>
      </c>
      <c r="C245" s="134">
        <f>IFERROR(__xludf.DUMMYFUNCTION("""COMPUTED_VALUE"""),5.0)</f>
        <v>5</v>
      </c>
      <c r="D245" s="134">
        <f>IFERROR(__xludf.DUMMYFUNCTION("""COMPUTED_VALUE"""),6.0)</f>
        <v>6</v>
      </c>
      <c r="E245" s="134">
        <f>IFERROR(__xludf.DUMMYFUNCTION("""COMPUTED_VALUE"""),6.0)</f>
        <v>6</v>
      </c>
      <c r="F245" s="134">
        <f>IFERROR(__xludf.DUMMYFUNCTION("""COMPUTED_VALUE"""),17.0)</f>
        <v>17</v>
      </c>
      <c r="G245" s="134">
        <f>IFERROR(__xludf.DUMMYFUNCTION("""COMPUTED_VALUE"""),1.0)</f>
        <v>1</v>
      </c>
    </row>
    <row r="246">
      <c r="A246" s="132">
        <f>IFERROR(__xludf.DUMMYFUNCTION("""COMPUTED_VALUE"""),2.0)</f>
        <v>2</v>
      </c>
      <c r="B246" s="133" t="str">
        <f>IFERROR(__xludf.DUMMYFUNCTION("""COMPUTED_VALUE"""),"Scott Li")</f>
        <v>Scott Li</v>
      </c>
      <c r="C246" s="134">
        <f>IFERROR(__xludf.DUMMYFUNCTION("""COMPUTED_VALUE"""),5.0)</f>
        <v>5</v>
      </c>
      <c r="D246" s="134">
        <f>IFERROR(__xludf.DUMMYFUNCTION("""COMPUTED_VALUE"""),3.0)</f>
        <v>3</v>
      </c>
      <c r="E246" s="134">
        <f>IFERROR(__xludf.DUMMYFUNCTION("""COMPUTED_VALUE"""),7.0)</f>
        <v>7</v>
      </c>
      <c r="F246" s="134">
        <f>IFERROR(__xludf.DUMMYFUNCTION("""COMPUTED_VALUE"""),15.0)</f>
        <v>15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IFERROR(__xludf.DUMMYFUNCTION("""COMPUTED_VALUE"""),"Darren Wong")</f>
        <v>Darren Wong</v>
      </c>
      <c r="C247" s="131">
        <f>IFERROR(__xludf.DUMMYFUNCTION("""COMPUTED_VALUE"""),6.0)</f>
        <v>6</v>
      </c>
      <c r="D247" s="131">
        <f>IFERROR(__xludf.DUMMYFUNCTION("""COMPUTED_VALUE"""),6.0)</f>
        <v>6</v>
      </c>
      <c r="E247" s="131">
        <f>IFERROR(__xludf.DUMMYFUNCTION("""COMPUTED_VALUE"""),6.0)</f>
        <v>6</v>
      </c>
      <c r="F247" s="131">
        <f>IFERROR(__xludf.DUMMYFUNCTION("""COMPUTED_VALUE"""),18.0)</f>
        <v>18</v>
      </c>
      <c r="G247" s="131">
        <f>IFERROR(__xludf.DUMMYFUNCTION("""COMPUTED_VALUE"""),3.0)</f>
        <v>3</v>
      </c>
    </row>
    <row r="248">
      <c r="A248" s="125">
        <f>IFERROR(__xludf.DUMMYFUNCTION("""COMPUTED_VALUE"""),3.0)</f>
        <v>3</v>
      </c>
      <c r="B248" s="36" t="str">
        <f>IFERROR(__xludf.DUMMYFUNCTION("""COMPUTED_VALUE"""),"Jonathan Phan")</f>
        <v>Jonathan Phan</v>
      </c>
      <c r="C248" s="131">
        <f>IFERROR(__xludf.DUMMYFUNCTION("""COMPUTED_VALUE"""),3.0)</f>
        <v>3</v>
      </c>
      <c r="D248" s="131">
        <f>IFERROR(__xludf.DUMMYFUNCTION("""COMPUTED_VALUE"""),6.0)</f>
        <v>6</v>
      </c>
      <c r="E248" s="131">
        <f>IFERROR(__xludf.DUMMYFUNCTION("""COMPUTED_VALUE"""),2.0)</f>
        <v>2</v>
      </c>
      <c r="F248" s="131">
        <f>IFERROR(__xludf.DUMMYFUNCTION("""COMPUTED_VALUE"""),11.0)</f>
        <v>11</v>
      </c>
      <c r="G248" s="131">
        <f>IFERROR(__xludf.DUMMYFUNCTION("""COMPUTED_VALUE"""),1.0)</f>
        <v>1</v>
      </c>
    </row>
    <row r="249">
      <c r="A249" s="125">
        <f>IFERROR(__xludf.DUMMYFUNCTION("""COMPUTED_VALUE"""),3.0)</f>
        <v>3</v>
      </c>
      <c r="B249" s="36" t="str">
        <f>IFERROR(__xludf.DUMMYFUNCTION("""COMPUTED_VALUE"""),"Manish Anand")</f>
        <v>Manish Anand</v>
      </c>
      <c r="C249" s="131">
        <f>IFERROR(__xludf.DUMMYFUNCTION("""COMPUTED_VALUE"""),6.0)</f>
        <v>6</v>
      </c>
      <c r="D249" s="131">
        <f>IFERROR(__xludf.DUMMYFUNCTION("""COMPUTED_VALUE"""),1.0)</f>
        <v>1</v>
      </c>
      <c r="E249" s="131">
        <f>IFERROR(__xludf.DUMMYFUNCTION("""COMPUTED_VALUE"""),2.0)</f>
        <v>2</v>
      </c>
      <c r="F249" s="131">
        <f>IFERROR(__xludf.DUMMYFUNCTION("""COMPUTED_VALUE"""),9.0)</f>
        <v>9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IFERROR(__xludf.DUMMYFUNCTION("""COMPUTED_VALUE"""),"Ted Shen")</f>
        <v>Ted Shen</v>
      </c>
      <c r="C250" s="131">
        <f>IFERROR(__xludf.DUMMYFUNCTION("""COMPUTED_VALUE"""),3.0)</f>
        <v>3</v>
      </c>
      <c r="D250" s="131">
        <f>IFERROR(__xludf.DUMMYFUNCTION("""COMPUTED_VALUE"""),1.0)</f>
        <v>1</v>
      </c>
      <c r="E250" s="131">
        <f>IFERROR(__xludf.DUMMYFUNCTION("""COMPUTED_VALUE"""),6.0)</f>
        <v>6</v>
      </c>
      <c r="F250" s="131">
        <f>IFERROR(__xludf.DUMMYFUNCTION("""COMPUTED_VALUE"""),10.0)</f>
        <v>10</v>
      </c>
      <c r="G250" s="131">
        <f>IFERROR(__xludf.DUMMYFUNCTION("""COMPUTED_VALUE"""),1.0)</f>
        <v>1</v>
      </c>
    </row>
    <row r="251">
      <c r="A251" s="132">
        <f>IFERROR(__xludf.DUMMYFUNCTION("""COMPUTED_VALUE"""),4.0)</f>
        <v>4</v>
      </c>
      <c r="B251" s="133" t="str">
        <f>IFERROR(__xludf.DUMMYFUNCTION("""COMPUTED_VALUE"""),"Matthew Huang")</f>
        <v>Matthew Huang</v>
      </c>
      <c r="C251" s="134">
        <f>IFERROR(__xludf.DUMMYFUNCTION("""COMPUTED_VALUE"""),5.0)</f>
        <v>5</v>
      </c>
      <c r="D251" s="134">
        <f>IFERROR(__xludf.DUMMYFUNCTION("""COMPUTED_VALUE"""),6.0)</f>
        <v>6</v>
      </c>
      <c r="E251" s="134">
        <f>IFERROR(__xludf.DUMMYFUNCTION("""COMPUTED_VALUE"""),7.0)</f>
        <v>7</v>
      </c>
      <c r="F251" s="134">
        <f>IFERROR(__xludf.DUMMYFUNCTION("""COMPUTED_VALUE"""),18.0)</f>
        <v>18</v>
      </c>
      <c r="G251" s="134">
        <f>IFERROR(__xludf.DUMMYFUNCTION("""COMPUTED_VALUE"""),2.0)</f>
        <v>2</v>
      </c>
    </row>
    <row r="252">
      <c r="A252" s="132">
        <f>IFERROR(__xludf.DUMMYFUNCTION("""COMPUTED_VALUE"""),4.0)</f>
        <v>4</v>
      </c>
      <c r="B252" s="133" t="str">
        <f>IFERROR(__xludf.DUMMYFUNCTION("""COMPUTED_VALUE"""),"Chinna Ponnaganti")</f>
        <v>Chinna Ponnaganti</v>
      </c>
      <c r="C252" s="134">
        <f>IFERROR(__xludf.DUMMYFUNCTION("""COMPUTED_VALUE"""),5.0)</f>
        <v>5</v>
      </c>
      <c r="D252" s="134">
        <f>IFERROR(__xludf.DUMMYFUNCTION("""COMPUTED_VALUE"""),1.0)</f>
        <v>1</v>
      </c>
      <c r="E252" s="134">
        <f>IFERROR(__xludf.DUMMYFUNCTION("""COMPUTED_VALUE"""),5.0)</f>
        <v>5</v>
      </c>
      <c r="F252" s="134">
        <f>IFERROR(__xludf.DUMMYFUNCTION("""COMPUTED_VALUE"""),11.0)</f>
        <v>11</v>
      </c>
      <c r="G252" s="134">
        <f>IFERROR(__xludf.DUMMYFUNCTION("""COMPUTED_VALUE"""),0.0)</f>
        <v>0</v>
      </c>
    </row>
    <row r="253">
      <c r="A253" s="132">
        <f>IFERROR(__xludf.DUMMYFUNCTION("""COMPUTED_VALUE"""),4.0)</f>
        <v>4</v>
      </c>
      <c r="B253" s="133" t="str">
        <f>IFERROR(__xludf.DUMMYFUNCTION("""COMPUTED_VALUE"""),"Ruben Ron")</f>
        <v>Ruben Ron</v>
      </c>
      <c r="C253" s="134">
        <f>IFERROR(__xludf.DUMMYFUNCTION("""COMPUTED_VALUE"""),7.0)</f>
        <v>7</v>
      </c>
      <c r="D253" s="134">
        <f>IFERROR(__xludf.DUMMYFUNCTION("""COMPUTED_VALUE"""),6.0)</f>
        <v>6</v>
      </c>
      <c r="E253" s="134">
        <f>IFERROR(__xludf.DUMMYFUNCTION("""COMPUTED_VALUE"""),5.0)</f>
        <v>5</v>
      </c>
      <c r="F253" s="134">
        <f>IFERROR(__xludf.DUMMYFUNCTION("""COMPUTED_VALUE"""),18.0)</f>
        <v>18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IFERROR(__xludf.DUMMYFUNCTION("""COMPUTED_VALUE"""),"Erik Hoeckmann")</f>
        <v>Erik Hoeckmann</v>
      </c>
      <c r="C254" s="134">
        <f>IFERROR(__xludf.DUMMYFUNCTION("""COMPUTED_VALUE"""),7.0)</f>
        <v>7</v>
      </c>
      <c r="D254" s="134">
        <f>IFERROR(__xludf.DUMMYFUNCTION("""COMPUTED_VALUE"""),1.0)</f>
        <v>1</v>
      </c>
      <c r="E254" s="134">
        <f>IFERROR(__xludf.DUMMYFUNCTION("""COMPUTED_VALUE"""),7.0)</f>
        <v>7</v>
      </c>
      <c r="F254" s="134">
        <f>IFERROR(__xludf.DUMMYFUNCTION("""COMPUTED_VALUE"""),15.0)</f>
        <v>15</v>
      </c>
      <c r="G254" s="134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IFERROR(__xludf.DUMMYFUNCTION("""COMPUTED_VALUE"""),"Sanjaye Elayattu")</f>
        <v>Sanjaye Elayattu</v>
      </c>
      <c r="C255" s="131">
        <f>IFERROR(__xludf.DUMMYFUNCTION("""COMPUTED_VALUE"""),3.0)</f>
        <v>3</v>
      </c>
      <c r="D255" s="131">
        <f>IFERROR(__xludf.DUMMYFUNCTION("""COMPUTED_VALUE"""),4.0)</f>
        <v>4</v>
      </c>
      <c r="E255" s="131">
        <f>IFERROR(__xludf.DUMMYFUNCTION("""COMPUTED_VALUE"""),4.0)</f>
        <v>4</v>
      </c>
      <c r="F255" s="131">
        <f>IFERROR(__xludf.DUMMYFUNCTION("""COMPUTED_VALUE"""),11.0)</f>
        <v>11</v>
      </c>
      <c r="G255" s="131">
        <f>IFERROR(__xludf.DUMMYFUNCTION("""COMPUTED_VALUE"""),0.0)</f>
        <v>0</v>
      </c>
    </row>
    <row r="256">
      <c r="A256" s="125">
        <f>IFERROR(__xludf.DUMMYFUNCTION("""COMPUTED_VALUE"""),5.0)</f>
        <v>5</v>
      </c>
      <c r="B256" s="36" t="str">
        <f>IFERROR(__xludf.DUMMYFUNCTION("""COMPUTED_VALUE"""),"Basudev Thoppai Vidyasankar")</f>
        <v>Basudev Thoppai Vidyasankar</v>
      </c>
      <c r="C256" s="131">
        <f>IFERROR(__xludf.DUMMYFUNCTION("""COMPUTED_VALUE"""),6.0)</f>
        <v>6</v>
      </c>
      <c r="D256" s="131">
        <f>IFERROR(__xludf.DUMMYFUNCTION("""COMPUTED_VALUE"""),6.0)</f>
        <v>6</v>
      </c>
      <c r="E256" s="131">
        <f>IFERROR(__xludf.DUMMYFUNCTION("""COMPUTED_VALUE"""),4.0)</f>
        <v>4</v>
      </c>
      <c r="F256" s="131">
        <f>IFERROR(__xludf.DUMMYFUNCTION("""COMPUTED_VALUE"""),16.0)</f>
        <v>16</v>
      </c>
      <c r="G256" s="131">
        <f>IFERROR(__xludf.DUMMYFUNCTION("""COMPUTED_VALUE"""),2.0)</f>
        <v>2</v>
      </c>
    </row>
    <row r="257">
      <c r="A257" s="125">
        <f>IFERROR(__xludf.DUMMYFUNCTION("""COMPUTED_VALUE"""),5.0)</f>
        <v>5</v>
      </c>
      <c r="B257" s="36" t="str">
        <f>IFERROR(__xludf.DUMMYFUNCTION("""COMPUTED_VALUE"""),"Tina Hanson")</f>
        <v>Tina Hanson</v>
      </c>
      <c r="C257" s="131">
        <f>IFERROR(__xludf.DUMMYFUNCTION("""COMPUTED_VALUE"""),6.0)</f>
        <v>6</v>
      </c>
      <c r="D257" s="131">
        <f>IFERROR(__xludf.DUMMYFUNCTION("""COMPUTED_VALUE"""),4.0)</f>
        <v>4</v>
      </c>
      <c r="E257" s="131">
        <f>IFERROR(__xludf.DUMMYFUNCTION("""COMPUTED_VALUE"""),6.0)</f>
        <v>6</v>
      </c>
      <c r="F257" s="131">
        <f>IFERROR(__xludf.DUMMYFUNCTION("""COMPUTED_VALUE"""),16.0)</f>
        <v>16</v>
      </c>
      <c r="G257" s="131">
        <f>IFERROR(__xludf.DUMMYFUNCTION("""COMPUTED_VALUE"""),2.0)</f>
        <v>2</v>
      </c>
    </row>
    <row r="258">
      <c r="A258" s="125">
        <f>IFERROR(__xludf.DUMMYFUNCTION("""COMPUTED_VALUE"""),5.0)</f>
        <v>5</v>
      </c>
      <c r="B258" s="36" t="str">
        <f>IFERROR(__xludf.DUMMYFUNCTION("""COMPUTED_VALUE"""),"Joe Luzzi")</f>
        <v>Joe Luzzi</v>
      </c>
      <c r="C258" s="131">
        <f>IFERROR(__xludf.DUMMYFUNCTION("""COMPUTED_VALUE"""),3.0)</f>
        <v>3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IFERROR(__xludf.DUMMYFUNCTION("""COMPUTED_VALUE"""),15.0)</f>
        <v>15</v>
      </c>
      <c r="G258" s="131">
        <f>IFERROR(__xludf.DUMMYFUNCTION("""COMPUTED_VALUE"""),2.0)</f>
        <v>2</v>
      </c>
    </row>
    <row r="259">
      <c r="A259" s="132">
        <f>IFERROR(__xludf.DUMMYFUNCTION("""COMPUTED_VALUE"""),6.0)</f>
        <v>6</v>
      </c>
      <c r="B259" s="133" t="str">
        <f>IFERROR(__xludf.DUMMYFUNCTION("""COMPUTED_VALUE"""),"Oscar Bonilla")</f>
        <v>Oscar Bonilla</v>
      </c>
      <c r="C259" s="134">
        <f>IFERROR(__xludf.DUMMYFUNCTION("""COMPUTED_VALUE"""),2.0)</f>
        <v>2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IFERROR(__xludf.DUMMYFUNCTION("""COMPUTED_VALUE"""),14.0)</f>
        <v>14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IFERROR(__xludf.DUMMYFUNCTION("""COMPUTED_VALUE"""),"Ethan Gu")</f>
        <v>Ethan Gu</v>
      </c>
      <c r="C260" s="134">
        <f>IFERROR(__xludf.DUMMYFUNCTION("""COMPUTED_VALUE"""),6.0)</f>
        <v>6</v>
      </c>
      <c r="D260" s="134">
        <f>IFERROR(__xludf.DUMMYFUNCTION("""COMPUTED_VALUE"""),6.0)</f>
        <v>6</v>
      </c>
      <c r="E260" s="134">
        <f>IFERROR(__xludf.DUMMYFUNCTION("""COMPUTED_VALUE"""),1.0)</f>
        <v>1</v>
      </c>
      <c r="F260" s="134">
        <f>IFERROR(__xludf.DUMMYFUNCTION("""COMPUTED_VALUE"""),13.0)</f>
        <v>13</v>
      </c>
      <c r="G260" s="134">
        <f>IFERROR(__xludf.DUMMYFUNCTION("""COMPUTED_VALUE"""),2.0)</f>
        <v>2</v>
      </c>
    </row>
    <row r="261">
      <c r="A261" s="132">
        <f>IFERROR(__xludf.DUMMYFUNCTION("""COMPUTED_VALUE"""),6.0)</f>
        <v>6</v>
      </c>
      <c r="B261" s="133" t="str">
        <f>IFERROR(__xludf.DUMMYFUNCTION("""COMPUTED_VALUE"""),"Lam Bui")</f>
        <v>Lam Bui</v>
      </c>
      <c r="C261" s="134">
        <f>IFERROR(__xludf.DUMMYFUNCTION("""COMPUTED_VALUE"""),6.0)</f>
        <v>6</v>
      </c>
      <c r="D261" s="134">
        <f>IFERROR(__xludf.DUMMYFUNCTION("""COMPUTED_VALUE"""),3.0)</f>
        <v>3</v>
      </c>
      <c r="E261" s="134">
        <f>IFERROR(__xludf.DUMMYFUNCTION("""COMPUTED_VALUE"""),6.0)</f>
        <v>6</v>
      </c>
      <c r="F261" s="134">
        <f>IFERROR(__xludf.DUMMYFUNCTION("""COMPUTED_VALUE"""),15.0)</f>
        <v>15</v>
      </c>
      <c r="G261" s="134">
        <f>IFERROR(__xludf.DUMMYFUNCTION("""COMPUTED_VALUE"""),2.0)</f>
        <v>2</v>
      </c>
    </row>
    <row r="262">
      <c r="A262" s="132">
        <f>IFERROR(__xludf.DUMMYFUNCTION("""COMPUTED_VALUE"""),6.0)</f>
        <v>6</v>
      </c>
      <c r="B262" s="133" t="str">
        <f>IFERROR(__xludf.DUMMYFUNCTION("""COMPUTED_VALUE"""),"Vinaya Kajla")</f>
        <v>Vinaya Kajla</v>
      </c>
      <c r="C262" s="134">
        <f>IFERROR(__xludf.DUMMYFUNCTION("""COMPUTED_VALUE"""),2.0)</f>
        <v>2</v>
      </c>
      <c r="D262" s="134">
        <f>IFERROR(__xludf.DUMMYFUNCTION("""COMPUTED_VALUE"""),3.0)</f>
        <v>3</v>
      </c>
      <c r="E262" s="134">
        <f>IFERROR(__xludf.DUMMYFUNCTION("""COMPUTED_VALUE"""),1.0)</f>
        <v>1</v>
      </c>
      <c r="F262" s="134">
        <f>IFERROR(__xludf.DUMMYFUNCTION("""COMPUTED_VALUE"""),6.0)</f>
        <v>6</v>
      </c>
      <c r="G262" s="134">
        <f>IFERROR(__xludf.DUMMYFUNCTION("""COMPUTED_VALUE"""),0.0)</f>
        <v>0</v>
      </c>
    </row>
    <row r="263">
      <c r="A263" s="125">
        <f>IFERROR(__xludf.DUMMYFUNCTION("""COMPUTED_VALUE"""),7.0)</f>
        <v>7</v>
      </c>
      <c r="B263" s="36" t="str">
        <f>IFERROR(__xludf.DUMMYFUNCTION("""COMPUTED_VALUE"""),"Ranjith Doraiswamy")</f>
        <v>Ranjith Doraiswamy</v>
      </c>
      <c r="C263" s="131">
        <f>IFERROR(__xludf.DUMMYFUNCTION("""COMPUTED_VALUE"""),7.0)</f>
        <v>7</v>
      </c>
      <c r="D263" s="131">
        <f>IFERROR(__xludf.DUMMYFUNCTION("""COMPUTED_VALUE"""),2.0)</f>
        <v>2</v>
      </c>
      <c r="E263" s="131">
        <f>IFERROR(__xludf.DUMMYFUNCTION("""COMPUTED_VALUE"""),3.0)</f>
        <v>3</v>
      </c>
      <c r="F263" s="131">
        <f>IFERROR(__xludf.DUMMYFUNCTION("""COMPUTED_VALUE"""),12.0)</f>
        <v>12</v>
      </c>
      <c r="G263" s="131">
        <f>IFERROR(__xludf.DUMMYFUNCTION("""COMPUTED_VALUE"""),1.0)</f>
        <v>1</v>
      </c>
    </row>
    <row r="264">
      <c r="A264" s="125">
        <f>IFERROR(__xludf.DUMMYFUNCTION("""COMPUTED_VALUE"""),7.0)</f>
        <v>7</v>
      </c>
      <c r="B264" s="36" t="str">
        <f>IFERROR(__xludf.DUMMYFUNCTION("""COMPUTED_VALUE"""),"Camille Jung")</f>
        <v>Camille Jung</v>
      </c>
      <c r="C264" s="131">
        <f>IFERROR(__xludf.DUMMYFUNCTION("""COMPUTED_VALUE"""),6.0)</f>
        <v>6</v>
      </c>
      <c r="D264" s="131">
        <f>IFERROR(__xludf.DUMMYFUNCTION("""COMPUTED_VALUE"""),2.0)</f>
        <v>2</v>
      </c>
      <c r="E264" s="131">
        <f>IFERROR(__xludf.DUMMYFUNCTION("""COMPUTED_VALUE"""),6.0)</f>
        <v>6</v>
      </c>
      <c r="F264" s="131">
        <f>IFERROR(__xludf.DUMMYFUNCTION("""COMPUTED_VALUE"""),14.0)</f>
        <v>14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IFERROR(__xludf.DUMMYFUNCTION("""COMPUTED_VALUE"""),"Kumar Palakeel")</f>
        <v>Kumar Palakeel</v>
      </c>
      <c r="C265" s="131">
        <f>IFERROR(__xludf.DUMMYFUNCTION("""COMPUTED_VALUE"""),7.0)</f>
        <v>7</v>
      </c>
      <c r="D265" s="131">
        <f>IFERROR(__xludf.DUMMYFUNCTION("""COMPUTED_VALUE"""),6.0)</f>
        <v>6</v>
      </c>
      <c r="E265" s="131">
        <f>IFERROR(__xludf.DUMMYFUNCTION("""COMPUTED_VALUE"""),6.0)</f>
        <v>6</v>
      </c>
      <c r="F265" s="131">
        <f>IFERROR(__xludf.DUMMYFUNCTION("""COMPUTED_VALUE"""),19.0)</f>
        <v>19</v>
      </c>
      <c r="G265" s="131">
        <f>IFERROR(__xludf.DUMMYFUNCTION("""COMPUTED_VALUE"""),3.0)</f>
        <v>3</v>
      </c>
    </row>
    <row r="266">
      <c r="A266" s="125">
        <f>IFERROR(__xludf.DUMMYFUNCTION("""COMPUTED_VALUE"""),7.0)</f>
        <v>7</v>
      </c>
      <c r="B266" s="36" t="str">
        <f>IFERROR(__xludf.DUMMYFUNCTION("""COMPUTED_VALUE"""),"Andrew Wen")</f>
        <v>Andrew Wen</v>
      </c>
      <c r="C266" s="131">
        <f>IFERROR(__xludf.DUMMYFUNCTION("""COMPUTED_VALUE"""),6.0)</f>
        <v>6</v>
      </c>
      <c r="D266" s="131">
        <f>IFERROR(__xludf.DUMMYFUNCTION("""COMPUTED_VALUE"""),6.0)</f>
        <v>6</v>
      </c>
      <c r="E266" s="131">
        <f>IFERROR(__xludf.DUMMYFUNCTION("""COMPUTED_VALUE"""),3.0)</f>
        <v>3</v>
      </c>
      <c r="F266" s="131">
        <f>IFERROR(__xludf.DUMMYFUNCTION("""COMPUTED_VALUE"""),15.0)</f>
        <v>15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IFERROR(__xludf.DUMMYFUNCTION("""COMPUTED_VALUE"""),"Frank Moon")</f>
        <v>Frank Moon</v>
      </c>
      <c r="C267" s="134">
        <f>IFERROR(__xludf.DUMMYFUNCTION("""COMPUTED_VALUE"""),5.0)</f>
        <v>5</v>
      </c>
      <c r="D267" s="134">
        <f>IFERROR(__xludf.DUMMYFUNCTION("""COMPUTED_VALUE"""),6.0)</f>
        <v>6</v>
      </c>
      <c r="E267" s="134">
        <f>IFERROR(__xludf.DUMMYFUNCTION("""COMPUTED_VALUE"""),6.0)</f>
        <v>6</v>
      </c>
      <c r="F267" s="134">
        <f>IFERROR(__xludf.DUMMYFUNCTION("""COMPUTED_VALUE"""),17.0)</f>
        <v>17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IFERROR(__xludf.DUMMYFUNCTION("""COMPUTED_VALUE"""),"Lloyd Sagar")</f>
        <v>Lloyd Sagar</v>
      </c>
      <c r="C268" s="134">
        <f>IFERROR(__xludf.DUMMYFUNCTION("""COMPUTED_VALUE"""),7.0)</f>
        <v>7</v>
      </c>
      <c r="D268" s="134">
        <f>IFERROR(__xludf.DUMMYFUNCTION("""COMPUTED_VALUE"""),6.0)</f>
        <v>6</v>
      </c>
      <c r="E268" s="134">
        <f>IFERROR(__xludf.DUMMYFUNCTION("""COMPUTED_VALUE"""),3.0)</f>
        <v>3</v>
      </c>
      <c r="F268" s="134">
        <f>IFERROR(__xludf.DUMMYFUNCTION("""COMPUTED_VALUE"""),16.0)</f>
        <v>16</v>
      </c>
      <c r="G268" s="134">
        <f>IFERROR(__xludf.DUMMYFUNCTION("""COMPUTED_VALUE"""),2.0)</f>
        <v>2</v>
      </c>
    </row>
    <row r="269">
      <c r="A269" s="132">
        <f>IFERROR(__xludf.DUMMYFUNCTION("""COMPUTED_VALUE"""),8.0)</f>
        <v>8</v>
      </c>
      <c r="B269" s="133" t="str">
        <f>IFERROR(__xludf.DUMMYFUNCTION("""COMPUTED_VALUE"""),"Eric Tan")</f>
        <v>Eric Tan</v>
      </c>
      <c r="C269" s="134">
        <f>IFERROR(__xludf.DUMMYFUNCTION("""COMPUTED_VALUE"""),5.0)</f>
        <v>5</v>
      </c>
      <c r="D269" s="134">
        <f>IFERROR(__xludf.DUMMYFUNCTION("""COMPUTED_VALUE"""),3.0)</f>
        <v>3</v>
      </c>
      <c r="E269" s="134">
        <f>IFERROR(__xludf.DUMMYFUNCTION("""COMPUTED_VALUE"""),3.0)</f>
        <v>3</v>
      </c>
      <c r="F269" s="134">
        <f>IFERROR(__xludf.DUMMYFUNCTION("""COMPUTED_VALUE"""),11.0)</f>
        <v>11</v>
      </c>
      <c r="G269" s="134">
        <f>IFERROR(__xludf.DUMMYFUNCTION("""COMPUTED_VALUE"""),0.0)</f>
        <v>0</v>
      </c>
    </row>
    <row r="270">
      <c r="A270" s="132">
        <f>IFERROR(__xludf.DUMMYFUNCTION("""COMPUTED_VALUE"""),8.0)</f>
        <v>8</v>
      </c>
      <c r="B270" s="133" t="str">
        <f>IFERROR(__xludf.DUMMYFUNCTION("""COMPUTED_VALUE"""),"Susanta Mishra")</f>
        <v>Susanta Mishra</v>
      </c>
      <c r="C270" s="134">
        <f>IFERROR(__xludf.DUMMYFUNCTION("""COMPUTED_VALUE"""),7.0)</f>
        <v>7</v>
      </c>
      <c r="D270" s="134">
        <f>IFERROR(__xludf.DUMMYFUNCTION("""COMPUTED_VALUE"""),3.0)</f>
        <v>3</v>
      </c>
      <c r="E270" s="134">
        <f>IFERROR(__xludf.DUMMYFUNCTION("""COMPUTED_VALUE"""),6.0)</f>
        <v>6</v>
      </c>
      <c r="F270" s="134">
        <f>IFERROR(__xludf.DUMMYFUNCTION("""COMPUTED_VALUE"""),16.0)</f>
        <v>16</v>
      </c>
      <c r="G270" s="134">
        <f>IFERROR(__xludf.DUMMYFUNCTION("""COMPUTED_VALUE"""),2.0)</f>
        <v>2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46270.0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10.0</v>
      </c>
      <c r="E2" s="2"/>
      <c r="F2" s="2"/>
      <c r="R2" s="19"/>
      <c r="AC2" s="23" t="str">
        <f>TEXT(C1-7,"mm/dd/yy")</f>
        <v>08/29/26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52</v>
      </c>
      <c r="C5" s="37">
        <v>137.0</v>
      </c>
      <c r="D5" s="37">
        <v>14.0</v>
      </c>
      <c r="E5" s="42">
        <f t="shared" ref="E5:E71" si="2">if(S5&gt;0,(C5-(V5*9)-(T5*13))/S5,0)</f>
        <v>13.77777778</v>
      </c>
      <c r="F5" s="89">
        <v>1.0</v>
      </c>
      <c r="G5" s="90">
        <v>1.0</v>
      </c>
      <c r="H5" s="91">
        <v>0.0</v>
      </c>
      <c r="I5" s="90">
        <v>1.0</v>
      </c>
      <c r="J5" s="90">
        <v>2.0</v>
      </c>
      <c r="K5" s="90">
        <v>5.0</v>
      </c>
      <c r="L5" s="92">
        <v>8.0</v>
      </c>
      <c r="M5" s="90">
        <v>0.0</v>
      </c>
      <c r="N5" s="37">
        <f t="shared" ref="N5:O5" si="1">C5+L5</f>
        <v>145</v>
      </c>
      <c r="O5" s="37">
        <f t="shared" si="1"/>
        <v>14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9</v>
      </c>
      <c r="T5" s="52">
        <f t="shared" ref="T5:T71" si="5">if(H5=13,1,0)+vlookup(B5,indirect("'" &amp; AC$2 &amp; "'!B5:W71"),19,false)</f>
        <v>1</v>
      </c>
      <c r="U5" s="52"/>
      <c r="V5" s="51">
        <f t="shared" ref="V5:V71" si="6">vlookup(B5,indirect("'" &amp; AC$2 &amp; "'!B5:W71"),21,false)+if(text(C$1,"mm/dd/yy")=$AC$2,0,if(H5=9,1,0))</f>
        <v>0</v>
      </c>
      <c r="W5" s="52">
        <f t="shared" ref="W5:W71" si="7">vlookup(B5,indirect("'" &amp; AC$2 &amp; "'!B5:x71"),23,false)-X5</f>
        <v>1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80</v>
      </c>
      <c r="C6" s="37">
        <v>136.0</v>
      </c>
      <c r="D6" s="37">
        <v>12.0</v>
      </c>
      <c r="E6" s="42">
        <f t="shared" si="2"/>
        <v>16</v>
      </c>
      <c r="F6" s="89">
        <v>3.0</v>
      </c>
      <c r="G6" s="90">
        <v>0.0</v>
      </c>
      <c r="H6" s="91">
        <v>9.0</v>
      </c>
      <c r="I6" s="90">
        <v>0.0</v>
      </c>
      <c r="J6" s="90">
        <v>0.0</v>
      </c>
      <c r="K6" s="90">
        <v>0.0</v>
      </c>
      <c r="L6" s="92">
        <v>9.0</v>
      </c>
      <c r="M6" s="90">
        <v>0.0</v>
      </c>
      <c r="N6" s="37">
        <f t="shared" ref="N6:O6" si="3">C6+L6</f>
        <v>145</v>
      </c>
      <c r="O6" s="37">
        <f t="shared" si="3"/>
        <v>12</v>
      </c>
      <c r="P6" s="50" t="s">
        <v>60</v>
      </c>
      <c r="Q6" s="50" t="s">
        <v>60</v>
      </c>
      <c r="R6" s="50" t="s">
        <v>60</v>
      </c>
      <c r="S6" s="51">
        <f t="shared" si="4"/>
        <v>6</v>
      </c>
      <c r="T6" s="52">
        <f t="shared" si="5"/>
        <v>1</v>
      </c>
      <c r="U6" s="52"/>
      <c r="V6" s="51">
        <f t="shared" si="6"/>
        <v>3</v>
      </c>
      <c r="W6" s="52">
        <f t="shared" si="7"/>
        <v>-1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85</v>
      </c>
      <c r="C7" s="37">
        <v>131.0</v>
      </c>
      <c r="D7" s="37">
        <v>18.0</v>
      </c>
      <c r="E7" s="42">
        <f t="shared" si="2"/>
        <v>14.125</v>
      </c>
      <c r="F7" s="89">
        <v>1.0</v>
      </c>
      <c r="G7" s="90">
        <v>1.0</v>
      </c>
      <c r="H7" s="91">
        <v>0.0</v>
      </c>
      <c r="I7" s="90">
        <v>6.0</v>
      </c>
      <c r="J7" s="90">
        <v>6.0</v>
      </c>
      <c r="K7" s="90">
        <v>5.0</v>
      </c>
      <c r="L7" s="92">
        <v>17.0</v>
      </c>
      <c r="M7" s="90">
        <v>2.0</v>
      </c>
      <c r="N7" s="37">
        <f t="shared" ref="N7:O7" si="11">C7+L7</f>
        <v>148</v>
      </c>
      <c r="O7" s="37">
        <f t="shared" si="11"/>
        <v>20</v>
      </c>
      <c r="P7" s="50" t="s">
        <v>60</v>
      </c>
      <c r="Q7" s="50" t="s">
        <v>60</v>
      </c>
      <c r="R7" s="50" t="s">
        <v>60</v>
      </c>
      <c r="S7" s="51">
        <f t="shared" si="4"/>
        <v>8</v>
      </c>
      <c r="T7" s="52">
        <f t="shared" si="5"/>
        <v>0</v>
      </c>
      <c r="U7" s="52"/>
      <c r="V7" s="51">
        <f t="shared" si="6"/>
        <v>2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88</v>
      </c>
      <c r="C8" s="37">
        <v>129.0</v>
      </c>
      <c r="D8" s="37">
        <v>14.0</v>
      </c>
      <c r="E8" s="42">
        <f t="shared" si="2"/>
        <v>12.88888889</v>
      </c>
      <c r="F8" s="89">
        <v>1.0</v>
      </c>
      <c r="G8" s="90">
        <v>1.0</v>
      </c>
      <c r="H8" s="91">
        <v>0.0</v>
      </c>
      <c r="I8" s="90">
        <v>6.0</v>
      </c>
      <c r="J8" s="90">
        <v>2.0</v>
      </c>
      <c r="K8" s="90">
        <v>7.0</v>
      </c>
      <c r="L8" s="92">
        <v>15.0</v>
      </c>
      <c r="M8" s="90">
        <v>2.0</v>
      </c>
      <c r="N8" s="37">
        <f t="shared" ref="N8:O8" si="13">C8+L8</f>
        <v>144</v>
      </c>
      <c r="O8" s="37">
        <f t="shared" si="13"/>
        <v>16</v>
      </c>
      <c r="P8" s="50" t="s">
        <v>60</v>
      </c>
      <c r="Q8" s="50" t="s">
        <v>60</v>
      </c>
      <c r="R8" s="50" t="s">
        <v>60</v>
      </c>
      <c r="S8" s="51">
        <f t="shared" si="4"/>
        <v>9</v>
      </c>
      <c r="T8" s="52">
        <f t="shared" si="5"/>
        <v>1</v>
      </c>
      <c r="U8" s="52"/>
      <c r="V8" s="51">
        <f t="shared" si="6"/>
        <v>0</v>
      </c>
      <c r="W8" s="52">
        <f t="shared" si="7"/>
        <v>2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93</v>
      </c>
      <c r="C9" s="37">
        <v>129.0</v>
      </c>
      <c r="D9" s="37">
        <v>10.0</v>
      </c>
      <c r="E9" s="42">
        <f t="shared" si="2"/>
        <v>13.6</v>
      </c>
      <c r="F9" s="89">
        <v>5.0</v>
      </c>
      <c r="G9" s="90">
        <v>0.0</v>
      </c>
      <c r="H9" s="91">
        <v>13.0</v>
      </c>
      <c r="I9" s="90">
        <v>0.0</v>
      </c>
      <c r="J9" s="90">
        <v>0.0</v>
      </c>
      <c r="K9" s="90">
        <v>0.0</v>
      </c>
      <c r="L9" s="92">
        <v>13.0</v>
      </c>
      <c r="M9" s="90">
        <v>0.0</v>
      </c>
      <c r="N9" s="37">
        <f t="shared" ref="N9:O9" si="14">C9+L9</f>
        <v>142</v>
      </c>
      <c r="O9" s="37">
        <f t="shared" si="14"/>
        <v>10</v>
      </c>
      <c r="P9" s="50" t="s">
        <v>60</v>
      </c>
      <c r="Q9" s="50" t="s">
        <v>60</v>
      </c>
      <c r="R9" s="50" t="s">
        <v>60</v>
      </c>
      <c r="S9" s="51">
        <f t="shared" si="4"/>
        <v>5</v>
      </c>
      <c r="T9" s="52">
        <f t="shared" si="5"/>
        <v>4</v>
      </c>
      <c r="U9" s="52"/>
      <c r="V9" s="51">
        <f t="shared" si="6"/>
        <v>1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68</v>
      </c>
      <c r="C10" s="37">
        <v>128.0</v>
      </c>
      <c r="D10" s="37">
        <v>14.0</v>
      </c>
      <c r="E10" s="42">
        <f t="shared" si="2"/>
        <v>14.42857143</v>
      </c>
      <c r="F10" s="89">
        <v>1.0</v>
      </c>
      <c r="G10" s="90">
        <v>1.0</v>
      </c>
      <c r="H10" s="91">
        <v>0.0</v>
      </c>
      <c r="I10" s="90">
        <v>1.0</v>
      </c>
      <c r="J10" s="90">
        <v>6.0</v>
      </c>
      <c r="K10" s="90">
        <v>7.0</v>
      </c>
      <c r="L10" s="92">
        <v>14.0</v>
      </c>
      <c r="M10" s="90">
        <v>2.0</v>
      </c>
      <c r="N10" s="37">
        <f t="shared" ref="N10:O10" si="15">C10+L10</f>
        <v>142</v>
      </c>
      <c r="O10" s="37">
        <f t="shared" si="15"/>
        <v>16</v>
      </c>
      <c r="P10" s="50" t="s">
        <v>60</v>
      </c>
      <c r="Q10" s="50" t="s">
        <v>60</v>
      </c>
      <c r="R10" s="50" t="s">
        <v>60</v>
      </c>
      <c r="S10" s="51">
        <f t="shared" si="4"/>
        <v>7</v>
      </c>
      <c r="T10" s="52">
        <f t="shared" si="5"/>
        <v>0</v>
      </c>
      <c r="U10" s="52"/>
      <c r="V10" s="51">
        <f t="shared" si="6"/>
        <v>3</v>
      </c>
      <c r="W10" s="52">
        <f t="shared" si="7"/>
        <v>5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91</v>
      </c>
      <c r="C11" s="37">
        <v>124.0</v>
      </c>
      <c r="D11" s="37">
        <v>9.0</v>
      </c>
      <c r="E11" s="42">
        <f t="shared" si="2"/>
        <v>12.66666667</v>
      </c>
      <c r="F11" s="89">
        <v>1.0</v>
      </c>
      <c r="G11" s="90">
        <v>2.0</v>
      </c>
      <c r="H11" s="91">
        <v>0.0</v>
      </c>
      <c r="I11" s="90">
        <v>7.0</v>
      </c>
      <c r="J11" s="90">
        <v>3.0</v>
      </c>
      <c r="K11" s="90">
        <v>6.0</v>
      </c>
      <c r="L11" s="92">
        <v>16.0</v>
      </c>
      <c r="M11" s="90">
        <v>1.0</v>
      </c>
      <c r="N11" s="37">
        <f t="shared" ref="N11:O11" si="16">C11+L11</f>
        <v>140</v>
      </c>
      <c r="O11" s="37">
        <f t="shared" si="16"/>
        <v>10</v>
      </c>
      <c r="P11" s="50" t="s">
        <v>60</v>
      </c>
      <c r="Q11" s="50" t="s">
        <v>60</v>
      </c>
      <c r="R11" s="50" t="s">
        <v>60</v>
      </c>
      <c r="S11" s="51">
        <f t="shared" si="4"/>
        <v>6</v>
      </c>
      <c r="T11" s="52">
        <f t="shared" si="5"/>
        <v>3</v>
      </c>
      <c r="U11" s="52"/>
      <c r="V11" s="51">
        <f t="shared" si="6"/>
        <v>1</v>
      </c>
      <c r="W11" s="52">
        <f t="shared" si="7"/>
        <v>3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74</v>
      </c>
      <c r="C12" s="37">
        <v>123.0</v>
      </c>
      <c r="D12" s="37">
        <v>11.0</v>
      </c>
      <c r="E12" s="42">
        <f t="shared" si="2"/>
        <v>12.625</v>
      </c>
      <c r="F12" s="89">
        <v>1.0</v>
      </c>
      <c r="G12" s="90">
        <v>2.0</v>
      </c>
      <c r="H12" s="91">
        <v>0.0</v>
      </c>
      <c r="I12" s="90">
        <v>7.0</v>
      </c>
      <c r="J12" s="90">
        <v>6.0</v>
      </c>
      <c r="K12" s="90">
        <v>7.0</v>
      </c>
      <c r="L12" s="92">
        <v>20.0</v>
      </c>
      <c r="M12" s="90">
        <v>3.0</v>
      </c>
      <c r="N12" s="37">
        <f t="shared" ref="N12:O12" si="17">C12+L12</f>
        <v>143</v>
      </c>
      <c r="O12" s="37">
        <f t="shared" si="17"/>
        <v>14</v>
      </c>
      <c r="P12" s="50" t="s">
        <v>60</v>
      </c>
      <c r="Q12" s="50" t="s">
        <v>60</v>
      </c>
      <c r="R12" s="50" t="s">
        <v>60</v>
      </c>
      <c r="S12" s="51">
        <f t="shared" si="4"/>
        <v>8</v>
      </c>
      <c r="T12" s="52">
        <f t="shared" si="5"/>
        <v>1</v>
      </c>
      <c r="U12" s="52"/>
      <c r="V12" s="51">
        <f t="shared" si="6"/>
        <v>1</v>
      </c>
      <c r="W12" s="52">
        <f t="shared" si="7"/>
        <v>0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97</v>
      </c>
      <c r="C13" s="37">
        <v>122.0</v>
      </c>
      <c r="D13" s="37">
        <v>11.0</v>
      </c>
      <c r="E13" s="42">
        <f t="shared" si="2"/>
        <v>12.2</v>
      </c>
      <c r="F13" s="89">
        <v>1.0</v>
      </c>
      <c r="G13" s="90">
        <v>2.0</v>
      </c>
      <c r="H13" s="91">
        <v>0.0</v>
      </c>
      <c r="I13" s="90">
        <v>5.0</v>
      </c>
      <c r="J13" s="90">
        <v>6.0</v>
      </c>
      <c r="K13" s="90">
        <v>6.0</v>
      </c>
      <c r="L13" s="92">
        <v>17.0</v>
      </c>
      <c r="M13" s="90">
        <v>1.0</v>
      </c>
      <c r="N13" s="37">
        <f t="shared" ref="N13:O13" si="18">C13+L13</f>
        <v>139</v>
      </c>
      <c r="O13" s="37">
        <f t="shared" si="18"/>
        <v>12</v>
      </c>
      <c r="P13" s="50" t="s">
        <v>60</v>
      </c>
      <c r="Q13" s="50" t="s">
        <v>60</v>
      </c>
      <c r="R13" s="50" t="s">
        <v>60</v>
      </c>
      <c r="S13" s="51">
        <f t="shared" si="4"/>
        <v>10</v>
      </c>
      <c r="T13" s="52">
        <f t="shared" si="5"/>
        <v>0</v>
      </c>
      <c r="U13" s="52"/>
      <c r="V13" s="51">
        <f t="shared" si="6"/>
        <v>0</v>
      </c>
      <c r="W13" s="52">
        <f t="shared" si="7"/>
        <v>0</v>
      </c>
      <c r="X13" s="35">
        <f t="shared" si="12"/>
        <v>9</v>
      </c>
      <c r="Y13" s="35" t="str">
        <f t="shared" si="8"/>
        <v>Y</v>
      </c>
      <c r="Z13" s="22" t="str">
        <f t="shared" si="9"/>
        <v/>
      </c>
    </row>
    <row r="14">
      <c r="A14" s="35">
        <f t="shared" si="10"/>
        <v>10</v>
      </c>
      <c r="B14" s="36" t="s">
        <v>121</v>
      </c>
      <c r="C14" s="37">
        <v>121.0</v>
      </c>
      <c r="D14" s="37">
        <v>13.0</v>
      </c>
      <c r="E14" s="42">
        <f t="shared" si="2"/>
        <v>15.2</v>
      </c>
      <c r="F14" s="89">
        <v>3.0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130</v>
      </c>
      <c r="O14" s="37">
        <f t="shared" si="19"/>
        <v>13</v>
      </c>
      <c r="P14" s="50" t="s">
        <v>60</v>
      </c>
      <c r="Q14" s="50" t="s">
        <v>60</v>
      </c>
      <c r="R14" s="50" t="s">
        <v>60</v>
      </c>
      <c r="S14" s="51">
        <f t="shared" si="4"/>
        <v>5</v>
      </c>
      <c r="T14" s="52">
        <f t="shared" si="5"/>
        <v>0</v>
      </c>
      <c r="U14" s="52"/>
      <c r="V14" s="51">
        <f t="shared" si="6"/>
        <v>5</v>
      </c>
      <c r="W14" s="52">
        <f t="shared" si="7"/>
        <v>12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131</v>
      </c>
      <c r="C15" s="37">
        <v>121.0</v>
      </c>
      <c r="D15" s="37">
        <v>12.0</v>
      </c>
      <c r="E15" s="42">
        <f t="shared" si="2"/>
        <v>12</v>
      </c>
      <c r="F15" s="89">
        <v>1.0</v>
      </c>
      <c r="G15" s="90">
        <v>2.0</v>
      </c>
      <c r="H15" s="91">
        <v>0.0</v>
      </c>
      <c r="I15" s="90">
        <v>5.0</v>
      </c>
      <c r="J15" s="90">
        <v>3.0</v>
      </c>
      <c r="K15" s="90">
        <v>7.0</v>
      </c>
      <c r="L15" s="92">
        <v>15.0</v>
      </c>
      <c r="M15" s="90">
        <v>1.0</v>
      </c>
      <c r="N15" s="37">
        <f t="shared" ref="N15:O15" si="20">C15+L15</f>
        <v>136</v>
      </c>
      <c r="O15" s="37">
        <f t="shared" si="20"/>
        <v>13</v>
      </c>
      <c r="P15" s="50" t="s">
        <v>60</v>
      </c>
      <c r="Q15" s="50" t="s">
        <v>60</v>
      </c>
      <c r="R15" s="50" t="s">
        <v>60</v>
      </c>
      <c r="S15" s="51">
        <f t="shared" si="4"/>
        <v>9</v>
      </c>
      <c r="T15" s="52">
        <f t="shared" si="5"/>
        <v>1</v>
      </c>
      <c r="U15" s="52"/>
      <c r="V15" s="51">
        <f t="shared" si="6"/>
        <v>0</v>
      </c>
      <c r="W15" s="52">
        <f t="shared" si="7"/>
        <v>-6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92</v>
      </c>
      <c r="C16" s="37">
        <v>121.0</v>
      </c>
      <c r="D16" s="37">
        <v>11.0</v>
      </c>
      <c r="E16" s="42">
        <f t="shared" si="2"/>
        <v>14.4</v>
      </c>
      <c r="F16" s="89">
        <v>1.0</v>
      </c>
      <c r="G16" s="90">
        <v>3.0</v>
      </c>
      <c r="H16" s="91">
        <v>0.0</v>
      </c>
      <c r="I16" s="90">
        <v>6.0</v>
      </c>
      <c r="J16" s="90">
        <v>6.0</v>
      </c>
      <c r="K16" s="90">
        <v>6.0</v>
      </c>
      <c r="L16" s="92">
        <v>18.0</v>
      </c>
      <c r="M16" s="90">
        <v>3.0</v>
      </c>
      <c r="N16" s="37">
        <f t="shared" ref="N16:O16" si="21">C16+L16</f>
        <v>139</v>
      </c>
      <c r="O16" s="37">
        <f t="shared" si="21"/>
        <v>14</v>
      </c>
      <c r="P16" s="50" t="s">
        <v>60</v>
      </c>
      <c r="Q16" s="50" t="s">
        <v>60</v>
      </c>
      <c r="R16" s="50" t="s">
        <v>60</v>
      </c>
      <c r="S16" s="51">
        <f t="shared" si="4"/>
        <v>5</v>
      </c>
      <c r="T16" s="52">
        <f t="shared" si="5"/>
        <v>1</v>
      </c>
      <c r="U16" s="52"/>
      <c r="V16" s="51">
        <f t="shared" si="6"/>
        <v>4</v>
      </c>
      <c r="W16" s="52">
        <f t="shared" si="7"/>
        <v>-5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115</v>
      </c>
      <c r="C17" s="37">
        <v>121.0</v>
      </c>
      <c r="D17" s="37">
        <v>9.0</v>
      </c>
      <c r="E17" s="42">
        <f t="shared" si="2"/>
        <v>12.85714286</v>
      </c>
      <c r="F17" s="89">
        <v>1.0</v>
      </c>
      <c r="G17" s="90">
        <v>3.0</v>
      </c>
      <c r="H17" s="91">
        <v>0.0</v>
      </c>
      <c r="I17" s="90">
        <v>3.0</v>
      </c>
      <c r="J17" s="90">
        <v>6.0</v>
      </c>
      <c r="K17" s="90">
        <v>2.0</v>
      </c>
      <c r="L17" s="92">
        <v>11.0</v>
      </c>
      <c r="M17" s="90">
        <v>1.0</v>
      </c>
      <c r="N17" s="37">
        <f t="shared" ref="N17:O17" si="22">C17+L17</f>
        <v>132</v>
      </c>
      <c r="O17" s="37">
        <f t="shared" si="22"/>
        <v>10</v>
      </c>
      <c r="P17" s="50" t="s">
        <v>60</v>
      </c>
      <c r="Q17" s="50" t="s">
        <v>60</v>
      </c>
      <c r="R17" s="50" t="s">
        <v>60</v>
      </c>
      <c r="S17" s="51">
        <f t="shared" si="4"/>
        <v>7</v>
      </c>
      <c r="T17" s="52">
        <f t="shared" si="5"/>
        <v>1</v>
      </c>
      <c r="U17" s="52"/>
      <c r="V17" s="51">
        <f t="shared" si="6"/>
        <v>2</v>
      </c>
      <c r="W17" s="52">
        <f t="shared" si="7"/>
        <v>5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113</v>
      </c>
      <c r="C18" s="37">
        <v>121.0</v>
      </c>
      <c r="D18" s="37">
        <v>8.0</v>
      </c>
      <c r="E18" s="42">
        <f t="shared" si="2"/>
        <v>12.85714286</v>
      </c>
      <c r="F18" s="89">
        <v>1.0</v>
      </c>
      <c r="G18" s="90">
        <v>3.0</v>
      </c>
      <c r="H18" s="91">
        <v>0.0</v>
      </c>
      <c r="I18" s="90">
        <v>6.0</v>
      </c>
      <c r="J18" s="90">
        <v>1.0</v>
      </c>
      <c r="K18" s="90">
        <v>2.0</v>
      </c>
      <c r="L18" s="92">
        <v>9.0</v>
      </c>
      <c r="M18" s="90">
        <v>1.0</v>
      </c>
      <c r="N18" s="37">
        <f t="shared" ref="N18:O18" si="23">C18+L18</f>
        <v>130</v>
      </c>
      <c r="O18" s="37">
        <f t="shared" si="23"/>
        <v>9</v>
      </c>
      <c r="P18" s="50" t="s">
        <v>60</v>
      </c>
      <c r="Q18" s="50" t="s">
        <v>60</v>
      </c>
      <c r="R18" s="50" t="s">
        <v>60</v>
      </c>
      <c r="S18" s="51">
        <f t="shared" si="4"/>
        <v>7</v>
      </c>
      <c r="T18" s="52">
        <f t="shared" si="5"/>
        <v>1</v>
      </c>
      <c r="U18" s="52"/>
      <c r="V18" s="51">
        <f t="shared" si="6"/>
        <v>2</v>
      </c>
      <c r="W18" s="52">
        <f t="shared" si="7"/>
        <v>6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122</v>
      </c>
      <c r="C19" s="37">
        <v>120.0</v>
      </c>
      <c r="D19" s="37">
        <v>13.0</v>
      </c>
      <c r="E19" s="42">
        <f t="shared" si="2"/>
        <v>13.33333333</v>
      </c>
      <c r="F19" s="89">
        <v>5.0</v>
      </c>
      <c r="G19" s="90">
        <v>0.0</v>
      </c>
      <c r="H19" s="91">
        <v>13.0</v>
      </c>
      <c r="I19" s="90">
        <v>0.0</v>
      </c>
      <c r="J19" s="90">
        <v>0.0</v>
      </c>
      <c r="K19" s="90">
        <v>0.0</v>
      </c>
      <c r="L19" s="92">
        <v>13.0</v>
      </c>
      <c r="M19" s="90">
        <v>0.0</v>
      </c>
      <c r="N19" s="37">
        <f t="shared" ref="N19:O19" si="24">C19+L19</f>
        <v>133</v>
      </c>
      <c r="O19" s="37">
        <f t="shared" si="24"/>
        <v>13</v>
      </c>
      <c r="P19" s="50" t="s">
        <v>60</v>
      </c>
      <c r="Q19" s="50" t="s">
        <v>60</v>
      </c>
      <c r="R19" s="50" t="s">
        <v>60</v>
      </c>
      <c r="S19" s="51">
        <f t="shared" si="4"/>
        <v>6</v>
      </c>
      <c r="T19" s="52">
        <f t="shared" si="5"/>
        <v>1</v>
      </c>
      <c r="U19" s="52"/>
      <c r="V19" s="51">
        <f t="shared" si="6"/>
        <v>3</v>
      </c>
      <c r="W19" s="52">
        <f t="shared" si="7"/>
        <v>-1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140</v>
      </c>
      <c r="C20" s="37">
        <v>120.0</v>
      </c>
      <c r="D20" s="37">
        <v>12.0</v>
      </c>
      <c r="E20" s="42">
        <f t="shared" si="2"/>
        <v>12</v>
      </c>
      <c r="F20" s="89">
        <v>1.0</v>
      </c>
      <c r="G20" s="90">
        <v>3.0</v>
      </c>
      <c r="H20" s="91">
        <v>0.0</v>
      </c>
      <c r="I20" s="90">
        <v>3.0</v>
      </c>
      <c r="J20" s="90">
        <v>1.0</v>
      </c>
      <c r="K20" s="90">
        <v>6.0</v>
      </c>
      <c r="L20" s="92">
        <v>10.0</v>
      </c>
      <c r="M20" s="90">
        <v>1.0</v>
      </c>
      <c r="N20" s="37">
        <f t="shared" ref="N20:O20" si="25">C20+L20</f>
        <v>130</v>
      </c>
      <c r="O20" s="37">
        <f t="shared" si="25"/>
        <v>13</v>
      </c>
      <c r="P20" s="50" t="s">
        <v>60</v>
      </c>
      <c r="Q20" s="50" t="s">
        <v>60</v>
      </c>
      <c r="R20" s="50" t="s">
        <v>60</v>
      </c>
      <c r="S20" s="51">
        <f t="shared" si="4"/>
        <v>10</v>
      </c>
      <c r="T20" s="52">
        <f t="shared" si="5"/>
        <v>0</v>
      </c>
      <c r="U20" s="52"/>
      <c r="V20" s="51">
        <f t="shared" si="6"/>
        <v>0</v>
      </c>
      <c r="W20" s="52">
        <f t="shared" si="7"/>
        <v>-1</v>
      </c>
      <c r="X20" s="35">
        <f t="shared" si="12"/>
        <v>16</v>
      </c>
      <c r="Y20" s="35" t="str">
        <f t="shared" si="8"/>
        <v>Y</v>
      </c>
      <c r="Z20" s="22" t="str">
        <f t="shared" si="9"/>
        <v/>
      </c>
    </row>
    <row r="21">
      <c r="A21" s="35">
        <f t="shared" si="10"/>
        <v>17</v>
      </c>
      <c r="B21" s="36" t="s">
        <v>108</v>
      </c>
      <c r="C21" s="37">
        <v>120.0</v>
      </c>
      <c r="D21" s="37">
        <v>7.0</v>
      </c>
      <c r="E21" s="42">
        <f t="shared" si="2"/>
        <v>11.33333333</v>
      </c>
      <c r="F21" s="89">
        <v>5.0</v>
      </c>
      <c r="G21" s="90">
        <v>0.0</v>
      </c>
      <c r="H21" s="91">
        <v>13.0</v>
      </c>
      <c r="I21" s="90">
        <v>0.0</v>
      </c>
      <c r="J21" s="90">
        <v>0.0</v>
      </c>
      <c r="K21" s="90">
        <v>0.0</v>
      </c>
      <c r="L21" s="92">
        <v>13.0</v>
      </c>
      <c r="M21" s="90">
        <v>0.0</v>
      </c>
      <c r="N21" s="37">
        <f t="shared" ref="N21:O21" si="26">C21+L21</f>
        <v>133</v>
      </c>
      <c r="O21" s="37">
        <f t="shared" si="26"/>
        <v>7</v>
      </c>
      <c r="P21" s="50" t="s">
        <v>60</v>
      </c>
      <c r="Q21" s="50" t="s">
        <v>60</v>
      </c>
      <c r="R21" s="50" t="s">
        <v>60</v>
      </c>
      <c r="S21" s="51">
        <f t="shared" si="4"/>
        <v>6</v>
      </c>
      <c r="T21" s="52">
        <f t="shared" si="5"/>
        <v>4</v>
      </c>
      <c r="U21" s="52"/>
      <c r="V21" s="51">
        <f t="shared" si="6"/>
        <v>0</v>
      </c>
      <c r="W21" s="52">
        <f t="shared" si="7"/>
        <v>4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118</v>
      </c>
      <c r="C22" s="37">
        <v>119.0</v>
      </c>
      <c r="D22" s="37">
        <v>12.0</v>
      </c>
      <c r="E22" s="42">
        <f t="shared" si="2"/>
        <v>11.625</v>
      </c>
      <c r="F22" s="89">
        <v>5.0</v>
      </c>
      <c r="G22" s="90">
        <v>0.0</v>
      </c>
      <c r="H22" s="91">
        <v>13.0</v>
      </c>
      <c r="I22" s="90">
        <v>0.0</v>
      </c>
      <c r="J22" s="90">
        <v>0.0</v>
      </c>
      <c r="K22" s="90">
        <v>0.0</v>
      </c>
      <c r="L22" s="92">
        <v>13.0</v>
      </c>
      <c r="M22" s="90">
        <v>0.0</v>
      </c>
      <c r="N22" s="37">
        <f t="shared" ref="N22:O22" si="27">C22+L22</f>
        <v>132</v>
      </c>
      <c r="O22" s="37">
        <f t="shared" si="27"/>
        <v>12</v>
      </c>
      <c r="P22" s="50" t="s">
        <v>60</v>
      </c>
      <c r="Q22" s="50" t="s">
        <v>60</v>
      </c>
      <c r="R22" s="50" t="s">
        <v>60</v>
      </c>
      <c r="S22" s="51">
        <f t="shared" si="4"/>
        <v>8</v>
      </c>
      <c r="T22" s="52">
        <f t="shared" si="5"/>
        <v>2</v>
      </c>
      <c r="U22" s="52"/>
      <c r="V22" s="51">
        <f t="shared" si="6"/>
        <v>0</v>
      </c>
      <c r="W22" s="52">
        <f t="shared" si="7"/>
        <v>-1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126</v>
      </c>
      <c r="C23" s="37">
        <v>118.0</v>
      </c>
      <c r="D23" s="37">
        <v>10.0</v>
      </c>
      <c r="E23" s="42">
        <f t="shared" si="2"/>
        <v>13</v>
      </c>
      <c r="F23" s="89">
        <v>1.0</v>
      </c>
      <c r="G23" s="90">
        <v>4.0</v>
      </c>
      <c r="H23" s="91">
        <v>0.0</v>
      </c>
      <c r="I23" s="90">
        <v>5.0</v>
      </c>
      <c r="J23" s="90">
        <v>6.0</v>
      </c>
      <c r="K23" s="90">
        <v>7.0</v>
      </c>
      <c r="L23" s="92">
        <v>18.0</v>
      </c>
      <c r="M23" s="90">
        <v>2.0</v>
      </c>
      <c r="N23" s="37">
        <f t="shared" ref="N23:O23" si="28">C23+L23</f>
        <v>136</v>
      </c>
      <c r="O23" s="37">
        <f t="shared" si="28"/>
        <v>12</v>
      </c>
      <c r="P23" s="50" t="s">
        <v>60</v>
      </c>
      <c r="Q23" s="50" t="s">
        <v>60</v>
      </c>
      <c r="R23" s="50" t="s">
        <v>60</v>
      </c>
      <c r="S23" s="51">
        <f t="shared" si="4"/>
        <v>6</v>
      </c>
      <c r="T23" s="52">
        <f t="shared" si="5"/>
        <v>1</v>
      </c>
      <c r="U23" s="52"/>
      <c r="V23" s="51">
        <f t="shared" si="6"/>
        <v>3</v>
      </c>
      <c r="W23" s="52">
        <f t="shared" si="7"/>
        <v>5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87</v>
      </c>
      <c r="C24" s="37">
        <v>117.0</v>
      </c>
      <c r="D24" s="37">
        <v>9.0</v>
      </c>
      <c r="E24" s="42">
        <f t="shared" si="2"/>
        <v>11.55555556</v>
      </c>
      <c r="F24" s="89">
        <v>1.0</v>
      </c>
      <c r="G24" s="90">
        <v>4.0</v>
      </c>
      <c r="H24" s="91">
        <v>0.0</v>
      </c>
      <c r="I24" s="90">
        <v>5.0</v>
      </c>
      <c r="J24" s="90">
        <v>1.0</v>
      </c>
      <c r="K24" s="90">
        <v>5.0</v>
      </c>
      <c r="L24" s="92">
        <v>11.0</v>
      </c>
      <c r="M24" s="90">
        <v>0.0</v>
      </c>
      <c r="N24" s="37">
        <f t="shared" ref="N24:O24" si="29">C24+L24</f>
        <v>128</v>
      </c>
      <c r="O24" s="37">
        <f t="shared" si="29"/>
        <v>9</v>
      </c>
      <c r="P24" s="50" t="s">
        <v>60</v>
      </c>
      <c r="Q24" s="50" t="s">
        <v>60</v>
      </c>
      <c r="R24" s="50" t="s">
        <v>60</v>
      </c>
      <c r="S24" s="51">
        <f t="shared" si="4"/>
        <v>9</v>
      </c>
      <c r="T24" s="52">
        <f t="shared" si="5"/>
        <v>1</v>
      </c>
      <c r="U24" s="52"/>
      <c r="V24" s="51">
        <f t="shared" si="6"/>
        <v>0</v>
      </c>
      <c r="W24" s="52">
        <f t="shared" si="7"/>
        <v>-7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107</v>
      </c>
      <c r="C25" s="37">
        <v>116.0</v>
      </c>
      <c r="D25" s="37">
        <v>8.0</v>
      </c>
      <c r="E25" s="42">
        <f t="shared" si="2"/>
        <v>12.6</v>
      </c>
      <c r="F25" s="89">
        <v>1.0</v>
      </c>
      <c r="G25" s="90">
        <v>4.0</v>
      </c>
      <c r="H25" s="91">
        <v>0.0</v>
      </c>
      <c r="I25" s="90">
        <v>7.0</v>
      </c>
      <c r="J25" s="90">
        <v>6.0</v>
      </c>
      <c r="K25" s="90">
        <v>5.0</v>
      </c>
      <c r="L25" s="92">
        <v>18.0</v>
      </c>
      <c r="M25" s="90">
        <v>2.0</v>
      </c>
      <c r="N25" s="37">
        <f t="shared" ref="N25:O25" si="30">C25+L25</f>
        <v>134</v>
      </c>
      <c r="O25" s="37">
        <f t="shared" si="30"/>
        <v>10</v>
      </c>
      <c r="P25" s="50" t="s">
        <v>60</v>
      </c>
      <c r="Q25" s="50" t="s">
        <v>60</v>
      </c>
      <c r="R25" s="50" t="s">
        <v>60</v>
      </c>
      <c r="S25" s="51">
        <f t="shared" si="4"/>
        <v>5</v>
      </c>
      <c r="T25" s="52">
        <f t="shared" si="5"/>
        <v>2</v>
      </c>
      <c r="U25" s="52"/>
      <c r="V25" s="51">
        <f t="shared" si="6"/>
        <v>3</v>
      </c>
      <c r="W25" s="52">
        <f t="shared" si="7"/>
        <v>-9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98</v>
      </c>
      <c r="C26" s="37">
        <v>114.0</v>
      </c>
      <c r="D26" s="37">
        <v>10.0</v>
      </c>
      <c r="E26" s="42">
        <f t="shared" si="2"/>
        <v>11.66666667</v>
      </c>
      <c r="F26" s="89">
        <v>1.0</v>
      </c>
      <c r="G26" s="90">
        <v>4.0</v>
      </c>
      <c r="H26" s="91">
        <v>0.0</v>
      </c>
      <c r="I26" s="90">
        <v>7.0</v>
      </c>
      <c r="J26" s="90">
        <v>1.0</v>
      </c>
      <c r="K26" s="90">
        <v>7.0</v>
      </c>
      <c r="L26" s="92">
        <v>15.0</v>
      </c>
      <c r="M26" s="90">
        <v>2.0</v>
      </c>
      <c r="N26" s="37">
        <f t="shared" ref="N26:O26" si="31">C26+L26</f>
        <v>129</v>
      </c>
      <c r="O26" s="37">
        <f t="shared" si="31"/>
        <v>12</v>
      </c>
      <c r="P26" s="50" t="s">
        <v>60</v>
      </c>
      <c r="Q26" s="50" t="s">
        <v>60</v>
      </c>
      <c r="R26" s="50" t="s">
        <v>60</v>
      </c>
      <c r="S26" s="51">
        <f t="shared" si="4"/>
        <v>9</v>
      </c>
      <c r="T26" s="52">
        <f t="shared" si="5"/>
        <v>0</v>
      </c>
      <c r="U26" s="52"/>
      <c r="V26" s="51">
        <f t="shared" si="6"/>
        <v>1</v>
      </c>
      <c r="W26" s="52">
        <f t="shared" si="7"/>
        <v>-6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136</v>
      </c>
      <c r="C27" s="37">
        <v>113.0</v>
      </c>
      <c r="D27" s="37">
        <v>9.0</v>
      </c>
      <c r="E27" s="42">
        <f t="shared" si="2"/>
        <v>11.375</v>
      </c>
      <c r="F27" s="89">
        <v>1.0</v>
      </c>
      <c r="G27" s="90">
        <v>5.0</v>
      </c>
      <c r="H27" s="91">
        <v>0.0</v>
      </c>
      <c r="I27" s="90">
        <v>3.0</v>
      </c>
      <c r="J27" s="90">
        <v>4.0</v>
      </c>
      <c r="K27" s="90">
        <v>4.0</v>
      </c>
      <c r="L27" s="92">
        <v>11.0</v>
      </c>
      <c r="M27" s="90">
        <v>0.0</v>
      </c>
      <c r="N27" s="37">
        <f t="shared" ref="N27:O27" si="32">C27+L27</f>
        <v>124</v>
      </c>
      <c r="O27" s="37">
        <f t="shared" si="32"/>
        <v>9</v>
      </c>
      <c r="P27" s="50" t="s">
        <v>60</v>
      </c>
      <c r="Q27" s="50" t="s">
        <v>60</v>
      </c>
      <c r="R27" s="50" t="s">
        <v>60</v>
      </c>
      <c r="S27" s="51">
        <f t="shared" si="4"/>
        <v>8</v>
      </c>
      <c r="T27" s="52">
        <f t="shared" si="5"/>
        <v>1</v>
      </c>
      <c r="U27" s="52"/>
      <c r="V27" s="51">
        <f t="shared" si="6"/>
        <v>1</v>
      </c>
      <c r="W27" s="52">
        <f t="shared" si="7"/>
        <v>0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81</v>
      </c>
      <c r="C28" s="37">
        <v>112.0</v>
      </c>
      <c r="D28" s="37">
        <v>9.0</v>
      </c>
      <c r="E28" s="42">
        <f t="shared" si="2"/>
        <v>13.4</v>
      </c>
      <c r="F28" s="89">
        <v>1.0</v>
      </c>
      <c r="G28" s="90">
        <v>5.0</v>
      </c>
      <c r="H28" s="91">
        <v>0.0</v>
      </c>
      <c r="I28" s="90">
        <v>6.0</v>
      </c>
      <c r="J28" s="90">
        <v>6.0</v>
      </c>
      <c r="K28" s="90">
        <v>4.0</v>
      </c>
      <c r="L28" s="92">
        <v>16.0</v>
      </c>
      <c r="M28" s="90">
        <v>2.0</v>
      </c>
      <c r="N28" s="37">
        <f t="shared" ref="N28:O28" si="33">C28+L28</f>
        <v>128</v>
      </c>
      <c r="O28" s="37">
        <f t="shared" si="33"/>
        <v>11</v>
      </c>
      <c r="P28" s="50" t="s">
        <v>60</v>
      </c>
      <c r="Q28" s="50" t="s">
        <v>60</v>
      </c>
      <c r="R28" s="50" t="s">
        <v>60</v>
      </c>
      <c r="S28" s="51">
        <f t="shared" si="4"/>
        <v>5</v>
      </c>
      <c r="T28" s="52">
        <f t="shared" si="5"/>
        <v>0</v>
      </c>
      <c r="U28" s="52"/>
      <c r="V28" s="51">
        <f t="shared" si="6"/>
        <v>5</v>
      </c>
      <c r="W28" s="52">
        <f t="shared" si="7"/>
        <v>-5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135</v>
      </c>
      <c r="C29" s="37">
        <v>111.0</v>
      </c>
      <c r="D29" s="37">
        <v>12.0</v>
      </c>
      <c r="E29" s="42">
        <f t="shared" si="2"/>
        <v>11.625</v>
      </c>
      <c r="F29" s="89">
        <v>1.0</v>
      </c>
      <c r="G29" s="90">
        <v>5.0</v>
      </c>
      <c r="H29" s="91">
        <v>0.0</v>
      </c>
      <c r="I29" s="90">
        <v>6.0</v>
      </c>
      <c r="J29" s="90">
        <v>4.0</v>
      </c>
      <c r="K29" s="90">
        <v>6.0</v>
      </c>
      <c r="L29" s="92">
        <v>16.0</v>
      </c>
      <c r="M29" s="90">
        <v>2.0</v>
      </c>
      <c r="N29" s="37">
        <f t="shared" ref="N29:O29" si="34">C29+L29</f>
        <v>127</v>
      </c>
      <c r="O29" s="37">
        <f t="shared" si="34"/>
        <v>14</v>
      </c>
      <c r="P29" s="50" t="s">
        <v>60</v>
      </c>
      <c r="Q29" s="50" t="s">
        <v>60</v>
      </c>
      <c r="R29" s="50" t="s">
        <v>60</v>
      </c>
      <c r="S29" s="51">
        <f t="shared" si="4"/>
        <v>8</v>
      </c>
      <c r="T29" s="52">
        <f t="shared" si="5"/>
        <v>0</v>
      </c>
      <c r="U29" s="52"/>
      <c r="V29" s="51">
        <f t="shared" si="6"/>
        <v>2</v>
      </c>
      <c r="W29" s="52">
        <f t="shared" si="7"/>
        <v>4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101</v>
      </c>
      <c r="C30" s="37">
        <v>110.0</v>
      </c>
      <c r="D30" s="37">
        <v>11.0</v>
      </c>
      <c r="E30" s="42">
        <f t="shared" si="2"/>
        <v>11.22222222</v>
      </c>
      <c r="F30" s="89">
        <v>1.0</v>
      </c>
      <c r="G30" s="90">
        <v>5.0</v>
      </c>
      <c r="H30" s="91">
        <v>0.0</v>
      </c>
      <c r="I30" s="90">
        <v>3.0</v>
      </c>
      <c r="J30" s="90">
        <v>6.0</v>
      </c>
      <c r="K30" s="90">
        <v>6.0</v>
      </c>
      <c r="L30" s="92">
        <v>15.0</v>
      </c>
      <c r="M30" s="90">
        <v>2.0</v>
      </c>
      <c r="N30" s="37">
        <f t="shared" ref="N30:O30" si="35">C30+L30</f>
        <v>125</v>
      </c>
      <c r="O30" s="37">
        <f t="shared" si="35"/>
        <v>13</v>
      </c>
      <c r="P30" s="50" t="s">
        <v>60</v>
      </c>
      <c r="Q30" s="50" t="s">
        <v>60</v>
      </c>
      <c r="R30" s="50" t="s">
        <v>60</v>
      </c>
      <c r="S30" s="51">
        <f t="shared" si="4"/>
        <v>9</v>
      </c>
      <c r="T30" s="52">
        <f t="shared" si="5"/>
        <v>0</v>
      </c>
      <c r="U30" s="52"/>
      <c r="V30" s="51">
        <f t="shared" si="6"/>
        <v>1</v>
      </c>
      <c r="W30" s="52">
        <f t="shared" si="7"/>
        <v>4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130</v>
      </c>
      <c r="C31" s="37">
        <v>109.0</v>
      </c>
      <c r="D31" s="37">
        <v>9.0</v>
      </c>
      <c r="E31" s="42">
        <f t="shared" si="2"/>
        <v>12</v>
      </c>
      <c r="F31" s="89">
        <v>1.0</v>
      </c>
      <c r="G31" s="90">
        <v>6.0</v>
      </c>
      <c r="H31" s="91">
        <v>0.0</v>
      </c>
      <c r="I31" s="90">
        <v>2.0</v>
      </c>
      <c r="J31" s="90">
        <v>6.0</v>
      </c>
      <c r="K31" s="90">
        <v>6.0</v>
      </c>
      <c r="L31" s="92">
        <v>14.0</v>
      </c>
      <c r="M31" s="90">
        <v>2.0</v>
      </c>
      <c r="N31" s="37">
        <f t="shared" ref="N31:O31" si="36">C31+L31</f>
        <v>123</v>
      </c>
      <c r="O31" s="37">
        <f t="shared" si="36"/>
        <v>11</v>
      </c>
      <c r="P31" s="50" t="s">
        <v>60</v>
      </c>
      <c r="Q31" s="50" t="s">
        <v>60</v>
      </c>
      <c r="R31" s="50" t="s">
        <v>60</v>
      </c>
      <c r="S31" s="51">
        <f t="shared" si="4"/>
        <v>5</v>
      </c>
      <c r="T31" s="52">
        <f t="shared" si="5"/>
        <v>1</v>
      </c>
      <c r="U31" s="52"/>
      <c r="V31" s="51">
        <f t="shared" si="6"/>
        <v>4</v>
      </c>
      <c r="W31" s="52">
        <f t="shared" si="7"/>
        <v>8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100</v>
      </c>
      <c r="C32" s="37">
        <v>109.0</v>
      </c>
      <c r="D32" s="37">
        <v>8.0</v>
      </c>
      <c r="E32" s="42">
        <f t="shared" si="2"/>
        <v>11.11111111</v>
      </c>
      <c r="F32" s="89">
        <v>1.0</v>
      </c>
      <c r="G32" s="90">
        <v>6.0</v>
      </c>
      <c r="H32" s="91">
        <v>0.0</v>
      </c>
      <c r="I32" s="90">
        <v>6.0</v>
      </c>
      <c r="J32" s="90">
        <v>6.0</v>
      </c>
      <c r="K32" s="90">
        <v>1.0</v>
      </c>
      <c r="L32" s="92">
        <v>13.0</v>
      </c>
      <c r="M32" s="90">
        <v>2.0</v>
      </c>
      <c r="N32" s="37">
        <f t="shared" ref="N32:O32" si="37">C32+L32</f>
        <v>122</v>
      </c>
      <c r="O32" s="37">
        <f t="shared" si="37"/>
        <v>10</v>
      </c>
      <c r="P32" s="50" t="s">
        <v>60</v>
      </c>
      <c r="Q32" s="50" t="s">
        <v>60</v>
      </c>
      <c r="R32" s="50" t="s">
        <v>60</v>
      </c>
      <c r="S32" s="51">
        <f t="shared" si="4"/>
        <v>9</v>
      </c>
      <c r="T32" s="52">
        <f t="shared" si="5"/>
        <v>0</v>
      </c>
      <c r="U32" s="52"/>
      <c r="V32" s="51">
        <f t="shared" si="6"/>
        <v>1</v>
      </c>
      <c r="W32" s="52">
        <f t="shared" si="7"/>
        <v>-3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127</v>
      </c>
      <c r="C33" s="37">
        <v>107.0</v>
      </c>
      <c r="D33" s="37">
        <v>6.0</v>
      </c>
      <c r="E33" s="42">
        <f t="shared" si="2"/>
        <v>11.25</v>
      </c>
      <c r="F33" s="89">
        <v>3.0</v>
      </c>
      <c r="G33" s="90">
        <v>0.0</v>
      </c>
      <c r="H33" s="91">
        <v>9.0</v>
      </c>
      <c r="I33" s="90">
        <v>0.0</v>
      </c>
      <c r="J33" s="90">
        <v>0.0</v>
      </c>
      <c r="K33" s="90">
        <v>0.0</v>
      </c>
      <c r="L33" s="92">
        <v>9.0</v>
      </c>
      <c r="M33" s="90">
        <v>0.0</v>
      </c>
      <c r="N33" s="37">
        <f t="shared" ref="N33:O33" si="38">C33+L33</f>
        <v>116</v>
      </c>
      <c r="O33" s="37">
        <f t="shared" si="38"/>
        <v>6</v>
      </c>
      <c r="P33" s="50" t="s">
        <v>60</v>
      </c>
      <c r="Q33" s="50" t="s">
        <v>60</v>
      </c>
      <c r="R33" s="50" t="s">
        <v>60</v>
      </c>
      <c r="S33" s="51">
        <f t="shared" si="4"/>
        <v>4</v>
      </c>
      <c r="T33" s="52">
        <f t="shared" si="5"/>
        <v>2</v>
      </c>
      <c r="U33" s="52"/>
      <c r="V33" s="51">
        <f t="shared" si="6"/>
        <v>4</v>
      </c>
      <c r="W33" s="52">
        <f t="shared" si="7"/>
        <v>-3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128</v>
      </c>
      <c r="C34" s="37">
        <v>106.0</v>
      </c>
      <c r="D34" s="37">
        <v>10.0</v>
      </c>
      <c r="E34" s="42">
        <f t="shared" si="2"/>
        <v>12.2</v>
      </c>
      <c r="F34" s="89">
        <v>3.0</v>
      </c>
      <c r="G34" s="90">
        <v>0.0</v>
      </c>
      <c r="H34" s="91">
        <v>9.0</v>
      </c>
      <c r="I34" s="90">
        <v>0.0</v>
      </c>
      <c r="J34" s="90">
        <v>0.0</v>
      </c>
      <c r="K34" s="90">
        <v>0.0</v>
      </c>
      <c r="L34" s="92">
        <v>9.0</v>
      </c>
      <c r="M34" s="90">
        <v>0.0</v>
      </c>
      <c r="N34" s="37">
        <f t="shared" ref="N34:O34" si="39">C34+L34</f>
        <v>115</v>
      </c>
      <c r="O34" s="37">
        <f t="shared" si="39"/>
        <v>10</v>
      </c>
      <c r="P34" s="50" t="s">
        <v>60</v>
      </c>
      <c r="Q34" s="50" t="s">
        <v>60</v>
      </c>
      <c r="R34" s="50" t="s">
        <v>60</v>
      </c>
      <c r="S34" s="51">
        <f t="shared" si="4"/>
        <v>5</v>
      </c>
      <c r="T34" s="52">
        <f t="shared" si="5"/>
        <v>0</v>
      </c>
      <c r="U34" s="52"/>
      <c r="V34" s="51">
        <f t="shared" si="6"/>
        <v>5</v>
      </c>
      <c r="W34" s="52">
        <f t="shared" si="7"/>
        <v>4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94</v>
      </c>
      <c r="C35" s="37">
        <v>106.0</v>
      </c>
      <c r="D35" s="37">
        <v>8.0</v>
      </c>
      <c r="E35" s="42">
        <f t="shared" si="2"/>
        <v>11</v>
      </c>
      <c r="F35" s="89">
        <v>3.0</v>
      </c>
      <c r="G35" s="90">
        <v>0.0</v>
      </c>
      <c r="H35" s="91">
        <v>9.0</v>
      </c>
      <c r="I35" s="90">
        <v>0.0</v>
      </c>
      <c r="J35" s="90">
        <v>0.0</v>
      </c>
      <c r="K35" s="90">
        <v>0.0</v>
      </c>
      <c r="L35" s="92">
        <v>9.0</v>
      </c>
      <c r="M35" s="90">
        <v>0.0</v>
      </c>
      <c r="N35" s="37">
        <f t="shared" ref="N35:O35" si="40">C35+L35</f>
        <v>115</v>
      </c>
      <c r="O35" s="37">
        <f t="shared" si="40"/>
        <v>8</v>
      </c>
      <c r="P35" s="50" t="s">
        <v>60</v>
      </c>
      <c r="Q35" s="50" t="s">
        <v>60</v>
      </c>
      <c r="R35" s="50" t="s">
        <v>60</v>
      </c>
      <c r="S35" s="51">
        <f t="shared" si="4"/>
        <v>6</v>
      </c>
      <c r="T35" s="52">
        <f t="shared" si="5"/>
        <v>1</v>
      </c>
      <c r="U35" s="52"/>
      <c r="V35" s="51">
        <f t="shared" si="6"/>
        <v>3</v>
      </c>
      <c r="W35" s="52">
        <f t="shared" si="7"/>
        <v>-3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102</v>
      </c>
      <c r="C36" s="37">
        <v>105.0</v>
      </c>
      <c r="D36" s="37">
        <v>4.0</v>
      </c>
      <c r="E36" s="42">
        <f t="shared" si="2"/>
        <v>10</v>
      </c>
      <c r="F36" s="89">
        <v>2.0</v>
      </c>
      <c r="G36" s="90">
        <v>6.0</v>
      </c>
      <c r="H36" s="91">
        <v>0.0</v>
      </c>
      <c r="I36" s="90">
        <v>6.0</v>
      </c>
      <c r="J36" s="90">
        <v>3.0</v>
      </c>
      <c r="K36" s="90">
        <v>6.0</v>
      </c>
      <c r="L36" s="92">
        <v>15.0</v>
      </c>
      <c r="M36" s="90">
        <v>2.0</v>
      </c>
      <c r="N36" s="37">
        <f t="shared" ref="N36:O36" si="41">C36+L36</f>
        <v>120</v>
      </c>
      <c r="O36" s="37">
        <f t="shared" si="41"/>
        <v>6</v>
      </c>
      <c r="P36" s="50" t="s">
        <v>60</v>
      </c>
      <c r="Q36" s="50" t="s">
        <v>60</v>
      </c>
      <c r="R36" s="50" t="s">
        <v>60</v>
      </c>
      <c r="S36" s="51">
        <f t="shared" si="4"/>
        <v>3</v>
      </c>
      <c r="T36" s="52">
        <f t="shared" si="5"/>
        <v>3</v>
      </c>
      <c r="U36" s="52"/>
      <c r="V36" s="51">
        <f t="shared" si="6"/>
        <v>4</v>
      </c>
      <c r="W36" s="52">
        <f t="shared" si="7"/>
        <v>1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146</v>
      </c>
      <c r="C37" s="37">
        <v>104.0</v>
      </c>
      <c r="D37" s="37">
        <v>11.0</v>
      </c>
      <c r="E37" s="42">
        <f t="shared" si="2"/>
        <v>10</v>
      </c>
      <c r="F37" s="89">
        <v>5.0</v>
      </c>
      <c r="G37" s="90">
        <v>0.0</v>
      </c>
      <c r="H37" s="91">
        <v>13.0</v>
      </c>
      <c r="I37" s="90">
        <v>0.0</v>
      </c>
      <c r="J37" s="90">
        <v>0.0</v>
      </c>
      <c r="K37" s="90">
        <v>0.0</v>
      </c>
      <c r="L37" s="92">
        <v>13.0</v>
      </c>
      <c r="M37" s="90">
        <v>0.0</v>
      </c>
      <c r="N37" s="37">
        <f t="shared" ref="N37:O37" si="42">C37+L37</f>
        <v>117</v>
      </c>
      <c r="O37" s="37">
        <f t="shared" si="42"/>
        <v>11</v>
      </c>
      <c r="P37" s="50" t="s">
        <v>60</v>
      </c>
      <c r="Q37" s="50" t="s">
        <v>60</v>
      </c>
      <c r="R37" s="50" t="s">
        <v>60</v>
      </c>
      <c r="S37" s="51">
        <f t="shared" si="4"/>
        <v>6</v>
      </c>
      <c r="T37" s="52">
        <f t="shared" si="5"/>
        <v>2</v>
      </c>
      <c r="U37" s="52"/>
      <c r="V37" s="51">
        <f t="shared" si="6"/>
        <v>2</v>
      </c>
      <c r="W37" s="52">
        <f t="shared" si="7"/>
        <v>-6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67</v>
      </c>
      <c r="C38" s="37">
        <v>104.0</v>
      </c>
      <c r="D38" s="37">
        <v>8.0</v>
      </c>
      <c r="E38" s="42">
        <f t="shared" si="2"/>
        <v>10.75</v>
      </c>
      <c r="F38" s="89">
        <v>3.0</v>
      </c>
      <c r="G38" s="90">
        <v>0.0</v>
      </c>
      <c r="H38" s="91">
        <v>9.0</v>
      </c>
      <c r="I38" s="90">
        <v>0.0</v>
      </c>
      <c r="J38" s="90">
        <v>0.0</v>
      </c>
      <c r="K38" s="90">
        <v>0.0</v>
      </c>
      <c r="L38" s="92">
        <v>9.0</v>
      </c>
      <c r="M38" s="90">
        <v>0.0</v>
      </c>
      <c r="N38" s="37">
        <f t="shared" ref="N38:O38" si="43">C38+L38</f>
        <v>113</v>
      </c>
      <c r="O38" s="37">
        <f t="shared" si="43"/>
        <v>8</v>
      </c>
      <c r="P38" s="50" t="s">
        <v>60</v>
      </c>
      <c r="Q38" s="50" t="s">
        <v>60</v>
      </c>
      <c r="R38" s="50" t="s">
        <v>60</v>
      </c>
      <c r="S38" s="51">
        <f t="shared" si="4"/>
        <v>8</v>
      </c>
      <c r="T38" s="52">
        <f t="shared" si="5"/>
        <v>0</v>
      </c>
      <c r="U38" s="52"/>
      <c r="V38" s="51">
        <f t="shared" si="6"/>
        <v>2</v>
      </c>
      <c r="W38" s="52">
        <f t="shared" si="7"/>
        <v>-3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111</v>
      </c>
      <c r="C39" s="37">
        <v>104.0</v>
      </c>
      <c r="D39" s="37">
        <v>5.0</v>
      </c>
      <c r="E39" s="42">
        <f t="shared" si="2"/>
        <v>11.8</v>
      </c>
      <c r="F39" s="89">
        <v>3.0</v>
      </c>
      <c r="G39" s="90">
        <v>0.0</v>
      </c>
      <c r="H39" s="91">
        <v>9.0</v>
      </c>
      <c r="I39" s="90">
        <v>0.0</v>
      </c>
      <c r="J39" s="90">
        <v>0.0</v>
      </c>
      <c r="K39" s="90">
        <v>0.0</v>
      </c>
      <c r="L39" s="92">
        <v>9.0</v>
      </c>
      <c r="M39" s="90">
        <v>0.0</v>
      </c>
      <c r="N39" s="37">
        <f t="shared" ref="N39:O39" si="44">C39+L39</f>
        <v>113</v>
      </c>
      <c r="O39" s="37">
        <f t="shared" si="44"/>
        <v>5</v>
      </c>
      <c r="P39" s="50" t="s">
        <v>60</v>
      </c>
      <c r="Q39" s="50" t="s">
        <v>60</v>
      </c>
      <c r="R39" s="50" t="s">
        <v>60</v>
      </c>
      <c r="S39" s="51">
        <f t="shared" si="4"/>
        <v>5</v>
      </c>
      <c r="T39" s="52">
        <f t="shared" si="5"/>
        <v>0</v>
      </c>
      <c r="U39" s="52"/>
      <c r="V39" s="51">
        <f t="shared" si="6"/>
        <v>5</v>
      </c>
      <c r="W39" s="52">
        <f t="shared" si="7"/>
        <v>-3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144</v>
      </c>
      <c r="C40" s="37">
        <v>102.0</v>
      </c>
      <c r="D40" s="37">
        <v>3.0</v>
      </c>
      <c r="E40" s="42">
        <f t="shared" si="2"/>
        <v>9</v>
      </c>
      <c r="F40" s="89">
        <v>1.0</v>
      </c>
      <c r="G40" s="90">
        <v>6.0</v>
      </c>
      <c r="H40" s="91">
        <v>0.0</v>
      </c>
      <c r="I40" s="90">
        <v>2.0</v>
      </c>
      <c r="J40" s="90">
        <v>3.0</v>
      </c>
      <c r="K40" s="90">
        <v>1.0</v>
      </c>
      <c r="L40" s="92">
        <v>6.0</v>
      </c>
      <c r="M40" s="90">
        <v>0.0</v>
      </c>
      <c r="N40" s="37">
        <f t="shared" ref="N40:O40" si="45">C40+L40</f>
        <v>108</v>
      </c>
      <c r="O40" s="37">
        <f t="shared" si="45"/>
        <v>3</v>
      </c>
      <c r="P40" s="50" t="s">
        <v>60</v>
      </c>
      <c r="Q40" s="50" t="s">
        <v>60</v>
      </c>
      <c r="R40" s="50" t="s">
        <v>60</v>
      </c>
      <c r="S40" s="51">
        <f t="shared" si="4"/>
        <v>4</v>
      </c>
      <c r="T40" s="52">
        <f t="shared" si="5"/>
        <v>3</v>
      </c>
      <c r="U40" s="52"/>
      <c r="V40" s="51">
        <f t="shared" si="6"/>
        <v>3</v>
      </c>
      <c r="W40" s="52">
        <f t="shared" si="7"/>
        <v>2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109</v>
      </c>
      <c r="C41" s="37">
        <v>102.0</v>
      </c>
      <c r="D41" s="37">
        <v>2.0</v>
      </c>
      <c r="E41" s="42">
        <f t="shared" si="2"/>
        <v>7</v>
      </c>
      <c r="F41" s="89">
        <v>3.0</v>
      </c>
      <c r="G41" s="90">
        <v>0.0</v>
      </c>
      <c r="H41" s="91">
        <v>9.0</v>
      </c>
      <c r="I41" s="90">
        <v>0.0</v>
      </c>
      <c r="J41" s="90">
        <v>0.0</v>
      </c>
      <c r="K41" s="90">
        <v>0.0</v>
      </c>
      <c r="L41" s="92">
        <v>9.0</v>
      </c>
      <c r="M41" s="90">
        <v>0.0</v>
      </c>
      <c r="N41" s="37">
        <f t="shared" ref="N41:O41" si="46">C41+L41</f>
        <v>111</v>
      </c>
      <c r="O41" s="37">
        <f t="shared" si="46"/>
        <v>2</v>
      </c>
      <c r="P41" s="50" t="s">
        <v>60</v>
      </c>
      <c r="Q41" s="50" t="s">
        <v>60</v>
      </c>
      <c r="R41" s="50" t="s">
        <v>60</v>
      </c>
      <c r="S41" s="51">
        <f t="shared" si="4"/>
        <v>2</v>
      </c>
      <c r="T41" s="52">
        <f t="shared" si="5"/>
        <v>4</v>
      </c>
      <c r="U41" s="52"/>
      <c r="V41" s="51">
        <f t="shared" si="6"/>
        <v>4</v>
      </c>
      <c r="W41" s="52">
        <f t="shared" si="7"/>
        <v>2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114</v>
      </c>
      <c r="C42" s="37">
        <v>101.0</v>
      </c>
      <c r="D42" s="37">
        <v>7.0</v>
      </c>
      <c r="E42" s="42">
        <f t="shared" si="2"/>
        <v>9.6</v>
      </c>
      <c r="F42" s="89">
        <v>5.0</v>
      </c>
      <c r="G42" s="90">
        <v>0.0</v>
      </c>
      <c r="H42" s="91">
        <v>13.0</v>
      </c>
      <c r="I42" s="90">
        <v>0.0</v>
      </c>
      <c r="J42" s="90">
        <v>0.0</v>
      </c>
      <c r="K42" s="90">
        <v>0.0</v>
      </c>
      <c r="L42" s="92">
        <v>13.0</v>
      </c>
      <c r="M42" s="90">
        <v>0.0</v>
      </c>
      <c r="N42" s="37">
        <f t="shared" ref="N42:O42" si="47">C42+L42</f>
        <v>114</v>
      </c>
      <c r="O42" s="37">
        <f t="shared" si="47"/>
        <v>7</v>
      </c>
      <c r="P42" s="50" t="s">
        <v>60</v>
      </c>
      <c r="Q42" s="50" t="s">
        <v>60</v>
      </c>
      <c r="R42" s="50" t="s">
        <v>60</v>
      </c>
      <c r="S42" s="51">
        <f t="shared" si="4"/>
        <v>5</v>
      </c>
      <c r="T42" s="52">
        <f t="shared" si="5"/>
        <v>2</v>
      </c>
      <c r="U42" s="52"/>
      <c r="V42" s="51">
        <f t="shared" si="6"/>
        <v>3</v>
      </c>
      <c r="W42" s="52">
        <f t="shared" si="7"/>
        <v>-1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142</v>
      </c>
      <c r="C43" s="37">
        <v>99.0</v>
      </c>
      <c r="D43" s="37">
        <v>5.0</v>
      </c>
      <c r="E43" s="42">
        <f t="shared" si="2"/>
        <v>11.5</v>
      </c>
      <c r="F43" s="89">
        <v>5.0</v>
      </c>
      <c r="G43" s="90">
        <v>0.0</v>
      </c>
      <c r="H43" s="91">
        <v>13.0</v>
      </c>
      <c r="I43" s="90">
        <v>0.0</v>
      </c>
      <c r="J43" s="90">
        <v>0.0</v>
      </c>
      <c r="K43" s="90">
        <v>0.0</v>
      </c>
      <c r="L43" s="92">
        <v>13.0</v>
      </c>
      <c r="M43" s="90">
        <v>0.0</v>
      </c>
      <c r="N43" s="37">
        <f t="shared" ref="N43:O43" si="48">C43+L43</f>
        <v>112</v>
      </c>
      <c r="O43" s="37">
        <f t="shared" si="48"/>
        <v>5</v>
      </c>
      <c r="P43" s="50" t="s">
        <v>60</v>
      </c>
      <c r="Q43" s="50" t="s">
        <v>60</v>
      </c>
      <c r="R43" s="50" t="s">
        <v>60</v>
      </c>
      <c r="S43" s="51">
        <f t="shared" si="4"/>
        <v>2</v>
      </c>
      <c r="T43" s="52">
        <f t="shared" si="5"/>
        <v>1</v>
      </c>
      <c r="U43" s="52"/>
      <c r="V43" s="51">
        <f t="shared" si="6"/>
        <v>7</v>
      </c>
      <c r="W43" s="52">
        <f t="shared" si="7"/>
        <v>-3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105</v>
      </c>
      <c r="C44" s="37">
        <v>98.0</v>
      </c>
      <c r="D44" s="37">
        <v>4.0</v>
      </c>
      <c r="E44" s="42">
        <f t="shared" si="2"/>
        <v>9</v>
      </c>
      <c r="F44" s="89">
        <v>3.0</v>
      </c>
      <c r="G44" s="90">
        <v>0.0</v>
      </c>
      <c r="H44" s="91">
        <v>9.0</v>
      </c>
      <c r="I44" s="90">
        <v>0.0</v>
      </c>
      <c r="J44" s="90">
        <v>0.0</v>
      </c>
      <c r="K44" s="90">
        <v>0.0</v>
      </c>
      <c r="L44" s="92">
        <v>9.0</v>
      </c>
      <c r="M44" s="90">
        <v>0.0</v>
      </c>
      <c r="N44" s="37">
        <f t="shared" ref="N44:O44" si="49">C44+L44</f>
        <v>107</v>
      </c>
      <c r="O44" s="37">
        <f t="shared" si="49"/>
        <v>4</v>
      </c>
      <c r="P44" s="50" t="s">
        <v>60</v>
      </c>
      <c r="Q44" s="50" t="s">
        <v>60</v>
      </c>
      <c r="R44" s="50" t="s">
        <v>60</v>
      </c>
      <c r="S44" s="51">
        <f t="shared" si="4"/>
        <v>4</v>
      </c>
      <c r="T44" s="52">
        <f t="shared" si="5"/>
        <v>2</v>
      </c>
      <c r="U44" s="52"/>
      <c r="V44" s="51">
        <f t="shared" si="6"/>
        <v>4</v>
      </c>
      <c r="W44" s="52">
        <f t="shared" si="7"/>
        <v>2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133</v>
      </c>
      <c r="C45" s="37">
        <v>98.0</v>
      </c>
      <c r="D45" s="37">
        <v>3.0</v>
      </c>
      <c r="E45" s="42">
        <f t="shared" si="2"/>
        <v>10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107</v>
      </c>
      <c r="O45" s="37">
        <f t="shared" si="50"/>
        <v>3</v>
      </c>
      <c r="P45" s="50" t="s">
        <v>60</v>
      </c>
      <c r="Q45" s="50" t="s">
        <v>60</v>
      </c>
      <c r="R45" s="50" t="s">
        <v>60</v>
      </c>
      <c r="S45" s="51">
        <f t="shared" si="4"/>
        <v>4</v>
      </c>
      <c r="T45" s="52">
        <f t="shared" si="5"/>
        <v>1</v>
      </c>
      <c r="U45" s="52"/>
      <c r="V45" s="51">
        <f t="shared" si="6"/>
        <v>5</v>
      </c>
      <c r="W45" s="52">
        <f t="shared" si="7"/>
        <v>2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125</v>
      </c>
      <c r="C46" s="37">
        <v>98.0</v>
      </c>
      <c r="D46" s="37">
        <v>2.0</v>
      </c>
      <c r="E46" s="42">
        <f t="shared" si="2"/>
        <v>7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107</v>
      </c>
      <c r="O46" s="37">
        <f t="shared" si="51"/>
        <v>2</v>
      </c>
      <c r="P46" s="50" t="s">
        <v>60</v>
      </c>
      <c r="Q46" s="50" t="s">
        <v>60</v>
      </c>
      <c r="R46" s="50" t="s">
        <v>60</v>
      </c>
      <c r="S46" s="51">
        <f t="shared" si="4"/>
        <v>2</v>
      </c>
      <c r="T46" s="52">
        <f t="shared" si="5"/>
        <v>3</v>
      </c>
      <c r="U46" s="52"/>
      <c r="V46" s="51">
        <f t="shared" si="6"/>
        <v>5</v>
      </c>
      <c r="W46" s="52">
        <f t="shared" si="7"/>
        <v>2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134</v>
      </c>
      <c r="C47" s="37">
        <v>97.0</v>
      </c>
      <c r="D47" s="37">
        <v>4.0</v>
      </c>
      <c r="E47" s="42">
        <f t="shared" si="2"/>
        <v>8</v>
      </c>
      <c r="F47" s="89">
        <v>1.0</v>
      </c>
      <c r="G47" s="90">
        <v>7.0</v>
      </c>
      <c r="H47" s="91">
        <v>0.0</v>
      </c>
      <c r="I47" s="90">
        <v>7.0</v>
      </c>
      <c r="J47" s="90">
        <v>2.0</v>
      </c>
      <c r="K47" s="90">
        <v>3.0</v>
      </c>
      <c r="L47" s="92">
        <v>12.0</v>
      </c>
      <c r="M47" s="90">
        <v>1.0</v>
      </c>
      <c r="N47" s="37">
        <f t="shared" ref="N47:O47" si="52">C47+L47</f>
        <v>109</v>
      </c>
      <c r="O47" s="37">
        <f t="shared" si="52"/>
        <v>5</v>
      </c>
      <c r="P47" s="50" t="s">
        <v>60</v>
      </c>
      <c r="Q47" s="50" t="s">
        <v>60</v>
      </c>
      <c r="R47" s="50" t="s">
        <v>60</v>
      </c>
      <c r="S47" s="51">
        <f t="shared" si="4"/>
        <v>5</v>
      </c>
      <c r="T47" s="52">
        <f t="shared" si="5"/>
        <v>3</v>
      </c>
      <c r="U47" s="52"/>
      <c r="V47" s="51">
        <f t="shared" si="6"/>
        <v>2</v>
      </c>
      <c r="W47" s="52">
        <f t="shared" si="7"/>
        <v>8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90</v>
      </c>
      <c r="C48" s="37">
        <v>97.0</v>
      </c>
      <c r="D48" s="37">
        <v>3.0</v>
      </c>
      <c r="E48" s="42">
        <f t="shared" si="2"/>
        <v>6</v>
      </c>
      <c r="F48" s="89">
        <v>5.0</v>
      </c>
      <c r="G48" s="90">
        <v>0.0</v>
      </c>
      <c r="H48" s="91">
        <v>13.0</v>
      </c>
      <c r="I48" s="90">
        <v>0.0</v>
      </c>
      <c r="J48" s="90">
        <v>0.0</v>
      </c>
      <c r="K48" s="90">
        <v>0.0</v>
      </c>
      <c r="L48" s="92">
        <v>13.0</v>
      </c>
      <c r="M48" s="90">
        <v>0.0</v>
      </c>
      <c r="N48" s="37">
        <f t="shared" ref="N48:O48" si="53">C48+L48</f>
        <v>110</v>
      </c>
      <c r="O48" s="37">
        <f t="shared" si="53"/>
        <v>3</v>
      </c>
      <c r="P48" s="50" t="s">
        <v>60</v>
      </c>
      <c r="Q48" s="50" t="s">
        <v>60</v>
      </c>
      <c r="R48" s="50" t="s">
        <v>60</v>
      </c>
      <c r="S48" s="51">
        <f t="shared" si="4"/>
        <v>3</v>
      </c>
      <c r="T48" s="52">
        <f t="shared" si="5"/>
        <v>4</v>
      </c>
      <c r="U48" s="52"/>
      <c r="V48" s="51">
        <f t="shared" si="6"/>
        <v>3</v>
      </c>
      <c r="W48" s="52">
        <f t="shared" si="7"/>
        <v>1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61</v>
      </c>
      <c r="C49" s="37">
        <v>95.0</v>
      </c>
      <c r="D49" s="37">
        <v>7.0</v>
      </c>
      <c r="E49" s="42">
        <f t="shared" si="2"/>
        <v>10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104</v>
      </c>
      <c r="O49" s="37">
        <f t="shared" si="54"/>
        <v>7</v>
      </c>
      <c r="P49" s="50" t="s">
        <v>60</v>
      </c>
      <c r="Q49" s="50" t="s">
        <v>60</v>
      </c>
      <c r="R49" s="50" t="s">
        <v>60</v>
      </c>
      <c r="S49" s="51">
        <f t="shared" si="4"/>
        <v>5</v>
      </c>
      <c r="T49" s="52">
        <f t="shared" si="5"/>
        <v>0</v>
      </c>
      <c r="U49" s="52"/>
      <c r="V49" s="51">
        <f t="shared" si="6"/>
        <v>5</v>
      </c>
      <c r="W49" s="52">
        <f t="shared" si="7"/>
        <v>-5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84</v>
      </c>
      <c r="C50" s="37">
        <v>95.0</v>
      </c>
      <c r="D50" s="37">
        <v>2.0</v>
      </c>
      <c r="E50" s="42">
        <f t="shared" si="2"/>
        <v>6.25</v>
      </c>
      <c r="F50" s="89">
        <v>2.0</v>
      </c>
      <c r="G50" s="90">
        <v>7.0</v>
      </c>
      <c r="H50" s="91">
        <v>0.0</v>
      </c>
      <c r="I50" s="90">
        <v>6.0</v>
      </c>
      <c r="J50" s="90">
        <v>2.0</v>
      </c>
      <c r="K50" s="90">
        <v>6.0</v>
      </c>
      <c r="L50" s="92">
        <v>14.0</v>
      </c>
      <c r="M50" s="90">
        <v>1.0</v>
      </c>
      <c r="N50" s="37">
        <f t="shared" ref="N50:O50" si="55">C50+L50</f>
        <v>109</v>
      </c>
      <c r="O50" s="37">
        <f t="shared" si="55"/>
        <v>3</v>
      </c>
      <c r="P50" s="50" t="s">
        <v>60</v>
      </c>
      <c r="Q50" s="50" t="s">
        <v>60</v>
      </c>
      <c r="R50" s="50" t="s">
        <v>60</v>
      </c>
      <c r="S50" s="51">
        <f t="shared" si="4"/>
        <v>4</v>
      </c>
      <c r="T50" s="52">
        <f t="shared" si="5"/>
        <v>4</v>
      </c>
      <c r="U50" s="52"/>
      <c r="V50" s="51">
        <f t="shared" si="6"/>
        <v>2</v>
      </c>
      <c r="W50" s="52">
        <f t="shared" si="7"/>
        <v>2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117</v>
      </c>
      <c r="C51" s="37">
        <v>94.0</v>
      </c>
      <c r="D51" s="37">
        <v>5.0</v>
      </c>
      <c r="E51" s="42">
        <f t="shared" si="2"/>
        <v>9.8</v>
      </c>
      <c r="F51" s="89">
        <v>1.0</v>
      </c>
      <c r="G51" s="90">
        <v>7.0</v>
      </c>
      <c r="H51" s="91">
        <v>0.0</v>
      </c>
      <c r="I51" s="90">
        <v>7.0</v>
      </c>
      <c r="J51" s="90">
        <v>6.0</v>
      </c>
      <c r="K51" s="90">
        <v>6.0</v>
      </c>
      <c r="L51" s="92">
        <v>19.0</v>
      </c>
      <c r="M51" s="90">
        <v>3.0</v>
      </c>
      <c r="N51" s="37">
        <f t="shared" ref="N51:O51" si="56">C51+L51</f>
        <v>113</v>
      </c>
      <c r="O51" s="37">
        <f t="shared" si="56"/>
        <v>8</v>
      </c>
      <c r="P51" s="50" t="s">
        <v>60</v>
      </c>
      <c r="Q51" s="50" t="s">
        <v>60</v>
      </c>
      <c r="R51" s="50" t="s">
        <v>60</v>
      </c>
      <c r="S51" s="51">
        <f t="shared" si="4"/>
        <v>5</v>
      </c>
      <c r="T51" s="52">
        <f t="shared" si="5"/>
        <v>0</v>
      </c>
      <c r="U51" s="52"/>
      <c r="V51" s="51">
        <f t="shared" si="6"/>
        <v>5</v>
      </c>
      <c r="W51" s="52">
        <f t="shared" si="7"/>
        <v>-6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72</v>
      </c>
      <c r="C52" s="37">
        <v>92.0</v>
      </c>
      <c r="D52" s="37">
        <v>0.0</v>
      </c>
      <c r="E52" s="42">
        <f t="shared" si="2"/>
        <v>4</v>
      </c>
      <c r="F52" s="89">
        <v>1.0</v>
      </c>
      <c r="G52" s="90">
        <v>7.0</v>
      </c>
      <c r="H52" s="91">
        <v>0.0</v>
      </c>
      <c r="I52" s="90">
        <v>6.0</v>
      </c>
      <c r="J52" s="90">
        <v>6.0</v>
      </c>
      <c r="K52" s="90">
        <v>3.0</v>
      </c>
      <c r="L52" s="92">
        <v>15.0</v>
      </c>
      <c r="M52" s="90">
        <v>1.0</v>
      </c>
      <c r="N52" s="37">
        <f t="shared" ref="N52:O52" si="57">C52+L52</f>
        <v>107</v>
      </c>
      <c r="O52" s="37">
        <f t="shared" si="57"/>
        <v>1</v>
      </c>
      <c r="P52" s="50" t="s">
        <v>60</v>
      </c>
      <c r="Q52" s="50" t="s">
        <v>60</v>
      </c>
      <c r="R52" s="50" t="s">
        <v>60</v>
      </c>
      <c r="S52" s="51">
        <f t="shared" si="4"/>
        <v>2</v>
      </c>
      <c r="T52" s="52">
        <f t="shared" si="5"/>
        <v>3</v>
      </c>
      <c r="U52" s="52"/>
      <c r="V52" s="51">
        <f t="shared" si="6"/>
        <v>5</v>
      </c>
      <c r="W52" s="52">
        <f t="shared" si="7"/>
        <v>-2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145</v>
      </c>
      <c r="C53" s="37">
        <v>91.0</v>
      </c>
      <c r="D53" s="37">
        <v>3.0</v>
      </c>
      <c r="E53" s="42">
        <f t="shared" si="2"/>
        <v>10</v>
      </c>
      <c r="F53" s="89">
        <v>4.0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100</v>
      </c>
      <c r="O53" s="37">
        <f t="shared" si="58"/>
        <v>3</v>
      </c>
      <c r="P53" s="50" t="s">
        <v>60</v>
      </c>
      <c r="Q53" s="50" t="s">
        <v>60</v>
      </c>
      <c r="R53" s="50" t="s">
        <v>60</v>
      </c>
      <c r="S53" s="51">
        <f t="shared" si="4"/>
        <v>1</v>
      </c>
      <c r="T53" s="52">
        <f t="shared" si="5"/>
        <v>0</v>
      </c>
      <c r="U53" s="52"/>
      <c r="V53" s="51">
        <f t="shared" si="6"/>
        <v>9</v>
      </c>
      <c r="W53" s="52">
        <f t="shared" si="7"/>
        <v>-2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106</v>
      </c>
      <c r="C54" s="37">
        <v>90.0</v>
      </c>
      <c r="D54" s="37">
        <v>3.0</v>
      </c>
      <c r="E54" s="42">
        <f t="shared" si="2"/>
        <v>9</v>
      </c>
      <c r="F54" s="89">
        <v>1.0</v>
      </c>
      <c r="G54" s="90">
        <v>8.0</v>
      </c>
      <c r="H54" s="91">
        <v>0.0</v>
      </c>
      <c r="I54" s="90">
        <v>5.0</v>
      </c>
      <c r="J54" s="90">
        <v>6.0</v>
      </c>
      <c r="K54" s="90">
        <v>6.0</v>
      </c>
      <c r="L54" s="92">
        <v>17.0</v>
      </c>
      <c r="M54" s="90">
        <v>2.0</v>
      </c>
      <c r="N54" s="37">
        <f t="shared" ref="N54:O54" si="59">C54+L54</f>
        <v>107</v>
      </c>
      <c r="O54" s="37">
        <f t="shared" si="59"/>
        <v>5</v>
      </c>
      <c r="P54" s="50" t="s">
        <v>60</v>
      </c>
      <c r="Q54" s="50" t="s">
        <v>60</v>
      </c>
      <c r="R54" s="50" t="s">
        <v>60</v>
      </c>
      <c r="S54" s="51">
        <f t="shared" si="4"/>
        <v>3</v>
      </c>
      <c r="T54" s="52">
        <f t="shared" si="5"/>
        <v>0</v>
      </c>
      <c r="U54" s="52"/>
      <c r="V54" s="51">
        <f t="shared" si="6"/>
        <v>7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141</v>
      </c>
      <c r="C55" s="37">
        <v>89.0</v>
      </c>
      <c r="D55" s="37">
        <v>4.0</v>
      </c>
      <c r="E55" s="42">
        <f t="shared" si="2"/>
        <v>8</v>
      </c>
      <c r="F55" s="89">
        <v>3.0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98</v>
      </c>
      <c r="O55" s="37">
        <f t="shared" si="60"/>
        <v>4</v>
      </c>
      <c r="P55" s="50" t="s">
        <v>60</v>
      </c>
      <c r="Q55" s="50" t="s">
        <v>60</v>
      </c>
      <c r="R55" s="50" t="s">
        <v>60</v>
      </c>
      <c r="S55" s="51">
        <f t="shared" si="4"/>
        <v>5</v>
      </c>
      <c r="T55" s="52">
        <f t="shared" si="5"/>
        <v>1</v>
      </c>
      <c r="U55" s="52"/>
      <c r="V55" s="51">
        <f t="shared" si="6"/>
        <v>4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120</v>
      </c>
      <c r="C56" s="37">
        <v>89.0</v>
      </c>
      <c r="D56" s="37">
        <v>2.0</v>
      </c>
      <c r="E56" s="42">
        <f t="shared" si="2"/>
        <v>8.5</v>
      </c>
      <c r="F56" s="89">
        <v>1.0</v>
      </c>
      <c r="G56" s="90">
        <v>8.0</v>
      </c>
      <c r="H56" s="91">
        <v>0.0</v>
      </c>
      <c r="I56" s="90">
        <v>7.0</v>
      </c>
      <c r="J56" s="90">
        <v>6.0</v>
      </c>
      <c r="K56" s="90">
        <v>3.0</v>
      </c>
      <c r="L56" s="92">
        <v>16.0</v>
      </c>
      <c r="M56" s="90">
        <v>2.0</v>
      </c>
      <c r="N56" s="37">
        <f t="shared" ref="N56:O56" si="61">C56+L56</f>
        <v>105</v>
      </c>
      <c r="O56" s="37">
        <f t="shared" si="61"/>
        <v>4</v>
      </c>
      <c r="P56" s="50" t="s">
        <v>60</v>
      </c>
      <c r="Q56" s="50" t="s">
        <v>60</v>
      </c>
      <c r="R56" s="50" t="s">
        <v>60</v>
      </c>
      <c r="S56" s="51">
        <f t="shared" si="4"/>
        <v>2</v>
      </c>
      <c r="T56" s="52">
        <f t="shared" si="5"/>
        <v>0</v>
      </c>
      <c r="U56" s="52"/>
      <c r="V56" s="51">
        <f t="shared" si="6"/>
        <v>8</v>
      </c>
      <c r="W56" s="52">
        <f t="shared" si="7"/>
        <v>11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104</v>
      </c>
      <c r="C57" s="37">
        <v>89.0</v>
      </c>
      <c r="D57" s="37">
        <v>0.0</v>
      </c>
      <c r="E57" s="42">
        <f t="shared" si="2"/>
        <v>0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98</v>
      </c>
      <c r="O57" s="37">
        <f t="shared" si="62"/>
        <v>0</v>
      </c>
      <c r="P57" s="50" t="s">
        <v>60</v>
      </c>
      <c r="Q57" s="50" t="s">
        <v>60</v>
      </c>
      <c r="R57" s="50" t="s">
        <v>60</v>
      </c>
      <c r="S57" s="51">
        <f t="shared" si="4"/>
        <v>0</v>
      </c>
      <c r="T57" s="52">
        <f t="shared" si="5"/>
        <v>2</v>
      </c>
      <c r="U57" s="52"/>
      <c r="V57" s="51">
        <f t="shared" si="6"/>
        <v>8</v>
      </c>
      <c r="W57" s="52">
        <f t="shared" si="7"/>
        <v>-1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89</v>
      </c>
      <c r="C58" s="37">
        <v>87.0</v>
      </c>
      <c r="D58" s="37">
        <v>2.0</v>
      </c>
      <c r="E58" s="42">
        <f t="shared" si="2"/>
        <v>6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96</v>
      </c>
      <c r="O58" s="37">
        <f t="shared" si="63"/>
        <v>2</v>
      </c>
      <c r="P58" s="50" t="s">
        <v>60</v>
      </c>
      <c r="Q58" s="50" t="s">
        <v>60</v>
      </c>
      <c r="R58" s="50" t="s">
        <v>60</v>
      </c>
      <c r="S58" s="51">
        <f t="shared" si="4"/>
        <v>1</v>
      </c>
      <c r="T58" s="52">
        <f t="shared" si="5"/>
        <v>0</v>
      </c>
      <c r="U58" s="52"/>
      <c r="V58" s="51">
        <f t="shared" si="6"/>
        <v>9</v>
      </c>
      <c r="W58" s="52">
        <f t="shared" si="7"/>
        <v>-1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137</v>
      </c>
      <c r="C59" s="37">
        <v>87.0</v>
      </c>
      <c r="D59" s="37">
        <v>0.0</v>
      </c>
      <c r="E59" s="42">
        <f t="shared" si="2"/>
        <v>2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96</v>
      </c>
      <c r="O59" s="37">
        <f t="shared" si="64"/>
        <v>0</v>
      </c>
      <c r="P59" s="50" t="s">
        <v>60</v>
      </c>
      <c r="Q59" s="50" t="s">
        <v>60</v>
      </c>
      <c r="R59" s="50" t="s">
        <v>60</v>
      </c>
      <c r="S59" s="51">
        <f t="shared" si="4"/>
        <v>1</v>
      </c>
      <c r="T59" s="52">
        <f t="shared" si="5"/>
        <v>1</v>
      </c>
      <c r="U59" s="52"/>
      <c r="V59" s="51">
        <f t="shared" si="6"/>
        <v>8</v>
      </c>
      <c r="W59" s="52">
        <f t="shared" si="7"/>
        <v>1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96</v>
      </c>
      <c r="C60" s="37">
        <v>86.0</v>
      </c>
      <c r="D60" s="37">
        <v>7.0</v>
      </c>
      <c r="E60" s="42">
        <f t="shared" si="2"/>
        <v>8.6</v>
      </c>
      <c r="F60" s="89">
        <v>1.0</v>
      </c>
      <c r="G60" s="90">
        <v>8.0</v>
      </c>
      <c r="H60" s="91">
        <v>0.0</v>
      </c>
      <c r="I60" s="90">
        <v>5.0</v>
      </c>
      <c r="J60" s="90">
        <v>3.0</v>
      </c>
      <c r="K60" s="90">
        <v>3.0</v>
      </c>
      <c r="L60" s="92">
        <v>11.0</v>
      </c>
      <c r="M60" s="90">
        <v>0.0</v>
      </c>
      <c r="N60" s="37">
        <f t="shared" ref="N60:O60" si="65">C60+L60</f>
        <v>97</v>
      </c>
      <c r="O60" s="37">
        <f t="shared" si="65"/>
        <v>7</v>
      </c>
      <c r="P60" s="50" t="s">
        <v>60</v>
      </c>
      <c r="Q60" s="50" t="s">
        <v>60</v>
      </c>
      <c r="R60" s="50" t="s">
        <v>60</v>
      </c>
      <c r="S60" s="51">
        <f t="shared" si="4"/>
        <v>10</v>
      </c>
      <c r="T60" s="52">
        <f t="shared" si="5"/>
        <v>0</v>
      </c>
      <c r="U60" s="52"/>
      <c r="V60" s="51">
        <f t="shared" si="6"/>
        <v>0</v>
      </c>
      <c r="W60" s="52">
        <f t="shared" si="7"/>
        <v>11</v>
      </c>
      <c r="X60" s="35">
        <f t="shared" si="12"/>
        <v>56</v>
      </c>
      <c r="Y60" s="35" t="str">
        <f t="shared" si="8"/>
        <v>Y</v>
      </c>
      <c r="Z60" s="22" t="str">
        <f t="shared" si="9"/>
        <v/>
      </c>
    </row>
    <row r="61">
      <c r="A61" s="35">
        <f t="shared" si="10"/>
        <v>57</v>
      </c>
      <c r="B61" s="36" t="s">
        <v>56</v>
      </c>
      <c r="C61" s="37">
        <v>86.0</v>
      </c>
      <c r="D61" s="37">
        <v>2.0</v>
      </c>
      <c r="E61" s="42">
        <f t="shared" si="2"/>
        <v>5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95</v>
      </c>
      <c r="O61" s="37">
        <f t="shared" si="66"/>
        <v>2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9</v>
      </c>
      <c r="W61" s="52">
        <f t="shared" si="7"/>
        <v>-3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129</v>
      </c>
      <c r="C62" s="37">
        <v>85.0</v>
      </c>
      <c r="D62" s="37">
        <v>3.0</v>
      </c>
      <c r="E62" s="42">
        <f t="shared" si="2"/>
        <v>7.75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94</v>
      </c>
      <c r="O62" s="37">
        <f t="shared" si="67"/>
        <v>3</v>
      </c>
      <c r="P62" s="50" t="s">
        <v>60</v>
      </c>
      <c r="Q62" s="50" t="s">
        <v>60</v>
      </c>
      <c r="R62" s="50" t="s">
        <v>60</v>
      </c>
      <c r="S62" s="51">
        <f t="shared" si="4"/>
        <v>4</v>
      </c>
      <c r="T62" s="52">
        <f t="shared" si="5"/>
        <v>0</v>
      </c>
      <c r="U62" s="52"/>
      <c r="V62" s="51">
        <f t="shared" si="6"/>
        <v>6</v>
      </c>
      <c r="W62" s="52">
        <f t="shared" si="7"/>
        <v>-3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119</v>
      </c>
      <c r="C63" s="37">
        <v>84.0</v>
      </c>
      <c r="D63" s="37">
        <v>1.0</v>
      </c>
      <c r="E63" s="42">
        <f t="shared" si="2"/>
        <v>3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93</v>
      </c>
      <c r="O63" s="37">
        <f t="shared" si="68"/>
        <v>1</v>
      </c>
      <c r="P63" s="50" t="s">
        <v>60</v>
      </c>
      <c r="Q63" s="50" t="s">
        <v>60</v>
      </c>
      <c r="R63" s="50" t="s">
        <v>60</v>
      </c>
      <c r="S63" s="51">
        <f t="shared" si="4"/>
        <v>1</v>
      </c>
      <c r="T63" s="52">
        <f t="shared" si="5"/>
        <v>0</v>
      </c>
      <c r="U63" s="52"/>
      <c r="V63" s="51">
        <f t="shared" si="6"/>
        <v>9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116</v>
      </c>
      <c r="C64" s="37">
        <v>83.0</v>
      </c>
      <c r="D64" s="37">
        <v>1.0</v>
      </c>
      <c r="E64" s="42">
        <f t="shared" si="2"/>
        <v>-2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92</v>
      </c>
      <c r="O64" s="37">
        <f t="shared" si="69"/>
        <v>1</v>
      </c>
      <c r="P64" s="50" t="s">
        <v>60</v>
      </c>
      <c r="Q64" s="50" t="s">
        <v>60</v>
      </c>
      <c r="R64" s="50" t="s">
        <v>60</v>
      </c>
      <c r="S64" s="51">
        <f t="shared" si="4"/>
        <v>1</v>
      </c>
      <c r="T64" s="52">
        <f t="shared" si="5"/>
        <v>1</v>
      </c>
      <c r="U64" s="52"/>
      <c r="V64" s="51">
        <f t="shared" si="6"/>
        <v>8</v>
      </c>
      <c r="W64" s="52">
        <f t="shared" si="7"/>
        <v>-2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95</v>
      </c>
      <c r="C65" s="37">
        <v>81.0</v>
      </c>
      <c r="D65" s="37">
        <v>0.0</v>
      </c>
      <c r="E65" s="42">
        <f t="shared" si="2"/>
        <v>0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90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0</v>
      </c>
      <c r="U65" s="52"/>
      <c r="V65" s="51">
        <f t="shared" si="6"/>
        <v>10</v>
      </c>
      <c r="W65" s="52">
        <f t="shared" si="7"/>
        <v>-2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77</v>
      </c>
      <c r="C66" s="37">
        <v>81.0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90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10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132</v>
      </c>
      <c r="C67" s="37">
        <v>81.0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90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10</v>
      </c>
      <c r="W67" s="52">
        <f t="shared" si="7"/>
        <v>-2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53</v>
      </c>
      <c r="C68" s="37">
        <v>81.0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90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10</v>
      </c>
      <c r="W68" s="52">
        <f t="shared" si="7"/>
        <v>-2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139</v>
      </c>
      <c r="C69" s="37">
        <v>81.0</v>
      </c>
      <c r="D69" s="37">
        <v>0.0</v>
      </c>
      <c r="E69" s="42">
        <f t="shared" si="2"/>
        <v>0</v>
      </c>
      <c r="F69" s="89">
        <v>1.0</v>
      </c>
      <c r="G69" s="90">
        <v>8.0</v>
      </c>
      <c r="H69" s="91">
        <v>0.0</v>
      </c>
      <c r="I69" s="90">
        <v>7.0</v>
      </c>
      <c r="J69" s="90">
        <v>3.0</v>
      </c>
      <c r="K69" s="90">
        <v>6.0</v>
      </c>
      <c r="L69" s="92">
        <v>16.0</v>
      </c>
      <c r="M69" s="90">
        <v>2.0</v>
      </c>
      <c r="N69" s="37">
        <f t="shared" ref="N69:O69" si="74">C69+L69</f>
        <v>97</v>
      </c>
      <c r="O69" s="37">
        <f t="shared" si="74"/>
        <v>2</v>
      </c>
      <c r="P69" s="50" t="s">
        <v>60</v>
      </c>
      <c r="Q69" s="50" t="s">
        <v>60</v>
      </c>
      <c r="R69" s="50" t="s">
        <v>60</v>
      </c>
      <c r="S69" s="51">
        <f t="shared" si="4"/>
        <v>1</v>
      </c>
      <c r="T69" s="52">
        <f t="shared" si="5"/>
        <v>0</v>
      </c>
      <c r="U69" s="52"/>
      <c r="V69" s="51">
        <f t="shared" si="6"/>
        <v>9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138</v>
      </c>
      <c r="C70" s="37">
        <v>81.0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90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10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81.0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90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8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08/29/26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desc"",0)"),"Luis Hsu")</f>
        <v>Luis Hsu</v>
      </c>
      <c r="C83" s="125">
        <f>IFERROR(__xludf.DUMMYFUNCTION("""COMPUTED_VALUE"""),20.0)</f>
        <v>20</v>
      </c>
      <c r="D83" s="125">
        <f>IFERROR(__xludf.DUMMYFUNCTION("""COMPUTED_VALUE"""),3.0)</f>
        <v>3</v>
      </c>
      <c r="E83" s="125">
        <f>IFERROR(__xludf.DUMMYFUNCTION("""COMPUTED_VALUE"""),4.0)</f>
        <v>4</v>
      </c>
      <c r="F83" s="2"/>
    </row>
    <row r="84">
      <c r="A84" s="2"/>
      <c r="B84" s="36" t="str">
        <f>IFERROR(__xludf.DUMMYFUNCTION("""COMPUTED_VALUE"""),"Tom Le")</f>
        <v>Tom Le</v>
      </c>
      <c r="C84" s="125">
        <f>IFERROR(__xludf.DUMMYFUNCTION("""COMPUTED_VALUE"""),18.0)</f>
        <v>18</v>
      </c>
      <c r="D84" s="125">
        <f>IFERROR(__xludf.DUMMYFUNCTION("""COMPUTED_VALUE"""),3.0)</f>
        <v>3</v>
      </c>
      <c r="E84" s="125">
        <f>IFERROR(__xludf.DUMMYFUNCTION("""COMPUTED_VALUE"""),2.0)</f>
        <v>2</v>
      </c>
      <c r="F84" s="2"/>
    </row>
    <row r="85">
      <c r="A85" s="2"/>
      <c r="B85" s="36" t="str">
        <f>IFERROR(__xludf.DUMMYFUNCTION("""COMPUTED_VALUE"""),"Matthew Huang")</f>
        <v>Matthew Huang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IFERROR(__xludf.DUMMYFUNCTION("""COMPUTED_VALUE"""),5.0)</f>
        <v>5</v>
      </c>
      <c r="F85" s="2"/>
    </row>
    <row r="86">
      <c r="A86" s="2"/>
      <c r="B86" s="36" t="str">
        <f>IFERROR(__xludf.DUMMYFUNCTION("""COMPUTED_VALUE"""),"Oscar Bonilla")</f>
        <v>Oscar Bonilla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IFERROR(__xludf.DUMMYFUNCTION("""COMPUTED_VALUE"""),7.0)</f>
        <v>7</v>
      </c>
      <c r="F86" s="2"/>
    </row>
    <row r="87">
      <c r="A87" s="2"/>
      <c r="B87" s="36" t="str">
        <f>IFERROR(__xludf.DUMMYFUNCTION("""COMPUTED_VALUE"""),"Manish Anand")</f>
        <v>Manish Anand</v>
      </c>
      <c r="C87" s="125">
        <f>IFERROR(__xludf.DUMMYFUNCTION("""COMPUTED_VALUE"""),18.0)</f>
        <v>18</v>
      </c>
      <c r="D87" s="125">
        <f>IFERROR(__xludf.DUMMYFUNCTION("""COMPUTED_VALUE"""),1.0)</f>
        <v>1</v>
      </c>
      <c r="E87" s="125">
        <f>IFERROR(__xludf.DUMMYFUNCTION("""COMPUTED_VALUE"""),4.0)</f>
        <v>4</v>
      </c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10"")"),"Luis Hsu")</f>
        <v>Luis Hsu</v>
      </c>
      <c r="C102" s="125">
        <f>IFERROR(__xludf.DUMMYFUNCTION("""COMPUTED_VALUE"""),12.0)</f>
        <v>12</v>
      </c>
      <c r="D102" s="125">
        <f t="shared" ref="D102:D111" si="77">VLOOKUP(B102,indirect($AC$2&amp;"!B$5:X$79"),23, false)</f>
        <v>22</v>
      </c>
      <c r="E102" s="125">
        <f t="shared" ref="E102:E111" si="78">VLOOKUP(B102,B$5:X$71,23, false)</f>
        <v>10</v>
      </c>
      <c r="F102" s="125">
        <f t="shared" ref="F102:F111" si="79">VLOOKUP(B102,indirect($AC$2&amp;"!B$5:U$79"),11, false)</f>
        <v>20</v>
      </c>
      <c r="G102" s="125">
        <f t="shared" ref="G102:G111" si="80">VLOOKUP(B102,indirect($AC$2&amp;"!B$5:U$79"),6, false)</f>
        <v>4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IFERROR(__xludf.DUMMYFUNCTION("""COMPUTED_VALUE"""),"Lloyd Sagar")</f>
        <v>Lloyd Sagar</v>
      </c>
      <c r="C103" s="125">
        <f>IFERROR(__xludf.DUMMYFUNCTION("""COMPUTED_VALUE"""),11.0)</f>
        <v>11</v>
      </c>
      <c r="D103" s="125">
        <f t="shared" si="77"/>
        <v>63</v>
      </c>
      <c r="E103" s="125">
        <f t="shared" si="78"/>
        <v>52</v>
      </c>
      <c r="F103" s="125">
        <f t="shared" si="79"/>
        <v>17</v>
      </c>
      <c r="G103" s="125">
        <f t="shared" si="80"/>
        <v>8</v>
      </c>
      <c r="L103" s="125" t="str">
        <f t="shared" si="81"/>
        <v>ok</v>
      </c>
    </row>
    <row r="104">
      <c r="A104" s="2"/>
      <c r="B104" s="36" t="str">
        <f>IFERROR(__xludf.DUMMYFUNCTION("""COMPUTED_VALUE"""),"Eric Tan")</f>
        <v>Eric Tan</v>
      </c>
      <c r="C104" s="125">
        <f>IFERROR(__xludf.DUMMYFUNCTION("""COMPUTED_VALUE"""),11.0)</f>
        <v>11</v>
      </c>
      <c r="D104" s="125">
        <f t="shared" si="77"/>
        <v>67</v>
      </c>
      <c r="E104" s="125">
        <f t="shared" si="78"/>
        <v>56</v>
      </c>
      <c r="F104" s="125">
        <f t="shared" si="79"/>
        <v>15</v>
      </c>
      <c r="G104" s="125">
        <f t="shared" si="80"/>
        <v>8</v>
      </c>
      <c r="L104" s="125" t="str">
        <f t="shared" si="81"/>
        <v>ok</v>
      </c>
    </row>
    <row r="105">
      <c r="A105" s="2"/>
      <c r="B105" s="36" t="str">
        <f>IFERROR(__xludf.DUMMYFUNCTION("""COMPUTED_VALUE"""),"Oscar Bonilla")</f>
        <v>Oscar Bonilla</v>
      </c>
      <c r="C105" s="125">
        <f>IFERROR(__xludf.DUMMYFUNCTION("""COMPUTED_VALUE"""),8.0)</f>
        <v>8</v>
      </c>
      <c r="D105" s="125">
        <f t="shared" si="77"/>
        <v>35</v>
      </c>
      <c r="E105" s="125">
        <f t="shared" si="78"/>
        <v>27</v>
      </c>
      <c r="F105" s="125">
        <f t="shared" si="79"/>
        <v>18</v>
      </c>
      <c r="G105" s="125">
        <f t="shared" si="80"/>
        <v>7</v>
      </c>
      <c r="L105" s="125" t="str">
        <f t="shared" si="81"/>
        <v>ok</v>
      </c>
    </row>
    <row r="106">
      <c r="A106" s="2"/>
      <c r="B106" s="36" t="str">
        <f>IFERROR(__xludf.DUMMYFUNCTION("""COMPUTED_VALUE"""),"Ranjith Doraiswamy")</f>
        <v>Ranjith Doraiswamy</v>
      </c>
      <c r="C106" s="125">
        <f>IFERROR(__xludf.DUMMYFUNCTION("""COMPUTED_VALUE"""),8.0)</f>
        <v>8</v>
      </c>
      <c r="D106" s="125">
        <f t="shared" si="77"/>
        <v>51</v>
      </c>
      <c r="E106" s="125">
        <f t="shared" si="78"/>
        <v>43</v>
      </c>
      <c r="F106" s="125">
        <f t="shared" si="79"/>
        <v>17</v>
      </c>
      <c r="G106" s="125">
        <f t="shared" si="80"/>
        <v>8</v>
      </c>
      <c r="L106" s="125" t="str">
        <f t="shared" si="81"/>
        <v>ok</v>
      </c>
    </row>
    <row r="107">
      <c r="A107" s="2"/>
      <c r="B107" s="36" t="str">
        <f>IFERROR(__xludf.DUMMYFUNCTION("""COMPUTED_VALUE"""),"Manish Anand")</f>
        <v>Manish Anand</v>
      </c>
      <c r="C107" s="125">
        <f>IFERROR(__xludf.DUMMYFUNCTION("""COMPUTED_VALUE"""),6.0)</f>
        <v>6</v>
      </c>
      <c r="D107" s="125">
        <f t="shared" si="77"/>
        <v>20</v>
      </c>
      <c r="E107" s="125">
        <f t="shared" si="78"/>
        <v>14</v>
      </c>
      <c r="F107" s="125">
        <f t="shared" si="79"/>
        <v>18</v>
      </c>
      <c r="G107" s="125">
        <f t="shared" si="80"/>
        <v>4</v>
      </c>
      <c r="L107" s="125" t="str">
        <f t="shared" si="81"/>
        <v>ok</v>
      </c>
    </row>
    <row r="108">
      <c r="A108" s="2"/>
      <c r="B108" s="36" t="str">
        <f>IFERROR(__xludf.DUMMYFUNCTION("""COMPUTED_VALUE"""),"Tom Le")</f>
        <v>Tom Le</v>
      </c>
      <c r="C108" s="125">
        <f>IFERROR(__xludf.DUMMYFUNCTION("""COMPUTED_VALUE"""),5.0)</f>
        <v>5</v>
      </c>
      <c r="D108" s="125">
        <f t="shared" si="77"/>
        <v>11</v>
      </c>
      <c r="E108" s="125">
        <f t="shared" si="78"/>
        <v>6</v>
      </c>
      <c r="F108" s="125">
        <f t="shared" si="79"/>
        <v>18</v>
      </c>
      <c r="G108" s="125">
        <f t="shared" si="80"/>
        <v>2</v>
      </c>
      <c r="L108" s="125" t="str">
        <f t="shared" si="81"/>
        <v>ok</v>
      </c>
    </row>
    <row r="109">
      <c r="A109" s="2"/>
      <c r="B109" s="36" t="str">
        <f>IFERROR(__xludf.DUMMYFUNCTION("""COMPUTED_VALUE"""),"Jonathan Phan")</f>
        <v>Jonathan Phan</v>
      </c>
      <c r="C109" s="125">
        <f>IFERROR(__xludf.DUMMYFUNCTION("""COMPUTED_VALUE"""),5.0)</f>
        <v>5</v>
      </c>
      <c r="D109" s="125">
        <f t="shared" si="77"/>
        <v>18</v>
      </c>
      <c r="E109" s="125">
        <f t="shared" si="78"/>
        <v>13</v>
      </c>
      <c r="F109" s="125">
        <f t="shared" si="79"/>
        <v>17</v>
      </c>
      <c r="G109" s="125">
        <f t="shared" si="80"/>
        <v>4</v>
      </c>
      <c r="L109" s="125" t="str">
        <f t="shared" si="81"/>
        <v>ok</v>
      </c>
    </row>
    <row r="110">
      <c r="A110" s="2"/>
      <c r="B110" s="36" t="str">
        <f>IFERROR(__xludf.DUMMYFUNCTION("""COMPUTED_VALUE"""),"Matthew Huang")</f>
        <v>Matthew Huang</v>
      </c>
      <c r="C110" s="125">
        <f>IFERROR(__xludf.DUMMYFUNCTION("""COMPUTED_VALUE"""),5.0)</f>
        <v>5</v>
      </c>
      <c r="D110" s="125">
        <f t="shared" si="77"/>
        <v>24</v>
      </c>
      <c r="E110" s="125">
        <f t="shared" si="78"/>
        <v>19</v>
      </c>
      <c r="F110" s="125">
        <f t="shared" si="79"/>
        <v>18</v>
      </c>
      <c r="G110" s="125">
        <f t="shared" si="80"/>
        <v>5</v>
      </c>
      <c r="L110" s="125" t="str">
        <f t="shared" si="81"/>
        <v>ok</v>
      </c>
    </row>
    <row r="111">
      <c r="A111" s="2"/>
      <c r="B111" s="36" t="str">
        <f>IFERROR(__xludf.DUMMYFUNCTION("""COMPUTED_VALUE"""),"Herman Au")</f>
        <v>Herman Au</v>
      </c>
      <c r="C111" s="125">
        <f>IFERROR(__xludf.DUMMYFUNCTION("""COMPUTED_VALUE"""),4.0)</f>
        <v>4</v>
      </c>
      <c r="D111" s="125">
        <f t="shared" si="77"/>
        <v>21</v>
      </c>
      <c r="E111" s="125">
        <f t="shared" si="78"/>
        <v>17</v>
      </c>
      <c r="F111" s="125">
        <f t="shared" si="79"/>
        <v>17</v>
      </c>
      <c r="G111" s="125">
        <f t="shared" si="80"/>
        <v>4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10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Andrew Yao</v>
      </c>
      <c r="C120" s="125">
        <f t="shared" si="82"/>
        <v>137</v>
      </c>
      <c r="D120" s="125">
        <f t="shared" si="82"/>
        <v>14</v>
      </c>
      <c r="E120" s="125">
        <f t="shared" si="82"/>
        <v>13.77777778</v>
      </c>
      <c r="F120" s="2"/>
    </row>
    <row r="121">
      <c r="A121" s="125">
        <f t="shared" ref="A121:E121" si="83">A6</f>
        <v>2</v>
      </c>
      <c r="B121" s="36" t="str">
        <f t="shared" si="83"/>
        <v>Rudy Tatang</v>
      </c>
      <c r="C121" s="125">
        <f t="shared" si="83"/>
        <v>136</v>
      </c>
      <c r="D121" s="125">
        <f t="shared" si="83"/>
        <v>12</v>
      </c>
      <c r="E121" s="125">
        <f t="shared" si="83"/>
        <v>16</v>
      </c>
      <c r="F121" s="2"/>
    </row>
    <row r="122">
      <c r="A122" s="125">
        <f t="shared" ref="A122:E122" si="84">A7</f>
        <v>3</v>
      </c>
      <c r="B122" s="36" t="str">
        <f t="shared" si="84"/>
        <v>Pulkit Mathur</v>
      </c>
      <c r="C122" s="125">
        <f t="shared" si="84"/>
        <v>131</v>
      </c>
      <c r="D122" s="125">
        <f t="shared" si="84"/>
        <v>18</v>
      </c>
      <c r="E122" s="125">
        <f t="shared" si="84"/>
        <v>14.125</v>
      </c>
      <c r="F122" s="2"/>
    </row>
    <row r="123">
      <c r="A123" s="125">
        <f t="shared" ref="A123:E123" si="85">A8</f>
        <v>4</v>
      </c>
      <c r="B123" s="36" t="str">
        <f t="shared" si="85"/>
        <v>David Shin</v>
      </c>
      <c r="C123" s="125">
        <f t="shared" si="85"/>
        <v>129</v>
      </c>
      <c r="D123" s="125">
        <f t="shared" si="85"/>
        <v>14</v>
      </c>
      <c r="E123" s="125">
        <f t="shared" si="85"/>
        <v>12.88888889</v>
      </c>
      <c r="F123" s="2"/>
    </row>
    <row r="124">
      <c r="A124" s="125">
        <f t="shared" ref="A124:E124" si="86">A9</f>
        <v>5</v>
      </c>
      <c r="B124" s="36" t="str">
        <f t="shared" si="86"/>
        <v>Suleman Alidina</v>
      </c>
      <c r="C124" s="125">
        <f t="shared" si="86"/>
        <v>129</v>
      </c>
      <c r="D124" s="125">
        <f t="shared" si="86"/>
        <v>10</v>
      </c>
      <c r="E124" s="125">
        <f t="shared" si="86"/>
        <v>13.6</v>
      </c>
      <c r="F124" s="2"/>
    </row>
    <row r="125">
      <c r="A125" s="125">
        <f t="shared" ref="A125:E125" si="87">A10</f>
        <v>6</v>
      </c>
      <c r="B125" s="36" t="str">
        <f t="shared" si="87"/>
        <v>Tom Le</v>
      </c>
      <c r="C125" s="125">
        <f t="shared" si="87"/>
        <v>128</v>
      </c>
      <c r="D125" s="125">
        <f t="shared" si="87"/>
        <v>14</v>
      </c>
      <c r="E125" s="125">
        <f t="shared" si="87"/>
        <v>14.42857143</v>
      </c>
      <c r="F125" s="2"/>
    </row>
    <row r="126">
      <c r="A126" s="125">
        <f t="shared" ref="A126:E126" si="88">A11</f>
        <v>7</v>
      </c>
      <c r="B126" s="36" t="str">
        <f t="shared" si="88"/>
        <v>Jaya Sogata</v>
      </c>
      <c r="C126" s="125">
        <f t="shared" si="88"/>
        <v>124</v>
      </c>
      <c r="D126" s="125">
        <f t="shared" si="88"/>
        <v>9</v>
      </c>
      <c r="E126" s="125">
        <f t="shared" si="88"/>
        <v>12.66666667</v>
      </c>
      <c r="F126" s="2"/>
    </row>
    <row r="127">
      <c r="A127" s="125">
        <f t="shared" ref="A127:E127" si="89">A12</f>
        <v>8</v>
      </c>
      <c r="B127" s="36" t="str">
        <f t="shared" si="89"/>
        <v>Pavan Akkimsetty</v>
      </c>
      <c r="C127" s="125">
        <f t="shared" si="89"/>
        <v>123</v>
      </c>
      <c r="D127" s="125">
        <f t="shared" si="89"/>
        <v>11</v>
      </c>
      <c r="E127" s="125">
        <f t="shared" si="89"/>
        <v>12.625</v>
      </c>
      <c r="F127" s="2"/>
    </row>
    <row r="128">
      <c r="A128" s="125">
        <f t="shared" ref="A128:E128" si="90">A13</f>
        <v>9</v>
      </c>
      <c r="B128" s="36" t="str">
        <f t="shared" si="90"/>
        <v>Vinotkumar Nagappan</v>
      </c>
      <c r="C128" s="125">
        <f t="shared" si="90"/>
        <v>122</v>
      </c>
      <c r="D128" s="125">
        <f t="shared" si="90"/>
        <v>11</v>
      </c>
      <c r="E128" s="125">
        <f t="shared" si="90"/>
        <v>12.2</v>
      </c>
      <c r="F128" s="2"/>
    </row>
    <row r="129">
      <c r="A129" s="125">
        <f t="shared" ref="A129:E129" si="91">A14</f>
        <v>10</v>
      </c>
      <c r="B129" s="36" t="str">
        <f t="shared" si="91"/>
        <v>Luis Hsu</v>
      </c>
      <c r="C129" s="125">
        <f t="shared" si="91"/>
        <v>121</v>
      </c>
      <c r="D129" s="125">
        <f t="shared" si="91"/>
        <v>13</v>
      </c>
      <c r="E129" s="125">
        <f t="shared" si="91"/>
        <v>15.2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ASC"")"),"Eric Tan")</f>
        <v>Eric Tan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IFERROR(__xludf.DUMMYFUNCTION("""COMPUTED_VALUE"""),"Ted Shen")</f>
        <v>Ted Shen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IFERROR(__xludf.DUMMYFUNCTION("""COMPUTED_VALUE"""),"Vinotkumar Nagappan")</f>
        <v>Vinotkumar Nagappan</v>
      </c>
      <c r="C139" s="2"/>
      <c r="D139" s="2"/>
      <c r="E139" s="2"/>
      <c r="F139" s="2"/>
      <c r="P139" s="36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08/29/26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IFERROR(__xludf.DUMMYFUNCTION("""COMPUTED_VALUE"""),"Andrew Yao")</f>
        <v>Andrew Yao</v>
      </c>
      <c r="C239" s="131">
        <f>IFERROR(__xludf.DUMMYFUNCTION("""COMPUTED_VALUE"""),3.0)</f>
        <v>3</v>
      </c>
      <c r="D239" s="131">
        <f>IFERROR(__xludf.DUMMYFUNCTION("""COMPUTED_VALUE"""),6.0)</f>
        <v>6</v>
      </c>
      <c r="E239" s="131">
        <f>IFERROR(__xludf.DUMMYFUNCTION("""COMPUTED_VALUE"""),6.0)</f>
        <v>6</v>
      </c>
      <c r="F239" s="131">
        <f>IFERROR(__xludf.DUMMYFUNCTION("""COMPUTED_VALUE"""),15.0)</f>
        <v>15</v>
      </c>
      <c r="G239" s="131">
        <f>IFERROR(__xludf.DUMMYFUNCTION("""COMPUTED_VALUE"""),2.0)</f>
        <v>2</v>
      </c>
    </row>
    <row r="240">
      <c r="A240" s="125">
        <f>IFERROR(__xludf.DUMMYFUNCTION("""COMPUTED_VALUE"""),1.0)</f>
        <v>1</v>
      </c>
      <c r="B240" s="36" t="str">
        <f>IFERROR(__xludf.DUMMYFUNCTION("""COMPUTED_VALUE"""),"Pulkit Mathur")</f>
        <v>Pulkit Mathur</v>
      </c>
      <c r="C240" s="131">
        <f>IFERROR(__xludf.DUMMYFUNCTION("""COMPUTED_VALUE"""),6.0)</f>
        <v>6</v>
      </c>
      <c r="D240" s="131">
        <f>IFERROR(__xludf.DUMMYFUNCTION("""COMPUTED_VALUE"""),0.0)</f>
        <v>0</v>
      </c>
      <c r="E240" s="131">
        <f>IFERROR(__xludf.DUMMYFUNCTION("""COMPUTED_VALUE"""),6.0)</f>
        <v>6</v>
      </c>
      <c r="F240" s="131">
        <f>IFERROR(__xludf.DUMMYFUNCTION("""COMPUTED_VALUE"""),12.0)</f>
        <v>12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IFERROR(__xludf.DUMMYFUNCTION("""COMPUTED_VALUE"""),"Scott Li")</f>
        <v>Scott Li</v>
      </c>
      <c r="C241" s="131">
        <f>IFERROR(__xludf.DUMMYFUNCTION("""COMPUTED_VALUE"""),3.0)</f>
        <v>3</v>
      </c>
      <c r="D241" s="131">
        <f>IFERROR(__xludf.DUMMYFUNCTION("""COMPUTED_VALUE"""),0.0)</f>
        <v>0</v>
      </c>
      <c r="E241" s="131">
        <f>IFERROR(__xludf.DUMMYFUNCTION("""COMPUTED_VALUE"""),3.0)</f>
        <v>3</v>
      </c>
      <c r="F241" s="131">
        <f>IFERROR(__xludf.DUMMYFUNCTION("""COMPUTED_VALUE"""),6.0)</f>
        <v>6</v>
      </c>
      <c r="G241" s="131">
        <f>IFERROR(__xludf.DUMMYFUNCTION("""COMPUTED_VALUE"""),0.0)</f>
        <v>0</v>
      </c>
    </row>
    <row r="242">
      <c r="A242" s="125">
        <f>IFERROR(__xludf.DUMMYFUNCTION("""COMPUTED_VALUE"""),1.0)</f>
        <v>1</v>
      </c>
      <c r="B242" s="36" t="str">
        <f>IFERROR(__xludf.DUMMYFUNCTION("""COMPUTED_VALUE"""),"David Shin")</f>
        <v>David Shin</v>
      </c>
      <c r="C242" s="131">
        <f>IFERROR(__xludf.DUMMYFUNCTION("""COMPUTED_VALUE"""),6.0)</f>
        <v>6</v>
      </c>
      <c r="D242" s="131">
        <f>IFERROR(__xludf.DUMMYFUNCTION("""COMPUTED_VALUE"""),6.0)</f>
        <v>6</v>
      </c>
      <c r="E242" s="131">
        <f>IFERROR(__xludf.DUMMYFUNCTION("""COMPUTED_VALUE"""),3.0)</f>
        <v>3</v>
      </c>
      <c r="F242" s="131">
        <f>IFERROR(__xludf.DUMMYFUNCTION("""COMPUTED_VALUE"""),15.0)</f>
        <v>15</v>
      </c>
      <c r="G242" s="131">
        <f>IFERROR(__xludf.DUMMYFUNCTION("""COMPUTED_VALUE"""),2.0)</f>
        <v>2</v>
      </c>
    </row>
    <row r="243">
      <c r="A243" s="132">
        <f>IFERROR(__xludf.DUMMYFUNCTION("""COMPUTED_VALUE"""),2.0)</f>
        <v>2</v>
      </c>
      <c r="B243" s="133" t="str">
        <f>IFERROR(__xludf.DUMMYFUNCTION("""COMPUTED_VALUE"""),"Pavan Akkimsetty")</f>
        <v>Pavan Akkimsetty</v>
      </c>
      <c r="C243" s="134">
        <f>IFERROR(__xludf.DUMMYFUNCTION("""COMPUTED_VALUE"""),3.0)</f>
        <v>3</v>
      </c>
      <c r="D243" s="134">
        <f>IFERROR(__xludf.DUMMYFUNCTION("""COMPUTED_VALUE"""),3.0)</f>
        <v>3</v>
      </c>
      <c r="E243" s="134">
        <f>IFERROR(__xludf.DUMMYFUNCTION("""COMPUTED_VALUE"""),6.0)</f>
        <v>6</v>
      </c>
      <c r="F243" s="134">
        <f>IFERROR(__xludf.DUMMYFUNCTION("""COMPUTED_VALUE"""),12.0)</f>
        <v>12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IFERROR(__xludf.DUMMYFUNCTION("""COMPUTED_VALUE"""),"Vinotkumar Nagappan")</f>
        <v>Vinotkumar Nagappan</v>
      </c>
      <c r="C244" s="134">
        <f>IFERROR(__xludf.DUMMYFUNCTION("""COMPUTED_VALUE"""),6.0)</f>
        <v>6</v>
      </c>
      <c r="D244" s="134">
        <f>IFERROR(__xludf.DUMMYFUNCTION("""COMPUTED_VALUE"""),3.0)</f>
        <v>3</v>
      </c>
      <c r="E244" s="134">
        <f>IFERROR(__xludf.DUMMYFUNCTION("""COMPUTED_VALUE"""),2.0)</f>
        <v>2</v>
      </c>
      <c r="F244" s="134">
        <f>IFERROR(__xludf.DUMMYFUNCTION("""COMPUTED_VALUE"""),11.0)</f>
        <v>11</v>
      </c>
      <c r="G244" s="134">
        <f>IFERROR(__xludf.DUMMYFUNCTION("""COMPUTED_VALUE"""),1.0)</f>
        <v>1</v>
      </c>
    </row>
    <row r="245">
      <c r="A245" s="132">
        <f>IFERROR(__xludf.DUMMYFUNCTION("""COMPUTED_VALUE"""),2.0)</f>
        <v>2</v>
      </c>
      <c r="B245" s="133" t="str">
        <f>IFERROR(__xludf.DUMMYFUNCTION("""COMPUTED_VALUE"""),"Tom Le")</f>
        <v>Tom Le</v>
      </c>
      <c r="C245" s="134">
        <f>IFERROR(__xludf.DUMMYFUNCTION("""COMPUTED_VALUE"""),6.0)</f>
        <v>6</v>
      </c>
      <c r="D245" s="134">
        <f>IFERROR(__xludf.DUMMYFUNCTION("""COMPUTED_VALUE"""),6.0)</f>
        <v>6</v>
      </c>
      <c r="E245" s="134">
        <f>IFERROR(__xludf.DUMMYFUNCTION("""COMPUTED_VALUE"""),6.0)</f>
        <v>6</v>
      </c>
      <c r="F245" s="134">
        <f>IFERROR(__xludf.DUMMYFUNCTION("""COMPUTED_VALUE"""),18.0)</f>
        <v>18</v>
      </c>
      <c r="G245" s="134">
        <f>IFERROR(__xludf.DUMMYFUNCTION("""COMPUTED_VALUE"""),3.0)</f>
        <v>3</v>
      </c>
    </row>
    <row r="246">
      <c r="A246" s="132">
        <f>IFERROR(__xludf.DUMMYFUNCTION("""COMPUTED_VALUE"""),2.0)</f>
        <v>2</v>
      </c>
      <c r="B246" s="133" t="str">
        <f>IFERROR(__xludf.DUMMYFUNCTION("""COMPUTED_VALUE"""),"Chinna Ponnaganti")</f>
        <v>Chinna Ponnaganti</v>
      </c>
      <c r="C246" s="134">
        <f>IFERROR(__xludf.DUMMYFUNCTION("""COMPUTED_VALUE"""),3.0)</f>
        <v>3</v>
      </c>
      <c r="D246" s="134">
        <f>IFERROR(__xludf.DUMMYFUNCTION("""COMPUTED_VALUE"""),6.0)</f>
        <v>6</v>
      </c>
      <c r="E246" s="134">
        <f>IFERROR(__xludf.DUMMYFUNCTION("""COMPUTED_VALUE"""),2.0)</f>
        <v>2</v>
      </c>
      <c r="F246" s="134">
        <f>IFERROR(__xludf.DUMMYFUNCTION("""COMPUTED_VALUE"""),11.0)</f>
        <v>11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IFERROR(__xludf.DUMMYFUNCTION("""COMPUTED_VALUE"""),"Sandeep Kamalon")</f>
        <v>Sandeep Kamalon</v>
      </c>
      <c r="C247" s="131">
        <f>IFERROR(__xludf.DUMMYFUNCTION("""COMPUTED_VALUE"""),3.0)</f>
        <v>3</v>
      </c>
      <c r="D247" s="131">
        <f>IFERROR(__xludf.DUMMYFUNCTION("""COMPUTED_VALUE"""),6.0)</f>
        <v>6</v>
      </c>
      <c r="E247" s="131">
        <f>IFERROR(__xludf.DUMMYFUNCTION("""COMPUTED_VALUE"""),6.0)</f>
        <v>6</v>
      </c>
      <c r="F247" s="131">
        <f>IFERROR(__xludf.DUMMYFUNCTION("""COMPUTED_VALUE"""),15.0)</f>
        <v>15</v>
      </c>
      <c r="G247" s="131">
        <f>IFERROR(__xludf.DUMMYFUNCTION("""COMPUTED_VALUE"""),2.0)</f>
        <v>2</v>
      </c>
    </row>
    <row r="248">
      <c r="A248" s="125">
        <f>IFERROR(__xludf.DUMMYFUNCTION("""COMPUTED_VALUE"""),3.0)</f>
        <v>3</v>
      </c>
      <c r="B248" s="36" t="str">
        <f>IFERROR(__xludf.DUMMYFUNCTION("""COMPUTED_VALUE"""),"Ted Shen")</f>
        <v>Ted Shen</v>
      </c>
      <c r="C248" s="131">
        <f>IFERROR(__xludf.DUMMYFUNCTION("""COMPUTED_VALUE"""),6.0)</f>
        <v>6</v>
      </c>
      <c r="D248" s="131">
        <f>IFERROR(__xludf.DUMMYFUNCTION("""COMPUTED_VALUE"""),3.0)</f>
        <v>3</v>
      </c>
      <c r="E248" s="131">
        <f>IFERROR(__xludf.DUMMYFUNCTION("""COMPUTED_VALUE"""),6.0)</f>
        <v>6</v>
      </c>
      <c r="F248" s="131">
        <f>IFERROR(__xludf.DUMMYFUNCTION("""COMPUTED_VALUE"""),15.0)</f>
        <v>15</v>
      </c>
      <c r="G248" s="131">
        <f>IFERROR(__xludf.DUMMYFUNCTION("""COMPUTED_VALUE"""),2.0)</f>
        <v>2</v>
      </c>
    </row>
    <row r="249">
      <c r="A249" s="125">
        <f>IFERROR(__xludf.DUMMYFUNCTION("""COMPUTED_VALUE"""),3.0)</f>
        <v>3</v>
      </c>
      <c r="B249" s="36" t="str">
        <f>IFERROR(__xludf.DUMMYFUNCTION("""COMPUTED_VALUE"""),"Erik Hoeckmann")</f>
        <v>Erik Hoeckmann</v>
      </c>
      <c r="C249" s="131">
        <f>IFERROR(__xludf.DUMMYFUNCTION("""COMPUTED_VALUE"""),3.0)</f>
        <v>3</v>
      </c>
      <c r="D249" s="131">
        <f>IFERROR(__xludf.DUMMYFUNCTION("""COMPUTED_VALUE"""),3.0)</f>
        <v>3</v>
      </c>
      <c r="E249" s="131">
        <f>IFERROR(__xludf.DUMMYFUNCTION("""COMPUTED_VALUE"""),3.0)</f>
        <v>3</v>
      </c>
      <c r="F249" s="131">
        <f>IFERROR(__xludf.DUMMYFUNCTION("""COMPUTED_VALUE"""),9.0)</f>
        <v>9</v>
      </c>
      <c r="G249" s="131">
        <f>IFERROR(__xludf.DUMMYFUNCTION("""COMPUTED_VALUE"""),0.0)</f>
        <v>0</v>
      </c>
    </row>
    <row r="250">
      <c r="A250" s="125">
        <f>IFERROR(__xludf.DUMMYFUNCTION("""COMPUTED_VALUE"""),3.0)</f>
        <v>3</v>
      </c>
      <c r="B250" s="36" t="str">
        <f>IFERROR(__xludf.DUMMYFUNCTION("""COMPUTED_VALUE"""),"Rajasekar Ramasamy")</f>
        <v>Rajasekar Ramasamy</v>
      </c>
      <c r="C250" s="131">
        <f>IFERROR(__xludf.DUMMYFUNCTION("""COMPUTED_VALUE"""),6.0)</f>
        <v>6</v>
      </c>
      <c r="D250" s="131">
        <f>IFERROR(__xludf.DUMMYFUNCTION("""COMPUTED_VALUE"""),6.0)</f>
        <v>6</v>
      </c>
      <c r="E250" s="131">
        <f>IFERROR(__xludf.DUMMYFUNCTION("""COMPUTED_VALUE"""),3.0)</f>
        <v>3</v>
      </c>
      <c r="F250" s="131">
        <f>IFERROR(__xludf.DUMMYFUNCTION("""COMPUTED_VALUE"""),15.0)</f>
        <v>15</v>
      </c>
      <c r="G250" s="131">
        <f>IFERROR(__xludf.DUMMYFUNCTION("""COMPUTED_VALUE"""),2.0)</f>
        <v>2</v>
      </c>
    </row>
    <row r="251">
      <c r="A251" s="132">
        <f>IFERROR(__xludf.DUMMYFUNCTION("""COMPUTED_VALUE"""),4.0)</f>
        <v>4</v>
      </c>
      <c r="B251" s="133" t="str">
        <f>IFERROR(__xludf.DUMMYFUNCTION("""COMPUTED_VALUE"""),"Jonathan Phan")</f>
        <v>Jonathan Phan</v>
      </c>
      <c r="C251" s="134">
        <f>IFERROR(__xludf.DUMMYFUNCTION("""COMPUTED_VALUE"""),7.0)</f>
        <v>7</v>
      </c>
      <c r="D251" s="134">
        <f>IFERROR(__xludf.DUMMYFUNCTION("""COMPUTED_VALUE"""),4.0)</f>
        <v>4</v>
      </c>
      <c r="E251" s="134">
        <f>IFERROR(__xludf.DUMMYFUNCTION("""COMPUTED_VALUE"""),6.0)</f>
        <v>6</v>
      </c>
      <c r="F251" s="134">
        <f>IFERROR(__xludf.DUMMYFUNCTION("""COMPUTED_VALUE"""),17.0)</f>
        <v>17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IFERROR(__xludf.DUMMYFUNCTION("""COMPUTED_VALUE"""),"Manish Anand")</f>
        <v>Manish Anand</v>
      </c>
      <c r="C252" s="134">
        <f>IFERROR(__xludf.DUMMYFUNCTION("""COMPUTED_VALUE"""),6.0)</f>
        <v>6</v>
      </c>
      <c r="D252" s="134">
        <f>IFERROR(__xludf.DUMMYFUNCTION("""COMPUTED_VALUE"""),6.0)</f>
        <v>6</v>
      </c>
      <c r="E252" s="134">
        <f>IFERROR(__xludf.DUMMYFUNCTION("""COMPUTED_VALUE"""),6.0)</f>
        <v>6</v>
      </c>
      <c r="F252" s="134">
        <f>IFERROR(__xludf.DUMMYFUNCTION("""COMPUTED_VALUE"""),18.0)</f>
        <v>18</v>
      </c>
      <c r="G252" s="134">
        <f>IFERROR(__xludf.DUMMYFUNCTION("""COMPUTED_VALUE"""),1.0)</f>
        <v>1</v>
      </c>
    </row>
    <row r="253">
      <c r="A253" s="132">
        <f>IFERROR(__xludf.DUMMYFUNCTION("""COMPUTED_VALUE"""),4.0)</f>
        <v>4</v>
      </c>
      <c r="B253" s="133" t="str">
        <f>IFERROR(__xludf.DUMMYFUNCTION("""COMPUTED_VALUE"""),"Herman Au")</f>
        <v>Herman Au</v>
      </c>
      <c r="C253" s="134">
        <f>IFERROR(__xludf.DUMMYFUNCTION("""COMPUTED_VALUE"""),6.0)</f>
        <v>6</v>
      </c>
      <c r="D253" s="134">
        <f>IFERROR(__xludf.DUMMYFUNCTION("""COMPUTED_VALUE"""),4.0)</f>
        <v>4</v>
      </c>
      <c r="E253" s="134">
        <f>IFERROR(__xludf.DUMMYFUNCTION("""COMPUTED_VALUE"""),7.0)</f>
        <v>7</v>
      </c>
      <c r="F253" s="134">
        <f>IFERROR(__xludf.DUMMYFUNCTION("""COMPUTED_VALUE"""),17.0)</f>
        <v>17</v>
      </c>
      <c r="G253" s="134">
        <f>IFERROR(__xludf.DUMMYFUNCTION("""COMPUTED_VALUE"""),1.0)</f>
        <v>1</v>
      </c>
    </row>
    <row r="254">
      <c r="A254" s="132">
        <f>IFERROR(__xludf.DUMMYFUNCTION("""COMPUTED_VALUE"""),4.0)</f>
        <v>4</v>
      </c>
      <c r="B254" s="133" t="str">
        <f>IFERROR(__xludf.DUMMYFUNCTION("""COMPUTED_VALUE"""),"Luis Hsu")</f>
        <v>Luis Hsu</v>
      </c>
      <c r="C254" s="134">
        <f>IFERROR(__xludf.DUMMYFUNCTION("""COMPUTED_VALUE"""),7.0)</f>
        <v>7</v>
      </c>
      <c r="D254" s="134">
        <f>IFERROR(__xludf.DUMMYFUNCTION("""COMPUTED_VALUE"""),6.0)</f>
        <v>6</v>
      </c>
      <c r="E254" s="134">
        <f>IFERROR(__xludf.DUMMYFUNCTION("""COMPUTED_VALUE"""),7.0)</f>
        <v>7</v>
      </c>
      <c r="F254" s="134">
        <f>IFERROR(__xludf.DUMMYFUNCTION("""COMPUTED_VALUE"""),20.0)</f>
        <v>20</v>
      </c>
      <c r="G254" s="134">
        <f>IFERROR(__xludf.DUMMYFUNCTION("""COMPUTED_VALUE"""),3.0)</f>
        <v>3</v>
      </c>
    </row>
    <row r="255">
      <c r="A255" s="125">
        <f>IFERROR(__xludf.DUMMYFUNCTION("""COMPUTED_VALUE"""),5.0)</f>
        <v>5</v>
      </c>
      <c r="B255" s="36" t="str">
        <f>IFERROR(__xludf.DUMMYFUNCTION("""COMPUTED_VALUE"""),"Matthew Huang")</f>
        <v>Matthew Huang</v>
      </c>
      <c r="C255" s="131">
        <f>IFERROR(__xludf.DUMMYFUNCTION("""COMPUTED_VALUE"""),6.0)</f>
        <v>6</v>
      </c>
      <c r="D255" s="131">
        <f>IFERROR(__xludf.DUMMYFUNCTION("""COMPUTED_VALUE"""),6.0)</f>
        <v>6</v>
      </c>
      <c r="E255" s="131">
        <f>IFERROR(__xludf.DUMMYFUNCTION("""COMPUTED_VALUE"""),6.0)</f>
        <v>6</v>
      </c>
      <c r="F255" s="131">
        <f>IFERROR(__xludf.DUMMYFUNCTION("""COMPUTED_VALUE"""),18.0)</f>
        <v>18</v>
      </c>
      <c r="G255" s="131">
        <f>IFERROR(__xludf.DUMMYFUNCTION("""COMPUTED_VALUE"""),3.0)</f>
        <v>3</v>
      </c>
    </row>
    <row r="256">
      <c r="A256" s="125">
        <f>IFERROR(__xludf.DUMMYFUNCTION("""COMPUTED_VALUE"""),5.0)</f>
        <v>5</v>
      </c>
      <c r="B256" s="36" t="str">
        <f>IFERROR(__xludf.DUMMYFUNCTION("""COMPUTED_VALUE"""),"Ethan Gu")</f>
        <v>Ethan Gu</v>
      </c>
      <c r="C256" s="131">
        <f>IFERROR(__xludf.DUMMYFUNCTION("""COMPUTED_VALUE"""),3.0)</f>
        <v>3</v>
      </c>
      <c r="D256" s="131">
        <f>IFERROR(__xludf.DUMMYFUNCTION("""COMPUTED_VALUE"""),1.0)</f>
        <v>1</v>
      </c>
      <c r="E256" s="131">
        <f>IFERROR(__xludf.DUMMYFUNCTION("""COMPUTED_VALUE"""),6.0)</f>
        <v>6</v>
      </c>
      <c r="F256" s="131">
        <f>IFERROR(__xludf.DUMMYFUNCTION("""COMPUTED_VALUE"""),10.0)</f>
        <v>10</v>
      </c>
      <c r="G256" s="131">
        <f>IFERROR(__xludf.DUMMYFUNCTION("""COMPUTED_VALUE"""),1.0)</f>
        <v>1</v>
      </c>
    </row>
    <row r="257">
      <c r="A257" s="125">
        <f>IFERROR(__xludf.DUMMYFUNCTION("""COMPUTED_VALUE"""),5.0)</f>
        <v>5</v>
      </c>
      <c r="B257" s="36" t="str">
        <f>IFERROR(__xludf.DUMMYFUNCTION("""COMPUTED_VALUE"""),"Wayne Liu")</f>
        <v>Wayne Liu</v>
      </c>
      <c r="C257" s="131">
        <f>IFERROR(__xludf.DUMMYFUNCTION("""COMPUTED_VALUE"""),6.0)</f>
        <v>6</v>
      </c>
      <c r="D257" s="131">
        <f>IFERROR(__xludf.DUMMYFUNCTION("""COMPUTED_VALUE"""),1.0)</f>
        <v>1</v>
      </c>
      <c r="E257" s="131">
        <f>IFERROR(__xludf.DUMMYFUNCTION("""COMPUTED_VALUE"""),0.0)</f>
        <v>0</v>
      </c>
      <c r="F257" s="131">
        <f>IFERROR(__xludf.DUMMYFUNCTION("""COMPUTED_VALUE"""),7.0)</f>
        <v>7</v>
      </c>
      <c r="G257" s="131">
        <f>IFERROR(__xludf.DUMMYFUNCTION("""COMPUTED_VALUE"""),1.0)</f>
        <v>1</v>
      </c>
    </row>
    <row r="258">
      <c r="A258" s="125">
        <f>IFERROR(__xludf.DUMMYFUNCTION("""COMPUTED_VALUE"""),5.0)</f>
        <v>5</v>
      </c>
      <c r="B258" s="36" t="str">
        <f>IFERROR(__xludf.DUMMYFUNCTION("""COMPUTED_VALUE"""),"Elayaraja Thangaraj")</f>
        <v>Elayaraja Thangaraj</v>
      </c>
      <c r="C258" s="131">
        <f>IFERROR(__xludf.DUMMYFUNCTION("""COMPUTED_VALUE"""),3.0)</f>
        <v>3</v>
      </c>
      <c r="D258" s="131">
        <f>IFERROR(__xludf.DUMMYFUNCTION("""COMPUTED_VALUE"""),6.0)</f>
        <v>6</v>
      </c>
      <c r="E258" s="131">
        <f>IFERROR(__xludf.DUMMYFUNCTION("""COMPUTED_VALUE"""),0.0)</f>
        <v>0</v>
      </c>
      <c r="F258" s="131">
        <f>IFERROR(__xludf.DUMMYFUNCTION("""COMPUTED_VALUE"""),9.0)</f>
        <v>9</v>
      </c>
      <c r="G258" s="131">
        <f>IFERROR(__xludf.DUMMYFUNCTION("""COMPUTED_VALUE"""),1.0)</f>
        <v>1</v>
      </c>
    </row>
    <row r="259">
      <c r="A259" s="132">
        <f>IFERROR(__xludf.DUMMYFUNCTION("""COMPUTED_VALUE"""),6.0)</f>
        <v>6</v>
      </c>
      <c r="B259" s="133" t="str">
        <f>IFERROR(__xludf.DUMMYFUNCTION("""COMPUTED_VALUE"""),"Tina Hanson")</f>
        <v>Tina Hanson</v>
      </c>
      <c r="C259" s="134">
        <f>IFERROR(__xludf.DUMMYFUNCTION("""COMPUTED_VALUE"""),3.0)</f>
        <v>3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IFERROR(__xludf.DUMMYFUNCTION("""COMPUTED_VALUE"""),15.0)</f>
        <v>15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IFERROR(__xludf.DUMMYFUNCTION("""COMPUTED_VALUE"""),"Joe Luzzi")</f>
        <v>Joe Luzzi</v>
      </c>
      <c r="C260" s="134">
        <f>IFERROR(__xludf.DUMMYFUNCTION("""COMPUTED_VALUE"""),6.0)</f>
        <v>6</v>
      </c>
      <c r="D260" s="134">
        <f>IFERROR(__xludf.DUMMYFUNCTION("""COMPUTED_VALUE"""),6.0)</f>
        <v>6</v>
      </c>
      <c r="E260" s="134">
        <f>IFERROR(__xludf.DUMMYFUNCTION("""COMPUTED_VALUE"""),3.0)</f>
        <v>3</v>
      </c>
      <c r="F260" s="134">
        <f>IFERROR(__xludf.DUMMYFUNCTION("""COMPUTED_VALUE"""),15.0)</f>
        <v>15</v>
      </c>
      <c r="G260" s="134">
        <f>IFERROR(__xludf.DUMMYFUNCTION("""COMPUTED_VALUE"""),2.0)</f>
        <v>2</v>
      </c>
    </row>
    <row r="261">
      <c r="A261" s="132">
        <f>IFERROR(__xludf.DUMMYFUNCTION("""COMPUTED_VALUE"""),6.0)</f>
        <v>6</v>
      </c>
      <c r="B261" s="133" t="str">
        <f>IFERROR(__xludf.DUMMYFUNCTION("""COMPUTED_VALUE"""),"Jim Miao")</f>
        <v>Jim Miao</v>
      </c>
      <c r="C261" s="134">
        <f>IFERROR(__xludf.DUMMYFUNCTION("""COMPUTED_VALUE"""),3.0)</f>
        <v>3</v>
      </c>
      <c r="D261" s="134">
        <f>IFERROR(__xludf.DUMMYFUNCTION("""COMPUTED_VALUE"""),3.0)</f>
        <v>3</v>
      </c>
      <c r="E261" s="134">
        <f>IFERROR(__xludf.DUMMYFUNCTION("""COMPUTED_VALUE"""),3.0)</f>
        <v>3</v>
      </c>
      <c r="F261" s="134">
        <f>IFERROR(__xludf.DUMMYFUNCTION("""COMPUTED_VALUE"""),9.0)</f>
        <v>9</v>
      </c>
      <c r="G261" s="134">
        <f>IFERROR(__xludf.DUMMYFUNCTION("""COMPUTED_VALUE"""),0.0)</f>
        <v>0</v>
      </c>
    </row>
    <row r="262">
      <c r="A262" s="132">
        <f>IFERROR(__xludf.DUMMYFUNCTION("""COMPUTED_VALUE"""),6.0)</f>
        <v>6</v>
      </c>
      <c r="B262" s="133" t="str">
        <f>IFERROR(__xludf.DUMMYFUNCTION("""COMPUTED_VALUE"""),"Naveen Raj")</f>
        <v>Naveen Raj</v>
      </c>
      <c r="C262" s="134">
        <f>IFERROR(__xludf.DUMMYFUNCTION("""COMPUTED_VALUE"""),6.0)</f>
        <v>6</v>
      </c>
      <c r="D262" s="134">
        <f>IFERROR(__xludf.DUMMYFUNCTION("""COMPUTED_VALUE"""),3.0)</f>
        <v>3</v>
      </c>
      <c r="E262" s="134">
        <f>IFERROR(__xludf.DUMMYFUNCTION("""COMPUTED_VALUE"""),6.0)</f>
        <v>6</v>
      </c>
      <c r="F262" s="134">
        <f>IFERROR(__xludf.DUMMYFUNCTION("""COMPUTED_VALUE"""),15.0)</f>
        <v>15</v>
      </c>
      <c r="G262" s="134">
        <f>IFERROR(__xludf.DUMMYFUNCTION("""COMPUTED_VALUE"""),2.0)</f>
        <v>2</v>
      </c>
    </row>
    <row r="263">
      <c r="A263" s="125">
        <f>IFERROR(__xludf.DUMMYFUNCTION("""COMPUTED_VALUE"""),7.0)</f>
        <v>7</v>
      </c>
      <c r="B263" s="36" t="str">
        <f>IFERROR(__xludf.DUMMYFUNCTION("""COMPUTED_VALUE"""),"Oscar Bonilla")</f>
        <v>Oscar Bonilla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IFERROR(__xludf.DUMMYFUNCTION("""COMPUTED_VALUE"""),6.0)</f>
        <v>6</v>
      </c>
      <c r="F263" s="131">
        <f>IFERROR(__xludf.DUMMYFUNCTION("""COMPUTED_VALUE"""),18.0)</f>
        <v>18</v>
      </c>
      <c r="G263" s="131">
        <f>IFERROR(__xludf.DUMMYFUNCTION("""COMPUTED_VALUE"""),3.0)</f>
        <v>3</v>
      </c>
    </row>
    <row r="264">
      <c r="A264" s="125">
        <f>IFERROR(__xludf.DUMMYFUNCTION("""COMPUTED_VALUE"""),7.0)</f>
        <v>7</v>
      </c>
      <c r="B264" s="36" t="str">
        <f>IFERROR(__xludf.DUMMYFUNCTION("""COMPUTED_VALUE"""),"Jimmy Awolesi")</f>
        <v>Jimmy Awolesi</v>
      </c>
      <c r="C264" s="131">
        <f>IFERROR(__xludf.DUMMYFUNCTION("""COMPUTED_VALUE"""),6.0)</f>
        <v>6</v>
      </c>
      <c r="D264" s="131">
        <f>IFERROR(__xludf.DUMMYFUNCTION("""COMPUTED_VALUE"""),3.0)</f>
        <v>3</v>
      </c>
      <c r="E264" s="131">
        <f>IFERROR(__xludf.DUMMYFUNCTION("""COMPUTED_VALUE"""),3.0)</f>
        <v>3</v>
      </c>
      <c r="F264" s="131">
        <f>IFERROR(__xludf.DUMMYFUNCTION("""COMPUTED_VALUE"""),12.0)</f>
        <v>12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IFERROR(__xludf.DUMMYFUNCTION("""COMPUTED_VALUE"""),"Sean Chang")</f>
        <v>Sean Chang</v>
      </c>
      <c r="C265" s="131">
        <f>IFERROR(__xludf.DUMMYFUNCTION("""COMPUTED_VALUE"""),4.0)</f>
        <v>4</v>
      </c>
      <c r="D265" s="131">
        <f>IFERROR(__xludf.DUMMYFUNCTION("""COMPUTED_VALUE"""),3.0)</f>
        <v>3</v>
      </c>
      <c r="E265" s="131">
        <f>IFERROR(__xludf.DUMMYFUNCTION("""COMPUTED_VALUE"""),6.0)</f>
        <v>6</v>
      </c>
      <c r="F265" s="131">
        <f>IFERROR(__xludf.DUMMYFUNCTION("""COMPUTED_VALUE"""),13.0)</f>
        <v>13</v>
      </c>
      <c r="G265" s="131">
        <f>IFERROR(__xludf.DUMMYFUNCTION("""COMPUTED_VALUE"""),1.0)</f>
        <v>1</v>
      </c>
    </row>
    <row r="266">
      <c r="A266" s="125">
        <f>IFERROR(__xludf.DUMMYFUNCTION("""COMPUTED_VALUE"""),7.0)</f>
        <v>7</v>
      </c>
      <c r="B266" s="36" t="str">
        <f>IFERROR(__xludf.DUMMYFUNCTION("""COMPUTED_VALUE"""),"Ramesh Bandaru")</f>
        <v>Ramesh Bandaru</v>
      </c>
      <c r="C266" s="131">
        <f>IFERROR(__xludf.DUMMYFUNCTION("""COMPUTED_VALUE"""),4.0)</f>
        <v>4</v>
      </c>
      <c r="D266" s="131">
        <f>IFERROR(__xludf.DUMMYFUNCTION("""COMPUTED_VALUE"""),6.0)</f>
        <v>6</v>
      </c>
      <c r="E266" s="131">
        <f>IFERROR(__xludf.DUMMYFUNCTION("""COMPUTED_VALUE"""),3.0)</f>
        <v>3</v>
      </c>
      <c r="F266" s="131">
        <f>IFERROR(__xludf.DUMMYFUNCTION("""COMPUTED_VALUE"""),13.0)</f>
        <v>13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IFERROR(__xludf.DUMMYFUNCTION("""COMPUTED_VALUE"""),"Ranjith Doraiswamy")</f>
        <v>Ranjith Doraiswamy</v>
      </c>
      <c r="C267" s="134">
        <f>IFERROR(__xludf.DUMMYFUNCTION("""COMPUTED_VALUE"""),7.0)</f>
        <v>7</v>
      </c>
      <c r="D267" s="134">
        <f>IFERROR(__xludf.DUMMYFUNCTION("""COMPUTED_VALUE"""),4.0)</f>
        <v>4</v>
      </c>
      <c r="E267" s="134">
        <f>IFERROR(__xludf.DUMMYFUNCTION("""COMPUTED_VALUE"""),6.0)</f>
        <v>6</v>
      </c>
      <c r="F267" s="134">
        <f>IFERROR(__xludf.DUMMYFUNCTION("""COMPUTED_VALUE"""),17.0)</f>
        <v>17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IFERROR(__xludf.DUMMYFUNCTION("""COMPUTED_VALUE"""),"Santosh Sundaresan")</f>
        <v>Santosh Sundaresan</v>
      </c>
      <c r="C268" s="134">
        <f>IFERROR(__xludf.DUMMYFUNCTION("""COMPUTED_VALUE"""),5.0)</f>
        <v>5</v>
      </c>
      <c r="D268" s="134">
        <f>IFERROR(__xludf.DUMMYFUNCTION("""COMPUTED_VALUE"""),4.0)</f>
        <v>4</v>
      </c>
      <c r="E268" s="134">
        <f>IFERROR(__xludf.DUMMYFUNCTION("""COMPUTED_VALUE"""),2.0)</f>
        <v>2</v>
      </c>
      <c r="F268" s="134">
        <f>IFERROR(__xludf.DUMMYFUNCTION("""COMPUTED_VALUE"""),11.0)</f>
        <v>11</v>
      </c>
      <c r="G268" s="134">
        <f>IFERROR(__xludf.DUMMYFUNCTION("""COMPUTED_VALUE"""),0.0)</f>
        <v>0</v>
      </c>
    </row>
    <row r="269">
      <c r="A269" s="132">
        <f>IFERROR(__xludf.DUMMYFUNCTION("""COMPUTED_VALUE"""),8.0)</f>
        <v>8</v>
      </c>
      <c r="B269" s="133" t="str">
        <f>IFERROR(__xludf.DUMMYFUNCTION("""COMPUTED_VALUE"""),"Lloyd Sagar")</f>
        <v>Lloyd Sagar</v>
      </c>
      <c r="C269" s="134">
        <f>IFERROR(__xludf.DUMMYFUNCTION("""COMPUTED_VALUE"""),5.0)</f>
        <v>5</v>
      </c>
      <c r="D269" s="134">
        <f>IFERROR(__xludf.DUMMYFUNCTION("""COMPUTED_VALUE"""),6.0)</f>
        <v>6</v>
      </c>
      <c r="E269" s="134">
        <f>IFERROR(__xludf.DUMMYFUNCTION("""COMPUTED_VALUE"""),6.0)</f>
        <v>6</v>
      </c>
      <c r="F269" s="134">
        <f>IFERROR(__xludf.DUMMYFUNCTION("""COMPUTED_VALUE"""),17.0)</f>
        <v>17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IFERROR(__xludf.DUMMYFUNCTION("""COMPUTED_VALUE"""),"Eric Tan")</f>
        <v>Eric Tan</v>
      </c>
      <c r="C270" s="134">
        <f>IFERROR(__xludf.DUMMYFUNCTION("""COMPUTED_VALUE"""),7.0)</f>
        <v>7</v>
      </c>
      <c r="D270" s="134">
        <f>IFERROR(__xludf.DUMMYFUNCTION("""COMPUTED_VALUE"""),6.0)</f>
        <v>6</v>
      </c>
      <c r="E270" s="134">
        <f>IFERROR(__xludf.DUMMYFUNCTION("""COMPUTED_VALUE"""),2.0)</f>
        <v>2</v>
      </c>
      <c r="F270" s="134">
        <f>IFERROR(__xludf.DUMMYFUNCTION("""COMPUTED_VALUE"""),15.0)</f>
        <v>15</v>
      </c>
      <c r="G270" s="134">
        <f>IFERROR(__xludf.DUMMYFUNCTION("""COMPUTED_VALUE"""),2.0)</f>
        <v>2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46263.0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9.0</v>
      </c>
      <c r="E2" s="2"/>
      <c r="F2" s="2"/>
      <c r="R2" s="19"/>
      <c r="AC2" s="23" t="str">
        <f>TEXT(C1-7,"mm/dd/yy")</f>
        <v>08/22/26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80</v>
      </c>
      <c r="C5" s="37">
        <v>127.0</v>
      </c>
      <c r="D5" s="37">
        <v>12.0</v>
      </c>
      <c r="E5" s="42">
        <f t="shared" ref="E5:E71" si="2">if(S5&gt;0,(C5-(V5*9)-(T5*13))/S5,0)</f>
        <v>16</v>
      </c>
      <c r="F5" s="89">
        <v>3.0</v>
      </c>
      <c r="G5" s="90">
        <v>0.0</v>
      </c>
      <c r="H5" s="91">
        <v>9.0</v>
      </c>
      <c r="I5" s="90">
        <v>0.0</v>
      </c>
      <c r="J5" s="90">
        <v>0.0</v>
      </c>
      <c r="K5" s="90">
        <v>0.0</v>
      </c>
      <c r="L5" s="92">
        <v>9.0</v>
      </c>
      <c r="M5" s="90">
        <v>0.0</v>
      </c>
      <c r="N5" s="37">
        <f t="shared" ref="N5:O5" si="1">C5+L5</f>
        <v>136</v>
      </c>
      <c r="O5" s="37">
        <f t="shared" si="1"/>
        <v>12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6</v>
      </c>
      <c r="T5" s="52">
        <f t="shared" ref="T5:T71" si="5">if(H5=13,1,0)+vlookup(B5,indirect("'" &amp; AC$2 &amp; "'!B5:W71"),19,false)</f>
        <v>1</v>
      </c>
      <c r="U5" s="52"/>
      <c r="V5" s="51">
        <f t="shared" ref="V5:V71" si="6">vlookup(B5,indirect("'" &amp; AC$2 &amp; "'!B5:W71"),21,false)+if(text(C$1,"mm/dd/yy")=$AC$2,0,if(H5=9,1,0))</f>
        <v>2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122.0</v>
      </c>
      <c r="D6" s="37">
        <v>12.0</v>
      </c>
      <c r="E6" s="42">
        <f t="shared" si="2"/>
        <v>13.625</v>
      </c>
      <c r="F6" s="89">
        <v>1.0</v>
      </c>
      <c r="G6" s="90">
        <v>1.0</v>
      </c>
      <c r="H6" s="91">
        <v>0.0</v>
      </c>
      <c r="I6" s="90">
        <v>3.0</v>
      </c>
      <c r="J6" s="90">
        <v>6.0</v>
      </c>
      <c r="K6" s="90">
        <v>6.0</v>
      </c>
      <c r="L6" s="92">
        <v>15.0</v>
      </c>
      <c r="M6" s="90">
        <v>2.0</v>
      </c>
      <c r="N6" s="37">
        <f t="shared" ref="N6:O6" si="3">C6+L6</f>
        <v>137</v>
      </c>
      <c r="O6" s="37">
        <f t="shared" si="3"/>
        <v>14</v>
      </c>
      <c r="P6" s="50" t="s">
        <v>60</v>
      </c>
      <c r="Q6" s="50" t="s">
        <v>60</v>
      </c>
      <c r="R6" s="50" t="s">
        <v>60</v>
      </c>
      <c r="S6" s="51">
        <f t="shared" si="4"/>
        <v>8</v>
      </c>
      <c r="T6" s="52">
        <f t="shared" si="5"/>
        <v>1</v>
      </c>
      <c r="U6" s="52"/>
      <c r="V6" s="51">
        <f t="shared" si="6"/>
        <v>0</v>
      </c>
      <c r="W6" s="52">
        <f t="shared" si="7"/>
        <v>0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85</v>
      </c>
      <c r="C7" s="37">
        <v>119.0</v>
      </c>
      <c r="D7" s="37">
        <v>16.0</v>
      </c>
      <c r="E7" s="42">
        <f t="shared" si="2"/>
        <v>14.42857143</v>
      </c>
      <c r="F7" s="89">
        <v>1.0</v>
      </c>
      <c r="G7" s="90">
        <v>1.0</v>
      </c>
      <c r="H7" s="91">
        <v>0.0</v>
      </c>
      <c r="I7" s="90">
        <v>6.0</v>
      </c>
      <c r="J7" s="90">
        <v>0.0</v>
      </c>
      <c r="K7" s="90">
        <v>6.0</v>
      </c>
      <c r="L7" s="92">
        <v>12.0</v>
      </c>
      <c r="M7" s="90">
        <v>2.0</v>
      </c>
      <c r="N7" s="37">
        <f t="shared" ref="N7:O7" si="11">C7+L7</f>
        <v>131</v>
      </c>
      <c r="O7" s="37">
        <f t="shared" si="11"/>
        <v>18</v>
      </c>
      <c r="P7" s="50" t="s">
        <v>60</v>
      </c>
      <c r="Q7" s="50" t="s">
        <v>60</v>
      </c>
      <c r="R7" s="50" t="s">
        <v>60</v>
      </c>
      <c r="S7" s="51">
        <f t="shared" si="4"/>
        <v>7</v>
      </c>
      <c r="T7" s="52">
        <f t="shared" si="5"/>
        <v>0</v>
      </c>
      <c r="U7" s="52"/>
      <c r="V7" s="51">
        <f t="shared" si="6"/>
        <v>2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93</v>
      </c>
      <c r="C8" s="37">
        <v>116.0</v>
      </c>
      <c r="D8" s="37">
        <v>10.0</v>
      </c>
      <c r="E8" s="42">
        <f t="shared" si="2"/>
        <v>13.6</v>
      </c>
      <c r="F8" s="89">
        <v>5.0</v>
      </c>
      <c r="G8" s="90">
        <v>0.0</v>
      </c>
      <c r="H8" s="91">
        <v>13.0</v>
      </c>
      <c r="I8" s="90">
        <v>0.0</v>
      </c>
      <c r="J8" s="90">
        <v>0.0</v>
      </c>
      <c r="K8" s="90">
        <v>0.0</v>
      </c>
      <c r="L8" s="92">
        <v>13.0</v>
      </c>
      <c r="M8" s="90">
        <v>0.0</v>
      </c>
      <c r="N8" s="37">
        <f t="shared" ref="N8:O8" si="13">C8+L8</f>
        <v>129</v>
      </c>
      <c r="O8" s="37">
        <f t="shared" si="13"/>
        <v>10</v>
      </c>
      <c r="P8" s="50" t="s">
        <v>60</v>
      </c>
      <c r="Q8" s="50" t="s">
        <v>60</v>
      </c>
      <c r="R8" s="50" t="s">
        <v>60</v>
      </c>
      <c r="S8" s="51">
        <f t="shared" si="4"/>
        <v>5</v>
      </c>
      <c r="T8" s="52">
        <f t="shared" si="5"/>
        <v>3</v>
      </c>
      <c r="U8" s="52"/>
      <c r="V8" s="51">
        <f t="shared" si="6"/>
        <v>1</v>
      </c>
      <c r="W8" s="52">
        <f t="shared" si="7"/>
        <v>2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131</v>
      </c>
      <c r="C9" s="37">
        <v>115.0</v>
      </c>
      <c r="D9" s="37">
        <v>12.0</v>
      </c>
      <c r="E9" s="42">
        <f t="shared" si="2"/>
        <v>12.75</v>
      </c>
      <c r="F9" s="89">
        <v>1.0</v>
      </c>
      <c r="G9" s="90">
        <v>1.0</v>
      </c>
      <c r="H9" s="91">
        <v>0.0</v>
      </c>
      <c r="I9" s="90">
        <v>3.0</v>
      </c>
      <c r="J9" s="90">
        <v>0.0</v>
      </c>
      <c r="K9" s="90">
        <v>3.0</v>
      </c>
      <c r="L9" s="92">
        <v>6.0</v>
      </c>
      <c r="M9" s="90">
        <v>0.0</v>
      </c>
      <c r="N9" s="37">
        <f t="shared" ref="N9:O9" si="14">C9+L9</f>
        <v>121</v>
      </c>
      <c r="O9" s="37">
        <f t="shared" si="14"/>
        <v>12</v>
      </c>
      <c r="P9" s="50" t="s">
        <v>60</v>
      </c>
      <c r="Q9" s="50" t="s">
        <v>60</v>
      </c>
      <c r="R9" s="50" t="s">
        <v>60</v>
      </c>
      <c r="S9" s="51">
        <f t="shared" si="4"/>
        <v>8</v>
      </c>
      <c r="T9" s="52">
        <f t="shared" si="5"/>
        <v>1</v>
      </c>
      <c r="U9" s="52"/>
      <c r="V9" s="51">
        <f t="shared" si="6"/>
        <v>0</v>
      </c>
      <c r="W9" s="52">
        <f t="shared" si="7"/>
        <v>-2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88</v>
      </c>
      <c r="C10" s="37">
        <v>114.0</v>
      </c>
      <c r="D10" s="37">
        <v>12.0</v>
      </c>
      <c r="E10" s="42">
        <f t="shared" si="2"/>
        <v>12.625</v>
      </c>
      <c r="F10" s="89">
        <v>1.0</v>
      </c>
      <c r="G10" s="90">
        <v>1.0</v>
      </c>
      <c r="H10" s="91">
        <v>0.0</v>
      </c>
      <c r="I10" s="90">
        <v>6.0</v>
      </c>
      <c r="J10" s="90">
        <v>6.0</v>
      </c>
      <c r="K10" s="90">
        <v>3.0</v>
      </c>
      <c r="L10" s="92">
        <v>15.0</v>
      </c>
      <c r="M10" s="90">
        <v>2.0</v>
      </c>
      <c r="N10" s="37">
        <f t="shared" ref="N10:O10" si="15">C10+L10</f>
        <v>129</v>
      </c>
      <c r="O10" s="37">
        <f t="shared" si="15"/>
        <v>14</v>
      </c>
      <c r="P10" s="50" t="s">
        <v>60</v>
      </c>
      <c r="Q10" s="50" t="s">
        <v>60</v>
      </c>
      <c r="R10" s="50" t="s">
        <v>60</v>
      </c>
      <c r="S10" s="51">
        <f t="shared" si="4"/>
        <v>8</v>
      </c>
      <c r="T10" s="52">
        <f t="shared" si="5"/>
        <v>1</v>
      </c>
      <c r="U10" s="52"/>
      <c r="V10" s="51">
        <f t="shared" si="6"/>
        <v>0</v>
      </c>
      <c r="W10" s="52">
        <f t="shared" si="7"/>
        <v>-2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92</v>
      </c>
      <c r="C11" s="37">
        <v>112.0</v>
      </c>
      <c r="D11" s="37">
        <v>11.0</v>
      </c>
      <c r="E11" s="42">
        <f t="shared" si="2"/>
        <v>15.75</v>
      </c>
      <c r="F11" s="89">
        <v>3.0</v>
      </c>
      <c r="G11" s="90">
        <v>0.0</v>
      </c>
      <c r="H11" s="91">
        <v>9.0</v>
      </c>
      <c r="I11" s="90">
        <v>0.0</v>
      </c>
      <c r="J11" s="90">
        <v>0.0</v>
      </c>
      <c r="K11" s="90">
        <v>0.0</v>
      </c>
      <c r="L11" s="92">
        <v>9.0</v>
      </c>
      <c r="M11" s="90">
        <v>0.0</v>
      </c>
      <c r="N11" s="37">
        <f t="shared" ref="N11:O11" si="16">C11+L11</f>
        <v>121</v>
      </c>
      <c r="O11" s="37">
        <f t="shared" si="16"/>
        <v>11</v>
      </c>
      <c r="P11" s="50" t="s">
        <v>60</v>
      </c>
      <c r="Q11" s="50" t="s">
        <v>60</v>
      </c>
      <c r="R11" s="50" t="s">
        <v>60</v>
      </c>
      <c r="S11" s="51">
        <f t="shared" si="4"/>
        <v>4</v>
      </c>
      <c r="T11" s="52">
        <f t="shared" si="5"/>
        <v>1</v>
      </c>
      <c r="U11" s="52"/>
      <c r="V11" s="51">
        <f t="shared" si="6"/>
        <v>4</v>
      </c>
      <c r="W11" s="52">
        <f t="shared" si="7"/>
        <v>5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74</v>
      </c>
      <c r="C12" s="37">
        <v>111.0</v>
      </c>
      <c r="D12" s="37">
        <v>10.0</v>
      </c>
      <c r="E12" s="42">
        <f t="shared" si="2"/>
        <v>12.71428571</v>
      </c>
      <c r="F12" s="89">
        <v>1.0</v>
      </c>
      <c r="G12" s="90">
        <v>2.0</v>
      </c>
      <c r="H12" s="91">
        <v>0.0</v>
      </c>
      <c r="I12" s="90">
        <v>3.0</v>
      </c>
      <c r="J12" s="90">
        <v>3.0</v>
      </c>
      <c r="K12" s="90">
        <v>6.0</v>
      </c>
      <c r="L12" s="92">
        <v>12.0</v>
      </c>
      <c r="M12" s="90">
        <v>1.0</v>
      </c>
      <c r="N12" s="37">
        <f t="shared" ref="N12:O12" si="17">C12+L12</f>
        <v>123</v>
      </c>
      <c r="O12" s="37">
        <f t="shared" si="17"/>
        <v>11</v>
      </c>
      <c r="P12" s="50" t="s">
        <v>60</v>
      </c>
      <c r="Q12" s="50" t="s">
        <v>60</v>
      </c>
      <c r="R12" s="50" t="s">
        <v>60</v>
      </c>
      <c r="S12" s="51">
        <f t="shared" si="4"/>
        <v>7</v>
      </c>
      <c r="T12" s="52">
        <f t="shared" si="5"/>
        <v>1</v>
      </c>
      <c r="U12" s="52"/>
      <c r="V12" s="51">
        <f t="shared" si="6"/>
        <v>1</v>
      </c>
      <c r="W12" s="52">
        <f t="shared" si="7"/>
        <v>1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97</v>
      </c>
      <c r="C13" s="37">
        <v>111.0</v>
      </c>
      <c r="D13" s="37">
        <v>10.0</v>
      </c>
      <c r="E13" s="42">
        <f t="shared" si="2"/>
        <v>12.33333333</v>
      </c>
      <c r="F13" s="89">
        <v>1.0</v>
      </c>
      <c r="G13" s="90">
        <v>2.0</v>
      </c>
      <c r="H13" s="91">
        <v>0.0</v>
      </c>
      <c r="I13" s="90">
        <v>6.0</v>
      </c>
      <c r="J13" s="90">
        <v>3.0</v>
      </c>
      <c r="K13" s="90">
        <v>2.0</v>
      </c>
      <c r="L13" s="92">
        <v>11.0</v>
      </c>
      <c r="M13" s="90">
        <v>1.0</v>
      </c>
      <c r="N13" s="37">
        <f t="shared" ref="N13:O13" si="18">C13+L13</f>
        <v>122</v>
      </c>
      <c r="O13" s="37">
        <f t="shared" si="18"/>
        <v>11</v>
      </c>
      <c r="P13" s="50" t="s">
        <v>60</v>
      </c>
      <c r="Q13" s="50" t="s">
        <v>60</v>
      </c>
      <c r="R13" s="50" t="s">
        <v>60</v>
      </c>
      <c r="S13" s="51">
        <f t="shared" si="4"/>
        <v>9</v>
      </c>
      <c r="T13" s="52">
        <f t="shared" si="5"/>
        <v>0</v>
      </c>
      <c r="U13" s="52"/>
      <c r="V13" s="51">
        <f t="shared" si="6"/>
        <v>0</v>
      </c>
      <c r="W13" s="52">
        <f t="shared" si="7"/>
        <v>2</v>
      </c>
      <c r="X13" s="35">
        <f t="shared" si="12"/>
        <v>9</v>
      </c>
      <c r="Y13" s="35" t="str">
        <f t="shared" si="8"/>
        <v>Y</v>
      </c>
      <c r="Z13" s="22" t="str">
        <f t="shared" si="9"/>
        <v/>
      </c>
    </row>
    <row r="14">
      <c r="A14" s="35">
        <f t="shared" si="10"/>
        <v>10</v>
      </c>
      <c r="B14" s="36" t="s">
        <v>91</v>
      </c>
      <c r="C14" s="37">
        <v>111.0</v>
      </c>
      <c r="D14" s="37">
        <v>9.0</v>
      </c>
      <c r="E14" s="42">
        <f t="shared" si="2"/>
        <v>12.6</v>
      </c>
      <c r="F14" s="89">
        <v>5.0</v>
      </c>
      <c r="G14" s="90">
        <v>0.0</v>
      </c>
      <c r="H14" s="91">
        <v>13.0</v>
      </c>
      <c r="I14" s="90">
        <v>0.0</v>
      </c>
      <c r="J14" s="90">
        <v>0.0</v>
      </c>
      <c r="K14" s="90">
        <v>0.0</v>
      </c>
      <c r="L14" s="92">
        <v>13.0</v>
      </c>
      <c r="M14" s="90">
        <v>0.0</v>
      </c>
      <c r="N14" s="37">
        <f t="shared" ref="N14:O14" si="19">C14+L14</f>
        <v>124</v>
      </c>
      <c r="O14" s="37">
        <f t="shared" si="19"/>
        <v>9</v>
      </c>
      <c r="P14" s="50" t="s">
        <v>60</v>
      </c>
      <c r="Q14" s="50" t="s">
        <v>60</v>
      </c>
      <c r="R14" s="50" t="s">
        <v>60</v>
      </c>
      <c r="S14" s="51">
        <f t="shared" si="4"/>
        <v>5</v>
      </c>
      <c r="T14" s="52">
        <f t="shared" si="5"/>
        <v>3</v>
      </c>
      <c r="U14" s="52"/>
      <c r="V14" s="51">
        <f t="shared" si="6"/>
        <v>1</v>
      </c>
      <c r="W14" s="52">
        <f t="shared" si="7"/>
        <v>-3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68</v>
      </c>
      <c r="C15" s="37">
        <v>110.0</v>
      </c>
      <c r="D15" s="37">
        <v>11.0</v>
      </c>
      <c r="E15" s="42">
        <f t="shared" si="2"/>
        <v>13.83333333</v>
      </c>
      <c r="F15" s="89">
        <v>1.0</v>
      </c>
      <c r="G15" s="90">
        <v>2.0</v>
      </c>
      <c r="H15" s="91">
        <v>0.0</v>
      </c>
      <c r="I15" s="90">
        <v>6.0</v>
      </c>
      <c r="J15" s="90">
        <v>6.0</v>
      </c>
      <c r="K15" s="90">
        <v>6.0</v>
      </c>
      <c r="L15" s="92">
        <v>18.0</v>
      </c>
      <c r="M15" s="90">
        <v>3.0</v>
      </c>
      <c r="N15" s="37">
        <f t="shared" ref="N15:O15" si="20">C15+L15</f>
        <v>128</v>
      </c>
      <c r="O15" s="37">
        <f t="shared" si="20"/>
        <v>14</v>
      </c>
      <c r="P15" s="50" t="s">
        <v>60</v>
      </c>
      <c r="Q15" s="50" t="s">
        <v>60</v>
      </c>
      <c r="R15" s="50" t="s">
        <v>60</v>
      </c>
      <c r="S15" s="51">
        <f t="shared" si="4"/>
        <v>6</v>
      </c>
      <c r="T15" s="52">
        <f t="shared" si="5"/>
        <v>0</v>
      </c>
      <c r="U15" s="52"/>
      <c r="V15" s="51">
        <f t="shared" si="6"/>
        <v>3</v>
      </c>
      <c r="W15" s="52">
        <f t="shared" si="7"/>
        <v>7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107</v>
      </c>
      <c r="C16" s="37">
        <v>107.0</v>
      </c>
      <c r="D16" s="37">
        <v>8.0</v>
      </c>
      <c r="E16" s="42">
        <f t="shared" si="2"/>
        <v>13.5</v>
      </c>
      <c r="F16" s="89">
        <v>3.0</v>
      </c>
      <c r="G16" s="90">
        <v>0.0</v>
      </c>
      <c r="H16" s="91">
        <v>9.0</v>
      </c>
      <c r="I16" s="90">
        <v>0.0</v>
      </c>
      <c r="J16" s="90">
        <v>0.0</v>
      </c>
      <c r="K16" s="90">
        <v>0.0</v>
      </c>
      <c r="L16" s="92">
        <v>9.0</v>
      </c>
      <c r="M16" s="90">
        <v>0.0</v>
      </c>
      <c r="N16" s="37">
        <f t="shared" ref="N16:O16" si="21">C16+L16</f>
        <v>116</v>
      </c>
      <c r="O16" s="37">
        <f t="shared" si="21"/>
        <v>8</v>
      </c>
      <c r="P16" s="50" t="s">
        <v>60</v>
      </c>
      <c r="Q16" s="50" t="s">
        <v>60</v>
      </c>
      <c r="R16" s="50" t="s">
        <v>60</v>
      </c>
      <c r="S16" s="51">
        <f t="shared" si="4"/>
        <v>4</v>
      </c>
      <c r="T16" s="52">
        <f t="shared" si="5"/>
        <v>2</v>
      </c>
      <c r="U16" s="52"/>
      <c r="V16" s="51">
        <f t="shared" si="6"/>
        <v>3</v>
      </c>
      <c r="W16" s="52">
        <f t="shared" si="7"/>
        <v>-4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87</v>
      </c>
      <c r="C17" s="37">
        <v>106.0</v>
      </c>
      <c r="D17" s="37">
        <v>8.0</v>
      </c>
      <c r="E17" s="42">
        <f t="shared" si="2"/>
        <v>11.625</v>
      </c>
      <c r="F17" s="89">
        <v>1.0</v>
      </c>
      <c r="G17" s="90">
        <v>2.0</v>
      </c>
      <c r="H17" s="91">
        <v>0.0</v>
      </c>
      <c r="I17" s="90">
        <v>3.0</v>
      </c>
      <c r="J17" s="90">
        <v>6.0</v>
      </c>
      <c r="K17" s="90">
        <v>2.0</v>
      </c>
      <c r="L17" s="92">
        <v>11.0</v>
      </c>
      <c r="M17" s="90">
        <v>1.0</v>
      </c>
      <c r="N17" s="37">
        <f t="shared" ref="N17:O17" si="22">C17+L17</f>
        <v>117</v>
      </c>
      <c r="O17" s="37">
        <f t="shared" si="22"/>
        <v>9</v>
      </c>
      <c r="P17" s="50" t="s">
        <v>60</v>
      </c>
      <c r="Q17" s="50" t="s">
        <v>60</v>
      </c>
      <c r="R17" s="50" t="s">
        <v>60</v>
      </c>
      <c r="S17" s="51">
        <f t="shared" si="4"/>
        <v>8</v>
      </c>
      <c r="T17" s="52">
        <f t="shared" si="5"/>
        <v>1</v>
      </c>
      <c r="U17" s="52"/>
      <c r="V17" s="51">
        <f t="shared" si="6"/>
        <v>0</v>
      </c>
      <c r="W17" s="52">
        <f t="shared" si="7"/>
        <v>1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122</v>
      </c>
      <c r="C18" s="37">
        <v>105.0</v>
      </c>
      <c r="D18" s="37">
        <v>11.0</v>
      </c>
      <c r="E18" s="42">
        <f t="shared" si="2"/>
        <v>13</v>
      </c>
      <c r="F18" s="89">
        <v>1.0</v>
      </c>
      <c r="G18" s="90">
        <v>3.0</v>
      </c>
      <c r="H18" s="91">
        <v>0.0</v>
      </c>
      <c r="I18" s="90">
        <v>3.0</v>
      </c>
      <c r="J18" s="90">
        <v>6.0</v>
      </c>
      <c r="K18" s="90">
        <v>6.0</v>
      </c>
      <c r="L18" s="92">
        <v>15.0</v>
      </c>
      <c r="M18" s="90">
        <v>2.0</v>
      </c>
      <c r="N18" s="37">
        <f t="shared" ref="N18:O18" si="23">C18+L18</f>
        <v>120</v>
      </c>
      <c r="O18" s="37">
        <f t="shared" si="23"/>
        <v>13</v>
      </c>
      <c r="P18" s="50" t="s">
        <v>60</v>
      </c>
      <c r="Q18" s="50" t="s">
        <v>60</v>
      </c>
      <c r="R18" s="50" t="s">
        <v>60</v>
      </c>
      <c r="S18" s="51">
        <f t="shared" si="4"/>
        <v>6</v>
      </c>
      <c r="T18" s="52">
        <f t="shared" si="5"/>
        <v>0</v>
      </c>
      <c r="U18" s="52"/>
      <c r="V18" s="51">
        <f t="shared" si="6"/>
        <v>3</v>
      </c>
      <c r="W18" s="52">
        <f t="shared" si="7"/>
        <v>-1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140</v>
      </c>
      <c r="C19" s="37">
        <v>105.0</v>
      </c>
      <c r="D19" s="37">
        <v>10.0</v>
      </c>
      <c r="E19" s="42">
        <f t="shared" si="2"/>
        <v>11.66666667</v>
      </c>
      <c r="F19" s="89">
        <v>1.0</v>
      </c>
      <c r="G19" s="90">
        <v>3.0</v>
      </c>
      <c r="H19" s="91">
        <v>0.0</v>
      </c>
      <c r="I19" s="90">
        <v>6.0</v>
      </c>
      <c r="J19" s="90">
        <v>3.0</v>
      </c>
      <c r="K19" s="90">
        <v>6.0</v>
      </c>
      <c r="L19" s="92">
        <v>15.0</v>
      </c>
      <c r="M19" s="90">
        <v>2.0</v>
      </c>
      <c r="N19" s="37">
        <f t="shared" ref="N19:O19" si="24">C19+L19</f>
        <v>120</v>
      </c>
      <c r="O19" s="37">
        <f t="shared" si="24"/>
        <v>12</v>
      </c>
      <c r="P19" s="50" t="s">
        <v>60</v>
      </c>
      <c r="Q19" s="50" t="s">
        <v>60</v>
      </c>
      <c r="R19" s="50" t="s">
        <v>60</v>
      </c>
      <c r="S19" s="51">
        <f t="shared" si="4"/>
        <v>9</v>
      </c>
      <c r="T19" s="52">
        <f t="shared" si="5"/>
        <v>0</v>
      </c>
      <c r="U19" s="52"/>
      <c r="V19" s="51">
        <f t="shared" si="6"/>
        <v>0</v>
      </c>
      <c r="W19" s="52">
        <f t="shared" si="7"/>
        <v>-5</v>
      </c>
      <c r="X19" s="35">
        <f t="shared" si="12"/>
        <v>15</v>
      </c>
      <c r="Y19" s="35" t="str">
        <f t="shared" si="8"/>
        <v>Y</v>
      </c>
      <c r="Z19" s="22" t="str">
        <f t="shared" si="9"/>
        <v/>
      </c>
    </row>
    <row r="20">
      <c r="A20" s="35">
        <f t="shared" si="10"/>
        <v>16</v>
      </c>
      <c r="B20" s="36" t="s">
        <v>98</v>
      </c>
      <c r="C20" s="37">
        <v>105.0</v>
      </c>
      <c r="D20" s="37">
        <v>10.0</v>
      </c>
      <c r="E20" s="42">
        <f t="shared" si="2"/>
        <v>12</v>
      </c>
      <c r="F20" s="89">
        <v>1.0</v>
      </c>
      <c r="G20" s="90">
        <v>3.0</v>
      </c>
      <c r="H20" s="91">
        <v>0.0</v>
      </c>
      <c r="I20" s="90">
        <v>3.0</v>
      </c>
      <c r="J20" s="90">
        <v>3.0</v>
      </c>
      <c r="K20" s="90">
        <v>3.0</v>
      </c>
      <c r="L20" s="92">
        <v>9.0</v>
      </c>
      <c r="M20" s="90">
        <v>0.0</v>
      </c>
      <c r="N20" s="37">
        <f t="shared" ref="N20:O20" si="25">C20+L20</f>
        <v>114</v>
      </c>
      <c r="O20" s="37">
        <f t="shared" si="25"/>
        <v>10</v>
      </c>
      <c r="P20" s="50" t="s">
        <v>60</v>
      </c>
      <c r="Q20" s="50" t="s">
        <v>60</v>
      </c>
      <c r="R20" s="50" t="s">
        <v>60</v>
      </c>
      <c r="S20" s="51">
        <f t="shared" si="4"/>
        <v>8</v>
      </c>
      <c r="T20" s="52">
        <f t="shared" si="5"/>
        <v>0</v>
      </c>
      <c r="U20" s="52"/>
      <c r="V20" s="51">
        <f t="shared" si="6"/>
        <v>1</v>
      </c>
      <c r="W20" s="52">
        <f t="shared" si="7"/>
        <v>-1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118</v>
      </c>
      <c r="C21" s="37">
        <v>104.0</v>
      </c>
      <c r="D21" s="37">
        <v>10.0</v>
      </c>
      <c r="E21" s="42">
        <f t="shared" si="2"/>
        <v>11.375</v>
      </c>
      <c r="F21" s="89">
        <v>1.0</v>
      </c>
      <c r="G21" s="90">
        <v>3.0</v>
      </c>
      <c r="H21" s="91">
        <v>0.0</v>
      </c>
      <c r="I21" s="90">
        <v>6.0</v>
      </c>
      <c r="J21" s="90">
        <v>6.0</v>
      </c>
      <c r="K21" s="90">
        <v>3.0</v>
      </c>
      <c r="L21" s="92">
        <v>15.0</v>
      </c>
      <c r="M21" s="90">
        <v>2.0</v>
      </c>
      <c r="N21" s="37">
        <f t="shared" ref="N21:O21" si="26">C21+L21</f>
        <v>119</v>
      </c>
      <c r="O21" s="37">
        <f t="shared" si="26"/>
        <v>12</v>
      </c>
      <c r="P21" s="50" t="s">
        <v>60</v>
      </c>
      <c r="Q21" s="50" t="s">
        <v>60</v>
      </c>
      <c r="R21" s="50" t="s">
        <v>60</v>
      </c>
      <c r="S21" s="51">
        <f t="shared" si="4"/>
        <v>8</v>
      </c>
      <c r="T21" s="52">
        <f t="shared" si="5"/>
        <v>1</v>
      </c>
      <c r="U21" s="52"/>
      <c r="V21" s="51">
        <f t="shared" si="6"/>
        <v>0</v>
      </c>
      <c r="W21" s="52">
        <f t="shared" si="7"/>
        <v>0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115</v>
      </c>
      <c r="C22" s="37">
        <v>104.0</v>
      </c>
      <c r="D22" s="37">
        <v>8.0</v>
      </c>
      <c r="E22" s="42">
        <f t="shared" si="2"/>
        <v>12.16666667</v>
      </c>
      <c r="F22" s="89">
        <v>1.0</v>
      </c>
      <c r="G22" s="90">
        <v>4.0</v>
      </c>
      <c r="H22" s="91">
        <v>0.0</v>
      </c>
      <c r="I22" s="90">
        <v>7.0</v>
      </c>
      <c r="J22" s="90">
        <v>4.0</v>
      </c>
      <c r="K22" s="90">
        <v>6.0</v>
      </c>
      <c r="L22" s="92">
        <v>17.0</v>
      </c>
      <c r="M22" s="90">
        <v>1.0</v>
      </c>
      <c r="N22" s="37">
        <f t="shared" ref="N22:O22" si="27">C22+L22</f>
        <v>121</v>
      </c>
      <c r="O22" s="37">
        <f t="shared" si="27"/>
        <v>9</v>
      </c>
      <c r="P22" s="50" t="s">
        <v>60</v>
      </c>
      <c r="Q22" s="50" t="s">
        <v>60</v>
      </c>
      <c r="R22" s="50" t="s">
        <v>60</v>
      </c>
      <c r="S22" s="51">
        <f t="shared" si="4"/>
        <v>6</v>
      </c>
      <c r="T22" s="52">
        <f t="shared" si="5"/>
        <v>1</v>
      </c>
      <c r="U22" s="52"/>
      <c r="V22" s="51">
        <f t="shared" si="6"/>
        <v>2</v>
      </c>
      <c r="W22" s="52">
        <f t="shared" si="7"/>
        <v>1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81</v>
      </c>
      <c r="C23" s="37">
        <v>103.0</v>
      </c>
      <c r="D23" s="37">
        <v>9.0</v>
      </c>
      <c r="E23" s="42">
        <f t="shared" si="2"/>
        <v>14.5</v>
      </c>
      <c r="F23" s="89">
        <v>3.0</v>
      </c>
      <c r="G23" s="90">
        <v>0.0</v>
      </c>
      <c r="H23" s="91">
        <v>9.0</v>
      </c>
      <c r="I23" s="90">
        <v>0.0</v>
      </c>
      <c r="J23" s="90">
        <v>0.0</v>
      </c>
      <c r="K23" s="90">
        <v>0.0</v>
      </c>
      <c r="L23" s="92">
        <v>9.0</v>
      </c>
      <c r="M23" s="90">
        <v>0.0</v>
      </c>
      <c r="N23" s="37">
        <f t="shared" ref="N23:O23" si="28">C23+L23</f>
        <v>112</v>
      </c>
      <c r="O23" s="37">
        <f t="shared" si="28"/>
        <v>9</v>
      </c>
      <c r="P23" s="50" t="s">
        <v>60</v>
      </c>
      <c r="Q23" s="50" t="s">
        <v>60</v>
      </c>
      <c r="R23" s="50" t="s">
        <v>60</v>
      </c>
      <c r="S23" s="51">
        <f t="shared" si="4"/>
        <v>4</v>
      </c>
      <c r="T23" s="52">
        <f t="shared" si="5"/>
        <v>0</v>
      </c>
      <c r="U23" s="52"/>
      <c r="V23" s="51">
        <f t="shared" si="6"/>
        <v>5</v>
      </c>
      <c r="W23" s="52">
        <f t="shared" si="7"/>
        <v>5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113</v>
      </c>
      <c r="C24" s="37">
        <v>103.0</v>
      </c>
      <c r="D24" s="37">
        <v>7.0</v>
      </c>
      <c r="E24" s="42">
        <f t="shared" si="2"/>
        <v>12</v>
      </c>
      <c r="F24" s="89">
        <v>1.0</v>
      </c>
      <c r="G24" s="90">
        <v>4.0</v>
      </c>
      <c r="H24" s="91">
        <v>0.0</v>
      </c>
      <c r="I24" s="90">
        <v>6.0</v>
      </c>
      <c r="J24" s="90">
        <v>6.0</v>
      </c>
      <c r="K24" s="90">
        <v>6.0</v>
      </c>
      <c r="L24" s="92">
        <v>18.0</v>
      </c>
      <c r="M24" s="90">
        <v>1.0</v>
      </c>
      <c r="N24" s="37">
        <f t="shared" ref="N24:O24" si="29">C24+L24</f>
        <v>121</v>
      </c>
      <c r="O24" s="37">
        <f t="shared" si="29"/>
        <v>8</v>
      </c>
      <c r="P24" s="50" t="s">
        <v>60</v>
      </c>
      <c r="Q24" s="50" t="s">
        <v>60</v>
      </c>
      <c r="R24" s="50" t="s">
        <v>60</v>
      </c>
      <c r="S24" s="51">
        <f t="shared" si="4"/>
        <v>6</v>
      </c>
      <c r="T24" s="52">
        <f t="shared" si="5"/>
        <v>1</v>
      </c>
      <c r="U24" s="52"/>
      <c r="V24" s="51">
        <f t="shared" si="6"/>
        <v>2</v>
      </c>
      <c r="W24" s="52">
        <f t="shared" si="7"/>
        <v>-4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108</v>
      </c>
      <c r="C25" s="37">
        <v>103.0</v>
      </c>
      <c r="D25" s="37">
        <v>6.0</v>
      </c>
      <c r="E25" s="42">
        <f t="shared" si="2"/>
        <v>10.66666667</v>
      </c>
      <c r="F25" s="89">
        <v>1.0</v>
      </c>
      <c r="G25" s="90">
        <v>4.0</v>
      </c>
      <c r="H25" s="91">
        <v>0.0</v>
      </c>
      <c r="I25" s="90">
        <v>6.0</v>
      </c>
      <c r="J25" s="90">
        <v>4.0</v>
      </c>
      <c r="K25" s="90">
        <v>7.0</v>
      </c>
      <c r="L25" s="92">
        <v>17.0</v>
      </c>
      <c r="M25" s="90">
        <v>1.0</v>
      </c>
      <c r="N25" s="37">
        <f t="shared" ref="N25:O25" si="30">C25+L25</f>
        <v>120</v>
      </c>
      <c r="O25" s="37">
        <f t="shared" si="30"/>
        <v>7</v>
      </c>
      <c r="P25" s="50" t="s">
        <v>60</v>
      </c>
      <c r="Q25" s="50" t="s">
        <v>60</v>
      </c>
      <c r="R25" s="50" t="s">
        <v>60</v>
      </c>
      <c r="S25" s="51">
        <f t="shared" si="4"/>
        <v>6</v>
      </c>
      <c r="T25" s="52">
        <f t="shared" si="5"/>
        <v>3</v>
      </c>
      <c r="U25" s="52"/>
      <c r="V25" s="51">
        <f t="shared" si="6"/>
        <v>0</v>
      </c>
      <c r="W25" s="52">
        <f t="shared" si="7"/>
        <v>-1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121</v>
      </c>
      <c r="C26" s="37">
        <v>101.0</v>
      </c>
      <c r="D26" s="37">
        <v>10.0</v>
      </c>
      <c r="E26" s="42">
        <f t="shared" si="2"/>
        <v>13</v>
      </c>
      <c r="F26" s="89">
        <v>1.0</v>
      </c>
      <c r="G26" s="90">
        <v>4.0</v>
      </c>
      <c r="H26" s="91">
        <v>0.0</v>
      </c>
      <c r="I26" s="90">
        <v>7.0</v>
      </c>
      <c r="J26" s="90">
        <v>6.0</v>
      </c>
      <c r="K26" s="90">
        <v>7.0</v>
      </c>
      <c r="L26" s="92">
        <v>20.0</v>
      </c>
      <c r="M26" s="90">
        <v>3.0</v>
      </c>
      <c r="N26" s="37">
        <f t="shared" ref="N26:O26" si="31">C26+L26</f>
        <v>121</v>
      </c>
      <c r="O26" s="37">
        <f t="shared" si="31"/>
        <v>13</v>
      </c>
      <c r="P26" s="50" t="s">
        <v>60</v>
      </c>
      <c r="Q26" s="50" t="s">
        <v>60</v>
      </c>
      <c r="R26" s="50" t="s">
        <v>60</v>
      </c>
      <c r="S26" s="51">
        <f t="shared" si="4"/>
        <v>5</v>
      </c>
      <c r="T26" s="52">
        <f t="shared" si="5"/>
        <v>0</v>
      </c>
      <c r="U26" s="52"/>
      <c r="V26" s="51">
        <f t="shared" si="6"/>
        <v>4</v>
      </c>
      <c r="W26" s="52">
        <f t="shared" si="7"/>
        <v>3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136</v>
      </c>
      <c r="C27" s="37">
        <v>100.0</v>
      </c>
      <c r="D27" s="37">
        <v>9.0</v>
      </c>
      <c r="E27" s="42">
        <f t="shared" si="2"/>
        <v>11.14285714</v>
      </c>
      <c r="F27" s="89">
        <v>5.0</v>
      </c>
      <c r="G27" s="90">
        <v>0.0</v>
      </c>
      <c r="H27" s="91">
        <v>13.0</v>
      </c>
      <c r="I27" s="90">
        <v>0.0</v>
      </c>
      <c r="J27" s="90">
        <v>0.0</v>
      </c>
      <c r="K27" s="90">
        <v>0.0</v>
      </c>
      <c r="L27" s="92">
        <v>13.0</v>
      </c>
      <c r="M27" s="90">
        <v>0.0</v>
      </c>
      <c r="N27" s="37">
        <f t="shared" ref="N27:O27" si="32">C27+L27</f>
        <v>113</v>
      </c>
      <c r="O27" s="37">
        <f t="shared" si="32"/>
        <v>9</v>
      </c>
      <c r="P27" s="50" t="s">
        <v>60</v>
      </c>
      <c r="Q27" s="50" t="s">
        <v>60</v>
      </c>
      <c r="R27" s="50" t="s">
        <v>60</v>
      </c>
      <c r="S27" s="51">
        <f t="shared" si="4"/>
        <v>7</v>
      </c>
      <c r="T27" s="52">
        <f t="shared" si="5"/>
        <v>1</v>
      </c>
      <c r="U27" s="52"/>
      <c r="V27" s="51">
        <f t="shared" si="6"/>
        <v>1</v>
      </c>
      <c r="W27" s="52">
        <f t="shared" si="7"/>
        <v>4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126</v>
      </c>
      <c r="C28" s="37">
        <v>100.0</v>
      </c>
      <c r="D28" s="37">
        <v>7.0</v>
      </c>
      <c r="E28" s="42">
        <f t="shared" si="2"/>
        <v>12</v>
      </c>
      <c r="F28" s="89">
        <v>1.0</v>
      </c>
      <c r="G28" s="90">
        <v>5.0</v>
      </c>
      <c r="H28" s="91">
        <v>0.0</v>
      </c>
      <c r="I28" s="90">
        <v>6.0</v>
      </c>
      <c r="J28" s="90">
        <v>6.0</v>
      </c>
      <c r="K28" s="90">
        <v>6.0</v>
      </c>
      <c r="L28" s="92">
        <v>18.0</v>
      </c>
      <c r="M28" s="90">
        <v>3.0</v>
      </c>
      <c r="N28" s="37">
        <f t="shared" ref="N28:O28" si="33">C28+L28</f>
        <v>118</v>
      </c>
      <c r="O28" s="37">
        <f t="shared" si="33"/>
        <v>10</v>
      </c>
      <c r="P28" s="50" t="s">
        <v>60</v>
      </c>
      <c r="Q28" s="50" t="s">
        <v>60</v>
      </c>
      <c r="R28" s="50" t="s">
        <v>60</v>
      </c>
      <c r="S28" s="51">
        <f t="shared" si="4"/>
        <v>5</v>
      </c>
      <c r="T28" s="52">
        <f t="shared" si="5"/>
        <v>1</v>
      </c>
      <c r="U28" s="52"/>
      <c r="V28" s="51">
        <f t="shared" si="6"/>
        <v>3</v>
      </c>
      <c r="W28" s="52">
        <f t="shared" si="7"/>
        <v>8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100</v>
      </c>
      <c r="C29" s="37">
        <v>99.0</v>
      </c>
      <c r="D29" s="37">
        <v>7.0</v>
      </c>
      <c r="E29" s="42">
        <f t="shared" si="2"/>
        <v>11.25</v>
      </c>
      <c r="F29" s="89">
        <v>1.0</v>
      </c>
      <c r="G29" s="90">
        <v>5.0</v>
      </c>
      <c r="H29" s="91">
        <v>0.0</v>
      </c>
      <c r="I29" s="90">
        <v>3.0</v>
      </c>
      <c r="J29" s="90">
        <v>1.0</v>
      </c>
      <c r="K29" s="90">
        <v>6.0</v>
      </c>
      <c r="L29" s="92">
        <v>10.0</v>
      </c>
      <c r="M29" s="90">
        <v>1.0</v>
      </c>
      <c r="N29" s="37">
        <f t="shared" ref="N29:O29" si="34">C29+L29</f>
        <v>109</v>
      </c>
      <c r="O29" s="37">
        <f t="shared" si="34"/>
        <v>8</v>
      </c>
      <c r="P29" s="50" t="s">
        <v>60</v>
      </c>
      <c r="Q29" s="50" t="s">
        <v>60</v>
      </c>
      <c r="R29" s="50" t="s">
        <v>60</v>
      </c>
      <c r="S29" s="51">
        <f t="shared" si="4"/>
        <v>8</v>
      </c>
      <c r="T29" s="52">
        <f t="shared" si="5"/>
        <v>0</v>
      </c>
      <c r="U29" s="52"/>
      <c r="V29" s="51">
        <f t="shared" si="6"/>
        <v>1</v>
      </c>
      <c r="W29" s="52">
        <f t="shared" si="7"/>
        <v>-4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127</v>
      </c>
      <c r="C30" s="37">
        <v>98.0</v>
      </c>
      <c r="D30" s="37">
        <v>6.0</v>
      </c>
      <c r="E30" s="42">
        <f t="shared" si="2"/>
        <v>11.25</v>
      </c>
      <c r="F30" s="89">
        <v>3.0</v>
      </c>
      <c r="G30" s="90">
        <v>0.0</v>
      </c>
      <c r="H30" s="91">
        <v>9.0</v>
      </c>
      <c r="I30" s="90">
        <v>0.0</v>
      </c>
      <c r="J30" s="90">
        <v>0.0</v>
      </c>
      <c r="K30" s="90">
        <v>0.0</v>
      </c>
      <c r="L30" s="92">
        <v>9.0</v>
      </c>
      <c r="M30" s="90">
        <v>0.0</v>
      </c>
      <c r="N30" s="37">
        <f t="shared" ref="N30:O30" si="35">C30+L30</f>
        <v>107</v>
      </c>
      <c r="O30" s="37">
        <f t="shared" si="35"/>
        <v>6</v>
      </c>
      <c r="P30" s="50" t="s">
        <v>60</v>
      </c>
      <c r="Q30" s="50" t="s">
        <v>60</v>
      </c>
      <c r="R30" s="50" t="s">
        <v>60</v>
      </c>
      <c r="S30" s="51">
        <f t="shared" si="4"/>
        <v>4</v>
      </c>
      <c r="T30" s="52">
        <f t="shared" si="5"/>
        <v>2</v>
      </c>
      <c r="U30" s="52"/>
      <c r="V30" s="51">
        <f t="shared" si="6"/>
        <v>3</v>
      </c>
      <c r="W30" s="52">
        <f t="shared" si="7"/>
        <v>-4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146</v>
      </c>
      <c r="C31" s="37">
        <v>97.0</v>
      </c>
      <c r="D31" s="37">
        <v>10.0</v>
      </c>
      <c r="E31" s="42">
        <f t="shared" si="2"/>
        <v>11</v>
      </c>
      <c r="F31" s="89">
        <v>1.0</v>
      </c>
      <c r="G31" s="90">
        <v>5.0</v>
      </c>
      <c r="H31" s="91">
        <v>0.0</v>
      </c>
      <c r="I31" s="90">
        <v>6.0</v>
      </c>
      <c r="J31" s="90">
        <v>1.0</v>
      </c>
      <c r="K31" s="90">
        <v>0.0</v>
      </c>
      <c r="L31" s="92">
        <v>7.0</v>
      </c>
      <c r="M31" s="90">
        <v>1.0</v>
      </c>
      <c r="N31" s="37">
        <f t="shared" ref="N31:O31" si="36">C31+L31</f>
        <v>104</v>
      </c>
      <c r="O31" s="37">
        <f t="shared" si="36"/>
        <v>11</v>
      </c>
      <c r="P31" s="50" t="s">
        <v>60</v>
      </c>
      <c r="Q31" s="50" t="s">
        <v>60</v>
      </c>
      <c r="R31" s="50" t="s">
        <v>60</v>
      </c>
      <c r="S31" s="51">
        <f t="shared" si="4"/>
        <v>6</v>
      </c>
      <c r="T31" s="52">
        <f t="shared" si="5"/>
        <v>1</v>
      </c>
      <c r="U31" s="52"/>
      <c r="V31" s="51">
        <f t="shared" si="6"/>
        <v>2</v>
      </c>
      <c r="W31" s="52">
        <f t="shared" si="7"/>
        <v>8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94</v>
      </c>
      <c r="C32" s="37">
        <v>97.0</v>
      </c>
      <c r="D32" s="37">
        <v>7.0</v>
      </c>
      <c r="E32" s="42">
        <f t="shared" si="2"/>
        <v>11</v>
      </c>
      <c r="F32" s="89">
        <v>1.0</v>
      </c>
      <c r="G32" s="90">
        <v>5.0</v>
      </c>
      <c r="H32" s="91">
        <v>0.0</v>
      </c>
      <c r="I32" s="90">
        <v>3.0</v>
      </c>
      <c r="J32" s="90">
        <v>6.0</v>
      </c>
      <c r="K32" s="90">
        <v>0.0</v>
      </c>
      <c r="L32" s="92">
        <v>9.0</v>
      </c>
      <c r="M32" s="90">
        <v>1.0</v>
      </c>
      <c r="N32" s="37">
        <f t="shared" ref="N32:O32" si="37">C32+L32</f>
        <v>106</v>
      </c>
      <c r="O32" s="37">
        <f t="shared" si="37"/>
        <v>8</v>
      </c>
      <c r="P32" s="50" t="s">
        <v>60</v>
      </c>
      <c r="Q32" s="50" t="s">
        <v>60</v>
      </c>
      <c r="R32" s="50" t="s">
        <v>60</v>
      </c>
      <c r="S32" s="51">
        <f t="shared" si="4"/>
        <v>6</v>
      </c>
      <c r="T32" s="52">
        <f t="shared" si="5"/>
        <v>1</v>
      </c>
      <c r="U32" s="52"/>
      <c r="V32" s="51">
        <f t="shared" si="6"/>
        <v>2</v>
      </c>
      <c r="W32" s="52">
        <f t="shared" si="7"/>
        <v>-5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135</v>
      </c>
      <c r="C33" s="37">
        <v>96.0</v>
      </c>
      <c r="D33" s="37">
        <v>10.0</v>
      </c>
      <c r="E33" s="42">
        <f t="shared" si="2"/>
        <v>11.14285714</v>
      </c>
      <c r="F33" s="89">
        <v>1.0</v>
      </c>
      <c r="G33" s="90">
        <v>6.0</v>
      </c>
      <c r="H33" s="91">
        <v>0.0</v>
      </c>
      <c r="I33" s="90">
        <v>3.0</v>
      </c>
      <c r="J33" s="90">
        <v>6.0</v>
      </c>
      <c r="K33" s="90">
        <v>6.0</v>
      </c>
      <c r="L33" s="92">
        <v>15.0</v>
      </c>
      <c r="M33" s="90">
        <v>2.0</v>
      </c>
      <c r="N33" s="37">
        <f t="shared" ref="N33:O33" si="38">C33+L33</f>
        <v>111</v>
      </c>
      <c r="O33" s="37">
        <f t="shared" si="38"/>
        <v>12</v>
      </c>
      <c r="P33" s="50" t="s">
        <v>60</v>
      </c>
      <c r="Q33" s="50" t="s">
        <v>60</v>
      </c>
      <c r="R33" s="50" t="s">
        <v>60</v>
      </c>
      <c r="S33" s="51">
        <f t="shared" si="4"/>
        <v>7</v>
      </c>
      <c r="T33" s="52">
        <f t="shared" si="5"/>
        <v>0</v>
      </c>
      <c r="U33" s="52"/>
      <c r="V33" s="51">
        <f t="shared" si="6"/>
        <v>2</v>
      </c>
      <c r="W33" s="52">
        <f t="shared" si="7"/>
        <v>-1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101</v>
      </c>
      <c r="C34" s="37">
        <v>95.0</v>
      </c>
      <c r="D34" s="37">
        <v>9.0</v>
      </c>
      <c r="E34" s="42">
        <f t="shared" si="2"/>
        <v>10.75</v>
      </c>
      <c r="F34" s="89">
        <v>1.0</v>
      </c>
      <c r="G34" s="90">
        <v>6.0</v>
      </c>
      <c r="H34" s="91">
        <v>0.0</v>
      </c>
      <c r="I34" s="90">
        <v>6.0</v>
      </c>
      <c r="J34" s="90">
        <v>6.0</v>
      </c>
      <c r="K34" s="90">
        <v>3.0</v>
      </c>
      <c r="L34" s="92">
        <v>15.0</v>
      </c>
      <c r="M34" s="90">
        <v>2.0</v>
      </c>
      <c r="N34" s="37">
        <f t="shared" ref="N34:O34" si="39">C34+L34</f>
        <v>110</v>
      </c>
      <c r="O34" s="37">
        <f t="shared" si="39"/>
        <v>11</v>
      </c>
      <c r="P34" s="50" t="s">
        <v>60</v>
      </c>
      <c r="Q34" s="50" t="s">
        <v>60</v>
      </c>
      <c r="R34" s="50" t="s">
        <v>60</v>
      </c>
      <c r="S34" s="51">
        <f t="shared" si="4"/>
        <v>8</v>
      </c>
      <c r="T34" s="52">
        <f t="shared" si="5"/>
        <v>0</v>
      </c>
      <c r="U34" s="52"/>
      <c r="V34" s="51">
        <f t="shared" si="6"/>
        <v>1</v>
      </c>
      <c r="W34" s="52">
        <f t="shared" si="7"/>
        <v>-1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67</v>
      </c>
      <c r="C35" s="37">
        <v>95.0</v>
      </c>
      <c r="D35" s="37">
        <v>8.0</v>
      </c>
      <c r="E35" s="42">
        <f t="shared" si="2"/>
        <v>10.75</v>
      </c>
      <c r="F35" s="89">
        <v>3.0</v>
      </c>
      <c r="G35" s="90">
        <v>0.0</v>
      </c>
      <c r="H35" s="91">
        <v>9.0</v>
      </c>
      <c r="I35" s="90">
        <v>0.0</v>
      </c>
      <c r="J35" s="90">
        <v>0.0</v>
      </c>
      <c r="K35" s="90">
        <v>0.0</v>
      </c>
      <c r="L35" s="92">
        <v>9.0</v>
      </c>
      <c r="M35" s="90">
        <v>0.0</v>
      </c>
      <c r="N35" s="37">
        <f t="shared" ref="N35:O35" si="40">C35+L35</f>
        <v>104</v>
      </c>
      <c r="O35" s="37">
        <f t="shared" si="40"/>
        <v>8</v>
      </c>
      <c r="P35" s="50" t="s">
        <v>60</v>
      </c>
      <c r="Q35" s="50" t="s">
        <v>60</v>
      </c>
      <c r="R35" s="50" t="s">
        <v>60</v>
      </c>
      <c r="S35" s="51">
        <f t="shared" si="4"/>
        <v>8</v>
      </c>
      <c r="T35" s="52">
        <f t="shared" si="5"/>
        <v>0</v>
      </c>
      <c r="U35" s="52"/>
      <c r="V35" s="51">
        <f t="shared" si="6"/>
        <v>1</v>
      </c>
      <c r="W35" s="52">
        <f t="shared" si="7"/>
        <v>-1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111</v>
      </c>
      <c r="C36" s="37">
        <v>95.0</v>
      </c>
      <c r="D36" s="37">
        <v>5.0</v>
      </c>
      <c r="E36" s="42">
        <f t="shared" si="2"/>
        <v>11.8</v>
      </c>
      <c r="F36" s="89">
        <v>1.0</v>
      </c>
      <c r="G36" s="90">
        <v>6.0</v>
      </c>
      <c r="H36" s="91">
        <v>0.0</v>
      </c>
      <c r="I36" s="90">
        <v>3.0</v>
      </c>
      <c r="J36" s="90">
        <v>3.0</v>
      </c>
      <c r="K36" s="90">
        <v>3.0</v>
      </c>
      <c r="L36" s="92">
        <v>9.0</v>
      </c>
      <c r="M36" s="90">
        <v>0.0</v>
      </c>
      <c r="N36" s="37">
        <f t="shared" ref="N36:O36" si="41">C36+L36</f>
        <v>104</v>
      </c>
      <c r="O36" s="37">
        <f t="shared" si="41"/>
        <v>5</v>
      </c>
      <c r="P36" s="50" t="s">
        <v>60</v>
      </c>
      <c r="Q36" s="50" t="s">
        <v>60</v>
      </c>
      <c r="R36" s="50" t="s">
        <v>60</v>
      </c>
      <c r="S36" s="51">
        <f t="shared" si="4"/>
        <v>5</v>
      </c>
      <c r="T36" s="52">
        <f t="shared" si="5"/>
        <v>0</v>
      </c>
      <c r="U36" s="52"/>
      <c r="V36" s="51">
        <f t="shared" si="6"/>
        <v>4</v>
      </c>
      <c r="W36" s="52">
        <f t="shared" si="7"/>
        <v>-6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102</v>
      </c>
      <c r="C37" s="37">
        <v>92.0</v>
      </c>
      <c r="D37" s="37">
        <v>4.0</v>
      </c>
      <c r="E37" s="42">
        <f t="shared" si="2"/>
        <v>8.5</v>
      </c>
      <c r="F37" s="89">
        <v>5.0</v>
      </c>
      <c r="G37" s="90">
        <v>0.0</v>
      </c>
      <c r="H37" s="91">
        <v>13.0</v>
      </c>
      <c r="I37" s="90">
        <v>0.0</v>
      </c>
      <c r="J37" s="90">
        <v>0.0</v>
      </c>
      <c r="K37" s="90">
        <v>0.0</v>
      </c>
      <c r="L37" s="92">
        <v>13.0</v>
      </c>
      <c r="M37" s="90">
        <v>0.0</v>
      </c>
      <c r="N37" s="37">
        <f t="shared" ref="N37:O37" si="42">C37+L37</f>
        <v>105</v>
      </c>
      <c r="O37" s="37">
        <f t="shared" si="42"/>
        <v>4</v>
      </c>
      <c r="P37" s="50" t="s">
        <v>60</v>
      </c>
      <c r="Q37" s="50" t="s">
        <v>60</v>
      </c>
      <c r="R37" s="50" t="s">
        <v>60</v>
      </c>
      <c r="S37" s="51">
        <f t="shared" si="4"/>
        <v>2</v>
      </c>
      <c r="T37" s="52">
        <f t="shared" si="5"/>
        <v>3</v>
      </c>
      <c r="U37" s="52"/>
      <c r="V37" s="51">
        <f t="shared" si="6"/>
        <v>4</v>
      </c>
      <c r="W37" s="52">
        <f t="shared" si="7"/>
        <v>4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128</v>
      </c>
      <c r="C38" s="37">
        <v>91.0</v>
      </c>
      <c r="D38" s="37">
        <v>8.0</v>
      </c>
      <c r="E38" s="42">
        <f t="shared" si="2"/>
        <v>11</v>
      </c>
      <c r="F38" s="89">
        <v>1.0</v>
      </c>
      <c r="G38" s="90">
        <v>6.0</v>
      </c>
      <c r="H38" s="91">
        <v>0.0</v>
      </c>
      <c r="I38" s="90">
        <v>6.0</v>
      </c>
      <c r="J38" s="90">
        <v>3.0</v>
      </c>
      <c r="K38" s="90">
        <v>6.0</v>
      </c>
      <c r="L38" s="92">
        <v>15.0</v>
      </c>
      <c r="M38" s="90">
        <v>2.0</v>
      </c>
      <c r="N38" s="37">
        <f t="shared" ref="N38:O38" si="43">C38+L38</f>
        <v>106</v>
      </c>
      <c r="O38" s="37">
        <f t="shared" si="43"/>
        <v>10</v>
      </c>
      <c r="P38" s="50" t="s">
        <v>60</v>
      </c>
      <c r="Q38" s="50" t="s">
        <v>60</v>
      </c>
      <c r="R38" s="50" t="s">
        <v>60</v>
      </c>
      <c r="S38" s="51">
        <f t="shared" si="4"/>
        <v>5</v>
      </c>
      <c r="T38" s="52">
        <f t="shared" si="5"/>
        <v>0</v>
      </c>
      <c r="U38" s="52"/>
      <c r="V38" s="51">
        <f t="shared" si="6"/>
        <v>4</v>
      </c>
      <c r="W38" s="52">
        <f t="shared" si="7"/>
        <v>-1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130</v>
      </c>
      <c r="C39" s="37">
        <v>91.0</v>
      </c>
      <c r="D39" s="37">
        <v>6.0</v>
      </c>
      <c r="E39" s="42">
        <f t="shared" si="2"/>
        <v>10.5</v>
      </c>
      <c r="F39" s="89">
        <v>1.0</v>
      </c>
      <c r="G39" s="90">
        <v>7.0</v>
      </c>
      <c r="H39" s="91">
        <v>0.0</v>
      </c>
      <c r="I39" s="90">
        <v>6.0</v>
      </c>
      <c r="J39" s="90">
        <v>6.0</v>
      </c>
      <c r="K39" s="90">
        <v>6.0</v>
      </c>
      <c r="L39" s="92">
        <v>18.0</v>
      </c>
      <c r="M39" s="90">
        <v>3.0</v>
      </c>
      <c r="N39" s="37">
        <f t="shared" ref="N39:O39" si="44">C39+L39</f>
        <v>109</v>
      </c>
      <c r="O39" s="37">
        <f t="shared" si="44"/>
        <v>9</v>
      </c>
      <c r="P39" s="50" t="s">
        <v>60</v>
      </c>
      <c r="Q39" s="50" t="s">
        <v>60</v>
      </c>
      <c r="R39" s="50" t="s">
        <v>60</v>
      </c>
      <c r="S39" s="51">
        <f t="shared" si="4"/>
        <v>4</v>
      </c>
      <c r="T39" s="52">
        <f t="shared" si="5"/>
        <v>1</v>
      </c>
      <c r="U39" s="52"/>
      <c r="V39" s="51">
        <f t="shared" si="6"/>
        <v>4</v>
      </c>
      <c r="W39" s="52">
        <f t="shared" si="7"/>
        <v>-4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142</v>
      </c>
      <c r="C40" s="37">
        <v>90.0</v>
      </c>
      <c r="D40" s="37">
        <v>5.0</v>
      </c>
      <c r="E40" s="42">
        <f t="shared" si="2"/>
        <v>13.5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99</v>
      </c>
      <c r="O40" s="37">
        <f t="shared" si="45"/>
        <v>5</v>
      </c>
      <c r="P40" s="50" t="s">
        <v>60</v>
      </c>
      <c r="Q40" s="50" t="s">
        <v>60</v>
      </c>
      <c r="R40" s="50" t="s">
        <v>60</v>
      </c>
      <c r="S40" s="51">
        <f t="shared" si="4"/>
        <v>2</v>
      </c>
      <c r="T40" s="52">
        <f t="shared" si="5"/>
        <v>0</v>
      </c>
      <c r="U40" s="52"/>
      <c r="V40" s="51">
        <f t="shared" si="6"/>
        <v>7</v>
      </c>
      <c r="W40" s="52">
        <f t="shared" si="7"/>
        <v>12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114</v>
      </c>
      <c r="C41" s="37">
        <v>89.0</v>
      </c>
      <c r="D41" s="37">
        <v>6.0</v>
      </c>
      <c r="E41" s="42">
        <f t="shared" si="2"/>
        <v>9.8</v>
      </c>
      <c r="F41" s="89">
        <v>1.0</v>
      </c>
      <c r="G41" s="90">
        <v>7.0</v>
      </c>
      <c r="H41" s="91">
        <v>0.0</v>
      </c>
      <c r="I41" s="90">
        <v>6.0</v>
      </c>
      <c r="J41" s="90">
        <v>3.0</v>
      </c>
      <c r="K41" s="90">
        <v>3.0</v>
      </c>
      <c r="L41" s="92">
        <v>12.0</v>
      </c>
      <c r="M41" s="90">
        <v>1.0</v>
      </c>
      <c r="N41" s="37">
        <f t="shared" ref="N41:O41" si="46">C41+L41</f>
        <v>101</v>
      </c>
      <c r="O41" s="37">
        <f t="shared" si="46"/>
        <v>7</v>
      </c>
      <c r="P41" s="50" t="s">
        <v>60</v>
      </c>
      <c r="Q41" s="50" t="s">
        <v>60</v>
      </c>
      <c r="R41" s="50" t="s">
        <v>60</v>
      </c>
      <c r="S41" s="51">
        <f t="shared" si="4"/>
        <v>5</v>
      </c>
      <c r="T41" s="52">
        <f t="shared" si="5"/>
        <v>1</v>
      </c>
      <c r="U41" s="52"/>
      <c r="V41" s="51">
        <f t="shared" si="6"/>
        <v>3</v>
      </c>
      <c r="W41" s="52">
        <f t="shared" si="7"/>
        <v>-3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144</v>
      </c>
      <c r="C42" s="37">
        <v>89.0</v>
      </c>
      <c r="D42" s="37">
        <v>3.0</v>
      </c>
      <c r="E42" s="42">
        <f t="shared" si="2"/>
        <v>7.666666667</v>
      </c>
      <c r="F42" s="89">
        <v>5.0</v>
      </c>
      <c r="G42" s="90">
        <v>0.0</v>
      </c>
      <c r="H42" s="91">
        <v>13.0</v>
      </c>
      <c r="I42" s="90">
        <v>0.0</v>
      </c>
      <c r="J42" s="90">
        <v>0.0</v>
      </c>
      <c r="K42" s="90">
        <v>0.0</v>
      </c>
      <c r="L42" s="92">
        <v>13.0</v>
      </c>
      <c r="M42" s="90">
        <v>0.0</v>
      </c>
      <c r="N42" s="37">
        <f t="shared" ref="N42:O42" si="47">C42+L42</f>
        <v>102</v>
      </c>
      <c r="O42" s="37">
        <f t="shared" si="47"/>
        <v>3</v>
      </c>
      <c r="P42" s="50" t="s">
        <v>60</v>
      </c>
      <c r="Q42" s="50" t="s">
        <v>60</v>
      </c>
      <c r="R42" s="50" t="s">
        <v>60</v>
      </c>
      <c r="S42" s="51">
        <f t="shared" si="4"/>
        <v>3</v>
      </c>
      <c r="T42" s="52">
        <f t="shared" si="5"/>
        <v>3</v>
      </c>
      <c r="U42" s="52"/>
      <c r="V42" s="51">
        <f t="shared" si="6"/>
        <v>3</v>
      </c>
      <c r="W42" s="52">
        <f t="shared" si="7"/>
        <v>2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109</v>
      </c>
      <c r="C43" s="37">
        <v>89.0</v>
      </c>
      <c r="D43" s="37">
        <v>2.0</v>
      </c>
      <c r="E43" s="42">
        <f t="shared" si="2"/>
        <v>5</v>
      </c>
      <c r="F43" s="89">
        <v>5.0</v>
      </c>
      <c r="G43" s="90">
        <v>0.0</v>
      </c>
      <c r="H43" s="91">
        <v>13.0</v>
      </c>
      <c r="I43" s="90">
        <v>0.0</v>
      </c>
      <c r="J43" s="90">
        <v>0.0</v>
      </c>
      <c r="K43" s="90">
        <v>0.0</v>
      </c>
      <c r="L43" s="92">
        <v>13.0</v>
      </c>
      <c r="M43" s="90">
        <v>0.0</v>
      </c>
      <c r="N43" s="37">
        <f t="shared" ref="N43:O43" si="48">C43+L43</f>
        <v>102</v>
      </c>
      <c r="O43" s="37">
        <f t="shared" si="48"/>
        <v>2</v>
      </c>
      <c r="P43" s="50" t="s">
        <v>60</v>
      </c>
      <c r="Q43" s="50" t="s">
        <v>60</v>
      </c>
      <c r="R43" s="50" t="s">
        <v>60</v>
      </c>
      <c r="S43" s="51">
        <f t="shared" si="4"/>
        <v>2</v>
      </c>
      <c r="T43" s="52">
        <f t="shared" si="5"/>
        <v>4</v>
      </c>
      <c r="U43" s="52"/>
      <c r="V43" s="51">
        <f t="shared" si="6"/>
        <v>3</v>
      </c>
      <c r="W43" s="52">
        <f t="shared" si="7"/>
        <v>3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61</v>
      </c>
      <c r="C44" s="37">
        <v>86.0</v>
      </c>
      <c r="D44" s="37">
        <v>7.0</v>
      </c>
      <c r="E44" s="42">
        <f t="shared" si="2"/>
        <v>10</v>
      </c>
      <c r="F44" s="89">
        <v>3.0</v>
      </c>
      <c r="G44" s="90">
        <v>0.0</v>
      </c>
      <c r="H44" s="91">
        <v>9.0</v>
      </c>
      <c r="I44" s="90">
        <v>0.0</v>
      </c>
      <c r="J44" s="90">
        <v>0.0</v>
      </c>
      <c r="K44" s="90">
        <v>0.0</v>
      </c>
      <c r="L44" s="92">
        <v>9.0</v>
      </c>
      <c r="M44" s="90">
        <v>0.0</v>
      </c>
      <c r="N44" s="37">
        <f t="shared" ref="N44:O44" si="49">C44+L44</f>
        <v>95</v>
      </c>
      <c r="O44" s="37">
        <f t="shared" si="49"/>
        <v>7</v>
      </c>
      <c r="P44" s="50" t="s">
        <v>60</v>
      </c>
      <c r="Q44" s="50" t="s">
        <v>60</v>
      </c>
      <c r="R44" s="50" t="s">
        <v>60</v>
      </c>
      <c r="S44" s="51">
        <f t="shared" si="4"/>
        <v>5</v>
      </c>
      <c r="T44" s="52">
        <f t="shared" si="5"/>
        <v>0</v>
      </c>
      <c r="U44" s="52"/>
      <c r="V44" s="51">
        <f t="shared" si="6"/>
        <v>4</v>
      </c>
      <c r="W44" s="52">
        <f t="shared" si="7"/>
        <v>-4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117</v>
      </c>
      <c r="C45" s="37">
        <v>85.0</v>
      </c>
      <c r="D45" s="37">
        <v>5.0</v>
      </c>
      <c r="E45" s="42">
        <f t="shared" si="2"/>
        <v>10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94</v>
      </c>
      <c r="O45" s="37">
        <f t="shared" si="50"/>
        <v>5</v>
      </c>
      <c r="P45" s="50" t="s">
        <v>60</v>
      </c>
      <c r="Q45" s="50" t="s">
        <v>60</v>
      </c>
      <c r="R45" s="50" t="s">
        <v>60</v>
      </c>
      <c r="S45" s="51">
        <f t="shared" si="4"/>
        <v>4</v>
      </c>
      <c r="T45" s="52">
        <f t="shared" si="5"/>
        <v>0</v>
      </c>
      <c r="U45" s="52"/>
      <c r="V45" s="51">
        <f t="shared" si="6"/>
        <v>5</v>
      </c>
      <c r="W45" s="52">
        <f t="shared" si="7"/>
        <v>-3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105</v>
      </c>
      <c r="C46" s="37">
        <v>85.0</v>
      </c>
      <c r="D46" s="37">
        <v>3.0</v>
      </c>
      <c r="E46" s="42">
        <f t="shared" si="2"/>
        <v>8</v>
      </c>
      <c r="F46" s="89">
        <v>1.0</v>
      </c>
      <c r="G46" s="90">
        <v>7.0</v>
      </c>
      <c r="H46" s="91">
        <v>0.0</v>
      </c>
      <c r="I46" s="90">
        <v>4.0</v>
      </c>
      <c r="J46" s="90">
        <v>3.0</v>
      </c>
      <c r="K46" s="90">
        <v>6.0</v>
      </c>
      <c r="L46" s="92">
        <v>13.0</v>
      </c>
      <c r="M46" s="90">
        <v>1.0</v>
      </c>
      <c r="N46" s="37">
        <f t="shared" ref="N46:O46" si="51">C46+L46</f>
        <v>98</v>
      </c>
      <c r="O46" s="37">
        <f t="shared" si="51"/>
        <v>4</v>
      </c>
      <c r="P46" s="50" t="s">
        <v>60</v>
      </c>
      <c r="Q46" s="50" t="s">
        <v>60</v>
      </c>
      <c r="R46" s="50" t="s">
        <v>60</v>
      </c>
      <c r="S46" s="51">
        <f t="shared" si="4"/>
        <v>4</v>
      </c>
      <c r="T46" s="52">
        <f t="shared" si="5"/>
        <v>2</v>
      </c>
      <c r="U46" s="52"/>
      <c r="V46" s="51">
        <f t="shared" si="6"/>
        <v>3</v>
      </c>
      <c r="W46" s="52">
        <f t="shared" si="7"/>
        <v>-3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133</v>
      </c>
      <c r="C47" s="37">
        <v>85.0</v>
      </c>
      <c r="D47" s="37">
        <v>2.0</v>
      </c>
      <c r="E47" s="42">
        <f t="shared" si="2"/>
        <v>9</v>
      </c>
      <c r="F47" s="89">
        <v>1.0</v>
      </c>
      <c r="G47" s="90">
        <v>7.0</v>
      </c>
      <c r="H47" s="91">
        <v>0.0</v>
      </c>
      <c r="I47" s="90">
        <v>4.0</v>
      </c>
      <c r="J47" s="90">
        <v>6.0</v>
      </c>
      <c r="K47" s="90">
        <v>3.0</v>
      </c>
      <c r="L47" s="92">
        <v>13.0</v>
      </c>
      <c r="M47" s="90">
        <v>1.0</v>
      </c>
      <c r="N47" s="37">
        <f t="shared" ref="N47:O47" si="52">C47+L47</f>
        <v>98</v>
      </c>
      <c r="O47" s="37">
        <f t="shared" si="52"/>
        <v>3</v>
      </c>
      <c r="P47" s="50" t="s">
        <v>60</v>
      </c>
      <c r="Q47" s="50" t="s">
        <v>60</v>
      </c>
      <c r="R47" s="50" t="s">
        <v>60</v>
      </c>
      <c r="S47" s="51">
        <f t="shared" si="4"/>
        <v>4</v>
      </c>
      <c r="T47" s="52">
        <f t="shared" si="5"/>
        <v>1</v>
      </c>
      <c r="U47" s="52"/>
      <c r="V47" s="51">
        <f t="shared" si="6"/>
        <v>4</v>
      </c>
      <c r="W47" s="52">
        <f t="shared" si="7"/>
        <v>-2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125</v>
      </c>
      <c r="C48" s="37">
        <v>85.0</v>
      </c>
      <c r="D48" s="37">
        <v>2.0</v>
      </c>
      <c r="E48" s="42">
        <f t="shared" si="2"/>
        <v>5</v>
      </c>
      <c r="F48" s="89">
        <v>5.0</v>
      </c>
      <c r="G48" s="90">
        <v>0.0</v>
      </c>
      <c r="H48" s="91">
        <v>13.0</v>
      </c>
      <c r="I48" s="90">
        <v>0.0</v>
      </c>
      <c r="J48" s="90">
        <v>0.0</v>
      </c>
      <c r="K48" s="90">
        <v>0.0</v>
      </c>
      <c r="L48" s="92">
        <v>13.0</v>
      </c>
      <c r="M48" s="90">
        <v>0.0</v>
      </c>
      <c r="N48" s="37">
        <f t="shared" ref="N48:O48" si="53">C48+L48</f>
        <v>98</v>
      </c>
      <c r="O48" s="37">
        <f t="shared" si="53"/>
        <v>2</v>
      </c>
      <c r="P48" s="50" t="s">
        <v>60</v>
      </c>
      <c r="Q48" s="50" t="s">
        <v>60</v>
      </c>
      <c r="R48" s="50" t="s">
        <v>60</v>
      </c>
      <c r="S48" s="51">
        <f t="shared" si="4"/>
        <v>2</v>
      </c>
      <c r="T48" s="52">
        <f t="shared" si="5"/>
        <v>3</v>
      </c>
      <c r="U48" s="52"/>
      <c r="V48" s="51">
        <f t="shared" si="6"/>
        <v>4</v>
      </c>
      <c r="W48" s="52">
        <f t="shared" si="7"/>
        <v>5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90</v>
      </c>
      <c r="C49" s="37">
        <v>84.0</v>
      </c>
      <c r="D49" s="37">
        <v>3.0</v>
      </c>
      <c r="E49" s="42">
        <f t="shared" si="2"/>
        <v>6</v>
      </c>
      <c r="F49" s="89">
        <v>5.0</v>
      </c>
      <c r="G49" s="90">
        <v>0.0</v>
      </c>
      <c r="H49" s="91">
        <v>13.0</v>
      </c>
      <c r="I49" s="90">
        <v>0.0</v>
      </c>
      <c r="J49" s="90">
        <v>0.0</v>
      </c>
      <c r="K49" s="90">
        <v>0.0</v>
      </c>
      <c r="L49" s="92">
        <v>13.0</v>
      </c>
      <c r="M49" s="90">
        <v>0.0</v>
      </c>
      <c r="N49" s="37">
        <f t="shared" ref="N49:O49" si="54">C49+L49</f>
        <v>97</v>
      </c>
      <c r="O49" s="37">
        <f t="shared" si="54"/>
        <v>3</v>
      </c>
      <c r="P49" s="50" t="s">
        <v>60</v>
      </c>
      <c r="Q49" s="50" t="s">
        <v>60</v>
      </c>
      <c r="R49" s="50" t="s">
        <v>60</v>
      </c>
      <c r="S49" s="51">
        <f t="shared" si="4"/>
        <v>3</v>
      </c>
      <c r="T49" s="52">
        <f t="shared" si="5"/>
        <v>3</v>
      </c>
      <c r="U49" s="52"/>
      <c r="V49" s="51">
        <f t="shared" si="6"/>
        <v>3</v>
      </c>
      <c r="W49" s="52">
        <f t="shared" si="7"/>
        <v>6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72</v>
      </c>
      <c r="C50" s="37">
        <v>83.0</v>
      </c>
      <c r="D50" s="37">
        <v>0.0</v>
      </c>
      <c r="E50" s="42">
        <f t="shared" si="2"/>
        <v>-1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92</v>
      </c>
      <c r="O50" s="37">
        <f t="shared" si="55"/>
        <v>0</v>
      </c>
      <c r="P50" s="50" t="s">
        <v>60</v>
      </c>
      <c r="Q50" s="50" t="s">
        <v>60</v>
      </c>
      <c r="R50" s="50" t="s">
        <v>60</v>
      </c>
      <c r="S50" s="51">
        <f t="shared" si="4"/>
        <v>1</v>
      </c>
      <c r="T50" s="52">
        <f t="shared" si="5"/>
        <v>3</v>
      </c>
      <c r="U50" s="52"/>
      <c r="V50" s="51">
        <f t="shared" si="6"/>
        <v>5</v>
      </c>
      <c r="W50" s="52">
        <f t="shared" si="7"/>
        <v>-2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145</v>
      </c>
      <c r="C51" s="37">
        <v>82.0</v>
      </c>
      <c r="D51" s="37">
        <v>3.0</v>
      </c>
      <c r="E51" s="42">
        <f t="shared" si="2"/>
        <v>10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91</v>
      </c>
      <c r="O51" s="37">
        <f t="shared" si="56"/>
        <v>3</v>
      </c>
      <c r="P51" s="50" t="s">
        <v>60</v>
      </c>
      <c r="Q51" s="50" t="s">
        <v>60</v>
      </c>
      <c r="R51" s="50" t="s">
        <v>60</v>
      </c>
      <c r="S51" s="51">
        <f t="shared" si="4"/>
        <v>1</v>
      </c>
      <c r="T51" s="52">
        <f t="shared" si="5"/>
        <v>0</v>
      </c>
      <c r="U51" s="52"/>
      <c r="V51" s="51">
        <f t="shared" si="6"/>
        <v>8</v>
      </c>
      <c r="W51" s="52">
        <f t="shared" si="7"/>
        <v>-2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84</v>
      </c>
      <c r="C52" s="37">
        <v>82.0</v>
      </c>
      <c r="D52" s="37">
        <v>2.0</v>
      </c>
      <c r="E52" s="42">
        <f t="shared" si="2"/>
        <v>4</v>
      </c>
      <c r="F52" s="89">
        <v>5.0</v>
      </c>
      <c r="G52" s="90">
        <v>0.0</v>
      </c>
      <c r="H52" s="91">
        <v>13.0</v>
      </c>
      <c r="I52" s="90">
        <v>0.0</v>
      </c>
      <c r="J52" s="90">
        <v>0.0</v>
      </c>
      <c r="K52" s="90">
        <v>0.0</v>
      </c>
      <c r="L52" s="92">
        <v>13.0</v>
      </c>
      <c r="M52" s="90">
        <v>0.0</v>
      </c>
      <c r="N52" s="37">
        <f t="shared" ref="N52:O52" si="57">C52+L52</f>
        <v>95</v>
      </c>
      <c r="O52" s="37">
        <f t="shared" si="57"/>
        <v>2</v>
      </c>
      <c r="P52" s="50" t="s">
        <v>60</v>
      </c>
      <c r="Q52" s="50" t="s">
        <v>60</v>
      </c>
      <c r="R52" s="50" t="s">
        <v>60</v>
      </c>
      <c r="S52" s="51">
        <f t="shared" si="4"/>
        <v>3</v>
      </c>
      <c r="T52" s="52">
        <f t="shared" si="5"/>
        <v>4</v>
      </c>
      <c r="U52" s="52"/>
      <c r="V52" s="51">
        <f t="shared" si="6"/>
        <v>2</v>
      </c>
      <c r="W52" s="52">
        <f t="shared" si="7"/>
        <v>-5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106</v>
      </c>
      <c r="C53" s="37">
        <v>81.0</v>
      </c>
      <c r="D53" s="37">
        <v>3.0</v>
      </c>
      <c r="E53" s="42">
        <f t="shared" si="2"/>
        <v>9</v>
      </c>
      <c r="F53" s="89">
        <v>3.0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90</v>
      </c>
      <c r="O53" s="37">
        <f t="shared" si="58"/>
        <v>3</v>
      </c>
      <c r="P53" s="50" t="s">
        <v>60</v>
      </c>
      <c r="Q53" s="50" t="s">
        <v>60</v>
      </c>
      <c r="R53" s="50" t="s">
        <v>60</v>
      </c>
      <c r="S53" s="51">
        <f t="shared" si="4"/>
        <v>2</v>
      </c>
      <c r="T53" s="52">
        <f t="shared" si="5"/>
        <v>0</v>
      </c>
      <c r="U53" s="52"/>
      <c r="V53" s="51">
        <f t="shared" si="6"/>
        <v>7</v>
      </c>
      <c r="W53" s="52">
        <f t="shared" si="7"/>
        <v>-2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141</v>
      </c>
      <c r="C54" s="37">
        <v>80.0</v>
      </c>
      <c r="D54" s="37">
        <v>4.0</v>
      </c>
      <c r="E54" s="42">
        <f t="shared" si="2"/>
        <v>8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89</v>
      </c>
      <c r="O54" s="37">
        <f t="shared" si="59"/>
        <v>4</v>
      </c>
      <c r="P54" s="50" t="s">
        <v>60</v>
      </c>
      <c r="Q54" s="50" t="s">
        <v>60</v>
      </c>
      <c r="R54" s="50" t="s">
        <v>60</v>
      </c>
      <c r="S54" s="51">
        <f t="shared" si="4"/>
        <v>5</v>
      </c>
      <c r="T54" s="52">
        <f t="shared" si="5"/>
        <v>1</v>
      </c>
      <c r="U54" s="52"/>
      <c r="V54" s="51">
        <f t="shared" si="6"/>
        <v>3</v>
      </c>
      <c r="W54" s="52">
        <f t="shared" si="7"/>
        <v>0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134</v>
      </c>
      <c r="C55" s="37">
        <v>80.0</v>
      </c>
      <c r="D55" s="37">
        <v>2.0</v>
      </c>
      <c r="E55" s="42">
        <f t="shared" si="2"/>
        <v>5.75</v>
      </c>
      <c r="F55" s="89">
        <v>2.0</v>
      </c>
      <c r="G55" s="90">
        <v>8.0</v>
      </c>
      <c r="H55" s="91">
        <v>0.0</v>
      </c>
      <c r="I55" s="90">
        <v>7.0</v>
      </c>
      <c r="J55" s="90">
        <v>4.0</v>
      </c>
      <c r="K55" s="90">
        <v>6.0</v>
      </c>
      <c r="L55" s="92">
        <v>17.0</v>
      </c>
      <c r="M55" s="90">
        <v>2.0</v>
      </c>
      <c r="N55" s="37">
        <f t="shared" ref="N55:O55" si="60">C55+L55</f>
        <v>97</v>
      </c>
      <c r="O55" s="37">
        <f t="shared" si="60"/>
        <v>4</v>
      </c>
      <c r="P55" s="50" t="s">
        <v>60</v>
      </c>
      <c r="Q55" s="50" t="s">
        <v>60</v>
      </c>
      <c r="R55" s="50" t="s">
        <v>60</v>
      </c>
      <c r="S55" s="51">
        <f t="shared" si="4"/>
        <v>4</v>
      </c>
      <c r="T55" s="52">
        <f t="shared" si="5"/>
        <v>3</v>
      </c>
      <c r="U55" s="52"/>
      <c r="V55" s="51">
        <f t="shared" si="6"/>
        <v>2</v>
      </c>
      <c r="W55" s="52">
        <f t="shared" si="7"/>
        <v>-5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104</v>
      </c>
      <c r="C56" s="37">
        <v>80.0</v>
      </c>
      <c r="D56" s="37">
        <v>0.0</v>
      </c>
      <c r="E56" s="42">
        <f t="shared" si="2"/>
        <v>0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89</v>
      </c>
      <c r="O56" s="37">
        <f t="shared" si="61"/>
        <v>0</v>
      </c>
      <c r="P56" s="50" t="s">
        <v>60</v>
      </c>
      <c r="Q56" s="50" t="s">
        <v>60</v>
      </c>
      <c r="R56" s="50" t="s">
        <v>60</v>
      </c>
      <c r="S56" s="51">
        <f t="shared" si="4"/>
        <v>0</v>
      </c>
      <c r="T56" s="52">
        <f t="shared" si="5"/>
        <v>2</v>
      </c>
      <c r="U56" s="52"/>
      <c r="V56" s="51">
        <f t="shared" si="6"/>
        <v>7</v>
      </c>
      <c r="W56" s="52">
        <f t="shared" si="7"/>
        <v>0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89</v>
      </c>
      <c r="C57" s="37">
        <v>78.0</v>
      </c>
      <c r="D57" s="37">
        <v>2.0</v>
      </c>
      <c r="E57" s="42">
        <f t="shared" si="2"/>
        <v>6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87</v>
      </c>
      <c r="O57" s="37">
        <f t="shared" si="62"/>
        <v>2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0</v>
      </c>
      <c r="U57" s="52"/>
      <c r="V57" s="51">
        <f t="shared" si="6"/>
        <v>8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56</v>
      </c>
      <c r="C58" s="37">
        <v>77.0</v>
      </c>
      <c r="D58" s="37">
        <v>2.0</v>
      </c>
      <c r="E58" s="42">
        <f t="shared" si="2"/>
        <v>5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86</v>
      </c>
      <c r="O58" s="37">
        <f t="shared" si="63"/>
        <v>2</v>
      </c>
      <c r="P58" s="50" t="s">
        <v>60</v>
      </c>
      <c r="Q58" s="50" t="s">
        <v>60</v>
      </c>
      <c r="R58" s="50" t="s">
        <v>60</v>
      </c>
      <c r="S58" s="51">
        <f t="shared" si="4"/>
        <v>1</v>
      </c>
      <c r="T58" s="52">
        <f t="shared" si="5"/>
        <v>0</v>
      </c>
      <c r="U58" s="52"/>
      <c r="V58" s="51">
        <f t="shared" si="6"/>
        <v>8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129</v>
      </c>
      <c r="C59" s="37">
        <v>76.0</v>
      </c>
      <c r="D59" s="37">
        <v>3.0</v>
      </c>
      <c r="E59" s="42">
        <f t="shared" si="2"/>
        <v>7.75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85</v>
      </c>
      <c r="O59" s="37">
        <f t="shared" si="64"/>
        <v>3</v>
      </c>
      <c r="P59" s="50" t="s">
        <v>60</v>
      </c>
      <c r="Q59" s="50" t="s">
        <v>60</v>
      </c>
      <c r="R59" s="50" t="s">
        <v>60</v>
      </c>
      <c r="S59" s="51">
        <f t="shared" si="4"/>
        <v>4</v>
      </c>
      <c r="T59" s="52">
        <f t="shared" si="5"/>
        <v>0</v>
      </c>
      <c r="U59" s="52"/>
      <c r="V59" s="51">
        <f t="shared" si="6"/>
        <v>5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137</v>
      </c>
      <c r="C60" s="37">
        <v>76.0</v>
      </c>
      <c r="D60" s="37">
        <v>0.0</v>
      </c>
      <c r="E60" s="42">
        <f t="shared" si="2"/>
        <v>0</v>
      </c>
      <c r="F60" s="89">
        <v>1.0</v>
      </c>
      <c r="G60" s="90">
        <v>8.0</v>
      </c>
      <c r="H60" s="91">
        <v>0.0</v>
      </c>
      <c r="I60" s="90">
        <v>5.0</v>
      </c>
      <c r="J60" s="90">
        <v>4.0</v>
      </c>
      <c r="K60" s="90">
        <v>2.0</v>
      </c>
      <c r="L60" s="92">
        <v>11.0</v>
      </c>
      <c r="M60" s="90">
        <v>0.0</v>
      </c>
      <c r="N60" s="37">
        <f t="shared" ref="N60:O60" si="65">C60+L60</f>
        <v>87</v>
      </c>
      <c r="O60" s="37">
        <f t="shared" si="65"/>
        <v>0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1</v>
      </c>
      <c r="U60" s="52"/>
      <c r="V60" s="51">
        <f t="shared" si="6"/>
        <v>7</v>
      </c>
      <c r="W60" s="52">
        <f t="shared" si="7"/>
        <v>5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119</v>
      </c>
      <c r="C61" s="37">
        <v>75.0</v>
      </c>
      <c r="D61" s="37">
        <v>1.0</v>
      </c>
      <c r="E61" s="42">
        <f t="shared" si="2"/>
        <v>3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84</v>
      </c>
      <c r="O61" s="37">
        <f t="shared" si="66"/>
        <v>1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8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116</v>
      </c>
      <c r="C62" s="37">
        <v>74.0</v>
      </c>
      <c r="D62" s="37">
        <v>1.0</v>
      </c>
      <c r="E62" s="42">
        <f t="shared" si="2"/>
        <v>-2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83</v>
      </c>
      <c r="O62" s="37">
        <f t="shared" si="67"/>
        <v>1</v>
      </c>
      <c r="P62" s="50" t="s">
        <v>60</v>
      </c>
      <c r="Q62" s="50" t="s">
        <v>60</v>
      </c>
      <c r="R62" s="50" t="s">
        <v>60</v>
      </c>
      <c r="S62" s="51">
        <f t="shared" si="4"/>
        <v>1</v>
      </c>
      <c r="T62" s="52">
        <f t="shared" si="5"/>
        <v>1</v>
      </c>
      <c r="U62" s="52"/>
      <c r="V62" s="51">
        <f t="shared" si="6"/>
        <v>7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95</v>
      </c>
      <c r="C63" s="37">
        <v>72.0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81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9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77</v>
      </c>
      <c r="C64" s="37">
        <v>72.0</v>
      </c>
      <c r="D64" s="37">
        <v>0.0</v>
      </c>
      <c r="E64" s="42">
        <f t="shared" si="2"/>
        <v>0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81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9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132</v>
      </c>
      <c r="C65" s="37">
        <v>72.0</v>
      </c>
      <c r="D65" s="37">
        <v>0.0</v>
      </c>
      <c r="E65" s="42">
        <f t="shared" si="2"/>
        <v>0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81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0</v>
      </c>
      <c r="U65" s="52"/>
      <c r="V65" s="51">
        <f t="shared" si="6"/>
        <v>9</v>
      </c>
      <c r="W65" s="52">
        <f t="shared" si="7"/>
        <v>1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53</v>
      </c>
      <c r="C66" s="37">
        <v>72.0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81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9</v>
      </c>
      <c r="W66" s="52">
        <f t="shared" si="7"/>
        <v>1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120</v>
      </c>
      <c r="C67" s="37">
        <v>72.0</v>
      </c>
      <c r="D67" s="37">
        <v>0.0</v>
      </c>
      <c r="E67" s="42">
        <f t="shared" si="2"/>
        <v>0</v>
      </c>
      <c r="F67" s="89">
        <v>1.0</v>
      </c>
      <c r="G67" s="90">
        <v>8.0</v>
      </c>
      <c r="H67" s="91">
        <v>0.0</v>
      </c>
      <c r="I67" s="90">
        <v>5.0</v>
      </c>
      <c r="J67" s="90">
        <v>6.0</v>
      </c>
      <c r="K67" s="90">
        <v>6.0</v>
      </c>
      <c r="L67" s="92">
        <v>17.0</v>
      </c>
      <c r="M67" s="90">
        <v>2.0</v>
      </c>
      <c r="N67" s="37">
        <f t="shared" ref="N67:O67" si="72">C67+L67</f>
        <v>89</v>
      </c>
      <c r="O67" s="37">
        <f t="shared" si="72"/>
        <v>2</v>
      </c>
      <c r="P67" s="50" t="s">
        <v>60</v>
      </c>
      <c r="Q67" s="50" t="s">
        <v>60</v>
      </c>
      <c r="R67" s="50" t="s">
        <v>60</v>
      </c>
      <c r="S67" s="51">
        <f t="shared" si="4"/>
        <v>1</v>
      </c>
      <c r="T67" s="52">
        <f t="shared" si="5"/>
        <v>0</v>
      </c>
      <c r="U67" s="52"/>
      <c r="V67" s="51">
        <f t="shared" si="6"/>
        <v>8</v>
      </c>
      <c r="W67" s="52">
        <f t="shared" si="7"/>
        <v>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139</v>
      </c>
      <c r="C68" s="37">
        <v>72.0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81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9</v>
      </c>
      <c r="W68" s="52">
        <f t="shared" si="7"/>
        <v>1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138</v>
      </c>
      <c r="C69" s="37">
        <v>72.0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81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9</v>
      </c>
      <c r="W69" s="52">
        <f t="shared" si="7"/>
        <v>1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143</v>
      </c>
      <c r="C70" s="37">
        <v>72.0</v>
      </c>
      <c r="D70" s="37">
        <v>0.0</v>
      </c>
      <c r="E70" s="42">
        <f t="shared" si="2"/>
        <v>-4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81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1</v>
      </c>
      <c r="T70" s="52">
        <f t="shared" si="5"/>
        <v>1</v>
      </c>
      <c r="U70" s="52"/>
      <c r="V70" s="51">
        <f t="shared" si="6"/>
        <v>7</v>
      </c>
      <c r="W70" s="52">
        <f t="shared" si="7"/>
        <v>1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96</v>
      </c>
      <c r="C71" s="37">
        <v>71.0</v>
      </c>
      <c r="D71" s="37">
        <v>5.0</v>
      </c>
      <c r="E71" s="42">
        <f t="shared" si="2"/>
        <v>7.888888889</v>
      </c>
      <c r="F71" s="89">
        <v>1.0</v>
      </c>
      <c r="G71" s="90">
        <v>8.0</v>
      </c>
      <c r="H71" s="91">
        <v>0.0</v>
      </c>
      <c r="I71" s="90">
        <v>7.0</v>
      </c>
      <c r="J71" s="90">
        <v>6.0</v>
      </c>
      <c r="K71" s="90">
        <v>2.0</v>
      </c>
      <c r="L71" s="92">
        <v>15.0</v>
      </c>
      <c r="M71" s="90">
        <v>2.0</v>
      </c>
      <c r="N71" s="37">
        <f t="shared" ref="N71:O71" si="76">C71+L71</f>
        <v>86</v>
      </c>
      <c r="O71" s="37">
        <f t="shared" si="76"/>
        <v>7</v>
      </c>
      <c r="P71" s="50" t="s">
        <v>60</v>
      </c>
      <c r="Q71" s="50" t="s">
        <v>60</v>
      </c>
      <c r="R71" s="50" t="s">
        <v>60</v>
      </c>
      <c r="S71" s="51">
        <f t="shared" si="4"/>
        <v>9</v>
      </c>
      <c r="T71" s="52">
        <f t="shared" si="5"/>
        <v>0</v>
      </c>
      <c r="U71" s="52"/>
      <c r="V71" s="51">
        <f t="shared" si="6"/>
        <v>0</v>
      </c>
      <c r="W71" s="52">
        <f t="shared" si="7"/>
        <v>-9</v>
      </c>
      <c r="X71" s="35">
        <f t="shared" si="12"/>
        <v>67</v>
      </c>
      <c r="Y71" s="35" t="str">
        <f t="shared" si="8"/>
        <v>Y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08/22/26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desc"",0)"),"Pulkit Mathur")</f>
        <v>Pulkit Mathur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IFERROR(__xludf.DUMMYFUNCTION("""COMPUTED_VALUE"""),1.0)</f>
        <v>1</v>
      </c>
      <c r="F83" s="2"/>
    </row>
    <row r="84">
      <c r="A84" s="2"/>
      <c r="B84" s="36" t="str">
        <f>IFERROR(__xludf.DUMMYFUNCTION("""COMPUTED_VALUE"""),"Tom Le")</f>
        <v>Tom Le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IFERROR(__xludf.DUMMYFUNCTION("""COMPUTED_VALUE"""),4.0)</f>
        <v>4</v>
      </c>
      <c r="F84" s="2"/>
    </row>
    <row r="85">
      <c r="A85" s="2"/>
      <c r="B85" s="36" t="str">
        <f>IFERROR(__xludf.DUMMYFUNCTION("""COMPUTED_VALUE"""),"Darren Wong")</f>
        <v>Darren Wong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IFERROR(__xludf.DUMMYFUNCTION("""COMPUTED_VALUE"""),3.0)</f>
        <v>3</v>
      </c>
      <c r="F85" s="2"/>
    </row>
    <row r="86">
      <c r="A86" s="2"/>
      <c r="B86" s="36" t="str">
        <f>IFERROR(__xludf.DUMMYFUNCTION("""COMPUTED_VALUE"""),"Matthew Huang")</f>
        <v>Matthew Huang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IFERROR(__xludf.DUMMYFUNCTION("""COMPUTED_VALUE"""),6.0)</f>
        <v>6</v>
      </c>
      <c r="F86" s="2"/>
    </row>
    <row r="87">
      <c r="A87" s="2"/>
      <c r="B87" s="36" t="str">
        <f>IFERROR(__xludf.DUMMYFUNCTION("""COMPUTED_VALUE"""),"Wayne Liu")</f>
        <v>Wayne Liu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IFERROR(__xludf.DUMMYFUNCTION("""COMPUTED_VALUE"""),7.0)</f>
        <v>7</v>
      </c>
      <c r="F87" s="2"/>
    </row>
    <row r="88">
      <c r="A88" s="2"/>
      <c r="B88" s="36" t="str">
        <f>IFERROR(__xludf.DUMMYFUNCTION("""COMPUTED_VALUE"""),"Troy Wong")</f>
        <v>Troy Wong</v>
      </c>
      <c r="C88" s="125">
        <f>IFERROR(__xludf.DUMMYFUNCTION("""COMPUTED_VALUE"""),18.0)</f>
        <v>18</v>
      </c>
      <c r="D88" s="125">
        <f>IFERROR(__xludf.DUMMYFUNCTION("""COMPUTED_VALUE"""),3.0)</f>
        <v>3</v>
      </c>
      <c r="E88" s="125">
        <f>IFERROR(__xludf.DUMMYFUNCTION("""COMPUTED_VALUE"""),8.0)</f>
        <v>8</v>
      </c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10"")"),"Troy Wong")</f>
        <v>Troy Wong</v>
      </c>
      <c r="C102" s="125">
        <f>IFERROR(__xludf.DUMMYFUNCTION("""COMPUTED_VALUE"""),12.0)</f>
        <v>12</v>
      </c>
      <c r="D102" s="125">
        <f t="shared" ref="D102:D111" si="77">VLOOKUP(B102,indirect($AC$2&amp;"!B$5:X$79"),23, false)</f>
        <v>48</v>
      </c>
      <c r="E102" s="125">
        <f t="shared" ref="E102:E111" si="78">VLOOKUP(B102,B$5:X$71,23, false)</f>
        <v>36</v>
      </c>
      <c r="F102" s="125">
        <f t="shared" ref="F102:F111" si="79">VLOOKUP(B102,indirect($AC$2&amp;"!B$5:U$79"),11, false)</f>
        <v>18</v>
      </c>
      <c r="G102" s="125">
        <f t="shared" ref="G102:G111" si="80">VLOOKUP(B102,indirect($AC$2&amp;"!B$5:U$79"),6, false)</f>
        <v>8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IFERROR(__xludf.DUMMYFUNCTION("""COMPUTED_VALUE"""),"Matthew Huang")</f>
        <v>Matthew Huang</v>
      </c>
      <c r="C103" s="125">
        <f>IFERROR(__xludf.DUMMYFUNCTION("""COMPUTED_VALUE"""),8.0)</f>
        <v>8</v>
      </c>
      <c r="D103" s="125">
        <f t="shared" si="77"/>
        <v>32</v>
      </c>
      <c r="E103" s="125">
        <f t="shared" si="78"/>
        <v>24</v>
      </c>
      <c r="F103" s="125">
        <f t="shared" si="79"/>
        <v>18</v>
      </c>
      <c r="G103" s="125">
        <f t="shared" si="80"/>
        <v>6</v>
      </c>
      <c r="L103" s="125" t="str">
        <f t="shared" si="81"/>
        <v>ok</v>
      </c>
    </row>
    <row r="104">
      <c r="A104" s="2"/>
      <c r="B104" s="36" t="str">
        <f>IFERROR(__xludf.DUMMYFUNCTION("""COMPUTED_VALUE"""),"Wayne Liu")</f>
        <v>Wayne Liu</v>
      </c>
      <c r="C104" s="125">
        <f>IFERROR(__xludf.DUMMYFUNCTION("""COMPUTED_VALUE"""),8.0)</f>
        <v>8</v>
      </c>
      <c r="D104" s="125">
        <f t="shared" si="77"/>
        <v>35</v>
      </c>
      <c r="E104" s="125">
        <f t="shared" si="78"/>
        <v>27</v>
      </c>
      <c r="F104" s="125">
        <f t="shared" si="79"/>
        <v>18</v>
      </c>
      <c r="G104" s="125">
        <f t="shared" si="80"/>
        <v>7</v>
      </c>
      <c r="L104" s="125" t="str">
        <f t="shared" si="81"/>
        <v>ok</v>
      </c>
    </row>
    <row r="105">
      <c r="A105" s="2"/>
      <c r="B105" s="36" t="str">
        <f>IFERROR(__xludf.DUMMYFUNCTION("""COMPUTED_VALUE"""),"Tom Le")</f>
        <v>Tom Le</v>
      </c>
      <c r="C105" s="125">
        <f>IFERROR(__xludf.DUMMYFUNCTION("""COMPUTED_VALUE"""),7.0)</f>
        <v>7</v>
      </c>
      <c r="D105" s="125">
        <f t="shared" si="77"/>
        <v>18</v>
      </c>
      <c r="E105" s="125">
        <f t="shared" si="78"/>
        <v>11</v>
      </c>
      <c r="F105" s="125">
        <f t="shared" si="79"/>
        <v>19</v>
      </c>
      <c r="G105" s="125">
        <f t="shared" si="80"/>
        <v>4</v>
      </c>
      <c r="L105" s="125" t="str">
        <f t="shared" si="81"/>
        <v>ok</v>
      </c>
    </row>
    <row r="106">
      <c r="A106" s="2"/>
      <c r="B106" s="36" t="str">
        <f>IFERROR(__xludf.DUMMYFUNCTION("""COMPUTED_VALUE"""),"Coco Yan")</f>
        <v>Coco Yan</v>
      </c>
      <c r="C106" s="125">
        <f>IFERROR(__xludf.DUMMYFUNCTION("""COMPUTED_VALUE"""),6.0)</f>
        <v>6</v>
      </c>
      <c r="D106" s="125">
        <f t="shared" si="77"/>
        <v>51</v>
      </c>
      <c r="E106" s="125">
        <f t="shared" si="78"/>
        <v>45</v>
      </c>
      <c r="F106" s="125">
        <f t="shared" si="79"/>
        <v>13</v>
      </c>
      <c r="G106" s="125">
        <f t="shared" si="80"/>
        <v>0</v>
      </c>
      <c r="L106" s="125" t="str">
        <f t="shared" si="81"/>
        <v>ok</v>
      </c>
    </row>
    <row r="107">
      <c r="A107" s="2"/>
      <c r="B107" s="36" t="str">
        <f>IFERROR(__xludf.DUMMYFUNCTION("""COMPUTED_VALUE"""),"Darren Wong")</f>
        <v>Darren Wong</v>
      </c>
      <c r="C107" s="125">
        <f>IFERROR(__xludf.DUMMYFUNCTION("""COMPUTED_VALUE"""),5.0)</f>
        <v>5</v>
      </c>
      <c r="D107" s="125">
        <f t="shared" si="77"/>
        <v>12</v>
      </c>
      <c r="E107" s="125">
        <f t="shared" si="78"/>
        <v>7</v>
      </c>
      <c r="F107" s="125">
        <f t="shared" si="79"/>
        <v>18</v>
      </c>
      <c r="G107" s="125">
        <f t="shared" si="80"/>
        <v>3</v>
      </c>
      <c r="L107" s="125" t="str">
        <f t="shared" si="81"/>
        <v>ok</v>
      </c>
    </row>
    <row r="108">
      <c r="A108" s="2"/>
      <c r="B108" s="36" t="str">
        <f>IFERROR(__xludf.DUMMYFUNCTION("""COMPUTED_VALUE"""),"Basudev Thoppai Vidyasankar")</f>
        <v>Basudev Thoppai Vidyasankar</v>
      </c>
      <c r="C108" s="125">
        <f>IFERROR(__xludf.DUMMYFUNCTION("""COMPUTED_VALUE"""),5.0)</f>
        <v>5</v>
      </c>
      <c r="D108" s="125">
        <f t="shared" si="77"/>
        <v>24</v>
      </c>
      <c r="E108" s="125">
        <f t="shared" si="78"/>
        <v>19</v>
      </c>
      <c r="F108" s="125">
        <f t="shared" si="79"/>
        <v>16</v>
      </c>
      <c r="G108" s="125">
        <f t="shared" si="80"/>
        <v>5</v>
      </c>
      <c r="L108" s="125" t="str">
        <f t="shared" si="81"/>
        <v>ok</v>
      </c>
    </row>
    <row r="109">
      <c r="A109" s="2"/>
      <c r="B109" s="36" t="str">
        <f>IFERROR(__xludf.DUMMYFUNCTION("""COMPUTED_VALUE"""),"Manuel Rivera")</f>
        <v>Manuel Rivera</v>
      </c>
      <c r="C109" s="125">
        <f>IFERROR(__xludf.DUMMYFUNCTION("""COMPUTED_VALUE"""),5.0)</f>
        <v>5</v>
      </c>
      <c r="D109" s="125">
        <f t="shared" si="77"/>
        <v>49</v>
      </c>
      <c r="E109" s="125">
        <f t="shared" si="78"/>
        <v>44</v>
      </c>
      <c r="F109" s="125">
        <f t="shared" si="79"/>
        <v>13</v>
      </c>
      <c r="G109" s="125">
        <f t="shared" si="80"/>
        <v>0</v>
      </c>
      <c r="L109" s="125" t="str">
        <f t="shared" si="81"/>
        <v>ok</v>
      </c>
    </row>
    <row r="110">
      <c r="A110" s="2"/>
      <c r="B110" s="36" t="str">
        <f>IFERROR(__xludf.DUMMYFUNCTION("""COMPUTED_VALUE"""),"Santosh Sundaresan")</f>
        <v>Santosh Sundaresan</v>
      </c>
      <c r="C110" s="125">
        <f>IFERROR(__xludf.DUMMYFUNCTION("""COMPUTED_VALUE"""),5.0)</f>
        <v>5</v>
      </c>
      <c r="D110" s="125">
        <f t="shared" si="77"/>
        <v>61</v>
      </c>
      <c r="E110" s="125">
        <f t="shared" si="78"/>
        <v>56</v>
      </c>
      <c r="F110" s="125">
        <f t="shared" si="79"/>
        <v>13</v>
      </c>
      <c r="G110" s="125">
        <f t="shared" si="80"/>
        <v>0</v>
      </c>
      <c r="L110" s="125" t="str">
        <f t="shared" si="81"/>
        <v>ok</v>
      </c>
    </row>
    <row r="111">
      <c r="A111" s="2"/>
      <c r="B111" s="36" t="str">
        <f>IFERROR(__xludf.DUMMYFUNCTION("""COMPUTED_VALUE"""),"Sanjaye Elayattu")</f>
        <v>Sanjaye Elayattu</v>
      </c>
      <c r="C111" s="125">
        <f>IFERROR(__xludf.DUMMYFUNCTION("""COMPUTED_VALUE"""),4.0)</f>
        <v>4</v>
      </c>
      <c r="D111" s="125">
        <f t="shared" si="77"/>
        <v>27</v>
      </c>
      <c r="E111" s="125">
        <f t="shared" si="78"/>
        <v>23</v>
      </c>
      <c r="F111" s="125">
        <f t="shared" si="79"/>
        <v>15</v>
      </c>
      <c r="G111" s="125">
        <f t="shared" si="80"/>
        <v>5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9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Rudy Tatang</v>
      </c>
      <c r="C120" s="125">
        <f t="shared" si="82"/>
        <v>127</v>
      </c>
      <c r="D120" s="125">
        <f t="shared" si="82"/>
        <v>12</v>
      </c>
      <c r="E120" s="125">
        <f t="shared" si="82"/>
        <v>16</v>
      </c>
      <c r="F120" s="2"/>
    </row>
    <row r="121">
      <c r="A121" s="125">
        <f t="shared" ref="A121:E121" si="83">A6</f>
        <v>2</v>
      </c>
      <c r="B121" s="36" t="str">
        <f t="shared" si="83"/>
        <v>Andrew Yao</v>
      </c>
      <c r="C121" s="125">
        <f t="shared" si="83"/>
        <v>122</v>
      </c>
      <c r="D121" s="125">
        <f t="shared" si="83"/>
        <v>12</v>
      </c>
      <c r="E121" s="125">
        <f t="shared" si="83"/>
        <v>13.625</v>
      </c>
      <c r="F121" s="2"/>
    </row>
    <row r="122">
      <c r="A122" s="125">
        <f t="shared" ref="A122:E122" si="84">A7</f>
        <v>3</v>
      </c>
      <c r="B122" s="36" t="str">
        <f t="shared" si="84"/>
        <v>Pulkit Mathur</v>
      </c>
      <c r="C122" s="125">
        <f t="shared" si="84"/>
        <v>119</v>
      </c>
      <c r="D122" s="125">
        <f t="shared" si="84"/>
        <v>16</v>
      </c>
      <c r="E122" s="125">
        <f t="shared" si="84"/>
        <v>14.42857143</v>
      </c>
      <c r="F122" s="2"/>
    </row>
    <row r="123">
      <c r="A123" s="125">
        <f t="shared" ref="A123:E123" si="85">A8</f>
        <v>4</v>
      </c>
      <c r="B123" s="36" t="str">
        <f t="shared" si="85"/>
        <v>Suleman Alidina</v>
      </c>
      <c r="C123" s="125">
        <f t="shared" si="85"/>
        <v>116</v>
      </c>
      <c r="D123" s="125">
        <f t="shared" si="85"/>
        <v>10</v>
      </c>
      <c r="E123" s="125">
        <f t="shared" si="85"/>
        <v>13.6</v>
      </c>
      <c r="F123" s="2"/>
    </row>
    <row r="124">
      <c r="A124" s="125">
        <f t="shared" ref="A124:E124" si="86">A9</f>
        <v>5</v>
      </c>
      <c r="B124" s="36" t="str">
        <f t="shared" si="86"/>
        <v>Scott Li</v>
      </c>
      <c r="C124" s="125">
        <f t="shared" si="86"/>
        <v>115</v>
      </c>
      <c r="D124" s="125">
        <f t="shared" si="86"/>
        <v>12</v>
      </c>
      <c r="E124" s="125">
        <f t="shared" si="86"/>
        <v>12.75</v>
      </c>
      <c r="F124" s="2"/>
    </row>
    <row r="125">
      <c r="A125" s="125">
        <f t="shared" ref="A125:E125" si="87">A10</f>
        <v>6</v>
      </c>
      <c r="B125" s="36" t="str">
        <f t="shared" si="87"/>
        <v>David Shin</v>
      </c>
      <c r="C125" s="125">
        <f t="shared" si="87"/>
        <v>114</v>
      </c>
      <c r="D125" s="125">
        <f t="shared" si="87"/>
        <v>12</v>
      </c>
      <c r="E125" s="125">
        <f t="shared" si="87"/>
        <v>12.625</v>
      </c>
      <c r="F125" s="2"/>
    </row>
    <row r="126">
      <c r="A126" s="125">
        <f t="shared" ref="A126:E126" si="88">A11</f>
        <v>7</v>
      </c>
      <c r="B126" s="36" t="str">
        <f t="shared" si="88"/>
        <v>Darren Wong</v>
      </c>
      <c r="C126" s="125">
        <f t="shared" si="88"/>
        <v>112</v>
      </c>
      <c r="D126" s="125">
        <f t="shared" si="88"/>
        <v>11</v>
      </c>
      <c r="E126" s="125">
        <f t="shared" si="88"/>
        <v>15.75</v>
      </c>
      <c r="F126" s="2"/>
    </row>
    <row r="127">
      <c r="A127" s="125">
        <f t="shared" ref="A127:E127" si="89">A12</f>
        <v>8</v>
      </c>
      <c r="B127" s="36" t="str">
        <f t="shared" si="89"/>
        <v>Pavan Akkimsetty</v>
      </c>
      <c r="C127" s="125">
        <f t="shared" si="89"/>
        <v>111</v>
      </c>
      <c r="D127" s="125">
        <f t="shared" si="89"/>
        <v>10</v>
      </c>
      <c r="E127" s="125">
        <f t="shared" si="89"/>
        <v>12.71428571</v>
      </c>
      <c r="F127" s="2"/>
    </row>
    <row r="128">
      <c r="A128" s="125">
        <f t="shared" ref="A128:E128" si="90">A13</f>
        <v>9</v>
      </c>
      <c r="B128" s="36" t="str">
        <f t="shared" si="90"/>
        <v>Vinotkumar Nagappan</v>
      </c>
      <c r="C128" s="125">
        <f t="shared" si="90"/>
        <v>111</v>
      </c>
      <c r="D128" s="125">
        <f t="shared" si="90"/>
        <v>10</v>
      </c>
      <c r="E128" s="125">
        <f t="shared" si="90"/>
        <v>12.33333333</v>
      </c>
      <c r="F128" s="2"/>
    </row>
    <row r="129">
      <c r="A129" s="125">
        <f t="shared" ref="A129:E129" si="91">A14</f>
        <v>10</v>
      </c>
      <c r="B129" s="36" t="str">
        <f t="shared" si="91"/>
        <v>Jaya Sogata</v>
      </c>
      <c r="C129" s="125">
        <f t="shared" si="91"/>
        <v>111</v>
      </c>
      <c r="D129" s="125">
        <f t="shared" si="91"/>
        <v>9</v>
      </c>
      <c r="E129" s="125">
        <f t="shared" si="91"/>
        <v>12.6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ASC"")"),"Eric Tan")</f>
        <v>Eric Tan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IFERROR(__xludf.DUMMYFUNCTION("""COMPUTED_VALUE"""),"Ted Shen")</f>
        <v>Ted Shen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IFERROR(__xludf.DUMMYFUNCTION("""COMPUTED_VALUE"""),"Vinotkumar Nagappan")</f>
        <v>Vinotkumar Nagappan</v>
      </c>
      <c r="C139" s="2"/>
      <c r="D139" s="2"/>
      <c r="E139" s="2"/>
      <c r="F139" s="2"/>
      <c r="P139" s="36"/>
    </row>
    <row r="140">
      <c r="A140" s="125">
        <f t="shared" si="92"/>
        <v>0</v>
      </c>
      <c r="B140" s="36"/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08/22/26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IFERROR(__xludf.DUMMYFUNCTION("""COMPUTED_VALUE"""),"Andrew Yao")</f>
        <v>Andrew Yao</v>
      </c>
      <c r="C239" s="131">
        <f>IFERROR(__xludf.DUMMYFUNCTION("""COMPUTED_VALUE"""),5.0)</f>
        <v>5</v>
      </c>
      <c r="D239" s="131">
        <f>IFERROR(__xludf.DUMMYFUNCTION("""COMPUTED_VALUE"""),2.0)</f>
        <v>2</v>
      </c>
      <c r="E239" s="131">
        <f>IFERROR(__xludf.DUMMYFUNCTION("""COMPUTED_VALUE"""),6.0)</f>
        <v>6</v>
      </c>
      <c r="F239" s="131">
        <f>IFERROR(__xludf.DUMMYFUNCTION("""COMPUTED_VALUE"""),13.0)</f>
        <v>13</v>
      </c>
      <c r="G239" s="131">
        <f>IFERROR(__xludf.DUMMYFUNCTION("""COMPUTED_VALUE"""),1.0)</f>
        <v>1</v>
      </c>
    </row>
    <row r="240">
      <c r="A240" s="125">
        <f>IFERROR(__xludf.DUMMYFUNCTION("""COMPUTED_VALUE"""),1.0)</f>
        <v>1</v>
      </c>
      <c r="B240" s="36" t="str">
        <f>IFERROR(__xludf.DUMMYFUNCTION("""COMPUTED_VALUE"""),"Scott Li")</f>
        <v>Scott Li</v>
      </c>
      <c r="C240" s="131">
        <f>IFERROR(__xludf.DUMMYFUNCTION("""COMPUTED_VALUE"""),7.0)</f>
        <v>7</v>
      </c>
      <c r="D240" s="131">
        <f>IFERROR(__xludf.DUMMYFUNCTION("""COMPUTED_VALUE"""),2.0)</f>
        <v>2</v>
      </c>
      <c r="E240" s="131">
        <f>IFERROR(__xludf.DUMMYFUNCTION("""COMPUTED_VALUE"""),0.0)</f>
        <v>0</v>
      </c>
      <c r="F240" s="131">
        <f>IFERROR(__xludf.DUMMYFUNCTION("""COMPUTED_VALUE"""),9.0)</f>
        <v>9</v>
      </c>
      <c r="G240" s="131">
        <f>IFERROR(__xludf.DUMMYFUNCTION("""COMPUTED_VALUE"""),1.0)</f>
        <v>1</v>
      </c>
    </row>
    <row r="241">
      <c r="A241" s="125">
        <f>IFERROR(__xludf.DUMMYFUNCTION("""COMPUTED_VALUE"""),1.0)</f>
        <v>1</v>
      </c>
      <c r="B241" s="36" t="str">
        <f>IFERROR(__xludf.DUMMYFUNCTION("""COMPUTED_VALUE"""),"David Shin")</f>
        <v>David Shin</v>
      </c>
      <c r="C241" s="131">
        <f>IFERROR(__xludf.DUMMYFUNCTION("""COMPUTED_VALUE"""),5.0)</f>
        <v>5</v>
      </c>
      <c r="D241" s="131">
        <f>IFERROR(__xludf.DUMMYFUNCTION("""COMPUTED_VALUE"""),6.0)</f>
        <v>6</v>
      </c>
      <c r="E241" s="131">
        <f>IFERROR(__xludf.DUMMYFUNCTION("""COMPUTED_VALUE"""),0.0)</f>
        <v>0</v>
      </c>
      <c r="F241" s="131">
        <f>IFERROR(__xludf.DUMMYFUNCTION("""COMPUTED_VALUE"""),11.0)</f>
        <v>11</v>
      </c>
      <c r="G241" s="131">
        <f>IFERROR(__xludf.DUMMYFUNCTION("""COMPUTED_VALUE"""),1.0)</f>
        <v>1</v>
      </c>
    </row>
    <row r="242">
      <c r="A242" s="125">
        <f>IFERROR(__xludf.DUMMYFUNCTION("""COMPUTED_VALUE"""),1.0)</f>
        <v>1</v>
      </c>
      <c r="B242" s="36" t="str">
        <f>IFERROR(__xludf.DUMMYFUNCTION("""COMPUTED_VALUE"""),"Pulkit Mathur")</f>
        <v>Pulkit Mathur</v>
      </c>
      <c r="C242" s="131">
        <f>IFERROR(__xludf.DUMMYFUNCTION("""COMPUTED_VALUE"""),7.0)</f>
        <v>7</v>
      </c>
      <c r="D242" s="131">
        <f>IFERROR(__xludf.DUMMYFUNCTION("""COMPUTED_VALUE"""),6.0)</f>
        <v>6</v>
      </c>
      <c r="E242" s="131">
        <f>IFERROR(__xludf.DUMMYFUNCTION("""COMPUTED_VALUE"""),6.0)</f>
        <v>6</v>
      </c>
      <c r="F242" s="131">
        <f>IFERROR(__xludf.DUMMYFUNCTION("""COMPUTED_VALUE"""),19.0)</f>
        <v>19</v>
      </c>
      <c r="G242" s="131">
        <f>IFERROR(__xludf.DUMMYFUNCTION("""COMPUTED_VALUE"""),3.0)</f>
        <v>3</v>
      </c>
    </row>
    <row r="243">
      <c r="A243" s="132">
        <f>IFERROR(__xludf.DUMMYFUNCTION("""COMPUTED_VALUE"""),2.0)</f>
        <v>2</v>
      </c>
      <c r="B243" s="133" t="str">
        <f>IFERROR(__xludf.DUMMYFUNCTION("""COMPUTED_VALUE"""),"Suleman Alidina")</f>
        <v>Suleman Alidina</v>
      </c>
      <c r="C243" s="134">
        <f>IFERROR(__xludf.DUMMYFUNCTION("""COMPUTED_VALUE"""),6.0)</f>
        <v>6</v>
      </c>
      <c r="D243" s="134">
        <f>IFERROR(__xludf.DUMMYFUNCTION("""COMPUTED_VALUE"""),5.0)</f>
        <v>5</v>
      </c>
      <c r="E243" s="134">
        <f>IFERROR(__xludf.DUMMYFUNCTION("""COMPUTED_VALUE"""),6.0)</f>
        <v>6</v>
      </c>
      <c r="F243" s="134">
        <f>IFERROR(__xludf.DUMMYFUNCTION("""COMPUTED_VALUE"""),17.0)</f>
        <v>17</v>
      </c>
      <c r="G243" s="134">
        <f>IFERROR(__xludf.DUMMYFUNCTION("""COMPUTED_VALUE"""),2.0)</f>
        <v>2</v>
      </c>
    </row>
    <row r="244">
      <c r="A244" s="132">
        <f>IFERROR(__xludf.DUMMYFUNCTION("""COMPUTED_VALUE"""),2.0)</f>
        <v>2</v>
      </c>
      <c r="B244" s="133" t="str">
        <f>IFERROR(__xludf.DUMMYFUNCTION("""COMPUTED_VALUE"""),"Pavan Akkimsetty")</f>
        <v>Pavan Akkimsetty</v>
      </c>
      <c r="C244" s="134">
        <f>IFERROR(__xludf.DUMMYFUNCTION("""COMPUTED_VALUE"""),1.0)</f>
        <v>1</v>
      </c>
      <c r="D244" s="134">
        <f>IFERROR(__xludf.DUMMYFUNCTION("""COMPUTED_VALUE"""),7.0)</f>
        <v>7</v>
      </c>
      <c r="E244" s="134">
        <f>IFERROR(__xludf.DUMMYFUNCTION("""COMPUTED_VALUE"""),6.0)</f>
        <v>6</v>
      </c>
      <c r="F244" s="134">
        <f>IFERROR(__xludf.DUMMYFUNCTION("""COMPUTED_VALUE"""),14.0)</f>
        <v>14</v>
      </c>
      <c r="G244" s="134">
        <f>IFERROR(__xludf.DUMMYFUNCTION("""COMPUTED_VALUE"""),2.0)</f>
        <v>2</v>
      </c>
    </row>
    <row r="245">
      <c r="A245" s="132">
        <f>IFERROR(__xludf.DUMMYFUNCTION("""COMPUTED_VALUE"""),2.0)</f>
        <v>2</v>
      </c>
      <c r="B245" s="133" t="str">
        <f>IFERROR(__xludf.DUMMYFUNCTION("""COMPUTED_VALUE"""),"Ted Shen")</f>
        <v>Ted Shen</v>
      </c>
      <c r="C245" s="134">
        <f>IFERROR(__xludf.DUMMYFUNCTION("""COMPUTED_VALUE"""),1.0)</f>
        <v>1</v>
      </c>
      <c r="D245" s="134">
        <f>IFERROR(__xludf.DUMMYFUNCTION("""COMPUTED_VALUE"""),5.0)</f>
        <v>5</v>
      </c>
      <c r="E245" s="134">
        <f>IFERROR(__xludf.DUMMYFUNCTION("""COMPUTED_VALUE"""),3.0)</f>
        <v>3</v>
      </c>
      <c r="F245" s="134">
        <f>IFERROR(__xludf.DUMMYFUNCTION("""COMPUTED_VALUE"""),9.0)</f>
        <v>9</v>
      </c>
      <c r="G245" s="134">
        <f>IFERROR(__xludf.DUMMYFUNCTION("""COMPUTED_VALUE"""),0.0)</f>
        <v>0</v>
      </c>
    </row>
    <row r="246">
      <c r="A246" s="132">
        <f>IFERROR(__xludf.DUMMYFUNCTION("""COMPUTED_VALUE"""),2.0)</f>
        <v>2</v>
      </c>
      <c r="B246" s="133" t="str">
        <f>IFERROR(__xludf.DUMMYFUNCTION("""COMPUTED_VALUE"""),"Vinotkumar Nagappan")</f>
        <v>Vinotkumar Nagappan</v>
      </c>
      <c r="C246" s="134">
        <f>IFERROR(__xludf.DUMMYFUNCTION("""COMPUTED_VALUE"""),6.0)</f>
        <v>6</v>
      </c>
      <c r="D246" s="134">
        <f>IFERROR(__xludf.DUMMYFUNCTION("""COMPUTED_VALUE"""),7.0)</f>
        <v>7</v>
      </c>
      <c r="E246" s="134">
        <f>IFERROR(__xludf.DUMMYFUNCTION("""COMPUTED_VALUE"""),3.0)</f>
        <v>3</v>
      </c>
      <c r="F246" s="134">
        <f>IFERROR(__xludf.DUMMYFUNCTION("""COMPUTED_VALUE"""),16.0)</f>
        <v>16</v>
      </c>
      <c r="G246" s="134">
        <f>IFERROR(__xludf.DUMMYFUNCTION("""COMPUTED_VALUE"""),2.0)</f>
        <v>2</v>
      </c>
    </row>
    <row r="247">
      <c r="A247" s="125">
        <f>IFERROR(__xludf.DUMMYFUNCTION("""COMPUTED_VALUE"""),3.0)</f>
        <v>3</v>
      </c>
      <c r="B247" s="36" t="str">
        <f>IFERROR(__xludf.DUMMYFUNCTION("""COMPUTED_VALUE"""),"Darren Wong")</f>
        <v>Darren Wong</v>
      </c>
      <c r="C247" s="131">
        <f>IFERROR(__xludf.DUMMYFUNCTION("""COMPUTED_VALUE"""),6.0)</f>
        <v>6</v>
      </c>
      <c r="D247" s="131">
        <f>IFERROR(__xludf.DUMMYFUNCTION("""COMPUTED_VALUE"""),6.0)</f>
        <v>6</v>
      </c>
      <c r="E247" s="131">
        <f>IFERROR(__xludf.DUMMYFUNCTION("""COMPUTED_VALUE"""),6.0)</f>
        <v>6</v>
      </c>
      <c r="F247" s="131">
        <f>IFERROR(__xludf.DUMMYFUNCTION("""COMPUTED_VALUE"""),18.0)</f>
        <v>18</v>
      </c>
      <c r="G247" s="131">
        <f>IFERROR(__xludf.DUMMYFUNCTION("""COMPUTED_VALUE"""),3.0)</f>
        <v>3</v>
      </c>
    </row>
    <row r="248">
      <c r="A248" s="125">
        <f>IFERROR(__xludf.DUMMYFUNCTION("""COMPUTED_VALUE"""),3.0)</f>
        <v>3</v>
      </c>
      <c r="B248" s="36" t="str">
        <f>IFERROR(__xludf.DUMMYFUNCTION("""COMPUTED_VALUE"""),"Sandeep Kamalon")</f>
        <v>Sandeep Kamalon</v>
      </c>
      <c r="C248" s="131">
        <f>IFERROR(__xludf.DUMMYFUNCTION("""COMPUTED_VALUE"""),3.0)</f>
        <v>3</v>
      </c>
      <c r="D248" s="131">
        <f>IFERROR(__xludf.DUMMYFUNCTION("""COMPUTED_VALUE"""),6.0)</f>
        <v>6</v>
      </c>
      <c r="E248" s="131">
        <f>IFERROR(__xludf.DUMMYFUNCTION("""COMPUTED_VALUE"""),3.0)</f>
        <v>3</v>
      </c>
      <c r="F248" s="131">
        <f>IFERROR(__xludf.DUMMYFUNCTION("""COMPUTED_VALUE"""),12.0)</f>
        <v>12</v>
      </c>
      <c r="G248" s="131">
        <f>IFERROR(__xludf.DUMMYFUNCTION("""COMPUTED_VALUE"""),1.0)</f>
        <v>1</v>
      </c>
    </row>
    <row r="249">
      <c r="A249" s="125">
        <f>IFERROR(__xludf.DUMMYFUNCTION("""COMPUTED_VALUE"""),3.0)</f>
        <v>3</v>
      </c>
      <c r="B249" s="36" t="str">
        <f>IFERROR(__xludf.DUMMYFUNCTION("""COMPUTED_VALUE"""),"Chinna Ponnaganti")</f>
        <v>Chinna Ponnaganti</v>
      </c>
      <c r="C249" s="131">
        <f>IFERROR(__xludf.DUMMYFUNCTION("""COMPUTED_VALUE"""),3.0)</f>
        <v>3</v>
      </c>
      <c r="D249" s="131">
        <f>IFERROR(__xludf.DUMMYFUNCTION("""COMPUTED_VALUE"""),4.0)</f>
        <v>4</v>
      </c>
      <c r="E249" s="131">
        <f>IFERROR(__xludf.DUMMYFUNCTION("""COMPUTED_VALUE"""),6.0)</f>
        <v>6</v>
      </c>
      <c r="F249" s="131">
        <f>IFERROR(__xludf.DUMMYFUNCTION("""COMPUTED_VALUE"""),13.0)</f>
        <v>13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IFERROR(__xludf.DUMMYFUNCTION("""COMPUTED_VALUE"""),"Erik Hoeckmann")</f>
        <v>Erik Hoeckmann</v>
      </c>
      <c r="C250" s="131">
        <f>IFERROR(__xludf.DUMMYFUNCTION("""COMPUTED_VALUE"""),6.0)</f>
        <v>6</v>
      </c>
      <c r="D250" s="131">
        <f>IFERROR(__xludf.DUMMYFUNCTION("""COMPUTED_VALUE"""),4.0)</f>
        <v>4</v>
      </c>
      <c r="E250" s="131">
        <f>IFERROR(__xludf.DUMMYFUNCTION("""COMPUTED_VALUE"""),3.0)</f>
        <v>3</v>
      </c>
      <c r="F250" s="131">
        <f>IFERROR(__xludf.DUMMYFUNCTION("""COMPUTED_VALUE"""),13.0)</f>
        <v>13</v>
      </c>
      <c r="G250" s="131">
        <f>IFERROR(__xludf.DUMMYFUNCTION("""COMPUTED_VALUE"""),1.0)</f>
        <v>1</v>
      </c>
    </row>
    <row r="251">
      <c r="A251" s="132">
        <f>IFERROR(__xludf.DUMMYFUNCTION("""COMPUTED_VALUE"""),4.0)</f>
        <v>4</v>
      </c>
      <c r="B251" s="133" t="str">
        <f>IFERROR(__xludf.DUMMYFUNCTION("""COMPUTED_VALUE"""),"Manish Anand")</f>
        <v>Manish Anand</v>
      </c>
      <c r="C251" s="134">
        <f>IFERROR(__xludf.DUMMYFUNCTION("""COMPUTED_VALUE"""),7.0)</f>
        <v>7</v>
      </c>
      <c r="D251" s="134">
        <f>IFERROR(__xludf.DUMMYFUNCTION("""COMPUTED_VALUE"""),2.0)</f>
        <v>2</v>
      </c>
      <c r="E251" s="134">
        <f>IFERROR(__xludf.DUMMYFUNCTION("""COMPUTED_VALUE"""),2.0)</f>
        <v>2</v>
      </c>
      <c r="F251" s="134">
        <f>IFERROR(__xludf.DUMMYFUNCTION("""COMPUTED_VALUE"""),11.0)</f>
        <v>11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IFERROR(__xludf.DUMMYFUNCTION("""COMPUTED_VALUE"""),"Rajasekar Ramasamy")</f>
        <v>Rajasekar Ramasamy</v>
      </c>
      <c r="C252" s="134">
        <f>IFERROR(__xludf.DUMMYFUNCTION("""COMPUTED_VALUE"""),5.0)</f>
        <v>5</v>
      </c>
      <c r="D252" s="134">
        <f>IFERROR(__xludf.DUMMYFUNCTION("""COMPUTED_VALUE"""),6.0)</f>
        <v>6</v>
      </c>
      <c r="E252" s="134">
        <f>IFERROR(__xludf.DUMMYFUNCTION("""COMPUTED_VALUE"""),2.0)</f>
        <v>2</v>
      </c>
      <c r="F252" s="134">
        <f>IFERROR(__xludf.DUMMYFUNCTION("""COMPUTED_VALUE"""),13.0)</f>
        <v>13</v>
      </c>
      <c r="G252" s="134">
        <f>IFERROR(__xludf.DUMMYFUNCTION("""COMPUTED_VALUE"""),1.0)</f>
        <v>1</v>
      </c>
    </row>
    <row r="253">
      <c r="A253" s="132">
        <f>IFERROR(__xludf.DUMMYFUNCTION("""COMPUTED_VALUE"""),4.0)</f>
        <v>4</v>
      </c>
      <c r="B253" s="133" t="str">
        <f>IFERROR(__xludf.DUMMYFUNCTION("""COMPUTED_VALUE"""),"Tom Le")</f>
        <v>Tom Le</v>
      </c>
      <c r="C253" s="134">
        <f>IFERROR(__xludf.DUMMYFUNCTION("""COMPUTED_VALUE"""),7.0)</f>
        <v>7</v>
      </c>
      <c r="D253" s="134">
        <f>IFERROR(__xludf.DUMMYFUNCTION("""COMPUTED_VALUE"""),6.0)</f>
        <v>6</v>
      </c>
      <c r="E253" s="134">
        <f>IFERROR(__xludf.DUMMYFUNCTION("""COMPUTED_VALUE"""),6.0)</f>
        <v>6</v>
      </c>
      <c r="F253" s="134">
        <f>IFERROR(__xludf.DUMMYFUNCTION("""COMPUTED_VALUE"""),19.0)</f>
        <v>19</v>
      </c>
      <c r="G253" s="134">
        <f>IFERROR(__xludf.DUMMYFUNCTION("""COMPUTED_VALUE"""),3.0)</f>
        <v>3</v>
      </c>
    </row>
    <row r="254">
      <c r="A254" s="132">
        <f>IFERROR(__xludf.DUMMYFUNCTION("""COMPUTED_VALUE"""),4.0)</f>
        <v>4</v>
      </c>
      <c r="B254" s="133" t="str">
        <f>IFERROR(__xludf.DUMMYFUNCTION("""COMPUTED_VALUE"""),"Jonathan Phan")</f>
        <v>Jonathan Phan</v>
      </c>
      <c r="C254" s="134">
        <f>IFERROR(__xludf.DUMMYFUNCTION("""COMPUTED_VALUE"""),5.0)</f>
        <v>5</v>
      </c>
      <c r="D254" s="134">
        <f>IFERROR(__xludf.DUMMYFUNCTION("""COMPUTED_VALUE"""),2.0)</f>
        <v>2</v>
      </c>
      <c r="E254" s="134">
        <f>IFERROR(__xludf.DUMMYFUNCTION("""COMPUTED_VALUE"""),6.0)</f>
        <v>6</v>
      </c>
      <c r="F254" s="134">
        <f>IFERROR(__xludf.DUMMYFUNCTION("""COMPUTED_VALUE"""),13.0)</f>
        <v>13</v>
      </c>
      <c r="G254" s="134">
        <f>IFERROR(__xludf.DUMMYFUNCTION("""COMPUTED_VALUE"""),1.0)</f>
        <v>1</v>
      </c>
    </row>
    <row r="255">
      <c r="A255" s="125">
        <f>IFERROR(__xludf.DUMMYFUNCTION("""COMPUTED_VALUE"""),5.0)</f>
        <v>5</v>
      </c>
      <c r="B255" s="36" t="str">
        <f>IFERROR(__xludf.DUMMYFUNCTION("""COMPUTED_VALUE"""),"Ethan Gu")</f>
        <v>Ethan Gu</v>
      </c>
      <c r="C255" s="131">
        <f>IFERROR(__xludf.DUMMYFUNCTION("""COMPUTED_VALUE"""),3.0)</f>
        <v>3</v>
      </c>
      <c r="D255" s="131">
        <f>IFERROR(__xludf.DUMMYFUNCTION("""COMPUTED_VALUE"""),3.0)</f>
        <v>3</v>
      </c>
      <c r="E255" s="131">
        <f>IFERROR(__xludf.DUMMYFUNCTION("""COMPUTED_VALUE"""),4.0)</f>
        <v>4</v>
      </c>
      <c r="F255" s="131">
        <f>IFERROR(__xludf.DUMMYFUNCTION("""COMPUTED_VALUE"""),10.0)</f>
        <v>10</v>
      </c>
      <c r="G255" s="131">
        <f>IFERROR(__xludf.DUMMYFUNCTION("""COMPUTED_VALUE"""),0.0)</f>
        <v>0</v>
      </c>
    </row>
    <row r="256">
      <c r="A256" s="125">
        <f>IFERROR(__xludf.DUMMYFUNCTION("""COMPUTED_VALUE"""),5.0)</f>
        <v>5</v>
      </c>
      <c r="B256" s="36" t="str">
        <f>IFERROR(__xludf.DUMMYFUNCTION("""COMPUTED_VALUE"""),"Basudev Thoppai Vidyasankar")</f>
        <v>Basudev Thoppai Vidyasankar</v>
      </c>
      <c r="C256" s="131">
        <f>IFERROR(__xludf.DUMMYFUNCTION("""COMPUTED_VALUE"""),6.0)</f>
        <v>6</v>
      </c>
      <c r="D256" s="131">
        <f>IFERROR(__xludf.DUMMYFUNCTION("""COMPUTED_VALUE"""),6.0)</f>
        <v>6</v>
      </c>
      <c r="E256" s="131">
        <f>IFERROR(__xludf.DUMMYFUNCTION("""COMPUTED_VALUE"""),4.0)</f>
        <v>4</v>
      </c>
      <c r="F256" s="131">
        <f>IFERROR(__xludf.DUMMYFUNCTION("""COMPUTED_VALUE"""),16.0)</f>
        <v>16</v>
      </c>
      <c r="G256" s="131">
        <f>IFERROR(__xludf.DUMMYFUNCTION("""COMPUTED_VALUE"""),2.0)</f>
        <v>2</v>
      </c>
    </row>
    <row r="257">
      <c r="A257" s="125">
        <f>IFERROR(__xludf.DUMMYFUNCTION("""COMPUTED_VALUE"""),5.0)</f>
        <v>5</v>
      </c>
      <c r="B257" s="36" t="str">
        <f>IFERROR(__xludf.DUMMYFUNCTION("""COMPUTED_VALUE"""),"Luis Hsu")</f>
        <v>Luis Hsu</v>
      </c>
      <c r="C257" s="131">
        <f>IFERROR(__xludf.DUMMYFUNCTION("""COMPUTED_VALUE"""),6.0)</f>
        <v>6</v>
      </c>
      <c r="D257" s="131">
        <f>IFERROR(__xludf.DUMMYFUNCTION("""COMPUTED_VALUE"""),3.0)</f>
        <v>3</v>
      </c>
      <c r="E257" s="131">
        <f>IFERROR(__xludf.DUMMYFUNCTION("""COMPUTED_VALUE"""),6.0)</f>
        <v>6</v>
      </c>
      <c r="F257" s="131">
        <f>IFERROR(__xludf.DUMMYFUNCTION("""COMPUTED_VALUE"""),15.0)</f>
        <v>15</v>
      </c>
      <c r="G257" s="131">
        <f>IFERROR(__xludf.DUMMYFUNCTION("""COMPUTED_VALUE"""),2.0)</f>
        <v>2</v>
      </c>
    </row>
    <row r="258">
      <c r="A258" s="125">
        <f>IFERROR(__xludf.DUMMYFUNCTION("""COMPUTED_VALUE"""),5.0)</f>
        <v>5</v>
      </c>
      <c r="B258" s="36" t="str">
        <f>IFERROR(__xludf.DUMMYFUNCTION("""COMPUTED_VALUE"""),"Sanjaye Elayattu")</f>
        <v>Sanjaye Elayattu</v>
      </c>
      <c r="C258" s="131">
        <f>IFERROR(__xludf.DUMMYFUNCTION("""COMPUTED_VALUE"""),3.0)</f>
        <v>3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IFERROR(__xludf.DUMMYFUNCTION("""COMPUTED_VALUE"""),15.0)</f>
        <v>15</v>
      </c>
      <c r="G258" s="131">
        <f>IFERROR(__xludf.DUMMYFUNCTION("""COMPUTED_VALUE"""),2.0)</f>
        <v>2</v>
      </c>
    </row>
    <row r="259">
      <c r="A259" s="132">
        <f>IFERROR(__xludf.DUMMYFUNCTION("""COMPUTED_VALUE"""),6.0)</f>
        <v>6</v>
      </c>
      <c r="B259" s="133" t="str">
        <f>IFERROR(__xludf.DUMMYFUNCTION("""COMPUTED_VALUE"""),"Tina Hanson")</f>
        <v>Tina Hanson</v>
      </c>
      <c r="C259" s="134">
        <f>IFERROR(__xludf.DUMMYFUNCTION("""COMPUTED_VALUE"""),3.0)</f>
        <v>3</v>
      </c>
      <c r="D259" s="134">
        <f>IFERROR(__xludf.DUMMYFUNCTION("""COMPUTED_VALUE"""),6.0)</f>
        <v>6</v>
      </c>
      <c r="E259" s="134">
        <f>IFERROR(__xludf.DUMMYFUNCTION("""COMPUTED_VALUE"""),3.0)</f>
        <v>3</v>
      </c>
      <c r="F259" s="134">
        <f>IFERROR(__xludf.DUMMYFUNCTION("""COMPUTED_VALUE"""),12.0)</f>
        <v>12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IFERROR(__xludf.DUMMYFUNCTION("""COMPUTED_VALUE"""),"Joe Luzzi")</f>
        <v>Joe Luzzi</v>
      </c>
      <c r="C260" s="134">
        <f>IFERROR(__xludf.DUMMYFUNCTION("""COMPUTED_VALUE"""),3.0)</f>
        <v>3</v>
      </c>
      <c r="D260" s="134">
        <f>IFERROR(__xludf.DUMMYFUNCTION("""COMPUTED_VALUE"""),4.0)</f>
        <v>4</v>
      </c>
      <c r="E260" s="134">
        <f>IFERROR(__xludf.DUMMYFUNCTION("""COMPUTED_VALUE"""),6.0)</f>
        <v>6</v>
      </c>
      <c r="F260" s="134">
        <f>IFERROR(__xludf.DUMMYFUNCTION("""COMPUTED_VALUE"""),13.0)</f>
        <v>13</v>
      </c>
      <c r="G260" s="134">
        <f>IFERROR(__xludf.DUMMYFUNCTION("""COMPUTED_VALUE"""),1.0)</f>
        <v>1</v>
      </c>
    </row>
    <row r="261">
      <c r="A261" s="132">
        <f>IFERROR(__xludf.DUMMYFUNCTION("""COMPUTED_VALUE"""),6.0)</f>
        <v>6</v>
      </c>
      <c r="B261" s="133" t="str">
        <f>IFERROR(__xludf.DUMMYFUNCTION("""COMPUTED_VALUE"""),"Allen Zhang")</f>
        <v>Allen Zhang</v>
      </c>
      <c r="C261" s="134">
        <f>IFERROR(__xludf.DUMMYFUNCTION("""COMPUTED_VALUE"""),6.0)</f>
        <v>6</v>
      </c>
      <c r="D261" s="134">
        <f>IFERROR(__xludf.DUMMYFUNCTION("""COMPUTED_VALUE"""),4.0)</f>
        <v>4</v>
      </c>
      <c r="E261" s="134">
        <f>IFERROR(__xludf.DUMMYFUNCTION("""COMPUTED_VALUE"""),3.0)</f>
        <v>3</v>
      </c>
      <c r="F261" s="134">
        <f>IFERROR(__xludf.DUMMYFUNCTION("""COMPUTED_VALUE"""),13.0)</f>
        <v>13</v>
      </c>
      <c r="G261" s="134">
        <f>IFERROR(__xludf.DUMMYFUNCTION("""COMPUTED_VALUE"""),1.0)</f>
        <v>1</v>
      </c>
    </row>
    <row r="262">
      <c r="A262" s="132">
        <f>IFERROR(__xludf.DUMMYFUNCTION("""COMPUTED_VALUE"""),6.0)</f>
        <v>6</v>
      </c>
      <c r="B262" s="133" t="str">
        <f>IFERROR(__xludf.DUMMYFUNCTION("""COMPUTED_VALUE"""),"Matthew Huang")</f>
        <v>Matthew Huang</v>
      </c>
      <c r="C262" s="134">
        <f>IFERROR(__xludf.DUMMYFUNCTION("""COMPUTED_VALUE"""),6.0)</f>
        <v>6</v>
      </c>
      <c r="D262" s="134">
        <f>IFERROR(__xludf.DUMMYFUNCTION("""COMPUTED_VALUE"""),6.0)</f>
        <v>6</v>
      </c>
      <c r="E262" s="134">
        <f>IFERROR(__xludf.DUMMYFUNCTION("""COMPUTED_VALUE"""),6.0)</f>
        <v>6</v>
      </c>
      <c r="F262" s="134">
        <f>IFERROR(__xludf.DUMMYFUNCTION("""COMPUTED_VALUE"""),18.0)</f>
        <v>18</v>
      </c>
      <c r="G262" s="134">
        <f>IFERROR(__xludf.DUMMYFUNCTION("""COMPUTED_VALUE"""),3.0)</f>
        <v>3</v>
      </c>
    </row>
    <row r="263">
      <c r="A263" s="125">
        <f>IFERROR(__xludf.DUMMYFUNCTION("""COMPUTED_VALUE"""),7.0)</f>
        <v>7</v>
      </c>
      <c r="B263" s="36" t="str">
        <f>IFERROR(__xludf.DUMMYFUNCTION("""COMPUTED_VALUE"""),"Naveen Raj")</f>
        <v>Naveen Raj</v>
      </c>
      <c r="C263" s="131">
        <f>IFERROR(__xludf.DUMMYFUNCTION("""COMPUTED_VALUE"""),1.0)</f>
        <v>1</v>
      </c>
      <c r="D263" s="131">
        <f>IFERROR(__xludf.DUMMYFUNCTION("""COMPUTED_VALUE"""),3.0)</f>
        <v>3</v>
      </c>
      <c r="E263" s="131">
        <f>IFERROR(__xludf.DUMMYFUNCTION("""COMPUTED_VALUE"""),6.0)</f>
        <v>6</v>
      </c>
      <c r="F263" s="131">
        <f>IFERROR(__xludf.DUMMYFUNCTION("""COMPUTED_VALUE"""),10.0)</f>
        <v>10</v>
      </c>
      <c r="G263" s="131">
        <f>IFERROR(__xludf.DUMMYFUNCTION("""COMPUTED_VALUE"""),1.0)</f>
        <v>1</v>
      </c>
    </row>
    <row r="264">
      <c r="A264" s="125">
        <f>IFERROR(__xludf.DUMMYFUNCTION("""COMPUTED_VALUE"""),7.0)</f>
        <v>7</v>
      </c>
      <c r="B264" s="36" t="str">
        <f>IFERROR(__xludf.DUMMYFUNCTION("""COMPUTED_VALUE"""),"Jimmy Awolesi")</f>
        <v>Jimmy Awolesi</v>
      </c>
      <c r="C264" s="131">
        <f>IFERROR(__xludf.DUMMYFUNCTION("""COMPUTED_VALUE"""),6.0)</f>
        <v>6</v>
      </c>
      <c r="D264" s="131">
        <f>IFERROR(__xludf.DUMMYFUNCTION("""COMPUTED_VALUE"""),3.0)</f>
        <v>3</v>
      </c>
      <c r="E264" s="131">
        <f>IFERROR(__xludf.DUMMYFUNCTION("""COMPUTED_VALUE"""),0.0)</f>
        <v>0</v>
      </c>
      <c r="F264" s="131">
        <f>IFERROR(__xludf.DUMMYFUNCTION("""COMPUTED_VALUE"""),9.0)</f>
        <v>9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IFERROR(__xludf.DUMMYFUNCTION("""COMPUTED_VALUE"""),"Wayne Liu")</f>
        <v>Wayne Liu</v>
      </c>
      <c r="C265" s="131">
        <f>IFERROR(__xludf.DUMMYFUNCTION("""COMPUTED_VALUE"""),6.0)</f>
        <v>6</v>
      </c>
      <c r="D265" s="131">
        <f>IFERROR(__xludf.DUMMYFUNCTION("""COMPUTED_VALUE"""),6.0)</f>
        <v>6</v>
      </c>
      <c r="E265" s="131">
        <f>IFERROR(__xludf.DUMMYFUNCTION("""COMPUTED_VALUE"""),6.0)</f>
        <v>6</v>
      </c>
      <c r="F265" s="131">
        <f>IFERROR(__xludf.DUMMYFUNCTION("""COMPUTED_VALUE"""),18.0)</f>
        <v>18</v>
      </c>
      <c r="G265" s="131">
        <f>IFERROR(__xludf.DUMMYFUNCTION("""COMPUTED_VALUE"""),3.0)</f>
        <v>3</v>
      </c>
    </row>
    <row r="266">
      <c r="A266" s="125">
        <f>IFERROR(__xludf.DUMMYFUNCTION("""COMPUTED_VALUE"""),7.0)</f>
        <v>7</v>
      </c>
      <c r="B266" s="36" t="str">
        <f>IFERROR(__xludf.DUMMYFUNCTION("""COMPUTED_VALUE"""),"Alex Hou")</f>
        <v>Alex Hou</v>
      </c>
      <c r="C266" s="131">
        <f>IFERROR(__xludf.DUMMYFUNCTION("""COMPUTED_VALUE"""),1.0)</f>
        <v>1</v>
      </c>
      <c r="D266" s="131">
        <f>IFERROR(__xludf.DUMMYFUNCTION("""COMPUTED_VALUE"""),6.0)</f>
        <v>6</v>
      </c>
      <c r="E266" s="131">
        <f>IFERROR(__xludf.DUMMYFUNCTION("""COMPUTED_VALUE"""),0.0)</f>
        <v>0</v>
      </c>
      <c r="F266" s="131">
        <f>IFERROR(__xludf.DUMMYFUNCTION("""COMPUTED_VALUE"""),7.0)</f>
        <v>7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IFERROR(__xludf.DUMMYFUNCTION("""COMPUTED_VALUE"""),"Camille Jung")</f>
        <v>Camille Jung</v>
      </c>
      <c r="C267" s="134">
        <f>IFERROR(__xludf.DUMMYFUNCTION("""COMPUTED_VALUE"""),6.0)</f>
        <v>6</v>
      </c>
      <c r="D267" s="134">
        <f>IFERROR(__xludf.DUMMYFUNCTION("""COMPUTED_VALUE"""),0.0)</f>
        <v>0</v>
      </c>
      <c r="E267" s="134">
        <f>IFERROR(__xludf.DUMMYFUNCTION("""COMPUTED_VALUE"""),0.0)</f>
        <v>0</v>
      </c>
      <c r="F267" s="134">
        <f>IFERROR(__xludf.DUMMYFUNCTION("""COMPUTED_VALUE"""),6.0)</f>
        <v>6</v>
      </c>
      <c r="G267" s="134">
        <f>IFERROR(__xludf.DUMMYFUNCTION("""COMPUTED_VALUE"""),1.0)</f>
        <v>1</v>
      </c>
    </row>
    <row r="268">
      <c r="A268" s="132">
        <f>IFERROR(__xludf.DUMMYFUNCTION("""COMPUTED_VALUE"""),8.0)</f>
        <v>8</v>
      </c>
      <c r="B268" s="133" t="str">
        <f>IFERROR(__xludf.DUMMYFUNCTION("""COMPUTED_VALUE"""),"Ranjith Doraiswamy")</f>
        <v>Ranjith Doraiswamy</v>
      </c>
      <c r="C268" s="134">
        <f>IFERROR(__xludf.DUMMYFUNCTION("""COMPUTED_VALUE"""),1.0)</f>
        <v>1</v>
      </c>
      <c r="D268" s="134">
        <f>IFERROR(__xludf.DUMMYFUNCTION("""COMPUTED_VALUE"""),0.0)</f>
        <v>0</v>
      </c>
      <c r="E268" s="134">
        <f>IFERROR(__xludf.DUMMYFUNCTION("""COMPUTED_VALUE"""),6.0)</f>
        <v>6</v>
      </c>
      <c r="F268" s="134">
        <f>IFERROR(__xludf.DUMMYFUNCTION("""COMPUTED_VALUE"""),7.0)</f>
        <v>7</v>
      </c>
      <c r="G268" s="134">
        <f>IFERROR(__xludf.DUMMYFUNCTION("""COMPUTED_VALUE"""),1.0)</f>
        <v>1</v>
      </c>
    </row>
    <row r="269">
      <c r="A269" s="132">
        <f>IFERROR(__xludf.DUMMYFUNCTION("""COMPUTED_VALUE"""),8.0)</f>
        <v>8</v>
      </c>
      <c r="B269" s="133" t="str">
        <f>IFERROR(__xludf.DUMMYFUNCTION("""COMPUTED_VALUE"""),"Troy Wong")</f>
        <v>Troy Wong</v>
      </c>
      <c r="C269" s="134">
        <f>IFERROR(__xludf.DUMMYFUNCTION("""COMPUTED_VALUE"""),6.0)</f>
        <v>6</v>
      </c>
      <c r="D269" s="134">
        <f>IFERROR(__xludf.DUMMYFUNCTION("""COMPUTED_VALUE"""),6.0)</f>
        <v>6</v>
      </c>
      <c r="E269" s="134">
        <f>IFERROR(__xludf.DUMMYFUNCTION("""COMPUTED_VALUE"""),6.0)</f>
        <v>6</v>
      </c>
      <c r="F269" s="134">
        <f>IFERROR(__xludf.DUMMYFUNCTION("""COMPUTED_VALUE"""),18.0)</f>
        <v>18</v>
      </c>
      <c r="G269" s="134">
        <f>IFERROR(__xludf.DUMMYFUNCTION("""COMPUTED_VALUE"""),3.0)</f>
        <v>3</v>
      </c>
    </row>
    <row r="270">
      <c r="A270" s="132">
        <f>IFERROR(__xludf.DUMMYFUNCTION("""COMPUTED_VALUE"""),8.0)</f>
        <v>8</v>
      </c>
      <c r="B270" s="133" t="str">
        <f>IFERROR(__xludf.DUMMYFUNCTION("""COMPUTED_VALUE"""),"Eric Tan")</f>
        <v>Eric Tan</v>
      </c>
      <c r="C270" s="134">
        <f>IFERROR(__xludf.DUMMYFUNCTION("""COMPUTED_VALUE"""),1.0)</f>
        <v>1</v>
      </c>
      <c r="D270" s="134">
        <f>IFERROR(__xludf.DUMMYFUNCTION("""COMPUTED_VALUE"""),6.0)</f>
        <v>6</v>
      </c>
      <c r="E270" s="134">
        <f>IFERROR(__xludf.DUMMYFUNCTION("""COMPUTED_VALUE"""),0.0)</f>
        <v>0</v>
      </c>
      <c r="F270" s="134">
        <f>IFERROR(__xludf.DUMMYFUNCTION("""COMPUTED_VALUE"""),7.0)</f>
        <v>7</v>
      </c>
      <c r="G270" s="134">
        <f>IFERROR(__xludf.DUMMYFUNCTION("""COMPUTED_VALUE"""),1.0)</f>
        <v>1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46256.0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8.0</v>
      </c>
      <c r="E2" s="2"/>
      <c r="F2" s="2"/>
      <c r="R2" s="19"/>
      <c r="AC2" s="23" t="str">
        <f>TEXT(C1-7,"mm/dd/yy")</f>
        <v>08/15/26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80</v>
      </c>
      <c r="C5" s="37">
        <v>114.0</v>
      </c>
      <c r="D5" s="37">
        <v>12.0</v>
      </c>
      <c r="E5" s="42">
        <f t="shared" ref="E5:E71" si="2">if(S5&gt;0,(C5-(V5*9)-(T5*13))/S5,0)</f>
        <v>15.33333333</v>
      </c>
      <c r="F5" s="89">
        <v>5.0</v>
      </c>
      <c r="G5" s="90">
        <v>0.0</v>
      </c>
      <c r="H5" s="91">
        <v>13.0</v>
      </c>
      <c r="I5" s="90">
        <v>0.0</v>
      </c>
      <c r="J5" s="90">
        <v>0.0</v>
      </c>
      <c r="K5" s="90">
        <v>0.0</v>
      </c>
      <c r="L5" s="92">
        <v>13.0</v>
      </c>
      <c r="M5" s="90">
        <v>0.0</v>
      </c>
      <c r="N5" s="37">
        <f t="shared" ref="N5:O5" si="1">C5+L5</f>
        <v>127</v>
      </c>
      <c r="O5" s="37">
        <f t="shared" si="1"/>
        <v>12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6</v>
      </c>
      <c r="T5" s="52">
        <f t="shared" ref="T5:T71" si="5">if(H5=13,1,0)+vlookup(B5,indirect("'" &amp; AC$2 &amp; "'!B5:W71"),19,false)</f>
        <v>1</v>
      </c>
      <c r="U5" s="52"/>
      <c r="V5" s="51">
        <f t="shared" ref="V5:V71" si="6">vlookup(B5,indirect("'" &amp; AC$2 &amp; "'!B5:W71"),21,false)+if(text(C$1,"mm/dd/yy")=$AC$2,0,if(H5=9,1,0))</f>
        <v>1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109.0</v>
      </c>
      <c r="D6" s="37">
        <v>11.0</v>
      </c>
      <c r="E6" s="42">
        <f t="shared" si="2"/>
        <v>13.71428571</v>
      </c>
      <c r="F6" s="89">
        <v>1.0</v>
      </c>
      <c r="G6" s="90">
        <v>1.0</v>
      </c>
      <c r="H6" s="91">
        <v>0.0</v>
      </c>
      <c r="I6" s="90">
        <v>5.0</v>
      </c>
      <c r="J6" s="90">
        <v>2.0</v>
      </c>
      <c r="K6" s="90">
        <v>6.0</v>
      </c>
      <c r="L6" s="92">
        <v>13.0</v>
      </c>
      <c r="M6" s="90">
        <v>1.0</v>
      </c>
      <c r="N6" s="37">
        <f t="shared" ref="N6:O6" si="3">C6+L6</f>
        <v>122</v>
      </c>
      <c r="O6" s="37">
        <f t="shared" si="3"/>
        <v>12</v>
      </c>
      <c r="P6" s="50" t="s">
        <v>60</v>
      </c>
      <c r="Q6" s="50" t="s">
        <v>60</v>
      </c>
      <c r="R6" s="50" t="s">
        <v>60</v>
      </c>
      <c r="S6" s="51">
        <f t="shared" si="4"/>
        <v>7</v>
      </c>
      <c r="T6" s="52">
        <f t="shared" si="5"/>
        <v>1</v>
      </c>
      <c r="U6" s="52"/>
      <c r="V6" s="51">
        <f t="shared" si="6"/>
        <v>0</v>
      </c>
      <c r="W6" s="52">
        <f t="shared" si="7"/>
        <v>0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131</v>
      </c>
      <c r="C7" s="37">
        <v>106.0</v>
      </c>
      <c r="D7" s="37">
        <v>11.0</v>
      </c>
      <c r="E7" s="42">
        <f t="shared" si="2"/>
        <v>13.28571429</v>
      </c>
      <c r="F7" s="89">
        <v>1.0</v>
      </c>
      <c r="G7" s="90">
        <v>1.0</v>
      </c>
      <c r="H7" s="91">
        <v>0.0</v>
      </c>
      <c r="I7" s="90">
        <v>7.0</v>
      </c>
      <c r="J7" s="90">
        <v>2.0</v>
      </c>
      <c r="K7" s="90">
        <v>0.0</v>
      </c>
      <c r="L7" s="92">
        <v>9.0</v>
      </c>
      <c r="M7" s="90">
        <v>1.0</v>
      </c>
      <c r="N7" s="37">
        <f t="shared" ref="N7:O7" si="11">C7+L7</f>
        <v>115</v>
      </c>
      <c r="O7" s="37">
        <f t="shared" si="11"/>
        <v>12</v>
      </c>
      <c r="P7" s="50" t="s">
        <v>60</v>
      </c>
      <c r="Q7" s="50" t="s">
        <v>60</v>
      </c>
      <c r="R7" s="50" t="s">
        <v>60</v>
      </c>
      <c r="S7" s="51">
        <f t="shared" si="4"/>
        <v>7</v>
      </c>
      <c r="T7" s="52">
        <f t="shared" si="5"/>
        <v>1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88</v>
      </c>
      <c r="C8" s="37">
        <v>103.0</v>
      </c>
      <c r="D8" s="37">
        <v>11.0</v>
      </c>
      <c r="E8" s="42">
        <f t="shared" si="2"/>
        <v>12.85714286</v>
      </c>
      <c r="F8" s="89">
        <v>1.0</v>
      </c>
      <c r="G8" s="90">
        <v>1.0</v>
      </c>
      <c r="H8" s="91">
        <v>0.0</v>
      </c>
      <c r="I8" s="90">
        <v>5.0</v>
      </c>
      <c r="J8" s="90">
        <v>6.0</v>
      </c>
      <c r="K8" s="90">
        <v>0.0</v>
      </c>
      <c r="L8" s="92">
        <v>11.0</v>
      </c>
      <c r="M8" s="90">
        <v>1.0</v>
      </c>
      <c r="N8" s="37">
        <f t="shared" ref="N8:O8" si="13">C8+L8</f>
        <v>114</v>
      </c>
      <c r="O8" s="37">
        <f t="shared" si="13"/>
        <v>12</v>
      </c>
      <c r="P8" s="50" t="s">
        <v>60</v>
      </c>
      <c r="Q8" s="50" t="s">
        <v>60</v>
      </c>
      <c r="R8" s="50" t="s">
        <v>60</v>
      </c>
      <c r="S8" s="51">
        <f t="shared" si="4"/>
        <v>7</v>
      </c>
      <c r="T8" s="52">
        <f t="shared" si="5"/>
        <v>1</v>
      </c>
      <c r="U8" s="52"/>
      <c r="V8" s="51">
        <f t="shared" si="6"/>
        <v>0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85</v>
      </c>
      <c r="C9" s="37">
        <v>100.0</v>
      </c>
      <c r="D9" s="37">
        <v>13.0</v>
      </c>
      <c r="E9" s="42">
        <f t="shared" si="2"/>
        <v>13.66666667</v>
      </c>
      <c r="F9" s="89">
        <v>1.0</v>
      </c>
      <c r="G9" s="90">
        <v>1.0</v>
      </c>
      <c r="H9" s="91">
        <v>0.0</v>
      </c>
      <c r="I9" s="90">
        <v>7.0</v>
      </c>
      <c r="J9" s="90">
        <v>6.0</v>
      </c>
      <c r="K9" s="90">
        <v>6.0</v>
      </c>
      <c r="L9" s="92">
        <v>19.0</v>
      </c>
      <c r="M9" s="90">
        <v>3.0</v>
      </c>
      <c r="N9" s="37">
        <f t="shared" ref="N9:O9" si="14">C9+L9</f>
        <v>119</v>
      </c>
      <c r="O9" s="37">
        <f t="shared" si="14"/>
        <v>16</v>
      </c>
      <c r="P9" s="50" t="s">
        <v>60</v>
      </c>
      <c r="Q9" s="50" t="s">
        <v>60</v>
      </c>
      <c r="R9" s="50" t="s">
        <v>60</v>
      </c>
      <c r="S9" s="51">
        <f t="shared" si="4"/>
        <v>6</v>
      </c>
      <c r="T9" s="52">
        <f t="shared" si="5"/>
        <v>0</v>
      </c>
      <c r="U9" s="52"/>
      <c r="V9" s="51">
        <f t="shared" si="6"/>
        <v>2</v>
      </c>
      <c r="W9" s="52">
        <f t="shared" si="7"/>
        <v>5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93</v>
      </c>
      <c r="C10" s="37">
        <v>99.0</v>
      </c>
      <c r="D10" s="37">
        <v>8.0</v>
      </c>
      <c r="E10" s="42">
        <f t="shared" si="2"/>
        <v>12.8</v>
      </c>
      <c r="F10" s="89">
        <v>1.0</v>
      </c>
      <c r="G10" s="90">
        <v>2.0</v>
      </c>
      <c r="H10" s="91">
        <v>0.0</v>
      </c>
      <c r="I10" s="90">
        <v>6.0</v>
      </c>
      <c r="J10" s="90">
        <v>5.0</v>
      </c>
      <c r="K10" s="90">
        <v>6.0</v>
      </c>
      <c r="L10" s="92">
        <v>17.0</v>
      </c>
      <c r="M10" s="90">
        <v>2.0</v>
      </c>
      <c r="N10" s="37">
        <f t="shared" ref="N10:O10" si="15">C10+L10</f>
        <v>116</v>
      </c>
      <c r="O10" s="37">
        <f t="shared" si="15"/>
        <v>10</v>
      </c>
      <c r="P10" s="50" t="s">
        <v>60</v>
      </c>
      <c r="Q10" s="50" t="s">
        <v>60</v>
      </c>
      <c r="R10" s="50" t="s">
        <v>60</v>
      </c>
      <c r="S10" s="51">
        <f t="shared" si="4"/>
        <v>5</v>
      </c>
      <c r="T10" s="52">
        <f t="shared" si="5"/>
        <v>2</v>
      </c>
      <c r="U10" s="52"/>
      <c r="V10" s="51">
        <f t="shared" si="6"/>
        <v>1</v>
      </c>
      <c r="W10" s="52">
        <f t="shared" si="7"/>
        <v>10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91</v>
      </c>
      <c r="C11" s="37">
        <v>98.0</v>
      </c>
      <c r="D11" s="37">
        <v>9.0</v>
      </c>
      <c r="E11" s="42">
        <f t="shared" si="2"/>
        <v>12.6</v>
      </c>
      <c r="F11" s="89">
        <v>5.0</v>
      </c>
      <c r="G11" s="90">
        <v>0.0</v>
      </c>
      <c r="H11" s="91">
        <v>13.0</v>
      </c>
      <c r="I11" s="90">
        <v>0.0</v>
      </c>
      <c r="J11" s="90">
        <v>0.0</v>
      </c>
      <c r="K11" s="90">
        <v>0.0</v>
      </c>
      <c r="L11" s="92">
        <v>13.0</v>
      </c>
      <c r="M11" s="90">
        <v>0.0</v>
      </c>
      <c r="N11" s="37">
        <f t="shared" ref="N11:O11" si="16">C11+L11</f>
        <v>111</v>
      </c>
      <c r="O11" s="37">
        <f t="shared" si="16"/>
        <v>9</v>
      </c>
      <c r="P11" s="50" t="s">
        <v>60</v>
      </c>
      <c r="Q11" s="50" t="s">
        <v>60</v>
      </c>
      <c r="R11" s="50" t="s">
        <v>60</v>
      </c>
      <c r="S11" s="51">
        <f t="shared" si="4"/>
        <v>5</v>
      </c>
      <c r="T11" s="52">
        <f t="shared" si="5"/>
        <v>2</v>
      </c>
      <c r="U11" s="52"/>
      <c r="V11" s="51">
        <f t="shared" si="6"/>
        <v>1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107</v>
      </c>
      <c r="C12" s="37">
        <v>98.0</v>
      </c>
      <c r="D12" s="37">
        <v>8.0</v>
      </c>
      <c r="E12" s="42">
        <f t="shared" si="2"/>
        <v>13.5</v>
      </c>
      <c r="F12" s="89">
        <v>3.0</v>
      </c>
      <c r="G12" s="90">
        <v>0.0</v>
      </c>
      <c r="H12" s="91">
        <v>9.0</v>
      </c>
      <c r="I12" s="90">
        <v>0.0</v>
      </c>
      <c r="J12" s="90">
        <v>0.0</v>
      </c>
      <c r="K12" s="90">
        <v>0.0</v>
      </c>
      <c r="L12" s="92">
        <v>9.0</v>
      </c>
      <c r="M12" s="90">
        <v>0.0</v>
      </c>
      <c r="N12" s="37">
        <f t="shared" ref="N12:O12" si="17">C12+L12</f>
        <v>107</v>
      </c>
      <c r="O12" s="37">
        <f t="shared" si="17"/>
        <v>8</v>
      </c>
      <c r="P12" s="50" t="s">
        <v>60</v>
      </c>
      <c r="Q12" s="50" t="s">
        <v>60</v>
      </c>
      <c r="R12" s="50" t="s">
        <v>60</v>
      </c>
      <c r="S12" s="51">
        <f t="shared" si="4"/>
        <v>4</v>
      </c>
      <c r="T12" s="52">
        <f t="shared" si="5"/>
        <v>2</v>
      </c>
      <c r="U12" s="52"/>
      <c r="V12" s="51">
        <f t="shared" si="6"/>
        <v>2</v>
      </c>
      <c r="W12" s="52">
        <f t="shared" si="7"/>
        <v>-4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74</v>
      </c>
      <c r="C13" s="37">
        <v>97.0</v>
      </c>
      <c r="D13" s="37">
        <v>8.0</v>
      </c>
      <c r="E13" s="42">
        <f t="shared" si="2"/>
        <v>12.5</v>
      </c>
      <c r="F13" s="89">
        <v>1.0</v>
      </c>
      <c r="G13" s="90">
        <v>2.0</v>
      </c>
      <c r="H13" s="91">
        <v>0.0</v>
      </c>
      <c r="I13" s="90">
        <v>1.0</v>
      </c>
      <c r="J13" s="90">
        <v>7.0</v>
      </c>
      <c r="K13" s="90">
        <v>6.0</v>
      </c>
      <c r="L13" s="92">
        <v>14.0</v>
      </c>
      <c r="M13" s="90">
        <v>2.0</v>
      </c>
      <c r="N13" s="37">
        <f t="shared" ref="N13:O13" si="18">C13+L13</f>
        <v>111</v>
      </c>
      <c r="O13" s="37">
        <f t="shared" si="18"/>
        <v>10</v>
      </c>
      <c r="P13" s="50" t="s">
        <v>60</v>
      </c>
      <c r="Q13" s="50" t="s">
        <v>60</v>
      </c>
      <c r="R13" s="50" t="s">
        <v>60</v>
      </c>
      <c r="S13" s="51">
        <f t="shared" si="4"/>
        <v>6</v>
      </c>
      <c r="T13" s="52">
        <f t="shared" si="5"/>
        <v>1</v>
      </c>
      <c r="U13" s="52"/>
      <c r="V13" s="51">
        <f t="shared" si="6"/>
        <v>1</v>
      </c>
      <c r="W13" s="52">
        <f t="shared" si="7"/>
        <v>2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140</v>
      </c>
      <c r="C14" s="37">
        <v>96.0</v>
      </c>
      <c r="D14" s="37">
        <v>10.0</v>
      </c>
      <c r="E14" s="42">
        <f t="shared" si="2"/>
        <v>12</v>
      </c>
      <c r="F14" s="89">
        <v>1.0</v>
      </c>
      <c r="G14" s="90">
        <v>2.0</v>
      </c>
      <c r="H14" s="91">
        <v>0.0</v>
      </c>
      <c r="I14" s="90">
        <v>1.0</v>
      </c>
      <c r="J14" s="90">
        <v>5.0</v>
      </c>
      <c r="K14" s="90">
        <v>3.0</v>
      </c>
      <c r="L14" s="92">
        <v>9.0</v>
      </c>
      <c r="M14" s="90">
        <v>0.0</v>
      </c>
      <c r="N14" s="37">
        <f t="shared" ref="N14:O14" si="19">C14+L14</f>
        <v>105</v>
      </c>
      <c r="O14" s="37">
        <f t="shared" si="19"/>
        <v>10</v>
      </c>
      <c r="P14" s="50" t="s">
        <v>60</v>
      </c>
      <c r="Q14" s="50" t="s">
        <v>60</v>
      </c>
      <c r="R14" s="50" t="s">
        <v>60</v>
      </c>
      <c r="S14" s="51">
        <f t="shared" si="4"/>
        <v>8</v>
      </c>
      <c r="T14" s="52">
        <f t="shared" si="5"/>
        <v>0</v>
      </c>
      <c r="U14" s="52"/>
      <c r="V14" s="51">
        <f t="shared" si="6"/>
        <v>0</v>
      </c>
      <c r="W14" s="52">
        <f t="shared" si="7"/>
        <v>-2</v>
      </c>
      <c r="X14" s="35">
        <f t="shared" si="12"/>
        <v>10</v>
      </c>
      <c r="Y14" s="35" t="str">
        <f t="shared" si="8"/>
        <v>Y</v>
      </c>
      <c r="Z14" s="22" t="str">
        <f t="shared" si="9"/>
        <v/>
      </c>
    </row>
    <row r="15">
      <c r="A15" s="35">
        <f t="shared" si="10"/>
        <v>11</v>
      </c>
      <c r="B15" s="36" t="s">
        <v>97</v>
      </c>
      <c r="C15" s="37">
        <v>95.0</v>
      </c>
      <c r="D15" s="37">
        <v>8.0</v>
      </c>
      <c r="E15" s="42">
        <f t="shared" si="2"/>
        <v>11.875</v>
      </c>
      <c r="F15" s="89">
        <v>1.0</v>
      </c>
      <c r="G15" s="90">
        <v>2.0</v>
      </c>
      <c r="H15" s="91">
        <v>0.0</v>
      </c>
      <c r="I15" s="90">
        <v>6.0</v>
      </c>
      <c r="J15" s="90">
        <v>7.0</v>
      </c>
      <c r="K15" s="90">
        <v>3.0</v>
      </c>
      <c r="L15" s="92">
        <v>16.0</v>
      </c>
      <c r="M15" s="90">
        <v>2.0</v>
      </c>
      <c r="N15" s="37">
        <f t="shared" ref="N15:O15" si="20">C15+L15</f>
        <v>111</v>
      </c>
      <c r="O15" s="37">
        <f t="shared" si="20"/>
        <v>10</v>
      </c>
      <c r="P15" s="50" t="s">
        <v>60</v>
      </c>
      <c r="Q15" s="50" t="s">
        <v>60</v>
      </c>
      <c r="R15" s="50" t="s">
        <v>60</v>
      </c>
      <c r="S15" s="51">
        <f t="shared" si="4"/>
        <v>8</v>
      </c>
      <c r="T15" s="52">
        <f t="shared" si="5"/>
        <v>0</v>
      </c>
      <c r="U15" s="52"/>
      <c r="V15" s="51">
        <f t="shared" si="6"/>
        <v>0</v>
      </c>
      <c r="W15" s="52">
        <f t="shared" si="7"/>
        <v>3</v>
      </c>
      <c r="X15" s="35">
        <f t="shared" si="12"/>
        <v>11</v>
      </c>
      <c r="Y15" s="35" t="str">
        <f t="shared" si="8"/>
        <v>Y</v>
      </c>
      <c r="Z15" s="22" t="str">
        <f t="shared" si="9"/>
        <v/>
      </c>
    </row>
    <row r="16">
      <c r="A16" s="35">
        <f t="shared" si="10"/>
        <v>12</v>
      </c>
      <c r="B16" s="36" t="s">
        <v>92</v>
      </c>
      <c r="C16" s="37">
        <v>94.0</v>
      </c>
      <c r="D16" s="37">
        <v>8.0</v>
      </c>
      <c r="E16" s="42">
        <f t="shared" si="2"/>
        <v>13.5</v>
      </c>
      <c r="F16" s="89">
        <v>1.0</v>
      </c>
      <c r="G16" s="90">
        <v>3.0</v>
      </c>
      <c r="H16" s="91">
        <v>0.0</v>
      </c>
      <c r="I16" s="90">
        <v>6.0</v>
      </c>
      <c r="J16" s="90">
        <v>6.0</v>
      </c>
      <c r="K16" s="90">
        <v>6.0</v>
      </c>
      <c r="L16" s="92">
        <v>18.0</v>
      </c>
      <c r="M16" s="90">
        <v>3.0</v>
      </c>
      <c r="N16" s="37">
        <f t="shared" ref="N16:O16" si="21">C16+L16</f>
        <v>112</v>
      </c>
      <c r="O16" s="37">
        <f t="shared" si="21"/>
        <v>11</v>
      </c>
      <c r="P16" s="50" t="s">
        <v>60</v>
      </c>
      <c r="Q16" s="50" t="s">
        <v>60</v>
      </c>
      <c r="R16" s="50" t="s">
        <v>60</v>
      </c>
      <c r="S16" s="51">
        <f t="shared" si="4"/>
        <v>4</v>
      </c>
      <c r="T16" s="52">
        <f t="shared" si="5"/>
        <v>1</v>
      </c>
      <c r="U16" s="52"/>
      <c r="V16" s="51">
        <f t="shared" si="6"/>
        <v>3</v>
      </c>
      <c r="W16" s="52">
        <f t="shared" si="7"/>
        <v>-6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122</v>
      </c>
      <c r="C17" s="37">
        <v>93.0</v>
      </c>
      <c r="D17" s="37">
        <v>10.0</v>
      </c>
      <c r="E17" s="42">
        <f t="shared" si="2"/>
        <v>13.2</v>
      </c>
      <c r="F17" s="89">
        <v>1.0</v>
      </c>
      <c r="G17" s="90">
        <v>3.0</v>
      </c>
      <c r="H17" s="91">
        <v>0.0</v>
      </c>
      <c r="I17" s="90">
        <v>3.0</v>
      </c>
      <c r="J17" s="90">
        <v>6.0</v>
      </c>
      <c r="K17" s="90">
        <v>3.0</v>
      </c>
      <c r="L17" s="92">
        <v>12.0</v>
      </c>
      <c r="M17" s="90">
        <v>1.0</v>
      </c>
      <c r="N17" s="37">
        <f t="shared" ref="N17:O17" si="22">C17+L17</f>
        <v>105</v>
      </c>
      <c r="O17" s="37">
        <f t="shared" si="22"/>
        <v>11</v>
      </c>
      <c r="P17" s="50" t="s">
        <v>60</v>
      </c>
      <c r="Q17" s="50" t="s">
        <v>60</v>
      </c>
      <c r="R17" s="50" t="s">
        <v>60</v>
      </c>
      <c r="S17" s="51">
        <f t="shared" si="4"/>
        <v>5</v>
      </c>
      <c r="T17" s="52">
        <f t="shared" si="5"/>
        <v>0</v>
      </c>
      <c r="U17" s="52"/>
      <c r="V17" s="51">
        <f t="shared" si="6"/>
        <v>3</v>
      </c>
      <c r="W17" s="52">
        <f t="shared" si="7"/>
        <v>11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87</v>
      </c>
      <c r="C18" s="37">
        <v>93.0</v>
      </c>
      <c r="D18" s="37">
        <v>7.0</v>
      </c>
      <c r="E18" s="42">
        <f t="shared" si="2"/>
        <v>11.42857143</v>
      </c>
      <c r="F18" s="89">
        <v>1.0</v>
      </c>
      <c r="G18" s="90">
        <v>3.0</v>
      </c>
      <c r="H18" s="91">
        <v>0.0</v>
      </c>
      <c r="I18" s="90">
        <v>3.0</v>
      </c>
      <c r="J18" s="90">
        <v>4.0</v>
      </c>
      <c r="K18" s="90">
        <v>6.0</v>
      </c>
      <c r="L18" s="92">
        <v>13.0</v>
      </c>
      <c r="M18" s="90">
        <v>1.0</v>
      </c>
      <c r="N18" s="37">
        <f t="shared" ref="N18:O18" si="23">C18+L18</f>
        <v>106</v>
      </c>
      <c r="O18" s="37">
        <f t="shared" si="23"/>
        <v>8</v>
      </c>
      <c r="P18" s="50" t="s">
        <v>60</v>
      </c>
      <c r="Q18" s="50" t="s">
        <v>60</v>
      </c>
      <c r="R18" s="50" t="s">
        <v>60</v>
      </c>
      <c r="S18" s="51">
        <f t="shared" si="4"/>
        <v>7</v>
      </c>
      <c r="T18" s="52">
        <f t="shared" si="5"/>
        <v>1</v>
      </c>
      <c r="U18" s="52"/>
      <c r="V18" s="51">
        <f t="shared" si="6"/>
        <v>0</v>
      </c>
      <c r="W18" s="52">
        <f t="shared" si="7"/>
        <v>-1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98</v>
      </c>
      <c r="C19" s="37">
        <v>92.0</v>
      </c>
      <c r="D19" s="37">
        <v>9.0</v>
      </c>
      <c r="E19" s="42">
        <f t="shared" si="2"/>
        <v>11.85714286</v>
      </c>
      <c r="F19" s="89">
        <v>1.0</v>
      </c>
      <c r="G19" s="90">
        <v>3.0</v>
      </c>
      <c r="H19" s="91">
        <v>0.0</v>
      </c>
      <c r="I19" s="90">
        <v>6.0</v>
      </c>
      <c r="J19" s="90">
        <v>4.0</v>
      </c>
      <c r="K19" s="90">
        <v>3.0</v>
      </c>
      <c r="L19" s="92">
        <v>13.0</v>
      </c>
      <c r="M19" s="90">
        <v>1.0</v>
      </c>
      <c r="N19" s="37">
        <f t="shared" ref="N19:O19" si="24">C19+L19</f>
        <v>105</v>
      </c>
      <c r="O19" s="37">
        <f t="shared" si="24"/>
        <v>10</v>
      </c>
      <c r="P19" s="50" t="s">
        <v>60</v>
      </c>
      <c r="Q19" s="50" t="s">
        <v>60</v>
      </c>
      <c r="R19" s="50" t="s">
        <v>60</v>
      </c>
      <c r="S19" s="51">
        <f t="shared" si="4"/>
        <v>7</v>
      </c>
      <c r="T19" s="52">
        <f t="shared" si="5"/>
        <v>0</v>
      </c>
      <c r="U19" s="52"/>
      <c r="V19" s="51">
        <f t="shared" si="6"/>
        <v>1</v>
      </c>
      <c r="W19" s="52">
        <f t="shared" si="7"/>
        <v>-6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113</v>
      </c>
      <c r="C20" s="37">
        <v>92.0</v>
      </c>
      <c r="D20" s="37">
        <v>6.0</v>
      </c>
      <c r="E20" s="42">
        <f t="shared" si="2"/>
        <v>12.2</v>
      </c>
      <c r="F20" s="89">
        <v>1.0</v>
      </c>
      <c r="G20" s="90">
        <v>4.0</v>
      </c>
      <c r="H20" s="91">
        <v>0.0</v>
      </c>
      <c r="I20" s="90">
        <v>7.0</v>
      </c>
      <c r="J20" s="90">
        <v>2.0</v>
      </c>
      <c r="K20" s="90">
        <v>2.0</v>
      </c>
      <c r="L20" s="92">
        <v>11.0</v>
      </c>
      <c r="M20" s="90">
        <v>1.0</v>
      </c>
      <c r="N20" s="37">
        <f t="shared" ref="N20:O20" si="25">C20+L20</f>
        <v>103</v>
      </c>
      <c r="O20" s="37">
        <f t="shared" si="25"/>
        <v>7</v>
      </c>
      <c r="P20" s="50" t="s">
        <v>60</v>
      </c>
      <c r="Q20" s="50" t="s">
        <v>60</v>
      </c>
      <c r="R20" s="50" t="s">
        <v>60</v>
      </c>
      <c r="S20" s="51">
        <f t="shared" si="4"/>
        <v>5</v>
      </c>
      <c r="T20" s="52">
        <f t="shared" si="5"/>
        <v>1</v>
      </c>
      <c r="U20" s="52"/>
      <c r="V20" s="51">
        <f t="shared" si="6"/>
        <v>2</v>
      </c>
      <c r="W20" s="52">
        <f t="shared" si="7"/>
        <v>2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118</v>
      </c>
      <c r="C21" s="37">
        <v>91.0</v>
      </c>
      <c r="D21" s="37">
        <v>9.0</v>
      </c>
      <c r="E21" s="42">
        <f t="shared" si="2"/>
        <v>11.14285714</v>
      </c>
      <c r="F21" s="89">
        <v>1.0</v>
      </c>
      <c r="G21" s="90">
        <v>4.0</v>
      </c>
      <c r="H21" s="91">
        <v>0.0</v>
      </c>
      <c r="I21" s="90">
        <v>5.0</v>
      </c>
      <c r="J21" s="90">
        <v>6.0</v>
      </c>
      <c r="K21" s="90">
        <v>2.0</v>
      </c>
      <c r="L21" s="92">
        <v>13.0</v>
      </c>
      <c r="M21" s="90">
        <v>1.0</v>
      </c>
      <c r="N21" s="37">
        <f t="shared" ref="N21:O21" si="26">C21+L21</f>
        <v>104</v>
      </c>
      <c r="O21" s="37">
        <f t="shared" si="26"/>
        <v>10</v>
      </c>
      <c r="P21" s="50" t="s">
        <v>60</v>
      </c>
      <c r="Q21" s="50" t="s">
        <v>60</v>
      </c>
      <c r="R21" s="50" t="s">
        <v>60</v>
      </c>
      <c r="S21" s="51">
        <f t="shared" si="4"/>
        <v>7</v>
      </c>
      <c r="T21" s="52">
        <f t="shared" si="5"/>
        <v>1</v>
      </c>
      <c r="U21" s="52"/>
      <c r="V21" s="51">
        <f t="shared" si="6"/>
        <v>0</v>
      </c>
      <c r="W21" s="52">
        <f t="shared" si="7"/>
        <v>9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68</v>
      </c>
      <c r="C22" s="37">
        <v>91.0</v>
      </c>
      <c r="D22" s="37">
        <v>8.0</v>
      </c>
      <c r="E22" s="42">
        <f t="shared" si="2"/>
        <v>12.8</v>
      </c>
      <c r="F22" s="89">
        <v>1.0</v>
      </c>
      <c r="G22" s="90">
        <v>4.0</v>
      </c>
      <c r="H22" s="91">
        <v>0.0</v>
      </c>
      <c r="I22" s="90">
        <v>7.0</v>
      </c>
      <c r="J22" s="90">
        <v>6.0</v>
      </c>
      <c r="K22" s="90">
        <v>6.0</v>
      </c>
      <c r="L22" s="92">
        <v>19.0</v>
      </c>
      <c r="M22" s="90">
        <v>3.0</v>
      </c>
      <c r="N22" s="37">
        <f t="shared" ref="N22:O22" si="27">C22+L22</f>
        <v>110</v>
      </c>
      <c r="O22" s="37">
        <f t="shared" si="27"/>
        <v>11</v>
      </c>
      <c r="P22" s="50" t="s">
        <v>60</v>
      </c>
      <c r="Q22" s="50" t="s">
        <v>60</v>
      </c>
      <c r="R22" s="50" t="s">
        <v>60</v>
      </c>
      <c r="S22" s="51">
        <f t="shared" si="4"/>
        <v>5</v>
      </c>
      <c r="T22" s="52">
        <f t="shared" si="5"/>
        <v>0</v>
      </c>
      <c r="U22" s="52"/>
      <c r="V22" s="51">
        <f t="shared" si="6"/>
        <v>3</v>
      </c>
      <c r="W22" s="52">
        <f t="shared" si="7"/>
        <v>11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115</v>
      </c>
      <c r="C23" s="37">
        <v>91.0</v>
      </c>
      <c r="D23" s="37">
        <v>7.0</v>
      </c>
      <c r="E23" s="42">
        <f t="shared" si="2"/>
        <v>12</v>
      </c>
      <c r="F23" s="89">
        <v>1.0</v>
      </c>
      <c r="G23" s="90">
        <v>4.0</v>
      </c>
      <c r="H23" s="91">
        <v>0.0</v>
      </c>
      <c r="I23" s="90">
        <v>5.0</v>
      </c>
      <c r="J23" s="90">
        <v>2.0</v>
      </c>
      <c r="K23" s="90">
        <v>6.0</v>
      </c>
      <c r="L23" s="92">
        <v>13.0</v>
      </c>
      <c r="M23" s="90">
        <v>1.0</v>
      </c>
      <c r="N23" s="37">
        <f t="shared" ref="N23:O23" si="28">C23+L23</f>
        <v>104</v>
      </c>
      <c r="O23" s="37">
        <f t="shared" si="28"/>
        <v>8</v>
      </c>
      <c r="P23" s="50" t="s">
        <v>60</v>
      </c>
      <c r="Q23" s="50" t="s">
        <v>60</v>
      </c>
      <c r="R23" s="50" t="s">
        <v>60</v>
      </c>
      <c r="S23" s="51">
        <f t="shared" si="4"/>
        <v>5</v>
      </c>
      <c r="T23" s="52">
        <f t="shared" si="5"/>
        <v>1</v>
      </c>
      <c r="U23" s="52"/>
      <c r="V23" s="51">
        <f t="shared" si="6"/>
        <v>2</v>
      </c>
      <c r="W23" s="52">
        <f t="shared" si="7"/>
        <v>-7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108</v>
      </c>
      <c r="C24" s="37">
        <v>90.0</v>
      </c>
      <c r="D24" s="37">
        <v>6.0</v>
      </c>
      <c r="E24" s="42">
        <f t="shared" si="2"/>
        <v>10.2</v>
      </c>
      <c r="F24" s="89">
        <v>5.0</v>
      </c>
      <c r="G24" s="90">
        <v>0.0</v>
      </c>
      <c r="H24" s="91">
        <v>13.0</v>
      </c>
      <c r="I24" s="90">
        <v>0.0</v>
      </c>
      <c r="J24" s="90">
        <v>0.0</v>
      </c>
      <c r="K24" s="90">
        <v>0.0</v>
      </c>
      <c r="L24" s="92">
        <v>13.0</v>
      </c>
      <c r="M24" s="90">
        <v>0.0</v>
      </c>
      <c r="N24" s="37">
        <f t="shared" ref="N24:O24" si="29">C24+L24</f>
        <v>103</v>
      </c>
      <c r="O24" s="37">
        <f t="shared" si="29"/>
        <v>6</v>
      </c>
      <c r="P24" s="50" t="s">
        <v>60</v>
      </c>
      <c r="Q24" s="50" t="s">
        <v>60</v>
      </c>
      <c r="R24" s="50" t="s">
        <v>60</v>
      </c>
      <c r="S24" s="51">
        <f t="shared" si="4"/>
        <v>5</v>
      </c>
      <c r="T24" s="52">
        <f t="shared" si="5"/>
        <v>3</v>
      </c>
      <c r="U24" s="52"/>
      <c r="V24" s="51">
        <f t="shared" si="6"/>
        <v>0</v>
      </c>
      <c r="W24" s="52">
        <f t="shared" si="7"/>
        <v>-1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100</v>
      </c>
      <c r="C25" s="37">
        <v>89.0</v>
      </c>
      <c r="D25" s="37">
        <v>7.0</v>
      </c>
      <c r="E25" s="42">
        <f t="shared" si="2"/>
        <v>11.42857143</v>
      </c>
      <c r="F25" s="89">
        <v>1.0</v>
      </c>
      <c r="G25" s="90">
        <v>5.0</v>
      </c>
      <c r="H25" s="91">
        <v>0.0</v>
      </c>
      <c r="I25" s="90">
        <v>3.0</v>
      </c>
      <c r="J25" s="90">
        <v>3.0</v>
      </c>
      <c r="K25" s="90">
        <v>4.0</v>
      </c>
      <c r="L25" s="92">
        <v>10.0</v>
      </c>
      <c r="M25" s="90">
        <v>0.0</v>
      </c>
      <c r="N25" s="37">
        <f t="shared" ref="N25:O25" si="30">C25+L25</f>
        <v>99</v>
      </c>
      <c r="O25" s="37">
        <f t="shared" si="30"/>
        <v>7</v>
      </c>
      <c r="P25" s="50" t="s">
        <v>60</v>
      </c>
      <c r="Q25" s="50" t="s">
        <v>60</v>
      </c>
      <c r="R25" s="50" t="s">
        <v>60</v>
      </c>
      <c r="S25" s="51">
        <f t="shared" si="4"/>
        <v>7</v>
      </c>
      <c r="T25" s="52">
        <f t="shared" si="5"/>
        <v>0</v>
      </c>
      <c r="U25" s="52"/>
      <c r="V25" s="51">
        <f t="shared" si="6"/>
        <v>1</v>
      </c>
      <c r="W25" s="52">
        <f t="shared" si="7"/>
        <v>6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127</v>
      </c>
      <c r="C26" s="37">
        <v>89.0</v>
      </c>
      <c r="D26" s="37">
        <v>6.0</v>
      </c>
      <c r="E26" s="42">
        <f t="shared" si="2"/>
        <v>11.25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98</v>
      </c>
      <c r="O26" s="37">
        <f t="shared" si="31"/>
        <v>6</v>
      </c>
      <c r="P26" s="50" t="s">
        <v>60</v>
      </c>
      <c r="Q26" s="50" t="s">
        <v>60</v>
      </c>
      <c r="R26" s="50" t="s">
        <v>60</v>
      </c>
      <c r="S26" s="51">
        <f t="shared" si="4"/>
        <v>4</v>
      </c>
      <c r="T26" s="52">
        <f t="shared" si="5"/>
        <v>2</v>
      </c>
      <c r="U26" s="52"/>
      <c r="V26" s="51">
        <f t="shared" si="6"/>
        <v>2</v>
      </c>
      <c r="W26" s="52">
        <f t="shared" si="7"/>
        <v>-7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94</v>
      </c>
      <c r="C27" s="37">
        <v>88.0</v>
      </c>
      <c r="D27" s="37">
        <v>7.0</v>
      </c>
      <c r="E27" s="42">
        <f t="shared" si="2"/>
        <v>11.4</v>
      </c>
      <c r="F27" s="89">
        <v>3.0</v>
      </c>
      <c r="G27" s="90">
        <v>0.0</v>
      </c>
      <c r="H27" s="91">
        <v>9.0</v>
      </c>
      <c r="I27" s="90">
        <v>0.0</v>
      </c>
      <c r="J27" s="90">
        <v>0.0</v>
      </c>
      <c r="K27" s="90">
        <v>0.0</v>
      </c>
      <c r="L27" s="92">
        <v>9.0</v>
      </c>
      <c r="M27" s="90">
        <v>0.0</v>
      </c>
      <c r="N27" s="37">
        <f t="shared" ref="N27:O27" si="32">C27+L27</f>
        <v>97</v>
      </c>
      <c r="O27" s="37">
        <f t="shared" si="32"/>
        <v>7</v>
      </c>
      <c r="P27" s="50" t="s">
        <v>60</v>
      </c>
      <c r="Q27" s="50" t="s">
        <v>60</v>
      </c>
      <c r="R27" s="50" t="s">
        <v>60</v>
      </c>
      <c r="S27" s="51">
        <f t="shared" si="4"/>
        <v>5</v>
      </c>
      <c r="T27" s="52">
        <f t="shared" si="5"/>
        <v>1</v>
      </c>
      <c r="U27" s="52"/>
      <c r="V27" s="51">
        <f t="shared" si="6"/>
        <v>2</v>
      </c>
      <c r="W27" s="52">
        <f t="shared" si="7"/>
        <v>-6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81</v>
      </c>
      <c r="C28" s="37">
        <v>87.0</v>
      </c>
      <c r="D28" s="37">
        <v>7.0</v>
      </c>
      <c r="E28" s="42">
        <f t="shared" si="2"/>
        <v>12.75</v>
      </c>
      <c r="F28" s="89">
        <v>1.0</v>
      </c>
      <c r="G28" s="90">
        <v>5.0</v>
      </c>
      <c r="H28" s="91">
        <v>0.0</v>
      </c>
      <c r="I28" s="90">
        <v>6.0</v>
      </c>
      <c r="J28" s="90">
        <v>6.0</v>
      </c>
      <c r="K28" s="90">
        <v>4.0</v>
      </c>
      <c r="L28" s="92">
        <v>16.0</v>
      </c>
      <c r="M28" s="90">
        <v>2.0</v>
      </c>
      <c r="N28" s="37">
        <f t="shared" ref="N28:O28" si="33">C28+L28</f>
        <v>103</v>
      </c>
      <c r="O28" s="37">
        <f t="shared" si="33"/>
        <v>9</v>
      </c>
      <c r="P28" s="50" t="s">
        <v>60</v>
      </c>
      <c r="Q28" s="50" t="s">
        <v>60</v>
      </c>
      <c r="R28" s="50" t="s">
        <v>60</v>
      </c>
      <c r="S28" s="51">
        <f t="shared" si="4"/>
        <v>4</v>
      </c>
      <c r="T28" s="52">
        <f t="shared" si="5"/>
        <v>0</v>
      </c>
      <c r="U28" s="52"/>
      <c r="V28" s="51">
        <f t="shared" si="6"/>
        <v>4</v>
      </c>
      <c r="W28" s="52">
        <f t="shared" si="7"/>
        <v>-4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121</v>
      </c>
      <c r="C29" s="37">
        <v>86.0</v>
      </c>
      <c r="D29" s="37">
        <v>8.0</v>
      </c>
      <c r="E29" s="42">
        <f t="shared" si="2"/>
        <v>12.5</v>
      </c>
      <c r="F29" s="89">
        <v>1.0</v>
      </c>
      <c r="G29" s="90">
        <v>5.0</v>
      </c>
      <c r="H29" s="91">
        <v>0.0</v>
      </c>
      <c r="I29" s="90">
        <v>6.0</v>
      </c>
      <c r="J29" s="90">
        <v>3.0</v>
      </c>
      <c r="K29" s="90">
        <v>6.0</v>
      </c>
      <c r="L29" s="92">
        <v>15.0</v>
      </c>
      <c r="M29" s="90">
        <v>2.0</v>
      </c>
      <c r="N29" s="37">
        <f t="shared" ref="N29:O29" si="34">C29+L29</f>
        <v>101</v>
      </c>
      <c r="O29" s="37">
        <f t="shared" si="34"/>
        <v>10</v>
      </c>
      <c r="P29" s="50" t="s">
        <v>60</v>
      </c>
      <c r="Q29" s="50" t="s">
        <v>60</v>
      </c>
      <c r="R29" s="50" t="s">
        <v>60</v>
      </c>
      <c r="S29" s="51">
        <f t="shared" si="4"/>
        <v>4</v>
      </c>
      <c r="T29" s="52">
        <f t="shared" si="5"/>
        <v>0</v>
      </c>
      <c r="U29" s="52"/>
      <c r="V29" s="51">
        <f t="shared" si="6"/>
        <v>4</v>
      </c>
      <c r="W29" s="52">
        <f t="shared" si="7"/>
        <v>-4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111</v>
      </c>
      <c r="C30" s="37">
        <v>86.0</v>
      </c>
      <c r="D30" s="37">
        <v>5.0</v>
      </c>
      <c r="E30" s="42">
        <f t="shared" si="2"/>
        <v>12.5</v>
      </c>
      <c r="F30" s="89">
        <v>3.0</v>
      </c>
      <c r="G30" s="90">
        <v>0.0</v>
      </c>
      <c r="H30" s="91">
        <v>9.0</v>
      </c>
      <c r="I30" s="90">
        <v>0.0</v>
      </c>
      <c r="J30" s="90">
        <v>0.0</v>
      </c>
      <c r="K30" s="90">
        <v>0.0</v>
      </c>
      <c r="L30" s="92">
        <v>9.0</v>
      </c>
      <c r="M30" s="90">
        <v>0.0</v>
      </c>
      <c r="N30" s="37">
        <f t="shared" ref="N30:O30" si="35">C30+L30</f>
        <v>95</v>
      </c>
      <c r="O30" s="37">
        <f t="shared" si="35"/>
        <v>5</v>
      </c>
      <c r="P30" s="50" t="s">
        <v>60</v>
      </c>
      <c r="Q30" s="50" t="s">
        <v>60</v>
      </c>
      <c r="R30" s="50" t="s">
        <v>60</v>
      </c>
      <c r="S30" s="51">
        <f t="shared" si="4"/>
        <v>4</v>
      </c>
      <c r="T30" s="52">
        <f t="shared" si="5"/>
        <v>0</v>
      </c>
      <c r="U30" s="52"/>
      <c r="V30" s="51">
        <f t="shared" si="6"/>
        <v>4</v>
      </c>
      <c r="W30" s="52">
        <f t="shared" si="7"/>
        <v>-4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136</v>
      </c>
      <c r="C31" s="37">
        <v>85.0</v>
      </c>
      <c r="D31" s="37">
        <v>7.0</v>
      </c>
      <c r="E31" s="42">
        <f t="shared" si="2"/>
        <v>10.85714286</v>
      </c>
      <c r="F31" s="89">
        <v>1.0</v>
      </c>
      <c r="G31" s="90">
        <v>5.0</v>
      </c>
      <c r="H31" s="91">
        <v>0.0</v>
      </c>
      <c r="I31" s="90">
        <v>3.0</v>
      </c>
      <c r="J31" s="90">
        <v>6.0</v>
      </c>
      <c r="K31" s="90">
        <v>6.0</v>
      </c>
      <c r="L31" s="92">
        <v>15.0</v>
      </c>
      <c r="M31" s="90">
        <v>2.0</v>
      </c>
      <c r="N31" s="37">
        <f t="shared" ref="N31:O31" si="36">C31+L31</f>
        <v>100</v>
      </c>
      <c r="O31" s="37">
        <f t="shared" si="36"/>
        <v>9</v>
      </c>
      <c r="P31" s="50" t="s">
        <v>60</v>
      </c>
      <c r="Q31" s="50" t="s">
        <v>60</v>
      </c>
      <c r="R31" s="50" t="s">
        <v>60</v>
      </c>
      <c r="S31" s="51">
        <f t="shared" si="4"/>
        <v>7</v>
      </c>
      <c r="T31" s="52">
        <f t="shared" si="5"/>
        <v>0</v>
      </c>
      <c r="U31" s="52"/>
      <c r="V31" s="51">
        <f t="shared" si="6"/>
        <v>1</v>
      </c>
      <c r="W31" s="52">
        <f t="shared" si="7"/>
        <v>5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135</v>
      </c>
      <c r="C32" s="37">
        <v>84.0</v>
      </c>
      <c r="D32" s="37">
        <v>9.0</v>
      </c>
      <c r="E32" s="42">
        <f t="shared" si="2"/>
        <v>11</v>
      </c>
      <c r="F32" s="89">
        <v>1.0</v>
      </c>
      <c r="G32" s="90">
        <v>6.0</v>
      </c>
      <c r="H32" s="91">
        <v>0.0</v>
      </c>
      <c r="I32" s="90">
        <v>3.0</v>
      </c>
      <c r="J32" s="90">
        <v>6.0</v>
      </c>
      <c r="K32" s="90">
        <v>3.0</v>
      </c>
      <c r="L32" s="92">
        <v>12.0</v>
      </c>
      <c r="M32" s="90">
        <v>1.0</v>
      </c>
      <c r="N32" s="37">
        <f t="shared" ref="N32:O32" si="37">C32+L32</f>
        <v>96</v>
      </c>
      <c r="O32" s="37">
        <f t="shared" si="37"/>
        <v>10</v>
      </c>
      <c r="P32" s="50" t="s">
        <v>60</v>
      </c>
      <c r="Q32" s="50" t="s">
        <v>60</v>
      </c>
      <c r="R32" s="50" t="s">
        <v>60</v>
      </c>
      <c r="S32" s="51">
        <f t="shared" si="4"/>
        <v>6</v>
      </c>
      <c r="T32" s="52">
        <f t="shared" si="5"/>
        <v>0</v>
      </c>
      <c r="U32" s="52"/>
      <c r="V32" s="51">
        <f t="shared" si="6"/>
        <v>2</v>
      </c>
      <c r="W32" s="52">
        <f t="shared" si="7"/>
        <v>-5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101</v>
      </c>
      <c r="C33" s="37">
        <v>82.0</v>
      </c>
      <c r="D33" s="37">
        <v>8.0</v>
      </c>
      <c r="E33" s="42">
        <f t="shared" si="2"/>
        <v>10.42857143</v>
      </c>
      <c r="F33" s="89">
        <v>1.0</v>
      </c>
      <c r="G33" s="90">
        <v>6.0</v>
      </c>
      <c r="H33" s="91">
        <v>0.0</v>
      </c>
      <c r="I33" s="90">
        <v>3.0</v>
      </c>
      <c r="J33" s="90">
        <v>4.0</v>
      </c>
      <c r="K33" s="90">
        <v>6.0</v>
      </c>
      <c r="L33" s="92">
        <v>13.0</v>
      </c>
      <c r="M33" s="90">
        <v>1.0</v>
      </c>
      <c r="N33" s="37">
        <f t="shared" ref="N33:O33" si="38">C33+L33</f>
        <v>95</v>
      </c>
      <c r="O33" s="37">
        <f t="shared" si="38"/>
        <v>9</v>
      </c>
      <c r="P33" s="50" t="s">
        <v>60</v>
      </c>
      <c r="Q33" s="50" t="s">
        <v>60</v>
      </c>
      <c r="R33" s="50" t="s">
        <v>60</v>
      </c>
      <c r="S33" s="51">
        <f t="shared" si="4"/>
        <v>7</v>
      </c>
      <c r="T33" s="52">
        <f t="shared" si="5"/>
        <v>0</v>
      </c>
      <c r="U33" s="52"/>
      <c r="V33" s="51">
        <f t="shared" si="6"/>
        <v>1</v>
      </c>
      <c r="W33" s="52">
        <f t="shared" si="7"/>
        <v>-4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67</v>
      </c>
      <c r="C34" s="37">
        <v>82.0</v>
      </c>
      <c r="D34" s="37">
        <v>7.0</v>
      </c>
      <c r="E34" s="42">
        <f t="shared" si="2"/>
        <v>10.25</v>
      </c>
      <c r="F34" s="89">
        <v>1.0</v>
      </c>
      <c r="G34" s="90">
        <v>6.0</v>
      </c>
      <c r="H34" s="91">
        <v>0.0</v>
      </c>
      <c r="I34" s="90">
        <v>6.0</v>
      </c>
      <c r="J34" s="90">
        <v>4.0</v>
      </c>
      <c r="K34" s="90">
        <v>3.0</v>
      </c>
      <c r="L34" s="92">
        <v>13.0</v>
      </c>
      <c r="M34" s="90">
        <v>1.0</v>
      </c>
      <c r="N34" s="37">
        <f t="shared" ref="N34:O34" si="39">C34+L34</f>
        <v>95</v>
      </c>
      <c r="O34" s="37">
        <f t="shared" si="39"/>
        <v>8</v>
      </c>
      <c r="P34" s="50" t="s">
        <v>60</v>
      </c>
      <c r="Q34" s="50" t="s">
        <v>60</v>
      </c>
      <c r="R34" s="50" t="s">
        <v>60</v>
      </c>
      <c r="S34" s="51">
        <f t="shared" si="4"/>
        <v>8</v>
      </c>
      <c r="T34" s="52">
        <f t="shared" si="5"/>
        <v>0</v>
      </c>
      <c r="U34" s="52"/>
      <c r="V34" s="51">
        <f t="shared" si="6"/>
        <v>0</v>
      </c>
      <c r="W34" s="52">
        <f t="shared" si="7"/>
        <v>1</v>
      </c>
      <c r="X34" s="35">
        <f t="shared" si="12"/>
        <v>30</v>
      </c>
      <c r="Y34" s="35" t="str">
        <f t="shared" si="8"/>
        <v>Y</v>
      </c>
      <c r="Z34" s="22" t="str">
        <f t="shared" si="9"/>
        <v/>
      </c>
    </row>
    <row r="35">
      <c r="A35" s="35">
        <f t="shared" si="10"/>
        <v>31</v>
      </c>
      <c r="B35" s="36" t="s">
        <v>130</v>
      </c>
      <c r="C35" s="37">
        <v>82.0</v>
      </c>
      <c r="D35" s="37">
        <v>6.0</v>
      </c>
      <c r="E35" s="42">
        <f t="shared" si="2"/>
        <v>11</v>
      </c>
      <c r="F35" s="89">
        <v>3.0</v>
      </c>
      <c r="G35" s="90">
        <v>0.0</v>
      </c>
      <c r="H35" s="91">
        <v>9.0</v>
      </c>
      <c r="I35" s="90">
        <v>0.0</v>
      </c>
      <c r="J35" s="90">
        <v>0.0</v>
      </c>
      <c r="K35" s="90">
        <v>0.0</v>
      </c>
      <c r="L35" s="92">
        <v>9.0</v>
      </c>
      <c r="M35" s="90">
        <v>0.0</v>
      </c>
      <c r="N35" s="37">
        <f t="shared" ref="N35:O35" si="40">C35+L35</f>
        <v>91</v>
      </c>
      <c r="O35" s="37">
        <f t="shared" si="40"/>
        <v>6</v>
      </c>
      <c r="P35" s="50" t="s">
        <v>60</v>
      </c>
      <c r="Q35" s="50" t="s">
        <v>60</v>
      </c>
      <c r="R35" s="50" t="s">
        <v>60</v>
      </c>
      <c r="S35" s="51">
        <f t="shared" si="4"/>
        <v>3</v>
      </c>
      <c r="T35" s="52">
        <f t="shared" si="5"/>
        <v>1</v>
      </c>
      <c r="U35" s="52"/>
      <c r="V35" s="51">
        <f t="shared" si="6"/>
        <v>4</v>
      </c>
      <c r="W35" s="52">
        <f t="shared" si="7"/>
        <v>2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126</v>
      </c>
      <c r="C36" s="37">
        <v>82.0</v>
      </c>
      <c r="D36" s="37">
        <v>4.0</v>
      </c>
      <c r="E36" s="42">
        <f t="shared" si="2"/>
        <v>10.5</v>
      </c>
      <c r="F36" s="89">
        <v>1.0</v>
      </c>
      <c r="G36" s="90">
        <v>6.0</v>
      </c>
      <c r="H36" s="91">
        <v>0.0</v>
      </c>
      <c r="I36" s="90">
        <v>6.0</v>
      </c>
      <c r="J36" s="90">
        <v>6.0</v>
      </c>
      <c r="K36" s="90">
        <v>6.0</v>
      </c>
      <c r="L36" s="92">
        <v>18.0</v>
      </c>
      <c r="M36" s="90">
        <v>3.0</v>
      </c>
      <c r="N36" s="37">
        <f t="shared" ref="N36:O36" si="41">C36+L36</f>
        <v>100</v>
      </c>
      <c r="O36" s="37">
        <f t="shared" si="41"/>
        <v>7</v>
      </c>
      <c r="P36" s="50" t="s">
        <v>60</v>
      </c>
      <c r="Q36" s="50" t="s">
        <v>60</v>
      </c>
      <c r="R36" s="50" t="s">
        <v>60</v>
      </c>
      <c r="S36" s="51">
        <f t="shared" si="4"/>
        <v>4</v>
      </c>
      <c r="T36" s="52">
        <f t="shared" si="5"/>
        <v>1</v>
      </c>
      <c r="U36" s="52"/>
      <c r="V36" s="51">
        <f t="shared" si="6"/>
        <v>3</v>
      </c>
      <c r="W36" s="52">
        <f t="shared" si="7"/>
        <v>-4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128</v>
      </c>
      <c r="C37" s="37">
        <v>81.0</v>
      </c>
      <c r="D37" s="37">
        <v>7.0</v>
      </c>
      <c r="E37" s="42">
        <f t="shared" si="2"/>
        <v>11.25</v>
      </c>
      <c r="F37" s="89">
        <v>1.0</v>
      </c>
      <c r="G37" s="90">
        <v>7.0</v>
      </c>
      <c r="H37" s="91">
        <v>0.0</v>
      </c>
      <c r="I37" s="90">
        <v>1.0</v>
      </c>
      <c r="J37" s="90">
        <v>3.0</v>
      </c>
      <c r="K37" s="90">
        <v>6.0</v>
      </c>
      <c r="L37" s="92">
        <v>10.0</v>
      </c>
      <c r="M37" s="90">
        <v>1.0</v>
      </c>
      <c r="N37" s="37">
        <f t="shared" ref="N37:O37" si="42">C37+L37</f>
        <v>91</v>
      </c>
      <c r="O37" s="37">
        <f t="shared" si="42"/>
        <v>8</v>
      </c>
      <c r="P37" s="50" t="s">
        <v>60</v>
      </c>
      <c r="Q37" s="50" t="s">
        <v>60</v>
      </c>
      <c r="R37" s="50" t="s">
        <v>60</v>
      </c>
      <c r="S37" s="51">
        <f t="shared" si="4"/>
        <v>4</v>
      </c>
      <c r="T37" s="52">
        <f t="shared" si="5"/>
        <v>0</v>
      </c>
      <c r="U37" s="52"/>
      <c r="V37" s="51">
        <f t="shared" si="6"/>
        <v>4</v>
      </c>
      <c r="W37" s="52">
        <f t="shared" si="7"/>
        <v>2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114</v>
      </c>
      <c r="C38" s="37">
        <v>80.0</v>
      </c>
      <c r="D38" s="37">
        <v>5.0</v>
      </c>
      <c r="E38" s="42">
        <f t="shared" si="2"/>
        <v>10</v>
      </c>
      <c r="F38" s="89">
        <v>1.0</v>
      </c>
      <c r="G38" s="90">
        <v>7.0</v>
      </c>
      <c r="H38" s="91">
        <v>0.0</v>
      </c>
      <c r="I38" s="90">
        <v>6.0</v>
      </c>
      <c r="J38" s="90">
        <v>3.0</v>
      </c>
      <c r="K38" s="90">
        <v>0.0</v>
      </c>
      <c r="L38" s="92">
        <v>9.0</v>
      </c>
      <c r="M38" s="90">
        <v>1.0</v>
      </c>
      <c r="N38" s="37">
        <f t="shared" ref="N38:O38" si="43">C38+L38</f>
        <v>89</v>
      </c>
      <c r="O38" s="37">
        <f t="shared" si="43"/>
        <v>6</v>
      </c>
      <c r="P38" s="50" t="s">
        <v>60</v>
      </c>
      <c r="Q38" s="50" t="s">
        <v>60</v>
      </c>
      <c r="R38" s="50" t="s">
        <v>60</v>
      </c>
      <c r="S38" s="51">
        <f t="shared" si="4"/>
        <v>4</v>
      </c>
      <c r="T38" s="52">
        <f t="shared" si="5"/>
        <v>1</v>
      </c>
      <c r="U38" s="52"/>
      <c r="V38" s="51">
        <f t="shared" si="6"/>
        <v>3</v>
      </c>
      <c r="W38" s="52">
        <f t="shared" si="7"/>
        <v>3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146</v>
      </c>
      <c r="C39" s="37">
        <v>79.0</v>
      </c>
      <c r="D39" s="37">
        <v>7.0</v>
      </c>
      <c r="E39" s="42">
        <f t="shared" si="2"/>
        <v>9.6</v>
      </c>
      <c r="F39" s="89">
        <v>1.0</v>
      </c>
      <c r="G39" s="90">
        <v>7.0</v>
      </c>
      <c r="H39" s="91">
        <v>0.0</v>
      </c>
      <c r="I39" s="90">
        <v>6.0</v>
      </c>
      <c r="J39" s="90">
        <v>6.0</v>
      </c>
      <c r="K39" s="90">
        <v>6.0</v>
      </c>
      <c r="L39" s="92">
        <v>18.0</v>
      </c>
      <c r="M39" s="90">
        <v>3.0</v>
      </c>
      <c r="N39" s="37">
        <f t="shared" ref="N39:O39" si="44">C39+L39</f>
        <v>97</v>
      </c>
      <c r="O39" s="37">
        <f t="shared" si="44"/>
        <v>10</v>
      </c>
      <c r="P39" s="50" t="s">
        <v>60</v>
      </c>
      <c r="Q39" s="50" t="s">
        <v>60</v>
      </c>
      <c r="R39" s="50" t="s">
        <v>60</v>
      </c>
      <c r="S39" s="51">
        <f t="shared" si="4"/>
        <v>5</v>
      </c>
      <c r="T39" s="52">
        <f t="shared" si="5"/>
        <v>1</v>
      </c>
      <c r="U39" s="52"/>
      <c r="V39" s="51">
        <f t="shared" si="6"/>
        <v>2</v>
      </c>
      <c r="W39" s="52">
        <f t="shared" si="7"/>
        <v>5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61</v>
      </c>
      <c r="C40" s="37">
        <v>79.0</v>
      </c>
      <c r="D40" s="37">
        <v>6.0</v>
      </c>
      <c r="E40" s="42">
        <f t="shared" si="2"/>
        <v>10.4</v>
      </c>
      <c r="F40" s="89">
        <v>1.0</v>
      </c>
      <c r="G40" s="90">
        <v>7.0</v>
      </c>
      <c r="H40" s="91">
        <v>0.0</v>
      </c>
      <c r="I40" s="90">
        <v>1.0</v>
      </c>
      <c r="J40" s="90">
        <v>6.0</v>
      </c>
      <c r="K40" s="90">
        <v>0.0</v>
      </c>
      <c r="L40" s="92">
        <v>7.0</v>
      </c>
      <c r="M40" s="90">
        <v>1.0</v>
      </c>
      <c r="N40" s="37">
        <f t="shared" ref="N40:O40" si="45">C40+L40</f>
        <v>86</v>
      </c>
      <c r="O40" s="37">
        <f t="shared" si="45"/>
        <v>7</v>
      </c>
      <c r="P40" s="50" t="s">
        <v>60</v>
      </c>
      <c r="Q40" s="50" t="s">
        <v>60</v>
      </c>
      <c r="R40" s="50" t="s">
        <v>60</v>
      </c>
      <c r="S40" s="51">
        <f t="shared" si="4"/>
        <v>5</v>
      </c>
      <c r="T40" s="52">
        <f t="shared" si="5"/>
        <v>0</v>
      </c>
      <c r="U40" s="52"/>
      <c r="V40" s="51">
        <f t="shared" si="6"/>
        <v>3</v>
      </c>
      <c r="W40" s="52">
        <f t="shared" si="7"/>
        <v>-6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102</v>
      </c>
      <c r="C41" s="37">
        <v>79.0</v>
      </c>
      <c r="D41" s="37">
        <v>4.0</v>
      </c>
      <c r="E41" s="42">
        <f t="shared" si="2"/>
        <v>8.5</v>
      </c>
      <c r="F41" s="89">
        <v>5.0</v>
      </c>
      <c r="G41" s="90">
        <v>0.0</v>
      </c>
      <c r="H41" s="91">
        <v>13.0</v>
      </c>
      <c r="I41" s="90">
        <v>0.0</v>
      </c>
      <c r="J41" s="90">
        <v>0.0</v>
      </c>
      <c r="K41" s="90">
        <v>0.0</v>
      </c>
      <c r="L41" s="92">
        <v>13.0</v>
      </c>
      <c r="M41" s="90">
        <v>0.0</v>
      </c>
      <c r="N41" s="37">
        <f t="shared" ref="N41:O41" si="46">C41+L41</f>
        <v>92</v>
      </c>
      <c r="O41" s="37">
        <f t="shared" si="46"/>
        <v>4</v>
      </c>
      <c r="P41" s="50" t="s">
        <v>60</v>
      </c>
      <c r="Q41" s="50" t="s">
        <v>60</v>
      </c>
      <c r="R41" s="50" t="s">
        <v>60</v>
      </c>
      <c r="S41" s="51">
        <f t="shared" si="4"/>
        <v>2</v>
      </c>
      <c r="T41" s="52">
        <f t="shared" si="5"/>
        <v>2</v>
      </c>
      <c r="U41" s="52"/>
      <c r="V41" s="51">
        <f t="shared" si="6"/>
        <v>4</v>
      </c>
      <c r="W41" s="52">
        <f t="shared" si="7"/>
        <v>10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117</v>
      </c>
      <c r="C42" s="37">
        <v>76.0</v>
      </c>
      <c r="D42" s="37">
        <v>5.0</v>
      </c>
      <c r="E42" s="42">
        <f t="shared" si="2"/>
        <v>10</v>
      </c>
      <c r="F42" s="89">
        <v>3.0</v>
      </c>
      <c r="G42" s="90">
        <v>0.0</v>
      </c>
      <c r="H42" s="91">
        <v>9.0</v>
      </c>
      <c r="I42" s="90">
        <v>0.0</v>
      </c>
      <c r="J42" s="90">
        <v>0.0</v>
      </c>
      <c r="K42" s="90">
        <v>0.0</v>
      </c>
      <c r="L42" s="92">
        <v>9.0</v>
      </c>
      <c r="M42" s="90">
        <v>0.0</v>
      </c>
      <c r="N42" s="37">
        <f t="shared" ref="N42:O42" si="47">C42+L42</f>
        <v>85</v>
      </c>
      <c r="O42" s="37">
        <f t="shared" si="47"/>
        <v>5</v>
      </c>
      <c r="P42" s="50" t="s">
        <v>60</v>
      </c>
      <c r="Q42" s="50" t="s">
        <v>60</v>
      </c>
      <c r="R42" s="50" t="s">
        <v>60</v>
      </c>
      <c r="S42" s="51">
        <f t="shared" si="4"/>
        <v>4</v>
      </c>
      <c r="T42" s="52">
        <f t="shared" si="5"/>
        <v>0</v>
      </c>
      <c r="U42" s="52"/>
      <c r="V42" s="51">
        <f t="shared" si="6"/>
        <v>4</v>
      </c>
      <c r="W42" s="52">
        <f t="shared" si="7"/>
        <v>-2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105</v>
      </c>
      <c r="C43" s="37">
        <v>76.0</v>
      </c>
      <c r="D43" s="37">
        <v>3.0</v>
      </c>
      <c r="E43" s="42">
        <f t="shared" si="2"/>
        <v>7.666666667</v>
      </c>
      <c r="F43" s="89">
        <v>3.0</v>
      </c>
      <c r="G43" s="90">
        <v>0.0</v>
      </c>
      <c r="H43" s="91">
        <v>9.0</v>
      </c>
      <c r="I43" s="90">
        <v>0.0</v>
      </c>
      <c r="J43" s="90">
        <v>0.0</v>
      </c>
      <c r="K43" s="90">
        <v>0.0</v>
      </c>
      <c r="L43" s="92">
        <v>9.0</v>
      </c>
      <c r="M43" s="90">
        <v>0.0</v>
      </c>
      <c r="N43" s="37">
        <f t="shared" ref="N43:O43" si="48">C43+L43</f>
        <v>85</v>
      </c>
      <c r="O43" s="37">
        <f t="shared" si="48"/>
        <v>3</v>
      </c>
      <c r="P43" s="50" t="s">
        <v>60</v>
      </c>
      <c r="Q43" s="50" t="s">
        <v>60</v>
      </c>
      <c r="R43" s="50" t="s">
        <v>60</v>
      </c>
      <c r="S43" s="51">
        <f t="shared" si="4"/>
        <v>3</v>
      </c>
      <c r="T43" s="52">
        <f t="shared" si="5"/>
        <v>2</v>
      </c>
      <c r="U43" s="52"/>
      <c r="V43" s="51">
        <f t="shared" si="6"/>
        <v>3</v>
      </c>
      <c r="W43" s="52">
        <f t="shared" si="7"/>
        <v>-1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144</v>
      </c>
      <c r="C44" s="37">
        <v>76.0</v>
      </c>
      <c r="D44" s="37">
        <v>3.0</v>
      </c>
      <c r="E44" s="42">
        <f t="shared" si="2"/>
        <v>7.666666667</v>
      </c>
      <c r="F44" s="89">
        <v>5.0</v>
      </c>
      <c r="G44" s="90">
        <v>0.0</v>
      </c>
      <c r="H44" s="91">
        <v>13.0</v>
      </c>
      <c r="I44" s="90">
        <v>0.0</v>
      </c>
      <c r="J44" s="90">
        <v>0.0</v>
      </c>
      <c r="K44" s="90">
        <v>0.0</v>
      </c>
      <c r="L44" s="92">
        <v>13.0</v>
      </c>
      <c r="M44" s="90">
        <v>0.0</v>
      </c>
      <c r="N44" s="37">
        <f t="shared" ref="N44:O44" si="49">C44+L44</f>
        <v>89</v>
      </c>
      <c r="O44" s="37">
        <f t="shared" si="49"/>
        <v>3</v>
      </c>
      <c r="P44" s="50" t="s">
        <v>60</v>
      </c>
      <c r="Q44" s="50" t="s">
        <v>60</v>
      </c>
      <c r="R44" s="50" t="s">
        <v>60</v>
      </c>
      <c r="S44" s="51">
        <f t="shared" si="4"/>
        <v>3</v>
      </c>
      <c r="T44" s="52">
        <f t="shared" si="5"/>
        <v>2</v>
      </c>
      <c r="U44" s="52"/>
      <c r="V44" s="51">
        <f t="shared" si="6"/>
        <v>3</v>
      </c>
      <c r="W44" s="52">
        <f t="shared" si="7"/>
        <v>10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133</v>
      </c>
      <c r="C45" s="37">
        <v>76.0</v>
      </c>
      <c r="D45" s="37">
        <v>2.0</v>
      </c>
      <c r="E45" s="42">
        <f t="shared" si="2"/>
        <v>9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85</v>
      </c>
      <c r="O45" s="37">
        <f t="shared" si="50"/>
        <v>2</v>
      </c>
      <c r="P45" s="50" t="s">
        <v>60</v>
      </c>
      <c r="Q45" s="50" t="s">
        <v>60</v>
      </c>
      <c r="R45" s="50" t="s">
        <v>60</v>
      </c>
      <c r="S45" s="51">
        <f t="shared" si="4"/>
        <v>3</v>
      </c>
      <c r="T45" s="52">
        <f t="shared" si="5"/>
        <v>1</v>
      </c>
      <c r="U45" s="52"/>
      <c r="V45" s="51">
        <f t="shared" si="6"/>
        <v>4</v>
      </c>
      <c r="W45" s="52">
        <f t="shared" si="7"/>
        <v>-7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109</v>
      </c>
      <c r="C46" s="37">
        <v>76.0</v>
      </c>
      <c r="D46" s="37">
        <v>2.0</v>
      </c>
      <c r="E46" s="42">
        <f t="shared" si="2"/>
        <v>5</v>
      </c>
      <c r="F46" s="89">
        <v>5.0</v>
      </c>
      <c r="G46" s="90">
        <v>0.0</v>
      </c>
      <c r="H46" s="91">
        <v>13.0</v>
      </c>
      <c r="I46" s="90">
        <v>0.0</v>
      </c>
      <c r="J46" s="90">
        <v>0.0</v>
      </c>
      <c r="K46" s="90">
        <v>0.0</v>
      </c>
      <c r="L46" s="92">
        <v>13.0</v>
      </c>
      <c r="M46" s="90">
        <v>0.0</v>
      </c>
      <c r="N46" s="37">
        <f t="shared" ref="N46:O46" si="51">C46+L46</f>
        <v>89</v>
      </c>
      <c r="O46" s="37">
        <f t="shared" si="51"/>
        <v>2</v>
      </c>
      <c r="P46" s="50" t="s">
        <v>60</v>
      </c>
      <c r="Q46" s="50" t="s">
        <v>60</v>
      </c>
      <c r="R46" s="50" t="s">
        <v>60</v>
      </c>
      <c r="S46" s="51">
        <f t="shared" si="4"/>
        <v>2</v>
      </c>
      <c r="T46" s="52">
        <f t="shared" si="5"/>
        <v>3</v>
      </c>
      <c r="U46" s="52"/>
      <c r="V46" s="51">
        <f t="shared" si="6"/>
        <v>3</v>
      </c>
      <c r="W46" s="52">
        <f t="shared" si="7"/>
        <v>-3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84</v>
      </c>
      <c r="C47" s="37">
        <v>76.0</v>
      </c>
      <c r="D47" s="37">
        <v>1.0</v>
      </c>
      <c r="E47" s="42">
        <f t="shared" si="2"/>
        <v>6.333333333</v>
      </c>
      <c r="F47" s="89">
        <v>2.0</v>
      </c>
      <c r="G47" s="90">
        <v>8.0</v>
      </c>
      <c r="H47" s="91">
        <v>0.0</v>
      </c>
      <c r="I47" s="90">
        <v>6.0</v>
      </c>
      <c r="J47" s="90">
        <v>0.0</v>
      </c>
      <c r="K47" s="90">
        <v>0.0</v>
      </c>
      <c r="L47" s="92">
        <v>6.0</v>
      </c>
      <c r="M47" s="90">
        <v>1.0</v>
      </c>
      <c r="N47" s="37">
        <f t="shared" ref="N47:O47" si="52">C47+L47</f>
        <v>82</v>
      </c>
      <c r="O47" s="37">
        <f t="shared" si="52"/>
        <v>2</v>
      </c>
      <c r="P47" s="50" t="s">
        <v>60</v>
      </c>
      <c r="Q47" s="50" t="s">
        <v>60</v>
      </c>
      <c r="R47" s="50" t="s">
        <v>60</v>
      </c>
      <c r="S47" s="51">
        <f t="shared" si="4"/>
        <v>3</v>
      </c>
      <c r="T47" s="52">
        <f t="shared" si="5"/>
        <v>3</v>
      </c>
      <c r="U47" s="52"/>
      <c r="V47" s="51">
        <f t="shared" si="6"/>
        <v>2</v>
      </c>
      <c r="W47" s="52">
        <f t="shared" si="7"/>
        <v>5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72</v>
      </c>
      <c r="C48" s="37">
        <v>74.0</v>
      </c>
      <c r="D48" s="37">
        <v>0.0</v>
      </c>
      <c r="E48" s="42">
        <f t="shared" si="2"/>
        <v>-1</v>
      </c>
      <c r="F48" s="89">
        <v>3.0</v>
      </c>
      <c r="G48" s="90">
        <v>0.0</v>
      </c>
      <c r="H48" s="91">
        <v>9.0</v>
      </c>
      <c r="I48" s="90">
        <v>0.0</v>
      </c>
      <c r="J48" s="90">
        <v>0.0</v>
      </c>
      <c r="K48" s="90">
        <v>0.0</v>
      </c>
      <c r="L48" s="92">
        <v>9.0</v>
      </c>
      <c r="M48" s="90">
        <v>0.0</v>
      </c>
      <c r="N48" s="37">
        <f t="shared" ref="N48:O48" si="53">C48+L48</f>
        <v>83</v>
      </c>
      <c r="O48" s="37">
        <f t="shared" si="53"/>
        <v>0</v>
      </c>
      <c r="P48" s="50" t="s">
        <v>60</v>
      </c>
      <c r="Q48" s="50" t="s">
        <v>60</v>
      </c>
      <c r="R48" s="50" t="s">
        <v>60</v>
      </c>
      <c r="S48" s="51">
        <f t="shared" si="4"/>
        <v>1</v>
      </c>
      <c r="T48" s="52">
        <f t="shared" si="5"/>
        <v>3</v>
      </c>
      <c r="U48" s="52"/>
      <c r="V48" s="51">
        <f t="shared" si="6"/>
        <v>4</v>
      </c>
      <c r="W48" s="52">
        <f t="shared" si="7"/>
        <v>-2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145</v>
      </c>
      <c r="C49" s="37">
        <v>73.0</v>
      </c>
      <c r="D49" s="37">
        <v>3.0</v>
      </c>
      <c r="E49" s="42">
        <f t="shared" si="2"/>
        <v>10</v>
      </c>
      <c r="F49" s="89">
        <v>4.0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82</v>
      </c>
      <c r="O49" s="37">
        <f t="shared" si="54"/>
        <v>3</v>
      </c>
      <c r="P49" s="50" t="s">
        <v>60</v>
      </c>
      <c r="Q49" s="50" t="s">
        <v>60</v>
      </c>
      <c r="R49" s="50" t="s">
        <v>60</v>
      </c>
      <c r="S49" s="51">
        <f t="shared" si="4"/>
        <v>1</v>
      </c>
      <c r="T49" s="52">
        <f t="shared" si="5"/>
        <v>0</v>
      </c>
      <c r="U49" s="52"/>
      <c r="V49" s="51">
        <f t="shared" si="6"/>
        <v>7</v>
      </c>
      <c r="W49" s="52">
        <f t="shared" si="7"/>
        <v>18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134</v>
      </c>
      <c r="C50" s="37">
        <v>73.0</v>
      </c>
      <c r="D50" s="37">
        <v>1.0</v>
      </c>
      <c r="E50" s="42">
        <f t="shared" si="2"/>
        <v>5.333333333</v>
      </c>
      <c r="F50" s="89">
        <v>2.0</v>
      </c>
      <c r="G50" s="90">
        <v>8.0</v>
      </c>
      <c r="H50" s="91">
        <v>0.0</v>
      </c>
      <c r="I50" s="90">
        <v>1.0</v>
      </c>
      <c r="J50" s="90">
        <v>0.0</v>
      </c>
      <c r="K50" s="90">
        <v>6.0</v>
      </c>
      <c r="L50" s="92">
        <v>7.0</v>
      </c>
      <c r="M50" s="90">
        <v>1.0</v>
      </c>
      <c r="N50" s="37">
        <f t="shared" ref="N50:O50" si="55">C50+L50</f>
        <v>80</v>
      </c>
      <c r="O50" s="37">
        <f t="shared" si="55"/>
        <v>2</v>
      </c>
      <c r="P50" s="50" t="s">
        <v>60</v>
      </c>
      <c r="Q50" s="50" t="s">
        <v>60</v>
      </c>
      <c r="R50" s="50" t="s">
        <v>60</v>
      </c>
      <c r="S50" s="51">
        <f t="shared" si="4"/>
        <v>3</v>
      </c>
      <c r="T50" s="52">
        <f t="shared" si="5"/>
        <v>3</v>
      </c>
      <c r="U50" s="52"/>
      <c r="V50" s="51">
        <f t="shared" si="6"/>
        <v>2</v>
      </c>
      <c r="W50" s="52">
        <f t="shared" si="7"/>
        <v>-3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106</v>
      </c>
      <c r="C51" s="37">
        <v>72.0</v>
      </c>
      <c r="D51" s="37">
        <v>3.0</v>
      </c>
      <c r="E51" s="42">
        <f t="shared" si="2"/>
        <v>9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81</v>
      </c>
      <c r="O51" s="37">
        <f t="shared" si="56"/>
        <v>3</v>
      </c>
      <c r="P51" s="50" t="s">
        <v>60</v>
      </c>
      <c r="Q51" s="50" t="s">
        <v>60</v>
      </c>
      <c r="R51" s="50" t="s">
        <v>60</v>
      </c>
      <c r="S51" s="51">
        <f t="shared" si="4"/>
        <v>2</v>
      </c>
      <c r="T51" s="52">
        <f t="shared" si="5"/>
        <v>0</v>
      </c>
      <c r="U51" s="52"/>
      <c r="V51" s="51">
        <f t="shared" si="6"/>
        <v>6</v>
      </c>
      <c r="W51" s="52">
        <f t="shared" si="7"/>
        <v>-3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142</v>
      </c>
      <c r="C52" s="37">
        <v>72.0</v>
      </c>
      <c r="D52" s="37">
        <v>2.0</v>
      </c>
      <c r="E52" s="42">
        <f t="shared" si="2"/>
        <v>9</v>
      </c>
      <c r="F52" s="89">
        <v>1.0</v>
      </c>
      <c r="G52" s="90">
        <v>8.0</v>
      </c>
      <c r="H52" s="91">
        <v>0.0</v>
      </c>
      <c r="I52" s="90">
        <v>6.0</v>
      </c>
      <c r="J52" s="90">
        <v>6.0</v>
      </c>
      <c r="K52" s="90">
        <v>6.0</v>
      </c>
      <c r="L52" s="92">
        <v>18.0</v>
      </c>
      <c r="M52" s="90">
        <v>3.0</v>
      </c>
      <c r="N52" s="37">
        <f t="shared" ref="N52:O52" si="57">C52+L52</f>
        <v>90</v>
      </c>
      <c r="O52" s="37">
        <f t="shared" si="57"/>
        <v>5</v>
      </c>
      <c r="P52" s="50" t="s">
        <v>60</v>
      </c>
      <c r="Q52" s="50" t="s">
        <v>60</v>
      </c>
      <c r="R52" s="50" t="s">
        <v>60</v>
      </c>
      <c r="S52" s="51">
        <f t="shared" si="4"/>
        <v>2</v>
      </c>
      <c r="T52" s="52">
        <f t="shared" si="5"/>
        <v>0</v>
      </c>
      <c r="U52" s="52"/>
      <c r="V52" s="51">
        <f t="shared" si="6"/>
        <v>6</v>
      </c>
      <c r="W52" s="52">
        <f t="shared" si="7"/>
        <v>-3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125</v>
      </c>
      <c r="C53" s="37">
        <v>72.0</v>
      </c>
      <c r="D53" s="37">
        <v>2.0</v>
      </c>
      <c r="E53" s="42">
        <f t="shared" si="2"/>
        <v>5</v>
      </c>
      <c r="F53" s="89">
        <v>5.0</v>
      </c>
      <c r="G53" s="90">
        <v>0.0</v>
      </c>
      <c r="H53" s="91">
        <v>13.0</v>
      </c>
      <c r="I53" s="90">
        <v>0.0</v>
      </c>
      <c r="J53" s="90">
        <v>0.0</v>
      </c>
      <c r="K53" s="90">
        <v>0.0</v>
      </c>
      <c r="L53" s="92">
        <v>13.0</v>
      </c>
      <c r="M53" s="90">
        <v>0.0</v>
      </c>
      <c r="N53" s="37">
        <f t="shared" ref="N53:O53" si="58">C53+L53</f>
        <v>85</v>
      </c>
      <c r="O53" s="37">
        <f t="shared" si="58"/>
        <v>2</v>
      </c>
      <c r="P53" s="50" t="s">
        <v>60</v>
      </c>
      <c r="Q53" s="50" t="s">
        <v>60</v>
      </c>
      <c r="R53" s="50" t="s">
        <v>60</v>
      </c>
      <c r="S53" s="51">
        <f t="shared" si="4"/>
        <v>2</v>
      </c>
      <c r="T53" s="52">
        <f t="shared" si="5"/>
        <v>2</v>
      </c>
      <c r="U53" s="52"/>
      <c r="V53" s="51">
        <f t="shared" si="6"/>
        <v>4</v>
      </c>
      <c r="W53" s="52">
        <f t="shared" si="7"/>
        <v>-3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141</v>
      </c>
      <c r="C54" s="37">
        <v>71.0</v>
      </c>
      <c r="D54" s="37">
        <v>4.0</v>
      </c>
      <c r="E54" s="42">
        <f t="shared" si="2"/>
        <v>8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80</v>
      </c>
      <c r="O54" s="37">
        <f t="shared" si="59"/>
        <v>4</v>
      </c>
      <c r="P54" s="50" t="s">
        <v>60</v>
      </c>
      <c r="Q54" s="50" t="s">
        <v>60</v>
      </c>
      <c r="R54" s="50" t="s">
        <v>60</v>
      </c>
      <c r="S54" s="51">
        <f t="shared" si="4"/>
        <v>5</v>
      </c>
      <c r="T54" s="52">
        <f t="shared" si="5"/>
        <v>1</v>
      </c>
      <c r="U54" s="52"/>
      <c r="V54" s="51">
        <f t="shared" si="6"/>
        <v>2</v>
      </c>
      <c r="W54" s="52">
        <f t="shared" si="7"/>
        <v>-9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90</v>
      </c>
      <c r="C55" s="37">
        <v>71.0</v>
      </c>
      <c r="D55" s="37">
        <v>3.0</v>
      </c>
      <c r="E55" s="42">
        <f t="shared" si="2"/>
        <v>6</v>
      </c>
      <c r="F55" s="89">
        <v>5.0</v>
      </c>
      <c r="G55" s="90">
        <v>0.0</v>
      </c>
      <c r="H55" s="91">
        <v>13.0</v>
      </c>
      <c r="I55" s="90">
        <v>0.0</v>
      </c>
      <c r="J55" s="90">
        <v>0.0</v>
      </c>
      <c r="K55" s="90">
        <v>0.0</v>
      </c>
      <c r="L55" s="92">
        <v>13.0</v>
      </c>
      <c r="M55" s="90">
        <v>0.0</v>
      </c>
      <c r="N55" s="37">
        <f t="shared" ref="N55:O55" si="60">C55+L55</f>
        <v>84</v>
      </c>
      <c r="O55" s="37">
        <f t="shared" si="60"/>
        <v>3</v>
      </c>
      <c r="P55" s="50" t="s">
        <v>60</v>
      </c>
      <c r="Q55" s="50" t="s">
        <v>60</v>
      </c>
      <c r="R55" s="50" t="s">
        <v>60</v>
      </c>
      <c r="S55" s="51">
        <f t="shared" si="4"/>
        <v>3</v>
      </c>
      <c r="T55" s="52">
        <f t="shared" si="5"/>
        <v>2</v>
      </c>
      <c r="U55" s="52"/>
      <c r="V55" s="51">
        <f t="shared" si="6"/>
        <v>3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104</v>
      </c>
      <c r="C56" s="37">
        <v>71.0</v>
      </c>
      <c r="D56" s="37">
        <v>0.0</v>
      </c>
      <c r="E56" s="42">
        <f t="shared" si="2"/>
        <v>0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80</v>
      </c>
      <c r="O56" s="37">
        <f t="shared" si="61"/>
        <v>0</v>
      </c>
      <c r="P56" s="50" t="s">
        <v>60</v>
      </c>
      <c r="Q56" s="50" t="s">
        <v>60</v>
      </c>
      <c r="R56" s="50" t="s">
        <v>60</v>
      </c>
      <c r="S56" s="51">
        <f t="shared" si="4"/>
        <v>0</v>
      </c>
      <c r="T56" s="52">
        <f t="shared" si="5"/>
        <v>2</v>
      </c>
      <c r="U56" s="52"/>
      <c r="V56" s="51">
        <f t="shared" si="6"/>
        <v>6</v>
      </c>
      <c r="W56" s="52">
        <f t="shared" si="7"/>
        <v>-1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89</v>
      </c>
      <c r="C57" s="37">
        <v>69.0</v>
      </c>
      <c r="D57" s="37">
        <v>2.0</v>
      </c>
      <c r="E57" s="42">
        <f t="shared" si="2"/>
        <v>6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78</v>
      </c>
      <c r="O57" s="37">
        <f t="shared" si="62"/>
        <v>2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0</v>
      </c>
      <c r="U57" s="52"/>
      <c r="V57" s="51">
        <f t="shared" si="6"/>
        <v>7</v>
      </c>
      <c r="W57" s="52">
        <f t="shared" si="7"/>
        <v>-1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56</v>
      </c>
      <c r="C58" s="37">
        <v>68.0</v>
      </c>
      <c r="D58" s="37">
        <v>2.0</v>
      </c>
      <c r="E58" s="42">
        <f t="shared" si="2"/>
        <v>5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77</v>
      </c>
      <c r="O58" s="37">
        <f t="shared" si="63"/>
        <v>2</v>
      </c>
      <c r="P58" s="50" t="s">
        <v>60</v>
      </c>
      <c r="Q58" s="50" t="s">
        <v>60</v>
      </c>
      <c r="R58" s="50" t="s">
        <v>60</v>
      </c>
      <c r="S58" s="51">
        <f t="shared" si="4"/>
        <v>1</v>
      </c>
      <c r="T58" s="52">
        <f t="shared" si="5"/>
        <v>0</v>
      </c>
      <c r="U58" s="52"/>
      <c r="V58" s="51">
        <f t="shared" si="6"/>
        <v>7</v>
      </c>
      <c r="W58" s="52">
        <f t="shared" si="7"/>
        <v>-1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129</v>
      </c>
      <c r="C59" s="37">
        <v>67.0</v>
      </c>
      <c r="D59" s="37">
        <v>3.0</v>
      </c>
      <c r="E59" s="42">
        <f t="shared" si="2"/>
        <v>7.75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76</v>
      </c>
      <c r="O59" s="37">
        <f t="shared" si="64"/>
        <v>3</v>
      </c>
      <c r="P59" s="50" t="s">
        <v>60</v>
      </c>
      <c r="Q59" s="50" t="s">
        <v>60</v>
      </c>
      <c r="R59" s="50" t="s">
        <v>60</v>
      </c>
      <c r="S59" s="51">
        <f t="shared" si="4"/>
        <v>4</v>
      </c>
      <c r="T59" s="52">
        <f t="shared" si="5"/>
        <v>0</v>
      </c>
      <c r="U59" s="52"/>
      <c r="V59" s="51">
        <f t="shared" si="6"/>
        <v>4</v>
      </c>
      <c r="W59" s="52">
        <f t="shared" si="7"/>
        <v>-1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119</v>
      </c>
      <c r="C60" s="37">
        <v>66.0</v>
      </c>
      <c r="D60" s="37">
        <v>1.0</v>
      </c>
      <c r="E60" s="42">
        <f t="shared" si="2"/>
        <v>3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75</v>
      </c>
      <c r="O60" s="37">
        <f t="shared" si="65"/>
        <v>1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0</v>
      </c>
      <c r="U60" s="52"/>
      <c r="V60" s="51">
        <f t="shared" si="6"/>
        <v>7</v>
      </c>
      <c r="W60" s="52">
        <f t="shared" si="7"/>
        <v>-1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116</v>
      </c>
      <c r="C61" s="37">
        <v>65.0</v>
      </c>
      <c r="D61" s="37">
        <v>1.0</v>
      </c>
      <c r="E61" s="42">
        <f t="shared" si="2"/>
        <v>-2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74</v>
      </c>
      <c r="O61" s="37">
        <f t="shared" si="66"/>
        <v>1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1</v>
      </c>
      <c r="U61" s="52"/>
      <c r="V61" s="51">
        <f t="shared" si="6"/>
        <v>6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96</v>
      </c>
      <c r="C62" s="37">
        <v>64.0</v>
      </c>
      <c r="D62" s="37">
        <v>4.0</v>
      </c>
      <c r="E62" s="42">
        <f t="shared" si="2"/>
        <v>8</v>
      </c>
      <c r="F62" s="89">
        <v>1.0</v>
      </c>
      <c r="G62" s="90">
        <v>8.0</v>
      </c>
      <c r="H62" s="91">
        <v>0.0</v>
      </c>
      <c r="I62" s="90">
        <v>1.0</v>
      </c>
      <c r="J62" s="90">
        <v>6.0</v>
      </c>
      <c r="K62" s="90">
        <v>0.0</v>
      </c>
      <c r="L62" s="92">
        <v>7.0</v>
      </c>
      <c r="M62" s="90">
        <v>1.0</v>
      </c>
      <c r="N62" s="37">
        <f t="shared" ref="N62:O62" si="67">C62+L62</f>
        <v>71</v>
      </c>
      <c r="O62" s="37">
        <f t="shared" si="67"/>
        <v>5</v>
      </c>
      <c r="P62" s="50" t="s">
        <v>60</v>
      </c>
      <c r="Q62" s="50" t="s">
        <v>60</v>
      </c>
      <c r="R62" s="50" t="s">
        <v>60</v>
      </c>
      <c r="S62" s="51">
        <f t="shared" si="4"/>
        <v>8</v>
      </c>
      <c r="T62" s="52">
        <f t="shared" si="5"/>
        <v>0</v>
      </c>
      <c r="U62" s="52"/>
      <c r="V62" s="51">
        <f t="shared" si="6"/>
        <v>0</v>
      </c>
      <c r="W62" s="52">
        <f t="shared" si="7"/>
        <v>-1</v>
      </c>
      <c r="X62" s="35">
        <f t="shared" si="12"/>
        <v>58</v>
      </c>
      <c r="Y62" s="35" t="str">
        <f t="shared" si="8"/>
        <v>Y</v>
      </c>
      <c r="Z62" s="22" t="str">
        <f t="shared" si="9"/>
        <v/>
      </c>
    </row>
    <row r="63">
      <c r="A63" s="35">
        <f t="shared" si="10"/>
        <v>59</v>
      </c>
      <c r="B63" s="36" t="s">
        <v>95</v>
      </c>
      <c r="C63" s="37">
        <v>63.0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72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8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77</v>
      </c>
      <c r="C64" s="37">
        <v>63.0</v>
      </c>
      <c r="D64" s="37">
        <v>0.0</v>
      </c>
      <c r="E64" s="42">
        <f t="shared" si="2"/>
        <v>0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72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8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137</v>
      </c>
      <c r="C65" s="37">
        <v>63.0</v>
      </c>
      <c r="D65" s="37">
        <v>0.0</v>
      </c>
      <c r="E65" s="42">
        <f t="shared" si="2"/>
        <v>0</v>
      </c>
      <c r="F65" s="89">
        <v>5.0</v>
      </c>
      <c r="G65" s="90">
        <v>0.0</v>
      </c>
      <c r="H65" s="91">
        <v>13.0</v>
      </c>
      <c r="I65" s="90">
        <v>0.0</v>
      </c>
      <c r="J65" s="90">
        <v>0.0</v>
      </c>
      <c r="K65" s="90">
        <v>0.0</v>
      </c>
      <c r="L65" s="92">
        <v>13.0</v>
      </c>
      <c r="M65" s="90">
        <v>0.0</v>
      </c>
      <c r="N65" s="37">
        <f t="shared" ref="N65:O65" si="70">C65+L65</f>
        <v>76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1</v>
      </c>
      <c r="U65" s="52"/>
      <c r="V65" s="51">
        <f t="shared" si="6"/>
        <v>7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132</v>
      </c>
      <c r="C66" s="37">
        <v>63.0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72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8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53</v>
      </c>
      <c r="C67" s="37">
        <v>63.0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72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8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120</v>
      </c>
      <c r="C68" s="37">
        <v>63.0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72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8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139</v>
      </c>
      <c r="C69" s="37">
        <v>63.0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72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8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138</v>
      </c>
      <c r="C70" s="37">
        <v>63.0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72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8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59.0</v>
      </c>
      <c r="D71" s="37">
        <v>0.0</v>
      </c>
      <c r="E71" s="42">
        <f t="shared" si="2"/>
        <v>-8</v>
      </c>
      <c r="F71" s="89">
        <v>5.0</v>
      </c>
      <c r="G71" s="90">
        <v>0.0</v>
      </c>
      <c r="H71" s="91">
        <v>13.0</v>
      </c>
      <c r="I71" s="90">
        <v>0.0</v>
      </c>
      <c r="J71" s="90">
        <v>0.0</v>
      </c>
      <c r="K71" s="90">
        <v>0.0</v>
      </c>
      <c r="L71" s="92">
        <v>13.0</v>
      </c>
      <c r="M71" s="90">
        <v>0.0</v>
      </c>
      <c r="N71" s="37">
        <f t="shared" ref="N71:O71" si="76">C71+L71</f>
        <v>72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6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08/15/26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desc"",0)"),"Pulkit Mathur")</f>
        <v>Pulkit Mathur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IFERROR(__xludf.DUMMYFUNCTION("""COMPUTED_VALUE"""),2.0)</f>
        <v>2</v>
      </c>
      <c r="F83" s="2"/>
    </row>
    <row r="84">
      <c r="A84" s="2"/>
      <c r="B84" s="36" t="str">
        <f>IFERROR(__xludf.DUMMYFUNCTION("""COMPUTED_VALUE"""),"Suleman Alidina")</f>
        <v>Suleman Alidina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IFERROR(__xludf.DUMMYFUNCTION("""COMPUTED_VALUE"""),3.0)</f>
        <v>3</v>
      </c>
      <c r="F84" s="2"/>
    </row>
    <row r="85">
      <c r="A85" s="2"/>
      <c r="B85" s="36" t="str">
        <f>IFERROR(__xludf.DUMMYFUNCTION("""COMPUTED_VALUE"""),"Sandeep Kamalon")</f>
        <v>Sandeep Kamalon</v>
      </c>
      <c r="C85" s="125">
        <f>IFERROR(__xludf.DUMMYFUNCTION("""COMPUTED_VALUE"""),19.0)</f>
        <v>19</v>
      </c>
      <c r="D85" s="125">
        <f>IFERROR(__xludf.DUMMYFUNCTION("""COMPUTED_VALUE"""),3.0)</f>
        <v>3</v>
      </c>
      <c r="E85" s="125">
        <f>IFERROR(__xludf.DUMMYFUNCTION("""COMPUTED_VALUE"""),4.0)</f>
        <v>4</v>
      </c>
      <c r="F85" s="2"/>
    </row>
    <row r="86">
      <c r="A86" s="2"/>
      <c r="B86" s="36" t="str">
        <f>IFERROR(__xludf.DUMMYFUNCTION("""COMPUTED_VALUE"""),"Vishnu Amarnath")</f>
        <v>Vishnu Amarnath</v>
      </c>
      <c r="C86" s="125">
        <f>IFERROR(__xludf.DUMMYFUNCTION("""COMPUTED_VALUE"""),19.0)</f>
        <v>19</v>
      </c>
      <c r="D86" s="125">
        <f>IFERROR(__xludf.DUMMYFUNCTION("""COMPUTED_VALUE"""),3.0)</f>
        <v>3</v>
      </c>
      <c r="E86" s="125">
        <f>IFERROR(__xludf.DUMMYFUNCTION("""COMPUTED_VALUE"""),8.0)</f>
        <v>8</v>
      </c>
      <c r="F86" s="2"/>
    </row>
    <row r="87">
      <c r="A87" s="2"/>
      <c r="B87" s="36" t="str">
        <f>IFERROR(__xludf.DUMMYFUNCTION("""COMPUTED_VALUE"""),"Tom Le")</f>
        <v>Tom Le</v>
      </c>
      <c r="C87" s="125">
        <f>IFERROR(__xludf.DUMMYFUNCTION("""COMPUTED_VALUE"""),19.0)</f>
        <v>19</v>
      </c>
      <c r="D87" s="125">
        <f>IFERROR(__xludf.DUMMYFUNCTION("""COMPUTED_VALUE"""),2.0)</f>
        <v>2</v>
      </c>
      <c r="E87" s="125">
        <f>IFERROR(__xludf.DUMMYFUNCTION("""COMPUTED_VALUE"""),5.0)</f>
        <v>5</v>
      </c>
      <c r="F87" s="2"/>
    </row>
    <row r="88">
      <c r="A88" s="2"/>
      <c r="B88" s="36" t="str">
        <f>IFERROR(__xludf.DUMMYFUNCTION("""COMPUTED_VALUE"""),"Andrew Yao")</f>
        <v>Andrew Yao</v>
      </c>
      <c r="C88" s="125">
        <f>IFERROR(__xludf.DUMMYFUNCTION("""COMPUTED_VALUE"""),18.0)</f>
        <v>18</v>
      </c>
      <c r="D88" s="125">
        <f>IFERROR(__xludf.DUMMYFUNCTION("""COMPUTED_VALUE"""),2.0)</f>
        <v>2</v>
      </c>
      <c r="E88" s="125">
        <f>IFERROR(__xludf.DUMMYFUNCTION("""COMPUTED_VALUE"""),1.0)</f>
        <v>1</v>
      </c>
      <c r="F88" s="2"/>
    </row>
    <row r="89">
      <c r="A89" s="2"/>
      <c r="B89" s="36" t="str">
        <f>IFERROR(__xludf.DUMMYFUNCTION("""COMPUTED_VALUE"""),"Rajasekar Ramasamy")</f>
        <v>Rajasekar Ramasamy</v>
      </c>
      <c r="C89" s="125">
        <f>IFERROR(__xludf.DUMMYFUNCTION("""COMPUTED_VALUE"""),18.0)</f>
        <v>18</v>
      </c>
      <c r="D89" s="125">
        <f>IFERROR(__xludf.DUMMYFUNCTION("""COMPUTED_VALUE"""),2.0)</f>
        <v>2</v>
      </c>
      <c r="E89" s="125">
        <f>IFERROR(__xludf.DUMMYFUNCTION("""COMPUTED_VALUE"""),5.0)</f>
        <v>5</v>
      </c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10"")"),"Vishnu Amarnath")</f>
        <v>Vishnu Amarnath</v>
      </c>
      <c r="C102" s="125">
        <f>IFERROR(__xludf.DUMMYFUNCTION("""COMPUTED_VALUE"""),18.0)</f>
        <v>18</v>
      </c>
      <c r="D102" s="125">
        <f t="shared" ref="D102:D111" si="77">VLOOKUP(B102,indirect($AC$2&amp;"!B$5:X$79"),23, false)</f>
        <v>63</v>
      </c>
      <c r="E102" s="125">
        <f t="shared" ref="E102:E111" si="78">VLOOKUP(B102,B$5:X$71,23, false)</f>
        <v>45</v>
      </c>
      <c r="F102" s="125">
        <f t="shared" ref="F102:F111" si="79">VLOOKUP(B102,indirect($AC$2&amp;"!B$5:U$79"),11, false)</f>
        <v>19</v>
      </c>
      <c r="G102" s="125">
        <f t="shared" ref="G102:G111" si="80">VLOOKUP(B102,indirect($AC$2&amp;"!B$5:U$79"),6, false)</f>
        <v>8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IFERROR(__xludf.DUMMYFUNCTION("""COMPUTED_VALUE"""),"Sandeep Kamalon")</f>
        <v>Sandeep Kamalon</v>
      </c>
      <c r="C103" s="125">
        <f>IFERROR(__xludf.DUMMYFUNCTION("""COMPUTED_VALUE"""),11.0)</f>
        <v>11</v>
      </c>
      <c r="D103" s="125">
        <f t="shared" si="77"/>
        <v>24</v>
      </c>
      <c r="E103" s="125">
        <f t="shared" si="78"/>
        <v>13</v>
      </c>
      <c r="F103" s="125">
        <f t="shared" si="79"/>
        <v>19</v>
      </c>
      <c r="G103" s="125">
        <f t="shared" si="80"/>
        <v>4</v>
      </c>
      <c r="L103" s="125" t="str">
        <f t="shared" si="81"/>
        <v>ok</v>
      </c>
    </row>
    <row r="104">
      <c r="A104" s="2"/>
      <c r="B104" s="36" t="str">
        <f>IFERROR(__xludf.DUMMYFUNCTION("""COMPUTED_VALUE"""),"Tom Le")</f>
        <v>Tom Le</v>
      </c>
      <c r="C104" s="125">
        <f>IFERROR(__xludf.DUMMYFUNCTION("""COMPUTED_VALUE"""),11.0)</f>
        <v>11</v>
      </c>
      <c r="D104" s="125">
        <f t="shared" si="77"/>
        <v>29</v>
      </c>
      <c r="E104" s="125">
        <f t="shared" si="78"/>
        <v>18</v>
      </c>
      <c r="F104" s="125">
        <f t="shared" si="79"/>
        <v>19</v>
      </c>
      <c r="G104" s="125">
        <f t="shared" si="80"/>
        <v>5</v>
      </c>
      <c r="L104" s="125" t="str">
        <f t="shared" si="81"/>
        <v>ok</v>
      </c>
    </row>
    <row r="105">
      <c r="A105" s="2"/>
      <c r="B105" s="36" t="str">
        <f>IFERROR(__xludf.DUMMYFUNCTION("""COMPUTED_VALUE"""),"Suleman Alidina")</f>
        <v>Suleman Alidina</v>
      </c>
      <c r="C105" s="125">
        <f>IFERROR(__xludf.DUMMYFUNCTION("""COMPUTED_VALUE"""),10.0)</f>
        <v>10</v>
      </c>
      <c r="D105" s="125">
        <f t="shared" si="77"/>
        <v>16</v>
      </c>
      <c r="E105" s="125">
        <f t="shared" si="78"/>
        <v>6</v>
      </c>
      <c r="F105" s="125">
        <f t="shared" si="79"/>
        <v>19</v>
      </c>
      <c r="G105" s="125">
        <f t="shared" si="80"/>
        <v>3</v>
      </c>
      <c r="L105" s="125" t="str">
        <f t="shared" si="81"/>
        <v>ok</v>
      </c>
    </row>
    <row r="106">
      <c r="A106" s="2"/>
      <c r="B106" s="36" t="str">
        <f>IFERROR(__xludf.DUMMYFUNCTION("""COMPUTED_VALUE"""),"Lam Bui")</f>
        <v>Lam Bui</v>
      </c>
      <c r="C106" s="125">
        <f>IFERROR(__xludf.DUMMYFUNCTION("""COMPUTED_VALUE"""),10.0)</f>
        <v>10</v>
      </c>
      <c r="D106" s="125">
        <f t="shared" si="77"/>
        <v>47</v>
      </c>
      <c r="E106" s="125">
        <f t="shared" si="78"/>
        <v>37</v>
      </c>
      <c r="F106" s="125">
        <f t="shared" si="79"/>
        <v>16</v>
      </c>
      <c r="G106" s="125">
        <f t="shared" si="80"/>
        <v>7</v>
      </c>
      <c r="L106" s="125" t="str">
        <f t="shared" si="81"/>
        <v>ok</v>
      </c>
    </row>
    <row r="107">
      <c r="A107" s="2"/>
      <c r="B107" s="36" t="str">
        <f>IFERROR(__xludf.DUMMYFUNCTION("""COMPUTED_VALUE"""),"Vinaya Kajla")</f>
        <v>Vinaya Kajla</v>
      </c>
      <c r="C107" s="125">
        <f>IFERROR(__xludf.DUMMYFUNCTION("""COMPUTED_VALUE"""),10.0)</f>
        <v>10</v>
      </c>
      <c r="D107" s="125">
        <f t="shared" si="77"/>
        <v>50</v>
      </c>
      <c r="E107" s="125">
        <f t="shared" si="78"/>
        <v>40</v>
      </c>
      <c r="F107" s="125">
        <f t="shared" si="79"/>
        <v>14</v>
      </c>
      <c r="G107" s="125">
        <f t="shared" si="80"/>
        <v>8</v>
      </c>
      <c r="L107" s="125" t="str">
        <f t="shared" si="81"/>
        <v>ok</v>
      </c>
    </row>
    <row r="108">
      <c r="A108" s="2"/>
      <c r="B108" s="36" t="str">
        <f>IFERROR(__xludf.DUMMYFUNCTION("""COMPUTED_VALUE"""),"Rajasekar Ramasamy")</f>
        <v>Rajasekar Ramasamy</v>
      </c>
      <c r="C108" s="125">
        <f>IFERROR(__xludf.DUMMYFUNCTION("""COMPUTED_VALUE"""),9.0)</f>
        <v>9</v>
      </c>
      <c r="D108" s="125">
        <f t="shared" si="77"/>
        <v>26</v>
      </c>
      <c r="E108" s="125">
        <f t="shared" si="78"/>
        <v>17</v>
      </c>
      <c r="F108" s="125">
        <f t="shared" si="79"/>
        <v>18</v>
      </c>
      <c r="G108" s="125">
        <f t="shared" si="80"/>
        <v>5</v>
      </c>
      <c r="L108" s="125" t="str">
        <f t="shared" si="81"/>
        <v>ok</v>
      </c>
    </row>
    <row r="109">
      <c r="A109" s="2"/>
      <c r="B109" s="36" t="str">
        <f>IFERROR(__xludf.DUMMYFUNCTION("""COMPUTED_VALUE"""),"Ethan Gu")</f>
        <v>Ethan Gu</v>
      </c>
      <c r="C109" s="125">
        <f>IFERROR(__xludf.DUMMYFUNCTION("""COMPUTED_VALUE"""),6.0)</f>
        <v>6</v>
      </c>
      <c r="D109" s="125">
        <f t="shared" si="77"/>
        <v>27</v>
      </c>
      <c r="E109" s="125">
        <f t="shared" si="78"/>
        <v>21</v>
      </c>
      <c r="F109" s="125">
        <f t="shared" si="79"/>
        <v>16</v>
      </c>
      <c r="G109" s="125">
        <f t="shared" si="80"/>
        <v>5</v>
      </c>
      <c r="L109" s="125" t="str">
        <f t="shared" si="81"/>
        <v>ok</v>
      </c>
    </row>
    <row r="110">
      <c r="A110" s="2"/>
      <c r="B110" s="36" t="str">
        <f>IFERROR(__xludf.DUMMYFUNCTION("""COMPUTED_VALUE"""),"Pulkit Mathur")</f>
        <v>Pulkit Mathur</v>
      </c>
      <c r="C110" s="125">
        <f>IFERROR(__xludf.DUMMYFUNCTION("""COMPUTED_VALUE"""),5.0)</f>
        <v>5</v>
      </c>
      <c r="D110" s="125">
        <f t="shared" si="77"/>
        <v>10</v>
      </c>
      <c r="E110" s="125">
        <f t="shared" si="78"/>
        <v>5</v>
      </c>
      <c r="F110" s="125">
        <f t="shared" si="79"/>
        <v>19</v>
      </c>
      <c r="G110" s="125">
        <f t="shared" si="80"/>
        <v>2</v>
      </c>
      <c r="L110" s="125" t="str">
        <f t="shared" si="81"/>
        <v>ok</v>
      </c>
    </row>
    <row r="111">
      <c r="A111" s="2"/>
      <c r="B111" s="36" t="str">
        <f>IFERROR(__xludf.DUMMYFUNCTION("""COMPUTED_VALUE"""),"Sanjaye Elayattu")</f>
        <v>Sanjaye Elayattu</v>
      </c>
      <c r="C111" s="125">
        <f>IFERROR(__xludf.DUMMYFUNCTION("""COMPUTED_VALUE"""),5.0)</f>
        <v>5</v>
      </c>
      <c r="D111" s="125">
        <f t="shared" si="77"/>
        <v>32</v>
      </c>
      <c r="E111" s="125">
        <f t="shared" si="78"/>
        <v>27</v>
      </c>
      <c r="F111" s="125">
        <f t="shared" si="79"/>
        <v>16</v>
      </c>
      <c r="G111" s="125">
        <f t="shared" si="80"/>
        <v>6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8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Rudy Tatang</v>
      </c>
      <c r="C120" s="125">
        <f t="shared" si="82"/>
        <v>114</v>
      </c>
      <c r="D120" s="125">
        <f t="shared" si="82"/>
        <v>12</v>
      </c>
      <c r="E120" s="125">
        <f t="shared" si="82"/>
        <v>15.33333333</v>
      </c>
      <c r="F120" s="2"/>
    </row>
    <row r="121">
      <c r="A121" s="125">
        <f t="shared" ref="A121:E121" si="83">A6</f>
        <v>2</v>
      </c>
      <c r="B121" s="36" t="str">
        <f t="shared" si="83"/>
        <v>Andrew Yao</v>
      </c>
      <c r="C121" s="125">
        <f t="shared" si="83"/>
        <v>109</v>
      </c>
      <c r="D121" s="125">
        <f t="shared" si="83"/>
        <v>11</v>
      </c>
      <c r="E121" s="125">
        <f t="shared" si="83"/>
        <v>13.71428571</v>
      </c>
      <c r="F121" s="2"/>
    </row>
    <row r="122">
      <c r="A122" s="125">
        <f t="shared" ref="A122:E122" si="84">A7</f>
        <v>3</v>
      </c>
      <c r="B122" s="36" t="str">
        <f t="shared" si="84"/>
        <v>Scott Li</v>
      </c>
      <c r="C122" s="125">
        <f t="shared" si="84"/>
        <v>106</v>
      </c>
      <c r="D122" s="125">
        <f t="shared" si="84"/>
        <v>11</v>
      </c>
      <c r="E122" s="125">
        <f t="shared" si="84"/>
        <v>13.28571429</v>
      </c>
      <c r="F122" s="2"/>
    </row>
    <row r="123">
      <c r="A123" s="125">
        <f t="shared" ref="A123:E123" si="85">A8</f>
        <v>4</v>
      </c>
      <c r="B123" s="36" t="str">
        <f t="shared" si="85"/>
        <v>David Shin</v>
      </c>
      <c r="C123" s="125">
        <f t="shared" si="85"/>
        <v>103</v>
      </c>
      <c r="D123" s="125">
        <f t="shared" si="85"/>
        <v>11</v>
      </c>
      <c r="E123" s="125">
        <f t="shared" si="85"/>
        <v>12.85714286</v>
      </c>
      <c r="F123" s="2"/>
    </row>
    <row r="124">
      <c r="A124" s="125">
        <f t="shared" ref="A124:E124" si="86">A9</f>
        <v>5</v>
      </c>
      <c r="B124" s="36" t="str">
        <f t="shared" si="86"/>
        <v>Pulkit Mathur</v>
      </c>
      <c r="C124" s="125">
        <f t="shared" si="86"/>
        <v>100</v>
      </c>
      <c r="D124" s="125">
        <f t="shared" si="86"/>
        <v>13</v>
      </c>
      <c r="E124" s="125">
        <f t="shared" si="86"/>
        <v>13.66666667</v>
      </c>
      <c r="F124" s="2"/>
    </row>
    <row r="125">
      <c r="A125" s="125">
        <f t="shared" ref="A125:E125" si="87">A10</f>
        <v>6</v>
      </c>
      <c r="B125" s="36" t="str">
        <f t="shared" si="87"/>
        <v>Suleman Alidina</v>
      </c>
      <c r="C125" s="125">
        <f t="shared" si="87"/>
        <v>99</v>
      </c>
      <c r="D125" s="125">
        <f t="shared" si="87"/>
        <v>8</v>
      </c>
      <c r="E125" s="125">
        <f t="shared" si="87"/>
        <v>12.8</v>
      </c>
      <c r="F125" s="2"/>
    </row>
    <row r="126">
      <c r="A126" s="125">
        <f t="shared" ref="A126:E126" si="88">A11</f>
        <v>7</v>
      </c>
      <c r="B126" s="36" t="str">
        <f t="shared" si="88"/>
        <v>Jaya Sogata</v>
      </c>
      <c r="C126" s="125">
        <f t="shared" si="88"/>
        <v>98</v>
      </c>
      <c r="D126" s="125">
        <f t="shared" si="88"/>
        <v>9</v>
      </c>
      <c r="E126" s="125">
        <f t="shared" si="88"/>
        <v>12.6</v>
      </c>
      <c r="F126" s="2"/>
    </row>
    <row r="127">
      <c r="A127" s="125">
        <f t="shared" ref="A127:E127" si="89">A12</f>
        <v>8</v>
      </c>
      <c r="B127" s="36" t="str">
        <f t="shared" si="89"/>
        <v>Ruben Ron</v>
      </c>
      <c r="C127" s="125">
        <f t="shared" si="89"/>
        <v>98</v>
      </c>
      <c r="D127" s="125">
        <f t="shared" si="89"/>
        <v>8</v>
      </c>
      <c r="E127" s="125">
        <f t="shared" si="89"/>
        <v>13.5</v>
      </c>
      <c r="F127" s="2"/>
    </row>
    <row r="128">
      <c r="A128" s="125">
        <f t="shared" ref="A128:E128" si="90">A13</f>
        <v>9</v>
      </c>
      <c r="B128" s="36" t="str">
        <f t="shared" si="90"/>
        <v>Pavan Akkimsetty</v>
      </c>
      <c r="C128" s="125">
        <f t="shared" si="90"/>
        <v>97</v>
      </c>
      <c r="D128" s="125">
        <f t="shared" si="90"/>
        <v>8</v>
      </c>
      <c r="E128" s="125">
        <f t="shared" si="90"/>
        <v>12.5</v>
      </c>
      <c r="F128" s="2"/>
    </row>
    <row r="129">
      <c r="A129" s="125">
        <f t="shared" ref="A129:E129" si="91">A14</f>
        <v>10</v>
      </c>
      <c r="B129" s="36" t="str">
        <f t="shared" si="91"/>
        <v>Ted Shen</v>
      </c>
      <c r="C129" s="125">
        <f t="shared" si="91"/>
        <v>96</v>
      </c>
      <c r="D129" s="125">
        <f t="shared" si="91"/>
        <v>10</v>
      </c>
      <c r="E129" s="125">
        <f t="shared" si="91"/>
        <v>12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IFERROR(__xludf.DUMMYFUNCTION("""COMPUTED_VALUE"""),"Eric Tan")</f>
        <v>Eric Tan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IFERROR(__xludf.DUMMYFUNCTION("""COMPUTED_VALUE"""),"Ted Shen")</f>
        <v>Ted Shen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IFERROR(__xludf.DUMMYFUNCTION("""COMPUTED_VALUE"""),"Vinotkumar Nagappan")</f>
        <v>Vinotkumar Nagappan</v>
      </c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08/15/26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IFERROR(__xludf.DUMMYFUNCTION("""COMPUTED_VALUE"""),"Rudy Tatang")</f>
        <v>Rudy Tatang</v>
      </c>
      <c r="C239" s="131">
        <f>IFERROR(__xludf.DUMMYFUNCTION("""COMPUTED_VALUE"""),3.0)</f>
        <v>3</v>
      </c>
      <c r="D239" s="131">
        <f>IFERROR(__xludf.DUMMYFUNCTION("""COMPUTED_VALUE"""),3.0)</f>
        <v>3</v>
      </c>
      <c r="E239" s="131">
        <f>IFERROR(__xludf.DUMMYFUNCTION("""COMPUTED_VALUE"""),6.0)</f>
        <v>6</v>
      </c>
      <c r="F239" s="131">
        <f>IFERROR(__xludf.DUMMYFUNCTION("""COMPUTED_VALUE"""),12.0)</f>
        <v>12</v>
      </c>
      <c r="G239" s="131">
        <f>IFERROR(__xludf.DUMMYFUNCTION("""COMPUTED_VALUE"""),0.0)</f>
        <v>0</v>
      </c>
    </row>
    <row r="240">
      <c r="A240" s="125">
        <f>IFERROR(__xludf.DUMMYFUNCTION("""COMPUTED_VALUE"""),1.0)</f>
        <v>1</v>
      </c>
      <c r="B240" s="36" t="str">
        <f>IFERROR(__xludf.DUMMYFUNCTION("""COMPUTED_VALUE"""),"Andrew Yao")</f>
        <v>Andrew Yao</v>
      </c>
      <c r="C240" s="131">
        <f>IFERROR(__xludf.DUMMYFUNCTION("""COMPUTED_VALUE"""),6.0)</f>
        <v>6</v>
      </c>
      <c r="D240" s="131">
        <f>IFERROR(__xludf.DUMMYFUNCTION("""COMPUTED_VALUE"""),6.0)</f>
        <v>6</v>
      </c>
      <c r="E240" s="131">
        <f>IFERROR(__xludf.DUMMYFUNCTION("""COMPUTED_VALUE"""),6.0)</f>
        <v>6</v>
      </c>
      <c r="F240" s="131">
        <f>IFERROR(__xludf.DUMMYFUNCTION("""COMPUTED_VALUE"""),18.0)</f>
        <v>18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IFERROR(__xludf.DUMMYFUNCTION("""COMPUTED_VALUE"""),"Scott Li")</f>
        <v>Scott Li</v>
      </c>
      <c r="C241" s="131">
        <f>IFERROR(__xludf.DUMMYFUNCTION("""COMPUTED_VALUE"""),6.0)</f>
        <v>6</v>
      </c>
      <c r="D241" s="131">
        <f>IFERROR(__xludf.DUMMYFUNCTION("""COMPUTED_VALUE"""),3.0)</f>
        <v>3</v>
      </c>
      <c r="E241" s="131">
        <f>IFERROR(__xludf.DUMMYFUNCTION("""COMPUTED_VALUE"""),7.0)</f>
        <v>7</v>
      </c>
      <c r="F241" s="131">
        <f>IFERROR(__xludf.DUMMYFUNCTION("""COMPUTED_VALUE"""),16.0)</f>
        <v>16</v>
      </c>
      <c r="G241" s="131">
        <f>IFERROR(__xludf.DUMMYFUNCTION("""COMPUTED_VALUE"""),2.0)</f>
        <v>2</v>
      </c>
    </row>
    <row r="242">
      <c r="A242" s="125">
        <f>IFERROR(__xludf.DUMMYFUNCTION("""COMPUTED_VALUE"""),1.0)</f>
        <v>1</v>
      </c>
      <c r="B242" s="36" t="str">
        <f>IFERROR(__xludf.DUMMYFUNCTION("""COMPUTED_VALUE"""),"David Shin")</f>
        <v>David Shin</v>
      </c>
      <c r="C242" s="131">
        <f>IFERROR(__xludf.DUMMYFUNCTION("""COMPUTED_VALUE"""),3.0)</f>
        <v>3</v>
      </c>
      <c r="D242" s="131">
        <f>IFERROR(__xludf.DUMMYFUNCTION("""COMPUTED_VALUE"""),6.0)</f>
        <v>6</v>
      </c>
      <c r="E242" s="131">
        <f>IFERROR(__xludf.DUMMYFUNCTION("""COMPUTED_VALUE"""),7.0)</f>
        <v>7</v>
      </c>
      <c r="F242" s="131">
        <f>IFERROR(__xludf.DUMMYFUNCTION("""COMPUTED_VALUE"""),16.0)</f>
        <v>16</v>
      </c>
      <c r="G242" s="131">
        <f>IFERROR(__xludf.DUMMYFUNCTION("""COMPUTED_VALUE"""),2.0)</f>
        <v>2</v>
      </c>
    </row>
    <row r="243">
      <c r="A243" s="132">
        <f>IFERROR(__xludf.DUMMYFUNCTION("""COMPUTED_VALUE"""),2.0)</f>
        <v>2</v>
      </c>
      <c r="B243" s="133" t="str">
        <f>IFERROR(__xludf.DUMMYFUNCTION("""COMPUTED_VALUE"""),"Jaya Sogata")</f>
        <v>Jaya Sogata</v>
      </c>
      <c r="C243" s="134">
        <f>IFERROR(__xludf.DUMMYFUNCTION("""COMPUTED_VALUE"""),6.0)</f>
        <v>6</v>
      </c>
      <c r="D243" s="134">
        <f>IFERROR(__xludf.DUMMYFUNCTION("""COMPUTED_VALUE"""),1.0)</f>
        <v>1</v>
      </c>
      <c r="E243" s="134">
        <f>IFERROR(__xludf.DUMMYFUNCTION("""COMPUTED_VALUE"""),6.0)</f>
        <v>6</v>
      </c>
      <c r="F243" s="134">
        <f>IFERROR(__xludf.DUMMYFUNCTION("""COMPUTED_VALUE"""),13.0)</f>
        <v>13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IFERROR(__xludf.DUMMYFUNCTION("""COMPUTED_VALUE"""),"Ted Shen")</f>
        <v>Ted Shen</v>
      </c>
      <c r="C244" s="134">
        <f>IFERROR(__xludf.DUMMYFUNCTION("""COMPUTED_VALUE"""),7.0)</f>
        <v>7</v>
      </c>
      <c r="D244" s="134">
        <f>IFERROR(__xludf.DUMMYFUNCTION("""COMPUTED_VALUE"""),1.0)</f>
        <v>1</v>
      </c>
      <c r="E244" s="134">
        <f>IFERROR(__xludf.DUMMYFUNCTION("""COMPUTED_VALUE"""),4.0)</f>
        <v>4</v>
      </c>
      <c r="F244" s="134">
        <f>IFERROR(__xludf.DUMMYFUNCTION("""COMPUTED_VALUE"""),12.0)</f>
        <v>12</v>
      </c>
      <c r="G244" s="134">
        <f>IFERROR(__xludf.DUMMYFUNCTION("""COMPUTED_VALUE"""),1.0)</f>
        <v>1</v>
      </c>
    </row>
    <row r="245">
      <c r="A245" s="132">
        <f>IFERROR(__xludf.DUMMYFUNCTION("""COMPUTED_VALUE"""),2.0)</f>
        <v>2</v>
      </c>
      <c r="B245" s="133" t="str">
        <f>IFERROR(__xludf.DUMMYFUNCTION("""COMPUTED_VALUE"""),"Pulkit Mathur")</f>
        <v>Pulkit Mathur</v>
      </c>
      <c r="C245" s="134">
        <f>IFERROR(__xludf.DUMMYFUNCTION("""COMPUTED_VALUE"""),7.0)</f>
        <v>7</v>
      </c>
      <c r="D245" s="134">
        <f>IFERROR(__xludf.DUMMYFUNCTION("""COMPUTED_VALUE"""),6.0)</f>
        <v>6</v>
      </c>
      <c r="E245" s="134">
        <f>IFERROR(__xludf.DUMMYFUNCTION("""COMPUTED_VALUE"""),6.0)</f>
        <v>6</v>
      </c>
      <c r="F245" s="134">
        <f>IFERROR(__xludf.DUMMYFUNCTION("""COMPUTED_VALUE"""),19.0)</f>
        <v>19</v>
      </c>
      <c r="G245" s="134">
        <f>IFERROR(__xludf.DUMMYFUNCTION("""COMPUTED_VALUE"""),3.0)</f>
        <v>3</v>
      </c>
    </row>
    <row r="246">
      <c r="A246" s="132">
        <f>IFERROR(__xludf.DUMMYFUNCTION("""COMPUTED_VALUE"""),2.0)</f>
        <v>2</v>
      </c>
      <c r="B246" s="133" t="str">
        <f>IFERROR(__xludf.DUMMYFUNCTION("""COMPUTED_VALUE"""),"Pavan Akkimsetty")</f>
        <v>Pavan Akkimsetty</v>
      </c>
      <c r="C246" s="134">
        <f>IFERROR(__xludf.DUMMYFUNCTION("""COMPUTED_VALUE"""),6.0)</f>
        <v>6</v>
      </c>
      <c r="D246" s="134">
        <f>IFERROR(__xludf.DUMMYFUNCTION("""COMPUTED_VALUE"""),6.0)</f>
        <v>6</v>
      </c>
      <c r="E246" s="134">
        <f>IFERROR(__xludf.DUMMYFUNCTION("""COMPUTED_VALUE"""),4.0)</f>
        <v>4</v>
      </c>
      <c r="F246" s="134">
        <f>IFERROR(__xludf.DUMMYFUNCTION("""COMPUTED_VALUE"""),16.0)</f>
        <v>16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IFERROR(__xludf.DUMMYFUNCTION("""COMPUTED_VALUE"""),"Jonathan Phan")</f>
        <v>Jonathan Phan</v>
      </c>
      <c r="C247" s="131">
        <f>IFERROR(__xludf.DUMMYFUNCTION("""COMPUTED_VALUE"""),3.0)</f>
        <v>3</v>
      </c>
      <c r="D247" s="131">
        <f>IFERROR(__xludf.DUMMYFUNCTION("""COMPUTED_VALUE"""),0.0)</f>
        <v>0</v>
      </c>
      <c r="E247" s="131">
        <f>IFERROR(__xludf.DUMMYFUNCTION("""COMPUTED_VALUE"""),7.0)</f>
        <v>7</v>
      </c>
      <c r="F247" s="131">
        <f>IFERROR(__xludf.DUMMYFUNCTION("""COMPUTED_VALUE"""),10.0)</f>
        <v>10</v>
      </c>
      <c r="G247" s="131">
        <f>IFERROR(__xludf.DUMMYFUNCTION("""COMPUTED_VALUE"""),1.0)</f>
        <v>1</v>
      </c>
    </row>
    <row r="248">
      <c r="A248" s="125">
        <f>IFERROR(__xludf.DUMMYFUNCTION("""COMPUTED_VALUE"""),3.0)</f>
        <v>3</v>
      </c>
      <c r="B248" s="36" t="str">
        <f>IFERROR(__xludf.DUMMYFUNCTION("""COMPUTED_VALUE"""),"Chinna Ponnaganti")</f>
        <v>Chinna Ponnaganti</v>
      </c>
      <c r="C248" s="131">
        <f>IFERROR(__xludf.DUMMYFUNCTION("""COMPUTED_VALUE"""),6.0)</f>
        <v>6</v>
      </c>
      <c r="D248" s="131">
        <f>IFERROR(__xludf.DUMMYFUNCTION("""COMPUTED_VALUE"""),0.0)</f>
        <v>0</v>
      </c>
      <c r="E248" s="131">
        <f>IFERROR(__xludf.DUMMYFUNCTION("""COMPUTED_VALUE"""),6.0)</f>
        <v>6</v>
      </c>
      <c r="F248" s="131">
        <f>IFERROR(__xludf.DUMMYFUNCTION("""COMPUTED_VALUE"""),12.0)</f>
        <v>12</v>
      </c>
      <c r="G248" s="131">
        <f>IFERROR(__xludf.DUMMYFUNCTION("""COMPUTED_VALUE"""),1.0)</f>
        <v>1</v>
      </c>
    </row>
    <row r="249">
      <c r="A249" s="125">
        <f>IFERROR(__xludf.DUMMYFUNCTION("""COMPUTED_VALUE"""),3.0)</f>
        <v>3</v>
      </c>
      <c r="B249" s="36" t="str">
        <f>IFERROR(__xludf.DUMMYFUNCTION("""COMPUTED_VALUE"""),"Vinotkumar Nagappan")</f>
        <v>Vinotkumar Nagappan</v>
      </c>
      <c r="C249" s="131">
        <f>IFERROR(__xludf.DUMMYFUNCTION("""COMPUTED_VALUE"""),3.0)</f>
        <v>3</v>
      </c>
      <c r="D249" s="131">
        <f>IFERROR(__xludf.DUMMYFUNCTION("""COMPUTED_VALUE"""),6.0)</f>
        <v>6</v>
      </c>
      <c r="E249" s="131">
        <f>IFERROR(__xludf.DUMMYFUNCTION("""COMPUTED_VALUE"""),6.0)</f>
        <v>6</v>
      </c>
      <c r="F249" s="131">
        <f>IFERROR(__xludf.DUMMYFUNCTION("""COMPUTED_VALUE"""),15.0)</f>
        <v>15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IFERROR(__xludf.DUMMYFUNCTION("""COMPUTED_VALUE"""),"Suleman Alidina")</f>
        <v>Suleman Alidina</v>
      </c>
      <c r="C250" s="131">
        <f>IFERROR(__xludf.DUMMYFUNCTION("""COMPUTED_VALUE"""),6.0)</f>
        <v>6</v>
      </c>
      <c r="D250" s="131">
        <f>IFERROR(__xludf.DUMMYFUNCTION("""COMPUTED_VALUE"""),6.0)</f>
        <v>6</v>
      </c>
      <c r="E250" s="131">
        <f>IFERROR(__xludf.DUMMYFUNCTION("""COMPUTED_VALUE"""),7.0)</f>
        <v>7</v>
      </c>
      <c r="F250" s="131">
        <f>IFERROR(__xludf.DUMMYFUNCTION("""COMPUTED_VALUE"""),19.0)</f>
        <v>19</v>
      </c>
      <c r="G250" s="131">
        <f>IFERROR(__xludf.DUMMYFUNCTION("""COMPUTED_VALUE"""),3.0)</f>
        <v>3</v>
      </c>
    </row>
    <row r="251">
      <c r="A251" s="132">
        <f>IFERROR(__xludf.DUMMYFUNCTION("""COMPUTED_VALUE"""),4.0)</f>
        <v>4</v>
      </c>
      <c r="B251" s="133" t="str">
        <f>IFERROR(__xludf.DUMMYFUNCTION("""COMPUTED_VALUE"""),"Manish Anand")</f>
        <v>Manish Anand</v>
      </c>
      <c r="C251" s="134">
        <f>IFERROR(__xludf.DUMMYFUNCTION("""COMPUTED_VALUE"""),6.0)</f>
        <v>6</v>
      </c>
      <c r="D251" s="134">
        <f>IFERROR(__xludf.DUMMYFUNCTION("""COMPUTED_VALUE"""),2.0)</f>
        <v>2</v>
      </c>
      <c r="E251" s="134">
        <f>IFERROR(__xludf.DUMMYFUNCTION("""COMPUTED_VALUE"""),5.0)</f>
        <v>5</v>
      </c>
      <c r="F251" s="134">
        <f>IFERROR(__xludf.DUMMYFUNCTION("""COMPUTED_VALUE"""),13.0)</f>
        <v>13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IFERROR(__xludf.DUMMYFUNCTION("""COMPUTED_VALUE"""),"Herman Au")</f>
        <v>Herman Au</v>
      </c>
      <c r="C252" s="134">
        <f>IFERROR(__xludf.DUMMYFUNCTION("""COMPUTED_VALUE"""),0.0)</f>
        <v>0</v>
      </c>
      <c r="D252" s="134">
        <f>IFERROR(__xludf.DUMMYFUNCTION("""COMPUTED_VALUE"""),6.0)</f>
        <v>6</v>
      </c>
      <c r="E252" s="134">
        <f>IFERROR(__xludf.DUMMYFUNCTION("""COMPUTED_VALUE"""),5.0)</f>
        <v>5</v>
      </c>
      <c r="F252" s="134">
        <f>IFERROR(__xludf.DUMMYFUNCTION("""COMPUTED_VALUE"""),11.0)</f>
        <v>11</v>
      </c>
      <c r="G252" s="134">
        <f>IFERROR(__xludf.DUMMYFUNCTION("""COMPUTED_VALUE"""),1.0)</f>
        <v>1</v>
      </c>
    </row>
    <row r="253">
      <c r="A253" s="132">
        <f>IFERROR(__xludf.DUMMYFUNCTION("""COMPUTED_VALUE"""),4.0)</f>
        <v>4</v>
      </c>
      <c r="B253" s="133" t="str">
        <f>IFERROR(__xludf.DUMMYFUNCTION("""COMPUTED_VALUE"""),"Tina Hanson")</f>
        <v>Tina Hanson</v>
      </c>
      <c r="C253" s="134">
        <f>IFERROR(__xludf.DUMMYFUNCTION("""COMPUTED_VALUE"""),0.0)</f>
        <v>0</v>
      </c>
      <c r="D253" s="134">
        <f>IFERROR(__xludf.DUMMYFUNCTION("""COMPUTED_VALUE"""),2.0)</f>
        <v>2</v>
      </c>
      <c r="E253" s="134">
        <f>IFERROR(__xludf.DUMMYFUNCTION("""COMPUTED_VALUE"""),7.0)</f>
        <v>7</v>
      </c>
      <c r="F253" s="134">
        <f>IFERROR(__xludf.DUMMYFUNCTION("""COMPUTED_VALUE"""),9.0)</f>
        <v>9</v>
      </c>
      <c r="G253" s="134">
        <f>IFERROR(__xludf.DUMMYFUNCTION("""COMPUTED_VALUE"""),1.0)</f>
        <v>1</v>
      </c>
    </row>
    <row r="254">
      <c r="A254" s="132">
        <f>IFERROR(__xludf.DUMMYFUNCTION("""COMPUTED_VALUE"""),4.0)</f>
        <v>4</v>
      </c>
      <c r="B254" s="133" t="str">
        <f>IFERROR(__xludf.DUMMYFUNCTION("""COMPUTED_VALUE"""),"Sandeep Kamalon")</f>
        <v>Sandeep Kamalon</v>
      </c>
      <c r="C254" s="134">
        <f>IFERROR(__xludf.DUMMYFUNCTION("""COMPUTED_VALUE"""),6.0)</f>
        <v>6</v>
      </c>
      <c r="D254" s="134">
        <f>IFERROR(__xludf.DUMMYFUNCTION("""COMPUTED_VALUE"""),6.0)</f>
        <v>6</v>
      </c>
      <c r="E254" s="134">
        <f>IFERROR(__xludf.DUMMYFUNCTION("""COMPUTED_VALUE"""),7.0)</f>
        <v>7</v>
      </c>
      <c r="F254" s="134">
        <f>IFERROR(__xludf.DUMMYFUNCTION("""COMPUTED_VALUE"""),19.0)</f>
        <v>19</v>
      </c>
      <c r="G254" s="134">
        <f>IFERROR(__xludf.DUMMYFUNCTION("""COMPUTED_VALUE"""),3.0)</f>
        <v>3</v>
      </c>
    </row>
    <row r="255">
      <c r="A255" s="125">
        <f>IFERROR(__xludf.DUMMYFUNCTION("""COMPUTED_VALUE"""),5.0)</f>
        <v>5</v>
      </c>
      <c r="B255" s="36" t="str">
        <f>IFERROR(__xludf.DUMMYFUNCTION("""COMPUTED_VALUE"""),"Rajasekar Ramasamy")</f>
        <v>Rajasekar Ramasamy</v>
      </c>
      <c r="C255" s="131">
        <f>IFERROR(__xludf.DUMMYFUNCTION("""COMPUTED_VALUE"""),6.0)</f>
        <v>6</v>
      </c>
      <c r="D255" s="131">
        <f>IFERROR(__xludf.DUMMYFUNCTION("""COMPUTED_VALUE"""),7.0)</f>
        <v>7</v>
      </c>
      <c r="E255" s="131">
        <f>IFERROR(__xludf.DUMMYFUNCTION("""COMPUTED_VALUE"""),5.0)</f>
        <v>5</v>
      </c>
      <c r="F255" s="131">
        <f>IFERROR(__xludf.DUMMYFUNCTION("""COMPUTED_VALUE"""),18.0)</f>
        <v>18</v>
      </c>
      <c r="G255" s="131">
        <f>IFERROR(__xludf.DUMMYFUNCTION("""COMPUTED_VALUE"""),2.0)</f>
        <v>2</v>
      </c>
    </row>
    <row r="256">
      <c r="A256" s="125">
        <f>IFERROR(__xludf.DUMMYFUNCTION("""COMPUTED_VALUE"""),5.0)</f>
        <v>5</v>
      </c>
      <c r="B256" s="36" t="str">
        <f>IFERROR(__xludf.DUMMYFUNCTION("""COMPUTED_VALUE"""),"Ethan Gu")</f>
        <v>Ethan Gu</v>
      </c>
      <c r="C256" s="131">
        <f>IFERROR(__xludf.DUMMYFUNCTION("""COMPUTED_VALUE"""),2.0)</f>
        <v>2</v>
      </c>
      <c r="D256" s="131">
        <f>IFERROR(__xludf.DUMMYFUNCTION("""COMPUTED_VALUE"""),7.0)</f>
        <v>7</v>
      </c>
      <c r="E256" s="131">
        <f>IFERROR(__xludf.DUMMYFUNCTION("""COMPUTED_VALUE"""),7.0)</f>
        <v>7</v>
      </c>
      <c r="F256" s="131">
        <f>IFERROR(__xludf.DUMMYFUNCTION("""COMPUTED_VALUE"""),16.0)</f>
        <v>16</v>
      </c>
      <c r="G256" s="131">
        <f>IFERROR(__xludf.DUMMYFUNCTION("""COMPUTED_VALUE"""),2.0)</f>
        <v>2</v>
      </c>
    </row>
    <row r="257">
      <c r="A257" s="125">
        <f>IFERROR(__xludf.DUMMYFUNCTION("""COMPUTED_VALUE"""),5.0)</f>
        <v>5</v>
      </c>
      <c r="B257" s="36" t="str">
        <f>IFERROR(__xludf.DUMMYFUNCTION("""COMPUTED_VALUE"""),"Tom Le")</f>
        <v>Tom Le</v>
      </c>
      <c r="C257" s="131">
        <f>IFERROR(__xludf.DUMMYFUNCTION("""COMPUTED_VALUE"""),6.0)</f>
        <v>6</v>
      </c>
      <c r="D257" s="131">
        <f>IFERROR(__xludf.DUMMYFUNCTION("""COMPUTED_VALUE"""),6.0)</f>
        <v>6</v>
      </c>
      <c r="E257" s="131">
        <f>IFERROR(__xludf.DUMMYFUNCTION("""COMPUTED_VALUE"""),7.0)</f>
        <v>7</v>
      </c>
      <c r="F257" s="131">
        <f>IFERROR(__xludf.DUMMYFUNCTION("""COMPUTED_VALUE"""),19.0)</f>
        <v>19</v>
      </c>
      <c r="G257" s="131">
        <f>IFERROR(__xludf.DUMMYFUNCTION("""COMPUTED_VALUE"""),2.0)</f>
        <v>2</v>
      </c>
    </row>
    <row r="258">
      <c r="A258" s="125">
        <f>IFERROR(__xludf.DUMMYFUNCTION("""COMPUTED_VALUE"""),5.0)</f>
        <v>5</v>
      </c>
      <c r="B258" s="36" t="str">
        <f>IFERROR(__xludf.DUMMYFUNCTION("""COMPUTED_VALUE"""),"Allen Zhang")</f>
        <v>Allen Zhang</v>
      </c>
      <c r="C258" s="131">
        <f>IFERROR(__xludf.DUMMYFUNCTION("""COMPUTED_VALUE"""),2.0)</f>
        <v>2</v>
      </c>
      <c r="D258" s="131">
        <f>IFERROR(__xludf.DUMMYFUNCTION("""COMPUTED_VALUE"""),6.0)</f>
        <v>6</v>
      </c>
      <c r="E258" s="131">
        <f>IFERROR(__xludf.DUMMYFUNCTION("""COMPUTED_VALUE"""),5.0)</f>
        <v>5</v>
      </c>
      <c r="F258" s="131">
        <f>IFERROR(__xludf.DUMMYFUNCTION("""COMPUTED_VALUE"""),13.0)</f>
        <v>13</v>
      </c>
      <c r="G258" s="131">
        <f>IFERROR(__xludf.DUMMYFUNCTION("""COMPUTED_VALUE"""),0.0)</f>
        <v>0</v>
      </c>
    </row>
    <row r="259">
      <c r="A259" s="132">
        <f>IFERROR(__xludf.DUMMYFUNCTION("""COMPUTED_VALUE"""),6.0)</f>
        <v>6</v>
      </c>
      <c r="B259" s="133" t="str">
        <f>IFERROR(__xludf.DUMMYFUNCTION("""COMPUTED_VALUE"""),"Sanjaye Elayattu")</f>
        <v>Sanjaye Elayattu</v>
      </c>
      <c r="C259" s="134">
        <f>IFERROR(__xludf.DUMMYFUNCTION("""COMPUTED_VALUE"""),4.0)</f>
        <v>4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IFERROR(__xludf.DUMMYFUNCTION("""COMPUTED_VALUE"""),16.0)</f>
        <v>16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IFERROR(__xludf.DUMMYFUNCTION("""COMPUTED_VALUE"""),"Oscar Bonilla")</f>
        <v>Oscar Bonilla</v>
      </c>
      <c r="C260" s="134">
        <f>IFERROR(__xludf.DUMMYFUNCTION("""COMPUTED_VALUE"""),6.0)</f>
        <v>6</v>
      </c>
      <c r="D260" s="134">
        <f>IFERROR(__xludf.DUMMYFUNCTION("""COMPUTED_VALUE"""),2.0)</f>
        <v>2</v>
      </c>
      <c r="E260" s="134">
        <f>IFERROR(__xludf.DUMMYFUNCTION("""COMPUTED_VALUE"""),6.0)</f>
        <v>6</v>
      </c>
      <c r="F260" s="134">
        <f>IFERROR(__xludf.DUMMYFUNCTION("""COMPUTED_VALUE"""),14.0)</f>
        <v>14</v>
      </c>
      <c r="G260" s="134">
        <f>IFERROR(__xludf.DUMMYFUNCTION("""COMPUTED_VALUE"""),2.0)</f>
        <v>2</v>
      </c>
    </row>
    <row r="261">
      <c r="A261" s="132">
        <f>IFERROR(__xludf.DUMMYFUNCTION("""COMPUTED_VALUE"""),6.0)</f>
        <v>6</v>
      </c>
      <c r="B261" s="133" t="str">
        <f>IFERROR(__xludf.DUMMYFUNCTION("""COMPUTED_VALUE"""),"Ramesh Bandaru")</f>
        <v>Ramesh Bandaru</v>
      </c>
      <c r="C261" s="134">
        <f>IFERROR(__xludf.DUMMYFUNCTION("""COMPUTED_VALUE"""),4.0)</f>
        <v>4</v>
      </c>
      <c r="D261" s="134">
        <f>IFERROR(__xludf.DUMMYFUNCTION("""COMPUTED_VALUE"""),2.0)</f>
        <v>2</v>
      </c>
      <c r="E261" s="134">
        <f>IFERROR(__xludf.DUMMYFUNCTION("""COMPUTED_VALUE"""),2.0)</f>
        <v>2</v>
      </c>
      <c r="F261" s="134">
        <f>IFERROR(__xludf.DUMMYFUNCTION("""COMPUTED_VALUE"""),8.0)</f>
        <v>8</v>
      </c>
      <c r="G261" s="134">
        <f>IFERROR(__xludf.DUMMYFUNCTION("""COMPUTED_VALUE"""),0.0)</f>
        <v>0</v>
      </c>
    </row>
    <row r="262">
      <c r="A262" s="132">
        <f>IFERROR(__xludf.DUMMYFUNCTION("""COMPUTED_VALUE"""),6.0)</f>
        <v>6</v>
      </c>
      <c r="B262" s="133" t="str">
        <f>IFERROR(__xludf.DUMMYFUNCTION("""COMPUTED_VALUE"""),"Naveen Raj")</f>
        <v>Naveen Raj</v>
      </c>
      <c r="C262" s="134">
        <f>IFERROR(__xludf.DUMMYFUNCTION("""COMPUTED_VALUE"""),6.0)</f>
        <v>6</v>
      </c>
      <c r="D262" s="134">
        <f>IFERROR(__xludf.DUMMYFUNCTION("""COMPUTED_VALUE"""),6.0)</f>
        <v>6</v>
      </c>
      <c r="E262" s="134">
        <f>IFERROR(__xludf.DUMMYFUNCTION("""COMPUTED_VALUE"""),2.0)</f>
        <v>2</v>
      </c>
      <c r="F262" s="134">
        <f>IFERROR(__xludf.DUMMYFUNCTION("""COMPUTED_VALUE"""),14.0)</f>
        <v>14</v>
      </c>
      <c r="G262" s="134">
        <f>IFERROR(__xludf.DUMMYFUNCTION("""COMPUTED_VALUE"""),2.0)</f>
        <v>2</v>
      </c>
    </row>
    <row r="263">
      <c r="A263" s="125">
        <f>IFERROR(__xludf.DUMMYFUNCTION("""COMPUTED_VALUE"""),7.0)</f>
        <v>7</v>
      </c>
      <c r="B263" s="36" t="str">
        <f>IFERROR(__xludf.DUMMYFUNCTION("""COMPUTED_VALUE"""),"Jimmy Awolesi")</f>
        <v>Jimmy Awolesi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IFERROR(__xludf.DUMMYFUNCTION("""COMPUTED_VALUE"""),1.0)</f>
        <v>1</v>
      </c>
      <c r="F263" s="131">
        <f>IFERROR(__xludf.DUMMYFUNCTION("""COMPUTED_VALUE"""),13.0)</f>
        <v>13</v>
      </c>
      <c r="G263" s="131">
        <f>IFERROR(__xludf.DUMMYFUNCTION("""COMPUTED_VALUE"""),2.0)</f>
        <v>2</v>
      </c>
    </row>
    <row r="264">
      <c r="A264" s="125">
        <f>IFERROR(__xludf.DUMMYFUNCTION("""COMPUTED_VALUE"""),7.0)</f>
        <v>7</v>
      </c>
      <c r="B264" s="36" t="str">
        <f>IFERROR(__xludf.DUMMYFUNCTION("""COMPUTED_VALUE"""),"Wayne Liu")</f>
        <v>Wayne Liu</v>
      </c>
      <c r="C264" s="131">
        <f>IFERROR(__xludf.DUMMYFUNCTION("""COMPUTED_VALUE"""),6.0)</f>
        <v>6</v>
      </c>
      <c r="D264" s="131">
        <f>IFERROR(__xludf.DUMMYFUNCTION("""COMPUTED_VALUE"""),1.0)</f>
        <v>1</v>
      </c>
      <c r="E264" s="131">
        <f>IFERROR(__xludf.DUMMYFUNCTION("""COMPUTED_VALUE"""),6.0)</f>
        <v>6</v>
      </c>
      <c r="F264" s="131">
        <f>IFERROR(__xludf.DUMMYFUNCTION("""COMPUTED_VALUE"""),13.0)</f>
        <v>13</v>
      </c>
      <c r="G264" s="131">
        <f>IFERROR(__xludf.DUMMYFUNCTION("""COMPUTED_VALUE"""),2.0)</f>
        <v>2</v>
      </c>
    </row>
    <row r="265">
      <c r="A265" s="125">
        <f>IFERROR(__xludf.DUMMYFUNCTION("""COMPUTED_VALUE"""),7.0)</f>
        <v>7</v>
      </c>
      <c r="B265" s="36" t="str">
        <f>IFERROR(__xludf.DUMMYFUNCTION("""COMPUTED_VALUE"""),"Trish Newlin")</f>
        <v>Trish Newlin</v>
      </c>
      <c r="C265" s="131">
        <f>IFERROR(__xludf.DUMMYFUNCTION("""COMPUTED_VALUE"""),4.0)</f>
        <v>4</v>
      </c>
      <c r="D265" s="131">
        <f>IFERROR(__xludf.DUMMYFUNCTION("""COMPUTED_VALUE"""),1.0)</f>
        <v>1</v>
      </c>
      <c r="E265" s="131">
        <f>IFERROR(__xludf.DUMMYFUNCTION("""COMPUTED_VALUE"""),1.0)</f>
        <v>1</v>
      </c>
      <c r="F265" s="131">
        <f>IFERROR(__xludf.DUMMYFUNCTION("""COMPUTED_VALUE"""),6.0)</f>
        <v>6</v>
      </c>
      <c r="G265" s="131">
        <f>IFERROR(__xludf.DUMMYFUNCTION("""COMPUTED_VALUE"""),0.0)</f>
        <v>0</v>
      </c>
    </row>
    <row r="266">
      <c r="A266" s="125">
        <f>IFERROR(__xludf.DUMMYFUNCTION("""COMPUTED_VALUE"""),7.0)</f>
        <v>7</v>
      </c>
      <c r="B266" s="36" t="str">
        <f>IFERROR(__xludf.DUMMYFUNCTION("""COMPUTED_VALUE"""),"Lam Bui")</f>
        <v>Lam Bui</v>
      </c>
      <c r="C266" s="131">
        <f>IFERROR(__xludf.DUMMYFUNCTION("""COMPUTED_VALUE"""),4.0)</f>
        <v>4</v>
      </c>
      <c r="D266" s="131">
        <f>IFERROR(__xludf.DUMMYFUNCTION("""COMPUTED_VALUE"""),6.0)</f>
        <v>6</v>
      </c>
      <c r="E266" s="131">
        <f>IFERROR(__xludf.DUMMYFUNCTION("""COMPUTED_VALUE"""),6.0)</f>
        <v>6</v>
      </c>
      <c r="F266" s="131">
        <f>IFERROR(__xludf.DUMMYFUNCTION("""COMPUTED_VALUE"""),16.0)</f>
        <v>16</v>
      </c>
      <c r="G266" s="131">
        <f>IFERROR(__xludf.DUMMYFUNCTION("""COMPUTED_VALUE"""),2.0)</f>
        <v>2</v>
      </c>
    </row>
    <row r="267">
      <c r="A267" s="132">
        <f>IFERROR(__xludf.DUMMYFUNCTION("""COMPUTED_VALUE"""),8.0)</f>
        <v>8</v>
      </c>
      <c r="B267" s="133" t="str">
        <f>IFERROR(__xludf.DUMMYFUNCTION("""COMPUTED_VALUE"""),"Camille Jung")</f>
        <v>Camille Jung</v>
      </c>
      <c r="C267" s="134">
        <f>IFERROR(__xludf.DUMMYFUNCTION("""COMPUTED_VALUE"""),6.0)</f>
        <v>6</v>
      </c>
      <c r="D267" s="134">
        <f>IFERROR(__xludf.DUMMYFUNCTION("""COMPUTED_VALUE"""),1.0)</f>
        <v>1</v>
      </c>
      <c r="E267" s="134">
        <f>IFERROR(__xludf.DUMMYFUNCTION("""COMPUTED_VALUE"""),6.0)</f>
        <v>6</v>
      </c>
      <c r="F267" s="134">
        <f>IFERROR(__xludf.DUMMYFUNCTION("""COMPUTED_VALUE"""),13.0)</f>
        <v>13</v>
      </c>
      <c r="G267" s="134">
        <f>IFERROR(__xludf.DUMMYFUNCTION("""COMPUTED_VALUE"""),1.0)</f>
        <v>1</v>
      </c>
    </row>
    <row r="268">
      <c r="A268" s="132">
        <f>IFERROR(__xludf.DUMMYFUNCTION("""COMPUTED_VALUE"""),8.0)</f>
        <v>8</v>
      </c>
      <c r="B268" s="133" t="str">
        <f>IFERROR(__xludf.DUMMYFUNCTION("""COMPUTED_VALUE"""),"Vinaya Kajla")</f>
        <v>Vinaya Kajla</v>
      </c>
      <c r="C268" s="134">
        <f>IFERROR(__xludf.DUMMYFUNCTION("""COMPUTED_VALUE"""),6.0)</f>
        <v>6</v>
      </c>
      <c r="D268" s="134">
        <f>IFERROR(__xludf.DUMMYFUNCTION("""COMPUTED_VALUE"""),6.0)</f>
        <v>6</v>
      </c>
      <c r="E268" s="134">
        <f>IFERROR(__xludf.DUMMYFUNCTION("""COMPUTED_VALUE"""),2.0)</f>
        <v>2</v>
      </c>
      <c r="F268" s="134">
        <f>IFERROR(__xludf.DUMMYFUNCTION("""COMPUTED_VALUE"""),14.0)</f>
        <v>14</v>
      </c>
      <c r="G268" s="134">
        <f>IFERROR(__xludf.DUMMYFUNCTION("""COMPUTED_VALUE"""),1.0)</f>
        <v>1</v>
      </c>
    </row>
    <row r="269">
      <c r="A269" s="132">
        <f>IFERROR(__xludf.DUMMYFUNCTION("""COMPUTED_VALUE"""),8.0)</f>
        <v>8</v>
      </c>
      <c r="B269" s="133" t="str">
        <f>IFERROR(__xludf.DUMMYFUNCTION("""COMPUTED_VALUE"""),"Eric Tan")</f>
        <v>Eric Tan</v>
      </c>
      <c r="C269" s="134">
        <f>IFERROR(__xludf.DUMMYFUNCTION("""COMPUTED_VALUE"""),7.0)</f>
        <v>7</v>
      </c>
      <c r="D269" s="134">
        <f>IFERROR(__xludf.DUMMYFUNCTION("""COMPUTED_VALUE"""),1.0)</f>
        <v>1</v>
      </c>
      <c r="E269" s="134">
        <f>IFERROR(__xludf.DUMMYFUNCTION("""COMPUTED_VALUE"""),2.0)</f>
        <v>2</v>
      </c>
      <c r="F269" s="134">
        <f>IFERROR(__xludf.DUMMYFUNCTION("""COMPUTED_VALUE"""),10.0)</f>
        <v>10</v>
      </c>
      <c r="G269" s="134">
        <f>IFERROR(__xludf.DUMMYFUNCTION("""COMPUTED_VALUE"""),1.0)</f>
        <v>1</v>
      </c>
    </row>
    <row r="270">
      <c r="A270" s="132">
        <f>IFERROR(__xludf.DUMMYFUNCTION("""COMPUTED_VALUE"""),8.0)</f>
        <v>8</v>
      </c>
      <c r="B270" s="133" t="str">
        <f>IFERROR(__xludf.DUMMYFUNCTION("""COMPUTED_VALUE"""),"Vishnu Amarnath")</f>
        <v>Vishnu Amarnath</v>
      </c>
      <c r="C270" s="134">
        <f>IFERROR(__xludf.DUMMYFUNCTION("""COMPUTED_VALUE"""),7.0)</f>
        <v>7</v>
      </c>
      <c r="D270" s="134">
        <f>IFERROR(__xludf.DUMMYFUNCTION("""COMPUTED_VALUE"""),6.0)</f>
        <v>6</v>
      </c>
      <c r="E270" s="134">
        <f>IFERROR(__xludf.DUMMYFUNCTION("""COMPUTED_VALUE"""),6.0)</f>
        <v>6</v>
      </c>
      <c r="F270" s="134">
        <f>IFERROR(__xludf.DUMMYFUNCTION("""COMPUTED_VALUE"""),19.0)</f>
        <v>19</v>
      </c>
      <c r="G270" s="134">
        <f>IFERROR(__xludf.DUMMYFUNCTION("""COMPUTED_VALUE"""),3.0)</f>
        <v>3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46249.0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7.0</v>
      </c>
      <c r="E2" s="2"/>
      <c r="F2" s="2"/>
      <c r="R2" s="19"/>
      <c r="AC2" s="23" t="str">
        <f>TEXT(C1-7,"mm/dd/yy")</f>
        <v>08/08/26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80</v>
      </c>
      <c r="C5" s="37">
        <v>102.0</v>
      </c>
      <c r="D5" s="37">
        <v>12.0</v>
      </c>
      <c r="E5" s="42">
        <f t="shared" ref="E5:E71" si="2">if(S5&gt;0,(C5-(V5*9)-(T5*13))/S5,0)</f>
        <v>15.5</v>
      </c>
      <c r="F5" s="89">
        <v>1.0</v>
      </c>
      <c r="G5" s="90">
        <v>1.0</v>
      </c>
      <c r="H5" s="91">
        <v>0.0</v>
      </c>
      <c r="I5" s="90">
        <v>3.0</v>
      </c>
      <c r="J5" s="90">
        <v>3.0</v>
      </c>
      <c r="K5" s="90">
        <v>6.0</v>
      </c>
      <c r="L5" s="92">
        <v>12.0</v>
      </c>
      <c r="M5" s="90">
        <v>0.0</v>
      </c>
      <c r="N5" s="37">
        <f t="shared" ref="N5:O5" si="1">C5+L5</f>
        <v>114</v>
      </c>
      <c r="O5" s="37">
        <f t="shared" si="1"/>
        <v>12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6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1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91.0</v>
      </c>
      <c r="D6" s="37">
        <v>9.0</v>
      </c>
      <c r="E6" s="42">
        <f t="shared" si="2"/>
        <v>13</v>
      </c>
      <c r="F6" s="89">
        <v>1.0</v>
      </c>
      <c r="G6" s="90">
        <v>1.0</v>
      </c>
      <c r="H6" s="91">
        <v>0.0</v>
      </c>
      <c r="I6" s="90">
        <v>6.0</v>
      </c>
      <c r="J6" s="90">
        <v>6.0</v>
      </c>
      <c r="K6" s="90">
        <v>6.0</v>
      </c>
      <c r="L6" s="92">
        <v>18.0</v>
      </c>
      <c r="M6" s="90">
        <v>2.0</v>
      </c>
      <c r="N6" s="37">
        <f t="shared" ref="N6:O6" si="3">C6+L6</f>
        <v>109</v>
      </c>
      <c r="O6" s="37">
        <f t="shared" si="3"/>
        <v>11</v>
      </c>
      <c r="P6" s="50" t="s">
        <v>60</v>
      </c>
      <c r="Q6" s="50" t="s">
        <v>60</v>
      </c>
      <c r="R6" s="50" t="s">
        <v>60</v>
      </c>
      <c r="S6" s="51">
        <f t="shared" si="4"/>
        <v>6</v>
      </c>
      <c r="T6" s="52">
        <f t="shared" si="5"/>
        <v>1</v>
      </c>
      <c r="U6" s="52"/>
      <c r="V6" s="51">
        <f t="shared" si="6"/>
        <v>0</v>
      </c>
      <c r="W6" s="52">
        <f t="shared" si="7"/>
        <v>0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131</v>
      </c>
      <c r="C7" s="37">
        <v>90.0</v>
      </c>
      <c r="D7" s="37">
        <v>9.0</v>
      </c>
      <c r="E7" s="42">
        <f t="shared" si="2"/>
        <v>12.83333333</v>
      </c>
      <c r="F7" s="89">
        <v>2.0</v>
      </c>
      <c r="G7" s="90">
        <v>1.0</v>
      </c>
      <c r="H7" s="91">
        <v>0.0</v>
      </c>
      <c r="I7" s="90">
        <v>6.0</v>
      </c>
      <c r="J7" s="90">
        <v>3.0</v>
      </c>
      <c r="K7" s="90">
        <v>7.0</v>
      </c>
      <c r="L7" s="92">
        <v>16.0</v>
      </c>
      <c r="M7" s="90">
        <v>2.0</v>
      </c>
      <c r="N7" s="37">
        <f t="shared" ref="N7:O7" si="11">C7+L7</f>
        <v>106</v>
      </c>
      <c r="O7" s="37">
        <f t="shared" si="11"/>
        <v>11</v>
      </c>
      <c r="P7" s="50" t="s">
        <v>60</v>
      </c>
      <c r="Q7" s="50" t="s">
        <v>60</v>
      </c>
      <c r="R7" s="50" t="s">
        <v>60</v>
      </c>
      <c r="S7" s="51">
        <f t="shared" si="4"/>
        <v>6</v>
      </c>
      <c r="T7" s="52">
        <f t="shared" si="5"/>
        <v>1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107</v>
      </c>
      <c r="C8" s="37">
        <v>89.0</v>
      </c>
      <c r="D8" s="37">
        <v>8.0</v>
      </c>
      <c r="E8" s="42">
        <f t="shared" si="2"/>
        <v>13.5</v>
      </c>
      <c r="F8" s="89">
        <v>3.0</v>
      </c>
      <c r="G8" s="90">
        <v>0.0</v>
      </c>
      <c r="H8" s="91">
        <v>9.0</v>
      </c>
      <c r="I8" s="90">
        <v>0.0</v>
      </c>
      <c r="J8" s="90">
        <v>0.0</v>
      </c>
      <c r="K8" s="90">
        <v>0.0</v>
      </c>
      <c r="L8" s="92">
        <v>9.0</v>
      </c>
      <c r="M8" s="90">
        <v>0.0</v>
      </c>
      <c r="N8" s="37">
        <f t="shared" ref="N8:O8" si="13">C8+L8</f>
        <v>98</v>
      </c>
      <c r="O8" s="37">
        <f t="shared" si="13"/>
        <v>8</v>
      </c>
      <c r="P8" s="50" t="s">
        <v>60</v>
      </c>
      <c r="Q8" s="50" t="s">
        <v>60</v>
      </c>
      <c r="R8" s="50" t="s">
        <v>60</v>
      </c>
      <c r="S8" s="51">
        <f t="shared" si="4"/>
        <v>4</v>
      </c>
      <c r="T8" s="52">
        <f t="shared" si="5"/>
        <v>2</v>
      </c>
      <c r="U8" s="52"/>
      <c r="V8" s="51">
        <f t="shared" si="6"/>
        <v>1</v>
      </c>
      <c r="W8" s="52">
        <f t="shared" si="7"/>
        <v>4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88</v>
      </c>
      <c r="C9" s="37">
        <v>87.0</v>
      </c>
      <c r="D9" s="37">
        <v>9.0</v>
      </c>
      <c r="E9" s="42">
        <f t="shared" si="2"/>
        <v>12.33333333</v>
      </c>
      <c r="F9" s="89">
        <v>1.0</v>
      </c>
      <c r="G9" s="90">
        <v>1.0</v>
      </c>
      <c r="H9" s="91">
        <v>0.0</v>
      </c>
      <c r="I9" s="90">
        <v>3.0</v>
      </c>
      <c r="J9" s="90">
        <v>6.0</v>
      </c>
      <c r="K9" s="90">
        <v>7.0</v>
      </c>
      <c r="L9" s="92">
        <v>16.0</v>
      </c>
      <c r="M9" s="90">
        <v>2.0</v>
      </c>
      <c r="N9" s="37">
        <f t="shared" ref="N9:O9" si="14">C9+L9</f>
        <v>103</v>
      </c>
      <c r="O9" s="37">
        <f t="shared" si="14"/>
        <v>11</v>
      </c>
      <c r="P9" s="50" t="s">
        <v>60</v>
      </c>
      <c r="Q9" s="50" t="s">
        <v>60</v>
      </c>
      <c r="R9" s="50" t="s">
        <v>60</v>
      </c>
      <c r="S9" s="51">
        <f t="shared" si="4"/>
        <v>6</v>
      </c>
      <c r="T9" s="52">
        <f t="shared" si="5"/>
        <v>1</v>
      </c>
      <c r="U9" s="52"/>
      <c r="V9" s="51">
        <f t="shared" si="6"/>
        <v>0</v>
      </c>
      <c r="W9" s="52">
        <f t="shared" si="7"/>
        <v>0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92</v>
      </c>
      <c r="C10" s="37">
        <v>85.0</v>
      </c>
      <c r="D10" s="37">
        <v>8.0</v>
      </c>
      <c r="E10" s="42">
        <f t="shared" si="2"/>
        <v>15</v>
      </c>
      <c r="F10" s="89">
        <v>3.0</v>
      </c>
      <c r="G10" s="90">
        <v>0.0</v>
      </c>
      <c r="H10" s="91">
        <v>9.0</v>
      </c>
      <c r="I10" s="90">
        <v>0.0</v>
      </c>
      <c r="J10" s="90">
        <v>0.0</v>
      </c>
      <c r="K10" s="90">
        <v>0.0</v>
      </c>
      <c r="L10" s="92">
        <v>9.0</v>
      </c>
      <c r="M10" s="90">
        <v>0.0</v>
      </c>
      <c r="N10" s="37">
        <f t="shared" ref="N10:O10" si="15">C10+L10</f>
        <v>94</v>
      </c>
      <c r="O10" s="37">
        <f t="shared" si="15"/>
        <v>8</v>
      </c>
      <c r="P10" s="50" t="s">
        <v>60</v>
      </c>
      <c r="Q10" s="50" t="s">
        <v>60</v>
      </c>
      <c r="R10" s="50" t="s">
        <v>60</v>
      </c>
      <c r="S10" s="51">
        <f t="shared" si="4"/>
        <v>3</v>
      </c>
      <c r="T10" s="52">
        <f t="shared" si="5"/>
        <v>1</v>
      </c>
      <c r="U10" s="52"/>
      <c r="V10" s="51">
        <f t="shared" si="6"/>
        <v>3</v>
      </c>
      <c r="W10" s="52">
        <f t="shared" si="7"/>
        <v>-2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91</v>
      </c>
      <c r="C11" s="37">
        <v>85.0</v>
      </c>
      <c r="D11" s="37">
        <v>8.0</v>
      </c>
      <c r="E11" s="42">
        <f t="shared" si="2"/>
        <v>12.6</v>
      </c>
      <c r="F11" s="89">
        <v>1.0</v>
      </c>
      <c r="G11" s="90">
        <v>2.0</v>
      </c>
      <c r="H11" s="91">
        <v>0.0</v>
      </c>
      <c r="I11" s="90">
        <v>6.0</v>
      </c>
      <c r="J11" s="90">
        <v>1.0</v>
      </c>
      <c r="K11" s="90">
        <v>6.0</v>
      </c>
      <c r="L11" s="92">
        <v>13.0</v>
      </c>
      <c r="M11" s="90">
        <v>1.0</v>
      </c>
      <c r="N11" s="37">
        <f t="shared" ref="N11:O11" si="16">C11+L11</f>
        <v>98</v>
      </c>
      <c r="O11" s="37">
        <f t="shared" si="16"/>
        <v>9</v>
      </c>
      <c r="P11" s="50" t="s">
        <v>60</v>
      </c>
      <c r="Q11" s="50" t="s">
        <v>60</v>
      </c>
      <c r="R11" s="50" t="s">
        <v>60</v>
      </c>
      <c r="S11" s="51">
        <f t="shared" si="4"/>
        <v>5</v>
      </c>
      <c r="T11" s="52">
        <f t="shared" si="5"/>
        <v>1</v>
      </c>
      <c r="U11" s="52"/>
      <c r="V11" s="51">
        <f t="shared" si="6"/>
        <v>1</v>
      </c>
      <c r="W11" s="52">
        <f t="shared" si="7"/>
        <v>8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140</v>
      </c>
      <c r="C12" s="37">
        <v>84.0</v>
      </c>
      <c r="D12" s="37">
        <v>9.0</v>
      </c>
      <c r="E12" s="42">
        <f t="shared" si="2"/>
        <v>12</v>
      </c>
      <c r="F12" s="89">
        <v>1.0</v>
      </c>
      <c r="G12" s="90">
        <v>2.0</v>
      </c>
      <c r="H12" s="91">
        <v>0.0</v>
      </c>
      <c r="I12" s="90">
        <v>7.0</v>
      </c>
      <c r="J12" s="90">
        <v>1.0</v>
      </c>
      <c r="K12" s="90">
        <v>4.0</v>
      </c>
      <c r="L12" s="92">
        <v>12.0</v>
      </c>
      <c r="M12" s="90">
        <v>1.0</v>
      </c>
      <c r="N12" s="37">
        <f t="shared" ref="N12:O12" si="17">C12+L12</f>
        <v>96</v>
      </c>
      <c r="O12" s="37">
        <f t="shared" si="17"/>
        <v>10</v>
      </c>
      <c r="P12" s="50" t="s">
        <v>60</v>
      </c>
      <c r="Q12" s="50" t="s">
        <v>60</v>
      </c>
      <c r="R12" s="50" t="s">
        <v>60</v>
      </c>
      <c r="S12" s="51">
        <f t="shared" si="4"/>
        <v>7</v>
      </c>
      <c r="T12" s="52">
        <f t="shared" si="5"/>
        <v>0</v>
      </c>
      <c r="U12" s="52"/>
      <c r="V12" s="51">
        <f t="shared" si="6"/>
        <v>0</v>
      </c>
      <c r="W12" s="52">
        <f t="shared" si="7"/>
        <v>-1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98</v>
      </c>
      <c r="C13" s="37">
        <v>83.0</v>
      </c>
      <c r="D13" s="37">
        <v>9.0</v>
      </c>
      <c r="E13" s="42">
        <f t="shared" si="2"/>
        <v>12.33333333</v>
      </c>
      <c r="F13" s="89">
        <v>3.0</v>
      </c>
      <c r="G13" s="90">
        <v>0.0</v>
      </c>
      <c r="H13" s="91">
        <v>9.0</v>
      </c>
      <c r="I13" s="90">
        <v>0.0</v>
      </c>
      <c r="J13" s="90">
        <v>0.0</v>
      </c>
      <c r="K13" s="90">
        <v>0.0</v>
      </c>
      <c r="L13" s="92">
        <v>9.0</v>
      </c>
      <c r="M13" s="90">
        <v>0.0</v>
      </c>
      <c r="N13" s="37">
        <f t="shared" ref="N13:O13" si="18">C13+L13</f>
        <v>92</v>
      </c>
      <c r="O13" s="37">
        <f t="shared" si="18"/>
        <v>9</v>
      </c>
      <c r="P13" s="50" t="s">
        <v>60</v>
      </c>
      <c r="Q13" s="50" t="s">
        <v>60</v>
      </c>
      <c r="R13" s="50" t="s">
        <v>60</v>
      </c>
      <c r="S13" s="51">
        <f t="shared" si="4"/>
        <v>6</v>
      </c>
      <c r="T13" s="52">
        <f t="shared" si="5"/>
        <v>0</v>
      </c>
      <c r="U13" s="52"/>
      <c r="V13" s="51">
        <f t="shared" si="6"/>
        <v>1</v>
      </c>
      <c r="W13" s="52">
        <f t="shared" si="7"/>
        <v>11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85</v>
      </c>
      <c r="C14" s="37">
        <v>81.0</v>
      </c>
      <c r="D14" s="37">
        <v>10.0</v>
      </c>
      <c r="E14" s="42">
        <f t="shared" si="2"/>
        <v>12.6</v>
      </c>
      <c r="F14" s="89">
        <v>1.0</v>
      </c>
      <c r="G14" s="90">
        <v>2.0</v>
      </c>
      <c r="H14" s="91">
        <v>0.0</v>
      </c>
      <c r="I14" s="90">
        <v>7.0</v>
      </c>
      <c r="J14" s="90">
        <v>6.0</v>
      </c>
      <c r="K14" s="90">
        <v>6.0</v>
      </c>
      <c r="L14" s="92">
        <v>19.0</v>
      </c>
      <c r="M14" s="90">
        <v>3.0</v>
      </c>
      <c r="N14" s="37">
        <f t="shared" ref="N14:O14" si="19">C14+L14</f>
        <v>100</v>
      </c>
      <c r="O14" s="37">
        <f t="shared" si="19"/>
        <v>13</v>
      </c>
      <c r="P14" s="50" t="s">
        <v>60</v>
      </c>
      <c r="Q14" s="50" t="s">
        <v>60</v>
      </c>
      <c r="R14" s="50" t="s">
        <v>60</v>
      </c>
      <c r="S14" s="51">
        <f t="shared" si="4"/>
        <v>5</v>
      </c>
      <c r="T14" s="52">
        <f t="shared" si="5"/>
        <v>0</v>
      </c>
      <c r="U14" s="52"/>
      <c r="V14" s="51">
        <f t="shared" si="6"/>
        <v>2</v>
      </c>
      <c r="W14" s="52">
        <f t="shared" si="7"/>
        <v>13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74</v>
      </c>
      <c r="C15" s="37">
        <v>81.0</v>
      </c>
      <c r="D15" s="37">
        <v>7.0</v>
      </c>
      <c r="E15" s="42">
        <f t="shared" si="2"/>
        <v>11.8</v>
      </c>
      <c r="F15" s="89">
        <v>1.0</v>
      </c>
      <c r="G15" s="90">
        <v>2.0</v>
      </c>
      <c r="H15" s="91">
        <v>0.0</v>
      </c>
      <c r="I15" s="90">
        <v>6.0</v>
      </c>
      <c r="J15" s="90">
        <v>6.0</v>
      </c>
      <c r="K15" s="90">
        <v>4.0</v>
      </c>
      <c r="L15" s="92">
        <v>16.0</v>
      </c>
      <c r="M15" s="90">
        <v>1.0</v>
      </c>
      <c r="N15" s="37">
        <f t="shared" ref="N15:O15" si="20">C15+L15</f>
        <v>97</v>
      </c>
      <c r="O15" s="37">
        <f t="shared" si="20"/>
        <v>8</v>
      </c>
      <c r="P15" s="50" t="s">
        <v>60</v>
      </c>
      <c r="Q15" s="50" t="s">
        <v>60</v>
      </c>
      <c r="R15" s="50" t="s">
        <v>60</v>
      </c>
      <c r="S15" s="51">
        <f t="shared" si="4"/>
        <v>5</v>
      </c>
      <c r="T15" s="52">
        <f t="shared" si="5"/>
        <v>1</v>
      </c>
      <c r="U15" s="52"/>
      <c r="V15" s="51">
        <f t="shared" si="6"/>
        <v>1</v>
      </c>
      <c r="W15" s="52">
        <f t="shared" si="7"/>
        <v>2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115</v>
      </c>
      <c r="C16" s="37">
        <v>81.0</v>
      </c>
      <c r="D16" s="37">
        <v>6.0</v>
      </c>
      <c r="E16" s="42">
        <f t="shared" si="2"/>
        <v>12.5</v>
      </c>
      <c r="F16" s="89">
        <v>1.0</v>
      </c>
      <c r="G16" s="90">
        <v>3.0</v>
      </c>
      <c r="H16" s="91">
        <v>0.0</v>
      </c>
      <c r="I16" s="90">
        <v>3.0</v>
      </c>
      <c r="J16" s="90">
        <v>0.0</v>
      </c>
      <c r="K16" s="90">
        <v>7.0</v>
      </c>
      <c r="L16" s="92">
        <v>10.0</v>
      </c>
      <c r="M16" s="90">
        <v>1.0</v>
      </c>
      <c r="N16" s="37">
        <f t="shared" ref="N16:O16" si="21">C16+L16</f>
        <v>91</v>
      </c>
      <c r="O16" s="37">
        <f t="shared" si="21"/>
        <v>7</v>
      </c>
      <c r="P16" s="50" t="s">
        <v>60</v>
      </c>
      <c r="Q16" s="50" t="s">
        <v>60</v>
      </c>
      <c r="R16" s="50" t="s">
        <v>60</v>
      </c>
      <c r="S16" s="51">
        <f t="shared" si="4"/>
        <v>4</v>
      </c>
      <c r="T16" s="52">
        <f t="shared" si="5"/>
        <v>1</v>
      </c>
      <c r="U16" s="52"/>
      <c r="V16" s="51">
        <f t="shared" si="6"/>
        <v>2</v>
      </c>
      <c r="W16" s="52">
        <f t="shared" si="7"/>
        <v>-6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87</v>
      </c>
      <c r="C17" s="37">
        <v>81.0</v>
      </c>
      <c r="D17" s="37">
        <v>6.0</v>
      </c>
      <c r="E17" s="42">
        <f t="shared" si="2"/>
        <v>11.33333333</v>
      </c>
      <c r="F17" s="89">
        <v>1.0</v>
      </c>
      <c r="G17" s="90">
        <v>3.0</v>
      </c>
      <c r="H17" s="91">
        <v>0.0</v>
      </c>
      <c r="I17" s="90">
        <v>6.0</v>
      </c>
      <c r="J17" s="90">
        <v>0.0</v>
      </c>
      <c r="K17" s="90">
        <v>6.0</v>
      </c>
      <c r="L17" s="92">
        <v>12.0</v>
      </c>
      <c r="M17" s="90">
        <v>1.0</v>
      </c>
      <c r="N17" s="37">
        <f t="shared" ref="N17:O17" si="22">C17+L17</f>
        <v>93</v>
      </c>
      <c r="O17" s="37">
        <f t="shared" si="22"/>
        <v>7</v>
      </c>
      <c r="P17" s="50" t="s">
        <v>60</v>
      </c>
      <c r="Q17" s="50" t="s">
        <v>60</v>
      </c>
      <c r="R17" s="50" t="s">
        <v>60</v>
      </c>
      <c r="S17" s="51">
        <f t="shared" si="4"/>
        <v>6</v>
      </c>
      <c r="T17" s="52">
        <f t="shared" si="5"/>
        <v>1</v>
      </c>
      <c r="U17" s="52"/>
      <c r="V17" s="51">
        <f t="shared" si="6"/>
        <v>0</v>
      </c>
      <c r="W17" s="52">
        <f t="shared" si="7"/>
        <v>-4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97</v>
      </c>
      <c r="C18" s="37">
        <v>80.0</v>
      </c>
      <c r="D18" s="37">
        <v>7.0</v>
      </c>
      <c r="E18" s="42">
        <f t="shared" si="2"/>
        <v>11.42857143</v>
      </c>
      <c r="F18" s="89">
        <v>1.0</v>
      </c>
      <c r="G18" s="90">
        <v>3.0</v>
      </c>
      <c r="H18" s="91">
        <v>0.0</v>
      </c>
      <c r="I18" s="90">
        <v>3.0</v>
      </c>
      <c r="J18" s="90">
        <v>6.0</v>
      </c>
      <c r="K18" s="90">
        <v>6.0</v>
      </c>
      <c r="L18" s="92">
        <v>15.0</v>
      </c>
      <c r="M18" s="90">
        <v>1.0</v>
      </c>
      <c r="N18" s="37">
        <f t="shared" ref="N18:O18" si="23">C18+L18</f>
        <v>95</v>
      </c>
      <c r="O18" s="37">
        <f t="shared" si="23"/>
        <v>8</v>
      </c>
      <c r="P18" s="50" t="s">
        <v>60</v>
      </c>
      <c r="Q18" s="50" t="s">
        <v>60</v>
      </c>
      <c r="R18" s="50" t="s">
        <v>60</v>
      </c>
      <c r="S18" s="51">
        <f t="shared" si="4"/>
        <v>7</v>
      </c>
      <c r="T18" s="52">
        <f t="shared" si="5"/>
        <v>0</v>
      </c>
      <c r="U18" s="52"/>
      <c r="V18" s="51">
        <f t="shared" si="6"/>
        <v>0</v>
      </c>
      <c r="W18" s="52">
        <f t="shared" si="7"/>
        <v>-2</v>
      </c>
      <c r="X18" s="35">
        <f t="shared" si="12"/>
        <v>14</v>
      </c>
      <c r="Y18" s="35" t="str">
        <f t="shared" si="8"/>
        <v>Y</v>
      </c>
      <c r="Z18" s="22" t="str">
        <f t="shared" si="9"/>
        <v/>
      </c>
    </row>
    <row r="19">
      <c r="A19" s="35">
        <f t="shared" si="10"/>
        <v>15</v>
      </c>
      <c r="B19" s="36" t="s">
        <v>127</v>
      </c>
      <c r="C19" s="37">
        <v>80.0</v>
      </c>
      <c r="D19" s="37">
        <v>6.0</v>
      </c>
      <c r="E19" s="42">
        <f t="shared" si="2"/>
        <v>11.25</v>
      </c>
      <c r="F19" s="89">
        <v>3.0</v>
      </c>
      <c r="G19" s="90">
        <v>0.0</v>
      </c>
      <c r="H19" s="91">
        <v>9.0</v>
      </c>
      <c r="I19" s="90">
        <v>0.0</v>
      </c>
      <c r="J19" s="90">
        <v>0.0</v>
      </c>
      <c r="K19" s="90">
        <v>0.0</v>
      </c>
      <c r="L19" s="92">
        <v>9.0</v>
      </c>
      <c r="M19" s="90">
        <v>0.0</v>
      </c>
      <c r="N19" s="37">
        <f t="shared" ref="N19:O19" si="24">C19+L19</f>
        <v>89</v>
      </c>
      <c r="O19" s="37">
        <f t="shared" si="24"/>
        <v>6</v>
      </c>
      <c r="P19" s="50" t="s">
        <v>60</v>
      </c>
      <c r="Q19" s="50" t="s">
        <v>60</v>
      </c>
      <c r="R19" s="50" t="s">
        <v>60</v>
      </c>
      <c r="S19" s="51">
        <f t="shared" si="4"/>
        <v>4</v>
      </c>
      <c r="T19" s="52">
        <f t="shared" si="5"/>
        <v>2</v>
      </c>
      <c r="U19" s="52"/>
      <c r="V19" s="51">
        <f t="shared" si="6"/>
        <v>1</v>
      </c>
      <c r="W19" s="52">
        <f t="shared" si="7"/>
        <v>-1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93</v>
      </c>
      <c r="C20" s="37">
        <v>80.0</v>
      </c>
      <c r="D20" s="37">
        <v>5.0</v>
      </c>
      <c r="E20" s="42">
        <f t="shared" si="2"/>
        <v>11.25</v>
      </c>
      <c r="F20" s="89">
        <v>1.0</v>
      </c>
      <c r="G20" s="90">
        <v>3.0</v>
      </c>
      <c r="H20" s="91">
        <v>0.0</v>
      </c>
      <c r="I20" s="90">
        <v>6.0</v>
      </c>
      <c r="J20" s="90">
        <v>6.0</v>
      </c>
      <c r="K20" s="90">
        <v>7.0</v>
      </c>
      <c r="L20" s="92">
        <v>19.0</v>
      </c>
      <c r="M20" s="90">
        <v>3.0</v>
      </c>
      <c r="N20" s="37">
        <f t="shared" ref="N20:O20" si="25">C20+L20</f>
        <v>99</v>
      </c>
      <c r="O20" s="37">
        <f t="shared" si="25"/>
        <v>8</v>
      </c>
      <c r="P20" s="50" t="s">
        <v>60</v>
      </c>
      <c r="Q20" s="50" t="s">
        <v>60</v>
      </c>
      <c r="R20" s="50" t="s">
        <v>60</v>
      </c>
      <c r="S20" s="51">
        <f t="shared" si="4"/>
        <v>4</v>
      </c>
      <c r="T20" s="52">
        <f t="shared" si="5"/>
        <v>2</v>
      </c>
      <c r="U20" s="52"/>
      <c r="V20" s="51">
        <f t="shared" si="6"/>
        <v>1</v>
      </c>
      <c r="W20" s="52">
        <f t="shared" si="7"/>
        <v>0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94</v>
      </c>
      <c r="C21" s="37">
        <v>79.0</v>
      </c>
      <c r="D21" s="37">
        <v>7.0</v>
      </c>
      <c r="E21" s="42">
        <f t="shared" si="2"/>
        <v>11.4</v>
      </c>
      <c r="F21" s="89">
        <v>3.0</v>
      </c>
      <c r="G21" s="90">
        <v>0.0</v>
      </c>
      <c r="H21" s="91">
        <v>9.0</v>
      </c>
      <c r="I21" s="90">
        <v>0.0</v>
      </c>
      <c r="J21" s="90">
        <v>0.0</v>
      </c>
      <c r="K21" s="90">
        <v>0.0</v>
      </c>
      <c r="L21" s="92">
        <v>9.0</v>
      </c>
      <c r="M21" s="90">
        <v>0.0</v>
      </c>
      <c r="N21" s="37">
        <f t="shared" ref="N21:O21" si="26">C21+L21</f>
        <v>88</v>
      </c>
      <c r="O21" s="37">
        <f t="shared" si="26"/>
        <v>7</v>
      </c>
      <c r="P21" s="50" t="s">
        <v>60</v>
      </c>
      <c r="Q21" s="50" t="s">
        <v>60</v>
      </c>
      <c r="R21" s="50" t="s">
        <v>60</v>
      </c>
      <c r="S21" s="51">
        <f t="shared" si="4"/>
        <v>5</v>
      </c>
      <c r="T21" s="52">
        <f t="shared" si="5"/>
        <v>1</v>
      </c>
      <c r="U21" s="52"/>
      <c r="V21" s="51">
        <f t="shared" si="6"/>
        <v>1</v>
      </c>
      <c r="W21" s="52">
        <f t="shared" si="7"/>
        <v>-6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113</v>
      </c>
      <c r="C22" s="37">
        <v>79.0</v>
      </c>
      <c r="D22" s="37">
        <v>5.0</v>
      </c>
      <c r="E22" s="42">
        <f t="shared" si="2"/>
        <v>12</v>
      </c>
      <c r="F22" s="89">
        <v>1.0</v>
      </c>
      <c r="G22" s="90">
        <v>4.0</v>
      </c>
      <c r="H22" s="91">
        <v>0.0</v>
      </c>
      <c r="I22" s="90">
        <v>6.0</v>
      </c>
      <c r="J22" s="90">
        <v>2.0</v>
      </c>
      <c r="K22" s="90">
        <v>5.0</v>
      </c>
      <c r="L22" s="92">
        <v>13.0</v>
      </c>
      <c r="M22" s="90">
        <v>1.0</v>
      </c>
      <c r="N22" s="37">
        <f t="shared" ref="N22:O22" si="27">C22+L22</f>
        <v>92</v>
      </c>
      <c r="O22" s="37">
        <f t="shared" si="27"/>
        <v>6</v>
      </c>
      <c r="P22" s="50" t="s">
        <v>60</v>
      </c>
      <c r="Q22" s="50" t="s">
        <v>60</v>
      </c>
      <c r="R22" s="50" t="s">
        <v>60</v>
      </c>
      <c r="S22" s="51">
        <f t="shared" si="4"/>
        <v>4</v>
      </c>
      <c r="T22" s="52">
        <f t="shared" si="5"/>
        <v>1</v>
      </c>
      <c r="U22" s="52"/>
      <c r="V22" s="51">
        <f t="shared" si="6"/>
        <v>2</v>
      </c>
      <c r="W22" s="52">
        <f t="shared" si="7"/>
        <v>1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108</v>
      </c>
      <c r="C23" s="37">
        <v>79.0</v>
      </c>
      <c r="D23" s="37">
        <v>5.0</v>
      </c>
      <c r="E23" s="42">
        <f t="shared" si="2"/>
        <v>10.6</v>
      </c>
      <c r="F23" s="89">
        <v>2.0</v>
      </c>
      <c r="G23" s="90">
        <v>4.0</v>
      </c>
      <c r="H23" s="91">
        <v>0.0</v>
      </c>
      <c r="I23" s="90">
        <v>0.0</v>
      </c>
      <c r="J23" s="90">
        <v>6.0</v>
      </c>
      <c r="K23" s="90">
        <v>5.0</v>
      </c>
      <c r="L23" s="92">
        <v>11.0</v>
      </c>
      <c r="M23" s="90">
        <v>1.0</v>
      </c>
      <c r="N23" s="37">
        <f t="shared" ref="N23:O23" si="28">C23+L23</f>
        <v>90</v>
      </c>
      <c r="O23" s="37">
        <f t="shared" si="28"/>
        <v>6</v>
      </c>
      <c r="P23" s="50" t="s">
        <v>60</v>
      </c>
      <c r="Q23" s="50" t="s">
        <v>60</v>
      </c>
      <c r="R23" s="50" t="s">
        <v>60</v>
      </c>
      <c r="S23" s="51">
        <f t="shared" si="4"/>
        <v>5</v>
      </c>
      <c r="T23" s="52">
        <f t="shared" si="5"/>
        <v>2</v>
      </c>
      <c r="U23" s="52"/>
      <c r="V23" s="51">
        <f t="shared" si="6"/>
        <v>0</v>
      </c>
      <c r="W23" s="52">
        <f t="shared" si="7"/>
        <v>-2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81</v>
      </c>
      <c r="C24" s="37">
        <v>78.0</v>
      </c>
      <c r="D24" s="37">
        <v>7.0</v>
      </c>
      <c r="E24" s="42">
        <f t="shared" si="2"/>
        <v>14</v>
      </c>
      <c r="F24" s="89">
        <v>3.0</v>
      </c>
      <c r="G24" s="90">
        <v>0.0</v>
      </c>
      <c r="H24" s="91">
        <v>9.0</v>
      </c>
      <c r="I24" s="90">
        <v>0.0</v>
      </c>
      <c r="J24" s="90">
        <v>0.0</v>
      </c>
      <c r="K24" s="90">
        <v>0.0</v>
      </c>
      <c r="L24" s="92">
        <v>9.0</v>
      </c>
      <c r="M24" s="90">
        <v>0.0</v>
      </c>
      <c r="N24" s="37">
        <f t="shared" ref="N24:O24" si="29">C24+L24</f>
        <v>87</v>
      </c>
      <c r="O24" s="37">
        <f t="shared" si="29"/>
        <v>7</v>
      </c>
      <c r="P24" s="50" t="s">
        <v>60</v>
      </c>
      <c r="Q24" s="50" t="s">
        <v>60</v>
      </c>
      <c r="R24" s="50" t="s">
        <v>60</v>
      </c>
      <c r="S24" s="51">
        <f t="shared" si="4"/>
        <v>3</v>
      </c>
      <c r="T24" s="52">
        <f t="shared" si="5"/>
        <v>0</v>
      </c>
      <c r="U24" s="52"/>
      <c r="V24" s="51">
        <f t="shared" si="6"/>
        <v>4</v>
      </c>
      <c r="W24" s="52">
        <f t="shared" si="7"/>
        <v>-10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121</v>
      </c>
      <c r="C25" s="37">
        <v>77.0</v>
      </c>
      <c r="D25" s="37">
        <v>8.0</v>
      </c>
      <c r="E25" s="42">
        <f t="shared" si="2"/>
        <v>13.66666667</v>
      </c>
      <c r="F25" s="89">
        <v>3.0</v>
      </c>
      <c r="G25" s="90">
        <v>0.0</v>
      </c>
      <c r="H25" s="91">
        <v>9.0</v>
      </c>
      <c r="I25" s="90">
        <v>0.0</v>
      </c>
      <c r="J25" s="90">
        <v>0.0</v>
      </c>
      <c r="K25" s="90">
        <v>0.0</v>
      </c>
      <c r="L25" s="92">
        <v>9.0</v>
      </c>
      <c r="M25" s="90">
        <v>0.0</v>
      </c>
      <c r="N25" s="37">
        <f t="shared" ref="N25:O25" si="30">C25+L25</f>
        <v>86</v>
      </c>
      <c r="O25" s="37">
        <f t="shared" si="30"/>
        <v>8</v>
      </c>
      <c r="P25" s="50" t="s">
        <v>60</v>
      </c>
      <c r="Q25" s="50" t="s">
        <v>60</v>
      </c>
      <c r="R25" s="50" t="s">
        <v>60</v>
      </c>
      <c r="S25" s="51">
        <f t="shared" si="4"/>
        <v>3</v>
      </c>
      <c r="T25" s="52">
        <f t="shared" si="5"/>
        <v>0</v>
      </c>
      <c r="U25" s="52"/>
      <c r="V25" s="51">
        <f t="shared" si="6"/>
        <v>4</v>
      </c>
      <c r="W25" s="52">
        <f t="shared" si="7"/>
        <v>8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111</v>
      </c>
      <c r="C26" s="37">
        <v>77.0</v>
      </c>
      <c r="D26" s="37">
        <v>5.0</v>
      </c>
      <c r="E26" s="42">
        <f t="shared" si="2"/>
        <v>12.5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86</v>
      </c>
      <c r="O26" s="37">
        <f t="shared" si="31"/>
        <v>5</v>
      </c>
      <c r="P26" s="50" t="s">
        <v>60</v>
      </c>
      <c r="Q26" s="50" t="s">
        <v>60</v>
      </c>
      <c r="R26" s="50" t="s">
        <v>60</v>
      </c>
      <c r="S26" s="51">
        <f t="shared" si="4"/>
        <v>4</v>
      </c>
      <c r="T26" s="52">
        <f t="shared" si="5"/>
        <v>0</v>
      </c>
      <c r="U26" s="52"/>
      <c r="V26" s="51">
        <f t="shared" si="6"/>
        <v>3</v>
      </c>
      <c r="W26" s="52">
        <f t="shared" si="7"/>
        <v>-1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135</v>
      </c>
      <c r="C27" s="37">
        <v>75.0</v>
      </c>
      <c r="D27" s="37">
        <v>8.0</v>
      </c>
      <c r="E27" s="42">
        <f t="shared" si="2"/>
        <v>11.4</v>
      </c>
      <c r="F27" s="89">
        <v>1.0</v>
      </c>
      <c r="G27" s="90">
        <v>4.0</v>
      </c>
      <c r="H27" s="91">
        <v>0.0</v>
      </c>
      <c r="I27" s="90">
        <v>0.0</v>
      </c>
      <c r="J27" s="90">
        <v>2.0</v>
      </c>
      <c r="K27" s="90">
        <v>7.0</v>
      </c>
      <c r="L27" s="92">
        <v>9.0</v>
      </c>
      <c r="M27" s="90">
        <v>1.0</v>
      </c>
      <c r="N27" s="37">
        <f t="shared" ref="N27:O27" si="32">C27+L27</f>
        <v>84</v>
      </c>
      <c r="O27" s="37">
        <f t="shared" si="32"/>
        <v>9</v>
      </c>
      <c r="P27" s="50" t="s">
        <v>60</v>
      </c>
      <c r="Q27" s="50" t="s">
        <v>60</v>
      </c>
      <c r="R27" s="50" t="s">
        <v>60</v>
      </c>
      <c r="S27" s="51">
        <f t="shared" si="4"/>
        <v>5</v>
      </c>
      <c r="T27" s="52">
        <f t="shared" si="5"/>
        <v>0</v>
      </c>
      <c r="U27" s="52"/>
      <c r="V27" s="51">
        <f t="shared" si="6"/>
        <v>2</v>
      </c>
      <c r="W27" s="52">
        <f t="shared" si="7"/>
        <v>14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122</v>
      </c>
      <c r="C28" s="37">
        <v>74.0</v>
      </c>
      <c r="D28" s="37">
        <v>7.0</v>
      </c>
      <c r="E28" s="42">
        <f t="shared" si="2"/>
        <v>11.75</v>
      </c>
      <c r="F28" s="89">
        <v>1.0</v>
      </c>
      <c r="G28" s="90">
        <v>4.0</v>
      </c>
      <c r="H28" s="91">
        <v>0.0</v>
      </c>
      <c r="I28" s="90">
        <v>6.0</v>
      </c>
      <c r="J28" s="90">
        <v>6.0</v>
      </c>
      <c r="K28" s="90">
        <v>7.0</v>
      </c>
      <c r="L28" s="92">
        <v>19.0</v>
      </c>
      <c r="M28" s="90">
        <v>3.0</v>
      </c>
      <c r="N28" s="37">
        <f t="shared" ref="N28:O28" si="33">C28+L28</f>
        <v>93</v>
      </c>
      <c r="O28" s="37">
        <f t="shared" si="33"/>
        <v>10</v>
      </c>
      <c r="P28" s="50" t="s">
        <v>60</v>
      </c>
      <c r="Q28" s="50" t="s">
        <v>60</v>
      </c>
      <c r="R28" s="50" t="s">
        <v>60</v>
      </c>
      <c r="S28" s="51">
        <f t="shared" si="4"/>
        <v>4</v>
      </c>
      <c r="T28" s="52">
        <f t="shared" si="5"/>
        <v>0</v>
      </c>
      <c r="U28" s="52"/>
      <c r="V28" s="51">
        <f t="shared" si="6"/>
        <v>3</v>
      </c>
      <c r="W28" s="52">
        <f t="shared" si="7"/>
        <v>-6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101</v>
      </c>
      <c r="C29" s="37">
        <v>73.0</v>
      </c>
      <c r="D29" s="37">
        <v>8.0</v>
      </c>
      <c r="E29" s="42">
        <f t="shared" si="2"/>
        <v>10.66666667</v>
      </c>
      <c r="F29" s="89">
        <v>3.0</v>
      </c>
      <c r="G29" s="90">
        <v>0.0</v>
      </c>
      <c r="H29" s="91">
        <v>9.0</v>
      </c>
      <c r="I29" s="90">
        <v>0.0</v>
      </c>
      <c r="J29" s="90">
        <v>0.0</v>
      </c>
      <c r="K29" s="90">
        <v>0.0</v>
      </c>
      <c r="L29" s="92">
        <v>9.0</v>
      </c>
      <c r="M29" s="90">
        <v>0.0</v>
      </c>
      <c r="N29" s="37">
        <f t="shared" ref="N29:O29" si="34">C29+L29</f>
        <v>82</v>
      </c>
      <c r="O29" s="37">
        <f t="shared" si="34"/>
        <v>8</v>
      </c>
      <c r="P29" s="50" t="s">
        <v>60</v>
      </c>
      <c r="Q29" s="50" t="s">
        <v>60</v>
      </c>
      <c r="R29" s="50" t="s">
        <v>60</v>
      </c>
      <c r="S29" s="51">
        <f t="shared" si="4"/>
        <v>6</v>
      </c>
      <c r="T29" s="52">
        <f t="shared" si="5"/>
        <v>0</v>
      </c>
      <c r="U29" s="52"/>
      <c r="V29" s="51">
        <f t="shared" si="6"/>
        <v>1</v>
      </c>
      <c r="W29" s="52">
        <f t="shared" si="7"/>
        <v>1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118</v>
      </c>
      <c r="C30" s="37">
        <v>73.0</v>
      </c>
      <c r="D30" s="37">
        <v>7.0</v>
      </c>
      <c r="E30" s="42">
        <f t="shared" si="2"/>
        <v>10</v>
      </c>
      <c r="F30" s="89">
        <v>1.0</v>
      </c>
      <c r="G30" s="90">
        <v>5.0</v>
      </c>
      <c r="H30" s="91">
        <v>0.0</v>
      </c>
      <c r="I30" s="90">
        <v>6.0</v>
      </c>
      <c r="J30" s="90">
        <v>7.0</v>
      </c>
      <c r="K30" s="90">
        <v>5.0</v>
      </c>
      <c r="L30" s="92">
        <v>18.0</v>
      </c>
      <c r="M30" s="90">
        <v>2.0</v>
      </c>
      <c r="N30" s="37">
        <f t="shared" ref="N30:O30" si="35">C30+L30</f>
        <v>91</v>
      </c>
      <c r="O30" s="37">
        <f t="shared" si="35"/>
        <v>9</v>
      </c>
      <c r="P30" s="50" t="s">
        <v>60</v>
      </c>
      <c r="Q30" s="50" t="s">
        <v>60</v>
      </c>
      <c r="R30" s="50" t="s">
        <v>60</v>
      </c>
      <c r="S30" s="51">
        <f t="shared" si="4"/>
        <v>6</v>
      </c>
      <c r="T30" s="52">
        <f t="shared" si="5"/>
        <v>1</v>
      </c>
      <c r="U30" s="52"/>
      <c r="V30" s="51">
        <f t="shared" si="6"/>
        <v>0</v>
      </c>
      <c r="W30" s="52">
        <f t="shared" si="7"/>
        <v>-1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100</v>
      </c>
      <c r="C31" s="37">
        <v>73.0</v>
      </c>
      <c r="D31" s="37">
        <v>5.0</v>
      </c>
      <c r="E31" s="42">
        <f t="shared" si="2"/>
        <v>10.66666667</v>
      </c>
      <c r="F31" s="89">
        <v>1.0</v>
      </c>
      <c r="G31" s="90">
        <v>5.0</v>
      </c>
      <c r="H31" s="91">
        <v>0.0</v>
      </c>
      <c r="I31" s="90">
        <v>2.0</v>
      </c>
      <c r="J31" s="90">
        <v>7.0</v>
      </c>
      <c r="K31" s="90">
        <v>7.0</v>
      </c>
      <c r="L31" s="92">
        <v>16.0</v>
      </c>
      <c r="M31" s="90">
        <v>2.0</v>
      </c>
      <c r="N31" s="37">
        <f t="shared" ref="N31:O31" si="36">C31+L31</f>
        <v>89</v>
      </c>
      <c r="O31" s="37">
        <f t="shared" si="36"/>
        <v>7</v>
      </c>
      <c r="P31" s="50" t="s">
        <v>60</v>
      </c>
      <c r="Q31" s="50" t="s">
        <v>60</v>
      </c>
      <c r="R31" s="50" t="s">
        <v>60</v>
      </c>
      <c r="S31" s="51">
        <f t="shared" si="4"/>
        <v>6</v>
      </c>
      <c r="T31" s="52">
        <f t="shared" si="5"/>
        <v>0</v>
      </c>
      <c r="U31" s="52"/>
      <c r="V31" s="51">
        <f t="shared" si="6"/>
        <v>1</v>
      </c>
      <c r="W31" s="52">
        <f t="shared" si="7"/>
        <v>0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126</v>
      </c>
      <c r="C32" s="37">
        <v>73.0</v>
      </c>
      <c r="D32" s="37">
        <v>4.0</v>
      </c>
      <c r="E32" s="42">
        <f t="shared" si="2"/>
        <v>11</v>
      </c>
      <c r="F32" s="89">
        <v>3.0</v>
      </c>
      <c r="G32" s="90">
        <v>0.0</v>
      </c>
      <c r="H32" s="91">
        <v>9.0</v>
      </c>
      <c r="I32" s="90">
        <v>0.0</v>
      </c>
      <c r="J32" s="90">
        <v>0.0</v>
      </c>
      <c r="K32" s="90">
        <v>0.0</v>
      </c>
      <c r="L32" s="92">
        <v>9.0</v>
      </c>
      <c r="M32" s="90">
        <v>0.0</v>
      </c>
      <c r="N32" s="37">
        <f t="shared" ref="N32:O32" si="37">C32+L32</f>
        <v>82</v>
      </c>
      <c r="O32" s="37">
        <f t="shared" si="37"/>
        <v>4</v>
      </c>
      <c r="P32" s="50" t="s">
        <v>60</v>
      </c>
      <c r="Q32" s="50" t="s">
        <v>60</v>
      </c>
      <c r="R32" s="50" t="s">
        <v>60</v>
      </c>
      <c r="S32" s="51">
        <f t="shared" si="4"/>
        <v>3</v>
      </c>
      <c r="T32" s="52">
        <f t="shared" si="5"/>
        <v>1</v>
      </c>
      <c r="U32" s="52"/>
      <c r="V32" s="51">
        <f t="shared" si="6"/>
        <v>3</v>
      </c>
      <c r="W32" s="52">
        <f t="shared" si="7"/>
        <v>-6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68</v>
      </c>
      <c r="C33" s="37">
        <v>72.0</v>
      </c>
      <c r="D33" s="37">
        <v>6.0</v>
      </c>
      <c r="E33" s="42">
        <f t="shared" si="2"/>
        <v>11.25</v>
      </c>
      <c r="F33" s="89">
        <v>1.0</v>
      </c>
      <c r="G33" s="90">
        <v>5.0</v>
      </c>
      <c r="H33" s="91">
        <v>0.0</v>
      </c>
      <c r="I33" s="90">
        <v>6.0</v>
      </c>
      <c r="J33" s="90">
        <v>6.0</v>
      </c>
      <c r="K33" s="90">
        <v>7.0</v>
      </c>
      <c r="L33" s="92">
        <v>19.0</v>
      </c>
      <c r="M33" s="90">
        <v>2.0</v>
      </c>
      <c r="N33" s="37">
        <f t="shared" ref="N33:O33" si="38">C33+L33</f>
        <v>91</v>
      </c>
      <c r="O33" s="37">
        <f t="shared" si="38"/>
        <v>8</v>
      </c>
      <c r="P33" s="50" t="s">
        <v>60</v>
      </c>
      <c r="Q33" s="50" t="s">
        <v>60</v>
      </c>
      <c r="R33" s="50" t="s">
        <v>60</v>
      </c>
      <c r="S33" s="51">
        <f t="shared" si="4"/>
        <v>4</v>
      </c>
      <c r="T33" s="52">
        <f t="shared" si="5"/>
        <v>0</v>
      </c>
      <c r="U33" s="52"/>
      <c r="V33" s="51">
        <f t="shared" si="6"/>
        <v>3</v>
      </c>
      <c r="W33" s="52">
        <f t="shared" si="7"/>
        <v>-5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61</v>
      </c>
      <c r="C34" s="37">
        <v>70.0</v>
      </c>
      <c r="D34" s="37">
        <v>6.0</v>
      </c>
      <c r="E34" s="42">
        <f t="shared" si="2"/>
        <v>10.75</v>
      </c>
      <c r="F34" s="89">
        <v>3.0</v>
      </c>
      <c r="G34" s="90">
        <v>0.0</v>
      </c>
      <c r="H34" s="91">
        <v>9.0</v>
      </c>
      <c r="I34" s="90">
        <v>0.0</v>
      </c>
      <c r="J34" s="90">
        <v>0.0</v>
      </c>
      <c r="K34" s="90">
        <v>0.0</v>
      </c>
      <c r="L34" s="92">
        <v>9.0</v>
      </c>
      <c r="M34" s="90">
        <v>0.0</v>
      </c>
      <c r="N34" s="37">
        <f t="shared" ref="N34:O34" si="39">C34+L34</f>
        <v>79</v>
      </c>
      <c r="O34" s="37">
        <f t="shared" si="39"/>
        <v>6</v>
      </c>
      <c r="P34" s="50" t="s">
        <v>60</v>
      </c>
      <c r="Q34" s="50" t="s">
        <v>60</v>
      </c>
      <c r="R34" s="50" t="s">
        <v>60</v>
      </c>
      <c r="S34" s="51">
        <f t="shared" si="4"/>
        <v>4</v>
      </c>
      <c r="T34" s="52">
        <f t="shared" si="5"/>
        <v>0</v>
      </c>
      <c r="U34" s="52"/>
      <c r="V34" s="51">
        <f t="shared" si="6"/>
        <v>3</v>
      </c>
      <c r="W34" s="52">
        <f t="shared" si="7"/>
        <v>12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67</v>
      </c>
      <c r="C35" s="37">
        <v>69.0</v>
      </c>
      <c r="D35" s="37">
        <v>7.0</v>
      </c>
      <c r="E35" s="42">
        <f t="shared" si="2"/>
        <v>9.857142857</v>
      </c>
      <c r="F35" s="89">
        <v>1.0</v>
      </c>
      <c r="G35" s="90">
        <v>5.0</v>
      </c>
      <c r="H35" s="91">
        <v>0.0</v>
      </c>
      <c r="I35" s="90">
        <v>2.0</v>
      </c>
      <c r="J35" s="90">
        <v>6.0</v>
      </c>
      <c r="K35" s="90">
        <v>5.0</v>
      </c>
      <c r="L35" s="92">
        <v>13.0</v>
      </c>
      <c r="M35" s="90">
        <v>0.0</v>
      </c>
      <c r="N35" s="37">
        <f t="shared" ref="N35:O35" si="40">C35+L35</f>
        <v>82</v>
      </c>
      <c r="O35" s="37">
        <f t="shared" si="40"/>
        <v>7</v>
      </c>
      <c r="P35" s="50" t="s">
        <v>60</v>
      </c>
      <c r="Q35" s="50" t="s">
        <v>60</v>
      </c>
      <c r="R35" s="50" t="s">
        <v>60</v>
      </c>
      <c r="S35" s="51">
        <f t="shared" si="4"/>
        <v>7</v>
      </c>
      <c r="T35" s="52">
        <f t="shared" si="5"/>
        <v>0</v>
      </c>
      <c r="U35" s="52"/>
      <c r="V35" s="51">
        <f t="shared" si="6"/>
        <v>0</v>
      </c>
      <c r="W35" s="52">
        <f t="shared" si="7"/>
        <v>-3</v>
      </c>
      <c r="X35" s="35">
        <f t="shared" si="12"/>
        <v>31</v>
      </c>
      <c r="Y35" s="35" t="str">
        <f t="shared" si="8"/>
        <v>Y</v>
      </c>
      <c r="Z35" s="22" t="str">
        <f t="shared" si="9"/>
        <v/>
      </c>
    </row>
    <row r="36">
      <c r="A36" s="35">
        <f t="shared" si="10"/>
        <v>32</v>
      </c>
      <c r="B36" s="36" t="s">
        <v>136</v>
      </c>
      <c r="C36" s="37">
        <v>69.0</v>
      </c>
      <c r="D36" s="37">
        <v>5.0</v>
      </c>
      <c r="E36" s="42">
        <f t="shared" si="2"/>
        <v>10</v>
      </c>
      <c r="F36" s="89">
        <v>2.0</v>
      </c>
      <c r="G36" s="90">
        <v>6.0</v>
      </c>
      <c r="H36" s="91">
        <v>0.0</v>
      </c>
      <c r="I36" s="90">
        <v>4.0</v>
      </c>
      <c r="J36" s="90">
        <v>6.0</v>
      </c>
      <c r="K36" s="90">
        <v>6.0</v>
      </c>
      <c r="L36" s="92">
        <v>16.0</v>
      </c>
      <c r="M36" s="90">
        <v>2.0</v>
      </c>
      <c r="N36" s="37">
        <f t="shared" ref="N36:O36" si="41">C36+L36</f>
        <v>85</v>
      </c>
      <c r="O36" s="37">
        <f t="shared" si="41"/>
        <v>7</v>
      </c>
      <c r="P36" s="50" t="s">
        <v>60</v>
      </c>
      <c r="Q36" s="50" t="s">
        <v>60</v>
      </c>
      <c r="R36" s="50" t="s">
        <v>60</v>
      </c>
      <c r="S36" s="51">
        <f t="shared" si="4"/>
        <v>6</v>
      </c>
      <c r="T36" s="52">
        <f t="shared" si="5"/>
        <v>0</v>
      </c>
      <c r="U36" s="52"/>
      <c r="V36" s="51">
        <f t="shared" si="6"/>
        <v>1</v>
      </c>
      <c r="W36" s="52">
        <f t="shared" si="7"/>
        <v>2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130</v>
      </c>
      <c r="C37" s="37">
        <v>68.0</v>
      </c>
      <c r="D37" s="37">
        <v>4.0</v>
      </c>
      <c r="E37" s="42">
        <f t="shared" si="2"/>
        <v>9.333333333</v>
      </c>
      <c r="F37" s="89">
        <v>2.0</v>
      </c>
      <c r="G37" s="90">
        <v>6.0</v>
      </c>
      <c r="H37" s="91">
        <v>0.0</v>
      </c>
      <c r="I37" s="90">
        <v>6.0</v>
      </c>
      <c r="J37" s="90">
        <v>2.0</v>
      </c>
      <c r="K37" s="90">
        <v>6.0</v>
      </c>
      <c r="L37" s="92">
        <v>14.0</v>
      </c>
      <c r="M37" s="90">
        <v>2.0</v>
      </c>
      <c r="N37" s="37">
        <f t="shared" ref="N37:O37" si="42">C37+L37</f>
        <v>82</v>
      </c>
      <c r="O37" s="37">
        <f t="shared" si="42"/>
        <v>6</v>
      </c>
      <c r="P37" s="50" t="s">
        <v>60</v>
      </c>
      <c r="Q37" s="50" t="s">
        <v>60</v>
      </c>
      <c r="R37" s="50" t="s">
        <v>60</v>
      </c>
      <c r="S37" s="51">
        <f t="shared" si="4"/>
        <v>3</v>
      </c>
      <c r="T37" s="52">
        <f t="shared" si="5"/>
        <v>1</v>
      </c>
      <c r="U37" s="52"/>
      <c r="V37" s="51">
        <f t="shared" si="6"/>
        <v>3</v>
      </c>
      <c r="W37" s="52">
        <f t="shared" si="7"/>
        <v>-3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133</v>
      </c>
      <c r="C38" s="37">
        <v>68.0</v>
      </c>
      <c r="D38" s="37">
        <v>2.0</v>
      </c>
      <c r="E38" s="42">
        <f t="shared" si="2"/>
        <v>9.333333333</v>
      </c>
      <c r="F38" s="89">
        <v>1.0</v>
      </c>
      <c r="G38" s="90">
        <v>6.0</v>
      </c>
      <c r="H38" s="91">
        <v>0.0</v>
      </c>
      <c r="I38" s="90">
        <v>4.0</v>
      </c>
      <c r="J38" s="90">
        <v>2.0</v>
      </c>
      <c r="K38" s="90">
        <v>2.0</v>
      </c>
      <c r="L38" s="92">
        <v>8.0</v>
      </c>
      <c r="M38" s="90">
        <v>0.0</v>
      </c>
      <c r="N38" s="37">
        <f t="shared" ref="N38:O38" si="43">C38+L38</f>
        <v>76</v>
      </c>
      <c r="O38" s="37">
        <f t="shared" si="43"/>
        <v>2</v>
      </c>
      <c r="P38" s="50" t="s">
        <v>60</v>
      </c>
      <c r="Q38" s="50" t="s">
        <v>60</v>
      </c>
      <c r="R38" s="50" t="s">
        <v>60</v>
      </c>
      <c r="S38" s="51">
        <f t="shared" si="4"/>
        <v>3</v>
      </c>
      <c r="T38" s="52">
        <f t="shared" si="5"/>
        <v>1</v>
      </c>
      <c r="U38" s="52"/>
      <c r="V38" s="51">
        <f t="shared" si="6"/>
        <v>3</v>
      </c>
      <c r="W38" s="52">
        <f t="shared" si="7"/>
        <v>-2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128</v>
      </c>
      <c r="C39" s="37">
        <v>67.0</v>
      </c>
      <c r="D39" s="37">
        <v>5.0</v>
      </c>
      <c r="E39" s="42">
        <f t="shared" si="2"/>
        <v>10.33333333</v>
      </c>
      <c r="F39" s="89">
        <v>1.0</v>
      </c>
      <c r="G39" s="90">
        <v>6.0</v>
      </c>
      <c r="H39" s="91">
        <v>0.0</v>
      </c>
      <c r="I39" s="90">
        <v>6.0</v>
      </c>
      <c r="J39" s="90">
        <v>6.0</v>
      </c>
      <c r="K39" s="90">
        <v>2.0</v>
      </c>
      <c r="L39" s="92">
        <v>14.0</v>
      </c>
      <c r="M39" s="90">
        <v>2.0</v>
      </c>
      <c r="N39" s="37">
        <f t="shared" ref="N39:O39" si="44">C39+L39</f>
        <v>81</v>
      </c>
      <c r="O39" s="37">
        <f t="shared" si="44"/>
        <v>7</v>
      </c>
      <c r="P39" s="50" t="s">
        <v>60</v>
      </c>
      <c r="Q39" s="50" t="s">
        <v>60</v>
      </c>
      <c r="R39" s="50" t="s">
        <v>60</v>
      </c>
      <c r="S39" s="51">
        <f t="shared" si="4"/>
        <v>3</v>
      </c>
      <c r="T39" s="52">
        <f t="shared" si="5"/>
        <v>0</v>
      </c>
      <c r="U39" s="52"/>
      <c r="V39" s="51">
        <f t="shared" si="6"/>
        <v>4</v>
      </c>
      <c r="W39" s="52">
        <f t="shared" si="7"/>
        <v>8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117</v>
      </c>
      <c r="C40" s="37">
        <v>67.0</v>
      </c>
      <c r="D40" s="37">
        <v>5.0</v>
      </c>
      <c r="E40" s="42">
        <f t="shared" si="2"/>
        <v>10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76</v>
      </c>
      <c r="O40" s="37">
        <f t="shared" si="45"/>
        <v>5</v>
      </c>
      <c r="P40" s="50" t="s">
        <v>60</v>
      </c>
      <c r="Q40" s="50" t="s">
        <v>60</v>
      </c>
      <c r="R40" s="50" t="s">
        <v>60</v>
      </c>
      <c r="S40" s="51">
        <f t="shared" si="4"/>
        <v>4</v>
      </c>
      <c r="T40" s="52">
        <f t="shared" si="5"/>
        <v>0</v>
      </c>
      <c r="U40" s="52"/>
      <c r="V40" s="51">
        <f t="shared" si="6"/>
        <v>3</v>
      </c>
      <c r="W40" s="52">
        <f t="shared" si="7"/>
        <v>-3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114</v>
      </c>
      <c r="C41" s="37">
        <v>67.0</v>
      </c>
      <c r="D41" s="37">
        <v>3.0</v>
      </c>
      <c r="E41" s="42">
        <f t="shared" si="2"/>
        <v>9</v>
      </c>
      <c r="F41" s="89">
        <v>1.0</v>
      </c>
      <c r="G41" s="90">
        <v>7.0</v>
      </c>
      <c r="H41" s="91">
        <v>0.0</v>
      </c>
      <c r="I41" s="90">
        <v>6.0</v>
      </c>
      <c r="J41" s="90">
        <v>6.0</v>
      </c>
      <c r="K41" s="90">
        <v>1.0</v>
      </c>
      <c r="L41" s="92">
        <v>13.0</v>
      </c>
      <c r="M41" s="90">
        <v>2.0</v>
      </c>
      <c r="N41" s="37">
        <f t="shared" ref="N41:O41" si="46">C41+L41</f>
        <v>80</v>
      </c>
      <c r="O41" s="37">
        <f t="shared" si="46"/>
        <v>5</v>
      </c>
      <c r="P41" s="50" t="s">
        <v>60</v>
      </c>
      <c r="Q41" s="50" t="s">
        <v>60</v>
      </c>
      <c r="R41" s="50" t="s">
        <v>60</v>
      </c>
      <c r="S41" s="51">
        <f t="shared" si="4"/>
        <v>3</v>
      </c>
      <c r="T41" s="52">
        <f t="shared" si="5"/>
        <v>1</v>
      </c>
      <c r="U41" s="52"/>
      <c r="V41" s="51">
        <f t="shared" si="6"/>
        <v>3</v>
      </c>
      <c r="W41" s="52">
        <f t="shared" si="7"/>
        <v>-2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105</v>
      </c>
      <c r="C42" s="37">
        <v>67.0</v>
      </c>
      <c r="D42" s="37">
        <v>3.0</v>
      </c>
      <c r="E42" s="42">
        <f t="shared" si="2"/>
        <v>7.666666667</v>
      </c>
      <c r="F42" s="89">
        <v>3.0</v>
      </c>
      <c r="G42" s="90">
        <v>0.0</v>
      </c>
      <c r="H42" s="91">
        <v>9.0</v>
      </c>
      <c r="I42" s="90">
        <v>0.0</v>
      </c>
      <c r="J42" s="90">
        <v>0.0</v>
      </c>
      <c r="K42" s="90">
        <v>0.0</v>
      </c>
      <c r="L42" s="92">
        <v>9.0</v>
      </c>
      <c r="M42" s="90">
        <v>0.0</v>
      </c>
      <c r="N42" s="37">
        <f t="shared" ref="N42:O42" si="47">C42+L42</f>
        <v>76</v>
      </c>
      <c r="O42" s="37">
        <f t="shared" si="47"/>
        <v>3</v>
      </c>
      <c r="P42" s="50" t="s">
        <v>60</v>
      </c>
      <c r="Q42" s="50" t="s">
        <v>60</v>
      </c>
      <c r="R42" s="50" t="s">
        <v>60</v>
      </c>
      <c r="S42" s="51">
        <f t="shared" si="4"/>
        <v>3</v>
      </c>
      <c r="T42" s="52">
        <f t="shared" si="5"/>
        <v>2</v>
      </c>
      <c r="U42" s="52"/>
      <c r="V42" s="51">
        <f t="shared" si="6"/>
        <v>2</v>
      </c>
      <c r="W42" s="52">
        <f t="shared" si="7"/>
        <v>-7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109</v>
      </c>
      <c r="C43" s="37">
        <v>67.0</v>
      </c>
      <c r="D43" s="37">
        <v>2.0</v>
      </c>
      <c r="E43" s="42">
        <f t="shared" si="2"/>
        <v>7</v>
      </c>
      <c r="F43" s="89">
        <v>3.0</v>
      </c>
      <c r="G43" s="90">
        <v>0.0</v>
      </c>
      <c r="H43" s="91">
        <v>9.0</v>
      </c>
      <c r="I43" s="90">
        <v>0.0</v>
      </c>
      <c r="J43" s="90">
        <v>0.0</v>
      </c>
      <c r="K43" s="90">
        <v>0.0</v>
      </c>
      <c r="L43" s="92">
        <v>9.0</v>
      </c>
      <c r="M43" s="90">
        <v>0.0</v>
      </c>
      <c r="N43" s="37">
        <f t="shared" ref="N43:O43" si="48">C43+L43</f>
        <v>76</v>
      </c>
      <c r="O43" s="37">
        <f t="shared" si="48"/>
        <v>2</v>
      </c>
      <c r="P43" s="50" t="s">
        <v>60</v>
      </c>
      <c r="Q43" s="50" t="s">
        <v>60</v>
      </c>
      <c r="R43" s="50" t="s">
        <v>60</v>
      </c>
      <c r="S43" s="51">
        <f t="shared" si="4"/>
        <v>2</v>
      </c>
      <c r="T43" s="52">
        <f t="shared" si="5"/>
        <v>2</v>
      </c>
      <c r="U43" s="52"/>
      <c r="V43" s="51">
        <f t="shared" si="6"/>
        <v>3</v>
      </c>
      <c r="W43" s="52">
        <f t="shared" si="7"/>
        <v>-3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146</v>
      </c>
      <c r="C44" s="37">
        <v>66.0</v>
      </c>
      <c r="D44" s="37">
        <v>5.0</v>
      </c>
      <c r="E44" s="42">
        <f t="shared" si="2"/>
        <v>8.75</v>
      </c>
      <c r="F44" s="89">
        <v>2.0</v>
      </c>
      <c r="G44" s="90">
        <v>7.0</v>
      </c>
      <c r="H44" s="91">
        <v>0.0</v>
      </c>
      <c r="I44" s="90">
        <v>6.0</v>
      </c>
      <c r="J44" s="90">
        <v>1.0</v>
      </c>
      <c r="K44" s="90">
        <v>6.0</v>
      </c>
      <c r="L44" s="92">
        <v>13.0</v>
      </c>
      <c r="M44" s="90">
        <v>2.0</v>
      </c>
      <c r="N44" s="37">
        <f t="shared" ref="N44:O44" si="49">C44+L44</f>
        <v>79</v>
      </c>
      <c r="O44" s="37">
        <f t="shared" si="49"/>
        <v>7</v>
      </c>
      <c r="P44" s="50" t="s">
        <v>60</v>
      </c>
      <c r="Q44" s="50" t="s">
        <v>60</v>
      </c>
      <c r="R44" s="50" t="s">
        <v>60</v>
      </c>
      <c r="S44" s="51">
        <f t="shared" si="4"/>
        <v>4</v>
      </c>
      <c r="T44" s="52">
        <f t="shared" si="5"/>
        <v>1</v>
      </c>
      <c r="U44" s="52"/>
      <c r="V44" s="51">
        <f t="shared" si="6"/>
        <v>2</v>
      </c>
      <c r="W44" s="52">
        <f t="shared" si="7"/>
        <v>-2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141</v>
      </c>
      <c r="C45" s="37">
        <v>65.0</v>
      </c>
      <c r="D45" s="37">
        <v>4.0</v>
      </c>
      <c r="E45" s="42">
        <f t="shared" si="2"/>
        <v>8.6</v>
      </c>
      <c r="F45" s="89">
        <v>2.0</v>
      </c>
      <c r="G45" s="90">
        <v>7.0</v>
      </c>
      <c r="H45" s="91">
        <v>0.0</v>
      </c>
      <c r="I45" s="90">
        <v>4.0</v>
      </c>
      <c r="J45" s="90">
        <v>1.0</v>
      </c>
      <c r="K45" s="90">
        <v>1.0</v>
      </c>
      <c r="L45" s="92">
        <v>6.0</v>
      </c>
      <c r="M45" s="90">
        <v>0.0</v>
      </c>
      <c r="N45" s="37">
        <f t="shared" ref="N45:O45" si="50">C45+L45</f>
        <v>71</v>
      </c>
      <c r="O45" s="37">
        <f t="shared" si="50"/>
        <v>4</v>
      </c>
      <c r="P45" s="50" t="s">
        <v>60</v>
      </c>
      <c r="Q45" s="50" t="s">
        <v>60</v>
      </c>
      <c r="R45" s="50" t="s">
        <v>60</v>
      </c>
      <c r="S45" s="51">
        <f t="shared" si="4"/>
        <v>5</v>
      </c>
      <c r="T45" s="52">
        <f t="shared" si="5"/>
        <v>1</v>
      </c>
      <c r="U45" s="52"/>
      <c r="V45" s="51">
        <f t="shared" si="6"/>
        <v>1</v>
      </c>
      <c r="W45" s="52">
        <f t="shared" si="7"/>
        <v>-2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72</v>
      </c>
      <c r="C46" s="37">
        <v>65.0</v>
      </c>
      <c r="D46" s="37">
        <v>0.0</v>
      </c>
      <c r="E46" s="42">
        <f t="shared" si="2"/>
        <v>-1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74</v>
      </c>
      <c r="O46" s="37">
        <f t="shared" si="51"/>
        <v>0</v>
      </c>
      <c r="P46" s="50" t="s">
        <v>60</v>
      </c>
      <c r="Q46" s="50" t="s">
        <v>60</v>
      </c>
      <c r="R46" s="50" t="s">
        <v>60</v>
      </c>
      <c r="S46" s="51">
        <f t="shared" si="4"/>
        <v>1</v>
      </c>
      <c r="T46" s="52">
        <f t="shared" si="5"/>
        <v>3</v>
      </c>
      <c r="U46" s="52"/>
      <c r="V46" s="51">
        <f t="shared" si="6"/>
        <v>3</v>
      </c>
      <c r="W46" s="52">
        <f t="shared" si="7"/>
        <v>-1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134</v>
      </c>
      <c r="C47" s="37">
        <v>64.0</v>
      </c>
      <c r="D47" s="37">
        <v>1.0</v>
      </c>
      <c r="E47" s="42">
        <f t="shared" si="2"/>
        <v>3.5</v>
      </c>
      <c r="F47" s="89">
        <v>3.0</v>
      </c>
      <c r="G47" s="90">
        <v>0.0</v>
      </c>
      <c r="H47" s="91">
        <v>9.0</v>
      </c>
      <c r="I47" s="90">
        <v>0.0</v>
      </c>
      <c r="J47" s="90">
        <v>0.0</v>
      </c>
      <c r="K47" s="90">
        <v>0.0</v>
      </c>
      <c r="L47" s="92">
        <v>9.0</v>
      </c>
      <c r="M47" s="90">
        <v>0.0</v>
      </c>
      <c r="N47" s="37">
        <f t="shared" ref="N47:O47" si="52">C47+L47</f>
        <v>73</v>
      </c>
      <c r="O47" s="37">
        <f t="shared" si="52"/>
        <v>1</v>
      </c>
      <c r="P47" s="50" t="s">
        <v>60</v>
      </c>
      <c r="Q47" s="50" t="s">
        <v>60</v>
      </c>
      <c r="R47" s="50" t="s">
        <v>60</v>
      </c>
      <c r="S47" s="51">
        <f t="shared" si="4"/>
        <v>2</v>
      </c>
      <c r="T47" s="52">
        <f t="shared" si="5"/>
        <v>3</v>
      </c>
      <c r="U47" s="52"/>
      <c r="V47" s="51">
        <f t="shared" si="6"/>
        <v>2</v>
      </c>
      <c r="W47" s="52">
        <f t="shared" si="7"/>
        <v>-3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106</v>
      </c>
      <c r="C48" s="37">
        <v>63.0</v>
      </c>
      <c r="D48" s="37">
        <v>3.0</v>
      </c>
      <c r="E48" s="42">
        <f t="shared" si="2"/>
        <v>9</v>
      </c>
      <c r="F48" s="89">
        <v>3.0</v>
      </c>
      <c r="G48" s="90">
        <v>0.0</v>
      </c>
      <c r="H48" s="91">
        <v>9.0</v>
      </c>
      <c r="I48" s="90">
        <v>0.0</v>
      </c>
      <c r="J48" s="90">
        <v>0.0</v>
      </c>
      <c r="K48" s="90">
        <v>0.0</v>
      </c>
      <c r="L48" s="92">
        <v>9.0</v>
      </c>
      <c r="M48" s="90">
        <v>0.0</v>
      </c>
      <c r="N48" s="37">
        <f t="shared" ref="N48:O48" si="53">C48+L48</f>
        <v>72</v>
      </c>
      <c r="O48" s="37">
        <f t="shared" si="53"/>
        <v>3</v>
      </c>
      <c r="P48" s="50" t="s">
        <v>60</v>
      </c>
      <c r="Q48" s="50" t="s">
        <v>60</v>
      </c>
      <c r="R48" s="50" t="s">
        <v>60</v>
      </c>
      <c r="S48" s="51">
        <f t="shared" si="4"/>
        <v>2</v>
      </c>
      <c r="T48" s="52">
        <f t="shared" si="5"/>
        <v>0</v>
      </c>
      <c r="U48" s="52"/>
      <c r="V48" s="51">
        <f t="shared" si="6"/>
        <v>5</v>
      </c>
      <c r="W48" s="52">
        <f t="shared" si="7"/>
        <v>11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142</v>
      </c>
      <c r="C49" s="37">
        <v>63.0</v>
      </c>
      <c r="D49" s="37">
        <v>2.0</v>
      </c>
      <c r="E49" s="42">
        <f t="shared" si="2"/>
        <v>9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72</v>
      </c>
      <c r="O49" s="37">
        <f t="shared" si="54"/>
        <v>2</v>
      </c>
      <c r="P49" s="50" t="s">
        <v>60</v>
      </c>
      <c r="Q49" s="50" t="s">
        <v>60</v>
      </c>
      <c r="R49" s="50" t="s">
        <v>60</v>
      </c>
      <c r="S49" s="51">
        <f t="shared" si="4"/>
        <v>1</v>
      </c>
      <c r="T49" s="52">
        <f t="shared" si="5"/>
        <v>0</v>
      </c>
      <c r="U49" s="52"/>
      <c r="V49" s="51">
        <f t="shared" si="6"/>
        <v>6</v>
      </c>
      <c r="W49" s="52">
        <f t="shared" si="7"/>
        <v>-1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125</v>
      </c>
      <c r="C50" s="37">
        <v>63.0</v>
      </c>
      <c r="D50" s="37">
        <v>2.0</v>
      </c>
      <c r="E50" s="42">
        <f t="shared" si="2"/>
        <v>7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72</v>
      </c>
      <c r="O50" s="37">
        <f t="shared" si="55"/>
        <v>2</v>
      </c>
      <c r="P50" s="50" t="s">
        <v>60</v>
      </c>
      <c r="Q50" s="50" t="s">
        <v>60</v>
      </c>
      <c r="R50" s="50" t="s">
        <v>60</v>
      </c>
      <c r="S50" s="51">
        <f t="shared" si="4"/>
        <v>2</v>
      </c>
      <c r="T50" s="52">
        <f t="shared" si="5"/>
        <v>1</v>
      </c>
      <c r="U50" s="52"/>
      <c r="V50" s="51">
        <f t="shared" si="6"/>
        <v>4</v>
      </c>
      <c r="W50" s="52">
        <f t="shared" si="7"/>
        <v>-1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102</v>
      </c>
      <c r="C51" s="37">
        <v>63.0</v>
      </c>
      <c r="D51" s="37">
        <v>2.0</v>
      </c>
      <c r="E51" s="42">
        <f t="shared" si="2"/>
        <v>7</v>
      </c>
      <c r="F51" s="89">
        <v>1.0</v>
      </c>
      <c r="G51" s="90">
        <v>7.0</v>
      </c>
      <c r="H51" s="91">
        <v>0.0</v>
      </c>
      <c r="I51" s="90">
        <v>4.0</v>
      </c>
      <c r="J51" s="90">
        <v>6.0</v>
      </c>
      <c r="K51" s="90">
        <v>6.0</v>
      </c>
      <c r="L51" s="92">
        <v>16.0</v>
      </c>
      <c r="M51" s="90">
        <v>2.0</v>
      </c>
      <c r="N51" s="37">
        <f t="shared" ref="N51:O51" si="56">C51+L51</f>
        <v>79</v>
      </c>
      <c r="O51" s="37">
        <f t="shared" si="56"/>
        <v>4</v>
      </c>
      <c r="P51" s="50" t="s">
        <v>60</v>
      </c>
      <c r="Q51" s="50" t="s">
        <v>60</v>
      </c>
      <c r="R51" s="50" t="s">
        <v>60</v>
      </c>
      <c r="S51" s="51">
        <f t="shared" si="4"/>
        <v>2</v>
      </c>
      <c r="T51" s="52">
        <f t="shared" si="5"/>
        <v>1</v>
      </c>
      <c r="U51" s="52"/>
      <c r="V51" s="51">
        <f t="shared" si="6"/>
        <v>4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84</v>
      </c>
      <c r="C52" s="37">
        <v>63.0</v>
      </c>
      <c r="D52" s="37">
        <v>0.0</v>
      </c>
      <c r="E52" s="42">
        <f t="shared" si="2"/>
        <v>3</v>
      </c>
      <c r="F52" s="89">
        <v>2.0</v>
      </c>
      <c r="G52" s="90">
        <v>8.0</v>
      </c>
      <c r="H52" s="91">
        <v>0.0</v>
      </c>
      <c r="I52" s="90">
        <v>6.0</v>
      </c>
      <c r="J52" s="90">
        <v>1.0</v>
      </c>
      <c r="K52" s="90">
        <v>6.0</v>
      </c>
      <c r="L52" s="92">
        <v>13.0</v>
      </c>
      <c r="M52" s="90">
        <v>1.0</v>
      </c>
      <c r="N52" s="37">
        <f t="shared" ref="N52:O52" si="57">C52+L52</f>
        <v>76</v>
      </c>
      <c r="O52" s="37">
        <f t="shared" si="57"/>
        <v>1</v>
      </c>
      <c r="P52" s="50" t="s">
        <v>60</v>
      </c>
      <c r="Q52" s="50" t="s">
        <v>60</v>
      </c>
      <c r="R52" s="50" t="s">
        <v>60</v>
      </c>
      <c r="S52" s="51">
        <f t="shared" si="4"/>
        <v>2</v>
      </c>
      <c r="T52" s="52">
        <f t="shared" si="5"/>
        <v>3</v>
      </c>
      <c r="U52" s="52"/>
      <c r="V52" s="51">
        <f t="shared" si="6"/>
        <v>2</v>
      </c>
      <c r="W52" s="52">
        <f t="shared" si="7"/>
        <v>-1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90</v>
      </c>
      <c r="C53" s="37">
        <v>62.0</v>
      </c>
      <c r="D53" s="37">
        <v>3.0</v>
      </c>
      <c r="E53" s="42">
        <f t="shared" si="2"/>
        <v>7.333333333</v>
      </c>
      <c r="F53" s="89">
        <v>3.0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71</v>
      </c>
      <c r="O53" s="37">
        <f t="shared" si="58"/>
        <v>3</v>
      </c>
      <c r="P53" s="50" t="s">
        <v>60</v>
      </c>
      <c r="Q53" s="50" t="s">
        <v>60</v>
      </c>
      <c r="R53" s="50" t="s">
        <v>60</v>
      </c>
      <c r="S53" s="51">
        <f t="shared" si="4"/>
        <v>3</v>
      </c>
      <c r="T53" s="52">
        <f t="shared" si="5"/>
        <v>1</v>
      </c>
      <c r="U53" s="52"/>
      <c r="V53" s="51">
        <f t="shared" si="6"/>
        <v>3</v>
      </c>
      <c r="W53" s="52">
        <f t="shared" si="7"/>
        <v>-1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144</v>
      </c>
      <c r="C54" s="37">
        <v>62.0</v>
      </c>
      <c r="D54" s="37">
        <v>2.0</v>
      </c>
      <c r="E54" s="42">
        <f t="shared" si="2"/>
        <v>7.333333333</v>
      </c>
      <c r="F54" s="89">
        <v>1.0</v>
      </c>
      <c r="G54" s="90">
        <v>8.0</v>
      </c>
      <c r="H54" s="91">
        <v>0.0</v>
      </c>
      <c r="I54" s="90">
        <v>6.0</v>
      </c>
      <c r="J54" s="90">
        <v>6.0</v>
      </c>
      <c r="K54" s="90">
        <v>2.0</v>
      </c>
      <c r="L54" s="92">
        <v>14.0</v>
      </c>
      <c r="M54" s="90">
        <v>1.0</v>
      </c>
      <c r="N54" s="37">
        <f t="shared" ref="N54:O54" si="59">C54+L54</f>
        <v>76</v>
      </c>
      <c r="O54" s="37">
        <f t="shared" si="59"/>
        <v>3</v>
      </c>
      <c r="P54" s="50" t="s">
        <v>60</v>
      </c>
      <c r="Q54" s="50" t="s">
        <v>60</v>
      </c>
      <c r="R54" s="50" t="s">
        <v>60</v>
      </c>
      <c r="S54" s="51">
        <f t="shared" si="4"/>
        <v>3</v>
      </c>
      <c r="T54" s="52">
        <f t="shared" si="5"/>
        <v>1</v>
      </c>
      <c r="U54" s="52"/>
      <c r="V54" s="51">
        <f t="shared" si="6"/>
        <v>3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104</v>
      </c>
      <c r="C55" s="37">
        <v>62.0</v>
      </c>
      <c r="D55" s="37">
        <v>0.0</v>
      </c>
      <c r="E55" s="42">
        <f t="shared" si="2"/>
        <v>0</v>
      </c>
      <c r="F55" s="89">
        <v>4.0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71</v>
      </c>
      <c r="O55" s="37">
        <f t="shared" si="60"/>
        <v>0</v>
      </c>
      <c r="P55" s="50" t="s">
        <v>60</v>
      </c>
      <c r="Q55" s="50" t="s">
        <v>60</v>
      </c>
      <c r="R55" s="50" t="s">
        <v>60</v>
      </c>
      <c r="S55" s="51">
        <f t="shared" si="4"/>
        <v>0</v>
      </c>
      <c r="T55" s="52">
        <f t="shared" si="5"/>
        <v>2</v>
      </c>
      <c r="U55" s="52"/>
      <c r="V55" s="51">
        <f t="shared" si="6"/>
        <v>5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89</v>
      </c>
      <c r="C56" s="37">
        <v>60.0</v>
      </c>
      <c r="D56" s="37">
        <v>2.0</v>
      </c>
      <c r="E56" s="42">
        <f t="shared" si="2"/>
        <v>6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69</v>
      </c>
      <c r="O56" s="37">
        <f t="shared" si="61"/>
        <v>2</v>
      </c>
      <c r="P56" s="50" t="s">
        <v>60</v>
      </c>
      <c r="Q56" s="50" t="s">
        <v>60</v>
      </c>
      <c r="R56" s="50" t="s">
        <v>60</v>
      </c>
      <c r="S56" s="51">
        <f t="shared" si="4"/>
        <v>1</v>
      </c>
      <c r="T56" s="52">
        <f t="shared" si="5"/>
        <v>0</v>
      </c>
      <c r="U56" s="52"/>
      <c r="V56" s="51">
        <f t="shared" si="6"/>
        <v>6</v>
      </c>
      <c r="W56" s="52">
        <f t="shared" si="7"/>
        <v>-1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56</v>
      </c>
      <c r="C57" s="37">
        <v>59.0</v>
      </c>
      <c r="D57" s="37">
        <v>2.0</v>
      </c>
      <c r="E57" s="42">
        <f t="shared" si="2"/>
        <v>5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68</v>
      </c>
      <c r="O57" s="37">
        <f t="shared" si="62"/>
        <v>2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0</v>
      </c>
      <c r="U57" s="52"/>
      <c r="V57" s="51">
        <f t="shared" si="6"/>
        <v>6</v>
      </c>
      <c r="W57" s="52">
        <f t="shared" si="7"/>
        <v>-1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129</v>
      </c>
      <c r="C58" s="37">
        <v>58.0</v>
      </c>
      <c r="D58" s="37">
        <v>3.0</v>
      </c>
      <c r="E58" s="42">
        <f t="shared" si="2"/>
        <v>7.75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67</v>
      </c>
      <c r="O58" s="37">
        <f t="shared" si="63"/>
        <v>3</v>
      </c>
      <c r="P58" s="50" t="s">
        <v>60</v>
      </c>
      <c r="Q58" s="50" t="s">
        <v>60</v>
      </c>
      <c r="R58" s="50" t="s">
        <v>60</v>
      </c>
      <c r="S58" s="51">
        <f t="shared" si="4"/>
        <v>4</v>
      </c>
      <c r="T58" s="52">
        <f t="shared" si="5"/>
        <v>0</v>
      </c>
      <c r="U58" s="52"/>
      <c r="V58" s="51">
        <f t="shared" si="6"/>
        <v>3</v>
      </c>
      <c r="W58" s="52">
        <f t="shared" si="7"/>
        <v>-1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119</v>
      </c>
      <c r="C59" s="37">
        <v>57.0</v>
      </c>
      <c r="D59" s="37">
        <v>1.0</v>
      </c>
      <c r="E59" s="42">
        <f t="shared" si="2"/>
        <v>3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66</v>
      </c>
      <c r="O59" s="37">
        <f t="shared" si="64"/>
        <v>1</v>
      </c>
      <c r="P59" s="50" t="s">
        <v>60</v>
      </c>
      <c r="Q59" s="50" t="s">
        <v>60</v>
      </c>
      <c r="R59" s="50" t="s">
        <v>60</v>
      </c>
      <c r="S59" s="51">
        <f t="shared" si="4"/>
        <v>1</v>
      </c>
      <c r="T59" s="52">
        <f t="shared" si="5"/>
        <v>0</v>
      </c>
      <c r="U59" s="52"/>
      <c r="V59" s="51">
        <f t="shared" si="6"/>
        <v>6</v>
      </c>
      <c r="W59" s="52">
        <f t="shared" si="7"/>
        <v>-1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116</v>
      </c>
      <c r="C60" s="37">
        <v>56.0</v>
      </c>
      <c r="D60" s="37">
        <v>1.0</v>
      </c>
      <c r="E60" s="42">
        <f t="shared" si="2"/>
        <v>-2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65</v>
      </c>
      <c r="O60" s="37">
        <f t="shared" si="65"/>
        <v>1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1</v>
      </c>
      <c r="U60" s="52"/>
      <c r="V60" s="51">
        <f t="shared" si="6"/>
        <v>5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96</v>
      </c>
      <c r="C61" s="37">
        <v>54.0</v>
      </c>
      <c r="D61" s="37">
        <v>3.0</v>
      </c>
      <c r="E61" s="42">
        <f t="shared" si="2"/>
        <v>7.714285714</v>
      </c>
      <c r="F61" s="89">
        <v>1.0</v>
      </c>
      <c r="G61" s="90">
        <v>8.0</v>
      </c>
      <c r="H61" s="91">
        <v>0.0</v>
      </c>
      <c r="I61" s="90">
        <v>7.0</v>
      </c>
      <c r="J61" s="90">
        <v>1.0</v>
      </c>
      <c r="K61" s="90">
        <v>2.0</v>
      </c>
      <c r="L61" s="92">
        <v>10.0</v>
      </c>
      <c r="M61" s="90">
        <v>1.0</v>
      </c>
      <c r="N61" s="37">
        <f t="shared" ref="N61:O61" si="66">C61+L61</f>
        <v>64</v>
      </c>
      <c r="O61" s="37">
        <f t="shared" si="66"/>
        <v>4</v>
      </c>
      <c r="P61" s="50" t="s">
        <v>60</v>
      </c>
      <c r="Q61" s="50" t="s">
        <v>60</v>
      </c>
      <c r="R61" s="50" t="s">
        <v>60</v>
      </c>
      <c r="S61" s="51">
        <f t="shared" si="4"/>
        <v>7</v>
      </c>
      <c r="T61" s="52">
        <f t="shared" si="5"/>
        <v>0</v>
      </c>
      <c r="U61" s="52"/>
      <c r="V61" s="51">
        <f t="shared" si="6"/>
        <v>0</v>
      </c>
      <c r="W61" s="52">
        <f t="shared" si="7"/>
        <v>0</v>
      </c>
      <c r="X61" s="35">
        <f t="shared" si="12"/>
        <v>57</v>
      </c>
      <c r="Y61" s="35" t="str">
        <f t="shared" si="8"/>
        <v>Y</v>
      </c>
      <c r="Z61" s="22" t="str">
        <f t="shared" si="9"/>
        <v/>
      </c>
    </row>
    <row r="62">
      <c r="A62" s="35">
        <f t="shared" si="10"/>
        <v>58</v>
      </c>
      <c r="B62" s="36" t="s">
        <v>95</v>
      </c>
      <c r="C62" s="37">
        <v>54.0</v>
      </c>
      <c r="D62" s="37">
        <v>0.0</v>
      </c>
      <c r="E62" s="42">
        <f t="shared" si="2"/>
        <v>0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63</v>
      </c>
      <c r="O62" s="37">
        <f t="shared" si="67"/>
        <v>0</v>
      </c>
      <c r="P62" s="50" t="s">
        <v>60</v>
      </c>
      <c r="Q62" s="50" t="s">
        <v>60</v>
      </c>
      <c r="R62" s="50" t="s">
        <v>60</v>
      </c>
      <c r="S62" s="51">
        <f t="shared" si="4"/>
        <v>0</v>
      </c>
      <c r="T62" s="52">
        <f t="shared" si="5"/>
        <v>0</v>
      </c>
      <c r="U62" s="52"/>
      <c r="V62" s="51">
        <f t="shared" si="6"/>
        <v>7</v>
      </c>
      <c r="W62" s="52">
        <f t="shared" si="7"/>
        <v>0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77</v>
      </c>
      <c r="C63" s="37">
        <v>54.0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63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7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137</v>
      </c>
      <c r="C64" s="37">
        <v>54.0</v>
      </c>
      <c r="D64" s="37">
        <v>0.0</v>
      </c>
      <c r="E64" s="42">
        <f t="shared" si="2"/>
        <v>0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63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7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132</v>
      </c>
      <c r="C65" s="37">
        <v>54.0</v>
      </c>
      <c r="D65" s="37">
        <v>0.0</v>
      </c>
      <c r="E65" s="42">
        <f t="shared" si="2"/>
        <v>0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63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0</v>
      </c>
      <c r="U65" s="52"/>
      <c r="V65" s="51">
        <f t="shared" si="6"/>
        <v>7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53</v>
      </c>
      <c r="C66" s="37">
        <v>54.0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63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7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145</v>
      </c>
      <c r="C67" s="37">
        <v>54.0</v>
      </c>
      <c r="D67" s="37">
        <v>0.0</v>
      </c>
      <c r="E67" s="42">
        <f t="shared" si="2"/>
        <v>0</v>
      </c>
      <c r="F67" s="89">
        <v>1.0</v>
      </c>
      <c r="G67" s="90">
        <v>8.0</v>
      </c>
      <c r="H67" s="91">
        <v>0.0</v>
      </c>
      <c r="I67" s="90">
        <v>7.0</v>
      </c>
      <c r="J67" s="90">
        <v>6.0</v>
      </c>
      <c r="K67" s="90">
        <v>6.0</v>
      </c>
      <c r="L67" s="92">
        <v>19.0</v>
      </c>
      <c r="M67" s="90">
        <v>3.0</v>
      </c>
      <c r="N67" s="37">
        <f t="shared" ref="N67:O67" si="72">C67+L67</f>
        <v>73</v>
      </c>
      <c r="O67" s="37">
        <f t="shared" si="72"/>
        <v>3</v>
      </c>
      <c r="P67" s="50" t="s">
        <v>60</v>
      </c>
      <c r="Q67" s="50" t="s">
        <v>60</v>
      </c>
      <c r="R67" s="50" t="s">
        <v>60</v>
      </c>
      <c r="S67" s="51">
        <f t="shared" si="4"/>
        <v>1</v>
      </c>
      <c r="T67" s="52">
        <f t="shared" si="5"/>
        <v>0</v>
      </c>
      <c r="U67" s="52"/>
      <c r="V67" s="51">
        <f t="shared" si="6"/>
        <v>6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120</v>
      </c>
      <c r="C68" s="37">
        <v>54.0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63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7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139</v>
      </c>
      <c r="C69" s="37">
        <v>54.0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63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7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138</v>
      </c>
      <c r="C70" s="37">
        <v>54.0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63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7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50.0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59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0</v>
      </c>
      <c r="U71" s="52"/>
      <c r="V71" s="51">
        <f t="shared" si="6"/>
        <v>6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08/08/26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desc"",0)"),"Rudy Tatang")</f>
        <v>Rudy Tatang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IFERROR(__xludf.DUMMYFUNCTION("""COMPUTED_VALUE"""),1.0)</f>
        <v>1</v>
      </c>
      <c r="F83" s="2"/>
    </row>
    <row r="84">
      <c r="A84" s="2"/>
      <c r="B84" s="36" t="str">
        <f>IFERROR(__xludf.DUMMYFUNCTION("""COMPUTED_VALUE"""),"Jaya Sogata")</f>
        <v>Jaya Sogata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IFERROR(__xludf.DUMMYFUNCTION("""COMPUTED_VALUE"""),3.0)</f>
        <v>3</v>
      </c>
      <c r="F84" s="2"/>
    </row>
    <row r="85">
      <c r="A85" s="2"/>
      <c r="B85" s="36" t="str">
        <f>IFERROR(__xludf.DUMMYFUNCTION("""COMPUTED_VALUE"""),"Erik Hoeckmann")</f>
        <v>Erik Hoeckmann</v>
      </c>
      <c r="C85" s="125">
        <f>IFERROR(__xludf.DUMMYFUNCTION("""COMPUTED_VALUE"""),19.0)</f>
        <v>19</v>
      </c>
      <c r="D85" s="125">
        <f>IFERROR(__xludf.DUMMYFUNCTION("""COMPUTED_VALUE"""),3.0)</f>
        <v>3</v>
      </c>
      <c r="E85" s="125">
        <f>IFERROR(__xludf.DUMMYFUNCTION("""COMPUTED_VALUE"""),4.0)</f>
        <v>4</v>
      </c>
      <c r="F85" s="2"/>
    </row>
    <row r="86">
      <c r="A86" s="2"/>
      <c r="B86" s="36" t="str">
        <f>IFERROR(__xludf.DUMMYFUNCTION("""COMPUTED_VALUE"""),"Ruben Ron")</f>
        <v>Ruben Ron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IFERROR(__xludf.DUMMYFUNCTION("""COMPUTED_VALUE"""),2.0)</f>
        <v>2</v>
      </c>
      <c r="F86" s="2"/>
    </row>
    <row r="87">
      <c r="A87" s="2"/>
      <c r="B87" s="36" t="str">
        <f>IFERROR(__xludf.DUMMYFUNCTION("""COMPUTED_VALUE"""),"Pulkit Mathur")</f>
        <v>Pulkit Mathur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IFERROR(__xludf.DUMMYFUNCTION("""COMPUTED_VALUE"""),5.0)</f>
        <v>5</v>
      </c>
      <c r="F87" s="2"/>
    </row>
    <row r="88">
      <c r="A88" s="2"/>
      <c r="B88" s="36" t="str">
        <f>IFERROR(__xludf.DUMMYFUNCTION("""COMPUTED_VALUE"""),"Luis Hsu")</f>
        <v>Luis Hsu</v>
      </c>
      <c r="C88" s="125">
        <f>IFERROR(__xludf.DUMMYFUNCTION("""COMPUTED_VALUE"""),18.0)</f>
        <v>18</v>
      </c>
      <c r="D88" s="125">
        <f>IFERROR(__xludf.DUMMYFUNCTION("""COMPUTED_VALUE"""),3.0)</f>
        <v>3</v>
      </c>
      <c r="E88" s="125">
        <f>IFERROR(__xludf.DUMMYFUNCTION("""COMPUTED_VALUE"""),6.0)</f>
        <v>6</v>
      </c>
      <c r="F88" s="2"/>
    </row>
    <row r="89">
      <c r="A89" s="2"/>
      <c r="B89" s="36" t="str">
        <f>IFERROR(__xludf.DUMMYFUNCTION("""COMPUTED_VALUE"""),"Tina Hanson")</f>
        <v>Tina Hanson</v>
      </c>
      <c r="C89" s="125">
        <f>IFERROR(__xludf.DUMMYFUNCTION("""COMPUTED_VALUE"""),18.0)</f>
        <v>18</v>
      </c>
      <c r="D89" s="125">
        <f>IFERROR(__xludf.DUMMYFUNCTION("""COMPUTED_VALUE"""),3.0)</f>
        <v>3</v>
      </c>
      <c r="E89" s="125">
        <f>IFERROR(__xludf.DUMMYFUNCTION("""COMPUTED_VALUE"""),7.0)</f>
        <v>7</v>
      </c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10"")"),"Tina Hanson")</f>
        <v>Tina Hanson</v>
      </c>
      <c r="C102" s="125">
        <f>IFERROR(__xludf.DUMMYFUNCTION("""COMPUTED_VALUE"""),14.0)</f>
        <v>14</v>
      </c>
      <c r="D102" s="125">
        <f t="shared" ref="D102:D111" si="77">VLOOKUP(B102,indirect($AC$2&amp;"!B$5:X$79"),23, false)</f>
        <v>37</v>
      </c>
      <c r="E102" s="125">
        <f t="shared" ref="E102:E111" si="78">VLOOKUP(B102,B$5:X$71,23, false)</f>
        <v>23</v>
      </c>
      <c r="F102" s="125">
        <f t="shared" ref="F102:F111" si="79">VLOOKUP(B102,indirect($AC$2&amp;"!B$5:U$79"),11, false)</f>
        <v>18</v>
      </c>
      <c r="G102" s="125">
        <f t="shared" ref="G102:G111" si="80">VLOOKUP(B102,indirect($AC$2&amp;"!B$5:U$79"),6, false)</f>
        <v>7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IFERROR(__xludf.DUMMYFUNCTION("""COMPUTED_VALUE"""),"Pulkit Mathur")</f>
        <v>Pulkit Mathur</v>
      </c>
      <c r="C103" s="125">
        <f>IFERROR(__xludf.DUMMYFUNCTION("""COMPUTED_VALUE"""),13.0)</f>
        <v>13</v>
      </c>
      <c r="D103" s="125">
        <f t="shared" si="77"/>
        <v>23</v>
      </c>
      <c r="E103" s="125">
        <f t="shared" si="78"/>
        <v>10</v>
      </c>
      <c r="F103" s="125">
        <f t="shared" si="79"/>
        <v>18</v>
      </c>
      <c r="G103" s="125">
        <f t="shared" si="80"/>
        <v>5</v>
      </c>
      <c r="L103" s="125" t="str">
        <f t="shared" si="81"/>
        <v>ok</v>
      </c>
    </row>
    <row r="104">
      <c r="A104" s="2"/>
      <c r="B104" s="36" t="str">
        <f>IFERROR(__xludf.DUMMYFUNCTION("""COMPUTED_VALUE"""),"Alex Hou")</f>
        <v>Alex Hou</v>
      </c>
      <c r="C104" s="125">
        <f>IFERROR(__xludf.DUMMYFUNCTION("""COMPUTED_VALUE"""),12.0)</f>
        <v>12</v>
      </c>
      <c r="D104" s="125">
        <f t="shared" si="77"/>
        <v>42</v>
      </c>
      <c r="E104" s="125">
        <f t="shared" si="78"/>
        <v>30</v>
      </c>
      <c r="F104" s="125">
        <f t="shared" si="79"/>
        <v>15</v>
      </c>
      <c r="G104" s="125">
        <f t="shared" si="80"/>
        <v>8</v>
      </c>
      <c r="L104" s="125" t="str">
        <f t="shared" si="81"/>
        <v>ok</v>
      </c>
    </row>
    <row r="105">
      <c r="A105" s="2"/>
      <c r="B105" s="36" t="str">
        <f>IFERROR(__xludf.DUMMYFUNCTION("""COMPUTED_VALUE"""),"Erik Hoeckmann")</f>
        <v>Erik Hoeckmann</v>
      </c>
      <c r="C105" s="125">
        <f>IFERROR(__xludf.DUMMYFUNCTION("""COMPUTED_VALUE"""),11.0)</f>
        <v>11</v>
      </c>
      <c r="D105" s="125">
        <f t="shared" si="77"/>
        <v>20</v>
      </c>
      <c r="E105" s="125">
        <f t="shared" si="78"/>
        <v>9</v>
      </c>
      <c r="F105" s="125">
        <f t="shared" si="79"/>
        <v>19</v>
      </c>
      <c r="G105" s="125">
        <f t="shared" si="80"/>
        <v>4</v>
      </c>
      <c r="L105" s="125" t="str">
        <f t="shared" si="81"/>
        <v>ok</v>
      </c>
    </row>
    <row r="106">
      <c r="A106" s="2"/>
      <c r="B106" s="36" t="str">
        <f>IFERROR(__xludf.DUMMYFUNCTION("""COMPUTED_VALUE"""),"Frank Moon")</f>
        <v>Frank Moon</v>
      </c>
      <c r="C106" s="125">
        <f>IFERROR(__xludf.DUMMYFUNCTION("""COMPUTED_VALUE"""),11.0)</f>
        <v>11</v>
      </c>
      <c r="D106" s="125">
        <f t="shared" si="77"/>
        <v>55</v>
      </c>
      <c r="E106" s="125">
        <f t="shared" si="78"/>
        <v>44</v>
      </c>
      <c r="F106" s="125">
        <f t="shared" si="79"/>
        <v>16</v>
      </c>
      <c r="G106" s="125">
        <f t="shared" si="80"/>
        <v>8</v>
      </c>
      <c r="L106" s="125" t="str">
        <f t="shared" si="81"/>
        <v>ok</v>
      </c>
    </row>
    <row r="107">
      <c r="A107" s="2"/>
      <c r="B107" s="36" t="str">
        <f>IFERROR(__xludf.DUMMYFUNCTION("""COMPUTED_VALUE"""),"Jaya Sogata")</f>
        <v>Jaya Sogata</v>
      </c>
      <c r="C107" s="125">
        <f>IFERROR(__xludf.DUMMYFUNCTION("""COMPUTED_VALUE"""),8.0)</f>
        <v>8</v>
      </c>
      <c r="D107" s="125">
        <f t="shared" si="77"/>
        <v>15</v>
      </c>
      <c r="E107" s="125">
        <f t="shared" si="78"/>
        <v>7</v>
      </c>
      <c r="F107" s="125">
        <f t="shared" si="79"/>
        <v>19</v>
      </c>
      <c r="G107" s="125">
        <f t="shared" si="80"/>
        <v>3</v>
      </c>
      <c r="L107" s="125" t="str">
        <f t="shared" si="81"/>
        <v>ok</v>
      </c>
    </row>
    <row r="108">
      <c r="A108" s="2"/>
      <c r="B108" s="36" t="str">
        <f>IFERROR(__xludf.DUMMYFUNCTION("""COMPUTED_VALUE"""),"Luis Hsu")</f>
        <v>Luis Hsu</v>
      </c>
      <c r="C108" s="125">
        <f>IFERROR(__xludf.DUMMYFUNCTION("""COMPUTED_VALUE"""),8.0)</f>
        <v>8</v>
      </c>
      <c r="D108" s="125">
        <f t="shared" si="77"/>
        <v>29</v>
      </c>
      <c r="E108" s="125">
        <f t="shared" si="78"/>
        <v>21</v>
      </c>
      <c r="F108" s="125">
        <f t="shared" si="79"/>
        <v>18</v>
      </c>
      <c r="G108" s="125">
        <f t="shared" si="80"/>
        <v>6</v>
      </c>
      <c r="L108" s="125" t="str">
        <f t="shared" si="81"/>
        <v>ok</v>
      </c>
    </row>
    <row r="109">
      <c r="A109" s="2"/>
      <c r="B109" s="36" t="str">
        <f>IFERROR(__xludf.DUMMYFUNCTION("""COMPUTED_VALUE"""),"Naveen Raj")</f>
        <v>Naveen Raj</v>
      </c>
      <c r="C109" s="125">
        <f>IFERROR(__xludf.DUMMYFUNCTION("""COMPUTED_VALUE"""),8.0)</f>
        <v>8</v>
      </c>
      <c r="D109" s="125">
        <f t="shared" si="77"/>
        <v>43</v>
      </c>
      <c r="E109" s="125">
        <f t="shared" si="78"/>
        <v>35</v>
      </c>
      <c r="F109" s="125">
        <f t="shared" si="79"/>
        <v>13</v>
      </c>
      <c r="G109" s="125">
        <f t="shared" si="80"/>
        <v>8</v>
      </c>
      <c r="L109" s="125" t="str">
        <f t="shared" si="81"/>
        <v>ok</v>
      </c>
    </row>
    <row r="110">
      <c r="A110" s="2"/>
      <c r="B110" s="36" t="str">
        <f>IFERROR(__xludf.DUMMYFUNCTION("""COMPUTED_VALUE"""),"Ruben Ron")</f>
        <v>Ruben Ron</v>
      </c>
      <c r="C110" s="125">
        <f>IFERROR(__xludf.DUMMYFUNCTION("""COMPUTED_VALUE"""),4.0)</f>
        <v>4</v>
      </c>
      <c r="D110" s="125">
        <f t="shared" si="77"/>
        <v>8</v>
      </c>
      <c r="E110" s="125">
        <f t="shared" si="78"/>
        <v>4</v>
      </c>
      <c r="F110" s="125">
        <f t="shared" si="79"/>
        <v>18</v>
      </c>
      <c r="G110" s="125">
        <f t="shared" si="80"/>
        <v>2</v>
      </c>
      <c r="L110" s="125" t="str">
        <f t="shared" si="81"/>
        <v>ok</v>
      </c>
    </row>
    <row r="111">
      <c r="A111" s="2"/>
      <c r="B111" s="36" t="str">
        <f>IFERROR(__xludf.DUMMYFUNCTION("""COMPUTED_VALUE"""),"Pavan Akkimsetty")</f>
        <v>Pavan Akkimsetty</v>
      </c>
      <c r="C111" s="125">
        <f>IFERROR(__xludf.DUMMYFUNCTION("""COMPUTED_VALUE"""),2.0)</f>
        <v>2</v>
      </c>
      <c r="D111" s="125">
        <f t="shared" si="77"/>
        <v>13</v>
      </c>
      <c r="E111" s="125">
        <f t="shared" si="78"/>
        <v>11</v>
      </c>
      <c r="F111" s="125">
        <f t="shared" si="79"/>
        <v>15</v>
      </c>
      <c r="G111" s="125">
        <f t="shared" si="80"/>
        <v>3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7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Rudy Tatang</v>
      </c>
      <c r="C120" s="125">
        <f t="shared" si="82"/>
        <v>102</v>
      </c>
      <c r="D120" s="125">
        <f t="shared" si="82"/>
        <v>12</v>
      </c>
      <c r="E120" s="125">
        <f t="shared" si="82"/>
        <v>15.5</v>
      </c>
      <c r="F120" s="2"/>
    </row>
    <row r="121">
      <c r="A121" s="125">
        <f t="shared" ref="A121:E121" si="83">A6</f>
        <v>2</v>
      </c>
      <c r="B121" s="36" t="str">
        <f t="shared" si="83"/>
        <v>Andrew Yao</v>
      </c>
      <c r="C121" s="125">
        <f t="shared" si="83"/>
        <v>91</v>
      </c>
      <c r="D121" s="125">
        <f t="shared" si="83"/>
        <v>9</v>
      </c>
      <c r="E121" s="125">
        <f t="shared" si="83"/>
        <v>13</v>
      </c>
      <c r="F121" s="2"/>
    </row>
    <row r="122">
      <c r="A122" s="125">
        <f t="shared" ref="A122:E122" si="84">A7</f>
        <v>3</v>
      </c>
      <c r="B122" s="36" t="str">
        <f t="shared" si="84"/>
        <v>Scott Li</v>
      </c>
      <c r="C122" s="125">
        <f t="shared" si="84"/>
        <v>90</v>
      </c>
      <c r="D122" s="125">
        <f t="shared" si="84"/>
        <v>9</v>
      </c>
      <c r="E122" s="125">
        <f t="shared" si="84"/>
        <v>12.83333333</v>
      </c>
      <c r="F122" s="2"/>
    </row>
    <row r="123">
      <c r="A123" s="125">
        <f t="shared" ref="A123:E123" si="85">A8</f>
        <v>4</v>
      </c>
      <c r="B123" s="36" t="str">
        <f t="shared" si="85"/>
        <v>Ruben Ron</v>
      </c>
      <c r="C123" s="125">
        <f t="shared" si="85"/>
        <v>89</v>
      </c>
      <c r="D123" s="125">
        <f t="shared" si="85"/>
        <v>8</v>
      </c>
      <c r="E123" s="125">
        <f t="shared" si="85"/>
        <v>13.5</v>
      </c>
      <c r="F123" s="2"/>
    </row>
    <row r="124">
      <c r="A124" s="125">
        <f t="shared" ref="A124:E124" si="86">A9</f>
        <v>5</v>
      </c>
      <c r="B124" s="36" t="str">
        <f t="shared" si="86"/>
        <v>David Shin</v>
      </c>
      <c r="C124" s="125">
        <f t="shared" si="86"/>
        <v>87</v>
      </c>
      <c r="D124" s="125">
        <f t="shared" si="86"/>
        <v>9</v>
      </c>
      <c r="E124" s="125">
        <f t="shared" si="86"/>
        <v>12.33333333</v>
      </c>
      <c r="F124" s="2"/>
    </row>
    <row r="125">
      <c r="A125" s="125">
        <f t="shared" ref="A125:E125" si="87">A10</f>
        <v>6</v>
      </c>
      <c r="B125" s="36" t="str">
        <f t="shared" si="87"/>
        <v>Darren Wong</v>
      </c>
      <c r="C125" s="125">
        <f t="shared" si="87"/>
        <v>85</v>
      </c>
      <c r="D125" s="125">
        <f t="shared" si="87"/>
        <v>8</v>
      </c>
      <c r="E125" s="125">
        <f t="shared" si="87"/>
        <v>15</v>
      </c>
      <c r="F125" s="2"/>
    </row>
    <row r="126">
      <c r="A126" s="125">
        <f t="shared" ref="A126:E126" si="88">A11</f>
        <v>7</v>
      </c>
      <c r="B126" s="36" t="str">
        <f t="shared" si="88"/>
        <v>Jaya Sogata</v>
      </c>
      <c r="C126" s="125">
        <f t="shared" si="88"/>
        <v>85</v>
      </c>
      <c r="D126" s="125">
        <f t="shared" si="88"/>
        <v>8</v>
      </c>
      <c r="E126" s="125">
        <f t="shared" si="88"/>
        <v>12.6</v>
      </c>
      <c r="F126" s="2"/>
    </row>
    <row r="127">
      <c r="A127" s="125">
        <f t="shared" ref="A127:E127" si="89">A12</f>
        <v>8</v>
      </c>
      <c r="B127" s="36" t="str">
        <f t="shared" si="89"/>
        <v>Ted Shen</v>
      </c>
      <c r="C127" s="125">
        <f t="shared" si="89"/>
        <v>84</v>
      </c>
      <c r="D127" s="125">
        <f t="shared" si="89"/>
        <v>9</v>
      </c>
      <c r="E127" s="125">
        <f t="shared" si="89"/>
        <v>12</v>
      </c>
      <c r="F127" s="2"/>
    </row>
    <row r="128">
      <c r="A128" s="125">
        <f t="shared" ref="A128:E128" si="90">A13</f>
        <v>9</v>
      </c>
      <c r="B128" s="36" t="str">
        <f t="shared" si="90"/>
        <v>Erik Hoeckmann</v>
      </c>
      <c r="C128" s="125">
        <f t="shared" si="90"/>
        <v>83</v>
      </c>
      <c r="D128" s="125">
        <f t="shared" si="90"/>
        <v>9</v>
      </c>
      <c r="E128" s="125">
        <f t="shared" si="90"/>
        <v>12.33333333</v>
      </c>
      <c r="F128" s="2"/>
    </row>
    <row r="129">
      <c r="A129" s="125">
        <f t="shared" ref="A129:E129" si="91">A14</f>
        <v>10</v>
      </c>
      <c r="B129" s="36" t="str">
        <f t="shared" si="91"/>
        <v>Pulkit Mathur</v>
      </c>
      <c r="C129" s="125">
        <f t="shared" si="91"/>
        <v>81</v>
      </c>
      <c r="D129" s="125">
        <f t="shared" si="91"/>
        <v>10</v>
      </c>
      <c r="E129" s="125">
        <f t="shared" si="91"/>
        <v>12.6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IFERROR(__xludf.DUMMYFUNCTION("""COMPUTED_VALUE"""),"Eric Tan")</f>
        <v>Eric Tan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IFERROR(__xludf.DUMMYFUNCTION("""COMPUTED_VALUE"""),"Ted Shen")</f>
        <v>Ted Shen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IFERROR(__xludf.DUMMYFUNCTION("""COMPUTED_VALUE"""),"Vinotkumar Nagappan")</f>
        <v>Vinotkumar Nagappan</v>
      </c>
      <c r="C140" s="2"/>
      <c r="D140" s="2"/>
      <c r="E140" s="2"/>
      <c r="F140" s="2"/>
    </row>
    <row r="141">
      <c r="A141" s="125">
        <f t="shared" si="92"/>
        <v>0</v>
      </c>
      <c r="B141" s="36"/>
      <c r="C141" s="2"/>
      <c r="D141" s="2"/>
      <c r="E141" s="2"/>
      <c r="F141" s="2"/>
    </row>
    <row r="142">
      <c r="A142" s="125">
        <f t="shared" si="92"/>
        <v>0</v>
      </c>
      <c r="B142" s="36"/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08/08/26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IFERROR(__xludf.DUMMYFUNCTION("""COMPUTED_VALUE"""),"Rudy Tatang")</f>
        <v>Rudy Tatang</v>
      </c>
      <c r="C239" s="131">
        <f>IFERROR(__xludf.DUMMYFUNCTION("""COMPUTED_VALUE"""),7.0)</f>
        <v>7</v>
      </c>
      <c r="D239" s="131">
        <f>IFERROR(__xludf.DUMMYFUNCTION("""COMPUTED_VALUE"""),6.0)</f>
        <v>6</v>
      </c>
      <c r="E239" s="131">
        <f>IFERROR(__xludf.DUMMYFUNCTION("""COMPUTED_VALUE"""),6.0)</f>
        <v>6</v>
      </c>
      <c r="F239" s="131">
        <f>IFERROR(__xludf.DUMMYFUNCTION("""COMPUTED_VALUE"""),19.0)</f>
        <v>19</v>
      </c>
      <c r="G239" s="131">
        <f>IFERROR(__xludf.DUMMYFUNCTION("""COMPUTED_VALUE"""),3.0)</f>
        <v>3</v>
      </c>
    </row>
    <row r="240">
      <c r="A240" s="125">
        <f>IFERROR(__xludf.DUMMYFUNCTION("""COMPUTED_VALUE"""),1.0)</f>
        <v>1</v>
      </c>
      <c r="B240" s="36" t="str">
        <f>IFERROR(__xludf.DUMMYFUNCTION("""COMPUTED_VALUE"""),"Andrew Yao")</f>
        <v>Andrew Yao</v>
      </c>
      <c r="C240" s="131">
        <f>IFERROR(__xludf.DUMMYFUNCTION("""COMPUTED_VALUE"""),5.0)</f>
        <v>5</v>
      </c>
      <c r="D240" s="131">
        <f>IFERROR(__xludf.DUMMYFUNCTION("""COMPUTED_VALUE"""),6.0)</f>
        <v>6</v>
      </c>
      <c r="E240" s="131">
        <f>IFERROR(__xludf.DUMMYFUNCTION("""COMPUTED_VALUE"""),3.0)</f>
        <v>3</v>
      </c>
      <c r="F240" s="131">
        <f>IFERROR(__xludf.DUMMYFUNCTION("""COMPUTED_VALUE"""),14.0)</f>
        <v>14</v>
      </c>
      <c r="G240" s="131">
        <f>IFERROR(__xludf.DUMMYFUNCTION("""COMPUTED_VALUE"""),1.0)</f>
        <v>1</v>
      </c>
    </row>
    <row r="241">
      <c r="A241" s="125">
        <f>IFERROR(__xludf.DUMMYFUNCTION("""COMPUTED_VALUE"""),1.0)</f>
        <v>1</v>
      </c>
      <c r="B241" s="36" t="str">
        <f>IFERROR(__xludf.DUMMYFUNCTION("""COMPUTED_VALUE"""),"Scott Li")</f>
        <v>Scott Li</v>
      </c>
      <c r="C241" s="131">
        <f>IFERROR(__xludf.DUMMYFUNCTION("""COMPUTED_VALUE"""),5.0)</f>
        <v>5</v>
      </c>
      <c r="D241" s="131">
        <f>IFERROR(__xludf.DUMMYFUNCTION("""COMPUTED_VALUE"""),2.0)</f>
        <v>2</v>
      </c>
      <c r="E241" s="131">
        <f>IFERROR(__xludf.DUMMYFUNCTION("""COMPUTED_VALUE"""),6.0)</f>
        <v>6</v>
      </c>
      <c r="F241" s="131">
        <f>IFERROR(__xludf.DUMMYFUNCTION("""COMPUTED_VALUE"""),13.0)</f>
        <v>13</v>
      </c>
      <c r="G241" s="131">
        <f>IFERROR(__xludf.DUMMYFUNCTION("""COMPUTED_VALUE"""),1.0)</f>
        <v>1</v>
      </c>
    </row>
    <row r="242">
      <c r="A242" s="125">
        <f>IFERROR(__xludf.DUMMYFUNCTION("""COMPUTED_VALUE"""),1.0)</f>
        <v>1</v>
      </c>
      <c r="B242" s="36" t="str">
        <f>IFERROR(__xludf.DUMMYFUNCTION("""COMPUTED_VALUE"""),"David Shin")</f>
        <v>David Shin</v>
      </c>
      <c r="C242" s="131">
        <f>IFERROR(__xludf.DUMMYFUNCTION("""COMPUTED_VALUE"""),7.0)</f>
        <v>7</v>
      </c>
      <c r="D242" s="131">
        <f>IFERROR(__xludf.DUMMYFUNCTION("""COMPUTED_VALUE"""),2.0)</f>
        <v>2</v>
      </c>
      <c r="E242" s="131">
        <f>IFERROR(__xludf.DUMMYFUNCTION("""COMPUTED_VALUE"""),3.0)</f>
        <v>3</v>
      </c>
      <c r="F242" s="131">
        <f>IFERROR(__xludf.DUMMYFUNCTION("""COMPUTED_VALUE"""),12.0)</f>
        <v>12</v>
      </c>
      <c r="G242" s="131">
        <f>IFERROR(__xludf.DUMMYFUNCTION("""COMPUTED_VALUE"""),1.0)</f>
        <v>1</v>
      </c>
    </row>
    <row r="243">
      <c r="A243" s="132">
        <f>IFERROR(__xludf.DUMMYFUNCTION("""COMPUTED_VALUE"""),2.0)</f>
        <v>2</v>
      </c>
      <c r="B243" s="133" t="str">
        <f>IFERROR(__xludf.DUMMYFUNCTION("""COMPUTED_VALUE"""),"Ted Shen")</f>
        <v>Ted Shen</v>
      </c>
      <c r="C243" s="134">
        <f>IFERROR(__xludf.DUMMYFUNCTION("""COMPUTED_VALUE"""),4.0)</f>
        <v>4</v>
      </c>
      <c r="D243" s="134">
        <f>IFERROR(__xludf.DUMMYFUNCTION("""COMPUTED_VALUE"""),3.0)</f>
        <v>3</v>
      </c>
      <c r="E243" s="134">
        <f>IFERROR(__xludf.DUMMYFUNCTION("""COMPUTED_VALUE"""),6.0)</f>
        <v>6</v>
      </c>
      <c r="F243" s="134">
        <f>IFERROR(__xludf.DUMMYFUNCTION("""COMPUTED_VALUE"""),13.0)</f>
        <v>13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IFERROR(__xludf.DUMMYFUNCTION("""COMPUTED_VALUE"""),"Ruben Ron")</f>
        <v>Ruben Ron</v>
      </c>
      <c r="C244" s="134">
        <f>IFERROR(__xludf.DUMMYFUNCTION("""COMPUTED_VALUE"""),6.0)</f>
        <v>6</v>
      </c>
      <c r="D244" s="134">
        <f>IFERROR(__xludf.DUMMYFUNCTION("""COMPUTED_VALUE"""),6.0)</f>
        <v>6</v>
      </c>
      <c r="E244" s="134">
        <f>IFERROR(__xludf.DUMMYFUNCTION("""COMPUTED_VALUE"""),6.0)</f>
        <v>6</v>
      </c>
      <c r="F244" s="134">
        <f>IFERROR(__xludf.DUMMYFUNCTION("""COMPUTED_VALUE"""),18.0)</f>
        <v>18</v>
      </c>
      <c r="G244" s="134">
        <f>IFERROR(__xludf.DUMMYFUNCTION("""COMPUTED_VALUE"""),3.0)</f>
        <v>3</v>
      </c>
    </row>
    <row r="245">
      <c r="A245" s="132">
        <f>IFERROR(__xludf.DUMMYFUNCTION("""COMPUTED_VALUE"""),2.0)</f>
        <v>2</v>
      </c>
      <c r="B245" s="133" t="str">
        <f>IFERROR(__xludf.DUMMYFUNCTION("""COMPUTED_VALUE"""),"Chinna Ponnaganti")</f>
        <v>Chinna Ponnaganti</v>
      </c>
      <c r="C245" s="134">
        <f>IFERROR(__xludf.DUMMYFUNCTION("""COMPUTED_VALUE"""),6.0)</f>
        <v>6</v>
      </c>
      <c r="D245" s="134">
        <f>IFERROR(__xludf.DUMMYFUNCTION("""COMPUTED_VALUE"""),3.0)</f>
        <v>3</v>
      </c>
      <c r="E245" s="134">
        <f>IFERROR(__xludf.DUMMYFUNCTION("""COMPUTED_VALUE"""),2.0)</f>
        <v>2</v>
      </c>
      <c r="F245" s="134">
        <f>IFERROR(__xludf.DUMMYFUNCTION("""COMPUTED_VALUE"""),11.0)</f>
        <v>11</v>
      </c>
      <c r="G245" s="134">
        <f>IFERROR(__xludf.DUMMYFUNCTION("""COMPUTED_VALUE"""),1.0)</f>
        <v>1</v>
      </c>
    </row>
    <row r="246">
      <c r="A246" s="132">
        <f>IFERROR(__xludf.DUMMYFUNCTION("""COMPUTED_VALUE"""),2.0)</f>
        <v>2</v>
      </c>
      <c r="B246" s="133" t="str">
        <f>IFERROR(__xludf.DUMMYFUNCTION("""COMPUTED_VALUE"""),"Elayaraja Thangaraj")</f>
        <v>Elayaraja Thangaraj</v>
      </c>
      <c r="C246" s="134">
        <f>IFERROR(__xludf.DUMMYFUNCTION("""COMPUTED_VALUE"""),4.0)</f>
        <v>4</v>
      </c>
      <c r="D246" s="134">
        <f>IFERROR(__xludf.DUMMYFUNCTION("""COMPUTED_VALUE"""),6.0)</f>
        <v>6</v>
      </c>
      <c r="E246" s="134">
        <f>IFERROR(__xludf.DUMMYFUNCTION("""COMPUTED_VALUE"""),2.0)</f>
        <v>2</v>
      </c>
      <c r="F246" s="134">
        <f>IFERROR(__xludf.DUMMYFUNCTION("""COMPUTED_VALUE"""),12.0)</f>
        <v>12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IFERROR(__xludf.DUMMYFUNCTION("""COMPUTED_VALUE"""),"Vinotkumar Nagappan")</f>
        <v>Vinotkumar Nagappan</v>
      </c>
      <c r="C247" s="131">
        <f>IFERROR(__xludf.DUMMYFUNCTION("""COMPUTED_VALUE"""),5.0)</f>
        <v>5</v>
      </c>
      <c r="D247" s="131">
        <f>IFERROR(__xludf.DUMMYFUNCTION("""COMPUTED_VALUE"""),6.0)</f>
        <v>6</v>
      </c>
      <c r="E247" s="131">
        <f>IFERROR(__xludf.DUMMYFUNCTION("""COMPUTED_VALUE"""),3.0)</f>
        <v>3</v>
      </c>
      <c r="F247" s="131">
        <f>IFERROR(__xludf.DUMMYFUNCTION("""COMPUTED_VALUE"""),14.0)</f>
        <v>14</v>
      </c>
      <c r="G247" s="131">
        <f>IFERROR(__xludf.DUMMYFUNCTION("""COMPUTED_VALUE"""),1.0)</f>
        <v>1</v>
      </c>
    </row>
    <row r="248">
      <c r="A248" s="125">
        <f>IFERROR(__xludf.DUMMYFUNCTION("""COMPUTED_VALUE"""),3.0)</f>
        <v>3</v>
      </c>
      <c r="B248" s="36" t="str">
        <f>IFERROR(__xludf.DUMMYFUNCTION("""COMPUTED_VALUE"""),"Pavan Akkimsetty")</f>
        <v>Pavan Akkimsetty</v>
      </c>
      <c r="C248" s="131">
        <f>IFERROR(__xludf.DUMMYFUNCTION("""COMPUTED_VALUE"""),5.0)</f>
        <v>5</v>
      </c>
      <c r="D248" s="131">
        <f>IFERROR(__xludf.DUMMYFUNCTION("""COMPUTED_VALUE"""),4.0)</f>
        <v>4</v>
      </c>
      <c r="E248" s="131">
        <f>IFERROR(__xludf.DUMMYFUNCTION("""COMPUTED_VALUE"""),6.0)</f>
        <v>6</v>
      </c>
      <c r="F248" s="131">
        <f>IFERROR(__xludf.DUMMYFUNCTION("""COMPUTED_VALUE"""),15.0)</f>
        <v>15</v>
      </c>
      <c r="G248" s="131">
        <f>IFERROR(__xludf.DUMMYFUNCTION("""COMPUTED_VALUE"""),1.0)</f>
        <v>1</v>
      </c>
    </row>
    <row r="249">
      <c r="A249" s="125">
        <f>IFERROR(__xludf.DUMMYFUNCTION("""COMPUTED_VALUE"""),3.0)</f>
        <v>3</v>
      </c>
      <c r="B249" s="36" t="str">
        <f>IFERROR(__xludf.DUMMYFUNCTION("""COMPUTED_VALUE"""),"Mauricio Palacios")</f>
        <v>Mauricio Palacios</v>
      </c>
      <c r="C249" s="131">
        <f>IFERROR(__xludf.DUMMYFUNCTION("""COMPUTED_VALUE"""),7.0)</f>
        <v>7</v>
      </c>
      <c r="D249" s="131">
        <f>IFERROR(__xludf.DUMMYFUNCTION("""COMPUTED_VALUE"""),4.0)</f>
        <v>4</v>
      </c>
      <c r="E249" s="131">
        <f>IFERROR(__xludf.DUMMYFUNCTION("""COMPUTED_VALUE"""),3.0)</f>
        <v>3</v>
      </c>
      <c r="F249" s="131">
        <f>IFERROR(__xludf.DUMMYFUNCTION("""COMPUTED_VALUE"""),14.0)</f>
        <v>14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IFERROR(__xludf.DUMMYFUNCTION("""COMPUTED_VALUE"""),"Jaya Sogata")</f>
        <v>Jaya Sogata</v>
      </c>
      <c r="C250" s="131">
        <f>IFERROR(__xludf.DUMMYFUNCTION("""COMPUTED_VALUE"""),7.0)</f>
        <v>7</v>
      </c>
      <c r="D250" s="131">
        <f>IFERROR(__xludf.DUMMYFUNCTION("""COMPUTED_VALUE"""),6.0)</f>
        <v>6</v>
      </c>
      <c r="E250" s="131">
        <f>IFERROR(__xludf.DUMMYFUNCTION("""COMPUTED_VALUE"""),6.0)</f>
        <v>6</v>
      </c>
      <c r="F250" s="131">
        <f>IFERROR(__xludf.DUMMYFUNCTION("""COMPUTED_VALUE"""),19.0)</f>
        <v>19</v>
      </c>
      <c r="G250" s="131">
        <f>IFERROR(__xludf.DUMMYFUNCTION("""COMPUTED_VALUE"""),3.0)</f>
        <v>3</v>
      </c>
    </row>
    <row r="251">
      <c r="A251" s="132">
        <f>IFERROR(__xludf.DUMMYFUNCTION("""COMPUTED_VALUE"""),4.0)</f>
        <v>4</v>
      </c>
      <c r="B251" s="133" t="str">
        <f>IFERROR(__xludf.DUMMYFUNCTION("""COMPUTED_VALUE"""),"Suleman Alidina")</f>
        <v>Suleman Alidina</v>
      </c>
      <c r="C251" s="134">
        <f>IFERROR(__xludf.DUMMYFUNCTION("""COMPUTED_VALUE"""),6.0)</f>
        <v>6</v>
      </c>
      <c r="D251" s="134">
        <f>IFERROR(__xludf.DUMMYFUNCTION("""COMPUTED_VALUE"""),5.0)</f>
        <v>5</v>
      </c>
      <c r="E251" s="134">
        <f>IFERROR(__xludf.DUMMYFUNCTION("""COMPUTED_VALUE"""),3.0)</f>
        <v>3</v>
      </c>
      <c r="F251" s="134">
        <f>IFERROR(__xludf.DUMMYFUNCTION("""COMPUTED_VALUE"""),14.0)</f>
        <v>14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IFERROR(__xludf.DUMMYFUNCTION("""COMPUTED_VALUE"""),"Herman Au")</f>
        <v>Herman Au</v>
      </c>
      <c r="C252" s="134">
        <f>IFERROR(__xludf.DUMMYFUNCTION("""COMPUTED_VALUE"""),3.0)</f>
        <v>3</v>
      </c>
      <c r="D252" s="134">
        <f>IFERROR(__xludf.DUMMYFUNCTION("""COMPUTED_VALUE"""),7.0)</f>
        <v>7</v>
      </c>
      <c r="E252" s="134">
        <f>IFERROR(__xludf.DUMMYFUNCTION("""COMPUTED_VALUE"""),3.0)</f>
        <v>3</v>
      </c>
      <c r="F252" s="134">
        <f>IFERROR(__xludf.DUMMYFUNCTION("""COMPUTED_VALUE"""),13.0)</f>
        <v>13</v>
      </c>
      <c r="G252" s="134">
        <f>IFERROR(__xludf.DUMMYFUNCTION("""COMPUTED_VALUE"""),1.0)</f>
        <v>1</v>
      </c>
    </row>
    <row r="253">
      <c r="A253" s="132">
        <f>IFERROR(__xludf.DUMMYFUNCTION("""COMPUTED_VALUE"""),4.0)</f>
        <v>4</v>
      </c>
      <c r="B253" s="133" t="str">
        <f>IFERROR(__xludf.DUMMYFUNCTION("""COMPUTED_VALUE"""),"Manish Anand")</f>
        <v>Manish Anand</v>
      </c>
      <c r="C253" s="134">
        <f>IFERROR(__xludf.DUMMYFUNCTION("""COMPUTED_VALUE"""),3.0)</f>
        <v>3</v>
      </c>
      <c r="D253" s="134">
        <f>IFERROR(__xludf.DUMMYFUNCTION("""COMPUTED_VALUE"""),5.0)</f>
        <v>5</v>
      </c>
      <c r="E253" s="134">
        <f>IFERROR(__xludf.DUMMYFUNCTION("""COMPUTED_VALUE"""),6.0)</f>
        <v>6</v>
      </c>
      <c r="F253" s="134">
        <f>IFERROR(__xludf.DUMMYFUNCTION("""COMPUTED_VALUE"""),14.0)</f>
        <v>14</v>
      </c>
      <c r="G253" s="134">
        <f>IFERROR(__xludf.DUMMYFUNCTION("""COMPUTED_VALUE"""),1.0)</f>
        <v>1</v>
      </c>
    </row>
    <row r="254">
      <c r="A254" s="132">
        <f>IFERROR(__xludf.DUMMYFUNCTION("""COMPUTED_VALUE"""),4.0)</f>
        <v>4</v>
      </c>
      <c r="B254" s="133" t="str">
        <f>IFERROR(__xludf.DUMMYFUNCTION("""COMPUTED_VALUE"""),"Erik Hoeckmann")</f>
        <v>Erik Hoeckmann</v>
      </c>
      <c r="C254" s="134">
        <f>IFERROR(__xludf.DUMMYFUNCTION("""COMPUTED_VALUE"""),6.0)</f>
        <v>6</v>
      </c>
      <c r="D254" s="134">
        <f>IFERROR(__xludf.DUMMYFUNCTION("""COMPUTED_VALUE"""),7.0)</f>
        <v>7</v>
      </c>
      <c r="E254" s="134">
        <f>IFERROR(__xludf.DUMMYFUNCTION("""COMPUTED_VALUE"""),6.0)</f>
        <v>6</v>
      </c>
      <c r="F254" s="134">
        <f>IFERROR(__xludf.DUMMYFUNCTION("""COMPUTED_VALUE"""),19.0)</f>
        <v>19</v>
      </c>
      <c r="G254" s="134">
        <f>IFERROR(__xludf.DUMMYFUNCTION("""COMPUTED_VALUE"""),3.0)</f>
        <v>3</v>
      </c>
    </row>
    <row r="255">
      <c r="A255" s="125">
        <f>IFERROR(__xludf.DUMMYFUNCTION("""COMPUTED_VALUE"""),5.0)</f>
        <v>5</v>
      </c>
      <c r="B255" s="36" t="str">
        <f>IFERROR(__xludf.DUMMYFUNCTION("""COMPUTED_VALUE"""),"Jim Miao")</f>
        <v>Jim Miao</v>
      </c>
      <c r="C255" s="131">
        <f>IFERROR(__xludf.DUMMYFUNCTION("""COMPUTED_VALUE"""),4.0)</f>
        <v>4</v>
      </c>
      <c r="D255" s="131">
        <f>IFERROR(__xludf.DUMMYFUNCTION("""COMPUTED_VALUE"""),3.0)</f>
        <v>3</v>
      </c>
      <c r="E255" s="131">
        <f>IFERROR(__xludf.DUMMYFUNCTION("""COMPUTED_VALUE"""),6.0)</f>
        <v>6</v>
      </c>
      <c r="F255" s="131">
        <f>IFERROR(__xludf.DUMMYFUNCTION("""COMPUTED_VALUE"""),13.0)</f>
        <v>13</v>
      </c>
      <c r="G255" s="131">
        <f>IFERROR(__xludf.DUMMYFUNCTION("""COMPUTED_VALUE"""),1.0)</f>
        <v>1</v>
      </c>
    </row>
    <row r="256">
      <c r="A256" s="125">
        <f>IFERROR(__xludf.DUMMYFUNCTION("""COMPUTED_VALUE"""),5.0)</f>
        <v>5</v>
      </c>
      <c r="B256" s="36" t="str">
        <f>IFERROR(__xludf.DUMMYFUNCTION("""COMPUTED_VALUE"""),"Pulkit Mathur")</f>
        <v>Pulkit Mathur</v>
      </c>
      <c r="C256" s="131">
        <f>IFERROR(__xludf.DUMMYFUNCTION("""COMPUTED_VALUE"""),6.0)</f>
        <v>6</v>
      </c>
      <c r="D256" s="131">
        <f>IFERROR(__xludf.DUMMYFUNCTION("""COMPUTED_VALUE"""),6.0)</f>
        <v>6</v>
      </c>
      <c r="E256" s="131">
        <f>IFERROR(__xludf.DUMMYFUNCTION("""COMPUTED_VALUE"""),6.0)</f>
        <v>6</v>
      </c>
      <c r="F256" s="131">
        <f>IFERROR(__xludf.DUMMYFUNCTION("""COMPUTED_VALUE"""),18.0)</f>
        <v>18</v>
      </c>
      <c r="G256" s="131">
        <f>IFERROR(__xludf.DUMMYFUNCTION("""COMPUTED_VALUE"""),3.0)</f>
        <v>3</v>
      </c>
    </row>
    <row r="257">
      <c r="A257" s="125">
        <f>IFERROR(__xludf.DUMMYFUNCTION("""COMPUTED_VALUE"""),5.0)</f>
        <v>5</v>
      </c>
      <c r="B257" s="36" t="str">
        <f>IFERROR(__xludf.DUMMYFUNCTION("""COMPUTED_VALUE"""),"Rajasekar Ramasamy")</f>
        <v>Rajasekar Ramasamy</v>
      </c>
      <c r="C257" s="131">
        <f>IFERROR(__xludf.DUMMYFUNCTION("""COMPUTED_VALUE"""),6.0)</f>
        <v>6</v>
      </c>
      <c r="D257" s="131">
        <f>IFERROR(__xludf.DUMMYFUNCTION("""COMPUTED_VALUE"""),3.0)</f>
        <v>3</v>
      </c>
      <c r="E257" s="131">
        <f>IFERROR(__xludf.DUMMYFUNCTION("""COMPUTED_VALUE"""),1.0)</f>
        <v>1</v>
      </c>
      <c r="F257" s="131">
        <f>IFERROR(__xludf.DUMMYFUNCTION("""COMPUTED_VALUE"""),10.0)</f>
        <v>10</v>
      </c>
      <c r="G257" s="131">
        <f>IFERROR(__xludf.DUMMYFUNCTION("""COMPUTED_VALUE"""),1.0)</f>
        <v>1</v>
      </c>
    </row>
    <row r="258">
      <c r="A258" s="125">
        <f>IFERROR(__xludf.DUMMYFUNCTION("""COMPUTED_VALUE"""),5.0)</f>
        <v>5</v>
      </c>
      <c r="B258" s="36" t="str">
        <f>IFERROR(__xludf.DUMMYFUNCTION("""COMPUTED_VALUE"""),"Joe Luzzi")</f>
        <v>Joe Luzzi</v>
      </c>
      <c r="C258" s="131">
        <f>IFERROR(__xludf.DUMMYFUNCTION("""COMPUTED_VALUE"""),4.0)</f>
        <v>4</v>
      </c>
      <c r="D258" s="131">
        <f>IFERROR(__xludf.DUMMYFUNCTION("""COMPUTED_VALUE"""),6.0)</f>
        <v>6</v>
      </c>
      <c r="E258" s="131">
        <f>IFERROR(__xludf.DUMMYFUNCTION("""COMPUTED_VALUE"""),1.0)</f>
        <v>1</v>
      </c>
      <c r="F258" s="131">
        <f>IFERROR(__xludf.DUMMYFUNCTION("""COMPUTED_VALUE"""),11.0)</f>
        <v>11</v>
      </c>
      <c r="G258" s="131">
        <f>IFERROR(__xludf.DUMMYFUNCTION("""COMPUTED_VALUE"""),1.0)</f>
        <v>1</v>
      </c>
    </row>
    <row r="259">
      <c r="A259" s="132">
        <f>IFERROR(__xludf.DUMMYFUNCTION("""COMPUTED_VALUE"""),6.0)</f>
        <v>6</v>
      </c>
      <c r="B259" s="133" t="str">
        <f>IFERROR(__xludf.DUMMYFUNCTION("""COMPUTED_VALUE"""),"Ethan Gu")</f>
        <v>Ethan Gu</v>
      </c>
      <c r="C259" s="134">
        <f>IFERROR(__xludf.DUMMYFUNCTION("""COMPUTED_VALUE"""),6.0)</f>
        <v>6</v>
      </c>
      <c r="D259" s="134">
        <f>IFERROR(__xludf.DUMMYFUNCTION("""COMPUTED_VALUE"""),4.0)</f>
        <v>4</v>
      </c>
      <c r="E259" s="134">
        <f>IFERROR(__xludf.DUMMYFUNCTION("""COMPUTED_VALUE"""),2.0)</f>
        <v>2</v>
      </c>
      <c r="F259" s="134">
        <f>IFERROR(__xludf.DUMMYFUNCTION("""COMPUTED_VALUE"""),12.0)</f>
        <v>12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IFERROR(__xludf.DUMMYFUNCTION("""COMPUTED_VALUE"""),"Allen Zhang")</f>
        <v>Allen Zhang</v>
      </c>
      <c r="C260" s="134">
        <f>IFERROR(__xludf.DUMMYFUNCTION("""COMPUTED_VALUE"""),0.0)</f>
        <v>0</v>
      </c>
      <c r="D260" s="134">
        <f>IFERROR(__xludf.DUMMYFUNCTION("""COMPUTED_VALUE"""),4.0)</f>
        <v>4</v>
      </c>
      <c r="E260" s="134">
        <f>IFERROR(__xludf.DUMMYFUNCTION("""COMPUTED_VALUE"""),6.0)</f>
        <v>6</v>
      </c>
      <c r="F260" s="134">
        <f>IFERROR(__xludf.DUMMYFUNCTION("""COMPUTED_VALUE"""),10.0)</f>
        <v>10</v>
      </c>
      <c r="G260" s="134">
        <f>IFERROR(__xludf.DUMMYFUNCTION("""COMPUTED_VALUE"""),1.0)</f>
        <v>1</v>
      </c>
    </row>
    <row r="261">
      <c r="A261" s="132">
        <f>IFERROR(__xludf.DUMMYFUNCTION("""COMPUTED_VALUE"""),6.0)</f>
        <v>6</v>
      </c>
      <c r="B261" s="133" t="str">
        <f>IFERROR(__xludf.DUMMYFUNCTION("""COMPUTED_VALUE"""),"Luis Hsu")</f>
        <v>Luis Hsu</v>
      </c>
      <c r="C261" s="134">
        <f>IFERROR(__xludf.DUMMYFUNCTION("""COMPUTED_VALUE"""),6.0)</f>
        <v>6</v>
      </c>
      <c r="D261" s="134">
        <f>IFERROR(__xludf.DUMMYFUNCTION("""COMPUTED_VALUE"""),6.0)</f>
        <v>6</v>
      </c>
      <c r="E261" s="134">
        <f>IFERROR(__xludf.DUMMYFUNCTION("""COMPUTED_VALUE"""),6.0)</f>
        <v>6</v>
      </c>
      <c r="F261" s="134">
        <f>IFERROR(__xludf.DUMMYFUNCTION("""COMPUTED_VALUE"""),18.0)</f>
        <v>18</v>
      </c>
      <c r="G261" s="134">
        <f>IFERROR(__xludf.DUMMYFUNCTION("""COMPUTED_VALUE"""),3.0)</f>
        <v>3</v>
      </c>
    </row>
    <row r="262">
      <c r="A262" s="132">
        <f>IFERROR(__xludf.DUMMYFUNCTION("""COMPUTED_VALUE"""),6.0)</f>
        <v>6</v>
      </c>
      <c r="B262" s="133" t="str">
        <f>IFERROR(__xludf.DUMMYFUNCTION("""COMPUTED_VALUE"""),"Sean Chang")</f>
        <v>Sean Chang</v>
      </c>
      <c r="C262" s="134">
        <f>IFERROR(__xludf.DUMMYFUNCTION("""COMPUTED_VALUE"""),0.0)</f>
        <v>0</v>
      </c>
      <c r="D262" s="134">
        <f>IFERROR(__xludf.DUMMYFUNCTION("""COMPUTED_VALUE"""),6.0)</f>
        <v>6</v>
      </c>
      <c r="E262" s="134">
        <f>IFERROR(__xludf.DUMMYFUNCTION("""COMPUTED_VALUE"""),2.0)</f>
        <v>2</v>
      </c>
      <c r="F262" s="134">
        <f>IFERROR(__xludf.DUMMYFUNCTION("""COMPUTED_VALUE"""),8.0)</f>
        <v>8</v>
      </c>
      <c r="G262" s="134">
        <f>IFERROR(__xludf.DUMMYFUNCTION("""COMPUTED_VALUE"""),1.0)</f>
        <v>1</v>
      </c>
    </row>
    <row r="263">
      <c r="A263" s="125">
        <f>IFERROR(__xludf.DUMMYFUNCTION("""COMPUTED_VALUE"""),7.0)</f>
        <v>7</v>
      </c>
      <c r="B263" s="36" t="str">
        <f>IFERROR(__xludf.DUMMYFUNCTION("""COMPUTED_VALUE"""),"Kumar Palakeel")</f>
        <v>Kumar Palakeel</v>
      </c>
      <c r="C263" s="131">
        <f>IFERROR(__xludf.DUMMYFUNCTION("""COMPUTED_VALUE"""),6.0)</f>
        <v>6</v>
      </c>
      <c r="D263" s="131">
        <f>IFERROR(__xludf.DUMMYFUNCTION("""COMPUTED_VALUE"""),0.0)</f>
        <v>0</v>
      </c>
      <c r="E263" s="131">
        <f>IFERROR(__xludf.DUMMYFUNCTION("""COMPUTED_VALUE"""),3.0)</f>
        <v>3</v>
      </c>
      <c r="F263" s="131">
        <f>IFERROR(__xludf.DUMMYFUNCTION("""COMPUTED_VALUE"""),9.0)</f>
        <v>9</v>
      </c>
      <c r="G263" s="131">
        <f>IFERROR(__xludf.DUMMYFUNCTION("""COMPUTED_VALUE"""),1.0)</f>
        <v>1</v>
      </c>
    </row>
    <row r="264">
      <c r="A264" s="125">
        <f>IFERROR(__xludf.DUMMYFUNCTION("""COMPUTED_VALUE"""),7.0)</f>
        <v>7</v>
      </c>
      <c r="B264" s="36" t="str">
        <f>IFERROR(__xludf.DUMMYFUNCTION("""COMPUTED_VALUE"""),"Sanjaye Elayattu")</f>
        <v>Sanjaye Elayattu</v>
      </c>
      <c r="C264" s="131">
        <f>IFERROR(__xludf.DUMMYFUNCTION("""COMPUTED_VALUE"""),2.0)</f>
        <v>2</v>
      </c>
      <c r="D264" s="131">
        <f>IFERROR(__xludf.DUMMYFUNCTION("""COMPUTED_VALUE"""),6.0)</f>
        <v>6</v>
      </c>
      <c r="E264" s="131">
        <f>IFERROR(__xludf.DUMMYFUNCTION("""COMPUTED_VALUE"""),3.0)</f>
        <v>3</v>
      </c>
      <c r="F264" s="131">
        <f>IFERROR(__xludf.DUMMYFUNCTION("""COMPUTED_VALUE"""),11.0)</f>
        <v>11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IFERROR(__xludf.DUMMYFUNCTION("""COMPUTED_VALUE"""),"Tina Hanson")</f>
        <v>Tina Hanson</v>
      </c>
      <c r="C265" s="131">
        <f>IFERROR(__xludf.DUMMYFUNCTION("""COMPUTED_VALUE"""),6.0)</f>
        <v>6</v>
      </c>
      <c r="D265" s="131">
        <f>IFERROR(__xludf.DUMMYFUNCTION("""COMPUTED_VALUE"""),6.0)</f>
        <v>6</v>
      </c>
      <c r="E265" s="131">
        <f>IFERROR(__xludf.DUMMYFUNCTION("""COMPUTED_VALUE"""),6.0)</f>
        <v>6</v>
      </c>
      <c r="F265" s="131">
        <f>IFERROR(__xludf.DUMMYFUNCTION("""COMPUTED_VALUE"""),18.0)</f>
        <v>18</v>
      </c>
      <c r="G265" s="131">
        <f>IFERROR(__xludf.DUMMYFUNCTION("""COMPUTED_VALUE"""),3.0)</f>
        <v>3</v>
      </c>
    </row>
    <row r="266">
      <c r="A266" s="125">
        <f>IFERROR(__xludf.DUMMYFUNCTION("""COMPUTED_VALUE"""),7.0)</f>
        <v>7</v>
      </c>
      <c r="B266" s="36" t="str">
        <f>IFERROR(__xludf.DUMMYFUNCTION("""COMPUTED_VALUE"""),"Ranjith Doraiswamy")</f>
        <v>Ranjith Doraiswamy</v>
      </c>
      <c r="C266" s="131">
        <f>IFERROR(__xludf.DUMMYFUNCTION("""COMPUTED_VALUE"""),2.0)</f>
        <v>2</v>
      </c>
      <c r="D266" s="131">
        <f>IFERROR(__xludf.DUMMYFUNCTION("""COMPUTED_VALUE"""),0.0)</f>
        <v>0</v>
      </c>
      <c r="E266" s="131">
        <f>IFERROR(__xludf.DUMMYFUNCTION("""COMPUTED_VALUE"""),6.0)</f>
        <v>6</v>
      </c>
      <c r="F266" s="131">
        <f>IFERROR(__xludf.DUMMYFUNCTION("""COMPUTED_VALUE"""),8.0)</f>
        <v>8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IFERROR(__xludf.DUMMYFUNCTION("""COMPUTED_VALUE"""),"Alex Hou")</f>
        <v>Alex Hou</v>
      </c>
      <c r="C267" s="134">
        <f>IFERROR(__xludf.DUMMYFUNCTION("""COMPUTED_VALUE"""),3.0)</f>
        <v>3</v>
      </c>
      <c r="D267" s="134">
        <f>IFERROR(__xludf.DUMMYFUNCTION("""COMPUTED_VALUE"""),6.0)</f>
        <v>6</v>
      </c>
      <c r="E267" s="134">
        <f>IFERROR(__xludf.DUMMYFUNCTION("""COMPUTED_VALUE"""),6.0)</f>
        <v>6</v>
      </c>
      <c r="F267" s="134">
        <f>IFERROR(__xludf.DUMMYFUNCTION("""COMPUTED_VALUE"""),15.0)</f>
        <v>15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IFERROR(__xludf.DUMMYFUNCTION("""COMPUTED_VALUE"""),"Naveen Raj")</f>
        <v>Naveen Raj</v>
      </c>
      <c r="C268" s="134">
        <f>IFERROR(__xludf.DUMMYFUNCTION("""COMPUTED_VALUE"""),6.0)</f>
        <v>6</v>
      </c>
      <c r="D268" s="134">
        <f>IFERROR(__xludf.DUMMYFUNCTION("""COMPUTED_VALUE"""),1.0)</f>
        <v>1</v>
      </c>
      <c r="E268" s="134">
        <f>IFERROR(__xludf.DUMMYFUNCTION("""COMPUTED_VALUE"""),6.0)</f>
        <v>6</v>
      </c>
      <c r="F268" s="134">
        <f>IFERROR(__xludf.DUMMYFUNCTION("""COMPUTED_VALUE"""),13.0)</f>
        <v>13</v>
      </c>
      <c r="G268" s="134">
        <f>IFERROR(__xludf.DUMMYFUNCTION("""COMPUTED_VALUE"""),2.0)</f>
        <v>2</v>
      </c>
    </row>
    <row r="269">
      <c r="A269" s="132">
        <f>IFERROR(__xludf.DUMMYFUNCTION("""COMPUTED_VALUE"""),8.0)</f>
        <v>8</v>
      </c>
      <c r="B269" s="133" t="str">
        <f>IFERROR(__xludf.DUMMYFUNCTION("""COMPUTED_VALUE"""),"Frank Moon")</f>
        <v>Frank Moon</v>
      </c>
      <c r="C269" s="134">
        <f>IFERROR(__xludf.DUMMYFUNCTION("""COMPUTED_VALUE"""),6.0)</f>
        <v>6</v>
      </c>
      <c r="D269" s="134">
        <f>IFERROR(__xludf.DUMMYFUNCTION("""COMPUTED_VALUE"""),6.0)</f>
        <v>6</v>
      </c>
      <c r="E269" s="134">
        <f>IFERROR(__xludf.DUMMYFUNCTION("""COMPUTED_VALUE"""),4.0)</f>
        <v>4</v>
      </c>
      <c r="F269" s="134">
        <f>IFERROR(__xludf.DUMMYFUNCTION("""COMPUTED_VALUE"""),16.0)</f>
        <v>16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IFERROR(__xludf.DUMMYFUNCTION("""COMPUTED_VALUE"""),"Eric Tan")</f>
        <v>Eric Tan</v>
      </c>
      <c r="C270" s="134">
        <f>IFERROR(__xludf.DUMMYFUNCTION("""COMPUTED_VALUE"""),3.0)</f>
        <v>3</v>
      </c>
      <c r="D270" s="134">
        <f>IFERROR(__xludf.DUMMYFUNCTION("""COMPUTED_VALUE"""),1.0)</f>
        <v>1</v>
      </c>
      <c r="E270" s="134">
        <f>IFERROR(__xludf.DUMMYFUNCTION("""COMPUTED_VALUE"""),4.0)</f>
        <v>4</v>
      </c>
      <c r="F270" s="134">
        <f>IFERROR(__xludf.DUMMYFUNCTION("""COMPUTED_VALUE"""),8.0)</f>
        <v>8</v>
      </c>
      <c r="G270" s="134">
        <f>IFERROR(__xludf.DUMMYFUNCTION("""COMPUTED_VALUE"""),0.0)</f>
        <v>0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46242.0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6.0</v>
      </c>
      <c r="E2" s="2"/>
      <c r="F2" s="2"/>
      <c r="R2" s="19"/>
      <c r="AC2" s="23" t="str">
        <f>TEXT(C1-7,"mm/dd/yy")</f>
        <v>08/01/26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80</v>
      </c>
      <c r="C5" s="37">
        <v>83.0</v>
      </c>
      <c r="D5" s="37">
        <v>9.0</v>
      </c>
      <c r="E5" s="42">
        <f t="shared" ref="E5:E71" si="2">if(S5&gt;0,(C5-(V5*9)-(T5*13))/S5,0)</f>
        <v>14.8</v>
      </c>
      <c r="F5" s="89">
        <v>2.0</v>
      </c>
      <c r="G5" s="90">
        <v>1.0</v>
      </c>
      <c r="H5" s="91">
        <v>0.0</v>
      </c>
      <c r="I5" s="90">
        <v>7.0</v>
      </c>
      <c r="J5" s="90">
        <v>6.0</v>
      </c>
      <c r="K5" s="90">
        <v>6.0</v>
      </c>
      <c r="L5" s="92">
        <v>19.0</v>
      </c>
      <c r="M5" s="90">
        <v>3.0</v>
      </c>
      <c r="N5" s="37">
        <f t="shared" ref="N5:O5" si="1">C5+L5</f>
        <v>102</v>
      </c>
      <c r="O5" s="37">
        <f t="shared" si="1"/>
        <v>12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5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1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52</v>
      </c>
      <c r="C6" s="37">
        <v>77.0</v>
      </c>
      <c r="D6" s="37">
        <v>8.0</v>
      </c>
      <c r="E6" s="42">
        <f t="shared" si="2"/>
        <v>12.8</v>
      </c>
      <c r="F6" s="89">
        <v>1.0</v>
      </c>
      <c r="G6" s="90">
        <v>1.0</v>
      </c>
      <c r="H6" s="91">
        <v>0.0</v>
      </c>
      <c r="I6" s="90">
        <v>5.0</v>
      </c>
      <c r="J6" s="90">
        <v>6.0</v>
      </c>
      <c r="K6" s="90">
        <v>3.0</v>
      </c>
      <c r="L6" s="92">
        <v>14.0</v>
      </c>
      <c r="M6" s="90">
        <v>1.0</v>
      </c>
      <c r="N6" s="37">
        <f t="shared" ref="N6:O6" si="3">C6+L6</f>
        <v>91</v>
      </c>
      <c r="O6" s="37">
        <f t="shared" si="3"/>
        <v>9</v>
      </c>
      <c r="P6" s="50" t="s">
        <v>60</v>
      </c>
      <c r="Q6" s="50" t="s">
        <v>60</v>
      </c>
      <c r="R6" s="50" t="s">
        <v>60</v>
      </c>
      <c r="S6" s="51">
        <f t="shared" si="4"/>
        <v>5</v>
      </c>
      <c r="T6" s="52">
        <f t="shared" si="5"/>
        <v>1</v>
      </c>
      <c r="U6" s="52"/>
      <c r="V6" s="51">
        <f t="shared" si="6"/>
        <v>0</v>
      </c>
      <c r="W6" s="52">
        <f t="shared" si="7"/>
        <v>5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131</v>
      </c>
      <c r="C7" s="37">
        <v>77.0</v>
      </c>
      <c r="D7" s="37">
        <v>8.0</v>
      </c>
      <c r="E7" s="42">
        <f t="shared" si="2"/>
        <v>12.8</v>
      </c>
      <c r="F7" s="89">
        <v>2.0</v>
      </c>
      <c r="G7" s="90">
        <v>1.0</v>
      </c>
      <c r="H7" s="91">
        <v>0.0</v>
      </c>
      <c r="I7" s="90">
        <v>5.0</v>
      </c>
      <c r="J7" s="90">
        <v>2.0</v>
      </c>
      <c r="K7" s="90">
        <v>6.0</v>
      </c>
      <c r="L7" s="92">
        <v>13.0</v>
      </c>
      <c r="M7" s="90">
        <v>1.0</v>
      </c>
      <c r="N7" s="37">
        <f t="shared" ref="N7:O7" si="11">C7+L7</f>
        <v>90</v>
      </c>
      <c r="O7" s="37">
        <f t="shared" si="11"/>
        <v>9</v>
      </c>
      <c r="P7" s="50" t="s">
        <v>60</v>
      </c>
      <c r="Q7" s="50" t="s">
        <v>60</v>
      </c>
      <c r="R7" s="50" t="s">
        <v>60</v>
      </c>
      <c r="S7" s="51">
        <f t="shared" si="4"/>
        <v>5</v>
      </c>
      <c r="T7" s="52">
        <f t="shared" si="5"/>
        <v>1</v>
      </c>
      <c r="U7" s="52"/>
      <c r="V7" s="51">
        <f t="shared" si="6"/>
        <v>0</v>
      </c>
      <c r="W7" s="52">
        <f t="shared" si="7"/>
        <v>-1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92</v>
      </c>
      <c r="C8" s="37">
        <v>76.0</v>
      </c>
      <c r="D8" s="37">
        <v>8.0</v>
      </c>
      <c r="E8" s="42">
        <f t="shared" si="2"/>
        <v>15</v>
      </c>
      <c r="F8" s="89">
        <v>3.0</v>
      </c>
      <c r="G8" s="90">
        <v>0.0</v>
      </c>
      <c r="H8" s="91">
        <v>9.0</v>
      </c>
      <c r="I8" s="90">
        <v>0.0</v>
      </c>
      <c r="J8" s="90">
        <v>0.0</v>
      </c>
      <c r="K8" s="90">
        <v>0.0</v>
      </c>
      <c r="L8" s="92">
        <v>9.0</v>
      </c>
      <c r="M8" s="90">
        <v>0.0</v>
      </c>
      <c r="N8" s="37">
        <f t="shared" ref="N8:O8" si="13">C8+L8</f>
        <v>85</v>
      </c>
      <c r="O8" s="37">
        <f t="shared" si="13"/>
        <v>8</v>
      </c>
      <c r="P8" s="50" t="s">
        <v>60</v>
      </c>
      <c r="Q8" s="50" t="s">
        <v>60</v>
      </c>
      <c r="R8" s="50" t="s">
        <v>60</v>
      </c>
      <c r="S8" s="51">
        <f t="shared" si="4"/>
        <v>3</v>
      </c>
      <c r="T8" s="52">
        <f t="shared" si="5"/>
        <v>1</v>
      </c>
      <c r="U8" s="52"/>
      <c r="V8" s="51">
        <f t="shared" si="6"/>
        <v>2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88</v>
      </c>
      <c r="C9" s="37">
        <v>75.0</v>
      </c>
      <c r="D9" s="37">
        <v>8.0</v>
      </c>
      <c r="E9" s="42">
        <f t="shared" si="2"/>
        <v>12.4</v>
      </c>
      <c r="F9" s="89">
        <v>1.0</v>
      </c>
      <c r="G9" s="90">
        <v>1.0</v>
      </c>
      <c r="H9" s="91">
        <v>0.0</v>
      </c>
      <c r="I9" s="90">
        <v>7.0</v>
      </c>
      <c r="J9" s="90">
        <v>2.0</v>
      </c>
      <c r="K9" s="90">
        <v>3.0</v>
      </c>
      <c r="L9" s="92">
        <v>12.0</v>
      </c>
      <c r="M9" s="90">
        <v>1.0</v>
      </c>
      <c r="N9" s="37">
        <f t="shared" ref="N9:O9" si="14">C9+L9</f>
        <v>87</v>
      </c>
      <c r="O9" s="37">
        <f t="shared" si="14"/>
        <v>9</v>
      </c>
      <c r="P9" s="50" t="s">
        <v>60</v>
      </c>
      <c r="Q9" s="50" t="s">
        <v>60</v>
      </c>
      <c r="R9" s="50" t="s">
        <v>60</v>
      </c>
      <c r="S9" s="51">
        <f t="shared" si="4"/>
        <v>5</v>
      </c>
      <c r="T9" s="52">
        <f t="shared" si="5"/>
        <v>1</v>
      </c>
      <c r="U9" s="52"/>
      <c r="V9" s="51">
        <f t="shared" si="6"/>
        <v>0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115</v>
      </c>
      <c r="C10" s="37">
        <v>72.0</v>
      </c>
      <c r="D10" s="37">
        <v>6.0</v>
      </c>
      <c r="E10" s="42">
        <f t="shared" si="2"/>
        <v>13.66666667</v>
      </c>
      <c r="F10" s="89">
        <v>3.0</v>
      </c>
      <c r="G10" s="90">
        <v>0.0</v>
      </c>
      <c r="H10" s="91">
        <v>9.0</v>
      </c>
      <c r="I10" s="90">
        <v>0.0</v>
      </c>
      <c r="J10" s="90">
        <v>0.0</v>
      </c>
      <c r="K10" s="90">
        <v>0.0</v>
      </c>
      <c r="L10" s="92">
        <v>9.0</v>
      </c>
      <c r="M10" s="90">
        <v>0.0</v>
      </c>
      <c r="N10" s="37">
        <f t="shared" ref="N10:O10" si="15">C10+L10</f>
        <v>81</v>
      </c>
      <c r="O10" s="37">
        <f t="shared" si="15"/>
        <v>6</v>
      </c>
      <c r="P10" s="50" t="s">
        <v>60</v>
      </c>
      <c r="Q10" s="50" t="s">
        <v>60</v>
      </c>
      <c r="R10" s="50" t="s">
        <v>60</v>
      </c>
      <c r="S10" s="51">
        <f t="shared" si="4"/>
        <v>3</v>
      </c>
      <c r="T10" s="52">
        <f t="shared" si="5"/>
        <v>1</v>
      </c>
      <c r="U10" s="52"/>
      <c r="V10" s="51">
        <f t="shared" si="6"/>
        <v>2</v>
      </c>
      <c r="W10" s="52">
        <f t="shared" si="7"/>
        <v>-3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140</v>
      </c>
      <c r="C11" s="37">
        <v>71.0</v>
      </c>
      <c r="D11" s="37">
        <v>8.0</v>
      </c>
      <c r="E11" s="42">
        <f t="shared" si="2"/>
        <v>11.83333333</v>
      </c>
      <c r="F11" s="89">
        <v>1.0</v>
      </c>
      <c r="G11" s="90">
        <v>2.0</v>
      </c>
      <c r="H11" s="91">
        <v>0.0</v>
      </c>
      <c r="I11" s="90">
        <v>4.0</v>
      </c>
      <c r="J11" s="90">
        <v>3.0</v>
      </c>
      <c r="K11" s="90">
        <v>6.0</v>
      </c>
      <c r="L11" s="92">
        <v>13.0</v>
      </c>
      <c r="M11" s="90">
        <v>1.0</v>
      </c>
      <c r="N11" s="37">
        <f t="shared" ref="N11:O11" si="16">C11+L11</f>
        <v>84</v>
      </c>
      <c r="O11" s="37">
        <f t="shared" si="16"/>
        <v>9</v>
      </c>
      <c r="P11" s="50" t="s">
        <v>60</v>
      </c>
      <c r="Q11" s="50" t="s">
        <v>60</v>
      </c>
      <c r="R11" s="50" t="s">
        <v>60</v>
      </c>
      <c r="S11" s="51">
        <f t="shared" si="4"/>
        <v>6</v>
      </c>
      <c r="T11" s="52">
        <f t="shared" si="5"/>
        <v>0</v>
      </c>
      <c r="U11" s="52"/>
      <c r="V11" s="51">
        <f t="shared" si="6"/>
        <v>0</v>
      </c>
      <c r="W11" s="52">
        <f t="shared" si="7"/>
        <v>1</v>
      </c>
      <c r="X11" s="35">
        <f t="shared" si="12"/>
        <v>7</v>
      </c>
      <c r="Y11" s="35" t="str">
        <f t="shared" si="8"/>
        <v>Y</v>
      </c>
      <c r="Z11" s="22" t="str">
        <f t="shared" si="9"/>
        <v/>
      </c>
    </row>
    <row r="12">
      <c r="A12" s="35">
        <f t="shared" si="10"/>
        <v>8</v>
      </c>
      <c r="B12" s="36" t="s">
        <v>107</v>
      </c>
      <c r="C12" s="37">
        <v>71.0</v>
      </c>
      <c r="D12" s="37">
        <v>5.0</v>
      </c>
      <c r="E12" s="42">
        <f t="shared" si="2"/>
        <v>11.25</v>
      </c>
      <c r="F12" s="89">
        <v>2.0</v>
      </c>
      <c r="G12" s="90">
        <v>2.0</v>
      </c>
      <c r="H12" s="91">
        <v>0.0</v>
      </c>
      <c r="I12" s="90">
        <v>6.0</v>
      </c>
      <c r="J12" s="90">
        <v>6.0</v>
      </c>
      <c r="K12" s="90">
        <v>6.0</v>
      </c>
      <c r="L12" s="92">
        <v>18.0</v>
      </c>
      <c r="M12" s="90">
        <v>3.0</v>
      </c>
      <c r="N12" s="37">
        <f t="shared" ref="N12:O12" si="17">C12+L12</f>
        <v>89</v>
      </c>
      <c r="O12" s="37">
        <f t="shared" si="17"/>
        <v>8</v>
      </c>
      <c r="P12" s="50" t="s">
        <v>60</v>
      </c>
      <c r="Q12" s="50" t="s">
        <v>60</v>
      </c>
      <c r="R12" s="50" t="s">
        <v>60</v>
      </c>
      <c r="S12" s="51">
        <f t="shared" si="4"/>
        <v>4</v>
      </c>
      <c r="T12" s="52">
        <f t="shared" si="5"/>
        <v>2</v>
      </c>
      <c r="U12" s="52"/>
      <c r="V12" s="51">
        <f t="shared" si="6"/>
        <v>0</v>
      </c>
      <c r="W12" s="52">
        <f t="shared" si="7"/>
        <v>-2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87</v>
      </c>
      <c r="C13" s="37">
        <v>70.0</v>
      </c>
      <c r="D13" s="37">
        <v>5.0</v>
      </c>
      <c r="E13" s="42">
        <f t="shared" si="2"/>
        <v>11.4</v>
      </c>
      <c r="F13" s="89">
        <v>1.0</v>
      </c>
      <c r="G13" s="90">
        <v>2.0</v>
      </c>
      <c r="H13" s="91">
        <v>0.0</v>
      </c>
      <c r="I13" s="90">
        <v>6.0</v>
      </c>
      <c r="J13" s="90">
        <v>3.0</v>
      </c>
      <c r="K13" s="90">
        <v>2.0</v>
      </c>
      <c r="L13" s="92">
        <v>11.0</v>
      </c>
      <c r="M13" s="90">
        <v>1.0</v>
      </c>
      <c r="N13" s="37">
        <f t="shared" ref="N13:O13" si="18">C13+L13</f>
        <v>81</v>
      </c>
      <c r="O13" s="37">
        <f t="shared" si="18"/>
        <v>6</v>
      </c>
      <c r="P13" s="50" t="s">
        <v>60</v>
      </c>
      <c r="Q13" s="50" t="s">
        <v>60</v>
      </c>
      <c r="R13" s="50" t="s">
        <v>60</v>
      </c>
      <c r="S13" s="51">
        <f t="shared" si="4"/>
        <v>5</v>
      </c>
      <c r="T13" s="52">
        <f t="shared" si="5"/>
        <v>1</v>
      </c>
      <c r="U13" s="52"/>
      <c r="V13" s="51">
        <f t="shared" si="6"/>
        <v>0</v>
      </c>
      <c r="W13" s="52">
        <f t="shared" si="7"/>
        <v>0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81</v>
      </c>
      <c r="C14" s="37">
        <v>69.0</v>
      </c>
      <c r="D14" s="37">
        <v>7.0</v>
      </c>
      <c r="E14" s="42">
        <f t="shared" si="2"/>
        <v>14</v>
      </c>
      <c r="F14" s="89">
        <v>4.0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78</v>
      </c>
      <c r="O14" s="37">
        <f t="shared" si="19"/>
        <v>7</v>
      </c>
      <c r="P14" s="50" t="s">
        <v>60</v>
      </c>
      <c r="Q14" s="50" t="s">
        <v>60</v>
      </c>
      <c r="R14" s="50" t="s">
        <v>60</v>
      </c>
      <c r="S14" s="51">
        <f t="shared" si="4"/>
        <v>3</v>
      </c>
      <c r="T14" s="52">
        <f t="shared" si="5"/>
        <v>0</v>
      </c>
      <c r="U14" s="52"/>
      <c r="V14" s="51">
        <f t="shared" si="6"/>
        <v>3</v>
      </c>
      <c r="W14" s="52">
        <f t="shared" si="7"/>
        <v>13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94</v>
      </c>
      <c r="C15" s="37">
        <v>67.0</v>
      </c>
      <c r="D15" s="37">
        <v>6.0</v>
      </c>
      <c r="E15" s="42">
        <f t="shared" si="2"/>
        <v>10.8</v>
      </c>
      <c r="F15" s="89">
        <v>2.0</v>
      </c>
      <c r="G15" s="90">
        <v>2.0</v>
      </c>
      <c r="H15" s="91">
        <v>0.0</v>
      </c>
      <c r="I15" s="90">
        <v>4.0</v>
      </c>
      <c r="J15" s="90">
        <v>6.0</v>
      </c>
      <c r="K15" s="90">
        <v>2.0</v>
      </c>
      <c r="L15" s="92">
        <v>12.0</v>
      </c>
      <c r="M15" s="90">
        <v>1.0</v>
      </c>
      <c r="N15" s="37">
        <f t="shared" ref="N15:O15" si="20">C15+L15</f>
        <v>79</v>
      </c>
      <c r="O15" s="37">
        <f t="shared" si="20"/>
        <v>7</v>
      </c>
      <c r="P15" s="50" t="s">
        <v>60</v>
      </c>
      <c r="Q15" s="50" t="s">
        <v>60</v>
      </c>
      <c r="R15" s="50" t="s">
        <v>60</v>
      </c>
      <c r="S15" s="51">
        <f t="shared" si="4"/>
        <v>5</v>
      </c>
      <c r="T15" s="52">
        <f t="shared" si="5"/>
        <v>1</v>
      </c>
      <c r="U15" s="52"/>
      <c r="V15" s="51">
        <f t="shared" si="6"/>
        <v>0</v>
      </c>
      <c r="W15" s="52">
        <f t="shared" si="7"/>
        <v>6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97</v>
      </c>
      <c r="C16" s="37">
        <v>66.0</v>
      </c>
      <c r="D16" s="37">
        <v>6.0</v>
      </c>
      <c r="E16" s="42">
        <f t="shared" si="2"/>
        <v>11</v>
      </c>
      <c r="F16" s="89">
        <v>1.0</v>
      </c>
      <c r="G16" s="90">
        <v>3.0</v>
      </c>
      <c r="H16" s="91">
        <v>0.0</v>
      </c>
      <c r="I16" s="90">
        <v>5.0</v>
      </c>
      <c r="J16" s="90">
        <v>6.0</v>
      </c>
      <c r="K16" s="90">
        <v>3.0</v>
      </c>
      <c r="L16" s="92">
        <v>14.0</v>
      </c>
      <c r="M16" s="90">
        <v>1.0</v>
      </c>
      <c r="N16" s="37">
        <f t="shared" ref="N16:O16" si="21">C16+L16</f>
        <v>80</v>
      </c>
      <c r="O16" s="37">
        <f t="shared" si="21"/>
        <v>7</v>
      </c>
      <c r="P16" s="50" t="s">
        <v>60</v>
      </c>
      <c r="Q16" s="50" t="s">
        <v>60</v>
      </c>
      <c r="R16" s="50" t="s">
        <v>60</v>
      </c>
      <c r="S16" s="51">
        <f t="shared" si="4"/>
        <v>6</v>
      </c>
      <c r="T16" s="52">
        <f t="shared" si="5"/>
        <v>0</v>
      </c>
      <c r="U16" s="52"/>
      <c r="V16" s="51">
        <f t="shared" si="6"/>
        <v>0</v>
      </c>
      <c r="W16" s="52">
        <f t="shared" si="7"/>
        <v>10</v>
      </c>
      <c r="X16" s="35">
        <f t="shared" si="12"/>
        <v>12</v>
      </c>
      <c r="Y16" s="35" t="str">
        <f t="shared" si="8"/>
        <v>Y</v>
      </c>
      <c r="Z16" s="22" t="str">
        <f t="shared" si="9"/>
        <v/>
      </c>
    </row>
    <row r="17">
      <c r="A17" s="35">
        <f t="shared" si="10"/>
        <v>13</v>
      </c>
      <c r="B17" s="36" t="s">
        <v>74</v>
      </c>
      <c r="C17" s="37">
        <v>66.0</v>
      </c>
      <c r="D17" s="37">
        <v>6.0</v>
      </c>
      <c r="E17" s="42">
        <f t="shared" si="2"/>
        <v>11</v>
      </c>
      <c r="F17" s="89">
        <v>1.0</v>
      </c>
      <c r="G17" s="90">
        <v>3.0</v>
      </c>
      <c r="H17" s="91">
        <v>0.0</v>
      </c>
      <c r="I17" s="90">
        <v>5.0</v>
      </c>
      <c r="J17" s="90">
        <v>4.0</v>
      </c>
      <c r="K17" s="90">
        <v>6.0</v>
      </c>
      <c r="L17" s="92">
        <v>15.0</v>
      </c>
      <c r="M17" s="90">
        <v>1.0</v>
      </c>
      <c r="N17" s="37">
        <f t="shared" ref="N17:O17" si="22">C17+L17</f>
        <v>81</v>
      </c>
      <c r="O17" s="37">
        <f t="shared" si="22"/>
        <v>7</v>
      </c>
      <c r="P17" s="50" t="s">
        <v>60</v>
      </c>
      <c r="Q17" s="50" t="s">
        <v>60</v>
      </c>
      <c r="R17" s="50" t="s">
        <v>60</v>
      </c>
      <c r="S17" s="51">
        <f t="shared" si="4"/>
        <v>4</v>
      </c>
      <c r="T17" s="52">
        <f t="shared" si="5"/>
        <v>1</v>
      </c>
      <c r="U17" s="52"/>
      <c r="V17" s="51">
        <f t="shared" si="6"/>
        <v>1</v>
      </c>
      <c r="W17" s="52">
        <f t="shared" si="7"/>
        <v>3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127</v>
      </c>
      <c r="C18" s="37">
        <v>66.0</v>
      </c>
      <c r="D18" s="37">
        <v>5.0</v>
      </c>
      <c r="E18" s="42">
        <f t="shared" si="2"/>
        <v>10</v>
      </c>
      <c r="F18" s="89">
        <v>1.0</v>
      </c>
      <c r="G18" s="90">
        <v>3.0</v>
      </c>
      <c r="H18" s="91">
        <v>0.0</v>
      </c>
      <c r="I18" s="90">
        <v>7.0</v>
      </c>
      <c r="J18" s="90">
        <v>4.0</v>
      </c>
      <c r="K18" s="90">
        <v>3.0</v>
      </c>
      <c r="L18" s="92">
        <v>14.0</v>
      </c>
      <c r="M18" s="90">
        <v>1.0</v>
      </c>
      <c r="N18" s="37">
        <f t="shared" ref="N18:O18" si="23">C18+L18</f>
        <v>80</v>
      </c>
      <c r="O18" s="37">
        <f t="shared" si="23"/>
        <v>6</v>
      </c>
      <c r="P18" s="50" t="s">
        <v>60</v>
      </c>
      <c r="Q18" s="50" t="s">
        <v>60</v>
      </c>
      <c r="R18" s="50" t="s">
        <v>60</v>
      </c>
      <c r="S18" s="51">
        <f t="shared" si="4"/>
        <v>4</v>
      </c>
      <c r="T18" s="52">
        <f t="shared" si="5"/>
        <v>2</v>
      </c>
      <c r="U18" s="52"/>
      <c r="V18" s="51">
        <f t="shared" si="6"/>
        <v>0</v>
      </c>
      <c r="W18" s="52">
        <f t="shared" si="7"/>
        <v>20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91</v>
      </c>
      <c r="C19" s="37">
        <v>66.0</v>
      </c>
      <c r="D19" s="37">
        <v>5.0</v>
      </c>
      <c r="E19" s="42">
        <f t="shared" si="2"/>
        <v>11</v>
      </c>
      <c r="F19" s="89">
        <v>1.0</v>
      </c>
      <c r="G19" s="90">
        <v>3.0</v>
      </c>
      <c r="H19" s="91">
        <v>0.0</v>
      </c>
      <c r="I19" s="90">
        <v>7.0</v>
      </c>
      <c r="J19" s="90">
        <v>6.0</v>
      </c>
      <c r="K19" s="90">
        <v>6.0</v>
      </c>
      <c r="L19" s="92">
        <v>19.0</v>
      </c>
      <c r="M19" s="90">
        <v>3.0</v>
      </c>
      <c r="N19" s="37">
        <f t="shared" ref="N19:O19" si="24">C19+L19</f>
        <v>85</v>
      </c>
      <c r="O19" s="37">
        <f t="shared" si="24"/>
        <v>8</v>
      </c>
      <c r="P19" s="50" t="s">
        <v>60</v>
      </c>
      <c r="Q19" s="50" t="s">
        <v>60</v>
      </c>
      <c r="R19" s="50" t="s">
        <v>60</v>
      </c>
      <c r="S19" s="51">
        <f t="shared" si="4"/>
        <v>4</v>
      </c>
      <c r="T19" s="52">
        <f t="shared" si="5"/>
        <v>1</v>
      </c>
      <c r="U19" s="52"/>
      <c r="V19" s="51">
        <f t="shared" si="6"/>
        <v>1</v>
      </c>
      <c r="W19" s="52">
        <f t="shared" si="7"/>
        <v>-2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93</v>
      </c>
      <c r="C20" s="37">
        <v>66.0</v>
      </c>
      <c r="D20" s="37">
        <v>4.0</v>
      </c>
      <c r="E20" s="42">
        <f t="shared" si="2"/>
        <v>10.33333333</v>
      </c>
      <c r="F20" s="89">
        <v>2.0</v>
      </c>
      <c r="G20" s="90">
        <v>4.0</v>
      </c>
      <c r="H20" s="91">
        <v>0.0</v>
      </c>
      <c r="I20" s="90">
        <v>6.0</v>
      </c>
      <c r="J20" s="90">
        <v>5.0</v>
      </c>
      <c r="K20" s="90">
        <v>3.0</v>
      </c>
      <c r="L20" s="92">
        <v>14.0</v>
      </c>
      <c r="M20" s="90">
        <v>1.0</v>
      </c>
      <c r="N20" s="37">
        <f t="shared" ref="N20:O20" si="25">C20+L20</f>
        <v>80</v>
      </c>
      <c r="O20" s="37">
        <f t="shared" si="25"/>
        <v>5</v>
      </c>
      <c r="P20" s="50" t="s">
        <v>60</v>
      </c>
      <c r="Q20" s="50" t="s">
        <v>60</v>
      </c>
      <c r="R20" s="50" t="s">
        <v>60</v>
      </c>
      <c r="S20" s="51">
        <f t="shared" si="4"/>
        <v>3</v>
      </c>
      <c r="T20" s="52">
        <f t="shared" si="5"/>
        <v>2</v>
      </c>
      <c r="U20" s="52"/>
      <c r="V20" s="51">
        <f t="shared" si="6"/>
        <v>1</v>
      </c>
      <c r="W20" s="52">
        <f t="shared" si="7"/>
        <v>-2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108</v>
      </c>
      <c r="C21" s="37">
        <v>66.0</v>
      </c>
      <c r="D21" s="37">
        <v>4.0</v>
      </c>
      <c r="E21" s="42">
        <f t="shared" si="2"/>
        <v>10</v>
      </c>
      <c r="F21" s="89">
        <v>2.0</v>
      </c>
      <c r="G21" s="90">
        <v>4.0</v>
      </c>
      <c r="H21" s="91">
        <v>0.0</v>
      </c>
      <c r="I21" s="90">
        <v>3.0</v>
      </c>
      <c r="J21" s="90">
        <v>7.0</v>
      </c>
      <c r="K21" s="90">
        <v>3.0</v>
      </c>
      <c r="L21" s="92">
        <v>13.0</v>
      </c>
      <c r="M21" s="90">
        <v>1.0</v>
      </c>
      <c r="N21" s="37">
        <f t="shared" ref="N21:O21" si="26">C21+L21</f>
        <v>79</v>
      </c>
      <c r="O21" s="37">
        <f t="shared" si="26"/>
        <v>5</v>
      </c>
      <c r="P21" s="50" t="s">
        <v>60</v>
      </c>
      <c r="Q21" s="50" t="s">
        <v>60</v>
      </c>
      <c r="R21" s="50" t="s">
        <v>60</v>
      </c>
      <c r="S21" s="51">
        <f t="shared" si="4"/>
        <v>4</v>
      </c>
      <c r="T21" s="52">
        <f t="shared" si="5"/>
        <v>2</v>
      </c>
      <c r="U21" s="52"/>
      <c r="V21" s="51">
        <f t="shared" si="6"/>
        <v>0</v>
      </c>
      <c r="W21" s="52">
        <f t="shared" si="7"/>
        <v>-2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122</v>
      </c>
      <c r="C22" s="37">
        <v>65.0</v>
      </c>
      <c r="D22" s="37">
        <v>7.0</v>
      </c>
      <c r="E22" s="42">
        <f t="shared" si="2"/>
        <v>12.66666667</v>
      </c>
      <c r="F22" s="89">
        <v>3.0</v>
      </c>
      <c r="G22" s="90">
        <v>0.0</v>
      </c>
      <c r="H22" s="91">
        <v>9.0</v>
      </c>
      <c r="I22" s="90">
        <v>0.0</v>
      </c>
      <c r="J22" s="90">
        <v>0.0</v>
      </c>
      <c r="K22" s="90">
        <v>0.0</v>
      </c>
      <c r="L22" s="92">
        <v>9.0</v>
      </c>
      <c r="M22" s="90">
        <v>0.0</v>
      </c>
      <c r="N22" s="37">
        <f t="shared" ref="N22:O22" si="27">C22+L22</f>
        <v>74</v>
      </c>
      <c r="O22" s="37">
        <f t="shared" si="27"/>
        <v>7</v>
      </c>
      <c r="P22" s="50" t="s">
        <v>60</v>
      </c>
      <c r="Q22" s="50" t="s">
        <v>60</v>
      </c>
      <c r="R22" s="50" t="s">
        <v>60</v>
      </c>
      <c r="S22" s="51">
        <f t="shared" si="4"/>
        <v>3</v>
      </c>
      <c r="T22" s="52">
        <f t="shared" si="5"/>
        <v>0</v>
      </c>
      <c r="U22" s="52"/>
      <c r="V22" s="51">
        <f t="shared" si="6"/>
        <v>3</v>
      </c>
      <c r="W22" s="52">
        <f t="shared" si="7"/>
        <v>9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113</v>
      </c>
      <c r="C23" s="37">
        <v>65.0</v>
      </c>
      <c r="D23" s="37">
        <v>4.0</v>
      </c>
      <c r="E23" s="42">
        <f t="shared" si="2"/>
        <v>11.33333333</v>
      </c>
      <c r="F23" s="89">
        <v>1.0</v>
      </c>
      <c r="G23" s="90">
        <v>4.0</v>
      </c>
      <c r="H23" s="91">
        <v>0.0</v>
      </c>
      <c r="I23" s="90">
        <v>3.0</v>
      </c>
      <c r="J23" s="90">
        <v>5.0</v>
      </c>
      <c r="K23" s="90">
        <v>6.0</v>
      </c>
      <c r="L23" s="92">
        <v>14.0</v>
      </c>
      <c r="M23" s="90">
        <v>1.0</v>
      </c>
      <c r="N23" s="37">
        <f t="shared" ref="N23:O23" si="28">C23+L23</f>
        <v>79</v>
      </c>
      <c r="O23" s="37">
        <f t="shared" si="28"/>
        <v>5</v>
      </c>
      <c r="P23" s="50" t="s">
        <v>60</v>
      </c>
      <c r="Q23" s="50" t="s">
        <v>60</v>
      </c>
      <c r="R23" s="50" t="s">
        <v>60</v>
      </c>
      <c r="S23" s="51">
        <f t="shared" si="4"/>
        <v>3</v>
      </c>
      <c r="T23" s="52">
        <f t="shared" si="5"/>
        <v>1</v>
      </c>
      <c r="U23" s="52"/>
      <c r="V23" s="51">
        <f t="shared" si="6"/>
        <v>2</v>
      </c>
      <c r="W23" s="52">
        <f t="shared" si="7"/>
        <v>6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98</v>
      </c>
      <c r="C24" s="37">
        <v>64.0</v>
      </c>
      <c r="D24" s="37">
        <v>6.0</v>
      </c>
      <c r="E24" s="42">
        <f t="shared" si="2"/>
        <v>10.66666667</v>
      </c>
      <c r="F24" s="89">
        <v>1.0</v>
      </c>
      <c r="G24" s="90">
        <v>4.0</v>
      </c>
      <c r="H24" s="91">
        <v>0.0</v>
      </c>
      <c r="I24" s="90">
        <v>6.0</v>
      </c>
      <c r="J24" s="90">
        <v>7.0</v>
      </c>
      <c r="K24" s="90">
        <v>6.0</v>
      </c>
      <c r="L24" s="92">
        <v>19.0</v>
      </c>
      <c r="M24" s="90">
        <v>3.0</v>
      </c>
      <c r="N24" s="37">
        <f t="shared" ref="N24:O24" si="29">C24+L24</f>
        <v>83</v>
      </c>
      <c r="O24" s="37">
        <f t="shared" si="29"/>
        <v>9</v>
      </c>
      <c r="P24" s="50" t="s">
        <v>60</v>
      </c>
      <c r="Q24" s="50" t="s">
        <v>60</v>
      </c>
      <c r="R24" s="50" t="s">
        <v>60</v>
      </c>
      <c r="S24" s="51">
        <f t="shared" si="4"/>
        <v>6</v>
      </c>
      <c r="T24" s="52">
        <f t="shared" si="5"/>
        <v>0</v>
      </c>
      <c r="U24" s="52"/>
      <c r="V24" s="51">
        <f t="shared" si="6"/>
        <v>0</v>
      </c>
      <c r="W24" s="52">
        <f t="shared" si="7"/>
        <v>1</v>
      </c>
      <c r="X24" s="35">
        <f t="shared" si="12"/>
        <v>20</v>
      </c>
      <c r="Y24" s="35" t="str">
        <f t="shared" si="8"/>
        <v>Y</v>
      </c>
      <c r="Z24" s="22" t="str">
        <f t="shared" si="9"/>
        <v/>
      </c>
    </row>
    <row r="25">
      <c r="A25" s="35">
        <f t="shared" si="10"/>
        <v>21</v>
      </c>
      <c r="B25" s="36" t="s">
        <v>111</v>
      </c>
      <c r="C25" s="37">
        <v>64.0</v>
      </c>
      <c r="D25" s="37">
        <v>4.0</v>
      </c>
      <c r="E25" s="42">
        <f t="shared" si="2"/>
        <v>11.5</v>
      </c>
      <c r="F25" s="89">
        <v>1.0</v>
      </c>
      <c r="G25" s="90">
        <v>5.0</v>
      </c>
      <c r="H25" s="91">
        <v>0.0</v>
      </c>
      <c r="I25" s="90">
        <v>4.0</v>
      </c>
      <c r="J25" s="90">
        <v>3.0</v>
      </c>
      <c r="K25" s="90">
        <v>6.0</v>
      </c>
      <c r="L25" s="92">
        <v>13.0</v>
      </c>
      <c r="M25" s="90">
        <v>1.0</v>
      </c>
      <c r="N25" s="37">
        <f t="shared" ref="N25:O25" si="30">C25+L25</f>
        <v>77</v>
      </c>
      <c r="O25" s="37">
        <f t="shared" si="30"/>
        <v>5</v>
      </c>
      <c r="P25" s="50" t="s">
        <v>60</v>
      </c>
      <c r="Q25" s="50" t="s">
        <v>60</v>
      </c>
      <c r="R25" s="50" t="s">
        <v>60</v>
      </c>
      <c r="S25" s="51">
        <f t="shared" si="4"/>
        <v>4</v>
      </c>
      <c r="T25" s="52">
        <f t="shared" si="5"/>
        <v>0</v>
      </c>
      <c r="U25" s="52"/>
      <c r="V25" s="51">
        <f t="shared" si="6"/>
        <v>2</v>
      </c>
      <c r="W25" s="52">
        <f t="shared" si="7"/>
        <v>-11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126</v>
      </c>
      <c r="C26" s="37">
        <v>64.0</v>
      </c>
      <c r="D26" s="37">
        <v>4.0</v>
      </c>
      <c r="E26" s="42">
        <f t="shared" si="2"/>
        <v>11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73</v>
      </c>
      <c r="O26" s="37">
        <f t="shared" si="31"/>
        <v>4</v>
      </c>
      <c r="P26" s="50" t="s">
        <v>60</v>
      </c>
      <c r="Q26" s="50" t="s">
        <v>60</v>
      </c>
      <c r="R26" s="50" t="s">
        <v>60</v>
      </c>
      <c r="S26" s="51">
        <f t="shared" si="4"/>
        <v>3</v>
      </c>
      <c r="T26" s="52">
        <f t="shared" si="5"/>
        <v>1</v>
      </c>
      <c r="U26" s="52"/>
      <c r="V26" s="51">
        <f t="shared" si="6"/>
        <v>2</v>
      </c>
      <c r="W26" s="52">
        <f t="shared" si="7"/>
        <v>-11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85</v>
      </c>
      <c r="C27" s="37">
        <v>63.0</v>
      </c>
      <c r="D27" s="37">
        <v>7.0</v>
      </c>
      <c r="E27" s="42">
        <f t="shared" si="2"/>
        <v>11.25</v>
      </c>
      <c r="F27" s="89">
        <v>1.0</v>
      </c>
      <c r="G27" s="90">
        <v>5.0</v>
      </c>
      <c r="H27" s="91">
        <v>0.0</v>
      </c>
      <c r="I27" s="90">
        <v>6.0</v>
      </c>
      <c r="J27" s="90">
        <v>6.0</v>
      </c>
      <c r="K27" s="90">
        <v>6.0</v>
      </c>
      <c r="L27" s="92">
        <v>18.0</v>
      </c>
      <c r="M27" s="90">
        <v>3.0</v>
      </c>
      <c r="N27" s="37">
        <f t="shared" ref="N27:O27" si="32">C27+L27</f>
        <v>81</v>
      </c>
      <c r="O27" s="37">
        <f t="shared" si="32"/>
        <v>10</v>
      </c>
      <c r="P27" s="50" t="s">
        <v>60</v>
      </c>
      <c r="Q27" s="50" t="s">
        <v>60</v>
      </c>
      <c r="R27" s="50" t="s">
        <v>60</v>
      </c>
      <c r="S27" s="51">
        <f t="shared" si="4"/>
        <v>4</v>
      </c>
      <c r="T27" s="52">
        <f t="shared" si="5"/>
        <v>0</v>
      </c>
      <c r="U27" s="52"/>
      <c r="V27" s="51">
        <f t="shared" si="6"/>
        <v>2</v>
      </c>
      <c r="W27" s="52">
        <f t="shared" si="7"/>
        <v>3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68</v>
      </c>
      <c r="C28" s="37">
        <v>63.0</v>
      </c>
      <c r="D28" s="37">
        <v>6.0</v>
      </c>
      <c r="E28" s="42">
        <f t="shared" si="2"/>
        <v>12</v>
      </c>
      <c r="F28" s="89">
        <v>3.0</v>
      </c>
      <c r="G28" s="90">
        <v>0.0</v>
      </c>
      <c r="H28" s="91">
        <v>9.0</v>
      </c>
      <c r="I28" s="90">
        <v>0.0</v>
      </c>
      <c r="J28" s="90">
        <v>0.0</v>
      </c>
      <c r="K28" s="90">
        <v>0.0</v>
      </c>
      <c r="L28" s="92">
        <v>9.0</v>
      </c>
      <c r="M28" s="90">
        <v>0.0</v>
      </c>
      <c r="N28" s="37">
        <f t="shared" ref="N28:O28" si="33">C28+L28</f>
        <v>72</v>
      </c>
      <c r="O28" s="37">
        <f t="shared" si="33"/>
        <v>6</v>
      </c>
      <c r="P28" s="50" t="s">
        <v>60</v>
      </c>
      <c r="Q28" s="50" t="s">
        <v>60</v>
      </c>
      <c r="R28" s="50" t="s">
        <v>60</v>
      </c>
      <c r="S28" s="51">
        <f t="shared" si="4"/>
        <v>3</v>
      </c>
      <c r="T28" s="52">
        <f t="shared" si="5"/>
        <v>0</v>
      </c>
      <c r="U28" s="52"/>
      <c r="V28" s="51">
        <f t="shared" si="6"/>
        <v>3</v>
      </c>
      <c r="W28" s="52">
        <f t="shared" si="7"/>
        <v>-12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118</v>
      </c>
      <c r="C29" s="37">
        <v>63.0</v>
      </c>
      <c r="D29" s="37">
        <v>6.0</v>
      </c>
      <c r="E29" s="42">
        <f t="shared" si="2"/>
        <v>10</v>
      </c>
      <c r="F29" s="89">
        <v>1.0</v>
      </c>
      <c r="G29" s="90">
        <v>5.0</v>
      </c>
      <c r="H29" s="91">
        <v>0.0</v>
      </c>
      <c r="I29" s="90">
        <v>6.0</v>
      </c>
      <c r="J29" s="90">
        <v>3.0</v>
      </c>
      <c r="K29" s="90">
        <v>1.0</v>
      </c>
      <c r="L29" s="92">
        <v>10.0</v>
      </c>
      <c r="M29" s="90">
        <v>1.0</v>
      </c>
      <c r="N29" s="37">
        <f t="shared" ref="N29:O29" si="34">C29+L29</f>
        <v>73</v>
      </c>
      <c r="O29" s="37">
        <f t="shared" si="34"/>
        <v>7</v>
      </c>
      <c r="P29" s="50" t="s">
        <v>60</v>
      </c>
      <c r="Q29" s="50" t="s">
        <v>60</v>
      </c>
      <c r="R29" s="50" t="s">
        <v>60</v>
      </c>
      <c r="S29" s="51">
        <f t="shared" si="4"/>
        <v>5</v>
      </c>
      <c r="T29" s="52">
        <f t="shared" si="5"/>
        <v>1</v>
      </c>
      <c r="U29" s="52"/>
      <c r="V29" s="51">
        <f t="shared" si="6"/>
        <v>0</v>
      </c>
      <c r="W29" s="52">
        <f t="shared" si="7"/>
        <v>-6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101</v>
      </c>
      <c r="C30" s="37">
        <v>62.0</v>
      </c>
      <c r="D30" s="37">
        <v>7.0</v>
      </c>
      <c r="E30" s="42">
        <f t="shared" si="2"/>
        <v>10.33333333</v>
      </c>
      <c r="F30" s="89">
        <v>1.0</v>
      </c>
      <c r="G30" s="90">
        <v>5.0</v>
      </c>
      <c r="H30" s="91">
        <v>0.0</v>
      </c>
      <c r="I30" s="90">
        <v>4.0</v>
      </c>
      <c r="J30" s="90">
        <v>6.0</v>
      </c>
      <c r="K30" s="90">
        <v>1.0</v>
      </c>
      <c r="L30" s="92">
        <v>11.0</v>
      </c>
      <c r="M30" s="90">
        <v>1.0</v>
      </c>
      <c r="N30" s="37">
        <f t="shared" ref="N30:O30" si="35">C30+L30</f>
        <v>73</v>
      </c>
      <c r="O30" s="37">
        <f t="shared" si="35"/>
        <v>8</v>
      </c>
      <c r="P30" s="50" t="s">
        <v>60</v>
      </c>
      <c r="Q30" s="50" t="s">
        <v>60</v>
      </c>
      <c r="R30" s="50" t="s">
        <v>60</v>
      </c>
      <c r="S30" s="51">
        <f t="shared" si="4"/>
        <v>6</v>
      </c>
      <c r="T30" s="52">
        <f t="shared" si="5"/>
        <v>0</v>
      </c>
      <c r="U30" s="52"/>
      <c r="V30" s="51">
        <f t="shared" si="6"/>
        <v>0</v>
      </c>
      <c r="W30" s="52">
        <f t="shared" si="7"/>
        <v>18</v>
      </c>
      <c r="X30" s="35">
        <f t="shared" si="12"/>
        <v>26</v>
      </c>
      <c r="Y30" s="35" t="str">
        <f t="shared" si="8"/>
        <v>Y</v>
      </c>
      <c r="Z30" s="22" t="str">
        <f t="shared" si="9"/>
        <v/>
      </c>
    </row>
    <row r="31">
      <c r="A31" s="35">
        <f t="shared" si="10"/>
        <v>27</v>
      </c>
      <c r="B31" s="36" t="s">
        <v>100</v>
      </c>
      <c r="C31" s="37">
        <v>61.0</v>
      </c>
      <c r="D31" s="37">
        <v>4.0</v>
      </c>
      <c r="E31" s="42">
        <f t="shared" si="2"/>
        <v>10.4</v>
      </c>
      <c r="F31" s="89">
        <v>2.0</v>
      </c>
      <c r="G31" s="90">
        <v>6.0</v>
      </c>
      <c r="H31" s="91">
        <v>0.0</v>
      </c>
      <c r="I31" s="90">
        <v>6.0</v>
      </c>
      <c r="J31" s="90">
        <v>4.0</v>
      </c>
      <c r="K31" s="90">
        <v>2.0</v>
      </c>
      <c r="L31" s="92">
        <v>12.0</v>
      </c>
      <c r="M31" s="90">
        <v>1.0</v>
      </c>
      <c r="N31" s="37">
        <f t="shared" ref="N31:O31" si="36">C31+L31</f>
        <v>73</v>
      </c>
      <c r="O31" s="37">
        <f t="shared" si="36"/>
        <v>5</v>
      </c>
      <c r="P31" s="50" t="s">
        <v>60</v>
      </c>
      <c r="Q31" s="50" t="s">
        <v>60</v>
      </c>
      <c r="R31" s="50" t="s">
        <v>60</v>
      </c>
      <c r="S31" s="51">
        <f t="shared" si="4"/>
        <v>5</v>
      </c>
      <c r="T31" s="52">
        <f t="shared" si="5"/>
        <v>0</v>
      </c>
      <c r="U31" s="52"/>
      <c r="V31" s="51">
        <f t="shared" si="6"/>
        <v>1</v>
      </c>
      <c r="W31" s="52">
        <f t="shared" si="7"/>
        <v>6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67</v>
      </c>
      <c r="C32" s="37">
        <v>59.0</v>
      </c>
      <c r="D32" s="37">
        <v>6.0</v>
      </c>
      <c r="E32" s="42">
        <f t="shared" si="2"/>
        <v>9.833333333</v>
      </c>
      <c r="F32" s="89">
        <v>1.0</v>
      </c>
      <c r="G32" s="90">
        <v>6.0</v>
      </c>
      <c r="H32" s="91">
        <v>0.0</v>
      </c>
      <c r="I32" s="90">
        <v>0.0</v>
      </c>
      <c r="J32" s="90">
        <v>4.0</v>
      </c>
      <c r="K32" s="90">
        <v>6.0</v>
      </c>
      <c r="L32" s="92">
        <v>10.0</v>
      </c>
      <c r="M32" s="90">
        <v>1.0</v>
      </c>
      <c r="N32" s="37">
        <f t="shared" ref="N32:O32" si="37">C32+L32</f>
        <v>69</v>
      </c>
      <c r="O32" s="37">
        <f t="shared" si="37"/>
        <v>7</v>
      </c>
      <c r="P32" s="50" t="s">
        <v>60</v>
      </c>
      <c r="Q32" s="50" t="s">
        <v>60</v>
      </c>
      <c r="R32" s="50" t="s">
        <v>60</v>
      </c>
      <c r="S32" s="51">
        <f t="shared" si="4"/>
        <v>6</v>
      </c>
      <c r="T32" s="52">
        <f t="shared" si="5"/>
        <v>0</v>
      </c>
      <c r="U32" s="52"/>
      <c r="V32" s="51">
        <f t="shared" si="6"/>
        <v>0</v>
      </c>
      <c r="W32" s="52">
        <f t="shared" si="7"/>
        <v>4</v>
      </c>
      <c r="X32" s="35">
        <f t="shared" si="12"/>
        <v>28</v>
      </c>
      <c r="Y32" s="35" t="str">
        <f t="shared" si="8"/>
        <v>Y</v>
      </c>
      <c r="Z32" s="22" t="str">
        <f t="shared" si="9"/>
        <v/>
      </c>
    </row>
    <row r="33">
      <c r="A33" s="35">
        <f t="shared" si="10"/>
        <v>29</v>
      </c>
      <c r="B33" s="36" t="s">
        <v>121</v>
      </c>
      <c r="C33" s="37">
        <v>59.0</v>
      </c>
      <c r="D33" s="37">
        <v>5.0</v>
      </c>
      <c r="E33" s="42">
        <f t="shared" si="2"/>
        <v>10.66666667</v>
      </c>
      <c r="F33" s="89">
        <v>2.0</v>
      </c>
      <c r="G33" s="90">
        <v>6.0</v>
      </c>
      <c r="H33" s="91">
        <v>0.0</v>
      </c>
      <c r="I33" s="90">
        <v>6.0</v>
      </c>
      <c r="J33" s="90">
        <v>6.0</v>
      </c>
      <c r="K33" s="90">
        <v>6.0</v>
      </c>
      <c r="L33" s="92">
        <v>18.0</v>
      </c>
      <c r="M33" s="90">
        <v>3.0</v>
      </c>
      <c r="N33" s="37">
        <f t="shared" ref="N33:O33" si="38">C33+L33</f>
        <v>77</v>
      </c>
      <c r="O33" s="37">
        <f t="shared" si="38"/>
        <v>8</v>
      </c>
      <c r="P33" s="50" t="s">
        <v>60</v>
      </c>
      <c r="Q33" s="50" t="s">
        <v>60</v>
      </c>
      <c r="R33" s="50" t="s">
        <v>60</v>
      </c>
      <c r="S33" s="51">
        <f t="shared" si="4"/>
        <v>3</v>
      </c>
      <c r="T33" s="52">
        <f t="shared" si="5"/>
        <v>0</v>
      </c>
      <c r="U33" s="52"/>
      <c r="V33" s="51">
        <f t="shared" si="6"/>
        <v>3</v>
      </c>
      <c r="W33" s="52">
        <f t="shared" si="7"/>
        <v>-9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130</v>
      </c>
      <c r="C34" s="37">
        <v>59.0</v>
      </c>
      <c r="D34" s="37">
        <v>4.0</v>
      </c>
      <c r="E34" s="42">
        <f t="shared" si="2"/>
        <v>9.5</v>
      </c>
      <c r="F34" s="89">
        <v>3.0</v>
      </c>
      <c r="G34" s="90">
        <v>0.0</v>
      </c>
      <c r="H34" s="91">
        <v>9.0</v>
      </c>
      <c r="I34" s="90">
        <v>0.0</v>
      </c>
      <c r="J34" s="90">
        <v>0.0</v>
      </c>
      <c r="K34" s="90">
        <v>0.0</v>
      </c>
      <c r="L34" s="92">
        <v>9.0</v>
      </c>
      <c r="M34" s="90">
        <v>0.0</v>
      </c>
      <c r="N34" s="37">
        <f t="shared" ref="N34:O34" si="39">C34+L34</f>
        <v>68</v>
      </c>
      <c r="O34" s="37">
        <f t="shared" si="39"/>
        <v>4</v>
      </c>
      <c r="P34" s="50" t="s">
        <v>60</v>
      </c>
      <c r="Q34" s="50" t="s">
        <v>60</v>
      </c>
      <c r="R34" s="50" t="s">
        <v>60</v>
      </c>
      <c r="S34" s="51">
        <f t="shared" si="4"/>
        <v>2</v>
      </c>
      <c r="T34" s="52">
        <f t="shared" si="5"/>
        <v>1</v>
      </c>
      <c r="U34" s="52"/>
      <c r="V34" s="51">
        <f t="shared" si="6"/>
        <v>3</v>
      </c>
      <c r="W34" s="52">
        <f t="shared" si="7"/>
        <v>-6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105</v>
      </c>
      <c r="C35" s="37">
        <v>59.0</v>
      </c>
      <c r="D35" s="37">
        <v>2.0</v>
      </c>
      <c r="E35" s="42">
        <f t="shared" si="2"/>
        <v>8</v>
      </c>
      <c r="F35" s="89">
        <v>1.0</v>
      </c>
      <c r="G35" s="90">
        <v>6.0</v>
      </c>
      <c r="H35" s="91">
        <v>0.0</v>
      </c>
      <c r="I35" s="90">
        <v>0.0</v>
      </c>
      <c r="J35" s="90">
        <v>6.0</v>
      </c>
      <c r="K35" s="90">
        <v>2.0</v>
      </c>
      <c r="L35" s="92">
        <v>8.0</v>
      </c>
      <c r="M35" s="90">
        <v>1.0</v>
      </c>
      <c r="N35" s="37">
        <f t="shared" ref="N35:O35" si="40">C35+L35</f>
        <v>67</v>
      </c>
      <c r="O35" s="37">
        <f t="shared" si="40"/>
        <v>3</v>
      </c>
      <c r="P35" s="50" t="s">
        <v>60</v>
      </c>
      <c r="Q35" s="50" t="s">
        <v>60</v>
      </c>
      <c r="R35" s="50" t="s">
        <v>60</v>
      </c>
      <c r="S35" s="51">
        <f t="shared" si="4"/>
        <v>3</v>
      </c>
      <c r="T35" s="52">
        <f t="shared" si="5"/>
        <v>2</v>
      </c>
      <c r="U35" s="52"/>
      <c r="V35" s="51">
        <f t="shared" si="6"/>
        <v>1</v>
      </c>
      <c r="W35" s="52">
        <f t="shared" si="7"/>
        <v>-13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133</v>
      </c>
      <c r="C36" s="37">
        <v>59.0</v>
      </c>
      <c r="D36" s="37">
        <v>2.0</v>
      </c>
      <c r="E36" s="42">
        <f t="shared" si="2"/>
        <v>9.5</v>
      </c>
      <c r="F36" s="89">
        <v>3.0</v>
      </c>
      <c r="G36" s="90">
        <v>0.0</v>
      </c>
      <c r="H36" s="91">
        <v>9.0</v>
      </c>
      <c r="I36" s="90">
        <v>0.0</v>
      </c>
      <c r="J36" s="90">
        <v>0.0</v>
      </c>
      <c r="K36" s="90">
        <v>0.0</v>
      </c>
      <c r="L36" s="92">
        <v>9.0</v>
      </c>
      <c r="M36" s="90">
        <v>0.0</v>
      </c>
      <c r="N36" s="37">
        <f t="shared" ref="N36:O36" si="41">C36+L36</f>
        <v>68</v>
      </c>
      <c r="O36" s="37">
        <f t="shared" si="41"/>
        <v>2</v>
      </c>
      <c r="P36" s="50" t="s">
        <v>60</v>
      </c>
      <c r="Q36" s="50" t="s">
        <v>60</v>
      </c>
      <c r="R36" s="50" t="s">
        <v>60</v>
      </c>
      <c r="S36" s="51">
        <f t="shared" si="4"/>
        <v>2</v>
      </c>
      <c r="T36" s="52">
        <f t="shared" si="5"/>
        <v>1</v>
      </c>
      <c r="U36" s="52"/>
      <c r="V36" s="51">
        <f t="shared" si="6"/>
        <v>3</v>
      </c>
      <c r="W36" s="52">
        <f t="shared" si="7"/>
        <v>7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117</v>
      </c>
      <c r="C37" s="37">
        <v>58.0</v>
      </c>
      <c r="D37" s="37">
        <v>4.0</v>
      </c>
      <c r="E37" s="42">
        <f t="shared" si="2"/>
        <v>10</v>
      </c>
      <c r="F37" s="89">
        <v>1.0</v>
      </c>
      <c r="G37" s="90">
        <v>7.0</v>
      </c>
      <c r="H37" s="91">
        <v>0.0</v>
      </c>
      <c r="I37" s="90">
        <v>6.0</v>
      </c>
      <c r="J37" s="90">
        <v>0.0</v>
      </c>
      <c r="K37" s="90">
        <v>3.0</v>
      </c>
      <c r="L37" s="92">
        <v>9.0</v>
      </c>
      <c r="M37" s="90">
        <v>1.0</v>
      </c>
      <c r="N37" s="37">
        <f t="shared" ref="N37:O37" si="42">C37+L37</f>
        <v>67</v>
      </c>
      <c r="O37" s="37">
        <f t="shared" si="42"/>
        <v>5</v>
      </c>
      <c r="P37" s="50" t="s">
        <v>60</v>
      </c>
      <c r="Q37" s="50" t="s">
        <v>60</v>
      </c>
      <c r="R37" s="50" t="s">
        <v>60</v>
      </c>
      <c r="S37" s="51">
        <f t="shared" si="4"/>
        <v>4</v>
      </c>
      <c r="T37" s="52">
        <f t="shared" si="5"/>
        <v>0</v>
      </c>
      <c r="U37" s="52"/>
      <c r="V37" s="51">
        <f t="shared" si="6"/>
        <v>2</v>
      </c>
      <c r="W37" s="52">
        <f t="shared" si="7"/>
        <v>5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136</v>
      </c>
      <c r="C38" s="37">
        <v>58.0</v>
      </c>
      <c r="D38" s="37">
        <v>4.0</v>
      </c>
      <c r="E38" s="42">
        <f t="shared" si="2"/>
        <v>9.8</v>
      </c>
      <c r="F38" s="89">
        <v>2.0</v>
      </c>
      <c r="G38" s="90">
        <v>7.0</v>
      </c>
      <c r="H38" s="91">
        <v>0.0</v>
      </c>
      <c r="I38" s="90">
        <v>2.0</v>
      </c>
      <c r="J38" s="90">
        <v>6.0</v>
      </c>
      <c r="K38" s="90">
        <v>3.0</v>
      </c>
      <c r="L38" s="92">
        <v>11.0</v>
      </c>
      <c r="M38" s="90">
        <v>1.0</v>
      </c>
      <c r="N38" s="37">
        <f t="shared" ref="N38:O38" si="43">C38+L38</f>
        <v>69</v>
      </c>
      <c r="O38" s="37">
        <f t="shared" si="43"/>
        <v>5</v>
      </c>
      <c r="P38" s="50" t="s">
        <v>60</v>
      </c>
      <c r="Q38" s="50" t="s">
        <v>60</v>
      </c>
      <c r="R38" s="50" t="s">
        <v>60</v>
      </c>
      <c r="S38" s="51">
        <f t="shared" si="4"/>
        <v>5</v>
      </c>
      <c r="T38" s="52">
        <f t="shared" si="5"/>
        <v>0</v>
      </c>
      <c r="U38" s="52"/>
      <c r="V38" s="51">
        <f t="shared" si="6"/>
        <v>1</v>
      </c>
      <c r="W38" s="52">
        <f t="shared" si="7"/>
        <v>11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114</v>
      </c>
      <c r="C39" s="37">
        <v>58.0</v>
      </c>
      <c r="D39" s="37">
        <v>3.0</v>
      </c>
      <c r="E39" s="42">
        <f t="shared" si="2"/>
        <v>9</v>
      </c>
      <c r="F39" s="89">
        <v>3.0</v>
      </c>
      <c r="G39" s="90">
        <v>0.0</v>
      </c>
      <c r="H39" s="91">
        <v>9.0</v>
      </c>
      <c r="I39" s="90">
        <v>0.0</v>
      </c>
      <c r="J39" s="90">
        <v>0.0</v>
      </c>
      <c r="K39" s="90">
        <v>0.0</v>
      </c>
      <c r="L39" s="92">
        <v>9.0</v>
      </c>
      <c r="M39" s="90">
        <v>0.0</v>
      </c>
      <c r="N39" s="37">
        <f t="shared" ref="N39:O39" si="44">C39+L39</f>
        <v>67</v>
      </c>
      <c r="O39" s="37">
        <f t="shared" si="44"/>
        <v>3</v>
      </c>
      <c r="P39" s="50" t="s">
        <v>60</v>
      </c>
      <c r="Q39" s="50" t="s">
        <v>60</v>
      </c>
      <c r="R39" s="50" t="s">
        <v>60</v>
      </c>
      <c r="S39" s="51">
        <f t="shared" si="4"/>
        <v>2</v>
      </c>
      <c r="T39" s="52">
        <f t="shared" si="5"/>
        <v>1</v>
      </c>
      <c r="U39" s="52"/>
      <c r="V39" s="51">
        <f t="shared" si="6"/>
        <v>3</v>
      </c>
      <c r="W39" s="52">
        <f t="shared" si="7"/>
        <v>-7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109</v>
      </c>
      <c r="C40" s="37">
        <v>58.0</v>
      </c>
      <c r="D40" s="37">
        <v>2.0</v>
      </c>
      <c r="E40" s="42">
        <f t="shared" si="2"/>
        <v>7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67</v>
      </c>
      <c r="O40" s="37">
        <f t="shared" si="45"/>
        <v>2</v>
      </c>
      <c r="P40" s="50" t="s">
        <v>60</v>
      </c>
      <c r="Q40" s="50" t="s">
        <v>60</v>
      </c>
      <c r="R40" s="50" t="s">
        <v>60</v>
      </c>
      <c r="S40" s="51">
        <f t="shared" si="4"/>
        <v>2</v>
      </c>
      <c r="T40" s="52">
        <f t="shared" si="5"/>
        <v>2</v>
      </c>
      <c r="U40" s="52"/>
      <c r="V40" s="51">
        <f t="shared" si="6"/>
        <v>2</v>
      </c>
      <c r="W40" s="52">
        <f t="shared" si="7"/>
        <v>7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135</v>
      </c>
      <c r="C41" s="37">
        <v>57.0</v>
      </c>
      <c r="D41" s="37">
        <v>5.0</v>
      </c>
      <c r="E41" s="42">
        <f t="shared" si="2"/>
        <v>9.75</v>
      </c>
      <c r="F41" s="89">
        <v>1.0</v>
      </c>
      <c r="G41" s="90">
        <v>7.0</v>
      </c>
      <c r="H41" s="91">
        <v>0.0</v>
      </c>
      <c r="I41" s="90">
        <v>6.0</v>
      </c>
      <c r="J41" s="90">
        <v>6.0</v>
      </c>
      <c r="K41" s="90">
        <v>6.0</v>
      </c>
      <c r="L41" s="92">
        <v>18.0</v>
      </c>
      <c r="M41" s="90">
        <v>3.0</v>
      </c>
      <c r="N41" s="37">
        <f t="shared" ref="N41:O41" si="46">C41+L41</f>
        <v>75</v>
      </c>
      <c r="O41" s="37">
        <f t="shared" si="46"/>
        <v>8</v>
      </c>
      <c r="P41" s="50" t="s">
        <v>60</v>
      </c>
      <c r="Q41" s="50" t="s">
        <v>60</v>
      </c>
      <c r="R41" s="50" t="s">
        <v>60</v>
      </c>
      <c r="S41" s="51">
        <f t="shared" si="4"/>
        <v>4</v>
      </c>
      <c r="T41" s="52">
        <f t="shared" si="5"/>
        <v>0</v>
      </c>
      <c r="U41" s="52"/>
      <c r="V41" s="51">
        <f t="shared" si="6"/>
        <v>2</v>
      </c>
      <c r="W41" s="52">
        <f t="shared" si="7"/>
        <v>-8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146</v>
      </c>
      <c r="C42" s="37">
        <v>57.0</v>
      </c>
      <c r="D42" s="37">
        <v>5.0</v>
      </c>
      <c r="E42" s="42">
        <f t="shared" si="2"/>
        <v>8.666666667</v>
      </c>
      <c r="F42" s="89">
        <v>3.0</v>
      </c>
      <c r="G42" s="90">
        <v>0.0</v>
      </c>
      <c r="H42" s="91">
        <v>9.0</v>
      </c>
      <c r="I42" s="90">
        <v>0.0</v>
      </c>
      <c r="J42" s="90">
        <v>0.0</v>
      </c>
      <c r="K42" s="90">
        <v>0.0</v>
      </c>
      <c r="L42" s="92">
        <v>9.0</v>
      </c>
      <c r="M42" s="90">
        <v>0.0</v>
      </c>
      <c r="N42" s="37">
        <f t="shared" ref="N42:O42" si="47">C42+L42</f>
        <v>66</v>
      </c>
      <c r="O42" s="37">
        <f t="shared" si="47"/>
        <v>5</v>
      </c>
      <c r="P42" s="50" t="s">
        <v>60</v>
      </c>
      <c r="Q42" s="50" t="s">
        <v>60</v>
      </c>
      <c r="R42" s="50" t="s">
        <v>60</v>
      </c>
      <c r="S42" s="51">
        <f t="shared" si="4"/>
        <v>3</v>
      </c>
      <c r="T42" s="52">
        <f t="shared" si="5"/>
        <v>1</v>
      </c>
      <c r="U42" s="52"/>
      <c r="V42" s="51">
        <f t="shared" si="6"/>
        <v>2</v>
      </c>
      <c r="W42" s="52">
        <f t="shared" si="7"/>
        <v>-8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141</v>
      </c>
      <c r="C43" s="37">
        <v>56.0</v>
      </c>
      <c r="D43" s="37">
        <v>4.0</v>
      </c>
      <c r="E43" s="42">
        <f t="shared" si="2"/>
        <v>8.5</v>
      </c>
      <c r="F43" s="89">
        <v>3.0</v>
      </c>
      <c r="G43" s="90">
        <v>0.0</v>
      </c>
      <c r="H43" s="91">
        <v>9.0</v>
      </c>
      <c r="I43" s="90">
        <v>0.0</v>
      </c>
      <c r="J43" s="90">
        <v>0.0</v>
      </c>
      <c r="K43" s="90">
        <v>0.0</v>
      </c>
      <c r="L43" s="92">
        <v>9.0</v>
      </c>
      <c r="M43" s="90">
        <v>0.0</v>
      </c>
      <c r="N43" s="37">
        <f t="shared" ref="N43:O43" si="48">C43+L43</f>
        <v>65</v>
      </c>
      <c r="O43" s="37">
        <f t="shared" si="48"/>
        <v>4</v>
      </c>
      <c r="P43" s="50" t="s">
        <v>60</v>
      </c>
      <c r="Q43" s="50" t="s">
        <v>60</v>
      </c>
      <c r="R43" s="50" t="s">
        <v>60</v>
      </c>
      <c r="S43" s="51">
        <f t="shared" si="4"/>
        <v>4</v>
      </c>
      <c r="T43" s="52">
        <f t="shared" si="5"/>
        <v>1</v>
      </c>
      <c r="U43" s="52"/>
      <c r="V43" s="51">
        <f t="shared" si="6"/>
        <v>1</v>
      </c>
      <c r="W43" s="52">
        <f t="shared" si="7"/>
        <v>9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134</v>
      </c>
      <c r="C44" s="37">
        <v>56.0</v>
      </c>
      <c r="D44" s="37">
        <v>0.0</v>
      </c>
      <c r="E44" s="42">
        <f t="shared" si="2"/>
        <v>4</v>
      </c>
      <c r="F44" s="89">
        <v>2.0</v>
      </c>
      <c r="G44" s="90">
        <v>7.0</v>
      </c>
      <c r="H44" s="91">
        <v>0.0</v>
      </c>
      <c r="I44" s="90">
        <v>2.0</v>
      </c>
      <c r="J44" s="90">
        <v>0.0</v>
      </c>
      <c r="K44" s="90">
        <v>6.0</v>
      </c>
      <c r="L44" s="92">
        <v>8.0</v>
      </c>
      <c r="M44" s="90">
        <v>1.0</v>
      </c>
      <c r="N44" s="37">
        <f t="shared" ref="N44:O44" si="49">C44+L44</f>
        <v>64</v>
      </c>
      <c r="O44" s="37">
        <f t="shared" si="49"/>
        <v>1</v>
      </c>
      <c r="P44" s="50" t="s">
        <v>60</v>
      </c>
      <c r="Q44" s="50" t="s">
        <v>60</v>
      </c>
      <c r="R44" s="50" t="s">
        <v>60</v>
      </c>
      <c r="S44" s="51">
        <f t="shared" si="4"/>
        <v>2</v>
      </c>
      <c r="T44" s="52">
        <f t="shared" si="5"/>
        <v>3</v>
      </c>
      <c r="U44" s="52"/>
      <c r="V44" s="51">
        <f t="shared" si="6"/>
        <v>1</v>
      </c>
      <c r="W44" s="52">
        <f t="shared" si="7"/>
        <v>-5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72</v>
      </c>
      <c r="C45" s="37">
        <v>56.0</v>
      </c>
      <c r="D45" s="37">
        <v>0.0</v>
      </c>
      <c r="E45" s="42">
        <f t="shared" si="2"/>
        <v>-1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65</v>
      </c>
      <c r="O45" s="37">
        <f t="shared" si="50"/>
        <v>0</v>
      </c>
      <c r="P45" s="50" t="s">
        <v>60</v>
      </c>
      <c r="Q45" s="50" t="s">
        <v>60</v>
      </c>
      <c r="R45" s="50" t="s">
        <v>60</v>
      </c>
      <c r="S45" s="51">
        <f t="shared" si="4"/>
        <v>1</v>
      </c>
      <c r="T45" s="52">
        <f t="shared" si="5"/>
        <v>3</v>
      </c>
      <c r="U45" s="52"/>
      <c r="V45" s="51">
        <f t="shared" si="6"/>
        <v>2</v>
      </c>
      <c r="W45" s="52">
        <f t="shared" si="7"/>
        <v>-5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61</v>
      </c>
      <c r="C46" s="37">
        <v>55.0</v>
      </c>
      <c r="D46" s="37">
        <v>4.0</v>
      </c>
      <c r="E46" s="42">
        <f t="shared" si="2"/>
        <v>9.25</v>
      </c>
      <c r="F46" s="89">
        <v>1.0</v>
      </c>
      <c r="G46" s="90">
        <v>8.0</v>
      </c>
      <c r="H46" s="91">
        <v>0.0</v>
      </c>
      <c r="I46" s="90">
        <v>3.0</v>
      </c>
      <c r="J46" s="90">
        <v>6.0</v>
      </c>
      <c r="K46" s="90">
        <v>6.0</v>
      </c>
      <c r="L46" s="92">
        <v>15.0</v>
      </c>
      <c r="M46" s="90">
        <v>2.0</v>
      </c>
      <c r="N46" s="37">
        <f t="shared" ref="N46:O46" si="51">C46+L46</f>
        <v>70</v>
      </c>
      <c r="O46" s="37">
        <f t="shared" si="51"/>
        <v>6</v>
      </c>
      <c r="P46" s="50" t="s">
        <v>60</v>
      </c>
      <c r="Q46" s="50" t="s">
        <v>60</v>
      </c>
      <c r="R46" s="50" t="s">
        <v>60</v>
      </c>
      <c r="S46" s="51">
        <f t="shared" si="4"/>
        <v>4</v>
      </c>
      <c r="T46" s="52">
        <f t="shared" si="5"/>
        <v>0</v>
      </c>
      <c r="U46" s="52"/>
      <c r="V46" s="51">
        <f t="shared" si="6"/>
        <v>2</v>
      </c>
      <c r="W46" s="52">
        <f t="shared" si="7"/>
        <v>-5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128</v>
      </c>
      <c r="C47" s="37">
        <v>54.0</v>
      </c>
      <c r="D47" s="37">
        <v>3.0</v>
      </c>
      <c r="E47" s="42">
        <f t="shared" si="2"/>
        <v>9</v>
      </c>
      <c r="F47" s="89">
        <v>1.0</v>
      </c>
      <c r="G47" s="90">
        <v>8.0</v>
      </c>
      <c r="H47" s="91">
        <v>0.0</v>
      </c>
      <c r="I47" s="90">
        <v>6.0</v>
      </c>
      <c r="J47" s="90">
        <v>1.0</v>
      </c>
      <c r="K47" s="90">
        <v>6.0</v>
      </c>
      <c r="L47" s="92">
        <v>13.0</v>
      </c>
      <c r="M47" s="90">
        <v>2.0</v>
      </c>
      <c r="N47" s="37">
        <f t="shared" ref="N47:O47" si="52">C47+L47</f>
        <v>67</v>
      </c>
      <c r="O47" s="37">
        <f t="shared" si="52"/>
        <v>5</v>
      </c>
      <c r="P47" s="50" t="s">
        <v>60</v>
      </c>
      <c r="Q47" s="50" t="s">
        <v>60</v>
      </c>
      <c r="R47" s="50" t="s">
        <v>60</v>
      </c>
      <c r="S47" s="51">
        <f t="shared" si="4"/>
        <v>2</v>
      </c>
      <c r="T47" s="52">
        <f t="shared" si="5"/>
        <v>0</v>
      </c>
      <c r="U47" s="52"/>
      <c r="V47" s="51">
        <f t="shared" si="6"/>
        <v>4</v>
      </c>
      <c r="W47" s="52">
        <f t="shared" si="7"/>
        <v>23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142</v>
      </c>
      <c r="C48" s="37">
        <v>54.0</v>
      </c>
      <c r="D48" s="37">
        <v>2.0</v>
      </c>
      <c r="E48" s="42">
        <f t="shared" si="2"/>
        <v>9</v>
      </c>
      <c r="F48" s="89">
        <v>3.0</v>
      </c>
      <c r="G48" s="90">
        <v>0.0</v>
      </c>
      <c r="H48" s="91">
        <v>9.0</v>
      </c>
      <c r="I48" s="90">
        <v>0.0</v>
      </c>
      <c r="J48" s="90">
        <v>0.0</v>
      </c>
      <c r="K48" s="90">
        <v>0.0</v>
      </c>
      <c r="L48" s="92">
        <v>9.0</v>
      </c>
      <c r="M48" s="90">
        <v>0.0</v>
      </c>
      <c r="N48" s="37">
        <f t="shared" ref="N48:O48" si="53">C48+L48</f>
        <v>63</v>
      </c>
      <c r="O48" s="37">
        <f t="shared" si="53"/>
        <v>2</v>
      </c>
      <c r="P48" s="50" t="s">
        <v>60</v>
      </c>
      <c r="Q48" s="50" t="s">
        <v>60</v>
      </c>
      <c r="R48" s="50" t="s">
        <v>60</v>
      </c>
      <c r="S48" s="51">
        <f t="shared" si="4"/>
        <v>1</v>
      </c>
      <c r="T48" s="52">
        <f t="shared" si="5"/>
        <v>0</v>
      </c>
      <c r="U48" s="52"/>
      <c r="V48" s="51">
        <f t="shared" si="6"/>
        <v>5</v>
      </c>
      <c r="W48" s="52">
        <f t="shared" si="7"/>
        <v>-4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125</v>
      </c>
      <c r="C49" s="37">
        <v>54.0</v>
      </c>
      <c r="D49" s="37">
        <v>2.0</v>
      </c>
      <c r="E49" s="42">
        <f t="shared" si="2"/>
        <v>7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63</v>
      </c>
      <c r="O49" s="37">
        <f t="shared" si="54"/>
        <v>2</v>
      </c>
      <c r="P49" s="50" t="s">
        <v>60</v>
      </c>
      <c r="Q49" s="50" t="s">
        <v>60</v>
      </c>
      <c r="R49" s="50" t="s">
        <v>60</v>
      </c>
      <c r="S49" s="51">
        <f t="shared" si="4"/>
        <v>2</v>
      </c>
      <c r="T49" s="52">
        <f t="shared" si="5"/>
        <v>1</v>
      </c>
      <c r="U49" s="52"/>
      <c r="V49" s="51">
        <f t="shared" si="6"/>
        <v>3</v>
      </c>
      <c r="W49" s="52">
        <f t="shared" si="7"/>
        <v>-3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102</v>
      </c>
      <c r="C50" s="37">
        <v>54.0</v>
      </c>
      <c r="D50" s="37">
        <v>2.0</v>
      </c>
      <c r="E50" s="42">
        <f t="shared" si="2"/>
        <v>5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63</v>
      </c>
      <c r="O50" s="37">
        <f t="shared" si="55"/>
        <v>2</v>
      </c>
      <c r="P50" s="50" t="s">
        <v>60</v>
      </c>
      <c r="Q50" s="50" t="s">
        <v>60</v>
      </c>
      <c r="R50" s="50" t="s">
        <v>60</v>
      </c>
      <c r="S50" s="51">
        <f t="shared" si="4"/>
        <v>1</v>
      </c>
      <c r="T50" s="52">
        <f t="shared" si="5"/>
        <v>1</v>
      </c>
      <c r="U50" s="52"/>
      <c r="V50" s="51">
        <f t="shared" si="6"/>
        <v>4</v>
      </c>
      <c r="W50" s="52">
        <f t="shared" si="7"/>
        <v>-5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84</v>
      </c>
      <c r="C51" s="37">
        <v>54.0</v>
      </c>
      <c r="D51" s="37">
        <v>0.0</v>
      </c>
      <c r="E51" s="42">
        <f t="shared" si="2"/>
        <v>-3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63</v>
      </c>
      <c r="O51" s="37">
        <f t="shared" si="56"/>
        <v>0</v>
      </c>
      <c r="P51" s="50" t="s">
        <v>60</v>
      </c>
      <c r="Q51" s="50" t="s">
        <v>60</v>
      </c>
      <c r="R51" s="50" t="s">
        <v>60</v>
      </c>
      <c r="S51" s="51">
        <f t="shared" si="4"/>
        <v>1</v>
      </c>
      <c r="T51" s="52">
        <f t="shared" si="5"/>
        <v>3</v>
      </c>
      <c r="U51" s="52"/>
      <c r="V51" s="51">
        <f t="shared" si="6"/>
        <v>2</v>
      </c>
      <c r="W51" s="52">
        <f t="shared" si="7"/>
        <v>-16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90</v>
      </c>
      <c r="C52" s="37">
        <v>53.0</v>
      </c>
      <c r="D52" s="37">
        <v>3.0</v>
      </c>
      <c r="E52" s="42">
        <f t="shared" si="2"/>
        <v>7.333333333</v>
      </c>
      <c r="F52" s="89">
        <v>3.0</v>
      </c>
      <c r="G52" s="90">
        <v>0.0</v>
      </c>
      <c r="H52" s="91">
        <v>9.0</v>
      </c>
      <c r="I52" s="90">
        <v>0.0</v>
      </c>
      <c r="J52" s="90">
        <v>0.0</v>
      </c>
      <c r="K52" s="90">
        <v>0.0</v>
      </c>
      <c r="L52" s="92">
        <v>9.0</v>
      </c>
      <c r="M52" s="90">
        <v>0.0</v>
      </c>
      <c r="N52" s="37">
        <f t="shared" ref="N52:O52" si="57">C52+L52</f>
        <v>62</v>
      </c>
      <c r="O52" s="37">
        <f t="shared" si="57"/>
        <v>3</v>
      </c>
      <c r="P52" s="50" t="s">
        <v>60</v>
      </c>
      <c r="Q52" s="50" t="s">
        <v>60</v>
      </c>
      <c r="R52" s="50" t="s">
        <v>60</v>
      </c>
      <c r="S52" s="51">
        <f t="shared" si="4"/>
        <v>3</v>
      </c>
      <c r="T52" s="52">
        <f t="shared" si="5"/>
        <v>1</v>
      </c>
      <c r="U52" s="52"/>
      <c r="V52" s="51">
        <f t="shared" si="6"/>
        <v>2</v>
      </c>
      <c r="W52" s="52">
        <f t="shared" si="7"/>
        <v>2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144</v>
      </c>
      <c r="C53" s="37">
        <v>53.0</v>
      </c>
      <c r="D53" s="37">
        <v>2.0</v>
      </c>
      <c r="E53" s="42">
        <f t="shared" si="2"/>
        <v>6.5</v>
      </c>
      <c r="F53" s="89">
        <v>3.0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62</v>
      </c>
      <c r="O53" s="37">
        <f t="shared" si="58"/>
        <v>2</v>
      </c>
      <c r="P53" s="50" t="s">
        <v>60</v>
      </c>
      <c r="Q53" s="50" t="s">
        <v>60</v>
      </c>
      <c r="R53" s="50" t="s">
        <v>60</v>
      </c>
      <c r="S53" s="51">
        <f t="shared" si="4"/>
        <v>2</v>
      </c>
      <c r="T53" s="52">
        <f t="shared" si="5"/>
        <v>1</v>
      </c>
      <c r="U53" s="52"/>
      <c r="V53" s="51">
        <f t="shared" si="6"/>
        <v>3</v>
      </c>
      <c r="W53" s="52">
        <f t="shared" si="7"/>
        <v>-3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104</v>
      </c>
      <c r="C54" s="37">
        <v>53.0</v>
      </c>
      <c r="D54" s="37">
        <v>0.0</v>
      </c>
      <c r="E54" s="42">
        <f t="shared" si="2"/>
        <v>0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62</v>
      </c>
      <c r="O54" s="37">
        <f t="shared" si="59"/>
        <v>0</v>
      </c>
      <c r="P54" s="50" t="s">
        <v>60</v>
      </c>
      <c r="Q54" s="50" t="s">
        <v>60</v>
      </c>
      <c r="R54" s="50" t="s">
        <v>60</v>
      </c>
      <c r="S54" s="51">
        <f t="shared" si="4"/>
        <v>0</v>
      </c>
      <c r="T54" s="52">
        <f t="shared" si="5"/>
        <v>2</v>
      </c>
      <c r="U54" s="52"/>
      <c r="V54" s="51">
        <f t="shared" si="6"/>
        <v>4</v>
      </c>
      <c r="W54" s="52">
        <f t="shared" si="7"/>
        <v>-3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89</v>
      </c>
      <c r="C55" s="37">
        <v>51.0</v>
      </c>
      <c r="D55" s="37">
        <v>2.0</v>
      </c>
      <c r="E55" s="42">
        <f t="shared" si="2"/>
        <v>6</v>
      </c>
      <c r="F55" s="89">
        <v>3.0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60</v>
      </c>
      <c r="O55" s="37">
        <f t="shared" si="60"/>
        <v>2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0</v>
      </c>
      <c r="U55" s="52"/>
      <c r="V55" s="51">
        <f t="shared" si="6"/>
        <v>5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56</v>
      </c>
      <c r="C56" s="37">
        <v>50.0</v>
      </c>
      <c r="D56" s="37">
        <v>2.0</v>
      </c>
      <c r="E56" s="42">
        <f t="shared" si="2"/>
        <v>5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59</v>
      </c>
      <c r="O56" s="37">
        <f t="shared" si="61"/>
        <v>2</v>
      </c>
      <c r="P56" s="50" t="s">
        <v>60</v>
      </c>
      <c r="Q56" s="50" t="s">
        <v>60</v>
      </c>
      <c r="R56" s="50" t="s">
        <v>60</v>
      </c>
      <c r="S56" s="51">
        <f t="shared" si="4"/>
        <v>1</v>
      </c>
      <c r="T56" s="52">
        <f t="shared" si="5"/>
        <v>0</v>
      </c>
      <c r="U56" s="52"/>
      <c r="V56" s="51">
        <f t="shared" si="6"/>
        <v>5</v>
      </c>
      <c r="W56" s="52">
        <f t="shared" si="7"/>
        <v>-1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129</v>
      </c>
      <c r="C57" s="37">
        <v>49.0</v>
      </c>
      <c r="D57" s="37">
        <v>3.0</v>
      </c>
      <c r="E57" s="42">
        <f t="shared" si="2"/>
        <v>7.75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58</v>
      </c>
      <c r="O57" s="37">
        <f t="shared" si="62"/>
        <v>3</v>
      </c>
      <c r="P57" s="50" t="s">
        <v>60</v>
      </c>
      <c r="Q57" s="50" t="s">
        <v>60</v>
      </c>
      <c r="R57" s="50" t="s">
        <v>60</v>
      </c>
      <c r="S57" s="51">
        <f t="shared" si="4"/>
        <v>4</v>
      </c>
      <c r="T57" s="52">
        <f t="shared" si="5"/>
        <v>0</v>
      </c>
      <c r="U57" s="52"/>
      <c r="V57" s="51">
        <f t="shared" si="6"/>
        <v>2</v>
      </c>
      <c r="W57" s="52">
        <f t="shared" si="7"/>
        <v>-1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119</v>
      </c>
      <c r="C58" s="37">
        <v>48.0</v>
      </c>
      <c r="D58" s="37">
        <v>1.0</v>
      </c>
      <c r="E58" s="42">
        <f t="shared" si="2"/>
        <v>3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57</v>
      </c>
      <c r="O58" s="37">
        <f t="shared" si="63"/>
        <v>1</v>
      </c>
      <c r="P58" s="50" t="s">
        <v>60</v>
      </c>
      <c r="Q58" s="50" t="s">
        <v>60</v>
      </c>
      <c r="R58" s="50" t="s">
        <v>60</v>
      </c>
      <c r="S58" s="51">
        <f t="shared" si="4"/>
        <v>1</v>
      </c>
      <c r="T58" s="52">
        <f t="shared" si="5"/>
        <v>0</v>
      </c>
      <c r="U58" s="52"/>
      <c r="V58" s="51">
        <f t="shared" si="6"/>
        <v>5</v>
      </c>
      <c r="W58" s="52">
        <f t="shared" si="7"/>
        <v>7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106</v>
      </c>
      <c r="C59" s="37">
        <v>47.0</v>
      </c>
      <c r="D59" s="37">
        <v>1.0</v>
      </c>
      <c r="E59" s="42">
        <f t="shared" si="2"/>
        <v>5.5</v>
      </c>
      <c r="F59" s="89">
        <v>1.0</v>
      </c>
      <c r="G59" s="90">
        <v>8.0</v>
      </c>
      <c r="H59" s="91">
        <v>0.0</v>
      </c>
      <c r="I59" s="90">
        <v>6.0</v>
      </c>
      <c r="J59" s="90">
        <v>6.0</v>
      </c>
      <c r="K59" s="90">
        <v>4.0</v>
      </c>
      <c r="L59" s="92">
        <v>16.0</v>
      </c>
      <c r="M59" s="90">
        <v>2.0</v>
      </c>
      <c r="N59" s="37">
        <f t="shared" ref="N59:O59" si="64">C59+L59</f>
        <v>63</v>
      </c>
      <c r="O59" s="37">
        <f t="shared" si="64"/>
        <v>3</v>
      </c>
      <c r="P59" s="50" t="s">
        <v>60</v>
      </c>
      <c r="Q59" s="50" t="s">
        <v>60</v>
      </c>
      <c r="R59" s="50" t="s">
        <v>60</v>
      </c>
      <c r="S59" s="51">
        <f t="shared" si="4"/>
        <v>2</v>
      </c>
      <c r="T59" s="52">
        <f t="shared" si="5"/>
        <v>0</v>
      </c>
      <c r="U59" s="52"/>
      <c r="V59" s="51">
        <f t="shared" si="6"/>
        <v>4</v>
      </c>
      <c r="W59" s="52">
        <f t="shared" si="7"/>
        <v>-2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116</v>
      </c>
      <c r="C60" s="37">
        <v>47.0</v>
      </c>
      <c r="D60" s="37">
        <v>1.0</v>
      </c>
      <c r="E60" s="42">
        <f t="shared" si="2"/>
        <v>-2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56</v>
      </c>
      <c r="O60" s="37">
        <f t="shared" si="65"/>
        <v>1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1</v>
      </c>
      <c r="U60" s="52"/>
      <c r="V60" s="51">
        <f t="shared" si="6"/>
        <v>4</v>
      </c>
      <c r="W60" s="52">
        <f t="shared" si="7"/>
        <v>-2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96</v>
      </c>
      <c r="C61" s="37">
        <v>46.0</v>
      </c>
      <c r="D61" s="37">
        <v>3.0</v>
      </c>
      <c r="E61" s="42">
        <f t="shared" si="2"/>
        <v>7.666666667</v>
      </c>
      <c r="F61" s="89">
        <v>1.0</v>
      </c>
      <c r="G61" s="90">
        <v>8.0</v>
      </c>
      <c r="H61" s="91">
        <v>0.0</v>
      </c>
      <c r="I61" s="90">
        <v>3.0</v>
      </c>
      <c r="J61" s="90">
        <v>1.0</v>
      </c>
      <c r="K61" s="90">
        <v>4.0</v>
      </c>
      <c r="L61" s="92">
        <v>8.0</v>
      </c>
      <c r="M61" s="90">
        <v>0.0</v>
      </c>
      <c r="N61" s="37">
        <f t="shared" ref="N61:O61" si="66">C61+L61</f>
        <v>54</v>
      </c>
      <c r="O61" s="37">
        <f t="shared" si="66"/>
        <v>3</v>
      </c>
      <c r="P61" s="50" t="s">
        <v>60</v>
      </c>
      <c r="Q61" s="50" t="s">
        <v>60</v>
      </c>
      <c r="R61" s="50" t="s">
        <v>60</v>
      </c>
      <c r="S61" s="51">
        <f t="shared" si="4"/>
        <v>6</v>
      </c>
      <c r="T61" s="52">
        <f t="shared" si="5"/>
        <v>0</v>
      </c>
      <c r="U61" s="52"/>
      <c r="V61" s="51">
        <f t="shared" si="6"/>
        <v>0</v>
      </c>
      <c r="W61" s="52">
        <f t="shared" si="7"/>
        <v>-2</v>
      </c>
      <c r="X61" s="35">
        <f t="shared" si="12"/>
        <v>57</v>
      </c>
      <c r="Y61" s="35" t="str">
        <f t="shared" si="8"/>
        <v>Y</v>
      </c>
      <c r="Z61" s="22" t="str">
        <f t="shared" si="9"/>
        <v/>
      </c>
    </row>
    <row r="62">
      <c r="A62" s="35">
        <f t="shared" si="10"/>
        <v>58</v>
      </c>
      <c r="B62" s="36" t="s">
        <v>95</v>
      </c>
      <c r="C62" s="37">
        <v>45.0</v>
      </c>
      <c r="D62" s="37">
        <v>0.0</v>
      </c>
      <c r="E62" s="42">
        <f t="shared" si="2"/>
        <v>0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54</v>
      </c>
      <c r="O62" s="37">
        <f t="shared" si="67"/>
        <v>0</v>
      </c>
      <c r="P62" s="50" t="s">
        <v>60</v>
      </c>
      <c r="Q62" s="50" t="s">
        <v>60</v>
      </c>
      <c r="R62" s="50" t="s">
        <v>60</v>
      </c>
      <c r="S62" s="51">
        <f t="shared" si="4"/>
        <v>0</v>
      </c>
      <c r="T62" s="52">
        <f t="shared" si="5"/>
        <v>0</v>
      </c>
      <c r="U62" s="52"/>
      <c r="V62" s="51">
        <f t="shared" si="6"/>
        <v>6</v>
      </c>
      <c r="W62" s="52">
        <f t="shared" si="7"/>
        <v>-2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77</v>
      </c>
      <c r="C63" s="37">
        <v>45.0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54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6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137</v>
      </c>
      <c r="C64" s="37">
        <v>45.0</v>
      </c>
      <c r="D64" s="37">
        <v>0.0</v>
      </c>
      <c r="E64" s="42">
        <f t="shared" si="2"/>
        <v>0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54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6</v>
      </c>
      <c r="W64" s="52">
        <f t="shared" si="7"/>
        <v>-2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132</v>
      </c>
      <c r="C65" s="37">
        <v>45.0</v>
      </c>
      <c r="D65" s="37">
        <v>0.0</v>
      </c>
      <c r="E65" s="42">
        <f t="shared" si="2"/>
        <v>0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54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0</v>
      </c>
      <c r="U65" s="52"/>
      <c r="V65" s="51">
        <f t="shared" si="6"/>
        <v>6</v>
      </c>
      <c r="W65" s="52">
        <f t="shared" si="7"/>
        <v>-2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53</v>
      </c>
      <c r="C66" s="37">
        <v>45.0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54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6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145</v>
      </c>
      <c r="C67" s="37">
        <v>45.0</v>
      </c>
      <c r="D67" s="37">
        <v>0.0</v>
      </c>
      <c r="E67" s="42">
        <f t="shared" si="2"/>
        <v>0</v>
      </c>
      <c r="F67" s="89">
        <v>4.0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54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6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120</v>
      </c>
      <c r="C68" s="37">
        <v>45.0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54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6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139</v>
      </c>
      <c r="C69" s="37">
        <v>45.0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54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6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138</v>
      </c>
      <c r="C70" s="37">
        <v>45.0</v>
      </c>
      <c r="D70" s="37">
        <v>0.0</v>
      </c>
      <c r="E70" s="42">
        <f t="shared" si="2"/>
        <v>0</v>
      </c>
      <c r="F70" s="89">
        <v>3.0</v>
      </c>
      <c r="G70" s="90">
        <v>0.0</v>
      </c>
      <c r="H70" s="91">
        <v>9.0</v>
      </c>
      <c r="I70" s="90">
        <v>0.0</v>
      </c>
      <c r="J70" s="90">
        <v>0.0</v>
      </c>
      <c r="K70" s="90">
        <v>0.0</v>
      </c>
      <c r="L70" s="92">
        <v>9.0</v>
      </c>
      <c r="M70" s="90">
        <v>0.0</v>
      </c>
      <c r="N70" s="37">
        <f t="shared" ref="N70:O70" si="75">C70+L70</f>
        <v>54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0</v>
      </c>
      <c r="U70" s="52"/>
      <c r="V70" s="51">
        <f t="shared" si="6"/>
        <v>6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41.0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50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0</v>
      </c>
      <c r="U71" s="52"/>
      <c r="V71" s="51">
        <f t="shared" si="6"/>
        <v>5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08/01/26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desc"",0)"),"Basudev Thoppai Vidyasankar")</f>
        <v>Basudev Thoppai Vidyasankar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IFERROR(__xludf.DUMMYFUNCTION("""COMPUTED_VALUE"""),4.0)</f>
        <v>4</v>
      </c>
      <c r="F83" s="2"/>
    </row>
    <row r="84">
      <c r="A84" s="2"/>
      <c r="B84" s="36" t="str">
        <f>IFERROR(__xludf.DUMMYFUNCTION("""COMPUTED_VALUE"""),"Mauricio Palacios")</f>
        <v>Mauricio Palacios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IFERROR(__xludf.DUMMYFUNCTION("""COMPUTED_VALUE"""),6.0)</f>
        <v>6</v>
      </c>
      <c r="F84" s="2"/>
    </row>
    <row r="85">
      <c r="A85" s="2"/>
      <c r="B85" s="36" t="str">
        <f>IFERROR(__xludf.DUMMYFUNCTION("""COMPUTED_VALUE"""),"Andrew Yao")</f>
        <v>Andrew Yao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IFERROR(__xludf.DUMMYFUNCTION("""COMPUTED_VALUE"""),2.0)</f>
        <v>2</v>
      </c>
      <c r="F85" s="2"/>
    </row>
    <row r="86">
      <c r="A86" s="2"/>
      <c r="B86" s="36" t="str">
        <f>IFERROR(__xludf.DUMMYFUNCTION("""COMPUTED_VALUE"""),"Joe Luzzi")</f>
        <v>Joe Luzzi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IFERROR(__xludf.DUMMYFUNCTION("""COMPUTED_VALUE"""),7.0)</f>
        <v>7</v>
      </c>
      <c r="F86" s="2"/>
    </row>
    <row r="87">
      <c r="A87" s="2"/>
      <c r="B87" s="36" t="str">
        <f>IFERROR(__xludf.DUMMYFUNCTION("""COMPUTED_VALUE"""),"Naveen Raj")</f>
        <v>Naveen Raj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IFERROR(__xludf.DUMMYFUNCTION("""COMPUTED_VALUE"""),8.0)</f>
        <v>8</v>
      </c>
      <c r="F87" s="2"/>
    </row>
    <row r="88">
      <c r="A88" s="2"/>
      <c r="B88" s="36" t="str">
        <f>IFERROR(__xludf.DUMMYFUNCTION("""COMPUTED_VALUE"""),"Rudy Tatang")</f>
        <v>Rudy Tatang</v>
      </c>
      <c r="C88" s="125">
        <f>IFERROR(__xludf.DUMMYFUNCTION("""COMPUTED_VALUE"""),18.0)</f>
        <v>18</v>
      </c>
      <c r="D88" s="125">
        <f>IFERROR(__xludf.DUMMYFUNCTION("""COMPUTED_VALUE"""),2.0)</f>
        <v>2</v>
      </c>
      <c r="E88" s="125">
        <f>IFERROR(__xludf.DUMMYFUNCTION("""COMPUTED_VALUE"""),1.0)</f>
        <v>1</v>
      </c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10"")"),"Naveen Raj")</f>
        <v>Naveen Raj</v>
      </c>
      <c r="C102" s="125">
        <f>IFERROR(__xludf.DUMMYFUNCTION("""COMPUTED_VALUE"""),23.0)</f>
        <v>23</v>
      </c>
      <c r="D102" s="125">
        <f t="shared" ref="D102:D111" si="77">VLOOKUP(B102,indirect($AC$2&amp;"!B$5:X$79"),23, false)</f>
        <v>66</v>
      </c>
      <c r="E102" s="125">
        <f t="shared" ref="E102:E111" si="78">VLOOKUP(B102,B$5:X$71,23, false)</f>
        <v>43</v>
      </c>
      <c r="F102" s="125">
        <f t="shared" ref="F102:F111" si="79">VLOOKUP(B102,indirect($AC$2&amp;"!B$5:U$79"),11, false)</f>
        <v>18</v>
      </c>
      <c r="G102" s="125">
        <f t="shared" ref="G102:G111" si="80">VLOOKUP(B102,indirect($AC$2&amp;"!B$5:U$79"),6, false)</f>
        <v>8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IFERROR(__xludf.DUMMYFUNCTION("""COMPUTED_VALUE"""),"Mauricio Palacios")</f>
        <v>Mauricio Palacios</v>
      </c>
      <c r="C103" s="125">
        <f>IFERROR(__xludf.DUMMYFUNCTION("""COMPUTED_VALUE"""),20.0)</f>
        <v>20</v>
      </c>
      <c r="D103" s="125">
        <f t="shared" si="77"/>
        <v>34</v>
      </c>
      <c r="E103" s="125">
        <f t="shared" si="78"/>
        <v>14</v>
      </c>
      <c r="F103" s="125">
        <f t="shared" si="79"/>
        <v>19</v>
      </c>
      <c r="G103" s="125">
        <f t="shared" si="80"/>
        <v>6</v>
      </c>
      <c r="L103" s="125" t="str">
        <f t="shared" si="81"/>
        <v>ok</v>
      </c>
    </row>
    <row r="104">
      <c r="A104" s="2"/>
      <c r="B104" s="36" t="str">
        <f>IFERROR(__xludf.DUMMYFUNCTION("""COMPUTED_VALUE"""),"Joe Luzzi")</f>
        <v>Joe Luzzi</v>
      </c>
      <c r="C104" s="125">
        <f>IFERROR(__xludf.DUMMYFUNCTION("""COMPUTED_VALUE"""),18.0)</f>
        <v>18</v>
      </c>
      <c r="D104" s="125">
        <f t="shared" si="77"/>
        <v>44</v>
      </c>
      <c r="E104" s="125">
        <f t="shared" si="78"/>
        <v>26</v>
      </c>
      <c r="F104" s="125">
        <f t="shared" si="79"/>
        <v>18</v>
      </c>
      <c r="G104" s="125">
        <f t="shared" si="80"/>
        <v>7</v>
      </c>
      <c r="L104" s="125" t="str">
        <f t="shared" si="81"/>
        <v>ok</v>
      </c>
    </row>
    <row r="105">
      <c r="A105" s="2"/>
      <c r="B105" s="36" t="str">
        <f>IFERROR(__xludf.DUMMYFUNCTION("""COMPUTED_VALUE"""),"Basudev Thoppai Vidyasankar")</f>
        <v>Basudev Thoppai Vidyasankar</v>
      </c>
      <c r="C105" s="125">
        <f>IFERROR(__xludf.DUMMYFUNCTION("""COMPUTED_VALUE"""),13.0)</f>
        <v>13</v>
      </c>
      <c r="D105" s="125">
        <f t="shared" si="77"/>
        <v>23</v>
      </c>
      <c r="E105" s="125">
        <f t="shared" si="78"/>
        <v>10</v>
      </c>
      <c r="F105" s="125">
        <f t="shared" si="79"/>
        <v>19</v>
      </c>
      <c r="G105" s="125">
        <f t="shared" si="80"/>
        <v>4</v>
      </c>
      <c r="L105" s="125" t="str">
        <f t="shared" si="81"/>
        <v>ok</v>
      </c>
    </row>
    <row r="106">
      <c r="A106" s="2"/>
      <c r="B106" s="36" t="str">
        <f>IFERROR(__xludf.DUMMYFUNCTION("""COMPUTED_VALUE"""),"Sanjaye Elayattu")</f>
        <v>Sanjaye Elayattu</v>
      </c>
      <c r="C106" s="125">
        <f>IFERROR(__xludf.DUMMYFUNCTION("""COMPUTED_VALUE"""),11.0)</f>
        <v>11</v>
      </c>
      <c r="D106" s="125">
        <f t="shared" si="77"/>
        <v>45</v>
      </c>
      <c r="E106" s="125">
        <f t="shared" si="78"/>
        <v>34</v>
      </c>
      <c r="F106" s="125">
        <f t="shared" si="79"/>
        <v>14</v>
      </c>
      <c r="G106" s="125">
        <f t="shared" si="80"/>
        <v>7</v>
      </c>
      <c r="L106" s="125" t="str">
        <f t="shared" si="81"/>
        <v>ok</v>
      </c>
    </row>
    <row r="107">
      <c r="A107" s="2"/>
      <c r="B107" s="36" t="str">
        <f>IFERROR(__xludf.DUMMYFUNCTION("""COMPUTED_VALUE"""),"Vinotkumar Nagappan")</f>
        <v>Vinotkumar Nagappan</v>
      </c>
      <c r="C107" s="125">
        <f>IFERROR(__xludf.DUMMYFUNCTION("""COMPUTED_VALUE"""),10.0)</f>
        <v>10</v>
      </c>
      <c r="D107" s="125">
        <f t="shared" si="77"/>
        <v>22</v>
      </c>
      <c r="E107" s="125">
        <f t="shared" si="78"/>
        <v>12</v>
      </c>
      <c r="F107" s="125">
        <f t="shared" si="79"/>
        <v>16</v>
      </c>
      <c r="G107" s="125">
        <f t="shared" si="80"/>
        <v>4</v>
      </c>
      <c r="L107" s="125" t="str">
        <f t="shared" si="81"/>
        <v>ok</v>
      </c>
    </row>
    <row r="108">
      <c r="A108" s="2"/>
      <c r="B108" s="36" t="str">
        <f>IFERROR(__xludf.DUMMYFUNCTION("""COMPUTED_VALUE"""),"Sandeep Kamalon")</f>
        <v>Sandeep Kamalon</v>
      </c>
      <c r="C108" s="125">
        <f>IFERROR(__xludf.DUMMYFUNCTION("""COMPUTED_VALUE"""),9.0)</f>
        <v>9</v>
      </c>
      <c r="D108" s="125">
        <f t="shared" si="77"/>
        <v>27</v>
      </c>
      <c r="E108" s="125">
        <f t="shared" si="78"/>
        <v>18</v>
      </c>
      <c r="F108" s="125">
        <f t="shared" si="79"/>
        <v>16</v>
      </c>
      <c r="G108" s="125">
        <f t="shared" si="80"/>
        <v>5</v>
      </c>
      <c r="L108" s="125" t="str">
        <f t="shared" si="81"/>
        <v>ok</v>
      </c>
    </row>
    <row r="109">
      <c r="A109" s="2"/>
      <c r="B109" s="36" t="str">
        <f>IFERROR(__xludf.DUMMYFUNCTION("""COMPUTED_VALUE"""),"Trish Newlin")</f>
        <v>Trish Newlin</v>
      </c>
      <c r="C109" s="125">
        <f>IFERROR(__xludf.DUMMYFUNCTION("""COMPUTED_VALUE"""),9.0)</f>
        <v>9</v>
      </c>
      <c r="D109" s="125">
        <f t="shared" si="77"/>
        <v>48</v>
      </c>
      <c r="E109" s="125">
        <f t="shared" si="78"/>
        <v>39</v>
      </c>
      <c r="F109" s="125">
        <f t="shared" si="79"/>
        <v>13</v>
      </c>
      <c r="G109" s="125">
        <f t="shared" si="80"/>
        <v>7</v>
      </c>
      <c r="L109" s="125" t="str">
        <f t="shared" si="81"/>
        <v>ok</v>
      </c>
    </row>
    <row r="110">
      <c r="A110" s="2"/>
      <c r="B110" s="36" t="str">
        <f>IFERROR(__xludf.DUMMYFUNCTION("""COMPUTED_VALUE"""),"Ramesh Bandaru")</f>
        <v>Ramesh Bandaru</v>
      </c>
      <c r="C110" s="125">
        <f>IFERROR(__xludf.DUMMYFUNCTION("""COMPUTED_VALUE"""),7.0)</f>
        <v>7</v>
      </c>
      <c r="D110" s="125">
        <f t="shared" si="77"/>
        <v>39</v>
      </c>
      <c r="E110" s="125">
        <f t="shared" si="78"/>
        <v>32</v>
      </c>
      <c r="F110" s="125">
        <f t="shared" si="79"/>
        <v>13</v>
      </c>
      <c r="G110" s="125">
        <f t="shared" si="80"/>
        <v>6</v>
      </c>
      <c r="L110" s="125" t="str">
        <f t="shared" si="81"/>
        <v>ok</v>
      </c>
    </row>
    <row r="111">
      <c r="A111" s="2"/>
      <c r="B111" s="36" t="str">
        <f>IFERROR(__xludf.DUMMYFUNCTION("""COMPUTED_VALUE"""),"Hongyuan Wen")</f>
        <v>Hongyuan Wen</v>
      </c>
      <c r="C111" s="125">
        <f>IFERROR(__xludf.DUMMYFUNCTION("""COMPUTED_VALUE"""),7.0)</f>
        <v>7</v>
      </c>
      <c r="D111" s="125">
        <f t="shared" si="77"/>
        <v>43</v>
      </c>
      <c r="E111" s="125">
        <f t="shared" si="78"/>
        <v>36</v>
      </c>
      <c r="F111" s="125">
        <f t="shared" si="79"/>
        <v>13</v>
      </c>
      <c r="G111" s="125">
        <f t="shared" si="80"/>
        <v>7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6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Rudy Tatang</v>
      </c>
      <c r="C120" s="125">
        <f t="shared" si="82"/>
        <v>83</v>
      </c>
      <c r="D120" s="125">
        <f t="shared" si="82"/>
        <v>9</v>
      </c>
      <c r="E120" s="125">
        <f t="shared" si="82"/>
        <v>14.8</v>
      </c>
      <c r="F120" s="2"/>
    </row>
    <row r="121">
      <c r="A121" s="125">
        <f t="shared" ref="A121:E121" si="83">A6</f>
        <v>2</v>
      </c>
      <c r="B121" s="36" t="str">
        <f t="shared" si="83"/>
        <v>Andrew Yao</v>
      </c>
      <c r="C121" s="125">
        <f t="shared" si="83"/>
        <v>77</v>
      </c>
      <c r="D121" s="125">
        <f t="shared" si="83"/>
        <v>8</v>
      </c>
      <c r="E121" s="125">
        <f t="shared" si="83"/>
        <v>12.8</v>
      </c>
      <c r="F121" s="2"/>
    </row>
    <row r="122">
      <c r="A122" s="125">
        <f t="shared" ref="A122:E122" si="84">A7</f>
        <v>3</v>
      </c>
      <c r="B122" s="36" t="str">
        <f t="shared" si="84"/>
        <v>Scott Li</v>
      </c>
      <c r="C122" s="125">
        <f t="shared" si="84"/>
        <v>77</v>
      </c>
      <c r="D122" s="125">
        <f t="shared" si="84"/>
        <v>8</v>
      </c>
      <c r="E122" s="125">
        <f t="shared" si="84"/>
        <v>12.8</v>
      </c>
      <c r="F122" s="2"/>
    </row>
    <row r="123">
      <c r="A123" s="125">
        <f t="shared" ref="A123:E123" si="85">A8</f>
        <v>4</v>
      </c>
      <c r="B123" s="36" t="str">
        <f t="shared" si="85"/>
        <v>Darren Wong</v>
      </c>
      <c r="C123" s="125">
        <f t="shared" si="85"/>
        <v>76</v>
      </c>
      <c r="D123" s="125">
        <f t="shared" si="85"/>
        <v>8</v>
      </c>
      <c r="E123" s="125">
        <f t="shared" si="85"/>
        <v>15</v>
      </c>
      <c r="F123" s="2"/>
    </row>
    <row r="124">
      <c r="A124" s="125">
        <f t="shared" ref="A124:E124" si="86">A9</f>
        <v>5</v>
      </c>
      <c r="B124" s="36" t="str">
        <f t="shared" si="86"/>
        <v>David Shin</v>
      </c>
      <c r="C124" s="125">
        <f t="shared" si="86"/>
        <v>75</v>
      </c>
      <c r="D124" s="125">
        <f t="shared" si="86"/>
        <v>8</v>
      </c>
      <c r="E124" s="125">
        <f t="shared" si="86"/>
        <v>12.4</v>
      </c>
      <c r="F124" s="2"/>
    </row>
    <row r="125">
      <c r="A125" s="125">
        <f t="shared" ref="A125:E125" si="87">A10</f>
        <v>6</v>
      </c>
      <c r="B125" s="36" t="str">
        <f t="shared" si="87"/>
        <v>Jonathan Phan</v>
      </c>
      <c r="C125" s="125">
        <f t="shared" si="87"/>
        <v>72</v>
      </c>
      <c r="D125" s="125">
        <f t="shared" si="87"/>
        <v>6</v>
      </c>
      <c r="E125" s="125">
        <f t="shared" si="87"/>
        <v>13.66666667</v>
      </c>
      <c r="F125" s="2"/>
    </row>
    <row r="126">
      <c r="A126" s="125">
        <f t="shared" ref="A126:E126" si="88">A11</f>
        <v>7</v>
      </c>
      <c r="B126" s="36" t="str">
        <f t="shared" si="88"/>
        <v>Ted Shen</v>
      </c>
      <c r="C126" s="125">
        <f t="shared" si="88"/>
        <v>71</v>
      </c>
      <c r="D126" s="125">
        <f t="shared" si="88"/>
        <v>8</v>
      </c>
      <c r="E126" s="125">
        <f t="shared" si="88"/>
        <v>11.83333333</v>
      </c>
      <c r="F126" s="2"/>
    </row>
    <row r="127">
      <c r="A127" s="125">
        <f t="shared" ref="A127:E127" si="89">A12</f>
        <v>8</v>
      </c>
      <c r="B127" s="36" t="str">
        <f t="shared" si="89"/>
        <v>Ruben Ron</v>
      </c>
      <c r="C127" s="125">
        <f t="shared" si="89"/>
        <v>71</v>
      </c>
      <c r="D127" s="125">
        <f t="shared" si="89"/>
        <v>5</v>
      </c>
      <c r="E127" s="125">
        <f t="shared" si="89"/>
        <v>11.25</v>
      </c>
      <c r="F127" s="2"/>
    </row>
    <row r="128">
      <c r="A128" s="125">
        <f t="shared" ref="A128:E128" si="90">A13</f>
        <v>9</v>
      </c>
      <c r="B128" s="36" t="str">
        <f t="shared" si="90"/>
        <v>Chinna Ponnaganti</v>
      </c>
      <c r="C128" s="125">
        <f t="shared" si="90"/>
        <v>70</v>
      </c>
      <c r="D128" s="125">
        <f t="shared" si="90"/>
        <v>5</v>
      </c>
      <c r="E128" s="125">
        <f t="shared" si="90"/>
        <v>11.4</v>
      </c>
      <c r="F128" s="2"/>
    </row>
    <row r="129">
      <c r="A129" s="125">
        <f t="shared" ref="A129:E129" si="91">A14</f>
        <v>10</v>
      </c>
      <c r="B129" s="36" t="str">
        <f t="shared" si="91"/>
        <v>Basudev Thoppai Vidyasankar</v>
      </c>
      <c r="C129" s="125">
        <f t="shared" si="91"/>
        <v>69</v>
      </c>
      <c r="D129" s="125">
        <f t="shared" si="91"/>
        <v>7</v>
      </c>
      <c r="E129" s="125">
        <f t="shared" si="91"/>
        <v>14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IFERROR(__xludf.DUMMYFUNCTION("""COMPUTED_VALUE"""),"Eric Tan")</f>
        <v>Eric Tan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IFERROR(__xludf.DUMMYFUNCTION("""COMPUTED_VALUE"""),"Erik Hoeckmann")</f>
        <v>Erik Hoeckmann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IFERROR(__xludf.DUMMYFUNCTION("""COMPUTED_VALUE"""),"Joe Luzzi")</f>
        <v>Joe Luzzi</v>
      </c>
      <c r="C140" s="2"/>
      <c r="D140" s="2"/>
      <c r="E140" s="2"/>
      <c r="F140" s="2"/>
    </row>
    <row r="141">
      <c r="A141" s="125">
        <f t="shared" si="92"/>
        <v>5</v>
      </c>
      <c r="B141" s="36" t="str">
        <f>IFERROR(__xludf.DUMMYFUNCTION("""COMPUTED_VALUE"""),"Ted Shen")</f>
        <v>Ted Shen</v>
      </c>
      <c r="C141" s="2"/>
      <c r="D141" s="2"/>
      <c r="E141" s="2"/>
      <c r="F141" s="2"/>
    </row>
    <row r="142">
      <c r="A142" s="125">
        <f t="shared" si="92"/>
        <v>6</v>
      </c>
      <c r="B142" s="36" t="str">
        <f>IFERROR(__xludf.DUMMYFUNCTION("""COMPUTED_VALUE"""),"Vinotkumar Nagappan")</f>
        <v>Vinotkumar Nagappan</v>
      </c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08/01/26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IFERROR(__xludf.DUMMYFUNCTION("""COMPUTED_VALUE"""),"Rudy Tatang")</f>
        <v>Rudy Tatang</v>
      </c>
      <c r="C239" s="131">
        <f>IFERROR(__xludf.DUMMYFUNCTION("""COMPUTED_VALUE"""),6.0)</f>
        <v>6</v>
      </c>
      <c r="D239" s="131">
        <f>IFERROR(__xludf.DUMMYFUNCTION("""COMPUTED_VALUE"""),6.0)</f>
        <v>6</v>
      </c>
      <c r="E239" s="131">
        <f>IFERROR(__xludf.DUMMYFUNCTION("""COMPUTED_VALUE"""),6.0)</f>
        <v>6</v>
      </c>
      <c r="F239" s="131">
        <f>IFERROR(__xludf.DUMMYFUNCTION("""COMPUTED_VALUE"""),18.0)</f>
        <v>18</v>
      </c>
      <c r="G239" s="131">
        <f>IFERROR(__xludf.DUMMYFUNCTION("""COMPUTED_VALUE"""),2.0)</f>
        <v>2</v>
      </c>
    </row>
    <row r="240">
      <c r="A240" s="125">
        <f>IFERROR(__xludf.DUMMYFUNCTION("""COMPUTED_VALUE"""),1.0)</f>
        <v>1</v>
      </c>
      <c r="B240" s="36" t="str">
        <f>IFERROR(__xludf.DUMMYFUNCTION("""COMPUTED_VALUE"""),"David Shin")</f>
        <v>David Shin</v>
      </c>
      <c r="C240" s="131">
        <f>IFERROR(__xludf.DUMMYFUNCTION("""COMPUTED_VALUE"""),7.0)</f>
        <v>7</v>
      </c>
      <c r="D240" s="131">
        <f>IFERROR(__xludf.DUMMYFUNCTION("""COMPUTED_VALUE"""),6.0)</f>
        <v>6</v>
      </c>
      <c r="E240" s="131">
        <f>IFERROR(__xludf.DUMMYFUNCTION("""COMPUTED_VALUE"""),2.0)</f>
        <v>2</v>
      </c>
      <c r="F240" s="131">
        <f>IFERROR(__xludf.DUMMYFUNCTION("""COMPUTED_VALUE"""),15.0)</f>
        <v>15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IFERROR(__xludf.DUMMYFUNCTION("""COMPUTED_VALUE"""),"Darren Wong")</f>
        <v>Darren Wong</v>
      </c>
      <c r="C241" s="131">
        <f>IFERROR(__xludf.DUMMYFUNCTION("""COMPUTED_VALUE"""),7.0)</f>
        <v>7</v>
      </c>
      <c r="D241" s="131">
        <f>IFERROR(__xludf.DUMMYFUNCTION("""COMPUTED_VALUE"""),4.0)</f>
        <v>4</v>
      </c>
      <c r="E241" s="131">
        <f>IFERROR(__xludf.DUMMYFUNCTION("""COMPUTED_VALUE"""),6.0)</f>
        <v>6</v>
      </c>
      <c r="F241" s="131">
        <f>IFERROR(__xludf.DUMMYFUNCTION("""COMPUTED_VALUE"""),17.0)</f>
        <v>17</v>
      </c>
      <c r="G241" s="131">
        <f>IFERROR(__xludf.DUMMYFUNCTION("""COMPUTED_VALUE"""),2.0)</f>
        <v>2</v>
      </c>
    </row>
    <row r="242">
      <c r="A242" s="125">
        <f>IFERROR(__xludf.DUMMYFUNCTION("""COMPUTED_VALUE"""),1.0)</f>
        <v>1</v>
      </c>
      <c r="B242" s="36" t="str">
        <f>IFERROR(__xludf.DUMMYFUNCTION("""COMPUTED_VALUE"""),"Ruben Ron")</f>
        <v>Ruben Ron</v>
      </c>
      <c r="C242" s="131">
        <f>IFERROR(__xludf.DUMMYFUNCTION("""COMPUTED_VALUE"""),6.0)</f>
        <v>6</v>
      </c>
      <c r="D242" s="131">
        <f>IFERROR(__xludf.DUMMYFUNCTION("""COMPUTED_VALUE"""),4.0)</f>
        <v>4</v>
      </c>
      <c r="E242" s="131">
        <f>IFERROR(__xludf.DUMMYFUNCTION("""COMPUTED_VALUE"""),2.0)</f>
        <v>2</v>
      </c>
      <c r="F242" s="131">
        <f>IFERROR(__xludf.DUMMYFUNCTION("""COMPUTED_VALUE"""),12.0)</f>
        <v>12</v>
      </c>
      <c r="G242" s="131">
        <f>IFERROR(__xludf.DUMMYFUNCTION("""COMPUTED_VALUE"""),0.0)</f>
        <v>0</v>
      </c>
    </row>
    <row r="243">
      <c r="A243" s="132">
        <f>IFERROR(__xludf.DUMMYFUNCTION("""COMPUTED_VALUE"""),2.0)</f>
        <v>2</v>
      </c>
      <c r="B243" s="133" t="str">
        <f>IFERROR(__xludf.DUMMYFUNCTION("""COMPUTED_VALUE"""),"Andrew Yao")</f>
        <v>Andrew Yao</v>
      </c>
      <c r="C243" s="134">
        <f>IFERROR(__xludf.DUMMYFUNCTION("""COMPUTED_VALUE"""),6.0)</f>
        <v>6</v>
      </c>
      <c r="D243" s="134">
        <f>IFERROR(__xludf.DUMMYFUNCTION("""COMPUTED_VALUE"""),6.0)</f>
        <v>6</v>
      </c>
      <c r="E243" s="134">
        <f>IFERROR(__xludf.DUMMYFUNCTION("""COMPUTED_VALUE"""),6.0)</f>
        <v>6</v>
      </c>
      <c r="F243" s="134">
        <f>IFERROR(__xludf.DUMMYFUNCTION("""COMPUTED_VALUE"""),18.0)</f>
        <v>18</v>
      </c>
      <c r="G243" s="134">
        <f>IFERROR(__xludf.DUMMYFUNCTION("""COMPUTED_VALUE"""),3.0)</f>
        <v>3</v>
      </c>
    </row>
    <row r="244">
      <c r="A244" s="132">
        <f>IFERROR(__xludf.DUMMYFUNCTION("""COMPUTED_VALUE"""),2.0)</f>
        <v>2</v>
      </c>
      <c r="B244" s="133" t="str">
        <f>IFERROR(__xludf.DUMMYFUNCTION("""COMPUTED_VALUE"""),"Ted Shen")</f>
        <v>Ted Shen</v>
      </c>
      <c r="C244" s="134">
        <f>IFERROR(__xludf.DUMMYFUNCTION("""COMPUTED_VALUE"""),3.0)</f>
        <v>3</v>
      </c>
      <c r="D244" s="134">
        <f>IFERROR(__xludf.DUMMYFUNCTION("""COMPUTED_VALUE"""),6.0)</f>
        <v>6</v>
      </c>
      <c r="E244" s="134">
        <f>IFERROR(__xludf.DUMMYFUNCTION("""COMPUTED_VALUE"""),4.0)</f>
        <v>4</v>
      </c>
      <c r="F244" s="134">
        <f>IFERROR(__xludf.DUMMYFUNCTION("""COMPUTED_VALUE"""),13.0)</f>
        <v>13</v>
      </c>
      <c r="G244" s="134">
        <f>IFERROR(__xludf.DUMMYFUNCTION("""COMPUTED_VALUE"""),1.0)</f>
        <v>1</v>
      </c>
    </row>
    <row r="245">
      <c r="A245" s="132">
        <f>IFERROR(__xludf.DUMMYFUNCTION("""COMPUTED_VALUE"""),2.0)</f>
        <v>2</v>
      </c>
      <c r="B245" s="133" t="str">
        <f>IFERROR(__xludf.DUMMYFUNCTION("""COMPUTED_VALUE"""),"Chinna Ponnaganti")</f>
        <v>Chinna Ponnaganti</v>
      </c>
      <c r="C245" s="134">
        <f>IFERROR(__xludf.DUMMYFUNCTION("""COMPUTED_VALUE"""),6.0)</f>
        <v>6</v>
      </c>
      <c r="D245" s="134">
        <f>IFERROR(__xludf.DUMMYFUNCTION("""COMPUTED_VALUE"""),4.0)</f>
        <v>4</v>
      </c>
      <c r="E245" s="134">
        <f>IFERROR(__xludf.DUMMYFUNCTION("""COMPUTED_VALUE"""),4.0)</f>
        <v>4</v>
      </c>
      <c r="F245" s="134">
        <f>IFERROR(__xludf.DUMMYFUNCTION("""COMPUTED_VALUE"""),14.0)</f>
        <v>14</v>
      </c>
      <c r="G245" s="134">
        <f>IFERROR(__xludf.DUMMYFUNCTION("""COMPUTED_VALUE"""),1.0)</f>
        <v>1</v>
      </c>
    </row>
    <row r="246">
      <c r="A246" s="132">
        <f>IFERROR(__xludf.DUMMYFUNCTION("""COMPUTED_VALUE"""),2.0)</f>
        <v>2</v>
      </c>
      <c r="B246" s="133" t="str">
        <f>IFERROR(__xludf.DUMMYFUNCTION("""COMPUTED_VALUE"""),"Suleman Alidina")</f>
        <v>Suleman Alidina</v>
      </c>
      <c r="C246" s="134">
        <f>IFERROR(__xludf.DUMMYFUNCTION("""COMPUTED_VALUE"""),3.0)</f>
        <v>3</v>
      </c>
      <c r="D246" s="134">
        <f>IFERROR(__xludf.DUMMYFUNCTION("""COMPUTED_VALUE"""),4.0)</f>
        <v>4</v>
      </c>
      <c r="E246" s="134">
        <f>IFERROR(__xludf.DUMMYFUNCTION("""COMPUTED_VALUE"""),6.0)</f>
        <v>6</v>
      </c>
      <c r="F246" s="134">
        <f>IFERROR(__xludf.DUMMYFUNCTION("""COMPUTED_VALUE"""),13.0)</f>
        <v>13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IFERROR(__xludf.DUMMYFUNCTION("""COMPUTED_VALUE"""),"Herman Au")</f>
        <v>Herman Au</v>
      </c>
      <c r="C247" s="131">
        <f>IFERROR(__xludf.DUMMYFUNCTION("""COMPUTED_VALUE"""),6.0)</f>
        <v>6</v>
      </c>
      <c r="D247" s="131">
        <f>IFERROR(__xludf.DUMMYFUNCTION("""COMPUTED_VALUE"""),6.0)</f>
        <v>6</v>
      </c>
      <c r="E247" s="131">
        <f>IFERROR(__xludf.DUMMYFUNCTION("""COMPUTED_VALUE"""),1.0)</f>
        <v>1</v>
      </c>
      <c r="F247" s="131">
        <f>IFERROR(__xludf.DUMMYFUNCTION("""COMPUTED_VALUE"""),13.0)</f>
        <v>13</v>
      </c>
      <c r="G247" s="131">
        <f>IFERROR(__xludf.DUMMYFUNCTION("""COMPUTED_VALUE"""),2.0)</f>
        <v>2</v>
      </c>
    </row>
    <row r="248">
      <c r="A248" s="125">
        <f>IFERROR(__xludf.DUMMYFUNCTION("""COMPUTED_VALUE"""),3.0)</f>
        <v>3</v>
      </c>
      <c r="B248" s="36" t="str">
        <f>IFERROR(__xludf.DUMMYFUNCTION("""COMPUTED_VALUE"""),"Pavan Akkimsetty")</f>
        <v>Pavan Akkimsetty</v>
      </c>
      <c r="C248" s="131">
        <f>IFERROR(__xludf.DUMMYFUNCTION("""COMPUTED_VALUE"""),3.0)</f>
        <v>3</v>
      </c>
      <c r="D248" s="131">
        <f>IFERROR(__xludf.DUMMYFUNCTION("""COMPUTED_VALUE"""),6.0)</f>
        <v>6</v>
      </c>
      <c r="E248" s="131">
        <f>IFERROR(__xludf.DUMMYFUNCTION("""COMPUTED_VALUE"""),6.0)</f>
        <v>6</v>
      </c>
      <c r="F248" s="131">
        <f>IFERROR(__xludf.DUMMYFUNCTION("""COMPUTED_VALUE"""),15.0)</f>
        <v>15</v>
      </c>
      <c r="G248" s="131">
        <f>IFERROR(__xludf.DUMMYFUNCTION("""COMPUTED_VALUE"""),2.0)</f>
        <v>2</v>
      </c>
    </row>
    <row r="249">
      <c r="A249" s="125">
        <f>IFERROR(__xludf.DUMMYFUNCTION("""COMPUTED_VALUE"""),3.0)</f>
        <v>3</v>
      </c>
      <c r="B249" s="36" t="str">
        <f>IFERROR(__xludf.DUMMYFUNCTION("""COMPUTED_VALUE"""),"Elayaraja Thangaraj")</f>
        <v>Elayaraja Thangaraj</v>
      </c>
      <c r="C249" s="131">
        <f>IFERROR(__xludf.DUMMYFUNCTION("""COMPUTED_VALUE"""),6.0)</f>
        <v>6</v>
      </c>
      <c r="D249" s="131">
        <f>IFERROR(__xludf.DUMMYFUNCTION("""COMPUTED_VALUE"""),4.0)</f>
        <v>4</v>
      </c>
      <c r="E249" s="131">
        <f>IFERROR(__xludf.DUMMYFUNCTION("""COMPUTED_VALUE"""),6.0)</f>
        <v>6</v>
      </c>
      <c r="F249" s="131">
        <f>IFERROR(__xludf.DUMMYFUNCTION("""COMPUTED_VALUE"""),16.0)</f>
        <v>16</v>
      </c>
      <c r="G249" s="131">
        <f>IFERROR(__xludf.DUMMYFUNCTION("""COMPUTED_VALUE"""),2.0)</f>
        <v>2</v>
      </c>
    </row>
    <row r="250">
      <c r="A250" s="125">
        <f>IFERROR(__xludf.DUMMYFUNCTION("""COMPUTED_VALUE"""),3.0)</f>
        <v>3</v>
      </c>
      <c r="B250" s="36" t="str">
        <f>IFERROR(__xludf.DUMMYFUNCTION("""COMPUTED_VALUE"""),"Sean Chang")</f>
        <v>Sean Chang</v>
      </c>
      <c r="C250" s="131">
        <f>IFERROR(__xludf.DUMMYFUNCTION("""COMPUTED_VALUE"""),3.0)</f>
        <v>3</v>
      </c>
      <c r="D250" s="131">
        <f>IFERROR(__xludf.DUMMYFUNCTION("""COMPUTED_VALUE"""),4.0)</f>
        <v>4</v>
      </c>
      <c r="E250" s="131">
        <f>IFERROR(__xludf.DUMMYFUNCTION("""COMPUTED_VALUE"""),1.0)</f>
        <v>1</v>
      </c>
      <c r="F250" s="131">
        <f>IFERROR(__xludf.DUMMYFUNCTION("""COMPUTED_VALUE"""),8.0)</f>
        <v>8</v>
      </c>
      <c r="G250" s="131">
        <f>IFERROR(__xludf.DUMMYFUNCTION("""COMPUTED_VALUE"""),0.0)</f>
        <v>0</v>
      </c>
    </row>
    <row r="251">
      <c r="A251" s="132">
        <f>IFERROR(__xludf.DUMMYFUNCTION("""COMPUTED_VALUE"""),4.0)</f>
        <v>4</v>
      </c>
      <c r="B251" s="133" t="str">
        <f>IFERROR(__xludf.DUMMYFUNCTION("""COMPUTED_VALUE"""),"Erik Hoeckmann")</f>
        <v>Erik Hoeckmann</v>
      </c>
      <c r="C251" s="134">
        <f>IFERROR(__xludf.DUMMYFUNCTION("""COMPUTED_VALUE"""),4.0)</f>
        <v>4</v>
      </c>
      <c r="D251" s="134">
        <f>IFERROR(__xludf.DUMMYFUNCTION("""COMPUTED_VALUE"""),3.0)</f>
        <v>3</v>
      </c>
      <c r="E251" s="134">
        <f>IFERROR(__xludf.DUMMYFUNCTION("""COMPUTED_VALUE"""),7.0)</f>
        <v>7</v>
      </c>
      <c r="F251" s="134">
        <f>IFERROR(__xludf.DUMMYFUNCTION("""COMPUTED_VALUE"""),14.0)</f>
        <v>14</v>
      </c>
      <c r="G251" s="134">
        <f>IFERROR(__xludf.DUMMYFUNCTION("""COMPUTED_VALUE"""),1.0)</f>
        <v>1</v>
      </c>
    </row>
    <row r="252">
      <c r="A252" s="132">
        <f>IFERROR(__xludf.DUMMYFUNCTION("""COMPUTED_VALUE"""),4.0)</f>
        <v>4</v>
      </c>
      <c r="B252" s="133" t="str">
        <f>IFERROR(__xludf.DUMMYFUNCTION("""COMPUTED_VALUE"""),"Vinotkumar Nagappan")</f>
        <v>Vinotkumar Nagappan</v>
      </c>
      <c r="C252" s="134">
        <f>IFERROR(__xludf.DUMMYFUNCTION("""COMPUTED_VALUE"""),4.0)</f>
        <v>4</v>
      </c>
      <c r="D252" s="134">
        <f>IFERROR(__xludf.DUMMYFUNCTION("""COMPUTED_VALUE"""),6.0)</f>
        <v>6</v>
      </c>
      <c r="E252" s="134">
        <f>IFERROR(__xludf.DUMMYFUNCTION("""COMPUTED_VALUE"""),6.0)</f>
        <v>6</v>
      </c>
      <c r="F252" s="134">
        <f>IFERROR(__xludf.DUMMYFUNCTION("""COMPUTED_VALUE"""),16.0)</f>
        <v>16</v>
      </c>
      <c r="G252" s="134">
        <f>IFERROR(__xludf.DUMMYFUNCTION("""COMPUTED_VALUE"""),1.0)</f>
        <v>1</v>
      </c>
    </row>
    <row r="253">
      <c r="A253" s="132">
        <f>IFERROR(__xludf.DUMMYFUNCTION("""COMPUTED_VALUE"""),4.0)</f>
        <v>4</v>
      </c>
      <c r="B253" s="133" t="str">
        <f>IFERROR(__xludf.DUMMYFUNCTION("""COMPUTED_VALUE"""),"Basudev Thoppai Vidyasankar")</f>
        <v>Basudev Thoppai Vidyasankar</v>
      </c>
      <c r="C253" s="134">
        <f>IFERROR(__xludf.DUMMYFUNCTION("""COMPUTED_VALUE"""),6.0)</f>
        <v>6</v>
      </c>
      <c r="D253" s="134">
        <f>IFERROR(__xludf.DUMMYFUNCTION("""COMPUTED_VALUE"""),6.0)</f>
        <v>6</v>
      </c>
      <c r="E253" s="134">
        <f>IFERROR(__xludf.DUMMYFUNCTION("""COMPUTED_VALUE"""),7.0)</f>
        <v>7</v>
      </c>
      <c r="F253" s="134">
        <f>IFERROR(__xludf.DUMMYFUNCTION("""COMPUTED_VALUE"""),19.0)</f>
        <v>19</v>
      </c>
      <c r="G253" s="134">
        <f>IFERROR(__xludf.DUMMYFUNCTION("""COMPUTED_VALUE"""),3.0)</f>
        <v>3</v>
      </c>
    </row>
    <row r="254">
      <c r="A254" s="132">
        <f>IFERROR(__xludf.DUMMYFUNCTION("""COMPUTED_VALUE"""),4.0)</f>
        <v>4</v>
      </c>
      <c r="B254" s="133" t="str">
        <f>IFERROR(__xludf.DUMMYFUNCTION("""COMPUTED_VALUE"""),"Manish Anand")</f>
        <v>Manish Anand</v>
      </c>
      <c r="C254" s="134">
        <f>IFERROR(__xludf.DUMMYFUNCTION("""COMPUTED_VALUE"""),6.0)</f>
        <v>6</v>
      </c>
      <c r="D254" s="134">
        <f>IFERROR(__xludf.DUMMYFUNCTION("""COMPUTED_VALUE"""),3.0)</f>
        <v>3</v>
      </c>
      <c r="E254" s="134">
        <f>IFERROR(__xludf.DUMMYFUNCTION("""COMPUTED_VALUE"""),6.0)</f>
        <v>6</v>
      </c>
      <c r="F254" s="134">
        <f>IFERROR(__xludf.DUMMYFUNCTION("""COMPUTED_VALUE"""),15.0)</f>
        <v>15</v>
      </c>
      <c r="G254" s="134">
        <f>IFERROR(__xludf.DUMMYFUNCTION("""COMPUTED_VALUE"""),1.0)</f>
        <v>1</v>
      </c>
    </row>
    <row r="255">
      <c r="A255" s="125">
        <f>IFERROR(__xludf.DUMMYFUNCTION("""COMPUTED_VALUE"""),5.0)</f>
        <v>5</v>
      </c>
      <c r="B255" s="36" t="str">
        <f>IFERROR(__xludf.DUMMYFUNCTION("""COMPUTED_VALUE"""),"Pulkit Mathur")</f>
        <v>Pulkit Mathur</v>
      </c>
      <c r="C255" s="131">
        <f>IFERROR(__xludf.DUMMYFUNCTION("""COMPUTED_VALUE"""),6.0)</f>
        <v>6</v>
      </c>
      <c r="D255" s="131">
        <f>IFERROR(__xludf.DUMMYFUNCTION("""COMPUTED_VALUE"""),2.0)</f>
        <v>2</v>
      </c>
      <c r="E255" s="131">
        <f>IFERROR(__xludf.DUMMYFUNCTION("""COMPUTED_VALUE"""),6.0)</f>
        <v>6</v>
      </c>
      <c r="F255" s="131">
        <f>IFERROR(__xludf.DUMMYFUNCTION("""COMPUTED_VALUE"""),14.0)</f>
        <v>14</v>
      </c>
      <c r="G255" s="131">
        <f>IFERROR(__xludf.DUMMYFUNCTION("""COMPUTED_VALUE"""),2.0)</f>
        <v>2</v>
      </c>
    </row>
    <row r="256">
      <c r="A256" s="125">
        <f>IFERROR(__xludf.DUMMYFUNCTION("""COMPUTED_VALUE"""),5.0)</f>
        <v>5</v>
      </c>
      <c r="B256" s="36" t="str">
        <f>IFERROR(__xludf.DUMMYFUNCTION("""COMPUTED_VALUE"""),"Sandeep Kamalon")</f>
        <v>Sandeep Kamalon</v>
      </c>
      <c r="C256" s="131">
        <f>IFERROR(__xludf.DUMMYFUNCTION("""COMPUTED_VALUE"""),6.0)</f>
        <v>6</v>
      </c>
      <c r="D256" s="131">
        <f>IFERROR(__xludf.DUMMYFUNCTION("""COMPUTED_VALUE"""),6.0)</f>
        <v>6</v>
      </c>
      <c r="E256" s="131">
        <f>IFERROR(__xludf.DUMMYFUNCTION("""COMPUTED_VALUE"""),4.0)</f>
        <v>4</v>
      </c>
      <c r="F256" s="131">
        <f>IFERROR(__xludf.DUMMYFUNCTION("""COMPUTED_VALUE"""),16.0)</f>
        <v>16</v>
      </c>
      <c r="G256" s="131">
        <f>IFERROR(__xludf.DUMMYFUNCTION("""COMPUTED_VALUE"""),2.0)</f>
        <v>2</v>
      </c>
    </row>
    <row r="257">
      <c r="A257" s="125">
        <f>IFERROR(__xludf.DUMMYFUNCTION("""COMPUTED_VALUE"""),5.0)</f>
        <v>5</v>
      </c>
      <c r="B257" s="36" t="str">
        <f>IFERROR(__xludf.DUMMYFUNCTION("""COMPUTED_VALUE"""),"Camille Jung")</f>
        <v>Camille Jung</v>
      </c>
      <c r="C257" s="131">
        <f>IFERROR(__xludf.DUMMYFUNCTION("""COMPUTED_VALUE"""),0.0)</f>
        <v>0</v>
      </c>
      <c r="D257" s="131">
        <f>IFERROR(__xludf.DUMMYFUNCTION("""COMPUTED_VALUE"""),2.0)</f>
        <v>2</v>
      </c>
      <c r="E257" s="131">
        <f>IFERROR(__xludf.DUMMYFUNCTION("""COMPUTED_VALUE"""),4.0)</f>
        <v>4</v>
      </c>
      <c r="F257" s="131">
        <f>IFERROR(__xludf.DUMMYFUNCTION("""COMPUTED_VALUE"""),6.0)</f>
        <v>6</v>
      </c>
      <c r="G257" s="131">
        <f>IFERROR(__xludf.DUMMYFUNCTION("""COMPUTED_VALUE"""),0.0)</f>
        <v>0</v>
      </c>
    </row>
    <row r="258">
      <c r="A258" s="125">
        <f>IFERROR(__xludf.DUMMYFUNCTION("""COMPUTED_VALUE"""),5.0)</f>
        <v>5</v>
      </c>
      <c r="B258" s="36" t="str">
        <f>IFERROR(__xludf.DUMMYFUNCTION("""COMPUTED_VALUE"""),"Allen Zhang")</f>
        <v>Allen Zhang</v>
      </c>
      <c r="C258" s="131">
        <f>IFERROR(__xludf.DUMMYFUNCTION("""COMPUTED_VALUE"""),0.0)</f>
        <v>0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IFERROR(__xludf.DUMMYFUNCTION("""COMPUTED_VALUE"""),12.0)</f>
        <v>12</v>
      </c>
      <c r="G258" s="131">
        <f>IFERROR(__xludf.DUMMYFUNCTION("""COMPUTED_VALUE"""),2.0)</f>
        <v>2</v>
      </c>
    </row>
    <row r="259">
      <c r="A259" s="132">
        <f>IFERROR(__xludf.DUMMYFUNCTION("""COMPUTED_VALUE"""),6.0)</f>
        <v>6</v>
      </c>
      <c r="B259" s="133" t="str">
        <f>IFERROR(__xludf.DUMMYFUNCTION("""COMPUTED_VALUE"""),"Ethan Gu")</f>
        <v>Ethan Gu</v>
      </c>
      <c r="C259" s="134">
        <f>IFERROR(__xludf.DUMMYFUNCTION("""COMPUTED_VALUE"""),6.0)</f>
        <v>6</v>
      </c>
      <c r="D259" s="134">
        <f>IFERROR(__xludf.DUMMYFUNCTION("""COMPUTED_VALUE"""),5.0)</f>
        <v>5</v>
      </c>
      <c r="E259" s="134">
        <f>IFERROR(__xludf.DUMMYFUNCTION("""COMPUTED_VALUE"""),3.0)</f>
        <v>3</v>
      </c>
      <c r="F259" s="134">
        <f>IFERROR(__xludf.DUMMYFUNCTION("""COMPUTED_VALUE"""),14.0)</f>
        <v>14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IFERROR(__xludf.DUMMYFUNCTION("""COMPUTED_VALUE"""),"Mauricio Palacios")</f>
        <v>Mauricio Palacios</v>
      </c>
      <c r="C260" s="134">
        <f>IFERROR(__xludf.DUMMYFUNCTION("""COMPUTED_VALUE"""),6.0)</f>
        <v>6</v>
      </c>
      <c r="D260" s="134">
        <f>IFERROR(__xludf.DUMMYFUNCTION("""COMPUTED_VALUE"""),7.0)</f>
        <v>7</v>
      </c>
      <c r="E260" s="134">
        <f>IFERROR(__xludf.DUMMYFUNCTION("""COMPUTED_VALUE"""),6.0)</f>
        <v>6</v>
      </c>
      <c r="F260" s="134">
        <f>IFERROR(__xludf.DUMMYFUNCTION("""COMPUTED_VALUE"""),19.0)</f>
        <v>19</v>
      </c>
      <c r="G260" s="134">
        <f>IFERROR(__xludf.DUMMYFUNCTION("""COMPUTED_VALUE"""),3.0)</f>
        <v>3</v>
      </c>
    </row>
    <row r="261">
      <c r="A261" s="132">
        <f>IFERROR(__xludf.DUMMYFUNCTION("""COMPUTED_VALUE"""),6.0)</f>
        <v>6</v>
      </c>
      <c r="B261" s="133" t="str">
        <f>IFERROR(__xludf.DUMMYFUNCTION("""COMPUTED_VALUE"""),"Kumar Palakeel")</f>
        <v>Kumar Palakeel</v>
      </c>
      <c r="C261" s="134">
        <f>IFERROR(__xludf.DUMMYFUNCTION("""COMPUTED_VALUE"""),2.0)</f>
        <v>2</v>
      </c>
      <c r="D261" s="134">
        <f>IFERROR(__xludf.DUMMYFUNCTION("""COMPUTED_VALUE"""),7.0)</f>
        <v>7</v>
      </c>
      <c r="E261" s="134">
        <f>IFERROR(__xludf.DUMMYFUNCTION("""COMPUTED_VALUE"""),3.0)</f>
        <v>3</v>
      </c>
      <c r="F261" s="134">
        <f>IFERROR(__xludf.DUMMYFUNCTION("""COMPUTED_VALUE"""),12.0)</f>
        <v>12</v>
      </c>
      <c r="G261" s="134">
        <f>IFERROR(__xludf.DUMMYFUNCTION("""COMPUTED_VALUE"""),1.0)</f>
        <v>1</v>
      </c>
    </row>
    <row r="262">
      <c r="A262" s="132">
        <f>IFERROR(__xludf.DUMMYFUNCTION("""COMPUTED_VALUE"""),6.0)</f>
        <v>6</v>
      </c>
      <c r="B262" s="133" t="str">
        <f>IFERROR(__xludf.DUMMYFUNCTION("""COMPUTED_VALUE"""),"Ramesh Bandaru")</f>
        <v>Ramesh Bandaru</v>
      </c>
      <c r="C262" s="134">
        <f>IFERROR(__xludf.DUMMYFUNCTION("""COMPUTED_VALUE"""),2.0)</f>
        <v>2</v>
      </c>
      <c r="D262" s="134">
        <f>IFERROR(__xludf.DUMMYFUNCTION("""COMPUTED_VALUE"""),5.0)</f>
        <v>5</v>
      </c>
      <c r="E262" s="134">
        <f>IFERROR(__xludf.DUMMYFUNCTION("""COMPUTED_VALUE"""),6.0)</f>
        <v>6</v>
      </c>
      <c r="F262" s="134">
        <f>IFERROR(__xludf.DUMMYFUNCTION("""COMPUTED_VALUE"""),13.0)</f>
        <v>13</v>
      </c>
      <c r="G262" s="134">
        <f>IFERROR(__xludf.DUMMYFUNCTION("""COMPUTED_VALUE"""),1.0)</f>
        <v>1</v>
      </c>
    </row>
    <row r="263">
      <c r="A263" s="125">
        <f>IFERROR(__xludf.DUMMYFUNCTION("""COMPUTED_VALUE"""),7.0)</f>
        <v>7</v>
      </c>
      <c r="B263" s="36" t="str">
        <f>IFERROR(__xludf.DUMMYFUNCTION("""COMPUTED_VALUE"""),"Hongyuan Wen")</f>
        <v>Hongyuan Wen</v>
      </c>
      <c r="C263" s="131">
        <f>IFERROR(__xludf.DUMMYFUNCTION("""COMPUTED_VALUE"""),3.0)</f>
        <v>3</v>
      </c>
      <c r="D263" s="131">
        <f>IFERROR(__xludf.DUMMYFUNCTION("""COMPUTED_VALUE"""),6.0)</f>
        <v>6</v>
      </c>
      <c r="E263" s="131">
        <f>IFERROR(__xludf.DUMMYFUNCTION("""COMPUTED_VALUE"""),4.0)</f>
        <v>4</v>
      </c>
      <c r="F263" s="131">
        <f>IFERROR(__xludf.DUMMYFUNCTION("""COMPUTED_VALUE"""),13.0)</f>
        <v>13</v>
      </c>
      <c r="G263" s="131">
        <f>IFERROR(__xludf.DUMMYFUNCTION("""COMPUTED_VALUE"""),1.0)</f>
        <v>1</v>
      </c>
    </row>
    <row r="264">
      <c r="A264" s="125">
        <f>IFERROR(__xludf.DUMMYFUNCTION("""COMPUTED_VALUE"""),7.0)</f>
        <v>7</v>
      </c>
      <c r="B264" s="36" t="str">
        <f>IFERROR(__xludf.DUMMYFUNCTION("""COMPUTED_VALUE"""),"Joe Luzzi")</f>
        <v>Joe Luzzi</v>
      </c>
      <c r="C264" s="131">
        <f>IFERROR(__xludf.DUMMYFUNCTION("""COMPUTED_VALUE"""),6.0)</f>
        <v>6</v>
      </c>
      <c r="D264" s="131">
        <f>IFERROR(__xludf.DUMMYFUNCTION("""COMPUTED_VALUE"""),6.0)</f>
        <v>6</v>
      </c>
      <c r="E264" s="131">
        <f>IFERROR(__xludf.DUMMYFUNCTION("""COMPUTED_VALUE"""),6.0)</f>
        <v>6</v>
      </c>
      <c r="F264" s="131">
        <f>IFERROR(__xludf.DUMMYFUNCTION("""COMPUTED_VALUE"""),18.0)</f>
        <v>18</v>
      </c>
      <c r="G264" s="131">
        <f>IFERROR(__xludf.DUMMYFUNCTION("""COMPUTED_VALUE"""),3.0)</f>
        <v>3</v>
      </c>
    </row>
    <row r="265">
      <c r="A265" s="125">
        <f>IFERROR(__xludf.DUMMYFUNCTION("""COMPUTED_VALUE"""),7.0)</f>
        <v>7</v>
      </c>
      <c r="B265" s="36" t="str">
        <f>IFERROR(__xludf.DUMMYFUNCTION("""COMPUTED_VALUE"""),"Sanjaye Elayattu")</f>
        <v>Sanjaye Elayattu</v>
      </c>
      <c r="C265" s="131">
        <f>IFERROR(__xludf.DUMMYFUNCTION("""COMPUTED_VALUE"""),6.0)</f>
        <v>6</v>
      </c>
      <c r="D265" s="131">
        <f>IFERROR(__xludf.DUMMYFUNCTION("""COMPUTED_VALUE"""),4.0)</f>
        <v>4</v>
      </c>
      <c r="E265" s="131">
        <f>IFERROR(__xludf.DUMMYFUNCTION("""COMPUTED_VALUE"""),4.0)</f>
        <v>4</v>
      </c>
      <c r="F265" s="131">
        <f>IFERROR(__xludf.DUMMYFUNCTION("""COMPUTED_VALUE"""),14.0)</f>
        <v>14</v>
      </c>
      <c r="G265" s="131">
        <f>IFERROR(__xludf.DUMMYFUNCTION("""COMPUTED_VALUE"""),1.0)</f>
        <v>1</v>
      </c>
    </row>
    <row r="266">
      <c r="A266" s="125">
        <f>IFERROR(__xludf.DUMMYFUNCTION("""COMPUTED_VALUE"""),7.0)</f>
        <v>7</v>
      </c>
      <c r="B266" s="36" t="str">
        <f>IFERROR(__xludf.DUMMYFUNCTION("""COMPUTED_VALUE"""),"Trish Newlin")</f>
        <v>Trish Newlin</v>
      </c>
      <c r="C266" s="131">
        <f>IFERROR(__xludf.DUMMYFUNCTION("""COMPUTED_VALUE"""),3.0)</f>
        <v>3</v>
      </c>
      <c r="D266" s="131">
        <f>IFERROR(__xludf.DUMMYFUNCTION("""COMPUTED_VALUE"""),4.0)</f>
        <v>4</v>
      </c>
      <c r="E266" s="131">
        <f>IFERROR(__xludf.DUMMYFUNCTION("""COMPUTED_VALUE"""),6.0)</f>
        <v>6</v>
      </c>
      <c r="F266" s="131">
        <f>IFERROR(__xludf.DUMMYFUNCTION("""COMPUTED_VALUE"""),13.0)</f>
        <v>13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IFERROR(__xludf.DUMMYFUNCTION("""COMPUTED_VALUE"""),"Coco Yan")</f>
        <v>Coco Yan</v>
      </c>
      <c r="C267" s="134">
        <f>IFERROR(__xludf.DUMMYFUNCTION("""COMPUTED_VALUE"""),6.0)</f>
        <v>6</v>
      </c>
      <c r="D267" s="134">
        <f>IFERROR(__xludf.DUMMYFUNCTION("""COMPUTED_VALUE"""),1.0)</f>
        <v>1</v>
      </c>
      <c r="E267" s="134">
        <f>IFERROR(__xludf.DUMMYFUNCTION("""COMPUTED_VALUE"""),4.0)</f>
        <v>4</v>
      </c>
      <c r="F267" s="134">
        <f>IFERROR(__xludf.DUMMYFUNCTION("""COMPUTED_VALUE"""),11.0)</f>
        <v>11</v>
      </c>
      <c r="G267" s="134">
        <f>IFERROR(__xludf.DUMMYFUNCTION("""COMPUTED_VALUE"""),1.0)</f>
        <v>1</v>
      </c>
    </row>
    <row r="268">
      <c r="A268" s="132">
        <f>IFERROR(__xludf.DUMMYFUNCTION("""COMPUTED_VALUE"""),8.0)</f>
        <v>8</v>
      </c>
      <c r="B268" s="133" t="str">
        <f>IFERROR(__xludf.DUMMYFUNCTION("""COMPUTED_VALUE"""),"Eric Tan")</f>
        <v>Eric Tan</v>
      </c>
      <c r="C268" s="134">
        <f>IFERROR(__xludf.DUMMYFUNCTION("""COMPUTED_VALUE"""),2.0)</f>
        <v>2</v>
      </c>
      <c r="D268" s="134">
        <f>IFERROR(__xludf.DUMMYFUNCTION("""COMPUTED_VALUE"""),1.0)</f>
        <v>1</v>
      </c>
      <c r="E268" s="134">
        <f>IFERROR(__xludf.DUMMYFUNCTION("""COMPUTED_VALUE"""),6.0)</f>
        <v>6</v>
      </c>
      <c r="F268" s="134">
        <f>IFERROR(__xludf.DUMMYFUNCTION("""COMPUTED_VALUE"""),9.0)</f>
        <v>9</v>
      </c>
      <c r="G268" s="134">
        <f>IFERROR(__xludf.DUMMYFUNCTION("""COMPUTED_VALUE"""),1.0)</f>
        <v>1</v>
      </c>
    </row>
    <row r="269">
      <c r="A269" s="132">
        <f>IFERROR(__xludf.DUMMYFUNCTION("""COMPUTED_VALUE"""),8.0)</f>
        <v>8</v>
      </c>
      <c r="B269" s="133" t="str">
        <f>IFERROR(__xludf.DUMMYFUNCTION("""COMPUTED_VALUE"""),"Lenin Belangonda")</f>
        <v>Lenin Belangonda</v>
      </c>
      <c r="C269" s="134">
        <f>IFERROR(__xludf.DUMMYFUNCTION("""COMPUTED_VALUE"""),2.0)</f>
        <v>2</v>
      </c>
      <c r="D269" s="134">
        <f>IFERROR(__xludf.DUMMYFUNCTION("""COMPUTED_VALUE"""),6.0)</f>
        <v>6</v>
      </c>
      <c r="E269" s="134">
        <f>IFERROR(__xludf.DUMMYFUNCTION("""COMPUTED_VALUE"""),4.0)</f>
        <v>4</v>
      </c>
      <c r="F269" s="134">
        <f>IFERROR(__xludf.DUMMYFUNCTION("""COMPUTED_VALUE"""),12.0)</f>
        <v>12</v>
      </c>
      <c r="G269" s="134">
        <f>IFERROR(__xludf.DUMMYFUNCTION("""COMPUTED_VALUE"""),1.0)</f>
        <v>1</v>
      </c>
    </row>
    <row r="270">
      <c r="A270" s="132">
        <f>IFERROR(__xludf.DUMMYFUNCTION("""COMPUTED_VALUE"""),8.0)</f>
        <v>8</v>
      </c>
      <c r="B270" s="133" t="str">
        <f>IFERROR(__xludf.DUMMYFUNCTION("""COMPUTED_VALUE"""),"Naveen Raj")</f>
        <v>Naveen Raj</v>
      </c>
      <c r="C270" s="134">
        <f>IFERROR(__xludf.DUMMYFUNCTION("""COMPUTED_VALUE"""),6.0)</f>
        <v>6</v>
      </c>
      <c r="D270" s="134">
        <f>IFERROR(__xludf.DUMMYFUNCTION("""COMPUTED_VALUE"""),6.0)</f>
        <v>6</v>
      </c>
      <c r="E270" s="134">
        <f>IFERROR(__xludf.DUMMYFUNCTION("""COMPUTED_VALUE"""),6.0)</f>
        <v>6</v>
      </c>
      <c r="F270" s="134">
        <f>IFERROR(__xludf.DUMMYFUNCTION("""COMPUTED_VALUE"""),18.0)</f>
        <v>18</v>
      </c>
      <c r="G270" s="134">
        <f>IFERROR(__xludf.DUMMYFUNCTION("""COMPUTED_VALUE"""),3.0)</f>
        <v>3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46235.0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5.0</v>
      </c>
      <c r="E2" s="2"/>
      <c r="F2" s="2"/>
      <c r="R2" s="19"/>
      <c r="AC2" s="23" t="str">
        <f>TEXT(C1-7,"mm/dd/yy")</f>
        <v>07/25/26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80</v>
      </c>
      <c r="C5" s="37">
        <v>65.0</v>
      </c>
      <c r="D5" s="37">
        <v>7.0</v>
      </c>
      <c r="E5" s="42">
        <f t="shared" ref="E5:E71" si="2">if(S5&gt;0,(C5-(V5*9)-(T5*13))/S5,0)</f>
        <v>14</v>
      </c>
      <c r="F5" s="89">
        <v>2.0</v>
      </c>
      <c r="G5" s="90">
        <v>1.0</v>
      </c>
      <c r="H5" s="91">
        <v>0.0</v>
      </c>
      <c r="I5" s="90">
        <v>6.0</v>
      </c>
      <c r="J5" s="90">
        <v>6.0</v>
      </c>
      <c r="K5" s="90">
        <v>6.0</v>
      </c>
      <c r="L5" s="92">
        <v>18.0</v>
      </c>
      <c r="M5" s="90">
        <v>2.0</v>
      </c>
      <c r="N5" s="37">
        <f t="shared" ref="N5:O5" si="1">C5+L5</f>
        <v>83</v>
      </c>
      <c r="O5" s="37">
        <f t="shared" si="1"/>
        <v>9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4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1</v>
      </c>
      <c r="W5" s="52">
        <f t="shared" ref="W5:W71" si="7">vlookup(B5,indirect("'" &amp; AC$2 &amp; "'!B5:x71"),23,false)-X5</f>
        <v>3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131</v>
      </c>
      <c r="C6" s="37">
        <v>64.0</v>
      </c>
      <c r="D6" s="37">
        <v>8.0</v>
      </c>
      <c r="E6" s="42">
        <f t="shared" si="2"/>
        <v>12.75</v>
      </c>
      <c r="F6" s="89">
        <v>5.0</v>
      </c>
      <c r="G6" s="90">
        <v>0.0</v>
      </c>
      <c r="H6" s="91">
        <v>13.0</v>
      </c>
      <c r="I6" s="90">
        <v>0.0</v>
      </c>
      <c r="J6" s="90">
        <v>0.0</v>
      </c>
      <c r="K6" s="90">
        <v>0.0</v>
      </c>
      <c r="L6" s="92">
        <v>13.0</v>
      </c>
      <c r="M6" s="90">
        <v>0.0</v>
      </c>
      <c r="N6" s="37">
        <f t="shared" ref="N6:O6" si="3">C6+L6</f>
        <v>77</v>
      </c>
      <c r="O6" s="37">
        <f t="shared" si="3"/>
        <v>8</v>
      </c>
      <c r="P6" s="50" t="s">
        <v>60</v>
      </c>
      <c r="Q6" s="50" t="s">
        <v>60</v>
      </c>
      <c r="R6" s="50" t="s">
        <v>60</v>
      </c>
      <c r="S6" s="51">
        <f t="shared" si="4"/>
        <v>4</v>
      </c>
      <c r="T6" s="52">
        <f t="shared" si="5"/>
        <v>1</v>
      </c>
      <c r="U6" s="52"/>
      <c r="V6" s="51">
        <f t="shared" si="6"/>
        <v>0</v>
      </c>
      <c r="W6" s="52">
        <f t="shared" si="7"/>
        <v>0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115</v>
      </c>
      <c r="C7" s="37">
        <v>63.0</v>
      </c>
      <c r="D7" s="37">
        <v>6.0</v>
      </c>
      <c r="E7" s="42">
        <f t="shared" si="2"/>
        <v>13.66666667</v>
      </c>
      <c r="F7" s="89">
        <v>3.0</v>
      </c>
      <c r="G7" s="90">
        <v>0.0</v>
      </c>
      <c r="H7" s="91">
        <v>9.0</v>
      </c>
      <c r="I7" s="90">
        <v>0.0</v>
      </c>
      <c r="J7" s="90">
        <v>0.0</v>
      </c>
      <c r="K7" s="90">
        <v>0.0</v>
      </c>
      <c r="L7" s="92">
        <v>9.0</v>
      </c>
      <c r="M7" s="90">
        <v>0.0</v>
      </c>
      <c r="N7" s="37">
        <f t="shared" ref="N7:O7" si="11">C7+L7</f>
        <v>72</v>
      </c>
      <c r="O7" s="37">
        <f t="shared" si="11"/>
        <v>6</v>
      </c>
      <c r="P7" s="50" t="s">
        <v>60</v>
      </c>
      <c r="Q7" s="50" t="s">
        <v>60</v>
      </c>
      <c r="R7" s="50" t="s">
        <v>60</v>
      </c>
      <c r="S7" s="51">
        <f t="shared" si="4"/>
        <v>3</v>
      </c>
      <c r="T7" s="52">
        <f t="shared" si="5"/>
        <v>1</v>
      </c>
      <c r="U7" s="52"/>
      <c r="V7" s="51">
        <f t="shared" si="6"/>
        <v>1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88</v>
      </c>
      <c r="C8" s="37">
        <v>60.0</v>
      </c>
      <c r="D8" s="37">
        <v>6.0</v>
      </c>
      <c r="E8" s="42">
        <f t="shared" si="2"/>
        <v>11.75</v>
      </c>
      <c r="F8" s="89">
        <v>1.0</v>
      </c>
      <c r="G8" s="90">
        <v>1.0</v>
      </c>
      <c r="H8" s="91">
        <v>0.0</v>
      </c>
      <c r="I8" s="90">
        <v>7.0</v>
      </c>
      <c r="J8" s="90">
        <v>6.0</v>
      </c>
      <c r="K8" s="90">
        <v>2.0</v>
      </c>
      <c r="L8" s="92">
        <v>15.0</v>
      </c>
      <c r="M8" s="90">
        <v>2.0</v>
      </c>
      <c r="N8" s="37">
        <f t="shared" ref="N8:O8" si="13">C8+L8</f>
        <v>75</v>
      </c>
      <c r="O8" s="37">
        <f t="shared" si="13"/>
        <v>8</v>
      </c>
      <c r="P8" s="50" t="s">
        <v>60</v>
      </c>
      <c r="Q8" s="50" t="s">
        <v>60</v>
      </c>
      <c r="R8" s="50" t="s">
        <v>60</v>
      </c>
      <c r="S8" s="51">
        <f t="shared" si="4"/>
        <v>4</v>
      </c>
      <c r="T8" s="52">
        <f t="shared" si="5"/>
        <v>1</v>
      </c>
      <c r="U8" s="52"/>
      <c r="V8" s="51">
        <f t="shared" si="6"/>
        <v>0</v>
      </c>
      <c r="W8" s="52">
        <f t="shared" si="7"/>
        <v>9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92</v>
      </c>
      <c r="C9" s="37">
        <v>59.0</v>
      </c>
      <c r="D9" s="37">
        <v>6.0</v>
      </c>
      <c r="E9" s="42">
        <f t="shared" si="2"/>
        <v>12.33333333</v>
      </c>
      <c r="F9" s="89">
        <v>1.0</v>
      </c>
      <c r="G9" s="90">
        <v>1.0</v>
      </c>
      <c r="H9" s="91">
        <v>0.0</v>
      </c>
      <c r="I9" s="90">
        <v>7.0</v>
      </c>
      <c r="J9" s="90">
        <v>4.0</v>
      </c>
      <c r="K9" s="90">
        <v>6.0</v>
      </c>
      <c r="L9" s="92">
        <v>17.0</v>
      </c>
      <c r="M9" s="90">
        <v>2.0</v>
      </c>
      <c r="N9" s="37">
        <f t="shared" ref="N9:O9" si="14">C9+L9</f>
        <v>76</v>
      </c>
      <c r="O9" s="37">
        <f t="shared" si="14"/>
        <v>8</v>
      </c>
      <c r="P9" s="50" t="s">
        <v>60</v>
      </c>
      <c r="Q9" s="50" t="s">
        <v>60</v>
      </c>
      <c r="R9" s="50" t="s">
        <v>60</v>
      </c>
      <c r="S9" s="51">
        <f t="shared" si="4"/>
        <v>3</v>
      </c>
      <c r="T9" s="52">
        <f t="shared" si="5"/>
        <v>1</v>
      </c>
      <c r="U9" s="52"/>
      <c r="V9" s="51">
        <f t="shared" si="6"/>
        <v>1</v>
      </c>
      <c r="W9" s="52">
        <f t="shared" si="7"/>
        <v>-4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107</v>
      </c>
      <c r="C10" s="37">
        <v>59.0</v>
      </c>
      <c r="D10" s="37">
        <v>5.0</v>
      </c>
      <c r="E10" s="42">
        <f t="shared" si="2"/>
        <v>11</v>
      </c>
      <c r="F10" s="89">
        <v>1.0</v>
      </c>
      <c r="G10" s="90">
        <v>1.0</v>
      </c>
      <c r="H10" s="91">
        <v>0.0</v>
      </c>
      <c r="I10" s="90">
        <v>6.0</v>
      </c>
      <c r="J10" s="90">
        <v>4.0</v>
      </c>
      <c r="K10" s="90">
        <v>2.0</v>
      </c>
      <c r="L10" s="92">
        <v>12.0</v>
      </c>
      <c r="M10" s="90">
        <v>0.0</v>
      </c>
      <c r="N10" s="37">
        <f t="shared" ref="N10:O10" si="15">C10+L10</f>
        <v>71</v>
      </c>
      <c r="O10" s="37">
        <f t="shared" si="15"/>
        <v>5</v>
      </c>
      <c r="P10" s="50" t="s">
        <v>60</v>
      </c>
      <c r="Q10" s="50" t="s">
        <v>60</v>
      </c>
      <c r="R10" s="50" t="s">
        <v>60</v>
      </c>
      <c r="S10" s="51">
        <f t="shared" si="4"/>
        <v>3</v>
      </c>
      <c r="T10" s="52">
        <f t="shared" si="5"/>
        <v>2</v>
      </c>
      <c r="U10" s="52"/>
      <c r="V10" s="51">
        <f t="shared" si="6"/>
        <v>0</v>
      </c>
      <c r="W10" s="52">
        <f t="shared" si="7"/>
        <v>8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52</v>
      </c>
      <c r="C11" s="37">
        <v>59.0</v>
      </c>
      <c r="D11" s="37">
        <v>5.0</v>
      </c>
      <c r="E11" s="42">
        <f t="shared" si="2"/>
        <v>11.5</v>
      </c>
      <c r="F11" s="89">
        <v>1.0</v>
      </c>
      <c r="G11" s="90">
        <v>2.0</v>
      </c>
      <c r="H11" s="91">
        <v>0.0</v>
      </c>
      <c r="I11" s="90">
        <v>6.0</v>
      </c>
      <c r="J11" s="90">
        <v>6.0</v>
      </c>
      <c r="K11" s="90">
        <v>6.0</v>
      </c>
      <c r="L11" s="92">
        <v>18.0</v>
      </c>
      <c r="M11" s="90">
        <v>3.0</v>
      </c>
      <c r="N11" s="37">
        <f t="shared" ref="N11:O11" si="16">C11+L11</f>
        <v>77</v>
      </c>
      <c r="O11" s="37">
        <f t="shared" si="16"/>
        <v>8</v>
      </c>
      <c r="P11" s="50" t="s">
        <v>60</v>
      </c>
      <c r="Q11" s="50" t="s">
        <v>60</v>
      </c>
      <c r="R11" s="50" t="s">
        <v>60</v>
      </c>
      <c r="S11" s="51">
        <f t="shared" si="4"/>
        <v>4</v>
      </c>
      <c r="T11" s="52">
        <f t="shared" si="5"/>
        <v>1</v>
      </c>
      <c r="U11" s="52"/>
      <c r="V11" s="51">
        <f t="shared" si="6"/>
        <v>0</v>
      </c>
      <c r="W11" s="52">
        <f t="shared" si="7"/>
        <v>-1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140</v>
      </c>
      <c r="C12" s="37">
        <v>58.0</v>
      </c>
      <c r="D12" s="37">
        <v>7.0</v>
      </c>
      <c r="E12" s="42">
        <f t="shared" si="2"/>
        <v>11.6</v>
      </c>
      <c r="F12" s="89">
        <v>1.0</v>
      </c>
      <c r="G12" s="90">
        <v>2.0</v>
      </c>
      <c r="H12" s="91">
        <v>0.0</v>
      </c>
      <c r="I12" s="90">
        <v>3.0</v>
      </c>
      <c r="J12" s="90">
        <v>6.0</v>
      </c>
      <c r="K12" s="90">
        <v>4.0</v>
      </c>
      <c r="L12" s="92">
        <v>13.0</v>
      </c>
      <c r="M12" s="90">
        <v>1.0</v>
      </c>
      <c r="N12" s="37">
        <f t="shared" ref="N12:O12" si="17">C12+L12</f>
        <v>71</v>
      </c>
      <c r="O12" s="37">
        <f t="shared" si="17"/>
        <v>8</v>
      </c>
      <c r="P12" s="50" t="s">
        <v>60</v>
      </c>
      <c r="Q12" s="50" t="s">
        <v>60</v>
      </c>
      <c r="R12" s="50" t="s">
        <v>60</v>
      </c>
      <c r="S12" s="51">
        <f t="shared" si="4"/>
        <v>5</v>
      </c>
      <c r="T12" s="52">
        <f t="shared" si="5"/>
        <v>0</v>
      </c>
      <c r="U12" s="52"/>
      <c r="V12" s="51">
        <f t="shared" si="6"/>
        <v>0</v>
      </c>
      <c r="W12" s="52">
        <f t="shared" si="7"/>
        <v>-1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87</v>
      </c>
      <c r="C13" s="37">
        <v>56.0</v>
      </c>
      <c r="D13" s="37">
        <v>4.0</v>
      </c>
      <c r="E13" s="42">
        <f t="shared" si="2"/>
        <v>10.75</v>
      </c>
      <c r="F13" s="89">
        <v>1.0</v>
      </c>
      <c r="G13" s="90">
        <v>2.0</v>
      </c>
      <c r="H13" s="91">
        <v>0.0</v>
      </c>
      <c r="I13" s="90">
        <v>6.0</v>
      </c>
      <c r="J13" s="90">
        <v>4.0</v>
      </c>
      <c r="K13" s="90">
        <v>4.0</v>
      </c>
      <c r="L13" s="92">
        <v>14.0</v>
      </c>
      <c r="M13" s="90">
        <v>1.0</v>
      </c>
      <c r="N13" s="37">
        <f t="shared" ref="N13:O13" si="18">C13+L13</f>
        <v>70</v>
      </c>
      <c r="O13" s="37">
        <f t="shared" si="18"/>
        <v>5</v>
      </c>
      <c r="P13" s="50" t="s">
        <v>60</v>
      </c>
      <c r="Q13" s="50" t="s">
        <v>60</v>
      </c>
      <c r="R13" s="50" t="s">
        <v>60</v>
      </c>
      <c r="S13" s="51">
        <f t="shared" si="4"/>
        <v>4</v>
      </c>
      <c r="T13" s="52">
        <f t="shared" si="5"/>
        <v>1</v>
      </c>
      <c r="U13" s="52"/>
      <c r="V13" s="51">
        <f t="shared" si="6"/>
        <v>0</v>
      </c>
      <c r="W13" s="52">
        <f t="shared" si="7"/>
        <v>3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111</v>
      </c>
      <c r="C14" s="37">
        <v>55.0</v>
      </c>
      <c r="D14" s="37">
        <v>4.0</v>
      </c>
      <c r="E14" s="42">
        <f t="shared" si="2"/>
        <v>12.33333333</v>
      </c>
      <c r="F14" s="89">
        <v>3.0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64</v>
      </c>
      <c r="O14" s="37">
        <f t="shared" si="19"/>
        <v>4</v>
      </c>
      <c r="P14" s="50" t="s">
        <v>60</v>
      </c>
      <c r="Q14" s="50" t="s">
        <v>60</v>
      </c>
      <c r="R14" s="50" t="s">
        <v>60</v>
      </c>
      <c r="S14" s="51">
        <f t="shared" si="4"/>
        <v>3</v>
      </c>
      <c r="T14" s="52">
        <f t="shared" si="5"/>
        <v>0</v>
      </c>
      <c r="U14" s="52"/>
      <c r="V14" s="51">
        <f t="shared" si="6"/>
        <v>2</v>
      </c>
      <c r="W14" s="52">
        <f t="shared" si="7"/>
        <v>1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126</v>
      </c>
      <c r="C15" s="37">
        <v>55.0</v>
      </c>
      <c r="D15" s="37">
        <v>4.0</v>
      </c>
      <c r="E15" s="42">
        <f t="shared" si="2"/>
        <v>11</v>
      </c>
      <c r="F15" s="89">
        <v>3.0</v>
      </c>
      <c r="G15" s="90">
        <v>0.0</v>
      </c>
      <c r="H15" s="91">
        <v>9.0</v>
      </c>
      <c r="I15" s="90">
        <v>0.0</v>
      </c>
      <c r="J15" s="90">
        <v>0.0</v>
      </c>
      <c r="K15" s="90">
        <v>0.0</v>
      </c>
      <c r="L15" s="92">
        <v>9.0</v>
      </c>
      <c r="M15" s="90">
        <v>0.0</v>
      </c>
      <c r="N15" s="37">
        <f t="shared" ref="N15:O15" si="20">C15+L15</f>
        <v>64</v>
      </c>
      <c r="O15" s="37">
        <f t="shared" si="20"/>
        <v>4</v>
      </c>
      <c r="P15" s="50" t="s">
        <v>60</v>
      </c>
      <c r="Q15" s="50" t="s">
        <v>60</v>
      </c>
      <c r="R15" s="50" t="s">
        <v>60</v>
      </c>
      <c r="S15" s="51">
        <f t="shared" si="4"/>
        <v>3</v>
      </c>
      <c r="T15" s="52">
        <f t="shared" si="5"/>
        <v>1</v>
      </c>
      <c r="U15" s="52"/>
      <c r="V15" s="51">
        <f t="shared" si="6"/>
        <v>1</v>
      </c>
      <c r="W15" s="52">
        <f t="shared" si="7"/>
        <v>-3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68</v>
      </c>
      <c r="C16" s="37">
        <v>54.0</v>
      </c>
      <c r="D16" s="37">
        <v>6.0</v>
      </c>
      <c r="E16" s="42">
        <f t="shared" si="2"/>
        <v>12</v>
      </c>
      <c r="F16" s="89">
        <v>3.0</v>
      </c>
      <c r="G16" s="90">
        <v>0.0</v>
      </c>
      <c r="H16" s="91">
        <v>9.0</v>
      </c>
      <c r="I16" s="90">
        <v>0.0</v>
      </c>
      <c r="J16" s="90">
        <v>0.0</v>
      </c>
      <c r="K16" s="90">
        <v>0.0</v>
      </c>
      <c r="L16" s="92">
        <v>9.0</v>
      </c>
      <c r="M16" s="90">
        <v>0.0</v>
      </c>
      <c r="N16" s="37">
        <f t="shared" ref="N16:O16" si="21">C16+L16</f>
        <v>63</v>
      </c>
      <c r="O16" s="37">
        <f t="shared" si="21"/>
        <v>6</v>
      </c>
      <c r="P16" s="50" t="s">
        <v>60</v>
      </c>
      <c r="Q16" s="50" t="s">
        <v>60</v>
      </c>
      <c r="R16" s="50" t="s">
        <v>60</v>
      </c>
      <c r="S16" s="51">
        <f t="shared" si="4"/>
        <v>3</v>
      </c>
      <c r="T16" s="52">
        <f t="shared" si="5"/>
        <v>0</v>
      </c>
      <c r="U16" s="52"/>
      <c r="V16" s="51">
        <f t="shared" si="6"/>
        <v>2</v>
      </c>
      <c r="W16" s="52">
        <f t="shared" si="7"/>
        <v>-9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91</v>
      </c>
      <c r="C17" s="37">
        <v>53.0</v>
      </c>
      <c r="D17" s="37">
        <v>5.0</v>
      </c>
      <c r="E17" s="42">
        <f t="shared" si="2"/>
        <v>10.33333333</v>
      </c>
      <c r="F17" s="89">
        <v>5.0</v>
      </c>
      <c r="G17" s="90">
        <v>0.0</v>
      </c>
      <c r="H17" s="91">
        <v>13.0</v>
      </c>
      <c r="I17" s="90">
        <v>0.0</v>
      </c>
      <c r="J17" s="90">
        <v>0.0</v>
      </c>
      <c r="K17" s="90">
        <v>0.0</v>
      </c>
      <c r="L17" s="92">
        <v>13.0</v>
      </c>
      <c r="M17" s="90">
        <v>0.0</v>
      </c>
      <c r="N17" s="37">
        <f t="shared" ref="N17:O17" si="22">C17+L17</f>
        <v>66</v>
      </c>
      <c r="O17" s="37">
        <f t="shared" si="22"/>
        <v>5</v>
      </c>
      <c r="P17" s="50" t="s">
        <v>60</v>
      </c>
      <c r="Q17" s="50" t="s">
        <v>60</v>
      </c>
      <c r="R17" s="50" t="s">
        <v>60</v>
      </c>
      <c r="S17" s="51">
        <f t="shared" si="4"/>
        <v>3</v>
      </c>
      <c r="T17" s="52">
        <f t="shared" si="5"/>
        <v>1</v>
      </c>
      <c r="U17" s="52"/>
      <c r="V17" s="51">
        <f t="shared" si="6"/>
        <v>1</v>
      </c>
      <c r="W17" s="52">
        <f t="shared" si="7"/>
        <v>4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93</v>
      </c>
      <c r="C18" s="37">
        <v>53.0</v>
      </c>
      <c r="D18" s="37">
        <v>3.0</v>
      </c>
      <c r="E18" s="42">
        <f t="shared" si="2"/>
        <v>9</v>
      </c>
      <c r="F18" s="89">
        <v>1.0</v>
      </c>
      <c r="G18" s="90">
        <v>2.0</v>
      </c>
      <c r="H18" s="91">
        <v>0.0</v>
      </c>
      <c r="I18" s="90">
        <v>3.0</v>
      </c>
      <c r="J18" s="90">
        <v>4.0</v>
      </c>
      <c r="K18" s="90">
        <v>6.0</v>
      </c>
      <c r="L18" s="92">
        <v>13.0</v>
      </c>
      <c r="M18" s="90">
        <v>1.0</v>
      </c>
      <c r="N18" s="37">
        <f t="shared" ref="N18:O18" si="23">C18+L18</f>
        <v>66</v>
      </c>
      <c r="O18" s="37">
        <f t="shared" si="23"/>
        <v>4</v>
      </c>
      <c r="P18" s="50" t="s">
        <v>60</v>
      </c>
      <c r="Q18" s="50" t="s">
        <v>60</v>
      </c>
      <c r="R18" s="50" t="s">
        <v>60</v>
      </c>
      <c r="S18" s="51">
        <f t="shared" si="4"/>
        <v>2</v>
      </c>
      <c r="T18" s="52">
        <f t="shared" si="5"/>
        <v>2</v>
      </c>
      <c r="U18" s="52"/>
      <c r="V18" s="51">
        <f t="shared" si="6"/>
        <v>1</v>
      </c>
      <c r="W18" s="52">
        <f t="shared" si="7"/>
        <v>22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108</v>
      </c>
      <c r="C19" s="37">
        <v>53.0</v>
      </c>
      <c r="D19" s="37">
        <v>2.0</v>
      </c>
      <c r="E19" s="42">
        <f t="shared" si="2"/>
        <v>9</v>
      </c>
      <c r="F19" s="89">
        <v>1.0</v>
      </c>
      <c r="G19" s="90">
        <v>3.0</v>
      </c>
      <c r="H19" s="91">
        <v>0.0</v>
      </c>
      <c r="I19" s="90">
        <v>6.0</v>
      </c>
      <c r="J19" s="90">
        <v>6.0</v>
      </c>
      <c r="K19" s="90">
        <v>1.0</v>
      </c>
      <c r="L19" s="92">
        <v>13.0</v>
      </c>
      <c r="M19" s="90">
        <v>2.0</v>
      </c>
      <c r="N19" s="37">
        <f t="shared" ref="N19:O19" si="24">C19+L19</f>
        <v>66</v>
      </c>
      <c r="O19" s="37">
        <f t="shared" si="24"/>
        <v>4</v>
      </c>
      <c r="P19" s="50" t="s">
        <v>60</v>
      </c>
      <c r="Q19" s="50" t="s">
        <v>60</v>
      </c>
      <c r="R19" s="50" t="s">
        <v>60</v>
      </c>
      <c r="S19" s="51">
        <f t="shared" si="4"/>
        <v>3</v>
      </c>
      <c r="T19" s="52">
        <f t="shared" si="5"/>
        <v>2</v>
      </c>
      <c r="U19" s="52"/>
      <c r="V19" s="51">
        <f t="shared" si="6"/>
        <v>0</v>
      </c>
      <c r="W19" s="52">
        <f t="shared" si="7"/>
        <v>4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74</v>
      </c>
      <c r="C20" s="37">
        <v>51.0</v>
      </c>
      <c r="D20" s="37">
        <v>4.0</v>
      </c>
      <c r="E20" s="42">
        <f t="shared" si="2"/>
        <v>9.666666667</v>
      </c>
      <c r="F20" s="89">
        <v>1.0</v>
      </c>
      <c r="G20" s="90">
        <v>3.0</v>
      </c>
      <c r="H20" s="91">
        <v>0.0</v>
      </c>
      <c r="I20" s="90">
        <v>3.0</v>
      </c>
      <c r="J20" s="90">
        <v>6.0</v>
      </c>
      <c r="K20" s="90">
        <v>6.0</v>
      </c>
      <c r="L20" s="92">
        <v>15.0</v>
      </c>
      <c r="M20" s="90">
        <v>2.0</v>
      </c>
      <c r="N20" s="37">
        <f t="shared" ref="N20:O20" si="25">C20+L20</f>
        <v>66</v>
      </c>
      <c r="O20" s="37">
        <f t="shared" si="25"/>
        <v>6</v>
      </c>
      <c r="P20" s="50" t="s">
        <v>60</v>
      </c>
      <c r="Q20" s="50" t="s">
        <v>60</v>
      </c>
      <c r="R20" s="50" t="s">
        <v>60</v>
      </c>
      <c r="S20" s="51">
        <f t="shared" si="4"/>
        <v>3</v>
      </c>
      <c r="T20" s="52">
        <f t="shared" si="5"/>
        <v>1</v>
      </c>
      <c r="U20" s="52"/>
      <c r="V20" s="51">
        <f t="shared" si="6"/>
        <v>1</v>
      </c>
      <c r="W20" s="52">
        <f t="shared" si="7"/>
        <v>22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94</v>
      </c>
      <c r="C21" s="37">
        <v>51.0</v>
      </c>
      <c r="D21" s="37">
        <v>4.0</v>
      </c>
      <c r="E21" s="42">
        <f t="shared" si="2"/>
        <v>9.5</v>
      </c>
      <c r="F21" s="89">
        <v>1.0</v>
      </c>
      <c r="G21" s="90">
        <v>3.0</v>
      </c>
      <c r="H21" s="91">
        <v>0.0</v>
      </c>
      <c r="I21" s="90">
        <v>6.0</v>
      </c>
      <c r="J21" s="90">
        <v>4.0</v>
      </c>
      <c r="K21" s="90">
        <v>6.0</v>
      </c>
      <c r="L21" s="92">
        <v>16.0</v>
      </c>
      <c r="M21" s="90">
        <v>2.0</v>
      </c>
      <c r="N21" s="37">
        <f t="shared" ref="N21:O21" si="26">C21+L21</f>
        <v>67</v>
      </c>
      <c r="O21" s="37">
        <f t="shared" si="26"/>
        <v>6</v>
      </c>
      <c r="P21" s="50" t="s">
        <v>60</v>
      </c>
      <c r="Q21" s="50" t="s">
        <v>60</v>
      </c>
      <c r="R21" s="50" t="s">
        <v>60</v>
      </c>
      <c r="S21" s="51">
        <f t="shared" si="4"/>
        <v>4</v>
      </c>
      <c r="T21" s="52">
        <f t="shared" si="5"/>
        <v>1</v>
      </c>
      <c r="U21" s="52"/>
      <c r="V21" s="51">
        <f t="shared" si="6"/>
        <v>0</v>
      </c>
      <c r="W21" s="52">
        <f t="shared" si="7"/>
        <v>7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105</v>
      </c>
      <c r="C22" s="37">
        <v>51.0</v>
      </c>
      <c r="D22" s="37">
        <v>2.0</v>
      </c>
      <c r="E22" s="42">
        <f t="shared" si="2"/>
        <v>8</v>
      </c>
      <c r="F22" s="89">
        <v>1.0</v>
      </c>
      <c r="G22" s="90">
        <v>3.0</v>
      </c>
      <c r="H22" s="91">
        <v>0.0</v>
      </c>
      <c r="I22" s="90">
        <v>3.0</v>
      </c>
      <c r="J22" s="90">
        <v>4.0</v>
      </c>
      <c r="K22" s="90">
        <v>1.0</v>
      </c>
      <c r="L22" s="92">
        <v>8.0</v>
      </c>
      <c r="M22" s="90">
        <v>0.0</v>
      </c>
      <c r="N22" s="37">
        <f t="shared" ref="N22:O22" si="27">C22+L22</f>
        <v>59</v>
      </c>
      <c r="O22" s="37">
        <f t="shared" si="27"/>
        <v>2</v>
      </c>
      <c r="P22" s="50" t="s">
        <v>60</v>
      </c>
      <c r="Q22" s="50" t="s">
        <v>60</v>
      </c>
      <c r="R22" s="50" t="s">
        <v>60</v>
      </c>
      <c r="S22" s="51">
        <f t="shared" si="4"/>
        <v>2</v>
      </c>
      <c r="T22" s="52">
        <f t="shared" si="5"/>
        <v>2</v>
      </c>
      <c r="U22" s="52"/>
      <c r="V22" s="51">
        <f t="shared" si="6"/>
        <v>1</v>
      </c>
      <c r="W22" s="52">
        <f t="shared" si="7"/>
        <v>-9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118</v>
      </c>
      <c r="C23" s="37">
        <v>50.0</v>
      </c>
      <c r="D23" s="37">
        <v>6.0</v>
      </c>
      <c r="E23" s="42">
        <f t="shared" si="2"/>
        <v>9.25</v>
      </c>
      <c r="F23" s="89">
        <v>5.0</v>
      </c>
      <c r="G23" s="90">
        <v>0.0</v>
      </c>
      <c r="H23" s="91">
        <v>13.0</v>
      </c>
      <c r="I23" s="90">
        <v>0.0</v>
      </c>
      <c r="J23" s="90">
        <v>0.0</v>
      </c>
      <c r="K23" s="90">
        <v>0.0</v>
      </c>
      <c r="L23" s="92">
        <v>13.0</v>
      </c>
      <c r="M23" s="90">
        <v>0.0</v>
      </c>
      <c r="N23" s="37">
        <f t="shared" ref="N23:O23" si="28">C23+L23</f>
        <v>63</v>
      </c>
      <c r="O23" s="37">
        <f t="shared" si="28"/>
        <v>6</v>
      </c>
      <c r="P23" s="50" t="s">
        <v>60</v>
      </c>
      <c r="Q23" s="50" t="s">
        <v>60</v>
      </c>
      <c r="R23" s="50" t="s">
        <v>60</v>
      </c>
      <c r="S23" s="51">
        <f t="shared" si="4"/>
        <v>4</v>
      </c>
      <c r="T23" s="52">
        <f t="shared" si="5"/>
        <v>1</v>
      </c>
      <c r="U23" s="52"/>
      <c r="V23" s="51">
        <f t="shared" si="6"/>
        <v>0</v>
      </c>
      <c r="W23" s="52">
        <f t="shared" si="7"/>
        <v>1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121</v>
      </c>
      <c r="C24" s="37">
        <v>50.0</v>
      </c>
      <c r="D24" s="37">
        <v>5.0</v>
      </c>
      <c r="E24" s="42">
        <f t="shared" si="2"/>
        <v>11.5</v>
      </c>
      <c r="F24" s="89">
        <v>3.0</v>
      </c>
      <c r="G24" s="90">
        <v>0.0</v>
      </c>
      <c r="H24" s="91">
        <v>9.0</v>
      </c>
      <c r="I24" s="90">
        <v>0.0</v>
      </c>
      <c r="J24" s="90">
        <v>0.0</v>
      </c>
      <c r="K24" s="90">
        <v>0.0</v>
      </c>
      <c r="L24" s="92">
        <v>9.0</v>
      </c>
      <c r="M24" s="90">
        <v>0.0</v>
      </c>
      <c r="N24" s="37">
        <f t="shared" ref="N24:O24" si="29">C24+L24</f>
        <v>59</v>
      </c>
      <c r="O24" s="37">
        <f t="shared" si="29"/>
        <v>5</v>
      </c>
      <c r="P24" s="50" t="s">
        <v>60</v>
      </c>
      <c r="Q24" s="50" t="s">
        <v>60</v>
      </c>
      <c r="R24" s="50" t="s">
        <v>60</v>
      </c>
      <c r="S24" s="51">
        <f t="shared" si="4"/>
        <v>2</v>
      </c>
      <c r="T24" s="52">
        <f t="shared" si="5"/>
        <v>0</v>
      </c>
      <c r="U24" s="52"/>
      <c r="V24" s="51">
        <f t="shared" si="6"/>
        <v>3</v>
      </c>
      <c r="W24" s="52">
        <f t="shared" si="7"/>
        <v>6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98</v>
      </c>
      <c r="C25" s="37">
        <v>50.0</v>
      </c>
      <c r="D25" s="37">
        <v>5.0</v>
      </c>
      <c r="E25" s="42">
        <f t="shared" si="2"/>
        <v>10</v>
      </c>
      <c r="F25" s="89">
        <v>1.0</v>
      </c>
      <c r="G25" s="90">
        <v>4.0</v>
      </c>
      <c r="H25" s="91">
        <v>0.0</v>
      </c>
      <c r="I25" s="90">
        <v>4.0</v>
      </c>
      <c r="J25" s="90">
        <v>3.0</v>
      </c>
      <c r="K25" s="90">
        <v>7.0</v>
      </c>
      <c r="L25" s="92">
        <v>14.0</v>
      </c>
      <c r="M25" s="90">
        <v>1.0</v>
      </c>
      <c r="N25" s="37">
        <f t="shared" ref="N25:O25" si="30">C25+L25</f>
        <v>64</v>
      </c>
      <c r="O25" s="37">
        <f t="shared" si="30"/>
        <v>6</v>
      </c>
      <c r="P25" s="50" t="s">
        <v>60</v>
      </c>
      <c r="Q25" s="50" t="s">
        <v>60</v>
      </c>
      <c r="R25" s="50" t="s">
        <v>60</v>
      </c>
      <c r="S25" s="51">
        <f t="shared" si="4"/>
        <v>5</v>
      </c>
      <c r="T25" s="52">
        <f t="shared" si="5"/>
        <v>0</v>
      </c>
      <c r="U25" s="52"/>
      <c r="V25" s="51">
        <f t="shared" si="6"/>
        <v>0</v>
      </c>
      <c r="W25" s="52">
        <f t="shared" si="7"/>
        <v>9</v>
      </c>
      <c r="X25" s="35">
        <f t="shared" si="12"/>
        <v>21</v>
      </c>
      <c r="Y25" s="35" t="str">
        <f t="shared" si="8"/>
        <v>Y</v>
      </c>
      <c r="Z25" s="22" t="str">
        <f t="shared" si="9"/>
        <v/>
      </c>
    </row>
    <row r="26">
      <c r="A26" s="35">
        <f t="shared" si="10"/>
        <v>22</v>
      </c>
      <c r="B26" s="36" t="s">
        <v>97</v>
      </c>
      <c r="C26" s="37">
        <v>50.0</v>
      </c>
      <c r="D26" s="37">
        <v>5.0</v>
      </c>
      <c r="E26" s="42">
        <f t="shared" si="2"/>
        <v>10</v>
      </c>
      <c r="F26" s="89">
        <v>1.0</v>
      </c>
      <c r="G26" s="90">
        <v>4.0</v>
      </c>
      <c r="H26" s="91">
        <v>0.0</v>
      </c>
      <c r="I26" s="90">
        <v>4.0</v>
      </c>
      <c r="J26" s="90">
        <v>6.0</v>
      </c>
      <c r="K26" s="90">
        <v>6.0</v>
      </c>
      <c r="L26" s="92">
        <v>16.0</v>
      </c>
      <c r="M26" s="90">
        <v>1.0</v>
      </c>
      <c r="N26" s="37">
        <f t="shared" ref="N26:O26" si="31">C26+L26</f>
        <v>66</v>
      </c>
      <c r="O26" s="37">
        <f t="shared" si="31"/>
        <v>6</v>
      </c>
      <c r="P26" s="50" t="s">
        <v>60</v>
      </c>
      <c r="Q26" s="50" t="s">
        <v>60</v>
      </c>
      <c r="R26" s="50" t="s">
        <v>60</v>
      </c>
      <c r="S26" s="51">
        <f t="shared" si="4"/>
        <v>5</v>
      </c>
      <c r="T26" s="52">
        <f t="shared" si="5"/>
        <v>0</v>
      </c>
      <c r="U26" s="52"/>
      <c r="V26" s="51">
        <f t="shared" si="6"/>
        <v>0</v>
      </c>
      <c r="W26" s="52">
        <f t="shared" si="7"/>
        <v>21</v>
      </c>
      <c r="X26" s="35">
        <f t="shared" si="12"/>
        <v>22</v>
      </c>
      <c r="Y26" s="35" t="str">
        <f t="shared" si="8"/>
        <v>Y</v>
      </c>
      <c r="Z26" s="22" t="str">
        <f t="shared" si="9"/>
        <v/>
      </c>
    </row>
    <row r="27">
      <c r="A27" s="35">
        <f t="shared" si="10"/>
        <v>23</v>
      </c>
      <c r="B27" s="36" t="s">
        <v>81</v>
      </c>
      <c r="C27" s="37">
        <v>50.0</v>
      </c>
      <c r="D27" s="37">
        <v>4.0</v>
      </c>
      <c r="E27" s="42">
        <f t="shared" si="2"/>
        <v>10.66666667</v>
      </c>
      <c r="F27" s="89">
        <v>1.0</v>
      </c>
      <c r="G27" s="90">
        <v>4.0</v>
      </c>
      <c r="H27" s="91">
        <v>0.0</v>
      </c>
      <c r="I27" s="90">
        <v>6.0</v>
      </c>
      <c r="J27" s="90">
        <v>6.0</v>
      </c>
      <c r="K27" s="90">
        <v>7.0</v>
      </c>
      <c r="L27" s="92">
        <v>19.0</v>
      </c>
      <c r="M27" s="90">
        <v>3.0</v>
      </c>
      <c r="N27" s="37">
        <f t="shared" ref="N27:O27" si="32">C27+L27</f>
        <v>69</v>
      </c>
      <c r="O27" s="37">
        <f t="shared" si="32"/>
        <v>7</v>
      </c>
      <c r="P27" s="50" t="s">
        <v>60</v>
      </c>
      <c r="Q27" s="50" t="s">
        <v>60</v>
      </c>
      <c r="R27" s="50" t="s">
        <v>60</v>
      </c>
      <c r="S27" s="51">
        <f t="shared" si="4"/>
        <v>3</v>
      </c>
      <c r="T27" s="52">
        <f t="shared" si="5"/>
        <v>0</v>
      </c>
      <c r="U27" s="52"/>
      <c r="V27" s="51">
        <f t="shared" si="6"/>
        <v>2</v>
      </c>
      <c r="W27" s="52">
        <f t="shared" si="7"/>
        <v>-13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130</v>
      </c>
      <c r="C28" s="37">
        <v>50.0</v>
      </c>
      <c r="D28" s="37">
        <v>4.0</v>
      </c>
      <c r="E28" s="42">
        <f t="shared" si="2"/>
        <v>9.5</v>
      </c>
      <c r="F28" s="89">
        <v>3.0</v>
      </c>
      <c r="G28" s="90">
        <v>0.0</v>
      </c>
      <c r="H28" s="91">
        <v>9.0</v>
      </c>
      <c r="I28" s="90">
        <v>0.0</v>
      </c>
      <c r="J28" s="90">
        <v>0.0</v>
      </c>
      <c r="K28" s="90">
        <v>0.0</v>
      </c>
      <c r="L28" s="92">
        <v>9.0</v>
      </c>
      <c r="M28" s="90">
        <v>0.0</v>
      </c>
      <c r="N28" s="37">
        <f t="shared" ref="N28:O28" si="33">C28+L28</f>
        <v>59</v>
      </c>
      <c r="O28" s="37">
        <f t="shared" si="33"/>
        <v>4</v>
      </c>
      <c r="P28" s="50" t="s">
        <v>60</v>
      </c>
      <c r="Q28" s="50" t="s">
        <v>60</v>
      </c>
      <c r="R28" s="50" t="s">
        <v>60</v>
      </c>
      <c r="S28" s="51">
        <f t="shared" si="4"/>
        <v>2</v>
      </c>
      <c r="T28" s="52">
        <f t="shared" si="5"/>
        <v>1</v>
      </c>
      <c r="U28" s="52"/>
      <c r="V28" s="51">
        <f t="shared" si="6"/>
        <v>2</v>
      </c>
      <c r="W28" s="52">
        <f t="shared" si="7"/>
        <v>-2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113</v>
      </c>
      <c r="C29" s="37">
        <v>50.0</v>
      </c>
      <c r="D29" s="37">
        <v>3.0</v>
      </c>
      <c r="E29" s="42">
        <f t="shared" si="2"/>
        <v>9.5</v>
      </c>
      <c r="F29" s="89">
        <v>1.0</v>
      </c>
      <c r="G29" s="90">
        <v>4.0</v>
      </c>
      <c r="H29" s="91">
        <v>0.0</v>
      </c>
      <c r="I29" s="90">
        <v>6.0</v>
      </c>
      <c r="J29" s="90">
        <v>3.0</v>
      </c>
      <c r="K29" s="90">
        <v>6.0</v>
      </c>
      <c r="L29" s="92">
        <v>15.0</v>
      </c>
      <c r="M29" s="90">
        <v>1.0</v>
      </c>
      <c r="N29" s="37">
        <f t="shared" ref="N29:O29" si="34">C29+L29</f>
        <v>65</v>
      </c>
      <c r="O29" s="37">
        <f t="shared" si="34"/>
        <v>4</v>
      </c>
      <c r="P29" s="50" t="s">
        <v>60</v>
      </c>
      <c r="Q29" s="50" t="s">
        <v>60</v>
      </c>
      <c r="R29" s="50" t="s">
        <v>60</v>
      </c>
      <c r="S29" s="51">
        <f t="shared" si="4"/>
        <v>2</v>
      </c>
      <c r="T29" s="52">
        <f t="shared" si="5"/>
        <v>1</v>
      </c>
      <c r="U29" s="52"/>
      <c r="V29" s="51">
        <f t="shared" si="6"/>
        <v>2</v>
      </c>
      <c r="W29" s="52">
        <f t="shared" si="7"/>
        <v>23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85</v>
      </c>
      <c r="C30" s="37">
        <v>49.0</v>
      </c>
      <c r="D30" s="37">
        <v>5.0</v>
      </c>
      <c r="E30" s="42">
        <f t="shared" si="2"/>
        <v>10.33333333</v>
      </c>
      <c r="F30" s="89">
        <v>1.0</v>
      </c>
      <c r="G30" s="90">
        <v>5.0</v>
      </c>
      <c r="H30" s="91">
        <v>0.0</v>
      </c>
      <c r="I30" s="90">
        <v>6.0</v>
      </c>
      <c r="J30" s="90">
        <v>2.0</v>
      </c>
      <c r="K30" s="90">
        <v>6.0</v>
      </c>
      <c r="L30" s="92">
        <v>14.0</v>
      </c>
      <c r="M30" s="90">
        <v>2.0</v>
      </c>
      <c r="N30" s="37">
        <f t="shared" ref="N30:O30" si="35">C30+L30</f>
        <v>63</v>
      </c>
      <c r="O30" s="37">
        <f t="shared" si="35"/>
        <v>7</v>
      </c>
      <c r="P30" s="50" t="s">
        <v>60</v>
      </c>
      <c r="Q30" s="50" t="s">
        <v>60</v>
      </c>
      <c r="R30" s="50" t="s">
        <v>60</v>
      </c>
      <c r="S30" s="51">
        <f t="shared" si="4"/>
        <v>3</v>
      </c>
      <c r="T30" s="52">
        <f t="shared" si="5"/>
        <v>0</v>
      </c>
      <c r="U30" s="52"/>
      <c r="V30" s="51">
        <f t="shared" si="6"/>
        <v>2</v>
      </c>
      <c r="W30" s="52">
        <f t="shared" si="7"/>
        <v>-11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122</v>
      </c>
      <c r="C31" s="37">
        <v>49.0</v>
      </c>
      <c r="D31" s="37">
        <v>5.0</v>
      </c>
      <c r="E31" s="42">
        <f t="shared" si="2"/>
        <v>10.33333333</v>
      </c>
      <c r="F31" s="89">
        <v>1.0</v>
      </c>
      <c r="G31" s="90">
        <v>5.0</v>
      </c>
      <c r="H31" s="91">
        <v>0.0</v>
      </c>
      <c r="I31" s="90">
        <v>6.0</v>
      </c>
      <c r="J31" s="90">
        <v>6.0</v>
      </c>
      <c r="K31" s="90">
        <v>4.0</v>
      </c>
      <c r="L31" s="92">
        <v>16.0</v>
      </c>
      <c r="M31" s="90">
        <v>2.0</v>
      </c>
      <c r="N31" s="37">
        <f t="shared" ref="N31:O31" si="36">C31+L31</f>
        <v>65</v>
      </c>
      <c r="O31" s="37">
        <f t="shared" si="36"/>
        <v>7</v>
      </c>
      <c r="P31" s="50" t="s">
        <v>60</v>
      </c>
      <c r="Q31" s="50" t="s">
        <v>60</v>
      </c>
      <c r="R31" s="50" t="s">
        <v>60</v>
      </c>
      <c r="S31" s="51">
        <f t="shared" si="4"/>
        <v>3</v>
      </c>
      <c r="T31" s="52">
        <f t="shared" si="5"/>
        <v>0</v>
      </c>
      <c r="U31" s="52"/>
      <c r="V31" s="51">
        <f t="shared" si="6"/>
        <v>2</v>
      </c>
      <c r="W31" s="52">
        <f t="shared" si="7"/>
        <v>-11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114</v>
      </c>
      <c r="C32" s="37">
        <v>49.0</v>
      </c>
      <c r="D32" s="37">
        <v>3.0</v>
      </c>
      <c r="E32" s="42">
        <f t="shared" si="2"/>
        <v>9</v>
      </c>
      <c r="F32" s="89">
        <v>3.0</v>
      </c>
      <c r="G32" s="90">
        <v>0.0</v>
      </c>
      <c r="H32" s="91">
        <v>9.0</v>
      </c>
      <c r="I32" s="90">
        <v>0.0</v>
      </c>
      <c r="J32" s="90">
        <v>0.0</v>
      </c>
      <c r="K32" s="90">
        <v>0.0</v>
      </c>
      <c r="L32" s="92">
        <v>9.0</v>
      </c>
      <c r="M32" s="90">
        <v>0.0</v>
      </c>
      <c r="N32" s="37">
        <f t="shared" ref="N32:O32" si="37">C32+L32</f>
        <v>58</v>
      </c>
      <c r="O32" s="37">
        <f t="shared" si="37"/>
        <v>3</v>
      </c>
      <c r="P32" s="50" t="s">
        <v>60</v>
      </c>
      <c r="Q32" s="50" t="s">
        <v>60</v>
      </c>
      <c r="R32" s="50" t="s">
        <v>60</v>
      </c>
      <c r="S32" s="51">
        <f t="shared" si="4"/>
        <v>2</v>
      </c>
      <c r="T32" s="52">
        <f t="shared" si="5"/>
        <v>1</v>
      </c>
      <c r="U32" s="52"/>
      <c r="V32" s="51">
        <f t="shared" si="6"/>
        <v>2</v>
      </c>
      <c r="W32" s="52">
        <f t="shared" si="7"/>
        <v>-10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135</v>
      </c>
      <c r="C33" s="37">
        <v>48.0</v>
      </c>
      <c r="D33" s="37">
        <v>5.0</v>
      </c>
      <c r="E33" s="42">
        <f t="shared" si="2"/>
        <v>10</v>
      </c>
      <c r="F33" s="89">
        <v>3.0</v>
      </c>
      <c r="G33" s="90">
        <v>0.0</v>
      </c>
      <c r="H33" s="91">
        <v>9.0</v>
      </c>
      <c r="I33" s="90">
        <v>0.0</v>
      </c>
      <c r="J33" s="90">
        <v>0.0</v>
      </c>
      <c r="K33" s="90">
        <v>0.0</v>
      </c>
      <c r="L33" s="92">
        <v>9.0</v>
      </c>
      <c r="M33" s="90">
        <v>0.0</v>
      </c>
      <c r="N33" s="37">
        <f t="shared" ref="N33:O33" si="38">C33+L33</f>
        <v>57</v>
      </c>
      <c r="O33" s="37">
        <f t="shared" si="38"/>
        <v>5</v>
      </c>
      <c r="P33" s="50" t="s">
        <v>60</v>
      </c>
      <c r="Q33" s="50" t="s">
        <v>60</v>
      </c>
      <c r="R33" s="50" t="s">
        <v>60</v>
      </c>
      <c r="S33" s="51">
        <f t="shared" si="4"/>
        <v>3</v>
      </c>
      <c r="T33" s="52">
        <f t="shared" si="5"/>
        <v>0</v>
      </c>
      <c r="U33" s="52"/>
      <c r="V33" s="51">
        <f t="shared" si="6"/>
        <v>2</v>
      </c>
      <c r="W33" s="52">
        <f t="shared" si="7"/>
        <v>-8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146</v>
      </c>
      <c r="C34" s="37">
        <v>48.0</v>
      </c>
      <c r="D34" s="37">
        <v>5.0</v>
      </c>
      <c r="E34" s="42">
        <f t="shared" si="2"/>
        <v>8.666666667</v>
      </c>
      <c r="F34" s="89">
        <v>3.0</v>
      </c>
      <c r="G34" s="90">
        <v>0.0</v>
      </c>
      <c r="H34" s="91">
        <v>9.0</v>
      </c>
      <c r="I34" s="90">
        <v>0.0</v>
      </c>
      <c r="J34" s="90">
        <v>0.0</v>
      </c>
      <c r="K34" s="90">
        <v>0.0</v>
      </c>
      <c r="L34" s="92">
        <v>9.0</v>
      </c>
      <c r="M34" s="90">
        <v>0.0</v>
      </c>
      <c r="N34" s="37">
        <f t="shared" ref="N34:O34" si="39">C34+L34</f>
        <v>57</v>
      </c>
      <c r="O34" s="37">
        <f t="shared" si="39"/>
        <v>5</v>
      </c>
      <c r="P34" s="50" t="s">
        <v>60</v>
      </c>
      <c r="Q34" s="50" t="s">
        <v>60</v>
      </c>
      <c r="R34" s="50" t="s">
        <v>60</v>
      </c>
      <c r="S34" s="51">
        <f t="shared" si="4"/>
        <v>3</v>
      </c>
      <c r="T34" s="52">
        <f t="shared" si="5"/>
        <v>1</v>
      </c>
      <c r="U34" s="52"/>
      <c r="V34" s="51">
        <f t="shared" si="6"/>
        <v>1</v>
      </c>
      <c r="W34" s="52">
        <f t="shared" si="7"/>
        <v>11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84</v>
      </c>
      <c r="C35" s="37">
        <v>48.0</v>
      </c>
      <c r="D35" s="37">
        <v>0.0</v>
      </c>
      <c r="E35" s="42">
        <f t="shared" si="2"/>
        <v>0</v>
      </c>
      <c r="F35" s="89">
        <v>2.0</v>
      </c>
      <c r="G35" s="90">
        <v>5.0</v>
      </c>
      <c r="H35" s="91">
        <v>0.0</v>
      </c>
      <c r="I35" s="90">
        <v>0.0</v>
      </c>
      <c r="J35" s="90">
        <v>2.0</v>
      </c>
      <c r="K35" s="90">
        <v>4.0</v>
      </c>
      <c r="L35" s="92">
        <v>6.0</v>
      </c>
      <c r="M35" s="90">
        <v>0.0</v>
      </c>
      <c r="N35" s="37">
        <f t="shared" ref="N35:O35" si="40">C35+L35</f>
        <v>54</v>
      </c>
      <c r="O35" s="37">
        <f t="shared" si="40"/>
        <v>0</v>
      </c>
      <c r="P35" s="50" t="s">
        <v>60</v>
      </c>
      <c r="Q35" s="50" t="s">
        <v>60</v>
      </c>
      <c r="R35" s="50" t="s">
        <v>60</v>
      </c>
      <c r="S35" s="51">
        <f t="shared" si="4"/>
        <v>1</v>
      </c>
      <c r="T35" s="52">
        <f t="shared" si="5"/>
        <v>3</v>
      </c>
      <c r="U35" s="52"/>
      <c r="V35" s="51">
        <f t="shared" si="6"/>
        <v>1</v>
      </c>
      <c r="W35" s="52">
        <f t="shared" si="7"/>
        <v>3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67</v>
      </c>
      <c r="C36" s="37">
        <v>47.0</v>
      </c>
      <c r="D36" s="37">
        <v>4.0</v>
      </c>
      <c r="E36" s="42">
        <f t="shared" si="2"/>
        <v>9.4</v>
      </c>
      <c r="F36" s="89">
        <v>1.0</v>
      </c>
      <c r="G36" s="90">
        <v>5.0</v>
      </c>
      <c r="H36" s="91">
        <v>0.0</v>
      </c>
      <c r="I36" s="90">
        <v>0.0</v>
      </c>
      <c r="J36" s="90">
        <v>6.0</v>
      </c>
      <c r="K36" s="90">
        <v>6.0</v>
      </c>
      <c r="L36" s="92">
        <v>12.0</v>
      </c>
      <c r="M36" s="90">
        <v>2.0</v>
      </c>
      <c r="N36" s="37">
        <f t="shared" ref="N36:O36" si="41">C36+L36</f>
        <v>59</v>
      </c>
      <c r="O36" s="37">
        <f t="shared" si="41"/>
        <v>6</v>
      </c>
      <c r="P36" s="50" t="s">
        <v>60</v>
      </c>
      <c r="Q36" s="50" t="s">
        <v>60</v>
      </c>
      <c r="R36" s="50" t="s">
        <v>60</v>
      </c>
      <c r="S36" s="51">
        <f t="shared" si="4"/>
        <v>5</v>
      </c>
      <c r="T36" s="52">
        <f t="shared" si="5"/>
        <v>0</v>
      </c>
      <c r="U36" s="52"/>
      <c r="V36" s="51">
        <f t="shared" si="6"/>
        <v>0</v>
      </c>
      <c r="W36" s="52">
        <f t="shared" si="7"/>
        <v>-9</v>
      </c>
      <c r="X36" s="35">
        <f t="shared" si="12"/>
        <v>32</v>
      </c>
      <c r="Y36" s="35" t="str">
        <f t="shared" si="8"/>
        <v>Y</v>
      </c>
      <c r="Z36" s="22" t="str">
        <f t="shared" si="9"/>
        <v/>
      </c>
    </row>
    <row r="37">
      <c r="A37" s="35">
        <f t="shared" si="10"/>
        <v>33</v>
      </c>
      <c r="B37" s="36" t="s">
        <v>100</v>
      </c>
      <c r="C37" s="37">
        <v>47.0</v>
      </c>
      <c r="D37" s="37">
        <v>3.0</v>
      </c>
      <c r="E37" s="42">
        <f t="shared" si="2"/>
        <v>9.5</v>
      </c>
      <c r="F37" s="89">
        <v>1.0</v>
      </c>
      <c r="G37" s="90">
        <v>6.0</v>
      </c>
      <c r="H37" s="91">
        <v>0.0</v>
      </c>
      <c r="I37" s="90">
        <v>6.0</v>
      </c>
      <c r="J37" s="90">
        <v>5.0</v>
      </c>
      <c r="K37" s="90">
        <v>3.0</v>
      </c>
      <c r="L37" s="92">
        <v>14.0</v>
      </c>
      <c r="M37" s="90">
        <v>1.0</v>
      </c>
      <c r="N37" s="37">
        <f t="shared" ref="N37:O37" si="42">C37+L37</f>
        <v>61</v>
      </c>
      <c r="O37" s="37">
        <f t="shared" si="42"/>
        <v>4</v>
      </c>
      <c r="P37" s="50" t="s">
        <v>60</v>
      </c>
      <c r="Q37" s="50" t="s">
        <v>60</v>
      </c>
      <c r="R37" s="50" t="s">
        <v>60</v>
      </c>
      <c r="S37" s="51">
        <f t="shared" si="4"/>
        <v>4</v>
      </c>
      <c r="T37" s="52">
        <f t="shared" si="5"/>
        <v>0</v>
      </c>
      <c r="U37" s="52"/>
      <c r="V37" s="51">
        <f t="shared" si="6"/>
        <v>1</v>
      </c>
      <c r="W37" s="52">
        <f t="shared" si="7"/>
        <v>-1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127</v>
      </c>
      <c r="C38" s="37">
        <v>47.0</v>
      </c>
      <c r="D38" s="37">
        <v>2.0</v>
      </c>
      <c r="E38" s="42">
        <f t="shared" si="2"/>
        <v>7</v>
      </c>
      <c r="F38" s="89">
        <v>1.0</v>
      </c>
      <c r="G38" s="90">
        <v>6.0</v>
      </c>
      <c r="H38" s="91">
        <v>0.0</v>
      </c>
      <c r="I38" s="90">
        <v>6.0</v>
      </c>
      <c r="J38" s="90">
        <v>7.0</v>
      </c>
      <c r="K38" s="90">
        <v>6.0</v>
      </c>
      <c r="L38" s="92">
        <v>19.0</v>
      </c>
      <c r="M38" s="90">
        <v>3.0</v>
      </c>
      <c r="N38" s="37">
        <f t="shared" ref="N38:O38" si="43">C38+L38</f>
        <v>66</v>
      </c>
      <c r="O38" s="37">
        <f t="shared" si="43"/>
        <v>5</v>
      </c>
      <c r="P38" s="50" t="s">
        <v>60</v>
      </c>
      <c r="Q38" s="50" t="s">
        <v>60</v>
      </c>
      <c r="R38" s="50" t="s">
        <v>60</v>
      </c>
      <c r="S38" s="51">
        <f t="shared" si="4"/>
        <v>3</v>
      </c>
      <c r="T38" s="52">
        <f t="shared" si="5"/>
        <v>2</v>
      </c>
      <c r="U38" s="52"/>
      <c r="V38" s="51">
        <f t="shared" si="6"/>
        <v>0</v>
      </c>
      <c r="W38" s="52">
        <f t="shared" si="7"/>
        <v>3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134</v>
      </c>
      <c r="C39" s="37">
        <v>47.0</v>
      </c>
      <c r="D39" s="37">
        <v>0.0</v>
      </c>
      <c r="E39" s="42">
        <f t="shared" si="2"/>
        <v>-1</v>
      </c>
      <c r="F39" s="89">
        <v>3.0</v>
      </c>
      <c r="G39" s="90">
        <v>0.0</v>
      </c>
      <c r="H39" s="91">
        <v>9.0</v>
      </c>
      <c r="I39" s="90">
        <v>0.0</v>
      </c>
      <c r="J39" s="90">
        <v>0.0</v>
      </c>
      <c r="K39" s="90">
        <v>0.0</v>
      </c>
      <c r="L39" s="92">
        <v>9.0</v>
      </c>
      <c r="M39" s="90">
        <v>0.0</v>
      </c>
      <c r="N39" s="37">
        <f t="shared" ref="N39:O39" si="44">C39+L39</f>
        <v>56</v>
      </c>
      <c r="O39" s="37">
        <f t="shared" si="44"/>
        <v>0</v>
      </c>
      <c r="P39" s="50" t="s">
        <v>60</v>
      </c>
      <c r="Q39" s="50" t="s">
        <v>60</v>
      </c>
      <c r="R39" s="50" t="s">
        <v>60</v>
      </c>
      <c r="S39" s="51">
        <f t="shared" si="4"/>
        <v>1</v>
      </c>
      <c r="T39" s="52">
        <f t="shared" si="5"/>
        <v>3</v>
      </c>
      <c r="U39" s="52"/>
      <c r="V39" s="51">
        <f t="shared" si="6"/>
        <v>1</v>
      </c>
      <c r="W39" s="52">
        <f t="shared" si="7"/>
        <v>4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72</v>
      </c>
      <c r="C40" s="37">
        <v>47.0</v>
      </c>
      <c r="D40" s="37">
        <v>0.0</v>
      </c>
      <c r="E40" s="42">
        <f t="shared" si="2"/>
        <v>-1</v>
      </c>
      <c r="F40" s="89">
        <v>3.0</v>
      </c>
      <c r="G40" s="90">
        <v>0.0</v>
      </c>
      <c r="H40" s="91">
        <v>9.0</v>
      </c>
      <c r="I40" s="90">
        <v>0.0</v>
      </c>
      <c r="J40" s="90">
        <v>0.0</v>
      </c>
      <c r="K40" s="90">
        <v>0.0</v>
      </c>
      <c r="L40" s="92">
        <v>9.0</v>
      </c>
      <c r="M40" s="90">
        <v>0.0</v>
      </c>
      <c r="N40" s="37">
        <f t="shared" ref="N40:O40" si="45">C40+L40</f>
        <v>56</v>
      </c>
      <c r="O40" s="37">
        <f t="shared" si="45"/>
        <v>0</v>
      </c>
      <c r="P40" s="50" t="s">
        <v>60</v>
      </c>
      <c r="Q40" s="50" t="s">
        <v>60</v>
      </c>
      <c r="R40" s="50" t="s">
        <v>60</v>
      </c>
      <c r="S40" s="51">
        <f t="shared" si="4"/>
        <v>1</v>
      </c>
      <c r="T40" s="52">
        <f t="shared" si="5"/>
        <v>3</v>
      </c>
      <c r="U40" s="52"/>
      <c r="V40" s="51">
        <f t="shared" si="6"/>
        <v>1</v>
      </c>
      <c r="W40" s="52">
        <f t="shared" si="7"/>
        <v>4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61</v>
      </c>
      <c r="C41" s="37">
        <v>46.0</v>
      </c>
      <c r="D41" s="37">
        <v>4.0</v>
      </c>
      <c r="E41" s="42">
        <f t="shared" si="2"/>
        <v>9.333333333</v>
      </c>
      <c r="F41" s="89">
        <v>3.0</v>
      </c>
      <c r="G41" s="90">
        <v>0.0</v>
      </c>
      <c r="H41" s="91">
        <v>9.0</v>
      </c>
      <c r="I41" s="90">
        <v>0.0</v>
      </c>
      <c r="J41" s="90">
        <v>0.0</v>
      </c>
      <c r="K41" s="90">
        <v>0.0</v>
      </c>
      <c r="L41" s="92">
        <v>9.0</v>
      </c>
      <c r="M41" s="90">
        <v>0.0</v>
      </c>
      <c r="N41" s="37">
        <f t="shared" ref="N41:O41" si="46">C41+L41</f>
        <v>55</v>
      </c>
      <c r="O41" s="37">
        <f t="shared" si="46"/>
        <v>4</v>
      </c>
      <c r="P41" s="50" t="s">
        <v>60</v>
      </c>
      <c r="Q41" s="50" t="s">
        <v>60</v>
      </c>
      <c r="R41" s="50" t="s">
        <v>60</v>
      </c>
      <c r="S41" s="51">
        <f t="shared" si="4"/>
        <v>3</v>
      </c>
      <c r="T41" s="52">
        <f t="shared" si="5"/>
        <v>0</v>
      </c>
      <c r="U41" s="52"/>
      <c r="V41" s="51">
        <f t="shared" si="6"/>
        <v>2</v>
      </c>
      <c r="W41" s="52">
        <f t="shared" si="7"/>
        <v>13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117</v>
      </c>
      <c r="C42" s="37">
        <v>46.0</v>
      </c>
      <c r="D42" s="37">
        <v>3.0</v>
      </c>
      <c r="E42" s="42">
        <f t="shared" si="2"/>
        <v>9.333333333</v>
      </c>
      <c r="F42" s="89">
        <v>1.0</v>
      </c>
      <c r="G42" s="90">
        <v>6.0</v>
      </c>
      <c r="H42" s="91">
        <v>0.0</v>
      </c>
      <c r="I42" s="90">
        <v>2.0</v>
      </c>
      <c r="J42" s="90">
        <v>7.0</v>
      </c>
      <c r="K42" s="90">
        <v>3.0</v>
      </c>
      <c r="L42" s="92">
        <v>12.0</v>
      </c>
      <c r="M42" s="90">
        <v>1.0</v>
      </c>
      <c r="N42" s="37">
        <f t="shared" ref="N42:O42" si="47">C42+L42</f>
        <v>58</v>
      </c>
      <c r="O42" s="37">
        <f t="shared" si="47"/>
        <v>4</v>
      </c>
      <c r="P42" s="50" t="s">
        <v>60</v>
      </c>
      <c r="Q42" s="50" t="s">
        <v>60</v>
      </c>
      <c r="R42" s="50" t="s">
        <v>60</v>
      </c>
      <c r="S42" s="51">
        <f t="shared" si="4"/>
        <v>3</v>
      </c>
      <c r="T42" s="52">
        <f t="shared" si="5"/>
        <v>0</v>
      </c>
      <c r="U42" s="52"/>
      <c r="V42" s="51">
        <f t="shared" si="6"/>
        <v>2</v>
      </c>
      <c r="W42" s="52">
        <f t="shared" si="7"/>
        <v>14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133</v>
      </c>
      <c r="C43" s="37">
        <v>46.0</v>
      </c>
      <c r="D43" s="37">
        <v>1.0</v>
      </c>
      <c r="E43" s="42">
        <f t="shared" si="2"/>
        <v>7.5</v>
      </c>
      <c r="F43" s="89">
        <v>1.0</v>
      </c>
      <c r="G43" s="90">
        <v>6.0</v>
      </c>
      <c r="H43" s="91">
        <v>0.0</v>
      </c>
      <c r="I43" s="90">
        <v>2.0</v>
      </c>
      <c r="J43" s="90">
        <v>5.0</v>
      </c>
      <c r="K43" s="90">
        <v>6.0</v>
      </c>
      <c r="L43" s="92">
        <v>13.0</v>
      </c>
      <c r="M43" s="90">
        <v>1.0</v>
      </c>
      <c r="N43" s="37">
        <f t="shared" ref="N43:O43" si="48">C43+L43</f>
        <v>59</v>
      </c>
      <c r="O43" s="37">
        <f t="shared" si="48"/>
        <v>2</v>
      </c>
      <c r="P43" s="50" t="s">
        <v>60</v>
      </c>
      <c r="Q43" s="50" t="s">
        <v>60</v>
      </c>
      <c r="R43" s="50" t="s">
        <v>60</v>
      </c>
      <c r="S43" s="51">
        <f t="shared" si="4"/>
        <v>2</v>
      </c>
      <c r="T43" s="52">
        <f t="shared" si="5"/>
        <v>1</v>
      </c>
      <c r="U43" s="52"/>
      <c r="V43" s="51">
        <f t="shared" si="6"/>
        <v>2</v>
      </c>
      <c r="W43" s="52">
        <f t="shared" si="7"/>
        <v>8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142</v>
      </c>
      <c r="C44" s="37">
        <v>45.0</v>
      </c>
      <c r="D44" s="37">
        <v>2.0</v>
      </c>
      <c r="E44" s="42">
        <f t="shared" si="2"/>
        <v>9</v>
      </c>
      <c r="F44" s="89">
        <v>3.0</v>
      </c>
      <c r="G44" s="90">
        <v>0.0</v>
      </c>
      <c r="H44" s="91">
        <v>9.0</v>
      </c>
      <c r="I44" s="90">
        <v>0.0</v>
      </c>
      <c r="J44" s="90">
        <v>0.0</v>
      </c>
      <c r="K44" s="90">
        <v>0.0</v>
      </c>
      <c r="L44" s="92">
        <v>9.0</v>
      </c>
      <c r="M44" s="90">
        <v>0.0</v>
      </c>
      <c r="N44" s="37">
        <f t="shared" ref="N44:O44" si="49">C44+L44</f>
        <v>54</v>
      </c>
      <c r="O44" s="37">
        <f t="shared" si="49"/>
        <v>2</v>
      </c>
      <c r="P44" s="50" t="s">
        <v>60</v>
      </c>
      <c r="Q44" s="50" t="s">
        <v>60</v>
      </c>
      <c r="R44" s="50" t="s">
        <v>60</v>
      </c>
      <c r="S44" s="51">
        <f t="shared" si="4"/>
        <v>1</v>
      </c>
      <c r="T44" s="52">
        <f t="shared" si="5"/>
        <v>0</v>
      </c>
      <c r="U44" s="52"/>
      <c r="V44" s="51">
        <f t="shared" si="6"/>
        <v>4</v>
      </c>
      <c r="W44" s="52">
        <f t="shared" si="7"/>
        <v>-13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102</v>
      </c>
      <c r="C45" s="37">
        <v>45.0</v>
      </c>
      <c r="D45" s="37">
        <v>2.0</v>
      </c>
      <c r="E45" s="42">
        <f t="shared" si="2"/>
        <v>5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54</v>
      </c>
      <c r="O45" s="37">
        <f t="shared" si="50"/>
        <v>2</v>
      </c>
      <c r="P45" s="50" t="s">
        <v>60</v>
      </c>
      <c r="Q45" s="50" t="s">
        <v>60</v>
      </c>
      <c r="R45" s="50" t="s">
        <v>60</v>
      </c>
      <c r="S45" s="51">
        <f t="shared" si="4"/>
        <v>1</v>
      </c>
      <c r="T45" s="52">
        <f t="shared" si="5"/>
        <v>1</v>
      </c>
      <c r="U45" s="52"/>
      <c r="V45" s="51">
        <f t="shared" si="6"/>
        <v>3</v>
      </c>
      <c r="W45" s="52">
        <f t="shared" si="7"/>
        <v>-12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125</v>
      </c>
      <c r="C46" s="37">
        <v>45.0</v>
      </c>
      <c r="D46" s="37">
        <v>2.0</v>
      </c>
      <c r="E46" s="42">
        <f t="shared" si="2"/>
        <v>7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54</v>
      </c>
      <c r="O46" s="37">
        <f t="shared" si="51"/>
        <v>2</v>
      </c>
      <c r="P46" s="50" t="s">
        <v>60</v>
      </c>
      <c r="Q46" s="50" t="s">
        <v>60</v>
      </c>
      <c r="R46" s="50" t="s">
        <v>60</v>
      </c>
      <c r="S46" s="51">
        <f t="shared" si="4"/>
        <v>2</v>
      </c>
      <c r="T46" s="52">
        <f t="shared" si="5"/>
        <v>1</v>
      </c>
      <c r="U46" s="52"/>
      <c r="V46" s="51">
        <f t="shared" si="6"/>
        <v>2</v>
      </c>
      <c r="W46" s="52">
        <f t="shared" si="7"/>
        <v>-14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109</v>
      </c>
      <c r="C47" s="37">
        <v>45.0</v>
      </c>
      <c r="D47" s="37">
        <v>1.0</v>
      </c>
      <c r="E47" s="42">
        <f t="shared" si="2"/>
        <v>5</v>
      </c>
      <c r="F47" s="89">
        <v>1.0</v>
      </c>
      <c r="G47" s="90">
        <v>7.0</v>
      </c>
      <c r="H47" s="91">
        <v>0.0</v>
      </c>
      <c r="I47" s="90">
        <v>3.0</v>
      </c>
      <c r="J47" s="90">
        <v>6.0</v>
      </c>
      <c r="K47" s="90">
        <v>4.0</v>
      </c>
      <c r="L47" s="92">
        <v>13.0</v>
      </c>
      <c r="M47" s="90">
        <v>1.0</v>
      </c>
      <c r="N47" s="37">
        <f t="shared" ref="N47:O47" si="52">C47+L47</f>
        <v>58</v>
      </c>
      <c r="O47" s="37">
        <f t="shared" si="52"/>
        <v>2</v>
      </c>
      <c r="P47" s="50" t="s">
        <v>60</v>
      </c>
      <c r="Q47" s="50" t="s">
        <v>60</v>
      </c>
      <c r="R47" s="50" t="s">
        <v>60</v>
      </c>
      <c r="S47" s="51">
        <f t="shared" si="4"/>
        <v>2</v>
      </c>
      <c r="T47" s="52">
        <f t="shared" si="5"/>
        <v>2</v>
      </c>
      <c r="U47" s="52"/>
      <c r="V47" s="51">
        <f t="shared" si="6"/>
        <v>1</v>
      </c>
      <c r="W47" s="52">
        <f t="shared" si="7"/>
        <v>-8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101</v>
      </c>
      <c r="C48" s="37">
        <v>44.0</v>
      </c>
      <c r="D48" s="37">
        <v>4.0</v>
      </c>
      <c r="E48" s="42">
        <f t="shared" si="2"/>
        <v>8.8</v>
      </c>
      <c r="F48" s="89">
        <v>1.0</v>
      </c>
      <c r="G48" s="90">
        <v>7.0</v>
      </c>
      <c r="H48" s="91">
        <v>0.0</v>
      </c>
      <c r="I48" s="90">
        <v>6.0</v>
      </c>
      <c r="J48" s="90">
        <v>6.0</v>
      </c>
      <c r="K48" s="90">
        <v>6.0</v>
      </c>
      <c r="L48" s="92">
        <v>18.0</v>
      </c>
      <c r="M48" s="90">
        <v>3.0</v>
      </c>
      <c r="N48" s="37">
        <f t="shared" ref="N48:O48" si="53">C48+L48</f>
        <v>62</v>
      </c>
      <c r="O48" s="37">
        <f t="shared" si="53"/>
        <v>7</v>
      </c>
      <c r="P48" s="50" t="s">
        <v>60</v>
      </c>
      <c r="Q48" s="50" t="s">
        <v>60</v>
      </c>
      <c r="R48" s="50" t="s">
        <v>60</v>
      </c>
      <c r="S48" s="51">
        <f t="shared" si="4"/>
        <v>5</v>
      </c>
      <c r="T48" s="52">
        <f t="shared" si="5"/>
        <v>0</v>
      </c>
      <c r="U48" s="52"/>
      <c r="V48" s="51">
        <f t="shared" si="6"/>
        <v>0</v>
      </c>
      <c r="W48" s="52">
        <f t="shared" si="7"/>
        <v>2</v>
      </c>
      <c r="X48" s="35">
        <f t="shared" si="12"/>
        <v>44</v>
      </c>
      <c r="Y48" s="35" t="str">
        <f t="shared" si="8"/>
        <v>Y</v>
      </c>
      <c r="Z48" s="22" t="str">
        <f t="shared" si="9"/>
        <v/>
      </c>
    </row>
    <row r="49">
      <c r="A49" s="35">
        <f t="shared" si="10"/>
        <v>45</v>
      </c>
      <c r="B49" s="36" t="s">
        <v>136</v>
      </c>
      <c r="C49" s="37">
        <v>44.0</v>
      </c>
      <c r="D49" s="37">
        <v>3.0</v>
      </c>
      <c r="E49" s="42">
        <f t="shared" si="2"/>
        <v>8.75</v>
      </c>
      <c r="F49" s="89">
        <v>1.0</v>
      </c>
      <c r="G49" s="90">
        <v>7.0</v>
      </c>
      <c r="H49" s="91">
        <v>0.0</v>
      </c>
      <c r="I49" s="90">
        <v>6.0</v>
      </c>
      <c r="J49" s="90">
        <v>4.0</v>
      </c>
      <c r="K49" s="90">
        <v>4.0</v>
      </c>
      <c r="L49" s="92">
        <v>14.0</v>
      </c>
      <c r="M49" s="90">
        <v>1.0</v>
      </c>
      <c r="N49" s="37">
        <f t="shared" ref="N49:O49" si="54">C49+L49</f>
        <v>58</v>
      </c>
      <c r="O49" s="37">
        <f t="shared" si="54"/>
        <v>4</v>
      </c>
      <c r="P49" s="50" t="s">
        <v>60</v>
      </c>
      <c r="Q49" s="50" t="s">
        <v>60</v>
      </c>
      <c r="R49" s="50" t="s">
        <v>60</v>
      </c>
      <c r="S49" s="51">
        <f t="shared" si="4"/>
        <v>4</v>
      </c>
      <c r="T49" s="52">
        <f t="shared" si="5"/>
        <v>0</v>
      </c>
      <c r="U49" s="52"/>
      <c r="V49" s="51">
        <f t="shared" si="6"/>
        <v>1</v>
      </c>
      <c r="W49" s="52">
        <f t="shared" si="7"/>
        <v>-1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144</v>
      </c>
      <c r="C50" s="37">
        <v>44.0</v>
      </c>
      <c r="D50" s="37">
        <v>2.0</v>
      </c>
      <c r="E50" s="42">
        <f t="shared" si="2"/>
        <v>6.5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53</v>
      </c>
      <c r="O50" s="37">
        <f t="shared" si="55"/>
        <v>2</v>
      </c>
      <c r="P50" s="50" t="s">
        <v>60</v>
      </c>
      <c r="Q50" s="50" t="s">
        <v>60</v>
      </c>
      <c r="R50" s="50" t="s">
        <v>60</v>
      </c>
      <c r="S50" s="51">
        <f t="shared" si="4"/>
        <v>2</v>
      </c>
      <c r="T50" s="52">
        <f t="shared" si="5"/>
        <v>1</v>
      </c>
      <c r="U50" s="52"/>
      <c r="V50" s="51">
        <f t="shared" si="6"/>
        <v>2</v>
      </c>
      <c r="W50" s="52">
        <f t="shared" si="7"/>
        <v>-21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104</v>
      </c>
      <c r="C51" s="37">
        <v>44.0</v>
      </c>
      <c r="D51" s="37">
        <v>0.0</v>
      </c>
      <c r="E51" s="42">
        <f t="shared" si="2"/>
        <v>0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53</v>
      </c>
      <c r="O51" s="37">
        <f t="shared" si="56"/>
        <v>0</v>
      </c>
      <c r="P51" s="50" t="s">
        <v>60</v>
      </c>
      <c r="Q51" s="50" t="s">
        <v>60</v>
      </c>
      <c r="R51" s="50" t="s">
        <v>60</v>
      </c>
      <c r="S51" s="51">
        <f t="shared" si="4"/>
        <v>0</v>
      </c>
      <c r="T51" s="52">
        <f t="shared" si="5"/>
        <v>2</v>
      </c>
      <c r="U51" s="52"/>
      <c r="V51" s="51">
        <f t="shared" si="6"/>
        <v>3</v>
      </c>
      <c r="W51" s="52">
        <f t="shared" si="7"/>
        <v>-14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141</v>
      </c>
      <c r="C52" s="37">
        <v>43.0</v>
      </c>
      <c r="D52" s="37">
        <v>3.0</v>
      </c>
      <c r="E52" s="42">
        <f t="shared" si="2"/>
        <v>7.5</v>
      </c>
      <c r="F52" s="89">
        <v>2.0</v>
      </c>
      <c r="G52" s="90">
        <v>7.0</v>
      </c>
      <c r="H52" s="91">
        <v>0.0</v>
      </c>
      <c r="I52" s="90">
        <v>3.0</v>
      </c>
      <c r="J52" s="90">
        <v>4.0</v>
      </c>
      <c r="K52" s="90">
        <v>6.0</v>
      </c>
      <c r="L52" s="92">
        <v>13.0</v>
      </c>
      <c r="M52" s="90">
        <v>1.0</v>
      </c>
      <c r="N52" s="37">
        <f t="shared" ref="N52:O52" si="57">C52+L52</f>
        <v>56</v>
      </c>
      <c r="O52" s="37">
        <f t="shared" si="57"/>
        <v>4</v>
      </c>
      <c r="P52" s="50" t="s">
        <v>60</v>
      </c>
      <c r="Q52" s="50" t="s">
        <v>60</v>
      </c>
      <c r="R52" s="50" t="s">
        <v>60</v>
      </c>
      <c r="S52" s="51">
        <f t="shared" si="4"/>
        <v>4</v>
      </c>
      <c r="T52" s="52">
        <f t="shared" si="5"/>
        <v>1</v>
      </c>
      <c r="U52" s="52"/>
      <c r="V52" s="51">
        <f t="shared" si="6"/>
        <v>0</v>
      </c>
      <c r="W52" s="52">
        <f t="shared" si="7"/>
        <v>-17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89</v>
      </c>
      <c r="C53" s="37">
        <v>42.0</v>
      </c>
      <c r="D53" s="37">
        <v>2.0</v>
      </c>
      <c r="E53" s="42">
        <f t="shared" si="2"/>
        <v>6</v>
      </c>
      <c r="F53" s="89">
        <v>3.0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51</v>
      </c>
      <c r="O53" s="37">
        <f t="shared" si="58"/>
        <v>2</v>
      </c>
      <c r="P53" s="50" t="s">
        <v>60</v>
      </c>
      <c r="Q53" s="50" t="s">
        <v>60</v>
      </c>
      <c r="R53" s="50" t="s">
        <v>60</v>
      </c>
      <c r="S53" s="51">
        <f t="shared" si="4"/>
        <v>1</v>
      </c>
      <c r="T53" s="52">
        <f t="shared" si="5"/>
        <v>0</v>
      </c>
      <c r="U53" s="52"/>
      <c r="V53" s="51">
        <f t="shared" si="6"/>
        <v>4</v>
      </c>
      <c r="W53" s="52">
        <f t="shared" si="7"/>
        <v>-7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90</v>
      </c>
      <c r="C54" s="37">
        <v>42.0</v>
      </c>
      <c r="D54" s="37">
        <v>2.0</v>
      </c>
      <c r="E54" s="42">
        <f t="shared" si="2"/>
        <v>6.666666667</v>
      </c>
      <c r="F54" s="89">
        <v>1.0</v>
      </c>
      <c r="G54" s="90">
        <v>8.0</v>
      </c>
      <c r="H54" s="91">
        <v>0.0</v>
      </c>
      <c r="I54" s="90">
        <v>6.0</v>
      </c>
      <c r="J54" s="90">
        <v>1.0</v>
      </c>
      <c r="K54" s="90">
        <v>4.0</v>
      </c>
      <c r="L54" s="92">
        <v>11.0</v>
      </c>
      <c r="M54" s="90">
        <v>1.0</v>
      </c>
      <c r="N54" s="37">
        <f t="shared" ref="N54:O54" si="59">C54+L54</f>
        <v>53</v>
      </c>
      <c r="O54" s="37">
        <f t="shared" si="59"/>
        <v>3</v>
      </c>
      <c r="P54" s="50" t="s">
        <v>60</v>
      </c>
      <c r="Q54" s="50" t="s">
        <v>60</v>
      </c>
      <c r="R54" s="50" t="s">
        <v>60</v>
      </c>
      <c r="S54" s="51">
        <f t="shared" si="4"/>
        <v>3</v>
      </c>
      <c r="T54" s="52">
        <f t="shared" si="5"/>
        <v>1</v>
      </c>
      <c r="U54" s="52"/>
      <c r="V54" s="51">
        <f t="shared" si="6"/>
        <v>1</v>
      </c>
      <c r="W54" s="52">
        <f t="shared" si="7"/>
        <v>15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56</v>
      </c>
      <c r="C55" s="37">
        <v>41.0</v>
      </c>
      <c r="D55" s="37">
        <v>2.0</v>
      </c>
      <c r="E55" s="42">
        <f t="shared" si="2"/>
        <v>5</v>
      </c>
      <c r="F55" s="89">
        <v>3.0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50</v>
      </c>
      <c r="O55" s="37">
        <f t="shared" si="60"/>
        <v>2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0</v>
      </c>
      <c r="U55" s="52"/>
      <c r="V55" s="51">
        <f t="shared" si="6"/>
        <v>4</v>
      </c>
      <c r="W55" s="52">
        <f t="shared" si="7"/>
        <v>-6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129</v>
      </c>
      <c r="C56" s="37">
        <v>40.0</v>
      </c>
      <c r="D56" s="37">
        <v>3.0</v>
      </c>
      <c r="E56" s="42">
        <f t="shared" si="2"/>
        <v>7.75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49</v>
      </c>
      <c r="O56" s="37">
        <f t="shared" si="61"/>
        <v>3</v>
      </c>
      <c r="P56" s="50" t="s">
        <v>60</v>
      </c>
      <c r="Q56" s="50" t="s">
        <v>60</v>
      </c>
      <c r="R56" s="50" t="s">
        <v>60</v>
      </c>
      <c r="S56" s="51">
        <f t="shared" si="4"/>
        <v>4</v>
      </c>
      <c r="T56" s="52">
        <f t="shared" si="5"/>
        <v>0</v>
      </c>
      <c r="U56" s="52"/>
      <c r="V56" s="51">
        <f t="shared" si="6"/>
        <v>1</v>
      </c>
      <c r="W56" s="52">
        <f t="shared" si="7"/>
        <v>-3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106</v>
      </c>
      <c r="C57" s="37">
        <v>38.0</v>
      </c>
      <c r="D57" s="37">
        <v>1.0</v>
      </c>
      <c r="E57" s="42">
        <f t="shared" si="2"/>
        <v>2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47</v>
      </c>
      <c r="O57" s="37">
        <f t="shared" si="62"/>
        <v>1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0</v>
      </c>
      <c r="U57" s="52"/>
      <c r="V57" s="51">
        <f t="shared" si="6"/>
        <v>4</v>
      </c>
      <c r="W57" s="52">
        <f t="shared" si="7"/>
        <v>-2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116</v>
      </c>
      <c r="C58" s="37">
        <v>38.0</v>
      </c>
      <c r="D58" s="37">
        <v>1.0</v>
      </c>
      <c r="E58" s="42">
        <f t="shared" si="2"/>
        <v>-2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47</v>
      </c>
      <c r="O58" s="37">
        <f t="shared" si="63"/>
        <v>1</v>
      </c>
      <c r="P58" s="50" t="s">
        <v>60</v>
      </c>
      <c r="Q58" s="50" t="s">
        <v>60</v>
      </c>
      <c r="R58" s="50" t="s">
        <v>60</v>
      </c>
      <c r="S58" s="51">
        <f t="shared" si="4"/>
        <v>1</v>
      </c>
      <c r="T58" s="52">
        <f t="shared" si="5"/>
        <v>1</v>
      </c>
      <c r="U58" s="52"/>
      <c r="V58" s="51">
        <f t="shared" si="6"/>
        <v>3</v>
      </c>
      <c r="W58" s="52">
        <f t="shared" si="7"/>
        <v>-1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96</v>
      </c>
      <c r="C59" s="37">
        <v>37.0</v>
      </c>
      <c r="D59" s="37">
        <v>2.0</v>
      </c>
      <c r="E59" s="42">
        <f t="shared" si="2"/>
        <v>7.4</v>
      </c>
      <c r="F59" s="89">
        <v>1.0</v>
      </c>
      <c r="G59" s="90">
        <v>8.0</v>
      </c>
      <c r="H59" s="91">
        <v>0.0</v>
      </c>
      <c r="I59" s="90">
        <v>2.0</v>
      </c>
      <c r="J59" s="90">
        <v>1.0</v>
      </c>
      <c r="K59" s="90">
        <v>6.0</v>
      </c>
      <c r="L59" s="92">
        <v>9.0</v>
      </c>
      <c r="M59" s="90">
        <v>1.0</v>
      </c>
      <c r="N59" s="37">
        <f t="shared" ref="N59:O59" si="64">C59+L59</f>
        <v>46</v>
      </c>
      <c r="O59" s="37">
        <f t="shared" si="64"/>
        <v>3</v>
      </c>
      <c r="P59" s="50" t="s">
        <v>60</v>
      </c>
      <c r="Q59" s="50" t="s">
        <v>60</v>
      </c>
      <c r="R59" s="50" t="s">
        <v>60</v>
      </c>
      <c r="S59" s="51">
        <f t="shared" si="4"/>
        <v>5</v>
      </c>
      <c r="T59" s="52">
        <f t="shared" si="5"/>
        <v>0</v>
      </c>
      <c r="U59" s="52"/>
      <c r="V59" s="51">
        <f t="shared" si="6"/>
        <v>0</v>
      </c>
      <c r="W59" s="52">
        <f t="shared" si="7"/>
        <v>11</v>
      </c>
      <c r="X59" s="35">
        <f t="shared" si="12"/>
        <v>55</v>
      </c>
      <c r="Y59" s="35" t="str">
        <f t="shared" si="8"/>
        <v>Y</v>
      </c>
      <c r="Z59" s="22" t="str">
        <f t="shared" si="9"/>
        <v/>
      </c>
    </row>
    <row r="60">
      <c r="A60" s="35">
        <f t="shared" si="10"/>
        <v>56</v>
      </c>
      <c r="B60" s="36" t="s">
        <v>95</v>
      </c>
      <c r="C60" s="37">
        <v>36.0</v>
      </c>
      <c r="D60" s="37">
        <v>0.0</v>
      </c>
      <c r="E60" s="42">
        <f t="shared" si="2"/>
        <v>0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45</v>
      </c>
      <c r="O60" s="37">
        <f t="shared" si="65"/>
        <v>0</v>
      </c>
      <c r="P60" s="50" t="s">
        <v>60</v>
      </c>
      <c r="Q60" s="50" t="s">
        <v>60</v>
      </c>
      <c r="R60" s="50" t="s">
        <v>60</v>
      </c>
      <c r="S60" s="51">
        <f t="shared" si="4"/>
        <v>0</v>
      </c>
      <c r="T60" s="52">
        <f t="shared" si="5"/>
        <v>0</v>
      </c>
      <c r="U60" s="52"/>
      <c r="V60" s="51">
        <f t="shared" si="6"/>
        <v>5</v>
      </c>
      <c r="W60" s="52">
        <f t="shared" si="7"/>
        <v>-2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77</v>
      </c>
      <c r="C61" s="37">
        <v>36.0</v>
      </c>
      <c r="D61" s="37">
        <v>0.0</v>
      </c>
      <c r="E61" s="42">
        <f t="shared" si="2"/>
        <v>0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45</v>
      </c>
      <c r="O61" s="37">
        <f t="shared" si="66"/>
        <v>0</v>
      </c>
      <c r="P61" s="50" t="s">
        <v>60</v>
      </c>
      <c r="Q61" s="50" t="s">
        <v>60</v>
      </c>
      <c r="R61" s="50" t="s">
        <v>60</v>
      </c>
      <c r="S61" s="51">
        <f t="shared" si="4"/>
        <v>0</v>
      </c>
      <c r="T61" s="52">
        <f t="shared" si="5"/>
        <v>0</v>
      </c>
      <c r="U61" s="52"/>
      <c r="V61" s="51">
        <f t="shared" si="6"/>
        <v>5</v>
      </c>
      <c r="W61" s="52">
        <f t="shared" si="7"/>
        <v>-2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137</v>
      </c>
      <c r="C62" s="37">
        <v>36.0</v>
      </c>
      <c r="D62" s="37">
        <v>0.0</v>
      </c>
      <c r="E62" s="42">
        <f t="shared" si="2"/>
        <v>0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45</v>
      </c>
      <c r="O62" s="37">
        <f t="shared" si="67"/>
        <v>0</v>
      </c>
      <c r="P62" s="50" t="s">
        <v>60</v>
      </c>
      <c r="Q62" s="50" t="s">
        <v>60</v>
      </c>
      <c r="R62" s="50" t="s">
        <v>60</v>
      </c>
      <c r="S62" s="51">
        <f t="shared" si="4"/>
        <v>0</v>
      </c>
      <c r="T62" s="52">
        <f t="shared" si="5"/>
        <v>0</v>
      </c>
      <c r="U62" s="52"/>
      <c r="V62" s="51">
        <f t="shared" si="6"/>
        <v>5</v>
      </c>
      <c r="W62" s="52">
        <f t="shared" si="7"/>
        <v>-2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132</v>
      </c>
      <c r="C63" s="37">
        <v>36.0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45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5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53</v>
      </c>
      <c r="C64" s="37">
        <v>36.0</v>
      </c>
      <c r="D64" s="37">
        <v>0.0</v>
      </c>
      <c r="E64" s="42">
        <f t="shared" si="2"/>
        <v>0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45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5</v>
      </c>
      <c r="W64" s="52">
        <f t="shared" si="7"/>
        <v>-2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119</v>
      </c>
      <c r="C65" s="37">
        <v>36.0</v>
      </c>
      <c r="D65" s="37">
        <v>0.0</v>
      </c>
      <c r="E65" s="42">
        <f t="shared" si="2"/>
        <v>0</v>
      </c>
      <c r="F65" s="89">
        <v>2.0</v>
      </c>
      <c r="G65" s="90">
        <v>8.0</v>
      </c>
      <c r="H65" s="91">
        <v>0.0</v>
      </c>
      <c r="I65" s="90">
        <v>2.0</v>
      </c>
      <c r="J65" s="90">
        <v>6.0</v>
      </c>
      <c r="K65" s="90">
        <v>4.0</v>
      </c>
      <c r="L65" s="92">
        <v>12.0</v>
      </c>
      <c r="M65" s="90">
        <v>1.0</v>
      </c>
      <c r="N65" s="37">
        <f t="shared" ref="N65:O65" si="70">C65+L65</f>
        <v>48</v>
      </c>
      <c r="O65" s="37">
        <f t="shared" si="70"/>
        <v>1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0</v>
      </c>
      <c r="U65" s="52"/>
      <c r="V65" s="51">
        <f t="shared" si="6"/>
        <v>4</v>
      </c>
      <c r="W65" s="52">
        <f t="shared" si="7"/>
        <v>-2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145</v>
      </c>
      <c r="C66" s="37">
        <v>36.0</v>
      </c>
      <c r="D66" s="37">
        <v>0.0</v>
      </c>
      <c r="E66" s="42">
        <f t="shared" si="2"/>
        <v>0</v>
      </c>
      <c r="F66" s="89">
        <v>4.0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45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5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120</v>
      </c>
      <c r="C67" s="37">
        <v>36.0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45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5</v>
      </c>
      <c r="W67" s="52">
        <f t="shared" si="7"/>
        <v>-2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139</v>
      </c>
      <c r="C68" s="37">
        <v>36.0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45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5</v>
      </c>
      <c r="W68" s="52">
        <f t="shared" si="7"/>
        <v>-2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138</v>
      </c>
      <c r="C69" s="37">
        <v>36.0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45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5</v>
      </c>
      <c r="W69" s="52">
        <f t="shared" si="7"/>
        <v>-2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128</v>
      </c>
      <c r="C70" s="37">
        <v>36.0</v>
      </c>
      <c r="D70" s="37">
        <v>0.0</v>
      </c>
      <c r="E70" s="42">
        <f t="shared" si="2"/>
        <v>0</v>
      </c>
      <c r="F70" s="89">
        <v>1.0</v>
      </c>
      <c r="G70" s="90">
        <v>8.0</v>
      </c>
      <c r="H70" s="91">
        <v>0.0</v>
      </c>
      <c r="I70" s="90">
        <v>6.0</v>
      </c>
      <c r="J70" s="90">
        <v>6.0</v>
      </c>
      <c r="K70" s="90">
        <v>6.0</v>
      </c>
      <c r="L70" s="92">
        <v>18.0</v>
      </c>
      <c r="M70" s="90">
        <v>3.0</v>
      </c>
      <c r="N70" s="37">
        <f t="shared" ref="N70:O70" si="75">C70+L70</f>
        <v>54</v>
      </c>
      <c r="O70" s="37">
        <f t="shared" si="75"/>
        <v>3</v>
      </c>
      <c r="P70" s="50" t="s">
        <v>60</v>
      </c>
      <c r="Q70" s="50" t="s">
        <v>60</v>
      </c>
      <c r="R70" s="50" t="s">
        <v>60</v>
      </c>
      <c r="S70" s="51">
        <f t="shared" si="4"/>
        <v>1</v>
      </c>
      <c r="T70" s="52">
        <f t="shared" si="5"/>
        <v>0</v>
      </c>
      <c r="U70" s="52"/>
      <c r="V70" s="51">
        <f t="shared" si="6"/>
        <v>4</v>
      </c>
      <c r="W70" s="52">
        <f t="shared" si="7"/>
        <v>-2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32.0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41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0</v>
      </c>
      <c r="U71" s="52"/>
      <c r="V71" s="51">
        <f t="shared" si="6"/>
        <v>4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07/25/26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desc"",0)"),"Rudy Tatang")</f>
        <v>Rudy Tatang</v>
      </c>
      <c r="C83" s="125">
        <f>IFERROR(__xludf.DUMMYFUNCTION("""COMPUTED_VALUE"""),20.0)</f>
        <v>20</v>
      </c>
      <c r="D83" s="125">
        <f>IFERROR(__xludf.DUMMYFUNCTION("""COMPUTED_VALUE"""),3.0)</f>
        <v>3</v>
      </c>
      <c r="E83" s="125">
        <f>IFERROR(__xludf.DUMMYFUNCTION("""COMPUTED_VALUE"""),1.0)</f>
        <v>1</v>
      </c>
      <c r="F83" s="2"/>
    </row>
    <row r="84">
      <c r="A84" s="2"/>
      <c r="B84" s="36" t="str">
        <f>IFERROR(__xludf.DUMMYFUNCTION("""COMPUTED_VALUE"""),"David Shin")</f>
        <v>David Shin</v>
      </c>
      <c r="C84" s="125">
        <f>IFERROR(__xludf.DUMMYFUNCTION("""COMPUTED_VALUE"""),19.0)</f>
        <v>19</v>
      </c>
      <c r="D84" s="125">
        <f>IFERROR(__xludf.DUMMYFUNCTION("""COMPUTED_VALUE"""),3.0)</f>
        <v>3</v>
      </c>
      <c r="E84" s="125">
        <f>IFERROR(__xludf.DUMMYFUNCTION("""COMPUTED_VALUE"""),2.0)</f>
        <v>2</v>
      </c>
      <c r="F84" s="2"/>
    </row>
    <row r="85">
      <c r="A85" s="2"/>
      <c r="B85" s="36" t="str">
        <f>IFERROR(__xludf.DUMMYFUNCTION("""COMPUTED_VALUE"""),"Manish Anand")</f>
        <v>Manish Anand</v>
      </c>
      <c r="C85" s="125">
        <f>IFERROR(__xludf.DUMMYFUNCTION("""COMPUTED_VALUE"""),19.0)</f>
        <v>19</v>
      </c>
      <c r="D85" s="125">
        <f>IFERROR(__xludf.DUMMYFUNCTION("""COMPUTED_VALUE"""),3.0)</f>
        <v>3</v>
      </c>
      <c r="E85" s="125">
        <f>IFERROR(__xludf.DUMMYFUNCTION("""COMPUTED_VALUE"""),7.0)</f>
        <v>7</v>
      </c>
      <c r="F85" s="2"/>
    </row>
    <row r="86">
      <c r="A86" s="2"/>
      <c r="B86" s="36" t="str">
        <f>IFERROR(__xludf.DUMMYFUNCTION("""COMPUTED_VALUE"""),"Ruben Ron")</f>
        <v>Ruben Ron</v>
      </c>
      <c r="C86" s="125">
        <f>IFERROR(__xludf.DUMMYFUNCTION("""COMPUTED_VALUE"""),18.0)</f>
        <v>18</v>
      </c>
      <c r="D86" s="125">
        <f>IFERROR(__xludf.DUMMYFUNCTION("""COMPUTED_VALUE"""),3.0)</f>
        <v>3</v>
      </c>
      <c r="E86" s="125">
        <f>IFERROR(__xludf.DUMMYFUNCTION("""COMPUTED_VALUE"""),3.0)</f>
        <v>3</v>
      </c>
      <c r="F86" s="2"/>
    </row>
    <row r="87">
      <c r="A87" s="2"/>
      <c r="B87" s="36" t="str">
        <f>IFERROR(__xludf.DUMMYFUNCTION("""COMPUTED_VALUE"""),"Suleman Alidina")</f>
        <v>Suleman Alidina</v>
      </c>
      <c r="C87" s="125">
        <f>IFERROR(__xludf.DUMMYFUNCTION("""COMPUTED_VALUE"""),18.0)</f>
        <v>18</v>
      </c>
      <c r="D87" s="125">
        <f>IFERROR(__xludf.DUMMYFUNCTION("""COMPUTED_VALUE"""),3.0)</f>
        <v>3</v>
      </c>
      <c r="E87" s="125">
        <f>IFERROR(__xludf.DUMMYFUNCTION("""COMPUTED_VALUE"""),5.0)</f>
        <v>5</v>
      </c>
      <c r="F87" s="2"/>
    </row>
    <row r="88">
      <c r="A88" s="2"/>
      <c r="B88" s="36" t="str">
        <f>IFERROR(__xludf.DUMMYFUNCTION("""COMPUTED_VALUE"""),"Vinotkumar Nagappan")</f>
        <v>Vinotkumar Nagappan</v>
      </c>
      <c r="C88" s="125">
        <f>IFERROR(__xludf.DUMMYFUNCTION("""COMPUTED_VALUE"""),18.0)</f>
        <v>18</v>
      </c>
      <c r="D88" s="125">
        <f>IFERROR(__xludf.DUMMYFUNCTION("""COMPUTED_VALUE"""),2.0)</f>
        <v>2</v>
      </c>
      <c r="E88" s="125">
        <f>IFERROR(__xludf.DUMMYFUNCTION("""COMPUTED_VALUE"""),6.0)</f>
        <v>6</v>
      </c>
      <c r="F88" s="2"/>
    </row>
    <row r="89">
      <c r="A89" s="2"/>
      <c r="B89" s="36" t="str">
        <f>IFERROR(__xludf.DUMMYFUNCTION("""COMPUTED_VALUE"""),"Coco Yan")</f>
        <v>Coco Yan</v>
      </c>
      <c r="C89" s="125">
        <f>IFERROR(__xludf.DUMMYFUNCTION("""COMPUTED_VALUE"""),18.0)</f>
        <v>18</v>
      </c>
      <c r="D89" s="125">
        <f>IFERROR(__xludf.DUMMYFUNCTION("""COMPUTED_VALUE"""),2.0)</f>
        <v>2</v>
      </c>
      <c r="E89" s="125">
        <f>IFERROR(__xludf.DUMMYFUNCTION("""COMPUTED_VALUE"""),8.0)</f>
        <v>8</v>
      </c>
      <c r="F89" s="2"/>
    </row>
    <row r="90">
      <c r="A90" s="2"/>
      <c r="B90" s="36" t="str">
        <f>IFERROR(__xludf.DUMMYFUNCTION("""COMPUTED_VALUE"""),"Jonathan Phan")</f>
        <v>Jonathan Phan</v>
      </c>
      <c r="C90" s="125">
        <f>IFERROR(__xludf.DUMMYFUNCTION("""COMPUTED_VALUE"""),18.0)</f>
        <v>18</v>
      </c>
      <c r="D90" s="125">
        <f>IFERROR(__xludf.DUMMYFUNCTION("""COMPUTED_VALUE"""),1.0)</f>
        <v>1</v>
      </c>
      <c r="E90" s="125">
        <f>IFERROR(__xludf.DUMMYFUNCTION("""COMPUTED_VALUE"""),1.0)</f>
        <v>1</v>
      </c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10"")"),"Manish Anand")</f>
        <v>Manish Anand</v>
      </c>
      <c r="C102" s="125">
        <f>IFERROR(__xludf.DUMMYFUNCTION("""COMPUTED_VALUE"""),23.0)</f>
        <v>23</v>
      </c>
      <c r="D102" s="125">
        <f t="shared" ref="D102:D111" si="77">VLOOKUP(B102,indirect($AC$2&amp;"!B$5:X$79"),23, false)</f>
        <v>48</v>
      </c>
      <c r="E102" s="125">
        <f t="shared" ref="E102:E111" si="78">VLOOKUP(B102,B$5:X$71,23, false)</f>
        <v>25</v>
      </c>
      <c r="F102" s="125">
        <f t="shared" ref="F102:F111" si="79">VLOOKUP(B102,indirect($AC$2&amp;"!B$5:U$79"),11, false)</f>
        <v>19</v>
      </c>
      <c r="G102" s="125">
        <f t="shared" ref="G102:G111" si="80">VLOOKUP(B102,indirect($AC$2&amp;"!B$5:U$79"),6, false)</f>
        <v>7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IFERROR(__xludf.DUMMYFUNCTION("""COMPUTED_VALUE"""),"Suleman Alidina")</f>
        <v>Suleman Alidina</v>
      </c>
      <c r="C103" s="125">
        <f>IFERROR(__xludf.DUMMYFUNCTION("""COMPUTED_VALUE"""),22.0)</f>
        <v>22</v>
      </c>
      <c r="D103" s="125">
        <f t="shared" si="77"/>
        <v>36</v>
      </c>
      <c r="E103" s="125">
        <f t="shared" si="78"/>
        <v>14</v>
      </c>
      <c r="F103" s="125">
        <f t="shared" si="79"/>
        <v>18</v>
      </c>
      <c r="G103" s="125">
        <f t="shared" si="80"/>
        <v>5</v>
      </c>
      <c r="L103" s="125" t="str">
        <f t="shared" si="81"/>
        <v>ok</v>
      </c>
    </row>
    <row r="104">
      <c r="A104" s="2"/>
      <c r="B104" s="36" t="str">
        <f>IFERROR(__xludf.DUMMYFUNCTION("""COMPUTED_VALUE"""),"Pavan Akkimsetty")</f>
        <v>Pavan Akkimsetty</v>
      </c>
      <c r="C104" s="125">
        <f>IFERROR(__xludf.DUMMYFUNCTION("""COMPUTED_VALUE"""),22.0)</f>
        <v>22</v>
      </c>
      <c r="D104" s="125">
        <f t="shared" si="77"/>
        <v>38</v>
      </c>
      <c r="E104" s="125">
        <f t="shared" si="78"/>
        <v>16</v>
      </c>
      <c r="F104" s="125">
        <f t="shared" si="79"/>
        <v>17</v>
      </c>
      <c r="G104" s="125">
        <f t="shared" si="80"/>
        <v>6</v>
      </c>
      <c r="L104" s="125" t="str">
        <f t="shared" si="81"/>
        <v>ok</v>
      </c>
    </row>
    <row r="105">
      <c r="A105" s="2"/>
      <c r="B105" s="36" t="str">
        <f>IFERROR(__xludf.DUMMYFUNCTION("""COMPUTED_VALUE"""),"Vinotkumar Nagappan")</f>
        <v>Vinotkumar Nagappan</v>
      </c>
      <c r="C105" s="125">
        <f>IFERROR(__xludf.DUMMYFUNCTION("""COMPUTED_VALUE"""),21.0)</f>
        <v>21</v>
      </c>
      <c r="D105" s="125">
        <f t="shared" si="77"/>
        <v>43</v>
      </c>
      <c r="E105" s="125">
        <f t="shared" si="78"/>
        <v>22</v>
      </c>
      <c r="F105" s="125">
        <f t="shared" si="79"/>
        <v>18</v>
      </c>
      <c r="G105" s="125">
        <f t="shared" si="80"/>
        <v>6</v>
      </c>
      <c r="L105" s="125" t="str">
        <f t="shared" si="81"/>
        <v>ok</v>
      </c>
    </row>
    <row r="106">
      <c r="A106" s="2"/>
      <c r="B106" s="36" t="str">
        <f>IFERROR(__xludf.DUMMYFUNCTION("""COMPUTED_VALUE"""),"Coco Yan")</f>
        <v>Coco Yan</v>
      </c>
      <c r="C106" s="125">
        <f>IFERROR(__xludf.DUMMYFUNCTION("""COMPUTED_VALUE"""),15.0)</f>
        <v>15</v>
      </c>
      <c r="D106" s="125">
        <f t="shared" si="77"/>
        <v>65</v>
      </c>
      <c r="E106" s="125">
        <f t="shared" si="78"/>
        <v>50</v>
      </c>
      <c r="F106" s="125">
        <f t="shared" si="79"/>
        <v>18</v>
      </c>
      <c r="G106" s="125">
        <f t="shared" si="80"/>
        <v>8</v>
      </c>
      <c r="L106" s="125" t="str">
        <f t="shared" si="81"/>
        <v>ok</v>
      </c>
    </row>
    <row r="107">
      <c r="A107" s="2"/>
      <c r="B107" s="36" t="str">
        <f>IFERROR(__xludf.DUMMYFUNCTION("""COMPUTED_VALUE"""),"Kumar Palakeel")</f>
        <v>Kumar Palakeel</v>
      </c>
      <c r="C107" s="125">
        <f>IFERROR(__xludf.DUMMYFUNCTION("""COMPUTED_VALUE"""),14.0)</f>
        <v>14</v>
      </c>
      <c r="D107" s="125">
        <f t="shared" si="77"/>
        <v>52</v>
      </c>
      <c r="E107" s="125">
        <f t="shared" si="78"/>
        <v>38</v>
      </c>
      <c r="F107" s="125">
        <f t="shared" si="79"/>
        <v>17</v>
      </c>
      <c r="G107" s="125">
        <f t="shared" si="80"/>
        <v>8</v>
      </c>
      <c r="L107" s="125" t="str">
        <f t="shared" si="81"/>
        <v>ok</v>
      </c>
    </row>
    <row r="108">
      <c r="A108" s="2"/>
      <c r="B108" s="36" t="str">
        <f>IFERROR(__xludf.DUMMYFUNCTION("""COMPUTED_VALUE"""),"Alex Hou")</f>
        <v>Alex Hou</v>
      </c>
      <c r="C108" s="125">
        <f>IFERROR(__xludf.DUMMYFUNCTION("""COMPUTED_VALUE"""),13.0)</f>
        <v>13</v>
      </c>
      <c r="D108" s="125">
        <f t="shared" si="77"/>
        <v>50</v>
      </c>
      <c r="E108" s="125">
        <f t="shared" si="78"/>
        <v>37</v>
      </c>
      <c r="F108" s="125">
        <f t="shared" si="79"/>
        <v>17</v>
      </c>
      <c r="G108" s="125">
        <f t="shared" si="80"/>
        <v>8</v>
      </c>
      <c r="L108" s="125" t="str">
        <f t="shared" si="81"/>
        <v>ok</v>
      </c>
    </row>
    <row r="109">
      <c r="A109" s="2"/>
      <c r="B109" s="36" t="str">
        <f>IFERROR(__xludf.DUMMYFUNCTION("""COMPUTED_VALUE"""),"Wayne Liu")</f>
        <v>Wayne Liu</v>
      </c>
      <c r="C109" s="125">
        <f>IFERROR(__xludf.DUMMYFUNCTION("""COMPUTED_VALUE"""),11.0)</f>
        <v>11</v>
      </c>
      <c r="D109" s="125">
        <f t="shared" si="77"/>
        <v>41</v>
      </c>
      <c r="E109" s="125">
        <f t="shared" si="78"/>
        <v>30</v>
      </c>
      <c r="F109" s="125">
        <f t="shared" si="79"/>
        <v>15</v>
      </c>
      <c r="G109" s="125">
        <f t="shared" si="80"/>
        <v>6</v>
      </c>
      <c r="L109" s="125" t="str">
        <f t="shared" si="81"/>
        <v>ok</v>
      </c>
    </row>
    <row r="110">
      <c r="A110" s="2"/>
      <c r="B110" s="36" t="str">
        <f>IFERROR(__xludf.DUMMYFUNCTION("""COMPUTED_VALUE"""),"Eric Tan")</f>
        <v>Eric Tan</v>
      </c>
      <c r="C110" s="125">
        <f>IFERROR(__xludf.DUMMYFUNCTION("""COMPUTED_VALUE"""),11.0)</f>
        <v>11</v>
      </c>
      <c r="D110" s="125">
        <f t="shared" si="77"/>
        <v>66</v>
      </c>
      <c r="E110" s="125">
        <f t="shared" si="78"/>
        <v>55</v>
      </c>
      <c r="F110" s="125">
        <f t="shared" si="79"/>
        <v>14</v>
      </c>
      <c r="G110" s="125">
        <f t="shared" si="80"/>
        <v>8</v>
      </c>
      <c r="L110" s="125" t="str">
        <f t="shared" si="81"/>
        <v>ok</v>
      </c>
    </row>
    <row r="111">
      <c r="A111" s="2"/>
      <c r="B111" s="36" t="str">
        <f>IFERROR(__xludf.DUMMYFUNCTION("""COMPUTED_VALUE"""),"David Shin")</f>
        <v>David Shin</v>
      </c>
      <c r="C111" s="125">
        <f>IFERROR(__xludf.DUMMYFUNCTION("""COMPUTED_VALUE"""),9.0)</f>
        <v>9</v>
      </c>
      <c r="D111" s="125">
        <f t="shared" si="77"/>
        <v>13</v>
      </c>
      <c r="E111" s="125">
        <f t="shared" si="78"/>
        <v>4</v>
      </c>
      <c r="F111" s="125">
        <f t="shared" si="79"/>
        <v>19</v>
      </c>
      <c r="G111" s="125">
        <f t="shared" si="80"/>
        <v>2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5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Rudy Tatang</v>
      </c>
      <c r="C120" s="125">
        <f t="shared" si="82"/>
        <v>65</v>
      </c>
      <c r="D120" s="125">
        <f t="shared" si="82"/>
        <v>7</v>
      </c>
      <c r="E120" s="125">
        <f t="shared" si="82"/>
        <v>14</v>
      </c>
      <c r="F120" s="2"/>
    </row>
    <row r="121">
      <c r="A121" s="125">
        <f t="shared" ref="A121:E121" si="83">A6</f>
        <v>2</v>
      </c>
      <c r="B121" s="36" t="str">
        <f t="shared" si="83"/>
        <v>Scott Li</v>
      </c>
      <c r="C121" s="125">
        <f t="shared" si="83"/>
        <v>64</v>
      </c>
      <c r="D121" s="125">
        <f t="shared" si="83"/>
        <v>8</v>
      </c>
      <c r="E121" s="125">
        <f t="shared" si="83"/>
        <v>12.75</v>
      </c>
      <c r="F121" s="2"/>
    </row>
    <row r="122">
      <c r="A122" s="125">
        <f t="shared" ref="A122:E122" si="84">A7</f>
        <v>3</v>
      </c>
      <c r="B122" s="36" t="str">
        <f t="shared" si="84"/>
        <v>Jonathan Phan</v>
      </c>
      <c r="C122" s="125">
        <f t="shared" si="84"/>
        <v>63</v>
      </c>
      <c r="D122" s="125">
        <f t="shared" si="84"/>
        <v>6</v>
      </c>
      <c r="E122" s="125">
        <f t="shared" si="84"/>
        <v>13.66666667</v>
      </c>
      <c r="F122" s="2"/>
    </row>
    <row r="123">
      <c r="A123" s="125">
        <f t="shared" ref="A123:E123" si="85">A8</f>
        <v>4</v>
      </c>
      <c r="B123" s="36" t="str">
        <f t="shared" si="85"/>
        <v>David Shin</v>
      </c>
      <c r="C123" s="125">
        <f t="shared" si="85"/>
        <v>60</v>
      </c>
      <c r="D123" s="125">
        <f t="shared" si="85"/>
        <v>6</v>
      </c>
      <c r="E123" s="125">
        <f t="shared" si="85"/>
        <v>11.75</v>
      </c>
      <c r="F123" s="2"/>
    </row>
    <row r="124">
      <c r="A124" s="125">
        <f t="shared" ref="A124:E124" si="86">A9</f>
        <v>5</v>
      </c>
      <c r="B124" s="36" t="str">
        <f t="shared" si="86"/>
        <v>Darren Wong</v>
      </c>
      <c r="C124" s="125">
        <f t="shared" si="86"/>
        <v>59</v>
      </c>
      <c r="D124" s="125">
        <f t="shared" si="86"/>
        <v>6</v>
      </c>
      <c r="E124" s="125">
        <f t="shared" si="86"/>
        <v>12.33333333</v>
      </c>
      <c r="F124" s="2"/>
    </row>
    <row r="125">
      <c r="A125" s="125">
        <f t="shared" ref="A125:E125" si="87">A10</f>
        <v>6</v>
      </c>
      <c r="B125" s="36" t="str">
        <f t="shared" si="87"/>
        <v>Ruben Ron</v>
      </c>
      <c r="C125" s="125">
        <f t="shared" si="87"/>
        <v>59</v>
      </c>
      <c r="D125" s="125">
        <f t="shared" si="87"/>
        <v>5</v>
      </c>
      <c r="E125" s="125">
        <f t="shared" si="87"/>
        <v>11</v>
      </c>
      <c r="F125" s="2"/>
    </row>
    <row r="126">
      <c r="A126" s="125">
        <f t="shared" ref="A126:E126" si="88">A11</f>
        <v>7</v>
      </c>
      <c r="B126" s="36" t="str">
        <f t="shared" si="88"/>
        <v>Andrew Yao</v>
      </c>
      <c r="C126" s="125">
        <f t="shared" si="88"/>
        <v>59</v>
      </c>
      <c r="D126" s="125">
        <f t="shared" si="88"/>
        <v>5</v>
      </c>
      <c r="E126" s="125">
        <f t="shared" si="88"/>
        <v>11.5</v>
      </c>
      <c r="F126" s="2"/>
    </row>
    <row r="127">
      <c r="A127" s="125">
        <f t="shared" ref="A127:E127" si="89">A12</f>
        <v>8</v>
      </c>
      <c r="B127" s="36" t="str">
        <f t="shared" si="89"/>
        <v>Ted Shen</v>
      </c>
      <c r="C127" s="125">
        <f t="shared" si="89"/>
        <v>58</v>
      </c>
      <c r="D127" s="125">
        <f t="shared" si="89"/>
        <v>7</v>
      </c>
      <c r="E127" s="125">
        <f t="shared" si="89"/>
        <v>11.6</v>
      </c>
      <c r="F127" s="2"/>
    </row>
    <row r="128">
      <c r="A128" s="125">
        <f t="shared" ref="A128:E128" si="90">A13</f>
        <v>9</v>
      </c>
      <c r="B128" s="36" t="str">
        <f t="shared" si="90"/>
        <v>Chinna Ponnaganti</v>
      </c>
      <c r="C128" s="125">
        <f t="shared" si="90"/>
        <v>56</v>
      </c>
      <c r="D128" s="125">
        <f t="shared" si="90"/>
        <v>4</v>
      </c>
      <c r="E128" s="125">
        <f t="shared" si="90"/>
        <v>10.75</v>
      </c>
      <c r="F128" s="2"/>
    </row>
    <row r="129">
      <c r="A129" s="125">
        <f t="shared" ref="A129:E129" si="91">A14</f>
        <v>10</v>
      </c>
      <c r="B129" s="36" t="str">
        <f t="shared" si="91"/>
        <v>Jim Miao</v>
      </c>
      <c r="C129" s="125">
        <f t="shared" si="91"/>
        <v>55</v>
      </c>
      <c r="D129" s="125">
        <f t="shared" si="91"/>
        <v>4</v>
      </c>
      <c r="E129" s="125">
        <f t="shared" si="91"/>
        <v>12.33333333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IFERROR(__xludf.DUMMYFUNCTION("""COMPUTED_VALUE"""),"Eric Tan")</f>
        <v>Eric Tan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IFERROR(__xludf.DUMMYFUNCTION("""COMPUTED_VALUE"""),"Erik Hoeckmann")</f>
        <v>Erik Hoeckmann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IFERROR(__xludf.DUMMYFUNCTION("""COMPUTED_VALUE"""),"Joe Luzzi")</f>
        <v>Joe Luzzi</v>
      </c>
      <c r="C140" s="2"/>
      <c r="D140" s="2"/>
      <c r="E140" s="2"/>
      <c r="F140" s="2"/>
    </row>
    <row r="141">
      <c r="A141" s="125">
        <f t="shared" si="92"/>
        <v>5</v>
      </c>
      <c r="B141" s="36" t="str">
        <f>IFERROR(__xludf.DUMMYFUNCTION("""COMPUTED_VALUE"""),"Ted Shen")</f>
        <v>Ted Shen</v>
      </c>
      <c r="C141" s="2"/>
      <c r="D141" s="2"/>
      <c r="E141" s="2"/>
      <c r="F141" s="2"/>
    </row>
    <row r="142">
      <c r="A142" s="125">
        <f t="shared" si="92"/>
        <v>6</v>
      </c>
      <c r="B142" s="36" t="str">
        <f>IFERROR(__xludf.DUMMYFUNCTION("""COMPUTED_VALUE"""),"Vinotkumar Nagappan")</f>
        <v>Vinotkumar Nagappan</v>
      </c>
      <c r="C142" s="2"/>
      <c r="D142" s="2"/>
      <c r="E142" s="2"/>
      <c r="F142" s="2"/>
    </row>
    <row r="143">
      <c r="A143" s="125">
        <f t="shared" si="92"/>
        <v>0</v>
      </c>
      <c r="B143" s="36"/>
      <c r="C143" s="2"/>
      <c r="D143" s="2"/>
      <c r="E143" s="2"/>
      <c r="F143" s="2"/>
    </row>
    <row r="144">
      <c r="A144" s="125">
        <f t="shared" si="92"/>
        <v>0</v>
      </c>
      <c r="B144" s="36"/>
      <c r="C144" s="2"/>
      <c r="D144" s="2"/>
      <c r="E144" s="2"/>
      <c r="F144" s="2"/>
    </row>
    <row r="145">
      <c r="A145" s="125">
        <f t="shared" si="92"/>
        <v>0</v>
      </c>
      <c r="B145" s="36"/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07/25/26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IFERROR(__xludf.DUMMYFUNCTION("""COMPUTED_VALUE"""),"Scott Li")</f>
        <v>Scott Li</v>
      </c>
      <c r="C239" s="131">
        <f>IFERROR(__xludf.DUMMYFUNCTION("""COMPUTED_VALUE"""),6.0)</f>
        <v>6</v>
      </c>
      <c r="D239" s="131">
        <f>IFERROR(__xludf.DUMMYFUNCTION("""COMPUTED_VALUE"""),2.0)</f>
        <v>2</v>
      </c>
      <c r="E239" s="131">
        <f>IFERROR(__xludf.DUMMYFUNCTION("""COMPUTED_VALUE"""),7.0)</f>
        <v>7</v>
      </c>
      <c r="F239" s="131">
        <f>IFERROR(__xludf.DUMMYFUNCTION("""COMPUTED_VALUE"""),15.0)</f>
        <v>15</v>
      </c>
      <c r="G239" s="131">
        <f>IFERROR(__xludf.DUMMYFUNCTION("""COMPUTED_VALUE"""),1.0)</f>
        <v>1</v>
      </c>
    </row>
    <row r="240">
      <c r="A240" s="125">
        <f>IFERROR(__xludf.DUMMYFUNCTION("""COMPUTED_VALUE"""),1.0)</f>
        <v>1</v>
      </c>
      <c r="B240" s="36" t="str">
        <f>IFERROR(__xludf.DUMMYFUNCTION("""COMPUTED_VALUE"""),"Rudy Tatang")</f>
        <v>Rudy Tatang</v>
      </c>
      <c r="C240" s="131">
        <f>IFERROR(__xludf.DUMMYFUNCTION("""COMPUTED_VALUE"""),7.0)</f>
        <v>7</v>
      </c>
      <c r="D240" s="131">
        <f>IFERROR(__xludf.DUMMYFUNCTION("""COMPUTED_VALUE"""),6.0)</f>
        <v>6</v>
      </c>
      <c r="E240" s="131">
        <f>IFERROR(__xludf.DUMMYFUNCTION("""COMPUTED_VALUE"""),7.0)</f>
        <v>7</v>
      </c>
      <c r="F240" s="131">
        <f>IFERROR(__xludf.DUMMYFUNCTION("""COMPUTED_VALUE"""),20.0)</f>
        <v>20</v>
      </c>
      <c r="G240" s="131">
        <f>IFERROR(__xludf.DUMMYFUNCTION("""COMPUTED_VALUE"""),3.0)</f>
        <v>3</v>
      </c>
    </row>
    <row r="241">
      <c r="A241" s="125">
        <f>IFERROR(__xludf.DUMMYFUNCTION("""COMPUTED_VALUE"""),1.0)</f>
        <v>1</v>
      </c>
      <c r="B241" s="36" t="str">
        <f>IFERROR(__xludf.DUMMYFUNCTION("""COMPUTED_VALUE"""),"Jonathan Phan")</f>
        <v>Jonathan Phan</v>
      </c>
      <c r="C241" s="131">
        <f>IFERROR(__xludf.DUMMYFUNCTION("""COMPUTED_VALUE"""),6.0)</f>
        <v>6</v>
      </c>
      <c r="D241" s="131">
        <f>IFERROR(__xludf.DUMMYFUNCTION("""COMPUTED_VALUE"""),6.0)</f>
        <v>6</v>
      </c>
      <c r="E241" s="131">
        <f>IFERROR(__xludf.DUMMYFUNCTION("""COMPUTED_VALUE"""),6.0)</f>
        <v>6</v>
      </c>
      <c r="F241" s="131">
        <f>IFERROR(__xludf.DUMMYFUNCTION("""COMPUTED_VALUE"""),18.0)</f>
        <v>18</v>
      </c>
      <c r="G241" s="131">
        <f>IFERROR(__xludf.DUMMYFUNCTION("""COMPUTED_VALUE"""),1.0)</f>
        <v>1</v>
      </c>
    </row>
    <row r="242">
      <c r="A242" s="125">
        <f>IFERROR(__xludf.DUMMYFUNCTION("""COMPUTED_VALUE"""),1.0)</f>
        <v>1</v>
      </c>
      <c r="B242" s="36" t="str">
        <f>IFERROR(__xludf.DUMMYFUNCTION("""COMPUTED_VALUE"""),"Andrew Yao")</f>
        <v>Andrew Yao</v>
      </c>
      <c r="C242" s="131">
        <f>IFERROR(__xludf.DUMMYFUNCTION("""COMPUTED_VALUE"""),7.0)</f>
        <v>7</v>
      </c>
      <c r="D242" s="131">
        <f>IFERROR(__xludf.DUMMYFUNCTION("""COMPUTED_VALUE"""),2.0)</f>
        <v>2</v>
      </c>
      <c r="E242" s="131">
        <f>IFERROR(__xludf.DUMMYFUNCTION("""COMPUTED_VALUE"""),6.0)</f>
        <v>6</v>
      </c>
      <c r="F242" s="131">
        <f>IFERROR(__xludf.DUMMYFUNCTION("""COMPUTED_VALUE"""),15.0)</f>
        <v>15</v>
      </c>
      <c r="G242" s="131">
        <f>IFERROR(__xludf.DUMMYFUNCTION("""COMPUTED_VALUE"""),1.0)</f>
        <v>1</v>
      </c>
    </row>
    <row r="243">
      <c r="A243" s="132">
        <f>IFERROR(__xludf.DUMMYFUNCTION("""COMPUTED_VALUE"""),2.0)</f>
        <v>2</v>
      </c>
      <c r="B243" s="133" t="str">
        <f>IFERROR(__xludf.DUMMYFUNCTION("""COMPUTED_VALUE"""),"Ted Shen")</f>
        <v>Ted Shen</v>
      </c>
      <c r="C243" s="134">
        <f>IFERROR(__xludf.DUMMYFUNCTION("""COMPUTED_VALUE"""),6.0)</f>
        <v>6</v>
      </c>
      <c r="D243" s="134">
        <f>IFERROR(__xludf.DUMMYFUNCTION("""COMPUTED_VALUE"""),6.0)</f>
        <v>6</v>
      </c>
      <c r="E243" s="134">
        <f>IFERROR(__xludf.DUMMYFUNCTION("""COMPUTED_VALUE"""),4.0)</f>
        <v>4</v>
      </c>
      <c r="F243" s="134">
        <f>IFERROR(__xludf.DUMMYFUNCTION("""COMPUTED_VALUE"""),16.0)</f>
        <v>16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IFERROR(__xludf.DUMMYFUNCTION("""COMPUTED_VALUE"""),"Jim Miao")</f>
        <v>Jim Miao</v>
      </c>
      <c r="C244" s="134">
        <f>IFERROR(__xludf.DUMMYFUNCTION("""COMPUTED_VALUE"""),7.0)</f>
        <v>7</v>
      </c>
      <c r="D244" s="134">
        <f>IFERROR(__xludf.DUMMYFUNCTION("""COMPUTED_VALUE"""),3.0)</f>
        <v>3</v>
      </c>
      <c r="E244" s="134">
        <f>IFERROR(__xludf.DUMMYFUNCTION("""COMPUTED_VALUE"""),4.0)</f>
        <v>4</v>
      </c>
      <c r="F244" s="134">
        <f>IFERROR(__xludf.DUMMYFUNCTION("""COMPUTED_VALUE"""),14.0)</f>
        <v>14</v>
      </c>
      <c r="G244" s="134">
        <f>IFERROR(__xludf.DUMMYFUNCTION("""COMPUTED_VALUE"""),1.0)</f>
        <v>1</v>
      </c>
    </row>
    <row r="245">
      <c r="A245" s="132">
        <f>IFERROR(__xludf.DUMMYFUNCTION("""COMPUTED_VALUE"""),2.0)</f>
        <v>2</v>
      </c>
      <c r="B245" s="133" t="str">
        <f>IFERROR(__xludf.DUMMYFUNCTION("""COMPUTED_VALUE"""),"Chinna Ponnaganti")</f>
        <v>Chinna Ponnaganti</v>
      </c>
      <c r="C245" s="134">
        <f>IFERROR(__xludf.DUMMYFUNCTION("""COMPUTED_VALUE"""),6.0)</f>
        <v>6</v>
      </c>
      <c r="D245" s="134">
        <f>IFERROR(__xludf.DUMMYFUNCTION("""COMPUTED_VALUE"""),3.0)</f>
        <v>3</v>
      </c>
      <c r="E245" s="134">
        <f>IFERROR(__xludf.DUMMYFUNCTION("""COMPUTED_VALUE"""),6.0)</f>
        <v>6</v>
      </c>
      <c r="F245" s="134">
        <f>IFERROR(__xludf.DUMMYFUNCTION("""COMPUTED_VALUE"""),15.0)</f>
        <v>15</v>
      </c>
      <c r="G245" s="134">
        <f>IFERROR(__xludf.DUMMYFUNCTION("""COMPUTED_VALUE"""),1.0)</f>
        <v>1</v>
      </c>
    </row>
    <row r="246">
      <c r="A246" s="132">
        <f>IFERROR(__xludf.DUMMYFUNCTION("""COMPUTED_VALUE"""),2.0)</f>
        <v>2</v>
      </c>
      <c r="B246" s="133" t="str">
        <f>IFERROR(__xludf.DUMMYFUNCTION("""COMPUTED_VALUE"""),"David Shin")</f>
        <v>David Shin</v>
      </c>
      <c r="C246" s="134">
        <f>IFERROR(__xludf.DUMMYFUNCTION("""COMPUTED_VALUE"""),7.0)</f>
        <v>7</v>
      </c>
      <c r="D246" s="134">
        <f>IFERROR(__xludf.DUMMYFUNCTION("""COMPUTED_VALUE"""),6.0)</f>
        <v>6</v>
      </c>
      <c r="E246" s="134">
        <f>IFERROR(__xludf.DUMMYFUNCTION("""COMPUTED_VALUE"""),6.0)</f>
        <v>6</v>
      </c>
      <c r="F246" s="134">
        <f>IFERROR(__xludf.DUMMYFUNCTION("""COMPUTED_VALUE"""),19.0)</f>
        <v>19</v>
      </c>
      <c r="G246" s="134">
        <f>IFERROR(__xludf.DUMMYFUNCTION("""COMPUTED_VALUE"""),3.0)</f>
        <v>3</v>
      </c>
    </row>
    <row r="247">
      <c r="A247" s="125">
        <f>IFERROR(__xludf.DUMMYFUNCTION("""COMPUTED_VALUE"""),3.0)</f>
        <v>3</v>
      </c>
      <c r="B247" s="36" t="str">
        <f>IFERROR(__xludf.DUMMYFUNCTION("""COMPUTED_VALUE"""),"Ruben Ron")</f>
        <v>Ruben Ron</v>
      </c>
      <c r="C247" s="131">
        <f>IFERROR(__xludf.DUMMYFUNCTION("""COMPUTED_VALUE"""),6.0)</f>
        <v>6</v>
      </c>
      <c r="D247" s="131">
        <f>IFERROR(__xludf.DUMMYFUNCTION("""COMPUTED_VALUE"""),6.0)</f>
        <v>6</v>
      </c>
      <c r="E247" s="131">
        <f>IFERROR(__xludf.DUMMYFUNCTION("""COMPUTED_VALUE"""),6.0)</f>
        <v>6</v>
      </c>
      <c r="F247" s="131">
        <f>IFERROR(__xludf.DUMMYFUNCTION("""COMPUTED_VALUE"""),18.0)</f>
        <v>18</v>
      </c>
      <c r="G247" s="131">
        <f>IFERROR(__xludf.DUMMYFUNCTION("""COMPUTED_VALUE"""),3.0)</f>
        <v>3</v>
      </c>
    </row>
    <row r="248">
      <c r="A248" s="125">
        <f>IFERROR(__xludf.DUMMYFUNCTION("""COMPUTED_VALUE"""),3.0)</f>
        <v>3</v>
      </c>
      <c r="B248" s="36" t="str">
        <f>IFERROR(__xludf.DUMMYFUNCTION("""COMPUTED_VALUE"""),"Jaya Sogata")</f>
        <v>Jaya Sogata</v>
      </c>
      <c r="C248" s="131">
        <f>IFERROR(__xludf.DUMMYFUNCTION("""COMPUTED_VALUE"""),4.0)</f>
        <v>4</v>
      </c>
      <c r="D248" s="131">
        <f>IFERROR(__xludf.DUMMYFUNCTION("""COMPUTED_VALUE"""),6.0)</f>
        <v>6</v>
      </c>
      <c r="E248" s="131">
        <f>IFERROR(__xludf.DUMMYFUNCTION("""COMPUTED_VALUE"""),3.0)</f>
        <v>3</v>
      </c>
      <c r="F248" s="131">
        <f>IFERROR(__xludf.DUMMYFUNCTION("""COMPUTED_VALUE"""),13.0)</f>
        <v>13</v>
      </c>
      <c r="G248" s="131">
        <f>IFERROR(__xludf.DUMMYFUNCTION("""COMPUTED_VALUE"""),1.0)</f>
        <v>1</v>
      </c>
    </row>
    <row r="249">
      <c r="A249" s="125">
        <f>IFERROR(__xludf.DUMMYFUNCTION("""COMPUTED_VALUE"""),3.0)</f>
        <v>3</v>
      </c>
      <c r="B249" s="36" t="str">
        <f>IFERROR(__xludf.DUMMYFUNCTION("""COMPUTED_VALUE"""),"Rajasekar Ramasamy")</f>
        <v>Rajasekar Ramasamy</v>
      </c>
      <c r="C249" s="131">
        <f>IFERROR(__xludf.DUMMYFUNCTION("""COMPUTED_VALUE"""),4.0)</f>
        <v>4</v>
      </c>
      <c r="D249" s="131">
        <f>IFERROR(__xludf.DUMMYFUNCTION("""COMPUTED_VALUE"""),1.0)</f>
        <v>1</v>
      </c>
      <c r="E249" s="131">
        <f>IFERROR(__xludf.DUMMYFUNCTION("""COMPUTED_VALUE"""),6.0)</f>
        <v>6</v>
      </c>
      <c r="F249" s="131">
        <f>IFERROR(__xludf.DUMMYFUNCTION("""COMPUTED_VALUE"""),11.0)</f>
        <v>11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IFERROR(__xludf.DUMMYFUNCTION("""COMPUTED_VALUE"""),"Allen Zhang")</f>
        <v>Allen Zhang</v>
      </c>
      <c r="C250" s="131">
        <f>IFERROR(__xludf.DUMMYFUNCTION("""COMPUTED_VALUE"""),6.0)</f>
        <v>6</v>
      </c>
      <c r="D250" s="131">
        <f>IFERROR(__xludf.DUMMYFUNCTION("""COMPUTED_VALUE"""),1.0)</f>
        <v>1</v>
      </c>
      <c r="E250" s="131">
        <f>IFERROR(__xludf.DUMMYFUNCTION("""COMPUTED_VALUE"""),3.0)</f>
        <v>3</v>
      </c>
      <c r="F250" s="131">
        <f>IFERROR(__xludf.DUMMYFUNCTION("""COMPUTED_VALUE"""),10.0)</f>
        <v>10</v>
      </c>
      <c r="G250" s="131">
        <f>IFERROR(__xludf.DUMMYFUNCTION("""COMPUTED_VALUE"""),1.0)</f>
        <v>1</v>
      </c>
    </row>
    <row r="251">
      <c r="A251" s="132">
        <f>IFERROR(__xludf.DUMMYFUNCTION("""COMPUTED_VALUE"""),4.0)</f>
        <v>4</v>
      </c>
      <c r="B251" s="133" t="str">
        <f>IFERROR(__xludf.DUMMYFUNCTION("""COMPUTED_VALUE"""),"Elayaraja Thangaraj")</f>
        <v>Elayaraja Thangaraj</v>
      </c>
      <c r="C251" s="134">
        <f>IFERROR(__xludf.DUMMYFUNCTION("""COMPUTED_VALUE"""),2.0)</f>
        <v>2</v>
      </c>
      <c r="D251" s="134">
        <f>IFERROR(__xludf.DUMMYFUNCTION("""COMPUTED_VALUE"""),6.0)</f>
        <v>6</v>
      </c>
      <c r="E251" s="134">
        <f>IFERROR(__xludf.DUMMYFUNCTION("""COMPUTED_VALUE"""),6.0)</f>
        <v>6</v>
      </c>
      <c r="F251" s="134">
        <f>IFERROR(__xludf.DUMMYFUNCTION("""COMPUTED_VALUE"""),14.0)</f>
        <v>14</v>
      </c>
      <c r="G251" s="134">
        <f>IFERROR(__xludf.DUMMYFUNCTION("""COMPUTED_VALUE"""),2.0)</f>
        <v>2</v>
      </c>
    </row>
    <row r="252">
      <c r="A252" s="132">
        <f>IFERROR(__xludf.DUMMYFUNCTION("""COMPUTED_VALUE"""),4.0)</f>
        <v>4</v>
      </c>
      <c r="B252" s="133" t="str">
        <f>IFERROR(__xludf.DUMMYFUNCTION("""COMPUTED_VALUE"""),"Vinaya Kajla")</f>
        <v>Vinaya Kajla</v>
      </c>
      <c r="C252" s="134">
        <f>IFERROR(__xludf.DUMMYFUNCTION("""COMPUTED_VALUE"""),2.0)</f>
        <v>2</v>
      </c>
      <c r="D252" s="134">
        <f>IFERROR(__xludf.DUMMYFUNCTION("""COMPUTED_VALUE"""),3.0)</f>
        <v>3</v>
      </c>
      <c r="E252" s="134">
        <f>IFERROR(__xludf.DUMMYFUNCTION("""COMPUTED_VALUE"""),2.0)</f>
        <v>2</v>
      </c>
      <c r="F252" s="134">
        <f>IFERROR(__xludf.DUMMYFUNCTION("""COMPUTED_VALUE"""),7.0)</f>
        <v>7</v>
      </c>
      <c r="G252" s="134">
        <f>IFERROR(__xludf.DUMMYFUNCTION("""COMPUTED_VALUE"""),0.0)</f>
        <v>0</v>
      </c>
    </row>
    <row r="253">
      <c r="A253" s="132">
        <f>IFERROR(__xludf.DUMMYFUNCTION("""COMPUTED_VALUE"""),4.0)</f>
        <v>4</v>
      </c>
      <c r="B253" s="133" t="str">
        <f>IFERROR(__xludf.DUMMYFUNCTION("""COMPUTED_VALUE"""),"Luis Hsu")</f>
        <v>Luis Hsu</v>
      </c>
      <c r="C253" s="134">
        <f>IFERROR(__xludf.DUMMYFUNCTION("""COMPUTED_VALUE"""),6.0)</f>
        <v>6</v>
      </c>
      <c r="D253" s="134">
        <f>IFERROR(__xludf.DUMMYFUNCTION("""COMPUTED_VALUE"""),6.0)</f>
        <v>6</v>
      </c>
      <c r="E253" s="134">
        <f>IFERROR(__xludf.DUMMYFUNCTION("""COMPUTED_VALUE"""),2.0)</f>
        <v>2</v>
      </c>
      <c r="F253" s="134">
        <f>IFERROR(__xludf.DUMMYFUNCTION("""COMPUTED_VALUE"""),14.0)</f>
        <v>14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IFERROR(__xludf.DUMMYFUNCTION("""COMPUTED_VALUE"""),"Erik Hoeckmann")</f>
        <v>Erik Hoeckmann</v>
      </c>
      <c r="C254" s="134">
        <f>IFERROR(__xludf.DUMMYFUNCTION("""COMPUTED_VALUE"""),6.0)</f>
        <v>6</v>
      </c>
      <c r="D254" s="134">
        <f>IFERROR(__xludf.DUMMYFUNCTION("""COMPUTED_VALUE"""),3.0)</f>
        <v>3</v>
      </c>
      <c r="E254" s="134">
        <f>IFERROR(__xludf.DUMMYFUNCTION("""COMPUTED_VALUE"""),6.0)</f>
        <v>6</v>
      </c>
      <c r="F254" s="134">
        <f>IFERROR(__xludf.DUMMYFUNCTION("""COMPUTED_VALUE"""),15.0)</f>
        <v>15</v>
      </c>
      <c r="G254" s="134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IFERROR(__xludf.DUMMYFUNCTION("""COMPUTED_VALUE"""),"Trish Newlin")</f>
        <v>Trish Newlin</v>
      </c>
      <c r="C255" s="131">
        <f>IFERROR(__xludf.DUMMYFUNCTION("""COMPUTED_VALUE"""),6.0)</f>
        <v>6</v>
      </c>
      <c r="D255" s="131">
        <f>IFERROR(__xludf.DUMMYFUNCTION("""COMPUTED_VALUE"""),0.0)</f>
        <v>0</v>
      </c>
      <c r="E255" s="131">
        <f>IFERROR(__xludf.DUMMYFUNCTION("""COMPUTED_VALUE"""),2.0)</f>
        <v>2</v>
      </c>
      <c r="F255" s="131">
        <f>IFERROR(__xludf.DUMMYFUNCTION("""COMPUTED_VALUE"""),8.0)</f>
        <v>8</v>
      </c>
      <c r="G255" s="131">
        <f>IFERROR(__xludf.DUMMYFUNCTION("""COMPUTED_VALUE"""),1.0)</f>
        <v>1</v>
      </c>
    </row>
    <row r="256">
      <c r="A256" s="125">
        <f>IFERROR(__xludf.DUMMYFUNCTION("""COMPUTED_VALUE"""),5.0)</f>
        <v>5</v>
      </c>
      <c r="B256" s="36" t="str">
        <f>IFERROR(__xludf.DUMMYFUNCTION("""COMPUTED_VALUE"""),"Ethan Gu")</f>
        <v>Ethan Gu</v>
      </c>
      <c r="C256" s="131">
        <f>IFERROR(__xludf.DUMMYFUNCTION("""COMPUTED_VALUE"""),4.0)</f>
        <v>4</v>
      </c>
      <c r="D256" s="131">
        <f>IFERROR(__xludf.DUMMYFUNCTION("""COMPUTED_VALUE"""),6.0)</f>
        <v>6</v>
      </c>
      <c r="E256" s="131">
        <f>IFERROR(__xludf.DUMMYFUNCTION("""COMPUTED_VALUE"""),2.0)</f>
        <v>2</v>
      </c>
      <c r="F256" s="131">
        <f>IFERROR(__xludf.DUMMYFUNCTION("""COMPUTED_VALUE"""),12.0)</f>
        <v>12</v>
      </c>
      <c r="G256" s="131">
        <f>IFERROR(__xludf.DUMMYFUNCTION("""COMPUTED_VALUE"""),1.0)</f>
        <v>1</v>
      </c>
    </row>
    <row r="257">
      <c r="A257" s="125">
        <f>IFERROR(__xludf.DUMMYFUNCTION("""COMPUTED_VALUE"""),5.0)</f>
        <v>5</v>
      </c>
      <c r="B257" s="36" t="str">
        <f>IFERROR(__xludf.DUMMYFUNCTION("""COMPUTED_VALUE"""),"Hongyuan Wen")</f>
        <v>Hongyuan Wen</v>
      </c>
      <c r="C257" s="131">
        <f>IFERROR(__xludf.DUMMYFUNCTION("""COMPUTED_VALUE"""),4.0)</f>
        <v>4</v>
      </c>
      <c r="D257" s="131">
        <f>IFERROR(__xludf.DUMMYFUNCTION("""COMPUTED_VALUE"""),0.0)</f>
        <v>0</v>
      </c>
      <c r="E257" s="131">
        <f>IFERROR(__xludf.DUMMYFUNCTION("""COMPUTED_VALUE"""),6.0)</f>
        <v>6</v>
      </c>
      <c r="F257" s="131">
        <f>IFERROR(__xludf.DUMMYFUNCTION("""COMPUTED_VALUE"""),10.0)</f>
        <v>10</v>
      </c>
      <c r="G257" s="131">
        <f>IFERROR(__xludf.DUMMYFUNCTION("""COMPUTED_VALUE"""),1.0)</f>
        <v>1</v>
      </c>
    </row>
    <row r="258">
      <c r="A258" s="125">
        <f>IFERROR(__xludf.DUMMYFUNCTION("""COMPUTED_VALUE"""),5.0)</f>
        <v>5</v>
      </c>
      <c r="B258" s="36" t="str">
        <f>IFERROR(__xludf.DUMMYFUNCTION("""COMPUTED_VALUE"""),"Suleman Alidina")</f>
        <v>Suleman Alidina</v>
      </c>
      <c r="C258" s="131">
        <f>IFERROR(__xludf.DUMMYFUNCTION("""COMPUTED_VALUE"""),6.0)</f>
        <v>6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IFERROR(__xludf.DUMMYFUNCTION("""COMPUTED_VALUE"""),18.0)</f>
        <v>18</v>
      </c>
      <c r="G258" s="131">
        <f>IFERROR(__xludf.DUMMYFUNCTION("""COMPUTED_VALUE"""),3.0)</f>
        <v>3</v>
      </c>
    </row>
    <row r="259">
      <c r="A259" s="132">
        <f>IFERROR(__xludf.DUMMYFUNCTION("""COMPUTED_VALUE"""),6.0)</f>
        <v>6</v>
      </c>
      <c r="B259" s="133" t="str">
        <f>IFERROR(__xludf.DUMMYFUNCTION("""COMPUTED_VALUE"""),"Pavan Akkimsetty")</f>
        <v>Pavan Akkimsetty</v>
      </c>
      <c r="C259" s="134">
        <f>IFERROR(__xludf.DUMMYFUNCTION("""COMPUTED_VALUE"""),6.0)</f>
        <v>6</v>
      </c>
      <c r="D259" s="134">
        <f>IFERROR(__xludf.DUMMYFUNCTION("""COMPUTED_VALUE"""),7.0)</f>
        <v>7</v>
      </c>
      <c r="E259" s="134">
        <f>IFERROR(__xludf.DUMMYFUNCTION("""COMPUTED_VALUE"""),4.0)</f>
        <v>4</v>
      </c>
      <c r="F259" s="134">
        <f>IFERROR(__xludf.DUMMYFUNCTION("""COMPUTED_VALUE"""),17.0)</f>
        <v>17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IFERROR(__xludf.DUMMYFUNCTION("""COMPUTED_VALUE"""),"Wayne Liu")</f>
        <v>Wayne Liu</v>
      </c>
      <c r="C260" s="134">
        <f>IFERROR(__xludf.DUMMYFUNCTION("""COMPUTED_VALUE"""),2.0)</f>
        <v>2</v>
      </c>
      <c r="D260" s="134">
        <f>IFERROR(__xludf.DUMMYFUNCTION("""COMPUTED_VALUE"""),7.0)</f>
        <v>7</v>
      </c>
      <c r="E260" s="134">
        <f>IFERROR(__xludf.DUMMYFUNCTION("""COMPUTED_VALUE"""),6.0)</f>
        <v>6</v>
      </c>
      <c r="F260" s="134">
        <f>IFERROR(__xludf.DUMMYFUNCTION("""COMPUTED_VALUE"""),15.0)</f>
        <v>15</v>
      </c>
      <c r="G260" s="134">
        <f>IFERROR(__xludf.DUMMYFUNCTION("""COMPUTED_VALUE"""),2.0)</f>
        <v>2</v>
      </c>
    </row>
    <row r="261">
      <c r="A261" s="132">
        <f>IFERROR(__xludf.DUMMYFUNCTION("""COMPUTED_VALUE"""),6.0)</f>
        <v>6</v>
      </c>
      <c r="B261" s="133" t="str">
        <f>IFERROR(__xludf.DUMMYFUNCTION("""COMPUTED_VALUE"""),"Vinotkumar Nagappan")</f>
        <v>Vinotkumar Nagappan</v>
      </c>
      <c r="C261" s="134">
        <f>IFERROR(__xludf.DUMMYFUNCTION("""COMPUTED_VALUE"""),6.0)</f>
        <v>6</v>
      </c>
      <c r="D261" s="134">
        <f>IFERROR(__xludf.DUMMYFUNCTION("""COMPUTED_VALUE"""),6.0)</f>
        <v>6</v>
      </c>
      <c r="E261" s="134">
        <f>IFERROR(__xludf.DUMMYFUNCTION("""COMPUTED_VALUE"""),6.0)</f>
        <v>6</v>
      </c>
      <c r="F261" s="134">
        <f>IFERROR(__xludf.DUMMYFUNCTION("""COMPUTED_VALUE"""),18.0)</f>
        <v>18</v>
      </c>
      <c r="G261" s="134">
        <f>IFERROR(__xludf.DUMMYFUNCTION("""COMPUTED_VALUE"""),2.0)</f>
        <v>2</v>
      </c>
    </row>
    <row r="262">
      <c r="A262" s="132">
        <f>IFERROR(__xludf.DUMMYFUNCTION("""COMPUTED_VALUE"""),6.0)</f>
        <v>6</v>
      </c>
      <c r="B262" s="133" t="str">
        <f>IFERROR(__xludf.DUMMYFUNCTION("""COMPUTED_VALUE"""),"Sanjaye Elayattu")</f>
        <v>Sanjaye Elayattu</v>
      </c>
      <c r="C262" s="134">
        <f>IFERROR(__xludf.DUMMYFUNCTION("""COMPUTED_VALUE"""),2.0)</f>
        <v>2</v>
      </c>
      <c r="D262" s="134">
        <f>IFERROR(__xludf.DUMMYFUNCTION("""COMPUTED_VALUE"""),6.0)</f>
        <v>6</v>
      </c>
      <c r="E262" s="134">
        <f>IFERROR(__xludf.DUMMYFUNCTION("""COMPUTED_VALUE"""),4.0)</f>
        <v>4</v>
      </c>
      <c r="F262" s="134">
        <f>IFERROR(__xludf.DUMMYFUNCTION("""COMPUTED_VALUE"""),12.0)</f>
        <v>12</v>
      </c>
      <c r="G262" s="134">
        <f>IFERROR(__xludf.DUMMYFUNCTION("""COMPUTED_VALUE"""),0.0)</f>
        <v>0</v>
      </c>
    </row>
    <row r="263">
      <c r="A263" s="125">
        <f>IFERROR(__xludf.DUMMYFUNCTION("""COMPUTED_VALUE"""),7.0)</f>
        <v>7</v>
      </c>
      <c r="B263" s="36" t="str">
        <f>IFERROR(__xludf.DUMMYFUNCTION("""COMPUTED_VALUE"""),"Joe Luzzi")</f>
        <v>Joe Luzzi</v>
      </c>
      <c r="C263" s="131">
        <f>IFERROR(__xludf.DUMMYFUNCTION("""COMPUTED_VALUE"""),1.0)</f>
        <v>1</v>
      </c>
      <c r="D263" s="131">
        <f>IFERROR(__xludf.DUMMYFUNCTION("""COMPUTED_VALUE"""),6.0)</f>
        <v>6</v>
      </c>
      <c r="E263" s="131">
        <f>IFERROR(__xludf.DUMMYFUNCTION("""COMPUTED_VALUE"""),6.0)</f>
        <v>6</v>
      </c>
      <c r="F263" s="131">
        <f>IFERROR(__xludf.DUMMYFUNCTION("""COMPUTED_VALUE"""),13.0)</f>
        <v>13</v>
      </c>
      <c r="G263" s="131">
        <f>IFERROR(__xludf.DUMMYFUNCTION("""COMPUTED_VALUE"""),1.0)</f>
        <v>1</v>
      </c>
    </row>
    <row r="264">
      <c r="A264" s="125">
        <f>IFERROR(__xludf.DUMMYFUNCTION("""COMPUTED_VALUE"""),7.0)</f>
        <v>7</v>
      </c>
      <c r="B264" s="36" t="str">
        <f>IFERROR(__xludf.DUMMYFUNCTION("""COMPUTED_VALUE"""),"Ramesh Bandaru")</f>
        <v>Ramesh Bandaru</v>
      </c>
      <c r="C264" s="131">
        <f>IFERROR(__xludf.DUMMYFUNCTION("""COMPUTED_VALUE"""),6.0)</f>
        <v>6</v>
      </c>
      <c r="D264" s="131">
        <f>IFERROR(__xludf.DUMMYFUNCTION("""COMPUTED_VALUE"""),6.0)</f>
        <v>6</v>
      </c>
      <c r="E264" s="131">
        <f>IFERROR(__xludf.DUMMYFUNCTION("""COMPUTED_VALUE"""),3.0)</f>
        <v>3</v>
      </c>
      <c r="F264" s="131">
        <f>IFERROR(__xludf.DUMMYFUNCTION("""COMPUTED_VALUE"""),15.0)</f>
        <v>15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IFERROR(__xludf.DUMMYFUNCTION("""COMPUTED_VALUE"""),"Manish Anand")</f>
        <v>Manish Anand</v>
      </c>
      <c r="C265" s="131">
        <f>IFERROR(__xludf.DUMMYFUNCTION("""COMPUTED_VALUE"""),6.0)</f>
        <v>6</v>
      </c>
      <c r="D265" s="131">
        <f>IFERROR(__xludf.DUMMYFUNCTION("""COMPUTED_VALUE"""),7.0)</f>
        <v>7</v>
      </c>
      <c r="E265" s="131">
        <f>IFERROR(__xludf.DUMMYFUNCTION("""COMPUTED_VALUE"""),6.0)</f>
        <v>6</v>
      </c>
      <c r="F265" s="131">
        <f>IFERROR(__xludf.DUMMYFUNCTION("""COMPUTED_VALUE"""),19.0)</f>
        <v>19</v>
      </c>
      <c r="G265" s="131">
        <f>IFERROR(__xludf.DUMMYFUNCTION("""COMPUTED_VALUE"""),3.0)</f>
        <v>3</v>
      </c>
    </row>
    <row r="266">
      <c r="A266" s="125">
        <f>IFERROR(__xludf.DUMMYFUNCTION("""COMPUTED_VALUE"""),7.0)</f>
        <v>7</v>
      </c>
      <c r="B266" s="36" t="str">
        <f>IFERROR(__xludf.DUMMYFUNCTION("""COMPUTED_VALUE"""),"Nicole Ni")</f>
        <v>Nicole Ni</v>
      </c>
      <c r="C266" s="131">
        <f>IFERROR(__xludf.DUMMYFUNCTION("""COMPUTED_VALUE"""),1.0)</f>
        <v>1</v>
      </c>
      <c r="D266" s="131">
        <f>IFERROR(__xludf.DUMMYFUNCTION("""COMPUTED_VALUE"""),7.0)</f>
        <v>7</v>
      </c>
      <c r="E266" s="131">
        <f>IFERROR(__xludf.DUMMYFUNCTION("""COMPUTED_VALUE"""),3.0)</f>
        <v>3</v>
      </c>
      <c r="F266" s="131">
        <f>IFERROR(__xludf.DUMMYFUNCTION("""COMPUTED_VALUE"""),11.0)</f>
        <v>11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IFERROR(__xludf.DUMMYFUNCTION("""COMPUTED_VALUE"""),"Alex Hou")</f>
        <v>Alex Hou</v>
      </c>
      <c r="C267" s="134">
        <f>IFERROR(__xludf.DUMMYFUNCTION("""COMPUTED_VALUE"""),6.0)</f>
        <v>6</v>
      </c>
      <c r="D267" s="134">
        <f>IFERROR(__xludf.DUMMYFUNCTION("""COMPUTED_VALUE"""),7.0)</f>
        <v>7</v>
      </c>
      <c r="E267" s="134">
        <f>IFERROR(__xludf.DUMMYFUNCTION("""COMPUTED_VALUE"""),4.0)</f>
        <v>4</v>
      </c>
      <c r="F267" s="134">
        <f>IFERROR(__xludf.DUMMYFUNCTION("""COMPUTED_VALUE"""),17.0)</f>
        <v>17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IFERROR(__xludf.DUMMYFUNCTION("""COMPUTED_VALUE"""),"Kumar Palakeel")</f>
        <v>Kumar Palakeel</v>
      </c>
      <c r="C268" s="134">
        <f>IFERROR(__xludf.DUMMYFUNCTION("""COMPUTED_VALUE"""),4.0)</f>
        <v>4</v>
      </c>
      <c r="D268" s="134">
        <f>IFERROR(__xludf.DUMMYFUNCTION("""COMPUTED_VALUE"""),7.0)</f>
        <v>7</v>
      </c>
      <c r="E268" s="134">
        <f>IFERROR(__xludf.DUMMYFUNCTION("""COMPUTED_VALUE"""),6.0)</f>
        <v>6</v>
      </c>
      <c r="F268" s="134">
        <f>IFERROR(__xludf.DUMMYFUNCTION("""COMPUTED_VALUE"""),17.0)</f>
        <v>17</v>
      </c>
      <c r="G268" s="134">
        <f>IFERROR(__xludf.DUMMYFUNCTION("""COMPUTED_VALUE"""),2.0)</f>
        <v>2</v>
      </c>
    </row>
    <row r="269">
      <c r="A269" s="132">
        <f>IFERROR(__xludf.DUMMYFUNCTION("""COMPUTED_VALUE"""),8.0)</f>
        <v>8</v>
      </c>
      <c r="B269" s="133" t="str">
        <f>IFERROR(__xludf.DUMMYFUNCTION("""COMPUTED_VALUE"""),"Coco Yan")</f>
        <v>Coco Yan</v>
      </c>
      <c r="C269" s="134">
        <f>IFERROR(__xludf.DUMMYFUNCTION("""COMPUTED_VALUE"""),6.0)</f>
        <v>6</v>
      </c>
      <c r="D269" s="134">
        <f>IFERROR(__xludf.DUMMYFUNCTION("""COMPUTED_VALUE"""),6.0)</f>
        <v>6</v>
      </c>
      <c r="E269" s="134">
        <f>IFERROR(__xludf.DUMMYFUNCTION("""COMPUTED_VALUE"""),6.0)</f>
        <v>6</v>
      </c>
      <c r="F269" s="134">
        <f>IFERROR(__xludf.DUMMYFUNCTION("""COMPUTED_VALUE"""),18.0)</f>
        <v>18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IFERROR(__xludf.DUMMYFUNCTION("""COMPUTED_VALUE"""),"Eric Tan")</f>
        <v>Eric Tan</v>
      </c>
      <c r="C270" s="134">
        <f>IFERROR(__xludf.DUMMYFUNCTION("""COMPUTED_VALUE"""),4.0)</f>
        <v>4</v>
      </c>
      <c r="D270" s="134">
        <f>IFERROR(__xludf.DUMMYFUNCTION("""COMPUTED_VALUE"""),6.0)</f>
        <v>6</v>
      </c>
      <c r="E270" s="134">
        <f>IFERROR(__xludf.DUMMYFUNCTION("""COMPUTED_VALUE"""),4.0)</f>
        <v>4</v>
      </c>
      <c r="F270" s="134">
        <f>IFERROR(__xludf.DUMMYFUNCTION("""COMPUTED_VALUE"""),14.0)</f>
        <v>14</v>
      </c>
      <c r="G270" s="134">
        <f>IFERROR(__xludf.DUMMYFUNCTION("""COMPUTED_VALUE"""),0.0)</f>
        <v>0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46228.0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4.0</v>
      </c>
      <c r="E2" s="2"/>
      <c r="F2" s="2"/>
      <c r="R2" s="19"/>
      <c r="AC2" s="23" t="str">
        <f>TEXT(C1-7,"mm/dd/yy")</f>
        <v>07/18/26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92</v>
      </c>
      <c r="C5" s="37">
        <v>50.0</v>
      </c>
      <c r="D5" s="37">
        <v>6.0</v>
      </c>
      <c r="E5" s="42">
        <f t="shared" ref="E5:E71" si="2">if(S5&gt;0,(C5-(V5*9)-(T5*13))/S5,0)</f>
        <v>14</v>
      </c>
      <c r="F5" s="89">
        <v>3.0</v>
      </c>
      <c r="G5" s="90">
        <v>0.0</v>
      </c>
      <c r="H5" s="91">
        <v>9.0</v>
      </c>
      <c r="I5" s="90">
        <v>0.0</v>
      </c>
      <c r="J5" s="90">
        <v>0.0</v>
      </c>
      <c r="K5" s="90">
        <v>0.0</v>
      </c>
      <c r="L5" s="92">
        <v>9.0</v>
      </c>
      <c r="M5" s="90">
        <v>0.0</v>
      </c>
      <c r="N5" s="37">
        <f t="shared" ref="N5:O5" si="1">C5+L5</f>
        <v>59</v>
      </c>
      <c r="O5" s="37">
        <f t="shared" si="1"/>
        <v>6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2</v>
      </c>
      <c r="T5" s="52">
        <f t="shared" ref="T5:T71" si="5">if(H5=13,1,0)+vlookup(B5,indirect("'" &amp; AC$2 &amp; "'!B5:W71"),19,false)</f>
        <v>1</v>
      </c>
      <c r="U5" s="52"/>
      <c r="V5" s="51">
        <f t="shared" ref="V5:V71" si="6">vlookup(B5,indirect("'" &amp; AC$2 &amp; "'!B5:W71"),21,false)+if(text(C$1,"mm/dd/yy")=$AC$2,0,if(H5=9,1,0))</f>
        <v>1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131</v>
      </c>
      <c r="C6" s="37">
        <v>49.0</v>
      </c>
      <c r="D6" s="37">
        <v>7.0</v>
      </c>
      <c r="E6" s="42">
        <f t="shared" si="2"/>
        <v>12.25</v>
      </c>
      <c r="F6" s="89">
        <v>1.0</v>
      </c>
      <c r="G6" s="90">
        <v>1.0</v>
      </c>
      <c r="H6" s="91">
        <v>0.0</v>
      </c>
      <c r="I6" s="90">
        <v>6.0</v>
      </c>
      <c r="J6" s="90">
        <v>2.0</v>
      </c>
      <c r="K6" s="90">
        <v>7.0</v>
      </c>
      <c r="L6" s="92">
        <v>15.0</v>
      </c>
      <c r="M6" s="90">
        <v>1.0</v>
      </c>
      <c r="N6" s="37">
        <f t="shared" ref="N6:O6" si="3">C6+L6</f>
        <v>64</v>
      </c>
      <c r="O6" s="37">
        <f t="shared" si="3"/>
        <v>8</v>
      </c>
      <c r="P6" s="50" t="s">
        <v>60</v>
      </c>
      <c r="Q6" s="50" t="s">
        <v>60</v>
      </c>
      <c r="R6" s="50" t="s">
        <v>60</v>
      </c>
      <c r="S6" s="51">
        <f t="shared" si="4"/>
        <v>4</v>
      </c>
      <c r="T6" s="52">
        <f t="shared" si="5"/>
        <v>0</v>
      </c>
      <c r="U6" s="52"/>
      <c r="V6" s="51">
        <f t="shared" si="6"/>
        <v>0</v>
      </c>
      <c r="W6" s="52">
        <f t="shared" si="7"/>
        <v>0</v>
      </c>
      <c r="X6" s="35">
        <f t="shared" ref="X6:X71" si="12">X5+1</f>
        <v>2</v>
      </c>
      <c r="Y6" s="35" t="str">
        <f t="shared" si="8"/>
        <v>Y</v>
      </c>
      <c r="Z6" s="22" t="str">
        <f t="shared" si="9"/>
        <v/>
      </c>
    </row>
    <row r="7">
      <c r="A7" s="35">
        <f t="shared" si="10"/>
        <v>3</v>
      </c>
      <c r="B7" s="36" t="s">
        <v>68</v>
      </c>
      <c r="C7" s="37">
        <v>45.0</v>
      </c>
      <c r="D7" s="37">
        <v>6.0</v>
      </c>
      <c r="E7" s="42">
        <f t="shared" si="2"/>
        <v>12</v>
      </c>
      <c r="F7" s="89">
        <v>3.0</v>
      </c>
      <c r="G7" s="90">
        <v>0.0</v>
      </c>
      <c r="H7" s="91">
        <v>9.0</v>
      </c>
      <c r="I7" s="90">
        <v>0.0</v>
      </c>
      <c r="J7" s="90">
        <v>0.0</v>
      </c>
      <c r="K7" s="90">
        <v>0.0</v>
      </c>
      <c r="L7" s="92">
        <v>9.0</v>
      </c>
      <c r="M7" s="90">
        <v>0.0</v>
      </c>
      <c r="N7" s="37">
        <f t="shared" ref="N7:O7" si="11">C7+L7</f>
        <v>54</v>
      </c>
      <c r="O7" s="37">
        <f t="shared" si="11"/>
        <v>6</v>
      </c>
      <c r="P7" s="50" t="s">
        <v>60</v>
      </c>
      <c r="Q7" s="50" t="s">
        <v>60</v>
      </c>
      <c r="R7" s="50" t="s">
        <v>60</v>
      </c>
      <c r="S7" s="51">
        <f t="shared" si="4"/>
        <v>3</v>
      </c>
      <c r="T7" s="52">
        <f t="shared" si="5"/>
        <v>0</v>
      </c>
      <c r="U7" s="52"/>
      <c r="V7" s="51">
        <f t="shared" si="6"/>
        <v>1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80</v>
      </c>
      <c r="C8" s="37">
        <v>45.0</v>
      </c>
      <c r="D8" s="37">
        <v>4.0</v>
      </c>
      <c r="E8" s="42">
        <f t="shared" si="2"/>
        <v>12</v>
      </c>
      <c r="F8" s="89">
        <v>1.0</v>
      </c>
      <c r="G8" s="90">
        <v>1.0</v>
      </c>
      <c r="H8" s="91">
        <v>0.0</v>
      </c>
      <c r="I8" s="90">
        <v>7.0</v>
      </c>
      <c r="J8" s="90">
        <v>6.0</v>
      </c>
      <c r="K8" s="90">
        <v>7.0</v>
      </c>
      <c r="L8" s="92">
        <v>20.0</v>
      </c>
      <c r="M8" s="90">
        <v>3.0</v>
      </c>
      <c r="N8" s="37">
        <f t="shared" ref="N8:O8" si="13">C8+L8</f>
        <v>65</v>
      </c>
      <c r="O8" s="37">
        <f t="shared" si="13"/>
        <v>7</v>
      </c>
      <c r="P8" s="50" t="s">
        <v>60</v>
      </c>
      <c r="Q8" s="50" t="s">
        <v>60</v>
      </c>
      <c r="R8" s="50" t="s">
        <v>60</v>
      </c>
      <c r="S8" s="51">
        <f t="shared" si="4"/>
        <v>3</v>
      </c>
      <c r="T8" s="52">
        <f t="shared" si="5"/>
        <v>0</v>
      </c>
      <c r="U8" s="52"/>
      <c r="V8" s="51">
        <f t="shared" si="6"/>
        <v>1</v>
      </c>
      <c r="W8" s="52">
        <f t="shared" si="7"/>
        <v>12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115</v>
      </c>
      <c r="C9" s="37">
        <v>45.0</v>
      </c>
      <c r="D9" s="37">
        <v>5.0</v>
      </c>
      <c r="E9" s="42">
        <f t="shared" si="2"/>
        <v>10.66666667</v>
      </c>
      <c r="F9" s="89">
        <v>1.0</v>
      </c>
      <c r="G9" s="90">
        <v>1.0</v>
      </c>
      <c r="H9" s="91">
        <v>0.0</v>
      </c>
      <c r="I9" s="90">
        <v>6.0</v>
      </c>
      <c r="J9" s="90">
        <v>6.0</v>
      </c>
      <c r="K9" s="90">
        <v>6.0</v>
      </c>
      <c r="L9" s="92">
        <v>18.0</v>
      </c>
      <c r="M9" s="90">
        <v>1.0</v>
      </c>
      <c r="N9" s="37">
        <f t="shared" ref="N9:O9" si="14">C9+L9</f>
        <v>63</v>
      </c>
      <c r="O9" s="37">
        <f t="shared" si="14"/>
        <v>6</v>
      </c>
      <c r="P9" s="50" t="s">
        <v>60</v>
      </c>
      <c r="Q9" s="50" t="s">
        <v>60</v>
      </c>
      <c r="R9" s="50" t="s">
        <v>60</v>
      </c>
      <c r="S9" s="51">
        <f t="shared" si="4"/>
        <v>3</v>
      </c>
      <c r="T9" s="52">
        <f t="shared" si="5"/>
        <v>1</v>
      </c>
      <c r="U9" s="52"/>
      <c r="V9" s="51">
        <f t="shared" si="6"/>
        <v>0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52</v>
      </c>
      <c r="C10" s="37">
        <v>44.0</v>
      </c>
      <c r="D10" s="37">
        <v>4.0</v>
      </c>
      <c r="E10" s="42">
        <f t="shared" si="2"/>
        <v>10.33333333</v>
      </c>
      <c r="F10" s="89">
        <v>1.0</v>
      </c>
      <c r="G10" s="90">
        <v>1.0</v>
      </c>
      <c r="H10" s="91">
        <v>0.0</v>
      </c>
      <c r="I10" s="90">
        <v>7.0</v>
      </c>
      <c r="J10" s="90">
        <v>2.0</v>
      </c>
      <c r="K10" s="90">
        <v>6.0</v>
      </c>
      <c r="L10" s="92">
        <v>15.0</v>
      </c>
      <c r="M10" s="90">
        <v>1.0</v>
      </c>
      <c r="N10" s="37">
        <f t="shared" ref="N10:O10" si="15">C10+L10</f>
        <v>59</v>
      </c>
      <c r="O10" s="37">
        <f t="shared" si="15"/>
        <v>5</v>
      </c>
      <c r="P10" s="50" t="s">
        <v>60</v>
      </c>
      <c r="Q10" s="50" t="s">
        <v>60</v>
      </c>
      <c r="R10" s="50" t="s">
        <v>60</v>
      </c>
      <c r="S10" s="51">
        <f t="shared" si="4"/>
        <v>3</v>
      </c>
      <c r="T10" s="52">
        <f t="shared" si="5"/>
        <v>1</v>
      </c>
      <c r="U10" s="52"/>
      <c r="V10" s="51">
        <f t="shared" si="6"/>
        <v>0</v>
      </c>
      <c r="W10" s="52">
        <f t="shared" si="7"/>
        <v>6</v>
      </c>
      <c r="X10" s="35">
        <f t="shared" si="12"/>
        <v>6</v>
      </c>
      <c r="Y10" s="35" t="str">
        <f t="shared" si="8"/>
        <v>N</v>
      </c>
      <c r="Z10" s="22" t="str">
        <f t="shared" si="9"/>
        <v/>
      </c>
    </row>
    <row r="11">
      <c r="A11" s="35">
        <f t="shared" si="10"/>
        <v>7</v>
      </c>
      <c r="B11" s="36" t="s">
        <v>140</v>
      </c>
      <c r="C11" s="37">
        <v>42.0</v>
      </c>
      <c r="D11" s="37">
        <v>6.0</v>
      </c>
      <c r="E11" s="42">
        <f t="shared" si="2"/>
        <v>10.5</v>
      </c>
      <c r="F11" s="89">
        <v>1.0</v>
      </c>
      <c r="G11" s="90">
        <v>2.0</v>
      </c>
      <c r="H11" s="91">
        <v>0.0</v>
      </c>
      <c r="I11" s="90">
        <v>6.0</v>
      </c>
      <c r="J11" s="90">
        <v>6.0</v>
      </c>
      <c r="K11" s="90">
        <v>4.0</v>
      </c>
      <c r="L11" s="92">
        <v>16.0</v>
      </c>
      <c r="M11" s="90">
        <v>1.0</v>
      </c>
      <c r="N11" s="37">
        <f t="shared" ref="N11:O11" si="16">C11+L11</f>
        <v>58</v>
      </c>
      <c r="O11" s="37">
        <f t="shared" si="16"/>
        <v>7</v>
      </c>
      <c r="P11" s="50" t="s">
        <v>60</v>
      </c>
      <c r="Q11" s="50" t="s">
        <v>60</v>
      </c>
      <c r="R11" s="50" t="s">
        <v>60</v>
      </c>
      <c r="S11" s="51">
        <f t="shared" si="4"/>
        <v>4</v>
      </c>
      <c r="T11" s="52">
        <f t="shared" si="5"/>
        <v>0</v>
      </c>
      <c r="U11" s="52"/>
      <c r="V11" s="51">
        <f t="shared" si="6"/>
        <v>0</v>
      </c>
      <c r="W11" s="52">
        <f t="shared" si="7"/>
        <v>1</v>
      </c>
      <c r="X11" s="35">
        <f t="shared" si="12"/>
        <v>7</v>
      </c>
      <c r="Y11" s="35" t="str">
        <f t="shared" si="8"/>
        <v>Y</v>
      </c>
      <c r="Z11" s="22" t="str">
        <f t="shared" si="9"/>
        <v/>
      </c>
    </row>
    <row r="12">
      <c r="A12" s="35">
        <f t="shared" si="10"/>
        <v>8</v>
      </c>
      <c r="B12" s="36" t="s">
        <v>126</v>
      </c>
      <c r="C12" s="37">
        <v>42.0</v>
      </c>
      <c r="D12" s="37">
        <v>4.0</v>
      </c>
      <c r="E12" s="42">
        <f t="shared" si="2"/>
        <v>9.666666667</v>
      </c>
      <c r="F12" s="89">
        <v>5.0</v>
      </c>
      <c r="G12" s="90">
        <v>0.0</v>
      </c>
      <c r="H12" s="91">
        <v>13.0</v>
      </c>
      <c r="I12" s="90">
        <v>0.0</v>
      </c>
      <c r="J12" s="90">
        <v>0.0</v>
      </c>
      <c r="K12" s="90">
        <v>0.0</v>
      </c>
      <c r="L12" s="92">
        <v>13.0</v>
      </c>
      <c r="M12" s="90">
        <v>0.0</v>
      </c>
      <c r="N12" s="37">
        <f t="shared" ref="N12:O12" si="17">C12+L12</f>
        <v>55</v>
      </c>
      <c r="O12" s="37">
        <f t="shared" si="17"/>
        <v>4</v>
      </c>
      <c r="P12" s="50" t="s">
        <v>60</v>
      </c>
      <c r="Q12" s="50" t="s">
        <v>60</v>
      </c>
      <c r="R12" s="50" t="s">
        <v>60</v>
      </c>
      <c r="S12" s="51">
        <f t="shared" si="4"/>
        <v>3</v>
      </c>
      <c r="T12" s="52">
        <f t="shared" si="5"/>
        <v>1</v>
      </c>
      <c r="U12" s="52"/>
      <c r="V12" s="51">
        <f t="shared" si="6"/>
        <v>0</v>
      </c>
      <c r="W12" s="52">
        <f t="shared" si="7"/>
        <v>1</v>
      </c>
      <c r="X12" s="35">
        <f t="shared" si="12"/>
        <v>8</v>
      </c>
      <c r="Y12" s="35" t="str">
        <f t="shared" si="8"/>
        <v>N</v>
      </c>
      <c r="Z12" s="22" t="str">
        <f t="shared" si="9"/>
        <v/>
      </c>
    </row>
    <row r="13">
      <c r="A13" s="35">
        <f t="shared" si="10"/>
        <v>9</v>
      </c>
      <c r="B13" s="36" t="s">
        <v>105</v>
      </c>
      <c r="C13" s="37">
        <v>42.0</v>
      </c>
      <c r="D13" s="37">
        <v>2.0</v>
      </c>
      <c r="E13" s="42">
        <f t="shared" si="2"/>
        <v>7</v>
      </c>
      <c r="F13" s="89">
        <v>3.0</v>
      </c>
      <c r="G13" s="90">
        <v>0.0</v>
      </c>
      <c r="H13" s="91">
        <v>9.0</v>
      </c>
      <c r="I13" s="90">
        <v>0.0</v>
      </c>
      <c r="J13" s="90">
        <v>0.0</v>
      </c>
      <c r="K13" s="90">
        <v>0.0</v>
      </c>
      <c r="L13" s="92">
        <v>9.0</v>
      </c>
      <c r="M13" s="90">
        <v>0.0</v>
      </c>
      <c r="N13" s="37">
        <f t="shared" ref="N13:O13" si="18">C13+L13</f>
        <v>51</v>
      </c>
      <c r="O13" s="37">
        <f t="shared" si="18"/>
        <v>2</v>
      </c>
      <c r="P13" s="50" t="s">
        <v>60</v>
      </c>
      <c r="Q13" s="50" t="s">
        <v>60</v>
      </c>
      <c r="R13" s="50" t="s">
        <v>60</v>
      </c>
      <c r="S13" s="51">
        <f t="shared" si="4"/>
        <v>1</v>
      </c>
      <c r="T13" s="52">
        <f t="shared" si="5"/>
        <v>2</v>
      </c>
      <c r="U13" s="52"/>
      <c r="V13" s="51">
        <f t="shared" si="6"/>
        <v>1</v>
      </c>
      <c r="W13" s="52">
        <f t="shared" si="7"/>
        <v>-2</v>
      </c>
      <c r="X13" s="35">
        <f t="shared" si="12"/>
        <v>9</v>
      </c>
      <c r="Y13" s="35" t="str">
        <f t="shared" si="8"/>
        <v>N</v>
      </c>
      <c r="Z13" s="22" t="str">
        <f t="shared" si="9"/>
        <v/>
      </c>
    </row>
    <row r="14">
      <c r="A14" s="35">
        <f t="shared" si="10"/>
        <v>10</v>
      </c>
      <c r="B14" s="36" t="s">
        <v>81</v>
      </c>
      <c r="C14" s="37">
        <v>41.0</v>
      </c>
      <c r="D14" s="37">
        <v>4.0</v>
      </c>
      <c r="E14" s="42">
        <f t="shared" si="2"/>
        <v>11.5</v>
      </c>
      <c r="F14" s="89">
        <v>3.0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50</v>
      </c>
      <c r="O14" s="37">
        <f t="shared" si="19"/>
        <v>4</v>
      </c>
      <c r="P14" s="50" t="s">
        <v>60</v>
      </c>
      <c r="Q14" s="50" t="s">
        <v>60</v>
      </c>
      <c r="R14" s="50" t="s">
        <v>60</v>
      </c>
      <c r="S14" s="51">
        <f t="shared" si="4"/>
        <v>2</v>
      </c>
      <c r="T14" s="52">
        <f t="shared" si="5"/>
        <v>0</v>
      </c>
      <c r="U14" s="52"/>
      <c r="V14" s="51">
        <f t="shared" si="6"/>
        <v>2</v>
      </c>
      <c r="W14" s="52">
        <f t="shared" si="7"/>
        <v>10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111</v>
      </c>
      <c r="C15" s="37">
        <v>41.0</v>
      </c>
      <c r="D15" s="37">
        <v>3.0</v>
      </c>
      <c r="E15" s="42">
        <f t="shared" si="2"/>
        <v>10.66666667</v>
      </c>
      <c r="F15" s="89">
        <v>1.0</v>
      </c>
      <c r="G15" s="90">
        <v>2.0</v>
      </c>
      <c r="H15" s="91">
        <v>0.0</v>
      </c>
      <c r="I15" s="90">
        <v>7.0</v>
      </c>
      <c r="J15" s="90">
        <v>3.0</v>
      </c>
      <c r="K15" s="90">
        <v>4.0</v>
      </c>
      <c r="L15" s="92">
        <v>14.0</v>
      </c>
      <c r="M15" s="90">
        <v>1.0</v>
      </c>
      <c r="N15" s="37">
        <f t="shared" ref="N15:O15" si="20">C15+L15</f>
        <v>55</v>
      </c>
      <c r="O15" s="37">
        <f t="shared" si="20"/>
        <v>4</v>
      </c>
      <c r="P15" s="50" t="s">
        <v>60</v>
      </c>
      <c r="Q15" s="50" t="s">
        <v>60</v>
      </c>
      <c r="R15" s="50" t="s">
        <v>60</v>
      </c>
      <c r="S15" s="51">
        <f t="shared" si="4"/>
        <v>3</v>
      </c>
      <c r="T15" s="52">
        <f t="shared" si="5"/>
        <v>0</v>
      </c>
      <c r="U15" s="52"/>
      <c r="V15" s="51">
        <f t="shared" si="6"/>
        <v>1</v>
      </c>
      <c r="W15" s="52">
        <f t="shared" si="7"/>
        <v>-8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87</v>
      </c>
      <c r="C16" s="37">
        <v>41.0</v>
      </c>
      <c r="D16" s="37">
        <v>3.0</v>
      </c>
      <c r="E16" s="42">
        <f t="shared" si="2"/>
        <v>9.333333333</v>
      </c>
      <c r="F16" s="89">
        <v>1.0</v>
      </c>
      <c r="G16" s="90">
        <v>2.0</v>
      </c>
      <c r="H16" s="91">
        <v>0.0</v>
      </c>
      <c r="I16" s="90">
        <v>6.0</v>
      </c>
      <c r="J16" s="90">
        <v>3.0</v>
      </c>
      <c r="K16" s="90">
        <v>6.0</v>
      </c>
      <c r="L16" s="92">
        <v>15.0</v>
      </c>
      <c r="M16" s="90">
        <v>1.0</v>
      </c>
      <c r="N16" s="37">
        <f t="shared" ref="N16:O16" si="21">C16+L16</f>
        <v>56</v>
      </c>
      <c r="O16" s="37">
        <f t="shared" si="21"/>
        <v>4</v>
      </c>
      <c r="P16" s="50" t="s">
        <v>60</v>
      </c>
      <c r="Q16" s="50" t="s">
        <v>60</v>
      </c>
      <c r="R16" s="50" t="s">
        <v>60</v>
      </c>
      <c r="S16" s="51">
        <f t="shared" si="4"/>
        <v>3</v>
      </c>
      <c r="T16" s="52">
        <f t="shared" si="5"/>
        <v>1</v>
      </c>
      <c r="U16" s="52"/>
      <c r="V16" s="51">
        <f t="shared" si="6"/>
        <v>0</v>
      </c>
      <c r="W16" s="52">
        <f t="shared" si="7"/>
        <v>9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88</v>
      </c>
      <c r="C17" s="37">
        <v>41.0</v>
      </c>
      <c r="D17" s="37">
        <v>3.0</v>
      </c>
      <c r="E17" s="42">
        <f t="shared" si="2"/>
        <v>9.333333333</v>
      </c>
      <c r="F17" s="89">
        <v>1.0</v>
      </c>
      <c r="G17" s="90">
        <v>2.0</v>
      </c>
      <c r="H17" s="91">
        <v>0.0</v>
      </c>
      <c r="I17" s="90">
        <v>7.0</v>
      </c>
      <c r="J17" s="90">
        <v>6.0</v>
      </c>
      <c r="K17" s="90">
        <v>6.0</v>
      </c>
      <c r="L17" s="92">
        <v>19.0</v>
      </c>
      <c r="M17" s="90">
        <v>3.0</v>
      </c>
      <c r="N17" s="37">
        <f t="shared" ref="N17:O17" si="22">C17+L17</f>
        <v>60</v>
      </c>
      <c r="O17" s="37">
        <f t="shared" si="22"/>
        <v>6</v>
      </c>
      <c r="P17" s="50" t="s">
        <v>60</v>
      </c>
      <c r="Q17" s="50" t="s">
        <v>60</v>
      </c>
      <c r="R17" s="50" t="s">
        <v>60</v>
      </c>
      <c r="S17" s="51">
        <f t="shared" si="4"/>
        <v>3</v>
      </c>
      <c r="T17" s="52">
        <f t="shared" si="5"/>
        <v>1</v>
      </c>
      <c r="U17" s="52"/>
      <c r="V17" s="51">
        <f t="shared" si="6"/>
        <v>0</v>
      </c>
      <c r="W17" s="52">
        <f t="shared" si="7"/>
        <v>9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107</v>
      </c>
      <c r="C18" s="37">
        <v>41.0</v>
      </c>
      <c r="D18" s="37">
        <v>2.0</v>
      </c>
      <c r="E18" s="42">
        <f t="shared" si="2"/>
        <v>7.5</v>
      </c>
      <c r="F18" s="89">
        <v>1.0</v>
      </c>
      <c r="G18" s="90">
        <v>3.0</v>
      </c>
      <c r="H18" s="91">
        <v>0.0</v>
      </c>
      <c r="I18" s="90">
        <v>6.0</v>
      </c>
      <c r="J18" s="90">
        <v>6.0</v>
      </c>
      <c r="K18" s="90">
        <v>6.0</v>
      </c>
      <c r="L18" s="92">
        <v>18.0</v>
      </c>
      <c r="M18" s="90">
        <v>3.0</v>
      </c>
      <c r="N18" s="37">
        <f t="shared" ref="N18:O18" si="23">C18+L18</f>
        <v>59</v>
      </c>
      <c r="O18" s="37">
        <f t="shared" si="23"/>
        <v>5</v>
      </c>
      <c r="P18" s="50" t="s">
        <v>60</v>
      </c>
      <c r="Q18" s="50" t="s">
        <v>60</v>
      </c>
      <c r="R18" s="50" t="s">
        <v>60</v>
      </c>
      <c r="S18" s="51">
        <f t="shared" si="4"/>
        <v>2</v>
      </c>
      <c r="T18" s="52">
        <f t="shared" si="5"/>
        <v>2</v>
      </c>
      <c r="U18" s="52"/>
      <c r="V18" s="51">
        <f t="shared" si="6"/>
        <v>0</v>
      </c>
      <c r="W18" s="52">
        <f t="shared" si="7"/>
        <v>-4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85</v>
      </c>
      <c r="C19" s="37">
        <v>40.0</v>
      </c>
      <c r="D19" s="37">
        <v>5.0</v>
      </c>
      <c r="E19" s="42">
        <f t="shared" si="2"/>
        <v>11</v>
      </c>
      <c r="F19" s="89">
        <v>3.0</v>
      </c>
      <c r="G19" s="90">
        <v>0.0</v>
      </c>
      <c r="H19" s="91">
        <v>9.0</v>
      </c>
      <c r="I19" s="90">
        <v>0.0</v>
      </c>
      <c r="J19" s="90">
        <v>0.0</v>
      </c>
      <c r="K19" s="90">
        <v>0.0</v>
      </c>
      <c r="L19" s="92">
        <v>9.0</v>
      </c>
      <c r="M19" s="90">
        <v>0.0</v>
      </c>
      <c r="N19" s="37">
        <f t="shared" ref="N19:O19" si="24">C19+L19</f>
        <v>49</v>
      </c>
      <c r="O19" s="37">
        <f t="shared" si="24"/>
        <v>5</v>
      </c>
      <c r="P19" s="50" t="s">
        <v>60</v>
      </c>
      <c r="Q19" s="50" t="s">
        <v>60</v>
      </c>
      <c r="R19" s="50" t="s">
        <v>60</v>
      </c>
      <c r="S19" s="51">
        <f t="shared" si="4"/>
        <v>2</v>
      </c>
      <c r="T19" s="52">
        <f t="shared" si="5"/>
        <v>0</v>
      </c>
      <c r="U19" s="52"/>
      <c r="V19" s="51">
        <f t="shared" si="6"/>
        <v>2</v>
      </c>
      <c r="W19" s="52">
        <f t="shared" si="7"/>
        <v>20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122</v>
      </c>
      <c r="C20" s="37">
        <v>40.0</v>
      </c>
      <c r="D20" s="37">
        <v>5.0</v>
      </c>
      <c r="E20" s="42">
        <f t="shared" si="2"/>
        <v>11</v>
      </c>
      <c r="F20" s="89">
        <v>3.0</v>
      </c>
      <c r="G20" s="90">
        <v>0.0</v>
      </c>
      <c r="H20" s="91">
        <v>9.0</v>
      </c>
      <c r="I20" s="90">
        <v>0.0</v>
      </c>
      <c r="J20" s="90">
        <v>0.0</v>
      </c>
      <c r="K20" s="90">
        <v>0.0</v>
      </c>
      <c r="L20" s="92">
        <v>9.0</v>
      </c>
      <c r="M20" s="90">
        <v>0.0</v>
      </c>
      <c r="N20" s="37">
        <f t="shared" ref="N20:O20" si="25">C20+L20</f>
        <v>49</v>
      </c>
      <c r="O20" s="37">
        <f t="shared" si="25"/>
        <v>5</v>
      </c>
      <c r="P20" s="50" t="s">
        <v>60</v>
      </c>
      <c r="Q20" s="50" t="s">
        <v>60</v>
      </c>
      <c r="R20" s="50" t="s">
        <v>60</v>
      </c>
      <c r="S20" s="51">
        <f t="shared" si="4"/>
        <v>2</v>
      </c>
      <c r="T20" s="52">
        <f t="shared" si="5"/>
        <v>0</v>
      </c>
      <c r="U20" s="52"/>
      <c r="V20" s="51">
        <f t="shared" si="6"/>
        <v>2</v>
      </c>
      <c r="W20" s="52">
        <f t="shared" si="7"/>
        <v>20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91</v>
      </c>
      <c r="C21" s="37">
        <v>40.0</v>
      </c>
      <c r="D21" s="37">
        <v>4.0</v>
      </c>
      <c r="E21" s="42">
        <f t="shared" si="2"/>
        <v>10.33333333</v>
      </c>
      <c r="F21" s="89">
        <v>1.0</v>
      </c>
      <c r="G21" s="90">
        <v>3.0</v>
      </c>
      <c r="H21" s="91">
        <v>0.0</v>
      </c>
      <c r="I21" s="90">
        <v>4.0</v>
      </c>
      <c r="J21" s="90">
        <v>6.0</v>
      </c>
      <c r="K21" s="90">
        <v>3.0</v>
      </c>
      <c r="L21" s="92">
        <v>13.0</v>
      </c>
      <c r="M21" s="90">
        <v>1.0</v>
      </c>
      <c r="N21" s="37">
        <f t="shared" ref="N21:O21" si="26">C21+L21</f>
        <v>53</v>
      </c>
      <c r="O21" s="37">
        <f t="shared" si="26"/>
        <v>5</v>
      </c>
      <c r="P21" s="50" t="s">
        <v>60</v>
      </c>
      <c r="Q21" s="50" t="s">
        <v>60</v>
      </c>
      <c r="R21" s="50" t="s">
        <v>60</v>
      </c>
      <c r="S21" s="51">
        <f t="shared" si="4"/>
        <v>3</v>
      </c>
      <c r="T21" s="52">
        <f t="shared" si="5"/>
        <v>0</v>
      </c>
      <c r="U21" s="52"/>
      <c r="V21" s="51">
        <f t="shared" si="6"/>
        <v>1</v>
      </c>
      <c r="W21" s="52">
        <f t="shared" si="7"/>
        <v>13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114</v>
      </c>
      <c r="C22" s="37">
        <v>40.0</v>
      </c>
      <c r="D22" s="37">
        <v>3.0</v>
      </c>
      <c r="E22" s="42">
        <f t="shared" si="2"/>
        <v>9</v>
      </c>
      <c r="F22" s="89">
        <v>3.0</v>
      </c>
      <c r="G22" s="90">
        <v>0.0</v>
      </c>
      <c r="H22" s="91">
        <v>9.0</v>
      </c>
      <c r="I22" s="90">
        <v>0.0</v>
      </c>
      <c r="J22" s="90">
        <v>0.0</v>
      </c>
      <c r="K22" s="90">
        <v>0.0</v>
      </c>
      <c r="L22" s="92">
        <v>9.0</v>
      </c>
      <c r="M22" s="90">
        <v>0.0</v>
      </c>
      <c r="N22" s="37">
        <f t="shared" ref="N22:O22" si="27">C22+L22</f>
        <v>49</v>
      </c>
      <c r="O22" s="37">
        <f t="shared" si="27"/>
        <v>3</v>
      </c>
      <c r="P22" s="50" t="s">
        <v>60</v>
      </c>
      <c r="Q22" s="50" t="s">
        <v>60</v>
      </c>
      <c r="R22" s="50" t="s">
        <v>60</v>
      </c>
      <c r="S22" s="51">
        <f t="shared" si="4"/>
        <v>2</v>
      </c>
      <c r="T22" s="52">
        <f t="shared" si="5"/>
        <v>1</v>
      </c>
      <c r="U22" s="52"/>
      <c r="V22" s="51">
        <f t="shared" si="6"/>
        <v>1</v>
      </c>
      <c r="W22" s="52">
        <f t="shared" si="7"/>
        <v>-5</v>
      </c>
      <c r="X22" s="35">
        <f t="shared" si="12"/>
        <v>18</v>
      </c>
      <c r="Y22" s="35" t="str">
        <f t="shared" si="8"/>
        <v>N</v>
      </c>
      <c r="Z22" s="22" t="str">
        <f t="shared" si="9"/>
        <v/>
      </c>
    </row>
    <row r="23">
      <c r="A23" s="35">
        <f t="shared" si="10"/>
        <v>19</v>
      </c>
      <c r="B23" s="36" t="s">
        <v>108</v>
      </c>
      <c r="C23" s="37">
        <v>40.0</v>
      </c>
      <c r="D23" s="37">
        <v>2.0</v>
      </c>
      <c r="E23" s="42">
        <f t="shared" si="2"/>
        <v>7</v>
      </c>
      <c r="F23" s="89">
        <v>5.0</v>
      </c>
      <c r="G23" s="90">
        <v>0.0</v>
      </c>
      <c r="H23" s="91">
        <v>13.0</v>
      </c>
      <c r="I23" s="90">
        <v>0.0</v>
      </c>
      <c r="J23" s="90">
        <v>0.0</v>
      </c>
      <c r="K23" s="90">
        <v>0.0</v>
      </c>
      <c r="L23" s="92">
        <v>13.0</v>
      </c>
      <c r="M23" s="90">
        <v>0.0</v>
      </c>
      <c r="N23" s="37">
        <f t="shared" ref="N23:O23" si="28">C23+L23</f>
        <v>53</v>
      </c>
      <c r="O23" s="37">
        <f t="shared" si="28"/>
        <v>2</v>
      </c>
      <c r="P23" s="50" t="s">
        <v>60</v>
      </c>
      <c r="Q23" s="50" t="s">
        <v>60</v>
      </c>
      <c r="R23" s="50" t="s">
        <v>60</v>
      </c>
      <c r="S23" s="51">
        <f t="shared" si="4"/>
        <v>2</v>
      </c>
      <c r="T23" s="52">
        <f t="shared" si="5"/>
        <v>2</v>
      </c>
      <c r="U23" s="52"/>
      <c r="V23" s="51">
        <f t="shared" si="6"/>
        <v>0</v>
      </c>
      <c r="W23" s="52">
        <f t="shared" si="7"/>
        <v>4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118</v>
      </c>
      <c r="C24" s="37">
        <v>39.0</v>
      </c>
      <c r="D24" s="37">
        <v>5.0</v>
      </c>
      <c r="E24" s="42">
        <f t="shared" si="2"/>
        <v>9.75</v>
      </c>
      <c r="F24" s="89">
        <v>1.0</v>
      </c>
      <c r="G24" s="90">
        <v>3.0</v>
      </c>
      <c r="H24" s="91">
        <v>0.0</v>
      </c>
      <c r="I24" s="90">
        <v>4.0</v>
      </c>
      <c r="J24" s="90">
        <v>1.0</v>
      </c>
      <c r="K24" s="90">
        <v>6.0</v>
      </c>
      <c r="L24" s="92">
        <v>11.0</v>
      </c>
      <c r="M24" s="90">
        <v>1.0</v>
      </c>
      <c r="N24" s="37">
        <f t="shared" ref="N24:O24" si="29">C24+L24</f>
        <v>50</v>
      </c>
      <c r="O24" s="37">
        <f t="shared" si="29"/>
        <v>6</v>
      </c>
      <c r="P24" s="50" t="s">
        <v>60</v>
      </c>
      <c r="Q24" s="50" t="s">
        <v>60</v>
      </c>
      <c r="R24" s="50" t="s">
        <v>60</v>
      </c>
      <c r="S24" s="51">
        <f t="shared" si="4"/>
        <v>4</v>
      </c>
      <c r="T24" s="52">
        <f t="shared" si="5"/>
        <v>0</v>
      </c>
      <c r="U24" s="52"/>
      <c r="V24" s="51">
        <f t="shared" si="6"/>
        <v>0</v>
      </c>
      <c r="W24" s="52">
        <f t="shared" si="7"/>
        <v>-2</v>
      </c>
      <c r="X24" s="35">
        <f t="shared" si="12"/>
        <v>20</v>
      </c>
      <c r="Y24" s="35" t="str">
        <f t="shared" si="8"/>
        <v>Y</v>
      </c>
      <c r="Z24" s="22" t="str">
        <f t="shared" si="9"/>
        <v/>
      </c>
    </row>
    <row r="25">
      <c r="A25" s="35">
        <f t="shared" si="10"/>
        <v>21</v>
      </c>
      <c r="B25" s="36" t="s">
        <v>135</v>
      </c>
      <c r="C25" s="37">
        <v>39.0</v>
      </c>
      <c r="D25" s="37">
        <v>5.0</v>
      </c>
      <c r="E25" s="42">
        <f t="shared" si="2"/>
        <v>10</v>
      </c>
      <c r="F25" s="89">
        <v>3.0</v>
      </c>
      <c r="G25" s="90">
        <v>0.0</v>
      </c>
      <c r="H25" s="91">
        <v>9.0</v>
      </c>
      <c r="I25" s="90">
        <v>0.0</v>
      </c>
      <c r="J25" s="90">
        <v>0.0</v>
      </c>
      <c r="K25" s="90">
        <v>0.0</v>
      </c>
      <c r="L25" s="92">
        <v>9.0</v>
      </c>
      <c r="M25" s="90">
        <v>0.0</v>
      </c>
      <c r="N25" s="37">
        <f t="shared" ref="N25:O25" si="30">C25+L25</f>
        <v>48</v>
      </c>
      <c r="O25" s="37">
        <f t="shared" si="30"/>
        <v>5</v>
      </c>
      <c r="P25" s="50" t="s">
        <v>60</v>
      </c>
      <c r="Q25" s="50" t="s">
        <v>60</v>
      </c>
      <c r="R25" s="50" t="s">
        <v>60</v>
      </c>
      <c r="S25" s="51">
        <f t="shared" si="4"/>
        <v>3</v>
      </c>
      <c r="T25" s="52">
        <f t="shared" si="5"/>
        <v>0</v>
      </c>
      <c r="U25" s="52"/>
      <c r="V25" s="51">
        <f t="shared" si="6"/>
        <v>1</v>
      </c>
      <c r="W25" s="52">
        <f t="shared" si="7"/>
        <v>4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130</v>
      </c>
      <c r="C26" s="37">
        <v>37.0</v>
      </c>
      <c r="D26" s="37">
        <v>4.0</v>
      </c>
      <c r="E26" s="42">
        <f t="shared" si="2"/>
        <v>7.5</v>
      </c>
      <c r="F26" s="89">
        <v>5.0</v>
      </c>
      <c r="G26" s="90">
        <v>0.0</v>
      </c>
      <c r="H26" s="91">
        <v>13.0</v>
      </c>
      <c r="I26" s="90">
        <v>0.0</v>
      </c>
      <c r="J26" s="90">
        <v>0.0</v>
      </c>
      <c r="K26" s="90">
        <v>0.0</v>
      </c>
      <c r="L26" s="92">
        <v>13.0</v>
      </c>
      <c r="M26" s="90">
        <v>0.0</v>
      </c>
      <c r="N26" s="37">
        <f t="shared" ref="N26:O26" si="31">C26+L26</f>
        <v>50</v>
      </c>
      <c r="O26" s="37">
        <f t="shared" si="31"/>
        <v>4</v>
      </c>
      <c r="P26" s="50" t="s">
        <v>60</v>
      </c>
      <c r="Q26" s="50" t="s">
        <v>60</v>
      </c>
      <c r="R26" s="50" t="s">
        <v>60</v>
      </c>
      <c r="S26" s="51">
        <f t="shared" si="4"/>
        <v>2</v>
      </c>
      <c r="T26" s="52">
        <f t="shared" si="5"/>
        <v>1</v>
      </c>
      <c r="U26" s="52"/>
      <c r="V26" s="51">
        <f t="shared" si="6"/>
        <v>1</v>
      </c>
      <c r="W26" s="52">
        <f t="shared" si="7"/>
        <v>7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67</v>
      </c>
      <c r="C27" s="37">
        <v>37.0</v>
      </c>
      <c r="D27" s="37">
        <v>3.0</v>
      </c>
      <c r="E27" s="42">
        <f t="shared" si="2"/>
        <v>9.25</v>
      </c>
      <c r="F27" s="89">
        <v>1.0</v>
      </c>
      <c r="G27" s="90">
        <v>3.0</v>
      </c>
      <c r="H27" s="91">
        <v>0.0</v>
      </c>
      <c r="I27" s="90">
        <v>6.0</v>
      </c>
      <c r="J27" s="90">
        <v>1.0</v>
      </c>
      <c r="K27" s="90">
        <v>3.0</v>
      </c>
      <c r="L27" s="92">
        <v>10.0</v>
      </c>
      <c r="M27" s="90">
        <v>1.0</v>
      </c>
      <c r="N27" s="37">
        <f t="shared" ref="N27:O27" si="32">C27+L27</f>
        <v>47</v>
      </c>
      <c r="O27" s="37">
        <f t="shared" si="32"/>
        <v>4</v>
      </c>
      <c r="P27" s="50" t="s">
        <v>60</v>
      </c>
      <c r="Q27" s="50" t="s">
        <v>60</v>
      </c>
      <c r="R27" s="50" t="s">
        <v>60</v>
      </c>
      <c r="S27" s="51">
        <f t="shared" si="4"/>
        <v>4</v>
      </c>
      <c r="T27" s="52">
        <f t="shared" si="5"/>
        <v>0</v>
      </c>
      <c r="U27" s="52"/>
      <c r="V27" s="51">
        <f t="shared" si="6"/>
        <v>0</v>
      </c>
      <c r="W27" s="52">
        <f t="shared" si="7"/>
        <v>-17</v>
      </c>
      <c r="X27" s="35">
        <f t="shared" si="12"/>
        <v>23</v>
      </c>
      <c r="Y27" s="35" t="str">
        <f t="shared" si="8"/>
        <v>Y</v>
      </c>
      <c r="Z27" s="22" t="str">
        <f t="shared" si="9"/>
        <v/>
      </c>
    </row>
    <row r="28">
      <c r="A28" s="35">
        <f t="shared" si="10"/>
        <v>24</v>
      </c>
      <c r="B28" s="36" t="s">
        <v>94</v>
      </c>
      <c r="C28" s="37">
        <v>37.0</v>
      </c>
      <c r="D28" s="37">
        <v>2.0</v>
      </c>
      <c r="E28" s="42">
        <f t="shared" si="2"/>
        <v>8</v>
      </c>
      <c r="F28" s="89">
        <v>1.0</v>
      </c>
      <c r="G28" s="90">
        <v>4.0</v>
      </c>
      <c r="H28" s="91">
        <v>0.0</v>
      </c>
      <c r="I28" s="90">
        <v>2.0</v>
      </c>
      <c r="J28" s="90">
        <v>6.0</v>
      </c>
      <c r="K28" s="90">
        <v>6.0</v>
      </c>
      <c r="L28" s="92">
        <v>14.0</v>
      </c>
      <c r="M28" s="90">
        <v>2.0</v>
      </c>
      <c r="N28" s="37">
        <f t="shared" ref="N28:O28" si="33">C28+L28</f>
        <v>51</v>
      </c>
      <c r="O28" s="37">
        <f t="shared" si="33"/>
        <v>4</v>
      </c>
      <c r="P28" s="50" t="s">
        <v>60</v>
      </c>
      <c r="Q28" s="50" t="s">
        <v>60</v>
      </c>
      <c r="R28" s="50" t="s">
        <v>60</v>
      </c>
      <c r="S28" s="51">
        <f t="shared" si="4"/>
        <v>3</v>
      </c>
      <c r="T28" s="52">
        <f t="shared" si="5"/>
        <v>1</v>
      </c>
      <c r="U28" s="52"/>
      <c r="V28" s="51">
        <f t="shared" si="6"/>
        <v>0</v>
      </c>
      <c r="W28" s="52">
        <f t="shared" si="7"/>
        <v>4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144</v>
      </c>
      <c r="C29" s="37">
        <v>37.0</v>
      </c>
      <c r="D29" s="37">
        <v>2.0</v>
      </c>
      <c r="E29" s="42">
        <f t="shared" si="2"/>
        <v>7.5</v>
      </c>
      <c r="F29" s="89">
        <v>1.0</v>
      </c>
      <c r="G29" s="90">
        <v>4.0</v>
      </c>
      <c r="H29" s="91">
        <v>0.0</v>
      </c>
      <c r="I29" s="90">
        <v>2.0</v>
      </c>
      <c r="J29" s="90">
        <v>3.0</v>
      </c>
      <c r="K29" s="90">
        <v>2.0</v>
      </c>
      <c r="L29" s="92">
        <v>7.0</v>
      </c>
      <c r="M29" s="90">
        <v>0.0</v>
      </c>
      <c r="N29" s="37">
        <f t="shared" ref="N29:O29" si="34">C29+L29</f>
        <v>44</v>
      </c>
      <c r="O29" s="37">
        <f t="shared" si="34"/>
        <v>2</v>
      </c>
      <c r="P29" s="50" t="s">
        <v>60</v>
      </c>
      <c r="Q29" s="50" t="s">
        <v>60</v>
      </c>
      <c r="R29" s="50" t="s">
        <v>60</v>
      </c>
      <c r="S29" s="51">
        <f t="shared" si="4"/>
        <v>2</v>
      </c>
      <c r="T29" s="52">
        <f t="shared" si="5"/>
        <v>1</v>
      </c>
      <c r="U29" s="52"/>
      <c r="V29" s="51">
        <f t="shared" si="6"/>
        <v>1</v>
      </c>
      <c r="W29" s="52">
        <f t="shared" si="7"/>
        <v>1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121</v>
      </c>
      <c r="C30" s="37">
        <v>36.0</v>
      </c>
      <c r="D30" s="37">
        <v>3.0</v>
      </c>
      <c r="E30" s="42">
        <f t="shared" si="2"/>
        <v>9</v>
      </c>
      <c r="F30" s="89">
        <v>1.0</v>
      </c>
      <c r="G30" s="90">
        <v>4.0</v>
      </c>
      <c r="H30" s="91">
        <v>0.0</v>
      </c>
      <c r="I30" s="90">
        <v>6.0</v>
      </c>
      <c r="J30" s="90">
        <v>6.0</v>
      </c>
      <c r="K30" s="90">
        <v>2.0</v>
      </c>
      <c r="L30" s="92">
        <v>14.0</v>
      </c>
      <c r="M30" s="90">
        <v>2.0</v>
      </c>
      <c r="N30" s="37">
        <f t="shared" ref="N30:O30" si="35">C30+L30</f>
        <v>50</v>
      </c>
      <c r="O30" s="37">
        <f t="shared" si="35"/>
        <v>5</v>
      </c>
      <c r="P30" s="50" t="s">
        <v>60</v>
      </c>
      <c r="Q30" s="50" t="s">
        <v>60</v>
      </c>
      <c r="R30" s="50" t="s">
        <v>60</v>
      </c>
      <c r="S30" s="51">
        <f t="shared" si="4"/>
        <v>2</v>
      </c>
      <c r="T30" s="52">
        <f t="shared" si="5"/>
        <v>0</v>
      </c>
      <c r="U30" s="52"/>
      <c r="V30" s="51">
        <f t="shared" si="6"/>
        <v>2</v>
      </c>
      <c r="W30" s="52">
        <f t="shared" si="7"/>
        <v>-12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142</v>
      </c>
      <c r="C31" s="37">
        <v>36.0</v>
      </c>
      <c r="D31" s="37">
        <v>2.0</v>
      </c>
      <c r="E31" s="42">
        <f t="shared" si="2"/>
        <v>9</v>
      </c>
      <c r="F31" s="89">
        <v>3.0</v>
      </c>
      <c r="G31" s="90">
        <v>0.0</v>
      </c>
      <c r="H31" s="91">
        <v>9.0</v>
      </c>
      <c r="I31" s="90">
        <v>0.0</v>
      </c>
      <c r="J31" s="90">
        <v>0.0</v>
      </c>
      <c r="K31" s="90">
        <v>0.0</v>
      </c>
      <c r="L31" s="92">
        <v>9.0</v>
      </c>
      <c r="M31" s="90">
        <v>0.0</v>
      </c>
      <c r="N31" s="37">
        <f t="shared" ref="N31:O31" si="36">C31+L31</f>
        <v>45</v>
      </c>
      <c r="O31" s="37">
        <f t="shared" si="36"/>
        <v>2</v>
      </c>
      <c r="P31" s="50" t="s">
        <v>60</v>
      </c>
      <c r="Q31" s="50" t="s">
        <v>60</v>
      </c>
      <c r="R31" s="50" t="s">
        <v>60</v>
      </c>
      <c r="S31" s="51">
        <f t="shared" si="4"/>
        <v>1</v>
      </c>
      <c r="T31" s="52">
        <f t="shared" si="5"/>
        <v>0</v>
      </c>
      <c r="U31" s="52"/>
      <c r="V31" s="51">
        <f t="shared" si="6"/>
        <v>3</v>
      </c>
      <c r="W31" s="52">
        <f t="shared" si="7"/>
        <v>-10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125</v>
      </c>
      <c r="C32" s="37">
        <v>36.0</v>
      </c>
      <c r="D32" s="37">
        <v>2.0</v>
      </c>
      <c r="E32" s="42">
        <f t="shared" si="2"/>
        <v>7</v>
      </c>
      <c r="F32" s="89">
        <v>3.0</v>
      </c>
      <c r="G32" s="90">
        <v>0.0</v>
      </c>
      <c r="H32" s="91">
        <v>9.0</v>
      </c>
      <c r="I32" s="90">
        <v>0.0</v>
      </c>
      <c r="J32" s="90">
        <v>0.0</v>
      </c>
      <c r="K32" s="90">
        <v>0.0</v>
      </c>
      <c r="L32" s="92">
        <v>9.0</v>
      </c>
      <c r="M32" s="90">
        <v>0.0</v>
      </c>
      <c r="N32" s="37">
        <f t="shared" ref="N32:O32" si="37">C32+L32</f>
        <v>45</v>
      </c>
      <c r="O32" s="37">
        <f t="shared" si="37"/>
        <v>2</v>
      </c>
      <c r="P32" s="50" t="s">
        <v>60</v>
      </c>
      <c r="Q32" s="50" t="s">
        <v>60</v>
      </c>
      <c r="R32" s="50" t="s">
        <v>60</v>
      </c>
      <c r="S32" s="51">
        <f t="shared" si="4"/>
        <v>2</v>
      </c>
      <c r="T32" s="52">
        <f t="shared" si="5"/>
        <v>1</v>
      </c>
      <c r="U32" s="52"/>
      <c r="V32" s="51">
        <f t="shared" si="6"/>
        <v>1</v>
      </c>
      <c r="W32" s="52">
        <f t="shared" si="7"/>
        <v>-17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102</v>
      </c>
      <c r="C33" s="37">
        <v>36.0</v>
      </c>
      <c r="D33" s="37">
        <v>2.0</v>
      </c>
      <c r="E33" s="42">
        <f t="shared" si="2"/>
        <v>5</v>
      </c>
      <c r="F33" s="89">
        <v>3.0</v>
      </c>
      <c r="G33" s="90">
        <v>0.0</v>
      </c>
      <c r="H33" s="91">
        <v>9.0</v>
      </c>
      <c r="I33" s="90">
        <v>0.0</v>
      </c>
      <c r="J33" s="90">
        <v>0.0</v>
      </c>
      <c r="K33" s="90">
        <v>0.0</v>
      </c>
      <c r="L33" s="92">
        <v>9.0</v>
      </c>
      <c r="M33" s="90">
        <v>0.0</v>
      </c>
      <c r="N33" s="37">
        <f t="shared" ref="N33:O33" si="38">C33+L33</f>
        <v>45</v>
      </c>
      <c r="O33" s="37">
        <f t="shared" si="38"/>
        <v>2</v>
      </c>
      <c r="P33" s="50" t="s">
        <v>60</v>
      </c>
      <c r="Q33" s="50" t="s">
        <v>60</v>
      </c>
      <c r="R33" s="50" t="s">
        <v>60</v>
      </c>
      <c r="S33" s="51">
        <f t="shared" si="4"/>
        <v>1</v>
      </c>
      <c r="T33" s="52">
        <f t="shared" si="5"/>
        <v>1</v>
      </c>
      <c r="U33" s="52"/>
      <c r="V33" s="51">
        <f t="shared" si="6"/>
        <v>2</v>
      </c>
      <c r="W33" s="52">
        <f t="shared" si="7"/>
        <v>-14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98</v>
      </c>
      <c r="C34" s="37">
        <v>35.0</v>
      </c>
      <c r="D34" s="37">
        <v>3.0</v>
      </c>
      <c r="E34" s="42">
        <f t="shared" si="2"/>
        <v>8.75</v>
      </c>
      <c r="F34" s="89">
        <v>1.0</v>
      </c>
      <c r="G34" s="90">
        <v>4.0</v>
      </c>
      <c r="H34" s="91">
        <v>0.0</v>
      </c>
      <c r="I34" s="90">
        <v>6.0</v>
      </c>
      <c r="J34" s="90">
        <v>3.0</v>
      </c>
      <c r="K34" s="90">
        <v>6.0</v>
      </c>
      <c r="L34" s="92">
        <v>15.0</v>
      </c>
      <c r="M34" s="90">
        <v>2.0</v>
      </c>
      <c r="N34" s="37">
        <f t="shared" ref="N34:O34" si="39">C34+L34</f>
        <v>50</v>
      </c>
      <c r="O34" s="37">
        <f t="shared" si="39"/>
        <v>5</v>
      </c>
      <c r="P34" s="50" t="s">
        <v>60</v>
      </c>
      <c r="Q34" s="50" t="s">
        <v>60</v>
      </c>
      <c r="R34" s="50" t="s">
        <v>60</v>
      </c>
      <c r="S34" s="51">
        <f t="shared" si="4"/>
        <v>4</v>
      </c>
      <c r="T34" s="52">
        <f t="shared" si="5"/>
        <v>0</v>
      </c>
      <c r="U34" s="52"/>
      <c r="V34" s="51">
        <f t="shared" si="6"/>
        <v>0</v>
      </c>
      <c r="W34" s="52">
        <f t="shared" si="7"/>
        <v>-6</v>
      </c>
      <c r="X34" s="35">
        <f t="shared" si="12"/>
        <v>30</v>
      </c>
      <c r="Y34" s="35" t="str">
        <f t="shared" si="8"/>
        <v>Y</v>
      </c>
      <c r="Z34" s="22" t="str">
        <f t="shared" si="9"/>
        <v/>
      </c>
    </row>
    <row r="35">
      <c r="A35" s="35">
        <f t="shared" si="10"/>
        <v>31</v>
      </c>
      <c r="B35" s="36" t="s">
        <v>141</v>
      </c>
      <c r="C35" s="37">
        <v>35.0</v>
      </c>
      <c r="D35" s="37">
        <v>2.0</v>
      </c>
      <c r="E35" s="42">
        <f t="shared" si="2"/>
        <v>7.333333333</v>
      </c>
      <c r="F35" s="89">
        <v>1.0</v>
      </c>
      <c r="G35" s="90">
        <v>5.0</v>
      </c>
      <c r="H35" s="91">
        <v>0.0</v>
      </c>
      <c r="I35" s="90">
        <v>6.0</v>
      </c>
      <c r="J35" s="90">
        <v>0.0</v>
      </c>
      <c r="K35" s="90">
        <v>2.0</v>
      </c>
      <c r="L35" s="92">
        <v>8.0</v>
      </c>
      <c r="M35" s="90">
        <v>1.0</v>
      </c>
      <c r="N35" s="37">
        <f t="shared" ref="N35:O35" si="40">C35+L35</f>
        <v>43</v>
      </c>
      <c r="O35" s="37">
        <f t="shared" si="40"/>
        <v>3</v>
      </c>
      <c r="P35" s="50" t="s">
        <v>60</v>
      </c>
      <c r="Q35" s="50" t="s">
        <v>60</v>
      </c>
      <c r="R35" s="50" t="s">
        <v>60</v>
      </c>
      <c r="S35" s="51">
        <f t="shared" si="4"/>
        <v>3</v>
      </c>
      <c r="T35" s="52">
        <f t="shared" si="5"/>
        <v>1</v>
      </c>
      <c r="U35" s="52"/>
      <c r="V35" s="51">
        <f t="shared" si="6"/>
        <v>0</v>
      </c>
      <c r="W35" s="52">
        <f t="shared" si="7"/>
        <v>-12</v>
      </c>
      <c r="X35" s="35">
        <f t="shared" si="12"/>
        <v>31</v>
      </c>
      <c r="Y35" s="35" t="str">
        <f t="shared" si="8"/>
        <v>N</v>
      </c>
      <c r="Z35" s="22" t="str">
        <f t="shared" si="9"/>
        <v/>
      </c>
    </row>
    <row r="36">
      <c r="A36" s="35">
        <f t="shared" si="10"/>
        <v>32</v>
      </c>
      <c r="B36" s="36" t="s">
        <v>100</v>
      </c>
      <c r="C36" s="37">
        <v>35.0</v>
      </c>
      <c r="D36" s="37">
        <v>2.0</v>
      </c>
      <c r="E36" s="42">
        <f t="shared" si="2"/>
        <v>8.666666667</v>
      </c>
      <c r="F36" s="89">
        <v>1.0</v>
      </c>
      <c r="G36" s="90">
        <v>5.0</v>
      </c>
      <c r="H36" s="91">
        <v>0.0</v>
      </c>
      <c r="I36" s="90">
        <v>4.0</v>
      </c>
      <c r="J36" s="90">
        <v>6.0</v>
      </c>
      <c r="K36" s="90">
        <v>2.0</v>
      </c>
      <c r="L36" s="92">
        <v>12.0</v>
      </c>
      <c r="M36" s="90">
        <v>1.0</v>
      </c>
      <c r="N36" s="37">
        <f t="shared" ref="N36:O36" si="41">C36+L36</f>
        <v>47</v>
      </c>
      <c r="O36" s="37">
        <f t="shared" si="41"/>
        <v>3</v>
      </c>
      <c r="P36" s="50" t="s">
        <v>60</v>
      </c>
      <c r="Q36" s="50" t="s">
        <v>60</v>
      </c>
      <c r="R36" s="50" t="s">
        <v>60</v>
      </c>
      <c r="S36" s="51">
        <f t="shared" si="4"/>
        <v>3</v>
      </c>
      <c r="T36" s="52">
        <f t="shared" si="5"/>
        <v>0</v>
      </c>
      <c r="U36" s="52"/>
      <c r="V36" s="51">
        <f t="shared" si="6"/>
        <v>1</v>
      </c>
      <c r="W36" s="52">
        <f t="shared" si="7"/>
        <v>19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104</v>
      </c>
      <c r="C37" s="37">
        <v>35.0</v>
      </c>
      <c r="D37" s="37">
        <v>0.0</v>
      </c>
      <c r="E37" s="42">
        <f t="shared" si="2"/>
        <v>0</v>
      </c>
      <c r="F37" s="89">
        <v>3.0</v>
      </c>
      <c r="G37" s="90">
        <v>0.0</v>
      </c>
      <c r="H37" s="91">
        <v>9.0</v>
      </c>
      <c r="I37" s="90">
        <v>0.0</v>
      </c>
      <c r="J37" s="90">
        <v>0.0</v>
      </c>
      <c r="K37" s="90">
        <v>0.0</v>
      </c>
      <c r="L37" s="92">
        <v>9.0</v>
      </c>
      <c r="M37" s="90">
        <v>0.0</v>
      </c>
      <c r="N37" s="37">
        <f t="shared" ref="N37:O37" si="42">C37+L37</f>
        <v>44</v>
      </c>
      <c r="O37" s="37">
        <f t="shared" si="42"/>
        <v>0</v>
      </c>
      <c r="P37" s="50" t="s">
        <v>60</v>
      </c>
      <c r="Q37" s="50" t="s">
        <v>60</v>
      </c>
      <c r="R37" s="50" t="s">
        <v>60</v>
      </c>
      <c r="S37" s="51">
        <f t="shared" si="4"/>
        <v>0</v>
      </c>
      <c r="T37" s="52">
        <f t="shared" si="5"/>
        <v>2</v>
      </c>
      <c r="U37" s="52"/>
      <c r="V37" s="51">
        <f t="shared" si="6"/>
        <v>2</v>
      </c>
      <c r="W37" s="52">
        <f t="shared" si="7"/>
        <v>6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84</v>
      </c>
      <c r="C38" s="37">
        <v>35.0</v>
      </c>
      <c r="D38" s="37">
        <v>0.0</v>
      </c>
      <c r="E38" s="42">
        <f t="shared" si="2"/>
        <v>0</v>
      </c>
      <c r="F38" s="89">
        <v>5.0</v>
      </c>
      <c r="G38" s="90">
        <v>0.0</v>
      </c>
      <c r="H38" s="91">
        <v>13.0</v>
      </c>
      <c r="I38" s="90">
        <v>0.0</v>
      </c>
      <c r="J38" s="90">
        <v>0.0</v>
      </c>
      <c r="K38" s="90">
        <v>0.0</v>
      </c>
      <c r="L38" s="92">
        <v>13.0</v>
      </c>
      <c r="M38" s="90">
        <v>0.0</v>
      </c>
      <c r="N38" s="37">
        <f t="shared" ref="N38:O38" si="43">C38+L38</f>
        <v>48</v>
      </c>
      <c r="O38" s="37">
        <f t="shared" si="43"/>
        <v>0</v>
      </c>
      <c r="P38" s="50" t="s">
        <v>60</v>
      </c>
      <c r="Q38" s="50" t="s">
        <v>60</v>
      </c>
      <c r="R38" s="50" t="s">
        <v>60</v>
      </c>
      <c r="S38" s="51">
        <f t="shared" si="4"/>
        <v>0</v>
      </c>
      <c r="T38" s="52">
        <f t="shared" si="5"/>
        <v>3</v>
      </c>
      <c r="U38" s="52"/>
      <c r="V38" s="51">
        <f t="shared" si="6"/>
        <v>1</v>
      </c>
      <c r="W38" s="52">
        <f t="shared" si="7"/>
        <v>6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109</v>
      </c>
      <c r="C39" s="37">
        <v>35.0</v>
      </c>
      <c r="D39" s="37">
        <v>0.0</v>
      </c>
      <c r="E39" s="42">
        <f t="shared" si="2"/>
        <v>0</v>
      </c>
      <c r="F39" s="89">
        <v>1.0</v>
      </c>
      <c r="G39" s="90">
        <v>5.0</v>
      </c>
      <c r="H39" s="91">
        <v>0.0</v>
      </c>
      <c r="I39" s="90">
        <v>4.0</v>
      </c>
      <c r="J39" s="90">
        <v>0.0</v>
      </c>
      <c r="K39" s="90">
        <v>6.0</v>
      </c>
      <c r="L39" s="92">
        <v>10.0</v>
      </c>
      <c r="M39" s="90">
        <v>1.0</v>
      </c>
      <c r="N39" s="37">
        <f t="shared" ref="N39:O39" si="44">C39+L39</f>
        <v>45</v>
      </c>
      <c r="O39" s="37">
        <f t="shared" si="44"/>
        <v>1</v>
      </c>
      <c r="P39" s="50" t="s">
        <v>60</v>
      </c>
      <c r="Q39" s="50" t="s">
        <v>60</v>
      </c>
      <c r="R39" s="50" t="s">
        <v>60</v>
      </c>
      <c r="S39" s="51">
        <f t="shared" si="4"/>
        <v>1</v>
      </c>
      <c r="T39" s="52">
        <f t="shared" si="5"/>
        <v>2</v>
      </c>
      <c r="U39" s="52"/>
      <c r="V39" s="51">
        <f t="shared" si="6"/>
        <v>1</v>
      </c>
      <c r="W39" s="52">
        <f t="shared" si="7"/>
        <v>6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93</v>
      </c>
      <c r="C40" s="37">
        <v>35.0</v>
      </c>
      <c r="D40" s="37">
        <v>0.0</v>
      </c>
      <c r="E40" s="42">
        <f t="shared" si="2"/>
        <v>0</v>
      </c>
      <c r="F40" s="89">
        <v>1.0</v>
      </c>
      <c r="G40" s="90">
        <v>5.0</v>
      </c>
      <c r="H40" s="91">
        <v>0.0</v>
      </c>
      <c r="I40" s="90">
        <v>6.0</v>
      </c>
      <c r="J40" s="90">
        <v>6.0</v>
      </c>
      <c r="K40" s="90">
        <v>6.0</v>
      </c>
      <c r="L40" s="92">
        <v>18.0</v>
      </c>
      <c r="M40" s="90">
        <v>3.0</v>
      </c>
      <c r="N40" s="37">
        <f t="shared" ref="N40:O40" si="45">C40+L40</f>
        <v>53</v>
      </c>
      <c r="O40" s="37">
        <f t="shared" si="45"/>
        <v>3</v>
      </c>
      <c r="P40" s="50" t="s">
        <v>60</v>
      </c>
      <c r="Q40" s="50" t="s">
        <v>60</v>
      </c>
      <c r="R40" s="50" t="s">
        <v>60</v>
      </c>
      <c r="S40" s="51">
        <f t="shared" si="4"/>
        <v>1</v>
      </c>
      <c r="T40" s="52">
        <f t="shared" si="5"/>
        <v>2</v>
      </c>
      <c r="U40" s="52"/>
      <c r="V40" s="51">
        <f t="shared" si="6"/>
        <v>1</v>
      </c>
      <c r="W40" s="52">
        <f t="shared" si="7"/>
        <v>7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127</v>
      </c>
      <c r="C41" s="37">
        <v>34.0</v>
      </c>
      <c r="D41" s="37">
        <v>2.0</v>
      </c>
      <c r="E41" s="42">
        <f t="shared" si="2"/>
        <v>4</v>
      </c>
      <c r="F41" s="89">
        <v>5.0</v>
      </c>
      <c r="G41" s="90">
        <v>0.0</v>
      </c>
      <c r="H41" s="91">
        <v>13.0</v>
      </c>
      <c r="I41" s="90">
        <v>0.0</v>
      </c>
      <c r="J41" s="90">
        <v>0.0</v>
      </c>
      <c r="K41" s="90">
        <v>0.0</v>
      </c>
      <c r="L41" s="92">
        <v>13.0</v>
      </c>
      <c r="M41" s="90">
        <v>0.0</v>
      </c>
      <c r="N41" s="37">
        <f t="shared" ref="N41:O41" si="46">C41+L41</f>
        <v>47</v>
      </c>
      <c r="O41" s="37">
        <f t="shared" si="46"/>
        <v>2</v>
      </c>
      <c r="P41" s="50" t="s">
        <v>60</v>
      </c>
      <c r="Q41" s="50" t="s">
        <v>60</v>
      </c>
      <c r="R41" s="50" t="s">
        <v>60</v>
      </c>
      <c r="S41" s="51">
        <f t="shared" si="4"/>
        <v>2</v>
      </c>
      <c r="T41" s="52">
        <f t="shared" si="5"/>
        <v>2</v>
      </c>
      <c r="U41" s="52"/>
      <c r="V41" s="51">
        <f t="shared" si="6"/>
        <v>0</v>
      </c>
      <c r="W41" s="52">
        <f t="shared" si="7"/>
        <v>-4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74</v>
      </c>
      <c r="C42" s="37">
        <v>34.0</v>
      </c>
      <c r="D42" s="37">
        <v>2.0</v>
      </c>
      <c r="E42" s="42">
        <f t="shared" si="2"/>
        <v>6</v>
      </c>
      <c r="F42" s="89">
        <v>1.0</v>
      </c>
      <c r="G42" s="90">
        <v>6.0</v>
      </c>
      <c r="H42" s="91">
        <v>0.0</v>
      </c>
      <c r="I42" s="90">
        <v>6.0</v>
      </c>
      <c r="J42" s="90">
        <v>7.0</v>
      </c>
      <c r="K42" s="90">
        <v>4.0</v>
      </c>
      <c r="L42" s="92">
        <v>17.0</v>
      </c>
      <c r="M42" s="90">
        <v>2.0</v>
      </c>
      <c r="N42" s="37">
        <f t="shared" ref="N42:O42" si="47">C42+L42</f>
        <v>51</v>
      </c>
      <c r="O42" s="37">
        <f t="shared" si="47"/>
        <v>4</v>
      </c>
      <c r="P42" s="50" t="s">
        <v>60</v>
      </c>
      <c r="Q42" s="50" t="s">
        <v>60</v>
      </c>
      <c r="R42" s="50" t="s">
        <v>60</v>
      </c>
      <c r="S42" s="51">
        <f t="shared" si="4"/>
        <v>2</v>
      </c>
      <c r="T42" s="52">
        <f t="shared" si="5"/>
        <v>1</v>
      </c>
      <c r="U42" s="52"/>
      <c r="V42" s="51">
        <f t="shared" si="6"/>
        <v>1</v>
      </c>
      <c r="W42" s="52">
        <f t="shared" si="7"/>
        <v>6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134</v>
      </c>
      <c r="C43" s="37">
        <v>34.0</v>
      </c>
      <c r="D43" s="37">
        <v>0.0</v>
      </c>
      <c r="E43" s="42">
        <f t="shared" si="2"/>
        <v>-5</v>
      </c>
      <c r="F43" s="89">
        <v>5.0</v>
      </c>
      <c r="G43" s="90">
        <v>0.0</v>
      </c>
      <c r="H43" s="91">
        <v>13.0</v>
      </c>
      <c r="I43" s="90">
        <v>0.0</v>
      </c>
      <c r="J43" s="90">
        <v>0.0</v>
      </c>
      <c r="K43" s="90">
        <v>0.0</v>
      </c>
      <c r="L43" s="92">
        <v>13.0</v>
      </c>
      <c r="M43" s="90">
        <v>0.0</v>
      </c>
      <c r="N43" s="37">
        <f t="shared" ref="N43:O43" si="48">C43+L43</f>
        <v>47</v>
      </c>
      <c r="O43" s="37">
        <f t="shared" si="48"/>
        <v>0</v>
      </c>
      <c r="P43" s="50" t="s">
        <v>60</v>
      </c>
      <c r="Q43" s="50" t="s">
        <v>60</v>
      </c>
      <c r="R43" s="50" t="s">
        <v>60</v>
      </c>
      <c r="S43" s="51">
        <f t="shared" si="4"/>
        <v>1</v>
      </c>
      <c r="T43" s="52">
        <f t="shared" si="5"/>
        <v>3</v>
      </c>
      <c r="U43" s="52"/>
      <c r="V43" s="51">
        <f t="shared" si="6"/>
        <v>0</v>
      </c>
      <c r="W43" s="52">
        <f t="shared" si="7"/>
        <v>7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72</v>
      </c>
      <c r="C44" s="37">
        <v>34.0</v>
      </c>
      <c r="D44" s="37">
        <v>0.0</v>
      </c>
      <c r="E44" s="42">
        <f t="shared" si="2"/>
        <v>-5</v>
      </c>
      <c r="F44" s="89">
        <v>5.0</v>
      </c>
      <c r="G44" s="90">
        <v>0.0</v>
      </c>
      <c r="H44" s="91">
        <v>13.0</v>
      </c>
      <c r="I44" s="90">
        <v>0.0</v>
      </c>
      <c r="J44" s="90">
        <v>0.0</v>
      </c>
      <c r="K44" s="90">
        <v>0.0</v>
      </c>
      <c r="L44" s="92">
        <v>13.0</v>
      </c>
      <c r="M44" s="90">
        <v>0.0</v>
      </c>
      <c r="N44" s="37">
        <f t="shared" ref="N44:O44" si="49">C44+L44</f>
        <v>47</v>
      </c>
      <c r="O44" s="37">
        <f t="shared" si="49"/>
        <v>0</v>
      </c>
      <c r="P44" s="50" t="s">
        <v>60</v>
      </c>
      <c r="Q44" s="50" t="s">
        <v>60</v>
      </c>
      <c r="R44" s="50" t="s">
        <v>60</v>
      </c>
      <c r="S44" s="51">
        <f t="shared" si="4"/>
        <v>1</v>
      </c>
      <c r="T44" s="52">
        <f t="shared" si="5"/>
        <v>3</v>
      </c>
      <c r="U44" s="52"/>
      <c r="V44" s="51">
        <f t="shared" si="6"/>
        <v>0</v>
      </c>
      <c r="W44" s="52">
        <f t="shared" si="7"/>
        <v>7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146</v>
      </c>
      <c r="C45" s="37">
        <v>33.0</v>
      </c>
      <c r="D45" s="37">
        <v>3.0</v>
      </c>
      <c r="E45" s="42">
        <f t="shared" si="2"/>
        <v>6.666666667</v>
      </c>
      <c r="F45" s="89">
        <v>1.0</v>
      </c>
      <c r="G45" s="90">
        <v>6.0</v>
      </c>
      <c r="H45" s="91">
        <v>0.0</v>
      </c>
      <c r="I45" s="90">
        <v>2.0</v>
      </c>
      <c r="J45" s="90">
        <v>7.0</v>
      </c>
      <c r="K45" s="90">
        <v>6.0</v>
      </c>
      <c r="L45" s="92">
        <v>15.0</v>
      </c>
      <c r="M45" s="90">
        <v>2.0</v>
      </c>
      <c r="N45" s="37">
        <f t="shared" ref="N45:O45" si="50">C45+L45</f>
        <v>48</v>
      </c>
      <c r="O45" s="37">
        <f t="shared" si="50"/>
        <v>5</v>
      </c>
      <c r="P45" s="50" t="s">
        <v>60</v>
      </c>
      <c r="Q45" s="50" t="s">
        <v>60</v>
      </c>
      <c r="R45" s="50" t="s">
        <v>60</v>
      </c>
      <c r="S45" s="51">
        <f t="shared" si="4"/>
        <v>3</v>
      </c>
      <c r="T45" s="52">
        <f t="shared" si="5"/>
        <v>1</v>
      </c>
      <c r="U45" s="52"/>
      <c r="V45" s="51">
        <f t="shared" si="6"/>
        <v>0</v>
      </c>
      <c r="W45" s="52">
        <f t="shared" si="7"/>
        <v>7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89</v>
      </c>
      <c r="C46" s="37">
        <v>33.0</v>
      </c>
      <c r="D46" s="37">
        <v>2.0</v>
      </c>
      <c r="E46" s="42">
        <f t="shared" si="2"/>
        <v>6</v>
      </c>
      <c r="F46" s="89">
        <v>3.0</v>
      </c>
      <c r="G46" s="90">
        <v>0.0</v>
      </c>
      <c r="H46" s="91">
        <v>9.0</v>
      </c>
      <c r="I46" s="90">
        <v>0.0</v>
      </c>
      <c r="J46" s="90">
        <v>0.0</v>
      </c>
      <c r="K46" s="90">
        <v>0.0</v>
      </c>
      <c r="L46" s="92">
        <v>9.0</v>
      </c>
      <c r="M46" s="90">
        <v>0.0</v>
      </c>
      <c r="N46" s="37">
        <f t="shared" ref="N46:O46" si="51">C46+L46</f>
        <v>42</v>
      </c>
      <c r="O46" s="37">
        <f t="shared" si="51"/>
        <v>2</v>
      </c>
      <c r="P46" s="50" t="s">
        <v>60</v>
      </c>
      <c r="Q46" s="50" t="s">
        <v>60</v>
      </c>
      <c r="R46" s="50" t="s">
        <v>60</v>
      </c>
      <c r="S46" s="51">
        <f t="shared" si="4"/>
        <v>1</v>
      </c>
      <c r="T46" s="52">
        <f t="shared" si="5"/>
        <v>0</v>
      </c>
      <c r="U46" s="52"/>
      <c r="V46" s="51">
        <f t="shared" si="6"/>
        <v>3</v>
      </c>
      <c r="W46" s="52">
        <f t="shared" si="7"/>
        <v>-15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97</v>
      </c>
      <c r="C47" s="37">
        <v>32.0</v>
      </c>
      <c r="D47" s="37">
        <v>3.0</v>
      </c>
      <c r="E47" s="42">
        <f t="shared" si="2"/>
        <v>8</v>
      </c>
      <c r="F47" s="89">
        <v>1.0</v>
      </c>
      <c r="G47" s="90">
        <v>6.0</v>
      </c>
      <c r="H47" s="91">
        <v>0.0</v>
      </c>
      <c r="I47" s="90">
        <v>6.0</v>
      </c>
      <c r="J47" s="90">
        <v>6.0</v>
      </c>
      <c r="K47" s="90">
        <v>6.0</v>
      </c>
      <c r="L47" s="92">
        <v>18.0</v>
      </c>
      <c r="M47" s="90">
        <v>2.0</v>
      </c>
      <c r="N47" s="37">
        <f t="shared" ref="N47:O47" si="52">C47+L47</f>
        <v>50</v>
      </c>
      <c r="O47" s="37">
        <f t="shared" si="52"/>
        <v>5</v>
      </c>
      <c r="P47" s="50" t="s">
        <v>60</v>
      </c>
      <c r="Q47" s="50" t="s">
        <v>60</v>
      </c>
      <c r="R47" s="50" t="s">
        <v>60</v>
      </c>
      <c r="S47" s="51">
        <f t="shared" si="4"/>
        <v>4</v>
      </c>
      <c r="T47" s="52">
        <f t="shared" si="5"/>
        <v>0</v>
      </c>
      <c r="U47" s="52"/>
      <c r="V47" s="51">
        <f t="shared" si="6"/>
        <v>0</v>
      </c>
      <c r="W47" s="52">
        <f t="shared" si="7"/>
        <v>-9</v>
      </c>
      <c r="X47" s="35">
        <f t="shared" si="12"/>
        <v>43</v>
      </c>
      <c r="Y47" s="35" t="str">
        <f t="shared" si="8"/>
        <v>Y</v>
      </c>
      <c r="Z47" s="22" t="str">
        <f t="shared" si="9"/>
        <v/>
      </c>
    </row>
    <row r="48">
      <c r="A48" s="35">
        <f t="shared" si="10"/>
        <v>44</v>
      </c>
      <c r="B48" s="36" t="s">
        <v>136</v>
      </c>
      <c r="C48" s="37">
        <v>32.0</v>
      </c>
      <c r="D48" s="37">
        <v>3.0</v>
      </c>
      <c r="E48" s="42">
        <f t="shared" si="2"/>
        <v>7.666666667</v>
      </c>
      <c r="F48" s="89">
        <v>1.0</v>
      </c>
      <c r="G48" s="90">
        <v>6.0</v>
      </c>
      <c r="H48" s="91">
        <v>0.0</v>
      </c>
      <c r="I48" s="90">
        <v>2.0</v>
      </c>
      <c r="J48" s="90">
        <v>6.0</v>
      </c>
      <c r="K48" s="90">
        <v>4.0</v>
      </c>
      <c r="L48" s="92">
        <v>12.0</v>
      </c>
      <c r="M48" s="90">
        <v>0.0</v>
      </c>
      <c r="N48" s="37">
        <f t="shared" ref="N48:O48" si="53">C48+L48</f>
        <v>44</v>
      </c>
      <c r="O48" s="37">
        <f t="shared" si="53"/>
        <v>3</v>
      </c>
      <c r="P48" s="50" t="s">
        <v>60</v>
      </c>
      <c r="Q48" s="50" t="s">
        <v>60</v>
      </c>
      <c r="R48" s="50" t="s">
        <v>60</v>
      </c>
      <c r="S48" s="51">
        <f t="shared" si="4"/>
        <v>3</v>
      </c>
      <c r="T48" s="52">
        <f t="shared" si="5"/>
        <v>0</v>
      </c>
      <c r="U48" s="52"/>
      <c r="V48" s="51">
        <f t="shared" si="6"/>
        <v>1</v>
      </c>
      <c r="W48" s="52">
        <f t="shared" si="7"/>
        <v>-12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56</v>
      </c>
      <c r="C49" s="37">
        <v>32.0</v>
      </c>
      <c r="D49" s="37">
        <v>2.0</v>
      </c>
      <c r="E49" s="42">
        <f t="shared" si="2"/>
        <v>5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41</v>
      </c>
      <c r="O49" s="37">
        <f t="shared" si="54"/>
        <v>2</v>
      </c>
      <c r="P49" s="50" t="s">
        <v>60</v>
      </c>
      <c r="Q49" s="50" t="s">
        <v>60</v>
      </c>
      <c r="R49" s="50" t="s">
        <v>60</v>
      </c>
      <c r="S49" s="51">
        <f t="shared" si="4"/>
        <v>1</v>
      </c>
      <c r="T49" s="52">
        <f t="shared" si="5"/>
        <v>0</v>
      </c>
      <c r="U49" s="52"/>
      <c r="V49" s="51">
        <f t="shared" si="6"/>
        <v>3</v>
      </c>
      <c r="W49" s="52">
        <f t="shared" si="7"/>
        <v>10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101</v>
      </c>
      <c r="C50" s="37">
        <v>31.0</v>
      </c>
      <c r="D50" s="37">
        <v>3.0</v>
      </c>
      <c r="E50" s="42">
        <f t="shared" si="2"/>
        <v>7.75</v>
      </c>
      <c r="F50" s="89">
        <v>1.0</v>
      </c>
      <c r="G50" s="90">
        <v>7.0</v>
      </c>
      <c r="H50" s="91">
        <v>0.0</v>
      </c>
      <c r="I50" s="90">
        <v>1.0</v>
      </c>
      <c r="J50" s="90">
        <v>6.0</v>
      </c>
      <c r="K50" s="90">
        <v>6.0</v>
      </c>
      <c r="L50" s="92">
        <v>13.0</v>
      </c>
      <c r="M50" s="90">
        <v>1.0</v>
      </c>
      <c r="N50" s="37">
        <f t="shared" ref="N50:O50" si="55">C50+L50</f>
        <v>44</v>
      </c>
      <c r="O50" s="37">
        <f t="shared" si="55"/>
        <v>4</v>
      </c>
      <c r="P50" s="50" t="s">
        <v>60</v>
      </c>
      <c r="Q50" s="50" t="s">
        <v>60</v>
      </c>
      <c r="R50" s="50" t="s">
        <v>60</v>
      </c>
      <c r="S50" s="51">
        <f t="shared" si="4"/>
        <v>4</v>
      </c>
      <c r="T50" s="52">
        <f t="shared" si="5"/>
        <v>0</v>
      </c>
      <c r="U50" s="52"/>
      <c r="V50" s="51">
        <f t="shared" si="6"/>
        <v>0</v>
      </c>
      <c r="W50" s="52">
        <f t="shared" si="7"/>
        <v>-15</v>
      </c>
      <c r="X50" s="35">
        <f t="shared" si="12"/>
        <v>46</v>
      </c>
      <c r="Y50" s="35" t="str">
        <f t="shared" si="8"/>
        <v>Y</v>
      </c>
      <c r="Z50" s="22" t="str">
        <f t="shared" si="9"/>
        <v/>
      </c>
    </row>
    <row r="51">
      <c r="A51" s="35">
        <f t="shared" si="10"/>
        <v>47</v>
      </c>
      <c r="B51" s="36" t="s">
        <v>133</v>
      </c>
      <c r="C51" s="37">
        <v>31.0</v>
      </c>
      <c r="D51" s="37">
        <v>0.0</v>
      </c>
      <c r="E51" s="42">
        <f t="shared" si="2"/>
        <v>0</v>
      </c>
      <c r="F51" s="89">
        <v>1.0</v>
      </c>
      <c r="G51" s="90">
        <v>7.0</v>
      </c>
      <c r="H51" s="91">
        <v>0.0</v>
      </c>
      <c r="I51" s="90">
        <v>6.0</v>
      </c>
      <c r="J51" s="90">
        <v>6.0</v>
      </c>
      <c r="K51" s="90">
        <v>3.0</v>
      </c>
      <c r="L51" s="92">
        <v>15.0</v>
      </c>
      <c r="M51" s="90">
        <v>1.0</v>
      </c>
      <c r="N51" s="37">
        <f t="shared" ref="N51:O51" si="56">C51+L51</f>
        <v>46</v>
      </c>
      <c r="O51" s="37">
        <f t="shared" si="56"/>
        <v>1</v>
      </c>
      <c r="P51" s="50" t="s">
        <v>60</v>
      </c>
      <c r="Q51" s="50" t="s">
        <v>60</v>
      </c>
      <c r="R51" s="50" t="s">
        <v>60</v>
      </c>
      <c r="S51" s="51">
        <f t="shared" si="4"/>
        <v>1</v>
      </c>
      <c r="T51" s="52">
        <f t="shared" si="5"/>
        <v>1</v>
      </c>
      <c r="U51" s="52"/>
      <c r="V51" s="51">
        <f t="shared" si="6"/>
        <v>2</v>
      </c>
      <c r="W51" s="52">
        <f t="shared" si="7"/>
        <v>-9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113</v>
      </c>
      <c r="C52" s="37">
        <v>31.0</v>
      </c>
      <c r="D52" s="37">
        <v>0.0</v>
      </c>
      <c r="E52" s="42">
        <f t="shared" si="2"/>
        <v>0</v>
      </c>
      <c r="F52" s="89">
        <v>1.0</v>
      </c>
      <c r="G52" s="90">
        <v>7.0</v>
      </c>
      <c r="H52" s="91">
        <v>0.0</v>
      </c>
      <c r="I52" s="90">
        <v>6.0</v>
      </c>
      <c r="J52" s="90">
        <v>7.0</v>
      </c>
      <c r="K52" s="90">
        <v>6.0</v>
      </c>
      <c r="L52" s="92">
        <v>19.0</v>
      </c>
      <c r="M52" s="90">
        <v>3.0</v>
      </c>
      <c r="N52" s="37">
        <f t="shared" ref="N52:O52" si="57">C52+L52</f>
        <v>50</v>
      </c>
      <c r="O52" s="37">
        <f t="shared" si="57"/>
        <v>3</v>
      </c>
      <c r="P52" s="50" t="s">
        <v>60</v>
      </c>
      <c r="Q52" s="50" t="s">
        <v>60</v>
      </c>
      <c r="R52" s="50" t="s">
        <v>60</v>
      </c>
      <c r="S52" s="51">
        <f t="shared" si="4"/>
        <v>1</v>
      </c>
      <c r="T52" s="52">
        <f t="shared" si="5"/>
        <v>1</v>
      </c>
      <c r="U52" s="52"/>
      <c r="V52" s="51">
        <f t="shared" si="6"/>
        <v>2</v>
      </c>
      <c r="W52" s="52">
        <f t="shared" si="7"/>
        <v>14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129</v>
      </c>
      <c r="C53" s="37">
        <v>29.0</v>
      </c>
      <c r="D53" s="37">
        <v>2.0</v>
      </c>
      <c r="E53" s="42">
        <f t="shared" si="2"/>
        <v>7.25</v>
      </c>
      <c r="F53" s="89">
        <v>1.0</v>
      </c>
      <c r="G53" s="90">
        <v>7.0</v>
      </c>
      <c r="H53" s="91">
        <v>0.0</v>
      </c>
      <c r="I53" s="90">
        <v>1.0</v>
      </c>
      <c r="J53" s="90">
        <v>7.0</v>
      </c>
      <c r="K53" s="90">
        <v>3.0</v>
      </c>
      <c r="L53" s="92">
        <v>11.0</v>
      </c>
      <c r="M53" s="90">
        <v>1.0</v>
      </c>
      <c r="N53" s="37">
        <f t="shared" ref="N53:O53" si="58">C53+L53</f>
        <v>40</v>
      </c>
      <c r="O53" s="37">
        <f t="shared" si="58"/>
        <v>3</v>
      </c>
      <c r="P53" s="50" t="s">
        <v>60</v>
      </c>
      <c r="Q53" s="50" t="s">
        <v>60</v>
      </c>
      <c r="R53" s="50" t="s">
        <v>60</v>
      </c>
      <c r="S53" s="51">
        <f t="shared" si="4"/>
        <v>4</v>
      </c>
      <c r="T53" s="52">
        <f t="shared" si="5"/>
        <v>0</v>
      </c>
      <c r="U53" s="52"/>
      <c r="V53" s="51">
        <f t="shared" si="6"/>
        <v>0</v>
      </c>
      <c r="W53" s="52">
        <f t="shared" si="7"/>
        <v>-12</v>
      </c>
      <c r="X53" s="35">
        <f t="shared" si="12"/>
        <v>49</v>
      </c>
      <c r="Y53" s="35" t="str">
        <f t="shared" si="8"/>
        <v>Y</v>
      </c>
      <c r="Z53" s="22" t="str">
        <f t="shared" si="9"/>
        <v/>
      </c>
    </row>
    <row r="54">
      <c r="A54" s="35">
        <f t="shared" si="10"/>
        <v>50</v>
      </c>
      <c r="B54" s="36" t="s">
        <v>61</v>
      </c>
      <c r="C54" s="37">
        <v>29.0</v>
      </c>
      <c r="D54" s="37">
        <v>2.0</v>
      </c>
      <c r="E54" s="42">
        <f t="shared" si="2"/>
        <v>6.666666667</v>
      </c>
      <c r="F54" s="89">
        <v>1.0</v>
      </c>
      <c r="G54" s="90">
        <v>8.0</v>
      </c>
      <c r="H54" s="91">
        <v>0.0</v>
      </c>
      <c r="I54" s="90">
        <v>6.0</v>
      </c>
      <c r="J54" s="90">
        <v>7.0</v>
      </c>
      <c r="K54" s="90">
        <v>4.0</v>
      </c>
      <c r="L54" s="92">
        <v>17.0</v>
      </c>
      <c r="M54" s="90">
        <v>2.0</v>
      </c>
      <c r="N54" s="37">
        <f t="shared" ref="N54:O54" si="59">C54+L54</f>
        <v>46</v>
      </c>
      <c r="O54" s="37">
        <f t="shared" si="59"/>
        <v>4</v>
      </c>
      <c r="P54" s="50" t="s">
        <v>60</v>
      </c>
      <c r="Q54" s="50" t="s">
        <v>60</v>
      </c>
      <c r="R54" s="50" t="s">
        <v>60</v>
      </c>
      <c r="S54" s="51">
        <f t="shared" si="4"/>
        <v>3</v>
      </c>
      <c r="T54" s="52">
        <f t="shared" si="5"/>
        <v>0</v>
      </c>
      <c r="U54" s="52"/>
      <c r="V54" s="51">
        <f t="shared" si="6"/>
        <v>1</v>
      </c>
      <c r="W54" s="52">
        <f t="shared" si="7"/>
        <v>-5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106</v>
      </c>
      <c r="C55" s="37">
        <v>29.0</v>
      </c>
      <c r="D55" s="37">
        <v>1.0</v>
      </c>
      <c r="E55" s="42">
        <f t="shared" si="2"/>
        <v>2</v>
      </c>
      <c r="F55" s="89">
        <v>3.0</v>
      </c>
      <c r="G55" s="90">
        <v>0.0</v>
      </c>
      <c r="H55" s="91">
        <v>9.0</v>
      </c>
      <c r="I55" s="90">
        <v>0.0</v>
      </c>
      <c r="J55" s="90">
        <v>0.0</v>
      </c>
      <c r="K55" s="90">
        <v>0.0</v>
      </c>
      <c r="L55" s="92">
        <v>9.0</v>
      </c>
      <c r="M55" s="90">
        <v>0.0</v>
      </c>
      <c r="N55" s="37">
        <f t="shared" ref="N55:O55" si="60">C55+L55</f>
        <v>38</v>
      </c>
      <c r="O55" s="37">
        <f t="shared" si="60"/>
        <v>1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0</v>
      </c>
      <c r="U55" s="52"/>
      <c r="V55" s="51">
        <f t="shared" si="6"/>
        <v>3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117</v>
      </c>
      <c r="C56" s="37">
        <v>29.0</v>
      </c>
      <c r="D56" s="37">
        <v>1.0</v>
      </c>
      <c r="E56" s="42">
        <f t="shared" si="2"/>
        <v>5.5</v>
      </c>
      <c r="F56" s="89">
        <v>1.0</v>
      </c>
      <c r="G56" s="90">
        <v>8.0</v>
      </c>
      <c r="H56" s="91">
        <v>0.0</v>
      </c>
      <c r="I56" s="90">
        <v>4.0</v>
      </c>
      <c r="J56" s="90">
        <v>7.0</v>
      </c>
      <c r="K56" s="90">
        <v>6.0</v>
      </c>
      <c r="L56" s="92">
        <v>17.0</v>
      </c>
      <c r="M56" s="90">
        <v>2.0</v>
      </c>
      <c r="N56" s="37">
        <f t="shared" ref="N56:O56" si="61">C56+L56</f>
        <v>46</v>
      </c>
      <c r="O56" s="37">
        <f t="shared" si="61"/>
        <v>3</v>
      </c>
      <c r="P56" s="50" t="s">
        <v>60</v>
      </c>
      <c r="Q56" s="50" t="s">
        <v>60</v>
      </c>
      <c r="R56" s="50" t="s">
        <v>60</v>
      </c>
      <c r="S56" s="51">
        <f t="shared" si="4"/>
        <v>2</v>
      </c>
      <c r="T56" s="52">
        <f t="shared" si="5"/>
        <v>0</v>
      </c>
      <c r="U56" s="52"/>
      <c r="V56" s="51">
        <f t="shared" si="6"/>
        <v>2</v>
      </c>
      <c r="W56" s="52">
        <f t="shared" si="7"/>
        <v>-2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116</v>
      </c>
      <c r="C57" s="37">
        <v>29.0</v>
      </c>
      <c r="D57" s="37">
        <v>1.0</v>
      </c>
      <c r="E57" s="42">
        <f t="shared" si="2"/>
        <v>-2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38</v>
      </c>
      <c r="O57" s="37">
        <f t="shared" si="62"/>
        <v>1</v>
      </c>
      <c r="P57" s="50" t="s">
        <v>60</v>
      </c>
      <c r="Q57" s="50" t="s">
        <v>60</v>
      </c>
      <c r="R57" s="50" t="s">
        <v>60</v>
      </c>
      <c r="S57" s="51">
        <f t="shared" si="4"/>
        <v>1</v>
      </c>
      <c r="T57" s="52">
        <f t="shared" si="5"/>
        <v>1</v>
      </c>
      <c r="U57" s="52"/>
      <c r="V57" s="51">
        <f t="shared" si="6"/>
        <v>2</v>
      </c>
      <c r="W57" s="52">
        <f t="shared" si="7"/>
        <v>-11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95</v>
      </c>
      <c r="C58" s="37">
        <v>27.0</v>
      </c>
      <c r="D58" s="37">
        <v>0.0</v>
      </c>
      <c r="E58" s="42">
        <f t="shared" si="2"/>
        <v>0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36</v>
      </c>
      <c r="O58" s="37">
        <f t="shared" si="63"/>
        <v>0</v>
      </c>
      <c r="P58" s="50" t="s">
        <v>60</v>
      </c>
      <c r="Q58" s="50" t="s">
        <v>60</v>
      </c>
      <c r="R58" s="50" t="s">
        <v>60</v>
      </c>
      <c r="S58" s="51">
        <f t="shared" si="4"/>
        <v>0</v>
      </c>
      <c r="T58" s="52">
        <f t="shared" si="5"/>
        <v>0</v>
      </c>
      <c r="U58" s="52"/>
      <c r="V58" s="51">
        <f t="shared" si="6"/>
        <v>4</v>
      </c>
      <c r="W58" s="52">
        <f t="shared" si="7"/>
        <v>-1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77</v>
      </c>
      <c r="C59" s="37">
        <v>27.0</v>
      </c>
      <c r="D59" s="37">
        <v>0.0</v>
      </c>
      <c r="E59" s="42">
        <f t="shared" si="2"/>
        <v>0</v>
      </c>
      <c r="F59" s="89">
        <v>3.0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36</v>
      </c>
      <c r="O59" s="37">
        <f t="shared" si="64"/>
        <v>0</v>
      </c>
      <c r="P59" s="50" t="s">
        <v>60</v>
      </c>
      <c r="Q59" s="50" t="s">
        <v>60</v>
      </c>
      <c r="R59" s="50" t="s">
        <v>60</v>
      </c>
      <c r="S59" s="51">
        <f t="shared" si="4"/>
        <v>0</v>
      </c>
      <c r="T59" s="52">
        <f t="shared" si="5"/>
        <v>0</v>
      </c>
      <c r="U59" s="52"/>
      <c r="V59" s="51">
        <f t="shared" si="6"/>
        <v>4</v>
      </c>
      <c r="W59" s="52">
        <f t="shared" si="7"/>
        <v>-1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137</v>
      </c>
      <c r="C60" s="37">
        <v>27.0</v>
      </c>
      <c r="D60" s="37">
        <v>0.0</v>
      </c>
      <c r="E60" s="42">
        <f t="shared" si="2"/>
        <v>0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36</v>
      </c>
      <c r="O60" s="37">
        <f t="shared" si="65"/>
        <v>0</v>
      </c>
      <c r="P60" s="50" t="s">
        <v>60</v>
      </c>
      <c r="Q60" s="50" t="s">
        <v>60</v>
      </c>
      <c r="R60" s="50" t="s">
        <v>60</v>
      </c>
      <c r="S60" s="51">
        <f t="shared" si="4"/>
        <v>0</v>
      </c>
      <c r="T60" s="52">
        <f t="shared" si="5"/>
        <v>0</v>
      </c>
      <c r="U60" s="52"/>
      <c r="V60" s="51">
        <f t="shared" si="6"/>
        <v>4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132</v>
      </c>
      <c r="C61" s="37">
        <v>27.0</v>
      </c>
      <c r="D61" s="37">
        <v>0.0</v>
      </c>
      <c r="E61" s="42">
        <f t="shared" si="2"/>
        <v>0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36</v>
      </c>
      <c r="O61" s="37">
        <f t="shared" si="66"/>
        <v>0</v>
      </c>
      <c r="P61" s="50" t="s">
        <v>60</v>
      </c>
      <c r="Q61" s="50" t="s">
        <v>60</v>
      </c>
      <c r="R61" s="50" t="s">
        <v>60</v>
      </c>
      <c r="S61" s="51">
        <f t="shared" si="4"/>
        <v>0</v>
      </c>
      <c r="T61" s="52">
        <f t="shared" si="5"/>
        <v>0</v>
      </c>
      <c r="U61" s="52"/>
      <c r="V61" s="51">
        <f t="shared" si="6"/>
        <v>4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53</v>
      </c>
      <c r="C62" s="37">
        <v>27.0</v>
      </c>
      <c r="D62" s="37">
        <v>0.0</v>
      </c>
      <c r="E62" s="42">
        <f t="shared" si="2"/>
        <v>0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36</v>
      </c>
      <c r="O62" s="37">
        <f t="shared" si="67"/>
        <v>0</v>
      </c>
      <c r="P62" s="50" t="s">
        <v>60</v>
      </c>
      <c r="Q62" s="50" t="s">
        <v>60</v>
      </c>
      <c r="R62" s="50" t="s">
        <v>60</v>
      </c>
      <c r="S62" s="51">
        <f t="shared" si="4"/>
        <v>0</v>
      </c>
      <c r="T62" s="52">
        <f t="shared" si="5"/>
        <v>0</v>
      </c>
      <c r="U62" s="52"/>
      <c r="V62" s="51">
        <f t="shared" si="6"/>
        <v>4</v>
      </c>
      <c r="W62" s="52">
        <f t="shared" si="7"/>
        <v>0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119</v>
      </c>
      <c r="C63" s="37">
        <v>27.0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36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4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145</v>
      </c>
      <c r="C64" s="37">
        <v>27.0</v>
      </c>
      <c r="D64" s="37">
        <v>0.0</v>
      </c>
      <c r="E64" s="42">
        <f t="shared" si="2"/>
        <v>0</v>
      </c>
      <c r="F64" s="89">
        <v>4.0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36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4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120</v>
      </c>
      <c r="C65" s="37">
        <v>27.0</v>
      </c>
      <c r="D65" s="37">
        <v>0.0</v>
      </c>
      <c r="E65" s="42">
        <f t="shared" si="2"/>
        <v>0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36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0</v>
      </c>
      <c r="U65" s="52"/>
      <c r="V65" s="51">
        <f t="shared" si="6"/>
        <v>4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139</v>
      </c>
      <c r="C66" s="37">
        <v>27.0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36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4</v>
      </c>
      <c r="W66" s="52">
        <f t="shared" si="7"/>
        <v>1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138</v>
      </c>
      <c r="C67" s="37">
        <v>27.0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36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4</v>
      </c>
      <c r="W67" s="52">
        <f t="shared" si="7"/>
        <v>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128</v>
      </c>
      <c r="C68" s="37">
        <v>27.0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36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4</v>
      </c>
      <c r="W68" s="52">
        <f t="shared" si="7"/>
        <v>1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90</v>
      </c>
      <c r="C69" s="37">
        <v>24.0</v>
      </c>
      <c r="D69" s="37">
        <v>0.0</v>
      </c>
      <c r="E69" s="42">
        <f t="shared" si="2"/>
        <v>1</v>
      </c>
      <c r="F69" s="89">
        <v>1.0</v>
      </c>
      <c r="G69" s="90">
        <v>8.0</v>
      </c>
      <c r="H69" s="91">
        <v>0.0</v>
      </c>
      <c r="I69" s="90">
        <v>6.0</v>
      </c>
      <c r="J69" s="90">
        <v>6.0</v>
      </c>
      <c r="K69" s="90">
        <v>6.0</v>
      </c>
      <c r="L69" s="92">
        <v>18.0</v>
      </c>
      <c r="M69" s="90">
        <v>2.0</v>
      </c>
      <c r="N69" s="37">
        <f t="shared" ref="N69:O69" si="74">C69+L69</f>
        <v>42</v>
      </c>
      <c r="O69" s="37">
        <f t="shared" si="74"/>
        <v>2</v>
      </c>
      <c r="P69" s="50" t="s">
        <v>60</v>
      </c>
      <c r="Q69" s="50" t="s">
        <v>60</v>
      </c>
      <c r="R69" s="50" t="s">
        <v>60</v>
      </c>
      <c r="S69" s="51">
        <f t="shared" si="4"/>
        <v>2</v>
      </c>
      <c r="T69" s="52">
        <f t="shared" si="5"/>
        <v>1</v>
      </c>
      <c r="U69" s="52"/>
      <c r="V69" s="51">
        <f t="shared" si="6"/>
        <v>1</v>
      </c>
      <c r="W69" s="52">
        <f t="shared" si="7"/>
        <v>2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96</v>
      </c>
      <c r="C70" s="37">
        <v>23.0</v>
      </c>
      <c r="D70" s="37">
        <v>2.0</v>
      </c>
      <c r="E70" s="42">
        <f t="shared" si="2"/>
        <v>5.75</v>
      </c>
      <c r="F70" s="89">
        <v>1.0</v>
      </c>
      <c r="G70" s="90">
        <v>8.0</v>
      </c>
      <c r="H70" s="91">
        <v>0.0</v>
      </c>
      <c r="I70" s="90">
        <v>4.0</v>
      </c>
      <c r="J70" s="90">
        <v>6.0</v>
      </c>
      <c r="K70" s="90">
        <v>4.0</v>
      </c>
      <c r="L70" s="92">
        <v>14.0</v>
      </c>
      <c r="M70" s="90">
        <v>0.0</v>
      </c>
      <c r="N70" s="37">
        <f t="shared" ref="N70:O70" si="75">C70+L70</f>
        <v>37</v>
      </c>
      <c r="O70" s="37">
        <f t="shared" si="75"/>
        <v>2</v>
      </c>
      <c r="P70" s="50" t="s">
        <v>60</v>
      </c>
      <c r="Q70" s="50" t="s">
        <v>60</v>
      </c>
      <c r="R70" s="50" t="s">
        <v>60</v>
      </c>
      <c r="S70" s="51">
        <f t="shared" si="4"/>
        <v>4</v>
      </c>
      <c r="T70" s="52">
        <f t="shared" si="5"/>
        <v>0</v>
      </c>
      <c r="U70" s="52"/>
      <c r="V70" s="51">
        <f t="shared" si="6"/>
        <v>0</v>
      </c>
      <c r="W70" s="52">
        <f t="shared" si="7"/>
        <v>0</v>
      </c>
      <c r="X70" s="35">
        <f t="shared" si="12"/>
        <v>66</v>
      </c>
      <c r="Y70" s="35" t="str">
        <f t="shared" si="8"/>
        <v>Y</v>
      </c>
      <c r="Z70" s="22" t="str">
        <f t="shared" si="9"/>
        <v/>
      </c>
    </row>
    <row r="71">
      <c r="A71" s="35">
        <f t="shared" si="10"/>
        <v>67</v>
      </c>
      <c r="B71" s="36" t="s">
        <v>143</v>
      </c>
      <c r="C71" s="37">
        <v>23.0</v>
      </c>
      <c r="D71" s="37">
        <v>0.0</v>
      </c>
      <c r="E71" s="42">
        <f t="shared" si="2"/>
        <v>-4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32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0</v>
      </c>
      <c r="U71" s="52"/>
      <c r="V71" s="51">
        <f t="shared" si="6"/>
        <v>3</v>
      </c>
      <c r="W71" s="52">
        <f t="shared" si="7"/>
        <v>-15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07/18/26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desc"",0)"),"Pulkit Mathur")</f>
        <v>Pulkit Mathur</v>
      </c>
      <c r="C83" s="125">
        <f>IFERROR(__xludf.DUMMYFUNCTION("""COMPUTED_VALUE"""),18.0)</f>
        <v>18</v>
      </c>
      <c r="D83" s="125">
        <f>IFERROR(__xludf.DUMMYFUNCTION("""COMPUTED_VALUE"""),3.0)</f>
        <v>3</v>
      </c>
      <c r="E83" s="125">
        <f>IFERROR(__xludf.DUMMYFUNCTION("""COMPUTED_VALUE"""),6.0)</f>
        <v>6</v>
      </c>
      <c r="F83" s="2"/>
    </row>
    <row r="84">
      <c r="A84" s="2"/>
      <c r="B84" s="36" t="str">
        <f>IFERROR(__xludf.DUMMYFUNCTION("""COMPUTED_VALUE"""),"Sandeep Kamalon")</f>
        <v>Sandeep Kamalon</v>
      </c>
      <c r="C84" s="125">
        <f>IFERROR(__xludf.DUMMYFUNCTION("""COMPUTED_VALUE"""),18.0)</f>
        <v>18</v>
      </c>
      <c r="D84" s="125">
        <f>IFERROR(__xludf.DUMMYFUNCTION("""COMPUTED_VALUE"""),3.0)</f>
        <v>3</v>
      </c>
      <c r="E84" s="125">
        <f>IFERROR(__xludf.DUMMYFUNCTION("""COMPUTED_VALUE"""),7.0)</f>
        <v>7</v>
      </c>
      <c r="F84" s="2"/>
    </row>
    <row r="85">
      <c r="A85" s="2"/>
      <c r="B85" s="36" t="str">
        <f>IFERROR(__xludf.DUMMYFUNCTION("""COMPUTED_VALUE"""),"Rudy Tatang")</f>
        <v>Rudy Tatang</v>
      </c>
      <c r="C85" s="125">
        <f>IFERROR(__xludf.DUMMYFUNCTION("""COMPUTED_VALUE"""),18.0)</f>
        <v>18</v>
      </c>
      <c r="D85" s="125">
        <f>IFERROR(__xludf.DUMMYFUNCTION("""COMPUTED_VALUE"""),2.0)</f>
        <v>2</v>
      </c>
      <c r="E85" s="125">
        <f>IFERROR(__xludf.DUMMYFUNCTION("""COMPUTED_VALUE"""),3.0)</f>
        <v>3</v>
      </c>
      <c r="F85" s="2"/>
    </row>
    <row r="86">
      <c r="A86" s="2"/>
      <c r="B86" s="36"/>
      <c r="C86" s="125"/>
      <c r="D86" s="125"/>
      <c r="E86" s="125"/>
      <c r="F86" s="2"/>
    </row>
    <row r="87">
      <c r="A87" s="2"/>
      <c r="B87" s="36"/>
      <c r="C87" s="125"/>
      <c r="D87" s="125"/>
      <c r="E87" s="125"/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10"")"),"Pulkit Mathur")</f>
        <v>Pulkit Mathur</v>
      </c>
      <c r="C102" s="125">
        <f>IFERROR(__xludf.DUMMYFUNCTION("""COMPUTED_VALUE"""),20.0)</f>
        <v>20</v>
      </c>
      <c r="D102" s="125">
        <f t="shared" ref="D102:D111" si="77">VLOOKUP(B102,indirect($AC$2&amp;"!B$5:X$79"),23, false)</f>
        <v>35</v>
      </c>
      <c r="E102" s="125">
        <f t="shared" ref="E102:E111" si="78">VLOOKUP(B102,B$5:X$71,23, false)</f>
        <v>15</v>
      </c>
      <c r="F102" s="125">
        <f t="shared" ref="F102:F111" si="79">VLOOKUP(B102,indirect($AC$2&amp;"!B$5:U$79"),11, false)</f>
        <v>18</v>
      </c>
      <c r="G102" s="125">
        <f t="shared" ref="G102:G111" si="80">VLOOKUP(B102,indirect($AC$2&amp;"!B$5:U$79"),6, false)</f>
        <v>6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IFERROR(__xludf.DUMMYFUNCTION("""COMPUTED_VALUE"""),"Sandeep Kamalon")</f>
        <v>Sandeep Kamalon</v>
      </c>
      <c r="C103" s="125">
        <f>IFERROR(__xludf.DUMMYFUNCTION("""COMPUTED_VALUE"""),20.0)</f>
        <v>20</v>
      </c>
      <c r="D103" s="125">
        <f t="shared" si="77"/>
        <v>36</v>
      </c>
      <c r="E103" s="125">
        <f t="shared" si="78"/>
        <v>16</v>
      </c>
      <c r="F103" s="125">
        <f t="shared" si="79"/>
        <v>18</v>
      </c>
      <c r="G103" s="125">
        <f t="shared" si="80"/>
        <v>7</v>
      </c>
      <c r="L103" s="125" t="str">
        <f t="shared" si="81"/>
        <v>ok</v>
      </c>
    </row>
    <row r="104">
      <c r="A104" s="2"/>
      <c r="B104" s="36" t="str">
        <f>IFERROR(__xludf.DUMMYFUNCTION("""COMPUTED_VALUE"""),"Ethan Gu")</f>
        <v>Ethan Gu</v>
      </c>
      <c r="C104" s="125">
        <f>IFERROR(__xludf.DUMMYFUNCTION("""COMPUTED_VALUE"""),19.0)</f>
        <v>19</v>
      </c>
      <c r="D104" s="125">
        <f t="shared" si="77"/>
        <v>51</v>
      </c>
      <c r="E104" s="125">
        <f t="shared" si="78"/>
        <v>32</v>
      </c>
      <c r="F104" s="125">
        <f t="shared" si="79"/>
        <v>15</v>
      </c>
      <c r="G104" s="125">
        <f t="shared" si="80"/>
        <v>8</v>
      </c>
      <c r="L104" s="125" t="str">
        <f t="shared" si="81"/>
        <v>ok</v>
      </c>
    </row>
    <row r="105">
      <c r="A105" s="2"/>
      <c r="B105" s="36" t="str">
        <f>IFERROR(__xludf.DUMMYFUNCTION("""COMPUTED_VALUE"""),"Manish Anand")</f>
        <v>Manish Anand</v>
      </c>
      <c r="C105" s="125">
        <f>IFERROR(__xludf.DUMMYFUNCTION("""COMPUTED_VALUE"""),14.0)</f>
        <v>14</v>
      </c>
      <c r="D105" s="125">
        <f t="shared" si="77"/>
        <v>62</v>
      </c>
      <c r="E105" s="125">
        <f t="shared" si="78"/>
        <v>48</v>
      </c>
      <c r="F105" s="125">
        <f t="shared" si="79"/>
        <v>13</v>
      </c>
      <c r="G105" s="125">
        <f t="shared" si="80"/>
        <v>0</v>
      </c>
      <c r="L105" s="125" t="str">
        <f t="shared" si="81"/>
        <v>ok</v>
      </c>
    </row>
    <row r="106">
      <c r="A106" s="2"/>
      <c r="B106" s="36" t="str">
        <f>IFERROR(__xludf.DUMMYFUNCTION("""COMPUTED_VALUE"""),"Jaya Sogata")</f>
        <v>Jaya Sogata</v>
      </c>
      <c r="C106" s="125">
        <f>IFERROR(__xludf.DUMMYFUNCTION("""COMPUTED_VALUE"""),13.0)</f>
        <v>13</v>
      </c>
      <c r="D106" s="125">
        <f t="shared" si="77"/>
        <v>30</v>
      </c>
      <c r="E106" s="125">
        <f t="shared" si="78"/>
        <v>17</v>
      </c>
      <c r="F106" s="125">
        <f t="shared" si="79"/>
        <v>16</v>
      </c>
      <c r="G106" s="125">
        <f t="shared" si="80"/>
        <v>5</v>
      </c>
      <c r="L106" s="125" t="str">
        <f t="shared" si="81"/>
        <v>ok</v>
      </c>
    </row>
    <row r="107">
      <c r="A107" s="2"/>
      <c r="B107" s="36" t="str">
        <f>IFERROR(__xludf.DUMMYFUNCTION("""COMPUTED_VALUE"""),"Rudy Tatang")</f>
        <v>Rudy Tatang</v>
      </c>
      <c r="C107" s="125">
        <f>IFERROR(__xludf.DUMMYFUNCTION("""COMPUTED_VALUE"""),12.0)</f>
        <v>12</v>
      </c>
      <c r="D107" s="125">
        <f t="shared" si="77"/>
        <v>16</v>
      </c>
      <c r="E107" s="125">
        <f t="shared" si="78"/>
        <v>4</v>
      </c>
      <c r="F107" s="125">
        <f t="shared" si="79"/>
        <v>18</v>
      </c>
      <c r="G107" s="125">
        <f t="shared" si="80"/>
        <v>3</v>
      </c>
      <c r="L107" s="125" t="str">
        <f t="shared" si="81"/>
        <v>ok</v>
      </c>
    </row>
    <row r="108">
      <c r="A108" s="2"/>
      <c r="B108" s="36" t="str">
        <f>IFERROR(__xludf.DUMMYFUNCTION("""COMPUTED_VALUE"""),"Basudev Thoppai Vidyasankar")</f>
        <v>Basudev Thoppai Vidyasankar</v>
      </c>
      <c r="C108" s="125">
        <f>IFERROR(__xludf.DUMMYFUNCTION("""COMPUTED_VALUE"""),10.0)</f>
        <v>10</v>
      </c>
      <c r="D108" s="125">
        <f t="shared" si="77"/>
        <v>20</v>
      </c>
      <c r="E108" s="125">
        <f t="shared" si="78"/>
        <v>10</v>
      </c>
      <c r="F108" s="125">
        <f t="shared" si="79"/>
        <v>16</v>
      </c>
      <c r="G108" s="125">
        <f t="shared" si="80"/>
        <v>3</v>
      </c>
      <c r="L108" s="125" t="str">
        <f t="shared" si="81"/>
        <v>ok</v>
      </c>
    </row>
    <row r="109">
      <c r="A109" s="2"/>
      <c r="B109" s="36" t="str">
        <f>IFERROR(__xludf.DUMMYFUNCTION("""COMPUTED_VALUE"""),"Alejandro Mejia")</f>
        <v>Alejandro Mejia</v>
      </c>
      <c r="C109" s="125">
        <f>IFERROR(__xludf.DUMMYFUNCTION("""COMPUTED_VALUE"""),10.0)</f>
        <v>10</v>
      </c>
      <c r="D109" s="125">
        <f t="shared" si="77"/>
        <v>55</v>
      </c>
      <c r="E109" s="125">
        <f t="shared" si="78"/>
        <v>45</v>
      </c>
      <c r="F109" s="125">
        <f t="shared" si="79"/>
        <v>14</v>
      </c>
      <c r="G109" s="125">
        <f t="shared" si="80"/>
        <v>8</v>
      </c>
      <c r="L109" s="125" t="str">
        <f t="shared" si="81"/>
        <v>ok</v>
      </c>
    </row>
    <row r="110">
      <c r="A110" s="2"/>
      <c r="B110" s="36" t="str">
        <f>IFERROR(__xludf.DUMMYFUNCTION("""COMPUTED_VALUE"""),"Chinna Ponnaganti")</f>
        <v>Chinna Ponnaganti</v>
      </c>
      <c r="C110" s="125">
        <f>IFERROR(__xludf.DUMMYFUNCTION("""COMPUTED_VALUE"""),9.0)</f>
        <v>9</v>
      </c>
      <c r="D110" s="125">
        <f t="shared" si="77"/>
        <v>21</v>
      </c>
      <c r="E110" s="125">
        <f t="shared" si="78"/>
        <v>12</v>
      </c>
      <c r="F110" s="125">
        <f t="shared" si="79"/>
        <v>16</v>
      </c>
      <c r="G110" s="125">
        <f t="shared" si="80"/>
        <v>4</v>
      </c>
      <c r="L110" s="125" t="str">
        <f t="shared" si="81"/>
        <v>ok</v>
      </c>
    </row>
    <row r="111">
      <c r="A111" s="2"/>
      <c r="B111" s="36" t="str">
        <f>IFERROR(__xludf.DUMMYFUNCTION("""COMPUTED_VALUE"""),"David Shin")</f>
        <v>David Shin</v>
      </c>
      <c r="C111" s="125">
        <f>IFERROR(__xludf.DUMMYFUNCTION("""COMPUTED_VALUE"""),9.0)</f>
        <v>9</v>
      </c>
      <c r="D111" s="125">
        <f t="shared" si="77"/>
        <v>22</v>
      </c>
      <c r="E111" s="125">
        <f t="shared" si="78"/>
        <v>13</v>
      </c>
      <c r="F111" s="125">
        <f t="shared" si="79"/>
        <v>16</v>
      </c>
      <c r="G111" s="125">
        <f t="shared" si="80"/>
        <v>4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4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Darren Wong</v>
      </c>
      <c r="C120" s="125">
        <f t="shared" si="82"/>
        <v>50</v>
      </c>
      <c r="D120" s="125">
        <f t="shared" si="82"/>
        <v>6</v>
      </c>
      <c r="E120" s="125">
        <f t="shared" si="82"/>
        <v>14</v>
      </c>
      <c r="F120" s="2"/>
    </row>
    <row r="121">
      <c r="A121" s="125">
        <f t="shared" ref="A121:E121" si="83">A6</f>
        <v>2</v>
      </c>
      <c r="B121" s="36" t="str">
        <f t="shared" si="83"/>
        <v>Scott Li</v>
      </c>
      <c r="C121" s="125">
        <f t="shared" si="83"/>
        <v>49</v>
      </c>
      <c r="D121" s="125">
        <f t="shared" si="83"/>
        <v>7</v>
      </c>
      <c r="E121" s="125">
        <f t="shared" si="83"/>
        <v>12.25</v>
      </c>
      <c r="F121" s="2"/>
    </row>
    <row r="122">
      <c r="A122" s="125">
        <f t="shared" ref="A122:E122" si="84">A7</f>
        <v>3</v>
      </c>
      <c r="B122" s="36" t="str">
        <f t="shared" si="84"/>
        <v>Tom Le</v>
      </c>
      <c r="C122" s="125">
        <f t="shared" si="84"/>
        <v>45</v>
      </c>
      <c r="D122" s="125">
        <f t="shared" si="84"/>
        <v>6</v>
      </c>
      <c r="E122" s="125">
        <f t="shared" si="84"/>
        <v>12</v>
      </c>
      <c r="F122" s="2"/>
    </row>
    <row r="123">
      <c r="A123" s="125">
        <f t="shared" ref="A123:E123" si="85">A8</f>
        <v>4</v>
      </c>
      <c r="B123" s="36" t="str">
        <f t="shared" si="85"/>
        <v>Rudy Tatang</v>
      </c>
      <c r="C123" s="125">
        <f t="shared" si="85"/>
        <v>45</v>
      </c>
      <c r="D123" s="125">
        <f t="shared" si="85"/>
        <v>4</v>
      </c>
      <c r="E123" s="125">
        <f t="shared" si="85"/>
        <v>12</v>
      </c>
      <c r="F123" s="2"/>
    </row>
    <row r="124">
      <c r="A124" s="125">
        <f t="shared" ref="A124:E124" si="86">A9</f>
        <v>5</v>
      </c>
      <c r="B124" s="36" t="str">
        <f t="shared" si="86"/>
        <v>Jonathan Phan</v>
      </c>
      <c r="C124" s="125">
        <f t="shared" si="86"/>
        <v>45</v>
      </c>
      <c r="D124" s="125">
        <f t="shared" si="86"/>
        <v>5</v>
      </c>
      <c r="E124" s="125">
        <f t="shared" si="86"/>
        <v>10.66666667</v>
      </c>
      <c r="F124" s="2"/>
    </row>
    <row r="125">
      <c r="A125" s="125">
        <f t="shared" ref="A125:E125" si="87">A10</f>
        <v>6</v>
      </c>
      <c r="B125" s="36" t="str">
        <f t="shared" si="87"/>
        <v>Andrew Yao</v>
      </c>
      <c r="C125" s="125">
        <f t="shared" si="87"/>
        <v>44</v>
      </c>
      <c r="D125" s="125">
        <f t="shared" si="87"/>
        <v>4</v>
      </c>
      <c r="E125" s="125">
        <f t="shared" si="87"/>
        <v>10.33333333</v>
      </c>
      <c r="F125" s="2"/>
    </row>
    <row r="126">
      <c r="A126" s="125">
        <f t="shared" ref="A126:E126" si="88">A11</f>
        <v>7</v>
      </c>
      <c r="B126" s="36" t="str">
        <f t="shared" si="88"/>
        <v>Ted Shen</v>
      </c>
      <c r="C126" s="125">
        <f t="shared" si="88"/>
        <v>42</v>
      </c>
      <c r="D126" s="125">
        <f t="shared" si="88"/>
        <v>6</v>
      </c>
      <c r="E126" s="125">
        <f t="shared" si="88"/>
        <v>10.5</v>
      </c>
      <c r="F126" s="2"/>
    </row>
    <row r="127">
      <c r="A127" s="125">
        <f t="shared" ref="A127:E127" si="89">A12</f>
        <v>8</v>
      </c>
      <c r="B127" s="36" t="str">
        <f t="shared" si="89"/>
        <v>Matthew Huang</v>
      </c>
      <c r="C127" s="125">
        <f t="shared" si="89"/>
        <v>42</v>
      </c>
      <c r="D127" s="125">
        <f t="shared" si="89"/>
        <v>4</v>
      </c>
      <c r="E127" s="125">
        <f t="shared" si="89"/>
        <v>9.666666667</v>
      </c>
      <c r="F127" s="2"/>
    </row>
    <row r="128">
      <c r="A128" s="125">
        <f t="shared" ref="A128:E128" si="90">A13</f>
        <v>9</v>
      </c>
      <c r="B128" s="36" t="str">
        <f t="shared" si="90"/>
        <v>Sean Chang</v>
      </c>
      <c r="C128" s="125">
        <f t="shared" si="90"/>
        <v>42</v>
      </c>
      <c r="D128" s="125">
        <f t="shared" si="90"/>
        <v>2</v>
      </c>
      <c r="E128" s="125">
        <f t="shared" si="90"/>
        <v>7</v>
      </c>
      <c r="F128" s="2"/>
    </row>
    <row r="129">
      <c r="A129" s="125">
        <f t="shared" ref="A129:E129" si="91">A14</f>
        <v>10</v>
      </c>
      <c r="B129" s="36" t="str">
        <f t="shared" si="91"/>
        <v>Basudev Thoppai Vidyasankar</v>
      </c>
      <c r="C129" s="125">
        <f t="shared" si="91"/>
        <v>41</v>
      </c>
      <c r="D129" s="125">
        <f t="shared" si="91"/>
        <v>4</v>
      </c>
      <c r="E129" s="125">
        <f t="shared" si="91"/>
        <v>11.5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IFERROR(__xludf.DUMMYFUNCTION("""COMPUTED_VALUE"""),"Eric Tan")</f>
        <v>Eric Tan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IFERROR(__xludf.DUMMYFUNCTION("""COMPUTED_VALUE"""),"Erik Hoeckmann")</f>
        <v>Erik Hoeckmann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IFERROR(__xludf.DUMMYFUNCTION("""COMPUTED_VALUE"""),"Joe Luzzi")</f>
        <v>Joe Luzzi</v>
      </c>
      <c r="C140" s="2"/>
      <c r="D140" s="2"/>
      <c r="E140" s="2"/>
      <c r="F140" s="2"/>
    </row>
    <row r="141">
      <c r="A141" s="125">
        <f t="shared" si="92"/>
        <v>5</v>
      </c>
      <c r="B141" s="36" t="str">
        <f>IFERROR(__xludf.DUMMYFUNCTION("""COMPUTED_VALUE"""),"Nicole Ni")</f>
        <v>Nicole Ni</v>
      </c>
      <c r="C141" s="2"/>
      <c r="D141" s="2"/>
      <c r="E141" s="2"/>
      <c r="F141" s="2"/>
    </row>
    <row r="142">
      <c r="A142" s="125">
        <f t="shared" si="92"/>
        <v>6</v>
      </c>
      <c r="B142" s="36" t="str">
        <f>IFERROR(__xludf.DUMMYFUNCTION("""COMPUTED_VALUE"""),"Rajasekar Ramasamy")</f>
        <v>Rajasekar Ramasamy</v>
      </c>
      <c r="C142" s="2"/>
      <c r="D142" s="2"/>
      <c r="E142" s="2"/>
      <c r="F142" s="2"/>
    </row>
    <row r="143">
      <c r="A143" s="125">
        <f t="shared" si="92"/>
        <v>7</v>
      </c>
      <c r="B143" s="36" t="str">
        <f>IFERROR(__xludf.DUMMYFUNCTION("""COMPUTED_VALUE"""),"Scott Li")</f>
        <v>Scott Li</v>
      </c>
      <c r="C143" s="2"/>
      <c r="D143" s="2"/>
      <c r="E143" s="2"/>
      <c r="F143" s="2"/>
    </row>
    <row r="144">
      <c r="A144" s="125">
        <f t="shared" si="92"/>
        <v>8</v>
      </c>
      <c r="B144" s="36" t="str">
        <f>IFERROR(__xludf.DUMMYFUNCTION("""COMPUTED_VALUE"""),"Ted Shen")</f>
        <v>Ted Shen</v>
      </c>
      <c r="C144" s="2"/>
      <c r="D144" s="2"/>
      <c r="E144" s="2"/>
      <c r="F144" s="2"/>
    </row>
    <row r="145">
      <c r="A145" s="125">
        <f t="shared" si="92"/>
        <v>9</v>
      </c>
      <c r="B145" s="36" t="str">
        <f>IFERROR(__xludf.DUMMYFUNCTION("""COMPUTED_VALUE"""),"Vinotkumar Nagappan")</f>
        <v>Vinotkumar Nagappan</v>
      </c>
      <c r="C145" s="2"/>
      <c r="D145" s="2"/>
      <c r="E145" s="2"/>
      <c r="F145" s="2"/>
    </row>
    <row r="146">
      <c r="A146" s="125">
        <f t="shared" si="92"/>
        <v>0</v>
      </c>
      <c r="B146" s="36"/>
      <c r="C146" s="2"/>
      <c r="D146" s="2"/>
      <c r="E146" s="2"/>
      <c r="F146" s="2"/>
    </row>
    <row r="147">
      <c r="A147" s="125">
        <f t="shared" si="92"/>
        <v>0</v>
      </c>
      <c r="B147" s="36"/>
      <c r="C147" s="2"/>
      <c r="D147" s="2"/>
      <c r="E147" s="2"/>
      <c r="F147" s="2"/>
    </row>
    <row r="148">
      <c r="A148" s="125">
        <f t="shared" si="92"/>
        <v>0</v>
      </c>
      <c r="B148" s="36"/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07/18/26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IFERROR(__xludf.DUMMYFUNCTION("""COMPUTED_VALUE"""),"Scott Li")</f>
        <v>Scott Li</v>
      </c>
      <c r="C239" s="131">
        <f>IFERROR(__xludf.DUMMYFUNCTION("""COMPUTED_VALUE"""),2.0)</f>
        <v>2</v>
      </c>
      <c r="D239" s="131">
        <f>IFERROR(__xludf.DUMMYFUNCTION("""COMPUTED_VALUE"""),6.0)</f>
        <v>6</v>
      </c>
      <c r="E239" s="131">
        <f>IFERROR(__xludf.DUMMYFUNCTION("""COMPUTED_VALUE"""),6.0)</f>
        <v>6</v>
      </c>
      <c r="F239" s="131">
        <f>IFERROR(__xludf.DUMMYFUNCTION("""COMPUTED_VALUE"""),14.0)</f>
        <v>14</v>
      </c>
      <c r="G239" s="131">
        <f>IFERROR(__xludf.DUMMYFUNCTION("""COMPUTED_VALUE"""),2.0)</f>
        <v>2</v>
      </c>
    </row>
    <row r="240">
      <c r="A240" s="125">
        <f>IFERROR(__xludf.DUMMYFUNCTION("""COMPUTED_VALUE"""),1.0)</f>
        <v>1</v>
      </c>
      <c r="B240" s="36" t="str">
        <f>IFERROR(__xludf.DUMMYFUNCTION("""COMPUTED_VALUE"""),"Jonathan Phan")</f>
        <v>Jonathan Phan</v>
      </c>
      <c r="C240" s="131">
        <f>IFERROR(__xludf.DUMMYFUNCTION("""COMPUTED_VALUE"""),6.0)</f>
        <v>6</v>
      </c>
      <c r="D240" s="131">
        <f>IFERROR(__xludf.DUMMYFUNCTION("""COMPUTED_VALUE"""),2.0)</f>
        <v>2</v>
      </c>
      <c r="E240" s="131">
        <f>IFERROR(__xludf.DUMMYFUNCTION("""COMPUTED_VALUE"""),6.0)</f>
        <v>6</v>
      </c>
      <c r="F240" s="131">
        <f>IFERROR(__xludf.DUMMYFUNCTION("""COMPUTED_VALUE"""),14.0)</f>
        <v>14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IFERROR(__xludf.DUMMYFUNCTION("""COMPUTED_VALUE"""),"Tom Le")</f>
        <v>Tom Le</v>
      </c>
      <c r="C241" s="131">
        <f>IFERROR(__xludf.DUMMYFUNCTION("""COMPUTED_VALUE"""),6.0)</f>
        <v>6</v>
      </c>
      <c r="D241" s="131">
        <f>IFERROR(__xludf.DUMMYFUNCTION("""COMPUTED_VALUE"""),6.0)</f>
        <v>6</v>
      </c>
      <c r="E241" s="131">
        <f>IFERROR(__xludf.DUMMYFUNCTION("""COMPUTED_VALUE"""),3.0)</f>
        <v>3</v>
      </c>
      <c r="F241" s="131">
        <f>IFERROR(__xludf.DUMMYFUNCTION("""COMPUTED_VALUE"""),15.0)</f>
        <v>15</v>
      </c>
      <c r="G241" s="131">
        <f>IFERROR(__xludf.DUMMYFUNCTION("""COMPUTED_VALUE"""),2.0)</f>
        <v>2</v>
      </c>
    </row>
    <row r="242">
      <c r="A242" s="125">
        <f>IFERROR(__xludf.DUMMYFUNCTION("""COMPUTED_VALUE"""),1.0)</f>
        <v>1</v>
      </c>
      <c r="B242" s="36" t="str">
        <f>IFERROR(__xludf.DUMMYFUNCTION("""COMPUTED_VALUE"""),"Allen Zhang")</f>
        <v>Allen Zhang</v>
      </c>
      <c r="C242" s="131">
        <f>IFERROR(__xludf.DUMMYFUNCTION("""COMPUTED_VALUE"""),2.0)</f>
        <v>2</v>
      </c>
      <c r="D242" s="131">
        <f>IFERROR(__xludf.DUMMYFUNCTION("""COMPUTED_VALUE"""),2.0)</f>
        <v>2</v>
      </c>
      <c r="E242" s="131">
        <f>IFERROR(__xludf.DUMMYFUNCTION("""COMPUTED_VALUE"""),3.0)</f>
        <v>3</v>
      </c>
      <c r="F242" s="131">
        <f>IFERROR(__xludf.DUMMYFUNCTION("""COMPUTED_VALUE"""),7.0)</f>
        <v>7</v>
      </c>
      <c r="G242" s="131">
        <f>IFERROR(__xludf.DUMMYFUNCTION("""COMPUTED_VALUE"""),0.0)</f>
        <v>0</v>
      </c>
    </row>
    <row r="243">
      <c r="A243" s="132">
        <f>IFERROR(__xludf.DUMMYFUNCTION("""COMPUTED_VALUE"""),2.0)</f>
        <v>2</v>
      </c>
      <c r="B243" s="133" t="str">
        <f>IFERROR(__xludf.DUMMYFUNCTION("""COMPUTED_VALUE"""),"Ted Shen")</f>
        <v>Ted Shen</v>
      </c>
      <c r="C243" s="134">
        <f>IFERROR(__xludf.DUMMYFUNCTION("""COMPUTED_VALUE"""),6.0)</f>
        <v>6</v>
      </c>
      <c r="D243" s="134">
        <f>IFERROR(__xludf.DUMMYFUNCTION("""COMPUTED_VALUE"""),6.0)</f>
        <v>6</v>
      </c>
      <c r="E243" s="134">
        <f>IFERROR(__xludf.DUMMYFUNCTION("""COMPUTED_VALUE"""),2.0)</f>
        <v>2</v>
      </c>
      <c r="F243" s="134">
        <f>IFERROR(__xludf.DUMMYFUNCTION("""COMPUTED_VALUE"""),14.0)</f>
        <v>14</v>
      </c>
      <c r="G243" s="134">
        <f>IFERROR(__xludf.DUMMYFUNCTION("""COMPUTED_VALUE"""),2.0)</f>
        <v>2</v>
      </c>
    </row>
    <row r="244">
      <c r="A244" s="132">
        <f>IFERROR(__xludf.DUMMYFUNCTION("""COMPUTED_VALUE"""),2.0)</f>
        <v>2</v>
      </c>
      <c r="B244" s="133" t="str">
        <f>IFERROR(__xludf.DUMMYFUNCTION("""COMPUTED_VALUE"""),"Matthew Huang")</f>
        <v>Matthew Huang</v>
      </c>
      <c r="C244" s="134">
        <f>IFERROR(__xludf.DUMMYFUNCTION("""COMPUTED_VALUE"""),6.0)</f>
        <v>6</v>
      </c>
      <c r="D244" s="134">
        <f>IFERROR(__xludf.DUMMYFUNCTION("""COMPUTED_VALUE"""),2.0)</f>
        <v>2</v>
      </c>
      <c r="E244" s="134">
        <f>IFERROR(__xludf.DUMMYFUNCTION("""COMPUTED_VALUE"""),6.0)</f>
        <v>6</v>
      </c>
      <c r="F244" s="134">
        <f>IFERROR(__xludf.DUMMYFUNCTION("""COMPUTED_VALUE"""),14.0)</f>
        <v>14</v>
      </c>
      <c r="G244" s="134">
        <f>IFERROR(__xludf.DUMMYFUNCTION("""COMPUTED_VALUE"""),2.0)</f>
        <v>2</v>
      </c>
    </row>
    <row r="245">
      <c r="A245" s="132">
        <f>IFERROR(__xludf.DUMMYFUNCTION("""COMPUTED_VALUE"""),2.0)</f>
        <v>2</v>
      </c>
      <c r="B245" s="133" t="str">
        <f>IFERROR(__xludf.DUMMYFUNCTION("""COMPUTED_VALUE"""),"Manuel Rivera")</f>
        <v>Manuel Rivera</v>
      </c>
      <c r="C245" s="134">
        <f>IFERROR(__xludf.DUMMYFUNCTION("""COMPUTED_VALUE"""),4.0)</f>
        <v>4</v>
      </c>
      <c r="D245" s="134">
        <f>IFERROR(__xludf.DUMMYFUNCTION("""COMPUTED_VALUE"""),2.0)</f>
        <v>2</v>
      </c>
      <c r="E245" s="134">
        <f>IFERROR(__xludf.DUMMYFUNCTION("""COMPUTED_VALUE"""),2.0)</f>
        <v>2</v>
      </c>
      <c r="F245" s="134">
        <f>IFERROR(__xludf.DUMMYFUNCTION("""COMPUTED_VALUE"""),8.0)</f>
        <v>8</v>
      </c>
      <c r="G245" s="134">
        <f>IFERROR(__xludf.DUMMYFUNCTION("""COMPUTED_VALUE"""),0.0)</f>
        <v>0</v>
      </c>
    </row>
    <row r="246">
      <c r="A246" s="132">
        <f>IFERROR(__xludf.DUMMYFUNCTION("""COMPUTED_VALUE"""),2.0)</f>
        <v>2</v>
      </c>
      <c r="B246" s="133" t="str">
        <f>IFERROR(__xludf.DUMMYFUNCTION("""COMPUTED_VALUE"""),"Andrew Yao")</f>
        <v>Andrew Yao</v>
      </c>
      <c r="C246" s="134">
        <f>IFERROR(__xludf.DUMMYFUNCTION("""COMPUTED_VALUE"""),4.0)</f>
        <v>4</v>
      </c>
      <c r="D246" s="134">
        <f>IFERROR(__xludf.DUMMYFUNCTION("""COMPUTED_VALUE"""),6.0)</f>
        <v>6</v>
      </c>
      <c r="E246" s="134">
        <f>IFERROR(__xludf.DUMMYFUNCTION("""COMPUTED_VALUE"""),6.0)</f>
        <v>6</v>
      </c>
      <c r="F246" s="134">
        <f>IFERROR(__xludf.DUMMYFUNCTION("""COMPUTED_VALUE"""),16.0)</f>
        <v>16</v>
      </c>
      <c r="G246" s="134">
        <f>IFERROR(__xludf.DUMMYFUNCTION("""COMPUTED_VALUE"""),2.0)</f>
        <v>2</v>
      </c>
    </row>
    <row r="247">
      <c r="A247" s="125">
        <f>IFERROR(__xludf.DUMMYFUNCTION("""COMPUTED_VALUE"""),3.0)</f>
        <v>3</v>
      </c>
      <c r="B247" s="36" t="str">
        <f>IFERROR(__xludf.DUMMYFUNCTION("""COMPUTED_VALUE"""),"Rudy Tatang")</f>
        <v>Rudy Tatang</v>
      </c>
      <c r="C247" s="131">
        <f>IFERROR(__xludf.DUMMYFUNCTION("""COMPUTED_VALUE"""),6.0)</f>
        <v>6</v>
      </c>
      <c r="D247" s="131">
        <f>IFERROR(__xludf.DUMMYFUNCTION("""COMPUTED_VALUE"""),6.0)</f>
        <v>6</v>
      </c>
      <c r="E247" s="131">
        <f>IFERROR(__xludf.DUMMYFUNCTION("""COMPUTED_VALUE"""),6.0)</f>
        <v>6</v>
      </c>
      <c r="F247" s="131">
        <f>IFERROR(__xludf.DUMMYFUNCTION("""COMPUTED_VALUE"""),18.0)</f>
        <v>18</v>
      </c>
      <c r="G247" s="131">
        <f>IFERROR(__xludf.DUMMYFUNCTION("""COMPUTED_VALUE"""),2.0)</f>
        <v>2</v>
      </c>
    </row>
    <row r="248">
      <c r="A248" s="125">
        <f>IFERROR(__xludf.DUMMYFUNCTION("""COMPUTED_VALUE"""),3.0)</f>
        <v>3</v>
      </c>
      <c r="B248" s="36" t="str">
        <f>IFERROR(__xludf.DUMMYFUNCTION("""COMPUTED_VALUE"""),"Rajasekar Ramasamy")</f>
        <v>Rajasekar Ramasamy</v>
      </c>
      <c r="C248" s="131">
        <f>IFERROR(__xludf.DUMMYFUNCTION("""COMPUTED_VALUE"""),6.0)</f>
        <v>6</v>
      </c>
      <c r="D248" s="131">
        <f>IFERROR(__xludf.DUMMYFUNCTION("""COMPUTED_VALUE"""),0.0)</f>
        <v>0</v>
      </c>
      <c r="E248" s="131">
        <f>IFERROR(__xludf.DUMMYFUNCTION("""COMPUTED_VALUE"""),7.0)</f>
        <v>7</v>
      </c>
      <c r="F248" s="131">
        <f>IFERROR(__xludf.DUMMYFUNCTION("""COMPUTED_VALUE"""),13.0)</f>
        <v>13</v>
      </c>
      <c r="G248" s="131">
        <f>IFERROR(__xludf.DUMMYFUNCTION("""COMPUTED_VALUE"""),2.0)</f>
        <v>2</v>
      </c>
    </row>
    <row r="249">
      <c r="A249" s="125">
        <f>IFERROR(__xludf.DUMMYFUNCTION("""COMPUTED_VALUE"""),3.0)</f>
        <v>3</v>
      </c>
      <c r="B249" s="36" t="str">
        <f>IFERROR(__xludf.DUMMYFUNCTION("""COMPUTED_VALUE"""),"Trish Newlin")</f>
        <v>Trish Newlin</v>
      </c>
      <c r="C249" s="131">
        <f>IFERROR(__xludf.DUMMYFUNCTION("""COMPUTED_VALUE"""),3.0)</f>
        <v>3</v>
      </c>
      <c r="D249" s="131">
        <f>IFERROR(__xludf.DUMMYFUNCTION("""COMPUTED_VALUE"""),0.0)</f>
        <v>0</v>
      </c>
      <c r="E249" s="131">
        <f>IFERROR(__xludf.DUMMYFUNCTION("""COMPUTED_VALUE"""),6.0)</f>
        <v>6</v>
      </c>
      <c r="F249" s="131">
        <f>IFERROR(__xludf.DUMMYFUNCTION("""COMPUTED_VALUE"""),9.0)</f>
        <v>9</v>
      </c>
      <c r="G249" s="131">
        <f>IFERROR(__xludf.DUMMYFUNCTION("""COMPUTED_VALUE"""),0.0)</f>
        <v>0</v>
      </c>
    </row>
    <row r="250">
      <c r="A250" s="125">
        <f>IFERROR(__xludf.DUMMYFUNCTION("""COMPUTED_VALUE"""),3.0)</f>
        <v>3</v>
      </c>
      <c r="B250" s="36" t="str">
        <f>IFERROR(__xludf.DUMMYFUNCTION("""COMPUTED_VALUE"""),"Basudev Thoppai Vidyasankar")</f>
        <v>Basudev Thoppai Vidyasankar</v>
      </c>
      <c r="C250" s="131">
        <f>IFERROR(__xludf.DUMMYFUNCTION("""COMPUTED_VALUE"""),3.0)</f>
        <v>3</v>
      </c>
      <c r="D250" s="131">
        <f>IFERROR(__xludf.DUMMYFUNCTION("""COMPUTED_VALUE"""),6.0)</f>
        <v>6</v>
      </c>
      <c r="E250" s="131">
        <f>IFERROR(__xludf.DUMMYFUNCTION("""COMPUTED_VALUE"""),7.0)</f>
        <v>7</v>
      </c>
      <c r="F250" s="131">
        <f>IFERROR(__xludf.DUMMYFUNCTION("""COMPUTED_VALUE"""),16.0)</f>
        <v>16</v>
      </c>
      <c r="G250" s="131">
        <f>IFERROR(__xludf.DUMMYFUNCTION("""COMPUTED_VALUE"""),2.0)</f>
        <v>2</v>
      </c>
    </row>
    <row r="251">
      <c r="A251" s="132">
        <f>IFERROR(__xludf.DUMMYFUNCTION("""COMPUTED_VALUE"""),4.0)</f>
        <v>4</v>
      </c>
      <c r="B251" s="133" t="str">
        <f>IFERROR(__xludf.DUMMYFUNCTION("""COMPUTED_VALUE"""),"Chinna Ponnaganti")</f>
        <v>Chinna Ponnaganti</v>
      </c>
      <c r="C251" s="134">
        <f>IFERROR(__xludf.DUMMYFUNCTION("""COMPUTED_VALUE"""),4.0)</f>
        <v>4</v>
      </c>
      <c r="D251" s="134">
        <f>IFERROR(__xludf.DUMMYFUNCTION("""COMPUTED_VALUE"""),6.0)</f>
        <v>6</v>
      </c>
      <c r="E251" s="134">
        <f>IFERROR(__xludf.DUMMYFUNCTION("""COMPUTED_VALUE"""),6.0)</f>
        <v>6</v>
      </c>
      <c r="F251" s="134">
        <f>IFERROR(__xludf.DUMMYFUNCTION("""COMPUTED_VALUE"""),16.0)</f>
        <v>16</v>
      </c>
      <c r="G251" s="134">
        <f>IFERROR(__xludf.DUMMYFUNCTION("""COMPUTED_VALUE"""),2.0)</f>
        <v>2</v>
      </c>
    </row>
    <row r="252">
      <c r="A252" s="132">
        <f>IFERROR(__xludf.DUMMYFUNCTION("""COMPUTED_VALUE"""),4.0)</f>
        <v>4</v>
      </c>
      <c r="B252" s="133" t="str">
        <f>IFERROR(__xludf.DUMMYFUNCTION("""COMPUTED_VALUE"""),"David Shin")</f>
        <v>David Shin</v>
      </c>
      <c r="C252" s="134">
        <f>IFERROR(__xludf.DUMMYFUNCTION("""COMPUTED_VALUE"""),6.0)</f>
        <v>6</v>
      </c>
      <c r="D252" s="134">
        <f>IFERROR(__xludf.DUMMYFUNCTION("""COMPUTED_VALUE"""),4.0)</f>
        <v>4</v>
      </c>
      <c r="E252" s="134">
        <f>IFERROR(__xludf.DUMMYFUNCTION("""COMPUTED_VALUE"""),6.0)</f>
        <v>6</v>
      </c>
      <c r="F252" s="134">
        <f>IFERROR(__xludf.DUMMYFUNCTION("""COMPUTED_VALUE"""),16.0)</f>
        <v>16</v>
      </c>
      <c r="G252" s="134">
        <f>IFERROR(__xludf.DUMMYFUNCTION("""COMPUTED_VALUE"""),2.0)</f>
        <v>2</v>
      </c>
    </row>
    <row r="253">
      <c r="A253" s="132">
        <f>IFERROR(__xludf.DUMMYFUNCTION("""COMPUTED_VALUE"""),4.0)</f>
        <v>4</v>
      </c>
      <c r="B253" s="133" t="str">
        <f>IFERROR(__xludf.DUMMYFUNCTION("""COMPUTED_VALUE"""),"Herman Au")</f>
        <v>Herman Au</v>
      </c>
      <c r="C253" s="134">
        <f>IFERROR(__xludf.DUMMYFUNCTION("""COMPUTED_VALUE"""),6.0)</f>
        <v>6</v>
      </c>
      <c r="D253" s="134">
        <f>IFERROR(__xludf.DUMMYFUNCTION("""COMPUTED_VALUE"""),6.0)</f>
        <v>6</v>
      </c>
      <c r="E253" s="134">
        <f>IFERROR(__xludf.DUMMYFUNCTION("""COMPUTED_VALUE"""),3.0)</f>
        <v>3</v>
      </c>
      <c r="F253" s="134">
        <f>IFERROR(__xludf.DUMMYFUNCTION("""COMPUTED_VALUE"""),15.0)</f>
        <v>15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IFERROR(__xludf.DUMMYFUNCTION("""COMPUTED_VALUE"""),"Erik Hoeckmann")</f>
        <v>Erik Hoeckmann</v>
      </c>
      <c r="C254" s="134">
        <f>IFERROR(__xludf.DUMMYFUNCTION("""COMPUTED_VALUE"""),4.0)</f>
        <v>4</v>
      </c>
      <c r="D254" s="134">
        <f>IFERROR(__xludf.DUMMYFUNCTION("""COMPUTED_VALUE"""),4.0)</f>
        <v>4</v>
      </c>
      <c r="E254" s="134">
        <f>IFERROR(__xludf.DUMMYFUNCTION("""COMPUTED_VALUE"""),3.0)</f>
        <v>3</v>
      </c>
      <c r="F254" s="134">
        <f>IFERROR(__xludf.DUMMYFUNCTION("""COMPUTED_VALUE"""),11.0)</f>
        <v>11</v>
      </c>
      <c r="G254" s="134">
        <f>IFERROR(__xludf.DUMMYFUNCTION("""COMPUTED_VALUE"""),0.0)</f>
        <v>0</v>
      </c>
    </row>
    <row r="255">
      <c r="A255" s="125">
        <f>IFERROR(__xludf.DUMMYFUNCTION("""COMPUTED_VALUE"""),5.0)</f>
        <v>5</v>
      </c>
      <c r="B255" s="36" t="str">
        <f>IFERROR(__xludf.DUMMYFUNCTION("""COMPUTED_VALUE"""),"Tina Hanson")</f>
        <v>Tina Hanson</v>
      </c>
      <c r="C255" s="131">
        <f>IFERROR(__xludf.DUMMYFUNCTION("""COMPUTED_VALUE"""),6.0)</f>
        <v>6</v>
      </c>
      <c r="D255" s="131">
        <f>IFERROR(__xludf.DUMMYFUNCTION("""COMPUTED_VALUE"""),6.0)</f>
        <v>6</v>
      </c>
      <c r="E255" s="131">
        <f>IFERROR(__xludf.DUMMYFUNCTION("""COMPUTED_VALUE"""),3.0)</f>
        <v>3</v>
      </c>
      <c r="F255" s="131">
        <f>IFERROR(__xludf.DUMMYFUNCTION("""COMPUTED_VALUE"""),15.0)</f>
        <v>15</v>
      </c>
      <c r="G255" s="131">
        <f>IFERROR(__xludf.DUMMYFUNCTION("""COMPUTED_VALUE"""),2.0)</f>
        <v>2</v>
      </c>
    </row>
    <row r="256">
      <c r="A256" s="125">
        <f>IFERROR(__xludf.DUMMYFUNCTION("""COMPUTED_VALUE"""),5.0)</f>
        <v>5</v>
      </c>
      <c r="B256" s="36" t="str">
        <f>IFERROR(__xludf.DUMMYFUNCTION("""COMPUTED_VALUE"""),"Oscar Bonilla")</f>
        <v>Oscar Bonilla</v>
      </c>
      <c r="C256" s="131">
        <f>IFERROR(__xludf.DUMMYFUNCTION("""COMPUTED_VALUE"""),6.0)</f>
        <v>6</v>
      </c>
      <c r="D256" s="131">
        <f>IFERROR(__xludf.DUMMYFUNCTION("""COMPUTED_VALUE"""),1.0)</f>
        <v>1</v>
      </c>
      <c r="E256" s="131">
        <f>IFERROR(__xludf.DUMMYFUNCTION("""COMPUTED_VALUE"""),6.0)</f>
        <v>6</v>
      </c>
      <c r="F256" s="131">
        <f>IFERROR(__xludf.DUMMYFUNCTION("""COMPUTED_VALUE"""),13.0)</f>
        <v>13</v>
      </c>
      <c r="G256" s="131">
        <f>IFERROR(__xludf.DUMMYFUNCTION("""COMPUTED_VALUE"""),2.0)</f>
        <v>2</v>
      </c>
    </row>
    <row r="257">
      <c r="A257" s="125">
        <f>IFERROR(__xludf.DUMMYFUNCTION("""COMPUTED_VALUE"""),5.0)</f>
        <v>5</v>
      </c>
      <c r="B257" s="36" t="str">
        <f>IFERROR(__xludf.DUMMYFUNCTION("""COMPUTED_VALUE"""),"Jaya Sogata")</f>
        <v>Jaya Sogata</v>
      </c>
      <c r="C257" s="131">
        <f>IFERROR(__xludf.DUMMYFUNCTION("""COMPUTED_VALUE"""),4.0)</f>
        <v>4</v>
      </c>
      <c r="D257" s="131">
        <f>IFERROR(__xludf.DUMMYFUNCTION("""COMPUTED_VALUE"""),6.0)</f>
        <v>6</v>
      </c>
      <c r="E257" s="131">
        <f>IFERROR(__xludf.DUMMYFUNCTION("""COMPUTED_VALUE"""),6.0)</f>
        <v>6</v>
      </c>
      <c r="F257" s="131">
        <f>IFERROR(__xludf.DUMMYFUNCTION("""COMPUTED_VALUE"""),16.0)</f>
        <v>16</v>
      </c>
      <c r="G257" s="131">
        <f>IFERROR(__xludf.DUMMYFUNCTION("""COMPUTED_VALUE"""),2.0)</f>
        <v>2</v>
      </c>
    </row>
    <row r="258">
      <c r="A258" s="125">
        <f>IFERROR(__xludf.DUMMYFUNCTION("""COMPUTED_VALUE"""),5.0)</f>
        <v>5</v>
      </c>
      <c r="B258" s="36" t="str">
        <f>IFERROR(__xludf.DUMMYFUNCTION("""COMPUTED_VALUE"""),"Joe Luzzi")</f>
        <v>Joe Luzzi</v>
      </c>
      <c r="C258" s="131">
        <f>IFERROR(__xludf.DUMMYFUNCTION("""COMPUTED_VALUE"""),4.0)</f>
        <v>4</v>
      </c>
      <c r="D258" s="131">
        <f>IFERROR(__xludf.DUMMYFUNCTION("""COMPUTED_VALUE"""),1.0)</f>
        <v>1</v>
      </c>
      <c r="E258" s="131">
        <f>IFERROR(__xludf.DUMMYFUNCTION("""COMPUTED_VALUE"""),3.0)</f>
        <v>3</v>
      </c>
      <c r="F258" s="131">
        <f>IFERROR(__xludf.DUMMYFUNCTION("""COMPUTED_VALUE"""),8.0)</f>
        <v>8</v>
      </c>
      <c r="G258" s="131">
        <f>IFERROR(__xludf.DUMMYFUNCTION("""COMPUTED_VALUE"""),0.0)</f>
        <v>0</v>
      </c>
    </row>
    <row r="259">
      <c r="A259" s="132">
        <f>IFERROR(__xludf.DUMMYFUNCTION("""COMPUTED_VALUE"""),6.0)</f>
        <v>6</v>
      </c>
      <c r="B259" s="133" t="str">
        <f>IFERROR(__xludf.DUMMYFUNCTION("""COMPUTED_VALUE"""),"Sanjaye Elayattu")</f>
        <v>Sanjaye Elayattu</v>
      </c>
      <c r="C259" s="134">
        <f>IFERROR(__xludf.DUMMYFUNCTION("""COMPUTED_VALUE"""),6.0)</f>
        <v>6</v>
      </c>
      <c r="D259" s="134">
        <f>IFERROR(__xludf.DUMMYFUNCTION("""COMPUTED_VALUE"""),2.0)</f>
        <v>2</v>
      </c>
      <c r="E259" s="134">
        <f>IFERROR(__xludf.DUMMYFUNCTION("""COMPUTED_VALUE"""),1.0)</f>
        <v>1</v>
      </c>
      <c r="F259" s="134">
        <f>IFERROR(__xludf.DUMMYFUNCTION("""COMPUTED_VALUE"""),9.0)</f>
        <v>9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IFERROR(__xludf.DUMMYFUNCTION("""COMPUTED_VALUE"""),"Mauricio Palacios")</f>
        <v>Mauricio Palacios</v>
      </c>
      <c r="C260" s="134">
        <f>IFERROR(__xludf.DUMMYFUNCTION("""COMPUTED_VALUE"""),3.0)</f>
        <v>3</v>
      </c>
      <c r="D260" s="134">
        <f>IFERROR(__xludf.DUMMYFUNCTION("""COMPUTED_VALUE"""),2.0)</f>
        <v>2</v>
      </c>
      <c r="E260" s="134">
        <f>IFERROR(__xludf.DUMMYFUNCTION("""COMPUTED_VALUE"""),6.0)</f>
        <v>6</v>
      </c>
      <c r="F260" s="134">
        <f>IFERROR(__xludf.DUMMYFUNCTION("""COMPUTED_VALUE"""),11.0)</f>
        <v>11</v>
      </c>
      <c r="G260" s="134">
        <f>IFERROR(__xludf.DUMMYFUNCTION("""COMPUTED_VALUE"""),1.0)</f>
        <v>1</v>
      </c>
    </row>
    <row r="261">
      <c r="A261" s="132">
        <f>IFERROR(__xludf.DUMMYFUNCTION("""COMPUTED_VALUE"""),6.0)</f>
        <v>6</v>
      </c>
      <c r="B261" s="133" t="str">
        <f>IFERROR(__xludf.DUMMYFUNCTION("""COMPUTED_VALUE"""),"Vinotkumar Nagappan")</f>
        <v>Vinotkumar Nagappan</v>
      </c>
      <c r="C261" s="134">
        <f>IFERROR(__xludf.DUMMYFUNCTION("""COMPUTED_VALUE"""),3.0)</f>
        <v>3</v>
      </c>
      <c r="D261" s="134">
        <f>IFERROR(__xludf.DUMMYFUNCTION("""COMPUTED_VALUE"""),6.0)</f>
        <v>6</v>
      </c>
      <c r="E261" s="134">
        <f>IFERROR(__xludf.DUMMYFUNCTION("""COMPUTED_VALUE"""),1.0)</f>
        <v>1</v>
      </c>
      <c r="F261" s="134">
        <f>IFERROR(__xludf.DUMMYFUNCTION("""COMPUTED_VALUE"""),10.0)</f>
        <v>10</v>
      </c>
      <c r="G261" s="134">
        <f>IFERROR(__xludf.DUMMYFUNCTION("""COMPUTED_VALUE"""),1.0)</f>
        <v>1</v>
      </c>
    </row>
    <row r="262">
      <c r="A262" s="132">
        <f>IFERROR(__xludf.DUMMYFUNCTION("""COMPUTED_VALUE"""),6.0)</f>
        <v>6</v>
      </c>
      <c r="B262" s="133" t="str">
        <f>IFERROR(__xludf.DUMMYFUNCTION("""COMPUTED_VALUE"""),"Pulkit Mathur")</f>
        <v>Pulkit Mathur</v>
      </c>
      <c r="C262" s="134">
        <f>IFERROR(__xludf.DUMMYFUNCTION("""COMPUTED_VALUE"""),6.0)</f>
        <v>6</v>
      </c>
      <c r="D262" s="134">
        <f>IFERROR(__xludf.DUMMYFUNCTION("""COMPUTED_VALUE"""),6.0)</f>
        <v>6</v>
      </c>
      <c r="E262" s="134">
        <f>IFERROR(__xludf.DUMMYFUNCTION("""COMPUTED_VALUE"""),6.0)</f>
        <v>6</v>
      </c>
      <c r="F262" s="134">
        <f>IFERROR(__xludf.DUMMYFUNCTION("""COMPUTED_VALUE"""),18.0)</f>
        <v>18</v>
      </c>
      <c r="G262" s="134">
        <f>IFERROR(__xludf.DUMMYFUNCTION("""COMPUTED_VALUE"""),3.0)</f>
        <v>3</v>
      </c>
    </row>
    <row r="263">
      <c r="A263" s="125">
        <f>IFERROR(__xludf.DUMMYFUNCTION("""COMPUTED_VALUE"""),7.0)</f>
        <v>7</v>
      </c>
      <c r="B263" s="36" t="str">
        <f>IFERROR(__xludf.DUMMYFUNCTION("""COMPUTED_VALUE"""),"Sandeep Kamalon")</f>
        <v>Sandeep Kamalon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IFERROR(__xludf.DUMMYFUNCTION("""COMPUTED_VALUE"""),6.0)</f>
        <v>6</v>
      </c>
      <c r="F263" s="131">
        <f>IFERROR(__xludf.DUMMYFUNCTION("""COMPUTED_VALUE"""),18.0)</f>
        <v>18</v>
      </c>
      <c r="G263" s="131">
        <f>IFERROR(__xludf.DUMMYFUNCTION("""COMPUTED_VALUE"""),3.0)</f>
        <v>3</v>
      </c>
    </row>
    <row r="264">
      <c r="A264" s="125">
        <f>IFERROR(__xludf.DUMMYFUNCTION("""COMPUTED_VALUE"""),7.0)</f>
        <v>7</v>
      </c>
      <c r="B264" s="36" t="str">
        <f>IFERROR(__xludf.DUMMYFUNCTION("""COMPUTED_VALUE"""),"Nicole Ni")</f>
        <v>Nicole Ni</v>
      </c>
      <c r="C264" s="131">
        <f>IFERROR(__xludf.DUMMYFUNCTION("""COMPUTED_VALUE"""),6.0)</f>
        <v>6</v>
      </c>
      <c r="D264" s="131">
        <f>IFERROR(__xludf.DUMMYFUNCTION("""COMPUTED_VALUE"""),1.0)</f>
        <v>1</v>
      </c>
      <c r="E264" s="131">
        <f>IFERROR(__xludf.DUMMYFUNCTION("""COMPUTED_VALUE"""),0.0)</f>
        <v>0</v>
      </c>
      <c r="F264" s="131">
        <f>IFERROR(__xludf.DUMMYFUNCTION("""COMPUTED_VALUE"""),7.0)</f>
        <v>7</v>
      </c>
      <c r="G264" s="131">
        <f>IFERROR(__xludf.DUMMYFUNCTION("""COMPUTED_VALUE"""),1.0)</f>
        <v>1</v>
      </c>
    </row>
    <row r="265">
      <c r="A265" s="125">
        <f>IFERROR(__xludf.DUMMYFUNCTION("""COMPUTED_VALUE"""),7.0)</f>
        <v>7</v>
      </c>
      <c r="B265" s="36" t="str">
        <f>IFERROR(__xludf.DUMMYFUNCTION("""COMPUTED_VALUE"""),"Joyce Zhu")</f>
        <v>Joyce Zhu</v>
      </c>
      <c r="C265" s="131">
        <f>IFERROR(__xludf.DUMMYFUNCTION("""COMPUTED_VALUE"""),1.0)</f>
        <v>1</v>
      </c>
      <c r="D265" s="131">
        <f>IFERROR(__xludf.DUMMYFUNCTION("""COMPUTED_VALUE"""),6.0)</f>
        <v>6</v>
      </c>
      <c r="E265" s="131">
        <f>IFERROR(__xludf.DUMMYFUNCTION("""COMPUTED_VALUE"""),0.0)</f>
        <v>0</v>
      </c>
      <c r="F265" s="131">
        <f>IFERROR(__xludf.DUMMYFUNCTION("""COMPUTED_VALUE"""),7.0)</f>
        <v>7</v>
      </c>
      <c r="G265" s="131">
        <f>IFERROR(__xludf.DUMMYFUNCTION("""COMPUTED_VALUE"""),1.0)</f>
        <v>1</v>
      </c>
    </row>
    <row r="266">
      <c r="A266" s="125">
        <f>IFERROR(__xludf.DUMMYFUNCTION("""COMPUTED_VALUE"""),7.0)</f>
        <v>7</v>
      </c>
      <c r="B266" s="36" t="str">
        <f>IFERROR(__xludf.DUMMYFUNCTION("""COMPUTED_VALUE"""),"Alex Hou")</f>
        <v>Alex Hou</v>
      </c>
      <c r="C266" s="131">
        <f>IFERROR(__xludf.DUMMYFUNCTION("""COMPUTED_VALUE"""),1.0)</f>
        <v>1</v>
      </c>
      <c r="D266" s="131">
        <f>IFERROR(__xludf.DUMMYFUNCTION("""COMPUTED_VALUE"""),1.0)</f>
        <v>1</v>
      </c>
      <c r="E266" s="131">
        <f>IFERROR(__xludf.DUMMYFUNCTION("""COMPUTED_VALUE"""),6.0)</f>
        <v>6</v>
      </c>
      <c r="F266" s="131">
        <f>IFERROR(__xludf.DUMMYFUNCTION("""COMPUTED_VALUE"""),8.0)</f>
        <v>8</v>
      </c>
      <c r="G266" s="131">
        <f>IFERROR(__xludf.DUMMYFUNCTION("""COMPUTED_VALUE"""),1.0)</f>
        <v>1</v>
      </c>
    </row>
    <row r="267">
      <c r="A267" s="132">
        <f>IFERROR(__xludf.DUMMYFUNCTION("""COMPUTED_VALUE"""),8.0)</f>
        <v>8</v>
      </c>
      <c r="B267" s="133" t="str">
        <f>IFERROR(__xludf.DUMMYFUNCTION("""COMPUTED_VALUE"""),"Ethan Gu")</f>
        <v>Ethan Gu</v>
      </c>
      <c r="C267" s="134">
        <f>IFERROR(__xludf.DUMMYFUNCTION("""COMPUTED_VALUE"""),6.0)</f>
        <v>6</v>
      </c>
      <c r="D267" s="134">
        <f>IFERROR(__xludf.DUMMYFUNCTION("""COMPUTED_VALUE"""),6.0)</f>
        <v>6</v>
      </c>
      <c r="E267" s="134">
        <f>IFERROR(__xludf.DUMMYFUNCTION("""COMPUTED_VALUE"""),3.0)</f>
        <v>3</v>
      </c>
      <c r="F267" s="134">
        <f>IFERROR(__xludf.DUMMYFUNCTION("""COMPUTED_VALUE"""),15.0)</f>
        <v>15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IFERROR(__xludf.DUMMYFUNCTION("""COMPUTED_VALUE"""),"Vicki Martinet")</f>
        <v>Vicki Martinet</v>
      </c>
      <c r="C268" s="134">
        <f>IFERROR(__xludf.DUMMYFUNCTION("""COMPUTED_VALUE"""),2.0)</f>
        <v>2</v>
      </c>
      <c r="D268" s="134">
        <f>IFERROR(__xludf.DUMMYFUNCTION("""COMPUTED_VALUE"""),0.0)</f>
        <v>0</v>
      </c>
      <c r="E268" s="134">
        <f>IFERROR(__xludf.DUMMYFUNCTION("""COMPUTED_VALUE"""),3.0)</f>
        <v>3</v>
      </c>
      <c r="F268" s="134">
        <f>IFERROR(__xludf.DUMMYFUNCTION("""COMPUTED_VALUE"""),5.0)</f>
        <v>5</v>
      </c>
      <c r="G268" s="134">
        <f>IFERROR(__xludf.DUMMYFUNCTION("""COMPUTED_VALUE"""),0.0)</f>
        <v>0</v>
      </c>
    </row>
    <row r="269">
      <c r="A269" s="132">
        <f>IFERROR(__xludf.DUMMYFUNCTION("""COMPUTED_VALUE"""),8.0)</f>
        <v>8</v>
      </c>
      <c r="B269" s="133" t="str">
        <f>IFERROR(__xludf.DUMMYFUNCTION("""COMPUTED_VALUE"""),"Alejandro Mejia")</f>
        <v>Alejandro Mejia</v>
      </c>
      <c r="C269" s="134">
        <f>IFERROR(__xludf.DUMMYFUNCTION("""COMPUTED_VALUE"""),2.0)</f>
        <v>2</v>
      </c>
      <c r="D269" s="134">
        <f>IFERROR(__xludf.DUMMYFUNCTION("""COMPUTED_VALUE"""),6.0)</f>
        <v>6</v>
      </c>
      <c r="E269" s="134">
        <f>IFERROR(__xludf.DUMMYFUNCTION("""COMPUTED_VALUE"""),6.0)</f>
        <v>6</v>
      </c>
      <c r="F269" s="134">
        <f>IFERROR(__xludf.DUMMYFUNCTION("""COMPUTED_VALUE"""),14.0)</f>
        <v>14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IFERROR(__xludf.DUMMYFUNCTION("""COMPUTED_VALUE"""),"Eric Tan")</f>
        <v>Eric Tan</v>
      </c>
      <c r="C270" s="134">
        <f>IFERROR(__xludf.DUMMYFUNCTION("""COMPUTED_VALUE"""),6.0)</f>
        <v>6</v>
      </c>
      <c r="D270" s="134">
        <f>IFERROR(__xludf.DUMMYFUNCTION("""COMPUTED_VALUE"""),0.0)</f>
        <v>0</v>
      </c>
      <c r="E270" s="134">
        <f>IFERROR(__xludf.DUMMYFUNCTION("""COMPUTED_VALUE"""),6.0)</f>
        <v>6</v>
      </c>
      <c r="F270" s="134">
        <f>IFERROR(__xludf.DUMMYFUNCTION("""COMPUTED_VALUE"""),12.0)</f>
        <v>12</v>
      </c>
      <c r="G270" s="134">
        <f>IFERROR(__xludf.DUMMYFUNCTION("""COMPUTED_VALUE"""),2.0)</f>
        <v>2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46221.0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3.0</v>
      </c>
      <c r="E2" s="2"/>
      <c r="F2" s="2"/>
      <c r="R2" s="19"/>
      <c r="AC2" s="23" t="str">
        <f>TEXT(C1-7,"mm/dd/yy")</f>
        <v>07/11/26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92</v>
      </c>
      <c r="C5" s="37">
        <v>37.0</v>
      </c>
      <c r="D5" s="37">
        <v>6.0</v>
      </c>
      <c r="E5" s="42">
        <f t="shared" ref="E5:E71" si="2">if(S5&gt;0,(C5-(V5*9)-(T5*13))/S5,0)</f>
        <v>12</v>
      </c>
      <c r="F5" s="89">
        <v>5.0</v>
      </c>
      <c r="G5" s="90">
        <v>0.0</v>
      </c>
      <c r="H5" s="91">
        <v>13.0</v>
      </c>
      <c r="I5" s="90">
        <v>0.0</v>
      </c>
      <c r="J5" s="90">
        <v>0.0</v>
      </c>
      <c r="K5" s="90">
        <v>0.0</v>
      </c>
      <c r="L5" s="92">
        <v>13.0</v>
      </c>
      <c r="M5" s="90">
        <v>0.0</v>
      </c>
      <c r="N5" s="37">
        <f t="shared" ref="N5:O5" si="1">C5+L5</f>
        <v>50</v>
      </c>
      <c r="O5" s="37">
        <f t="shared" si="1"/>
        <v>6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2</v>
      </c>
      <c r="T5" s="52">
        <f t="shared" ref="T5:T71" si="5">if(H5=13,1,0)+vlookup(B5,indirect("'" &amp; AC$2 &amp; "'!B5:W71"),19,false)</f>
        <v>1</v>
      </c>
      <c r="U5" s="52"/>
      <c r="V5" s="51">
        <f t="shared" ref="V5:V71" si="6">vlookup(B5,indirect("'" &amp; AC$2 &amp; "'!B5:W71"),21,false)+if(text(C$1,"mm/dd/yy")=$AC$2,0,if(H5=9,1,0))</f>
        <v>0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N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131</v>
      </c>
      <c r="C6" s="37">
        <v>35.0</v>
      </c>
      <c r="D6" s="37">
        <v>5.0</v>
      </c>
      <c r="E6" s="42">
        <f t="shared" si="2"/>
        <v>11.66666667</v>
      </c>
      <c r="F6" s="89">
        <v>1.0</v>
      </c>
      <c r="G6" s="90">
        <v>1.0</v>
      </c>
      <c r="H6" s="91">
        <v>0.0</v>
      </c>
      <c r="I6" s="90">
        <v>2.0</v>
      </c>
      <c r="J6" s="90">
        <v>6.0</v>
      </c>
      <c r="K6" s="90">
        <v>6.0</v>
      </c>
      <c r="L6" s="92">
        <v>14.0</v>
      </c>
      <c r="M6" s="90">
        <v>2.0</v>
      </c>
      <c r="N6" s="37">
        <f t="shared" ref="N6:O6" si="3">C6+L6</f>
        <v>49</v>
      </c>
      <c r="O6" s="37">
        <f t="shared" si="3"/>
        <v>7</v>
      </c>
      <c r="P6" s="50" t="s">
        <v>60</v>
      </c>
      <c r="Q6" s="50" t="s">
        <v>60</v>
      </c>
      <c r="R6" s="50" t="s">
        <v>60</v>
      </c>
      <c r="S6" s="51">
        <f t="shared" si="4"/>
        <v>3</v>
      </c>
      <c r="T6" s="52">
        <f t="shared" si="5"/>
        <v>0</v>
      </c>
      <c r="U6" s="52"/>
      <c r="V6" s="51">
        <f t="shared" si="6"/>
        <v>0</v>
      </c>
      <c r="W6" s="52">
        <f t="shared" si="7"/>
        <v>7</v>
      </c>
      <c r="X6" s="35">
        <f t="shared" ref="X6:X71" si="12">X5+1</f>
        <v>2</v>
      </c>
      <c r="Y6" s="35" t="str">
        <f t="shared" si="8"/>
        <v>Y</v>
      </c>
      <c r="Z6" s="22" t="str">
        <f t="shared" si="9"/>
        <v/>
      </c>
    </row>
    <row r="7">
      <c r="A7" s="35">
        <f t="shared" si="10"/>
        <v>3</v>
      </c>
      <c r="B7" s="36" t="s">
        <v>111</v>
      </c>
      <c r="C7" s="37">
        <v>32.0</v>
      </c>
      <c r="D7" s="37">
        <v>3.0</v>
      </c>
      <c r="E7" s="42">
        <f t="shared" si="2"/>
        <v>11.5</v>
      </c>
      <c r="F7" s="89">
        <v>3.0</v>
      </c>
      <c r="G7" s="90">
        <v>0.0</v>
      </c>
      <c r="H7" s="91">
        <v>9.0</v>
      </c>
      <c r="I7" s="90">
        <v>0.0</v>
      </c>
      <c r="J7" s="90">
        <v>0.0</v>
      </c>
      <c r="K7" s="90">
        <v>0.0</v>
      </c>
      <c r="L7" s="92">
        <v>9.0</v>
      </c>
      <c r="M7" s="90">
        <v>0.0</v>
      </c>
      <c r="N7" s="37">
        <f t="shared" ref="N7:O7" si="11">C7+L7</f>
        <v>41</v>
      </c>
      <c r="O7" s="37">
        <f t="shared" si="11"/>
        <v>3</v>
      </c>
      <c r="P7" s="50" t="s">
        <v>60</v>
      </c>
      <c r="Q7" s="50" t="s">
        <v>60</v>
      </c>
      <c r="R7" s="50" t="s">
        <v>60</v>
      </c>
      <c r="S7" s="51">
        <f t="shared" si="4"/>
        <v>2</v>
      </c>
      <c r="T7" s="52">
        <f t="shared" si="5"/>
        <v>0</v>
      </c>
      <c r="U7" s="52"/>
      <c r="V7" s="51">
        <f t="shared" si="6"/>
        <v>1</v>
      </c>
      <c r="W7" s="52">
        <f t="shared" si="7"/>
        <v>5</v>
      </c>
      <c r="X7" s="35">
        <f t="shared" si="12"/>
        <v>3</v>
      </c>
      <c r="Y7" s="35" t="str">
        <f t="shared" si="8"/>
        <v>N</v>
      </c>
      <c r="Z7" s="22" t="str">
        <f t="shared" si="9"/>
        <v/>
      </c>
    </row>
    <row r="8">
      <c r="A8" s="35">
        <f t="shared" si="10"/>
        <v>4</v>
      </c>
      <c r="B8" s="36" t="s">
        <v>115</v>
      </c>
      <c r="C8" s="37">
        <v>31.0</v>
      </c>
      <c r="D8" s="37">
        <v>3.0</v>
      </c>
      <c r="E8" s="42">
        <f t="shared" si="2"/>
        <v>9</v>
      </c>
      <c r="F8" s="89">
        <v>1.0</v>
      </c>
      <c r="G8" s="90">
        <v>1.0</v>
      </c>
      <c r="H8" s="91">
        <v>0.0</v>
      </c>
      <c r="I8" s="90">
        <v>6.0</v>
      </c>
      <c r="J8" s="90">
        <v>2.0</v>
      </c>
      <c r="K8" s="90">
        <v>6.0</v>
      </c>
      <c r="L8" s="92">
        <v>14.0</v>
      </c>
      <c r="M8" s="90">
        <v>2.0</v>
      </c>
      <c r="N8" s="37">
        <f t="shared" ref="N8:O8" si="13">C8+L8</f>
        <v>45</v>
      </c>
      <c r="O8" s="37">
        <f t="shared" si="13"/>
        <v>5</v>
      </c>
      <c r="P8" s="50" t="s">
        <v>60</v>
      </c>
      <c r="Q8" s="50" t="s">
        <v>60</v>
      </c>
      <c r="R8" s="50" t="s">
        <v>60</v>
      </c>
      <c r="S8" s="51">
        <f t="shared" si="4"/>
        <v>2</v>
      </c>
      <c r="T8" s="52">
        <f t="shared" si="5"/>
        <v>1</v>
      </c>
      <c r="U8" s="52"/>
      <c r="V8" s="51">
        <f t="shared" si="6"/>
        <v>0</v>
      </c>
      <c r="W8" s="52">
        <f t="shared" si="7"/>
        <v>-2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68</v>
      </c>
      <c r="C9" s="37">
        <v>30.0</v>
      </c>
      <c r="D9" s="37">
        <v>4.0</v>
      </c>
      <c r="E9" s="42">
        <f t="shared" si="2"/>
        <v>10</v>
      </c>
      <c r="F9" s="89">
        <v>1.0</v>
      </c>
      <c r="G9" s="90">
        <v>1.0</v>
      </c>
      <c r="H9" s="91">
        <v>0.0</v>
      </c>
      <c r="I9" s="90">
        <v>6.0</v>
      </c>
      <c r="J9" s="90">
        <v>6.0</v>
      </c>
      <c r="K9" s="90">
        <v>3.0</v>
      </c>
      <c r="L9" s="92">
        <v>15.0</v>
      </c>
      <c r="M9" s="90">
        <v>2.0</v>
      </c>
      <c r="N9" s="37">
        <f t="shared" ref="N9:O9" si="14">C9+L9</f>
        <v>45</v>
      </c>
      <c r="O9" s="37">
        <f t="shared" si="14"/>
        <v>6</v>
      </c>
      <c r="P9" s="50" t="s">
        <v>60</v>
      </c>
      <c r="Q9" s="50" t="s">
        <v>60</v>
      </c>
      <c r="R9" s="50" t="s">
        <v>60</v>
      </c>
      <c r="S9" s="51">
        <f t="shared" si="4"/>
        <v>3</v>
      </c>
      <c r="T9" s="52">
        <f t="shared" si="5"/>
        <v>0</v>
      </c>
      <c r="U9" s="52"/>
      <c r="V9" s="51">
        <f t="shared" si="6"/>
        <v>0</v>
      </c>
      <c r="W9" s="52">
        <f t="shared" si="7"/>
        <v>14</v>
      </c>
      <c r="X9" s="35">
        <f t="shared" si="12"/>
        <v>5</v>
      </c>
      <c r="Y9" s="35" t="str">
        <f t="shared" si="8"/>
        <v>Y</v>
      </c>
      <c r="Z9" s="22" t="str">
        <f t="shared" si="9"/>
        <v/>
      </c>
    </row>
    <row r="10">
      <c r="A10" s="35">
        <f t="shared" si="10"/>
        <v>6</v>
      </c>
      <c r="B10" s="36" t="s">
        <v>67</v>
      </c>
      <c r="C10" s="37">
        <v>30.0</v>
      </c>
      <c r="D10" s="37">
        <v>3.0</v>
      </c>
      <c r="E10" s="42">
        <f t="shared" si="2"/>
        <v>10</v>
      </c>
      <c r="F10" s="89">
        <v>1.0</v>
      </c>
      <c r="G10" s="90">
        <v>1.0</v>
      </c>
      <c r="H10" s="91">
        <v>0.0</v>
      </c>
      <c r="I10" s="90">
        <v>2.0</v>
      </c>
      <c r="J10" s="90">
        <v>2.0</v>
      </c>
      <c r="K10" s="90">
        <v>3.0</v>
      </c>
      <c r="L10" s="92">
        <v>7.0</v>
      </c>
      <c r="M10" s="90">
        <v>0.0</v>
      </c>
      <c r="N10" s="37">
        <f t="shared" ref="N10:O10" si="15">C10+L10</f>
        <v>37</v>
      </c>
      <c r="O10" s="37">
        <f t="shared" si="15"/>
        <v>3</v>
      </c>
      <c r="P10" s="50" t="s">
        <v>60</v>
      </c>
      <c r="Q10" s="50" t="s">
        <v>60</v>
      </c>
      <c r="R10" s="50" t="s">
        <v>60</v>
      </c>
      <c r="S10" s="51">
        <f t="shared" si="4"/>
        <v>3</v>
      </c>
      <c r="T10" s="52">
        <f t="shared" si="5"/>
        <v>0</v>
      </c>
      <c r="U10" s="52"/>
      <c r="V10" s="51">
        <f t="shared" si="6"/>
        <v>0</v>
      </c>
      <c r="W10" s="52">
        <f t="shared" si="7"/>
        <v>1</v>
      </c>
      <c r="X10" s="35">
        <f t="shared" si="12"/>
        <v>6</v>
      </c>
      <c r="Y10" s="35" t="str">
        <f t="shared" si="8"/>
        <v>Y</v>
      </c>
      <c r="Z10" s="22" t="str">
        <f t="shared" si="9"/>
        <v/>
      </c>
    </row>
    <row r="11">
      <c r="A11" s="35">
        <f t="shared" si="10"/>
        <v>7</v>
      </c>
      <c r="B11" s="36" t="s">
        <v>105</v>
      </c>
      <c r="C11" s="37">
        <v>29.0</v>
      </c>
      <c r="D11" s="37">
        <v>2.0</v>
      </c>
      <c r="E11" s="42">
        <f t="shared" si="2"/>
        <v>3</v>
      </c>
      <c r="F11" s="89">
        <v>5.0</v>
      </c>
      <c r="G11" s="90">
        <v>0.0</v>
      </c>
      <c r="H11" s="91">
        <v>13.0</v>
      </c>
      <c r="I11" s="90">
        <v>0.0</v>
      </c>
      <c r="J11" s="90">
        <v>0.0</v>
      </c>
      <c r="K11" s="90">
        <v>0.0</v>
      </c>
      <c r="L11" s="92">
        <v>13.0</v>
      </c>
      <c r="M11" s="90">
        <v>0.0</v>
      </c>
      <c r="N11" s="37">
        <f t="shared" ref="N11:O11" si="16">C11+L11</f>
        <v>42</v>
      </c>
      <c r="O11" s="37">
        <f t="shared" si="16"/>
        <v>2</v>
      </c>
      <c r="P11" s="50" t="s">
        <v>60</v>
      </c>
      <c r="Q11" s="50" t="s">
        <v>60</v>
      </c>
      <c r="R11" s="50" t="s">
        <v>60</v>
      </c>
      <c r="S11" s="51">
        <f t="shared" si="4"/>
        <v>1</v>
      </c>
      <c r="T11" s="52">
        <f t="shared" si="5"/>
        <v>2</v>
      </c>
      <c r="U11" s="52"/>
      <c r="V11" s="51">
        <f t="shared" si="6"/>
        <v>0</v>
      </c>
      <c r="W11" s="52">
        <f t="shared" si="7"/>
        <v>-2</v>
      </c>
      <c r="X11" s="35">
        <f t="shared" si="12"/>
        <v>7</v>
      </c>
      <c r="Y11" s="35" t="str">
        <f t="shared" si="8"/>
        <v>N</v>
      </c>
      <c r="Z11" s="22" t="str">
        <f t="shared" si="9"/>
        <v/>
      </c>
    </row>
    <row r="12">
      <c r="A12" s="35">
        <f t="shared" si="10"/>
        <v>8</v>
      </c>
      <c r="B12" s="36" t="s">
        <v>140</v>
      </c>
      <c r="C12" s="37">
        <v>28.0</v>
      </c>
      <c r="D12" s="37">
        <v>4.0</v>
      </c>
      <c r="E12" s="42">
        <f t="shared" si="2"/>
        <v>9.333333333</v>
      </c>
      <c r="F12" s="89">
        <v>1.0</v>
      </c>
      <c r="G12" s="90">
        <v>2.0</v>
      </c>
      <c r="H12" s="91">
        <v>0.0</v>
      </c>
      <c r="I12" s="90">
        <v>6.0</v>
      </c>
      <c r="J12" s="90">
        <v>6.0</v>
      </c>
      <c r="K12" s="90">
        <v>2.0</v>
      </c>
      <c r="L12" s="92">
        <v>14.0</v>
      </c>
      <c r="M12" s="90">
        <v>2.0</v>
      </c>
      <c r="N12" s="37">
        <f t="shared" ref="N12:O12" si="17">C12+L12</f>
        <v>42</v>
      </c>
      <c r="O12" s="37">
        <f t="shared" si="17"/>
        <v>6</v>
      </c>
      <c r="P12" s="50" t="s">
        <v>60</v>
      </c>
      <c r="Q12" s="50" t="s">
        <v>60</v>
      </c>
      <c r="R12" s="50" t="s">
        <v>60</v>
      </c>
      <c r="S12" s="51">
        <f t="shared" si="4"/>
        <v>3</v>
      </c>
      <c r="T12" s="52">
        <f t="shared" si="5"/>
        <v>0</v>
      </c>
      <c r="U12" s="52"/>
      <c r="V12" s="51">
        <f t="shared" si="6"/>
        <v>0</v>
      </c>
      <c r="W12" s="52">
        <f t="shared" si="7"/>
        <v>10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126</v>
      </c>
      <c r="C13" s="37">
        <v>28.0</v>
      </c>
      <c r="D13" s="37">
        <v>2.0</v>
      </c>
      <c r="E13" s="42">
        <f t="shared" si="2"/>
        <v>9.333333333</v>
      </c>
      <c r="F13" s="89">
        <v>1.0</v>
      </c>
      <c r="G13" s="90">
        <v>2.0</v>
      </c>
      <c r="H13" s="91">
        <v>0.0</v>
      </c>
      <c r="I13" s="90">
        <v>6.0</v>
      </c>
      <c r="J13" s="90">
        <v>2.0</v>
      </c>
      <c r="K13" s="90">
        <v>6.0</v>
      </c>
      <c r="L13" s="92">
        <v>14.0</v>
      </c>
      <c r="M13" s="90">
        <v>2.0</v>
      </c>
      <c r="N13" s="37">
        <f t="shared" ref="N13:O13" si="18">C13+L13</f>
        <v>42</v>
      </c>
      <c r="O13" s="37">
        <f t="shared" si="18"/>
        <v>4</v>
      </c>
      <c r="P13" s="50" t="s">
        <v>60</v>
      </c>
      <c r="Q13" s="50" t="s">
        <v>60</v>
      </c>
      <c r="R13" s="50" t="s">
        <v>60</v>
      </c>
      <c r="S13" s="51">
        <f t="shared" si="4"/>
        <v>3</v>
      </c>
      <c r="T13" s="52">
        <f t="shared" si="5"/>
        <v>0</v>
      </c>
      <c r="U13" s="52"/>
      <c r="V13" s="51">
        <f t="shared" si="6"/>
        <v>0</v>
      </c>
      <c r="W13" s="52">
        <f t="shared" si="7"/>
        <v>21</v>
      </c>
      <c r="X13" s="35">
        <f t="shared" si="12"/>
        <v>9</v>
      </c>
      <c r="Y13" s="35" t="str">
        <f t="shared" si="8"/>
        <v>Y</v>
      </c>
      <c r="Z13" s="22" t="str">
        <f t="shared" si="9"/>
        <v/>
      </c>
    </row>
    <row r="14">
      <c r="A14" s="35">
        <f t="shared" si="10"/>
        <v>10</v>
      </c>
      <c r="B14" s="36" t="s">
        <v>107</v>
      </c>
      <c r="C14" s="37">
        <v>28.0</v>
      </c>
      <c r="D14" s="37">
        <v>2.0</v>
      </c>
      <c r="E14" s="42">
        <f t="shared" si="2"/>
        <v>2</v>
      </c>
      <c r="F14" s="89">
        <v>5.0</v>
      </c>
      <c r="G14" s="90">
        <v>0.0</v>
      </c>
      <c r="H14" s="91">
        <v>13.0</v>
      </c>
      <c r="I14" s="90">
        <v>0.0</v>
      </c>
      <c r="J14" s="90">
        <v>0.0</v>
      </c>
      <c r="K14" s="90">
        <v>0.0</v>
      </c>
      <c r="L14" s="92">
        <v>13.0</v>
      </c>
      <c r="M14" s="90">
        <v>0.0</v>
      </c>
      <c r="N14" s="37">
        <f t="shared" ref="N14:O14" si="19">C14+L14</f>
        <v>41</v>
      </c>
      <c r="O14" s="37">
        <f t="shared" si="19"/>
        <v>2</v>
      </c>
      <c r="P14" s="50" t="s">
        <v>60</v>
      </c>
      <c r="Q14" s="50" t="s">
        <v>60</v>
      </c>
      <c r="R14" s="50" t="s">
        <v>60</v>
      </c>
      <c r="S14" s="51">
        <f t="shared" si="4"/>
        <v>1</v>
      </c>
      <c r="T14" s="52">
        <f t="shared" si="5"/>
        <v>2</v>
      </c>
      <c r="U14" s="52"/>
      <c r="V14" s="51">
        <f t="shared" si="6"/>
        <v>0</v>
      </c>
      <c r="W14" s="52">
        <f t="shared" si="7"/>
        <v>14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125</v>
      </c>
      <c r="C15" s="37">
        <v>28.0</v>
      </c>
      <c r="D15" s="37">
        <v>2.0</v>
      </c>
      <c r="E15" s="42">
        <f t="shared" si="2"/>
        <v>7.5</v>
      </c>
      <c r="F15" s="89">
        <v>1.0</v>
      </c>
      <c r="G15" s="90">
        <v>2.0</v>
      </c>
      <c r="H15" s="91">
        <v>0.0</v>
      </c>
      <c r="I15" s="90">
        <v>4.0</v>
      </c>
      <c r="J15" s="90">
        <v>2.0</v>
      </c>
      <c r="K15" s="90">
        <v>2.0</v>
      </c>
      <c r="L15" s="92">
        <v>8.0</v>
      </c>
      <c r="M15" s="90">
        <v>0.0</v>
      </c>
      <c r="N15" s="37">
        <f t="shared" ref="N15:O15" si="20">C15+L15</f>
        <v>36</v>
      </c>
      <c r="O15" s="37">
        <f t="shared" si="20"/>
        <v>2</v>
      </c>
      <c r="P15" s="50" t="s">
        <v>60</v>
      </c>
      <c r="Q15" s="50" t="s">
        <v>60</v>
      </c>
      <c r="R15" s="50" t="s">
        <v>60</v>
      </c>
      <c r="S15" s="51">
        <f t="shared" si="4"/>
        <v>2</v>
      </c>
      <c r="T15" s="52">
        <f t="shared" si="5"/>
        <v>1</v>
      </c>
      <c r="U15" s="52"/>
      <c r="V15" s="51">
        <f t="shared" si="6"/>
        <v>0</v>
      </c>
      <c r="W15" s="52">
        <f t="shared" si="7"/>
        <v>1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52</v>
      </c>
      <c r="C16" s="37">
        <v>28.0</v>
      </c>
      <c r="D16" s="37">
        <v>2.0</v>
      </c>
      <c r="E16" s="42">
        <f t="shared" si="2"/>
        <v>7.5</v>
      </c>
      <c r="F16" s="89">
        <v>1.0</v>
      </c>
      <c r="G16" s="90">
        <v>2.0</v>
      </c>
      <c r="H16" s="91">
        <v>0.0</v>
      </c>
      <c r="I16" s="90">
        <v>4.0</v>
      </c>
      <c r="J16" s="90">
        <v>6.0</v>
      </c>
      <c r="K16" s="90">
        <v>6.0</v>
      </c>
      <c r="L16" s="92">
        <v>16.0</v>
      </c>
      <c r="M16" s="90">
        <v>2.0</v>
      </c>
      <c r="N16" s="37">
        <f t="shared" ref="N16:O16" si="21">C16+L16</f>
        <v>44</v>
      </c>
      <c r="O16" s="37">
        <f t="shared" si="21"/>
        <v>4</v>
      </c>
      <c r="P16" s="50" t="s">
        <v>60</v>
      </c>
      <c r="Q16" s="50" t="s">
        <v>60</v>
      </c>
      <c r="R16" s="50" t="s">
        <v>60</v>
      </c>
      <c r="S16" s="51">
        <f t="shared" si="4"/>
        <v>2</v>
      </c>
      <c r="T16" s="52">
        <f t="shared" si="5"/>
        <v>1</v>
      </c>
      <c r="U16" s="52"/>
      <c r="V16" s="51">
        <f t="shared" si="6"/>
        <v>0</v>
      </c>
      <c r="W16" s="52">
        <f t="shared" si="7"/>
        <v>2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114</v>
      </c>
      <c r="C17" s="37">
        <v>27.0</v>
      </c>
      <c r="D17" s="37">
        <v>3.0</v>
      </c>
      <c r="E17" s="42">
        <f t="shared" si="2"/>
        <v>7</v>
      </c>
      <c r="F17" s="89">
        <v>5.0</v>
      </c>
      <c r="G17" s="90">
        <v>0.0</v>
      </c>
      <c r="H17" s="91">
        <v>13.0</v>
      </c>
      <c r="I17" s="90">
        <v>0.0</v>
      </c>
      <c r="J17" s="90">
        <v>0.0</v>
      </c>
      <c r="K17" s="90">
        <v>0.0</v>
      </c>
      <c r="L17" s="92">
        <v>13.0</v>
      </c>
      <c r="M17" s="90">
        <v>0.0</v>
      </c>
      <c r="N17" s="37">
        <f t="shared" ref="N17:O17" si="22">C17+L17</f>
        <v>40</v>
      </c>
      <c r="O17" s="37">
        <f t="shared" si="22"/>
        <v>3</v>
      </c>
      <c r="P17" s="50" t="s">
        <v>60</v>
      </c>
      <c r="Q17" s="50" t="s">
        <v>60</v>
      </c>
      <c r="R17" s="50" t="s">
        <v>60</v>
      </c>
      <c r="S17" s="51">
        <f t="shared" si="4"/>
        <v>2</v>
      </c>
      <c r="T17" s="52">
        <f t="shared" si="5"/>
        <v>1</v>
      </c>
      <c r="U17" s="52"/>
      <c r="V17" s="51">
        <f t="shared" si="6"/>
        <v>0</v>
      </c>
      <c r="W17" s="52">
        <f t="shared" si="7"/>
        <v>2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121</v>
      </c>
      <c r="C18" s="37">
        <v>27.0</v>
      </c>
      <c r="D18" s="37">
        <v>3.0</v>
      </c>
      <c r="E18" s="42">
        <f t="shared" si="2"/>
        <v>9</v>
      </c>
      <c r="F18" s="89">
        <v>3.0</v>
      </c>
      <c r="G18" s="90">
        <v>0.0</v>
      </c>
      <c r="H18" s="91">
        <v>9.0</v>
      </c>
      <c r="I18" s="90">
        <v>0.0</v>
      </c>
      <c r="J18" s="90">
        <v>0.0</v>
      </c>
      <c r="K18" s="90">
        <v>0.0</v>
      </c>
      <c r="L18" s="92">
        <v>9.0</v>
      </c>
      <c r="M18" s="90">
        <v>0.0</v>
      </c>
      <c r="N18" s="37">
        <f t="shared" ref="N18:O18" si="23">C18+L18</f>
        <v>36</v>
      </c>
      <c r="O18" s="37">
        <f t="shared" si="23"/>
        <v>3</v>
      </c>
      <c r="P18" s="50" t="s">
        <v>60</v>
      </c>
      <c r="Q18" s="50" t="s">
        <v>60</v>
      </c>
      <c r="R18" s="50" t="s">
        <v>60</v>
      </c>
      <c r="S18" s="51">
        <f t="shared" si="4"/>
        <v>1</v>
      </c>
      <c r="T18" s="52">
        <f t="shared" si="5"/>
        <v>0</v>
      </c>
      <c r="U18" s="52"/>
      <c r="V18" s="51">
        <f t="shared" si="6"/>
        <v>2</v>
      </c>
      <c r="W18" s="52">
        <f t="shared" si="7"/>
        <v>22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102</v>
      </c>
      <c r="C19" s="37">
        <v>27.0</v>
      </c>
      <c r="D19" s="37">
        <v>2.0</v>
      </c>
      <c r="E19" s="42">
        <f t="shared" si="2"/>
        <v>5</v>
      </c>
      <c r="F19" s="89">
        <v>3.0</v>
      </c>
      <c r="G19" s="90">
        <v>0.0</v>
      </c>
      <c r="H19" s="91">
        <v>9.0</v>
      </c>
      <c r="I19" s="90">
        <v>0.0</v>
      </c>
      <c r="J19" s="90">
        <v>0.0</v>
      </c>
      <c r="K19" s="90">
        <v>0.0</v>
      </c>
      <c r="L19" s="92">
        <v>9.0</v>
      </c>
      <c r="M19" s="90">
        <v>0.0</v>
      </c>
      <c r="N19" s="37">
        <f t="shared" ref="N19:O19" si="24">C19+L19</f>
        <v>36</v>
      </c>
      <c r="O19" s="37">
        <f t="shared" si="24"/>
        <v>2</v>
      </c>
      <c r="P19" s="50" t="s">
        <v>60</v>
      </c>
      <c r="Q19" s="50" t="s">
        <v>60</v>
      </c>
      <c r="R19" s="50" t="s">
        <v>60</v>
      </c>
      <c r="S19" s="51">
        <f t="shared" si="4"/>
        <v>1</v>
      </c>
      <c r="T19" s="52">
        <f t="shared" si="5"/>
        <v>1</v>
      </c>
      <c r="U19" s="52"/>
      <c r="V19" s="51">
        <f t="shared" si="6"/>
        <v>1</v>
      </c>
      <c r="W19" s="52">
        <f t="shared" si="7"/>
        <v>6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80</v>
      </c>
      <c r="C20" s="37">
        <v>27.0</v>
      </c>
      <c r="D20" s="37">
        <v>2.0</v>
      </c>
      <c r="E20" s="42">
        <f t="shared" si="2"/>
        <v>9</v>
      </c>
      <c r="F20" s="89">
        <v>1.0</v>
      </c>
      <c r="G20" s="90">
        <v>3.0</v>
      </c>
      <c r="H20" s="91">
        <v>0.0</v>
      </c>
      <c r="I20" s="90">
        <v>6.0</v>
      </c>
      <c r="J20" s="90">
        <v>6.0</v>
      </c>
      <c r="K20" s="90">
        <v>6.0</v>
      </c>
      <c r="L20" s="92">
        <v>18.0</v>
      </c>
      <c r="M20" s="90">
        <v>2.0</v>
      </c>
      <c r="N20" s="37">
        <f t="shared" ref="N20:O20" si="25">C20+L20</f>
        <v>45</v>
      </c>
      <c r="O20" s="37">
        <f t="shared" si="25"/>
        <v>4</v>
      </c>
      <c r="P20" s="50" t="s">
        <v>60</v>
      </c>
      <c r="Q20" s="50" t="s">
        <v>60</v>
      </c>
      <c r="R20" s="50" t="s">
        <v>60</v>
      </c>
      <c r="S20" s="51">
        <f t="shared" si="4"/>
        <v>2</v>
      </c>
      <c r="T20" s="52">
        <f t="shared" si="5"/>
        <v>0</v>
      </c>
      <c r="U20" s="52"/>
      <c r="V20" s="51">
        <f t="shared" si="6"/>
        <v>1</v>
      </c>
      <c r="W20" s="52">
        <f t="shared" si="7"/>
        <v>31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142</v>
      </c>
      <c r="C21" s="37">
        <v>27.0</v>
      </c>
      <c r="D21" s="37">
        <v>2.0</v>
      </c>
      <c r="E21" s="42">
        <f t="shared" si="2"/>
        <v>9</v>
      </c>
      <c r="F21" s="89">
        <v>3.0</v>
      </c>
      <c r="G21" s="90">
        <v>0.0</v>
      </c>
      <c r="H21" s="91">
        <v>9.0</v>
      </c>
      <c r="I21" s="90">
        <v>0.0</v>
      </c>
      <c r="J21" s="90">
        <v>0.0</v>
      </c>
      <c r="K21" s="90">
        <v>0.0</v>
      </c>
      <c r="L21" s="92">
        <v>9.0</v>
      </c>
      <c r="M21" s="90">
        <v>0.0</v>
      </c>
      <c r="N21" s="37">
        <f t="shared" ref="N21:O21" si="26">C21+L21</f>
        <v>36</v>
      </c>
      <c r="O21" s="37">
        <f t="shared" si="26"/>
        <v>2</v>
      </c>
      <c r="P21" s="50" t="s">
        <v>60</v>
      </c>
      <c r="Q21" s="50" t="s">
        <v>60</v>
      </c>
      <c r="R21" s="50" t="s">
        <v>60</v>
      </c>
      <c r="S21" s="51">
        <f t="shared" si="4"/>
        <v>1</v>
      </c>
      <c r="T21" s="52">
        <f t="shared" si="5"/>
        <v>0</v>
      </c>
      <c r="U21" s="52"/>
      <c r="V21" s="51">
        <f t="shared" si="6"/>
        <v>2</v>
      </c>
      <c r="W21" s="52">
        <f t="shared" si="7"/>
        <v>39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118</v>
      </c>
      <c r="C22" s="37">
        <v>26.0</v>
      </c>
      <c r="D22" s="37">
        <v>3.0</v>
      </c>
      <c r="E22" s="42">
        <f t="shared" si="2"/>
        <v>8.666666667</v>
      </c>
      <c r="F22" s="89">
        <v>1.0</v>
      </c>
      <c r="G22" s="90">
        <v>3.0</v>
      </c>
      <c r="H22" s="91">
        <v>0.0</v>
      </c>
      <c r="I22" s="90">
        <v>6.0</v>
      </c>
      <c r="J22" s="90">
        <v>0.0</v>
      </c>
      <c r="K22" s="90">
        <v>7.0</v>
      </c>
      <c r="L22" s="92">
        <v>13.0</v>
      </c>
      <c r="M22" s="90">
        <v>2.0</v>
      </c>
      <c r="N22" s="37">
        <f t="shared" ref="N22:O22" si="27">C22+L22</f>
        <v>39</v>
      </c>
      <c r="O22" s="37">
        <f t="shared" si="27"/>
        <v>5</v>
      </c>
      <c r="P22" s="50" t="s">
        <v>60</v>
      </c>
      <c r="Q22" s="50" t="s">
        <v>60</v>
      </c>
      <c r="R22" s="50" t="s">
        <v>60</v>
      </c>
      <c r="S22" s="51">
        <f t="shared" si="4"/>
        <v>3</v>
      </c>
      <c r="T22" s="52">
        <f t="shared" si="5"/>
        <v>0</v>
      </c>
      <c r="U22" s="52"/>
      <c r="V22" s="51">
        <f t="shared" si="6"/>
        <v>0</v>
      </c>
      <c r="W22" s="52">
        <f t="shared" si="7"/>
        <v>-15</v>
      </c>
      <c r="X22" s="35">
        <f t="shared" si="12"/>
        <v>18</v>
      </c>
      <c r="Y22" s="35" t="str">
        <f t="shared" si="8"/>
        <v>Y</v>
      </c>
      <c r="Z22" s="22" t="str">
        <f t="shared" si="9"/>
        <v/>
      </c>
    </row>
    <row r="23">
      <c r="A23" s="35">
        <f t="shared" si="10"/>
        <v>19</v>
      </c>
      <c r="B23" s="36" t="s">
        <v>141</v>
      </c>
      <c r="C23" s="37">
        <v>26.0</v>
      </c>
      <c r="D23" s="37">
        <v>2.0</v>
      </c>
      <c r="E23" s="42">
        <f t="shared" si="2"/>
        <v>6.5</v>
      </c>
      <c r="F23" s="89">
        <v>1.0</v>
      </c>
      <c r="G23" s="90">
        <v>3.0</v>
      </c>
      <c r="H23" s="91">
        <v>0.0</v>
      </c>
      <c r="I23" s="90">
        <v>3.0</v>
      </c>
      <c r="J23" s="90">
        <v>0.0</v>
      </c>
      <c r="K23" s="90">
        <v>6.0</v>
      </c>
      <c r="L23" s="92">
        <v>9.0</v>
      </c>
      <c r="M23" s="90">
        <v>0.0</v>
      </c>
      <c r="N23" s="37">
        <f t="shared" ref="N23:O23" si="28">C23+L23</f>
        <v>35</v>
      </c>
      <c r="O23" s="37">
        <f t="shared" si="28"/>
        <v>2</v>
      </c>
      <c r="P23" s="50" t="s">
        <v>60</v>
      </c>
      <c r="Q23" s="50" t="s">
        <v>60</v>
      </c>
      <c r="R23" s="50" t="s">
        <v>60</v>
      </c>
      <c r="S23" s="51">
        <f t="shared" si="4"/>
        <v>2</v>
      </c>
      <c r="T23" s="52">
        <f t="shared" si="5"/>
        <v>1</v>
      </c>
      <c r="U23" s="52"/>
      <c r="V23" s="51">
        <f t="shared" si="6"/>
        <v>0</v>
      </c>
      <c r="W23" s="52">
        <f t="shared" si="7"/>
        <v>1</v>
      </c>
      <c r="X23" s="35">
        <f t="shared" si="12"/>
        <v>19</v>
      </c>
      <c r="Y23" s="35" t="str">
        <f t="shared" si="8"/>
        <v>N</v>
      </c>
      <c r="Z23" s="22" t="str">
        <f t="shared" si="9"/>
        <v/>
      </c>
    </row>
    <row r="24">
      <c r="A24" s="35">
        <f t="shared" si="10"/>
        <v>20</v>
      </c>
      <c r="B24" s="36" t="s">
        <v>81</v>
      </c>
      <c r="C24" s="37">
        <v>25.0</v>
      </c>
      <c r="D24" s="37">
        <v>2.0</v>
      </c>
      <c r="E24" s="42">
        <f t="shared" si="2"/>
        <v>8</v>
      </c>
      <c r="F24" s="89">
        <v>1.0</v>
      </c>
      <c r="G24" s="90">
        <v>3.0</v>
      </c>
      <c r="H24" s="91">
        <v>0.0</v>
      </c>
      <c r="I24" s="90">
        <v>3.0</v>
      </c>
      <c r="J24" s="90">
        <v>6.0</v>
      </c>
      <c r="K24" s="90">
        <v>7.0</v>
      </c>
      <c r="L24" s="92">
        <v>16.0</v>
      </c>
      <c r="M24" s="90">
        <v>2.0</v>
      </c>
      <c r="N24" s="37">
        <f t="shared" ref="N24:O24" si="29">C24+L24</f>
        <v>41</v>
      </c>
      <c r="O24" s="37">
        <f t="shared" si="29"/>
        <v>4</v>
      </c>
      <c r="P24" s="50" t="s">
        <v>60</v>
      </c>
      <c r="Q24" s="50" t="s">
        <v>60</v>
      </c>
      <c r="R24" s="50" t="s">
        <v>60</v>
      </c>
      <c r="S24" s="51">
        <f t="shared" si="4"/>
        <v>2</v>
      </c>
      <c r="T24" s="52">
        <f t="shared" si="5"/>
        <v>0</v>
      </c>
      <c r="U24" s="52"/>
      <c r="V24" s="51">
        <f t="shared" si="6"/>
        <v>1</v>
      </c>
      <c r="W24" s="52">
        <f t="shared" si="7"/>
        <v>-10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87</v>
      </c>
      <c r="C25" s="37">
        <v>25.0</v>
      </c>
      <c r="D25" s="37">
        <v>1.0</v>
      </c>
      <c r="E25" s="42">
        <f t="shared" si="2"/>
        <v>6</v>
      </c>
      <c r="F25" s="89">
        <v>1.0</v>
      </c>
      <c r="G25" s="90">
        <v>4.0</v>
      </c>
      <c r="H25" s="91">
        <v>0.0</v>
      </c>
      <c r="I25" s="90">
        <v>4.0</v>
      </c>
      <c r="J25" s="90">
        <v>6.0</v>
      </c>
      <c r="K25" s="90">
        <v>6.0</v>
      </c>
      <c r="L25" s="92">
        <v>16.0</v>
      </c>
      <c r="M25" s="90">
        <v>2.0</v>
      </c>
      <c r="N25" s="37">
        <f t="shared" ref="N25:O25" si="30">C25+L25</f>
        <v>41</v>
      </c>
      <c r="O25" s="37">
        <f t="shared" si="30"/>
        <v>3</v>
      </c>
      <c r="P25" s="50" t="s">
        <v>60</v>
      </c>
      <c r="Q25" s="50" t="s">
        <v>60</v>
      </c>
      <c r="R25" s="50" t="s">
        <v>60</v>
      </c>
      <c r="S25" s="51">
        <f t="shared" si="4"/>
        <v>2</v>
      </c>
      <c r="T25" s="52">
        <f t="shared" si="5"/>
        <v>1</v>
      </c>
      <c r="U25" s="52"/>
      <c r="V25" s="51">
        <f t="shared" si="6"/>
        <v>0</v>
      </c>
      <c r="W25" s="52">
        <f t="shared" si="7"/>
        <v>5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88</v>
      </c>
      <c r="C26" s="37">
        <v>25.0</v>
      </c>
      <c r="D26" s="37">
        <v>1.0</v>
      </c>
      <c r="E26" s="42">
        <f t="shared" si="2"/>
        <v>6</v>
      </c>
      <c r="F26" s="89">
        <v>1.0</v>
      </c>
      <c r="G26" s="90">
        <v>4.0</v>
      </c>
      <c r="H26" s="91">
        <v>0.0</v>
      </c>
      <c r="I26" s="90">
        <v>6.0</v>
      </c>
      <c r="J26" s="90">
        <v>4.0</v>
      </c>
      <c r="K26" s="90">
        <v>6.0</v>
      </c>
      <c r="L26" s="92">
        <v>16.0</v>
      </c>
      <c r="M26" s="90">
        <v>2.0</v>
      </c>
      <c r="N26" s="37">
        <f t="shared" ref="N26:O26" si="31">C26+L26</f>
        <v>41</v>
      </c>
      <c r="O26" s="37">
        <f t="shared" si="31"/>
        <v>3</v>
      </c>
      <c r="P26" s="50" t="s">
        <v>60</v>
      </c>
      <c r="Q26" s="50" t="s">
        <v>60</v>
      </c>
      <c r="R26" s="50" t="s">
        <v>60</v>
      </c>
      <c r="S26" s="51">
        <f t="shared" si="4"/>
        <v>2</v>
      </c>
      <c r="T26" s="52">
        <f t="shared" si="5"/>
        <v>1</v>
      </c>
      <c r="U26" s="52"/>
      <c r="V26" s="51">
        <f t="shared" si="6"/>
        <v>0</v>
      </c>
      <c r="W26" s="52">
        <f t="shared" si="7"/>
        <v>5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108</v>
      </c>
      <c r="C27" s="37">
        <v>25.0</v>
      </c>
      <c r="D27" s="37">
        <v>0.0</v>
      </c>
      <c r="E27" s="42">
        <f t="shared" si="2"/>
        <v>6</v>
      </c>
      <c r="F27" s="89">
        <v>1.0</v>
      </c>
      <c r="G27" s="90">
        <v>4.0</v>
      </c>
      <c r="H27" s="91">
        <v>0.0</v>
      </c>
      <c r="I27" s="90">
        <v>6.0</v>
      </c>
      <c r="J27" s="90">
        <v>6.0</v>
      </c>
      <c r="K27" s="90">
        <v>3.0</v>
      </c>
      <c r="L27" s="92">
        <v>15.0</v>
      </c>
      <c r="M27" s="90">
        <v>2.0</v>
      </c>
      <c r="N27" s="37">
        <f t="shared" ref="N27:O27" si="32">C27+L27</f>
        <v>40</v>
      </c>
      <c r="O27" s="37">
        <f t="shared" si="32"/>
        <v>2</v>
      </c>
      <c r="P27" s="50" t="s">
        <v>60</v>
      </c>
      <c r="Q27" s="50" t="s">
        <v>60</v>
      </c>
      <c r="R27" s="50" t="s">
        <v>60</v>
      </c>
      <c r="S27" s="51">
        <f t="shared" si="4"/>
        <v>2</v>
      </c>
      <c r="T27" s="52">
        <f t="shared" si="5"/>
        <v>1</v>
      </c>
      <c r="U27" s="52"/>
      <c r="V27" s="51">
        <f t="shared" si="6"/>
        <v>0</v>
      </c>
      <c r="W27" s="52">
        <f t="shared" si="7"/>
        <v>5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98</v>
      </c>
      <c r="C28" s="37">
        <v>24.0</v>
      </c>
      <c r="D28" s="37">
        <v>3.0</v>
      </c>
      <c r="E28" s="42">
        <f t="shared" si="2"/>
        <v>8</v>
      </c>
      <c r="F28" s="89">
        <v>1.0</v>
      </c>
      <c r="G28" s="90">
        <v>4.0</v>
      </c>
      <c r="H28" s="91">
        <v>0.0</v>
      </c>
      <c r="I28" s="90">
        <v>4.0</v>
      </c>
      <c r="J28" s="90">
        <v>4.0</v>
      </c>
      <c r="K28" s="90">
        <v>3.0</v>
      </c>
      <c r="L28" s="92">
        <v>11.0</v>
      </c>
      <c r="M28" s="90">
        <v>0.0</v>
      </c>
      <c r="N28" s="37">
        <f t="shared" ref="N28:O28" si="33">C28+L28</f>
        <v>35</v>
      </c>
      <c r="O28" s="37">
        <f t="shared" si="33"/>
        <v>3</v>
      </c>
      <c r="P28" s="50" t="s">
        <v>60</v>
      </c>
      <c r="Q28" s="50" t="s">
        <v>60</v>
      </c>
      <c r="R28" s="50" t="s">
        <v>60</v>
      </c>
      <c r="S28" s="51">
        <f t="shared" si="4"/>
        <v>3</v>
      </c>
      <c r="T28" s="52">
        <f t="shared" si="5"/>
        <v>0</v>
      </c>
      <c r="U28" s="52"/>
      <c r="V28" s="51">
        <f t="shared" si="6"/>
        <v>0</v>
      </c>
      <c r="W28" s="52">
        <f t="shared" si="7"/>
        <v>-18</v>
      </c>
      <c r="X28" s="35">
        <f t="shared" si="12"/>
        <v>24</v>
      </c>
      <c r="Y28" s="35" t="str">
        <f t="shared" si="8"/>
        <v>Y</v>
      </c>
      <c r="Z28" s="22" t="str">
        <f t="shared" si="9"/>
        <v/>
      </c>
    </row>
    <row r="29">
      <c r="A29" s="35">
        <f t="shared" si="10"/>
        <v>25</v>
      </c>
      <c r="B29" s="36" t="s">
        <v>135</v>
      </c>
      <c r="C29" s="37">
        <v>24.0</v>
      </c>
      <c r="D29" s="37">
        <v>3.0</v>
      </c>
      <c r="E29" s="42">
        <f t="shared" si="2"/>
        <v>8</v>
      </c>
      <c r="F29" s="89">
        <v>1.0</v>
      </c>
      <c r="G29" s="90">
        <v>5.0</v>
      </c>
      <c r="H29" s="91">
        <v>0.0</v>
      </c>
      <c r="I29" s="90">
        <v>6.0</v>
      </c>
      <c r="J29" s="90">
        <v>6.0</v>
      </c>
      <c r="K29" s="90">
        <v>3.0</v>
      </c>
      <c r="L29" s="92">
        <v>15.0</v>
      </c>
      <c r="M29" s="90">
        <v>2.0</v>
      </c>
      <c r="N29" s="37">
        <f t="shared" ref="N29:O29" si="34">C29+L29</f>
        <v>39</v>
      </c>
      <c r="O29" s="37">
        <f t="shared" si="34"/>
        <v>5</v>
      </c>
      <c r="P29" s="50" t="s">
        <v>60</v>
      </c>
      <c r="Q29" s="50" t="s">
        <v>60</v>
      </c>
      <c r="R29" s="50" t="s">
        <v>60</v>
      </c>
      <c r="S29" s="51">
        <f t="shared" si="4"/>
        <v>3</v>
      </c>
      <c r="T29" s="52">
        <f t="shared" si="5"/>
        <v>0</v>
      </c>
      <c r="U29" s="52"/>
      <c r="V29" s="51">
        <f t="shared" si="6"/>
        <v>0</v>
      </c>
      <c r="W29" s="52">
        <f t="shared" si="7"/>
        <v>6</v>
      </c>
      <c r="X29" s="35">
        <f t="shared" si="12"/>
        <v>25</v>
      </c>
      <c r="Y29" s="35" t="str">
        <f t="shared" si="8"/>
        <v>Y</v>
      </c>
      <c r="Z29" s="22" t="str">
        <f t="shared" si="9"/>
        <v/>
      </c>
    </row>
    <row r="30">
      <c r="A30" s="35">
        <f t="shared" si="10"/>
        <v>26</v>
      </c>
      <c r="B30" s="36" t="s">
        <v>144</v>
      </c>
      <c r="C30" s="37">
        <v>24.0</v>
      </c>
      <c r="D30" s="37">
        <v>2.0</v>
      </c>
      <c r="E30" s="42">
        <f t="shared" si="2"/>
        <v>2</v>
      </c>
      <c r="F30" s="89">
        <v>5.0</v>
      </c>
      <c r="G30" s="90">
        <v>0.0</v>
      </c>
      <c r="H30" s="91">
        <v>13.0</v>
      </c>
      <c r="I30" s="90">
        <v>0.0</v>
      </c>
      <c r="J30" s="90">
        <v>0.0</v>
      </c>
      <c r="K30" s="90">
        <v>0.0</v>
      </c>
      <c r="L30" s="92">
        <v>13.0</v>
      </c>
      <c r="M30" s="90">
        <v>0.0</v>
      </c>
      <c r="N30" s="37">
        <f t="shared" ref="N30:O30" si="35">C30+L30</f>
        <v>37</v>
      </c>
      <c r="O30" s="37">
        <f t="shared" si="35"/>
        <v>2</v>
      </c>
      <c r="P30" s="50" t="s">
        <v>60</v>
      </c>
      <c r="Q30" s="50" t="s">
        <v>60</v>
      </c>
      <c r="R30" s="50" t="s">
        <v>60</v>
      </c>
      <c r="S30" s="51">
        <f t="shared" si="4"/>
        <v>1</v>
      </c>
      <c r="T30" s="52">
        <f t="shared" si="5"/>
        <v>1</v>
      </c>
      <c r="U30" s="52"/>
      <c r="V30" s="51">
        <f t="shared" si="6"/>
        <v>1</v>
      </c>
      <c r="W30" s="52">
        <f t="shared" si="7"/>
        <v>-15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89</v>
      </c>
      <c r="C31" s="37">
        <v>24.0</v>
      </c>
      <c r="D31" s="37">
        <v>2.0</v>
      </c>
      <c r="E31" s="42">
        <f t="shared" si="2"/>
        <v>6</v>
      </c>
      <c r="F31" s="89">
        <v>3.0</v>
      </c>
      <c r="G31" s="90">
        <v>0.0</v>
      </c>
      <c r="H31" s="91">
        <v>9.0</v>
      </c>
      <c r="I31" s="90">
        <v>0.0</v>
      </c>
      <c r="J31" s="90">
        <v>0.0</v>
      </c>
      <c r="K31" s="90">
        <v>0.0</v>
      </c>
      <c r="L31" s="92">
        <v>9.0</v>
      </c>
      <c r="M31" s="90">
        <v>0.0</v>
      </c>
      <c r="N31" s="37">
        <f t="shared" ref="N31:O31" si="36">C31+L31</f>
        <v>33</v>
      </c>
      <c r="O31" s="37">
        <f t="shared" si="36"/>
        <v>2</v>
      </c>
      <c r="P31" s="50" t="s">
        <v>60</v>
      </c>
      <c r="Q31" s="50" t="s">
        <v>60</v>
      </c>
      <c r="R31" s="50" t="s">
        <v>60</v>
      </c>
      <c r="S31" s="51">
        <f t="shared" si="4"/>
        <v>1</v>
      </c>
      <c r="T31" s="52">
        <f t="shared" si="5"/>
        <v>0</v>
      </c>
      <c r="U31" s="52"/>
      <c r="V31" s="51">
        <f t="shared" si="6"/>
        <v>2</v>
      </c>
      <c r="W31" s="52">
        <f t="shared" si="7"/>
        <v>-14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94</v>
      </c>
      <c r="C32" s="37">
        <v>24.0</v>
      </c>
      <c r="D32" s="37">
        <v>2.0</v>
      </c>
      <c r="E32" s="42">
        <f t="shared" si="2"/>
        <v>5.5</v>
      </c>
      <c r="F32" s="89">
        <v>5.0</v>
      </c>
      <c r="G32" s="90">
        <v>0.0</v>
      </c>
      <c r="H32" s="91">
        <v>13.0</v>
      </c>
      <c r="I32" s="90">
        <v>0.0</v>
      </c>
      <c r="J32" s="90">
        <v>0.0</v>
      </c>
      <c r="K32" s="90">
        <v>0.0</v>
      </c>
      <c r="L32" s="92">
        <v>13.0</v>
      </c>
      <c r="M32" s="90">
        <v>0.0</v>
      </c>
      <c r="N32" s="37">
        <f t="shared" ref="N32:O32" si="37">C32+L32</f>
        <v>37</v>
      </c>
      <c r="O32" s="37">
        <f t="shared" si="37"/>
        <v>2</v>
      </c>
      <c r="P32" s="50" t="s">
        <v>60</v>
      </c>
      <c r="Q32" s="50" t="s">
        <v>60</v>
      </c>
      <c r="R32" s="50" t="s">
        <v>60</v>
      </c>
      <c r="S32" s="51">
        <f t="shared" si="4"/>
        <v>2</v>
      </c>
      <c r="T32" s="52">
        <f t="shared" si="5"/>
        <v>1</v>
      </c>
      <c r="U32" s="52"/>
      <c r="V32" s="51">
        <f t="shared" si="6"/>
        <v>0</v>
      </c>
      <c r="W32" s="52">
        <f t="shared" si="7"/>
        <v>33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130</v>
      </c>
      <c r="C33" s="37">
        <v>24.0</v>
      </c>
      <c r="D33" s="37">
        <v>2.0</v>
      </c>
      <c r="E33" s="42">
        <f t="shared" si="2"/>
        <v>7.5</v>
      </c>
      <c r="F33" s="89">
        <v>1.0</v>
      </c>
      <c r="G33" s="90">
        <v>5.0</v>
      </c>
      <c r="H33" s="91">
        <v>0.0</v>
      </c>
      <c r="I33" s="90">
        <v>6.0</v>
      </c>
      <c r="J33" s="90">
        <v>1.0</v>
      </c>
      <c r="K33" s="90">
        <v>6.0</v>
      </c>
      <c r="L33" s="92">
        <v>13.0</v>
      </c>
      <c r="M33" s="90">
        <v>2.0</v>
      </c>
      <c r="N33" s="37">
        <f t="shared" ref="N33:O33" si="38">C33+L33</f>
        <v>37</v>
      </c>
      <c r="O33" s="37">
        <f t="shared" si="38"/>
        <v>4</v>
      </c>
      <c r="P33" s="50" t="s">
        <v>60</v>
      </c>
      <c r="Q33" s="50" t="s">
        <v>60</v>
      </c>
      <c r="R33" s="50" t="s">
        <v>60</v>
      </c>
      <c r="S33" s="51">
        <f t="shared" si="4"/>
        <v>2</v>
      </c>
      <c r="T33" s="52">
        <f t="shared" si="5"/>
        <v>0</v>
      </c>
      <c r="U33" s="52"/>
      <c r="V33" s="51">
        <f t="shared" si="6"/>
        <v>1</v>
      </c>
      <c r="W33" s="52">
        <f t="shared" si="7"/>
        <v>20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91</v>
      </c>
      <c r="C34" s="37">
        <v>24.0</v>
      </c>
      <c r="D34" s="37">
        <v>2.0</v>
      </c>
      <c r="E34" s="42">
        <f t="shared" si="2"/>
        <v>7.5</v>
      </c>
      <c r="F34" s="89">
        <v>1.0</v>
      </c>
      <c r="G34" s="90">
        <v>5.0</v>
      </c>
      <c r="H34" s="91">
        <v>0.0</v>
      </c>
      <c r="I34" s="90">
        <v>4.0</v>
      </c>
      <c r="J34" s="90">
        <v>6.0</v>
      </c>
      <c r="K34" s="90">
        <v>6.0</v>
      </c>
      <c r="L34" s="92">
        <v>16.0</v>
      </c>
      <c r="M34" s="90">
        <v>2.0</v>
      </c>
      <c r="N34" s="37">
        <f t="shared" ref="N34:O34" si="39">C34+L34</f>
        <v>40</v>
      </c>
      <c r="O34" s="37">
        <f t="shared" si="39"/>
        <v>4</v>
      </c>
      <c r="P34" s="50" t="s">
        <v>60</v>
      </c>
      <c r="Q34" s="50" t="s">
        <v>60</v>
      </c>
      <c r="R34" s="50" t="s">
        <v>60</v>
      </c>
      <c r="S34" s="51">
        <f t="shared" si="4"/>
        <v>2</v>
      </c>
      <c r="T34" s="52">
        <f t="shared" si="5"/>
        <v>0</v>
      </c>
      <c r="U34" s="52"/>
      <c r="V34" s="51">
        <f t="shared" si="6"/>
        <v>1</v>
      </c>
      <c r="W34" s="52">
        <f t="shared" si="7"/>
        <v>27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101</v>
      </c>
      <c r="C35" s="37">
        <v>23.0</v>
      </c>
      <c r="D35" s="37">
        <v>3.0</v>
      </c>
      <c r="E35" s="42">
        <f t="shared" si="2"/>
        <v>7.666666667</v>
      </c>
      <c r="F35" s="89">
        <v>1.0</v>
      </c>
      <c r="G35" s="90">
        <v>5.0</v>
      </c>
      <c r="H35" s="91">
        <v>0.0</v>
      </c>
      <c r="I35" s="90">
        <v>4.0</v>
      </c>
      <c r="J35" s="90">
        <v>1.0</v>
      </c>
      <c r="K35" s="90">
        <v>3.0</v>
      </c>
      <c r="L35" s="92">
        <v>8.0</v>
      </c>
      <c r="M35" s="90">
        <v>0.0</v>
      </c>
      <c r="N35" s="37">
        <f t="shared" ref="N35:O35" si="40">C35+L35</f>
        <v>31</v>
      </c>
      <c r="O35" s="37">
        <f t="shared" si="40"/>
        <v>3</v>
      </c>
      <c r="P35" s="50" t="s">
        <v>60</v>
      </c>
      <c r="Q35" s="50" t="s">
        <v>60</v>
      </c>
      <c r="R35" s="50" t="s">
        <v>60</v>
      </c>
      <c r="S35" s="51">
        <f t="shared" si="4"/>
        <v>3</v>
      </c>
      <c r="T35" s="52">
        <f t="shared" si="5"/>
        <v>0</v>
      </c>
      <c r="U35" s="52"/>
      <c r="V35" s="51">
        <f t="shared" si="6"/>
        <v>0</v>
      </c>
      <c r="W35" s="52">
        <f t="shared" si="7"/>
        <v>-27</v>
      </c>
      <c r="X35" s="35">
        <f t="shared" si="12"/>
        <v>31</v>
      </c>
      <c r="Y35" s="35" t="str">
        <f t="shared" si="8"/>
        <v>Y</v>
      </c>
      <c r="Z35" s="22" t="str">
        <f t="shared" si="9"/>
        <v/>
      </c>
    </row>
    <row r="36">
      <c r="A36" s="35">
        <f t="shared" si="10"/>
        <v>32</v>
      </c>
      <c r="B36" s="36" t="s">
        <v>136</v>
      </c>
      <c r="C36" s="37">
        <v>23.0</v>
      </c>
      <c r="D36" s="37">
        <v>2.0</v>
      </c>
      <c r="E36" s="42">
        <f t="shared" si="2"/>
        <v>7</v>
      </c>
      <c r="F36" s="89">
        <v>1.0</v>
      </c>
      <c r="G36" s="90">
        <v>6.0</v>
      </c>
      <c r="H36" s="91">
        <v>0.0</v>
      </c>
      <c r="I36" s="90">
        <v>6.0</v>
      </c>
      <c r="J36" s="90">
        <v>2.0</v>
      </c>
      <c r="K36" s="90">
        <v>1.0</v>
      </c>
      <c r="L36" s="92">
        <v>9.0</v>
      </c>
      <c r="M36" s="90">
        <v>1.0</v>
      </c>
      <c r="N36" s="37">
        <f t="shared" ref="N36:O36" si="41">C36+L36</f>
        <v>32</v>
      </c>
      <c r="O36" s="37">
        <f t="shared" si="41"/>
        <v>3</v>
      </c>
      <c r="P36" s="50" t="s">
        <v>60</v>
      </c>
      <c r="Q36" s="50" t="s">
        <v>60</v>
      </c>
      <c r="R36" s="50" t="s">
        <v>60</v>
      </c>
      <c r="S36" s="51">
        <f t="shared" si="4"/>
        <v>2</v>
      </c>
      <c r="T36" s="52">
        <f t="shared" si="5"/>
        <v>0</v>
      </c>
      <c r="U36" s="52"/>
      <c r="V36" s="51">
        <f t="shared" si="6"/>
        <v>1</v>
      </c>
      <c r="W36" s="52">
        <f t="shared" si="7"/>
        <v>-16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127</v>
      </c>
      <c r="C37" s="37">
        <v>23.0</v>
      </c>
      <c r="D37" s="37">
        <v>1.0</v>
      </c>
      <c r="E37" s="42">
        <f t="shared" si="2"/>
        <v>5</v>
      </c>
      <c r="F37" s="89">
        <v>1.0</v>
      </c>
      <c r="G37" s="90">
        <v>6.0</v>
      </c>
      <c r="H37" s="91">
        <v>0.0</v>
      </c>
      <c r="I37" s="90">
        <v>3.0</v>
      </c>
      <c r="J37" s="90">
        <v>2.0</v>
      </c>
      <c r="K37" s="90">
        <v>6.0</v>
      </c>
      <c r="L37" s="92">
        <v>11.0</v>
      </c>
      <c r="M37" s="90">
        <v>1.0</v>
      </c>
      <c r="N37" s="37">
        <f t="shared" ref="N37:O37" si="42">C37+L37</f>
        <v>34</v>
      </c>
      <c r="O37" s="37">
        <f t="shared" si="42"/>
        <v>2</v>
      </c>
      <c r="P37" s="50" t="s">
        <v>60</v>
      </c>
      <c r="Q37" s="50" t="s">
        <v>60</v>
      </c>
      <c r="R37" s="50" t="s">
        <v>60</v>
      </c>
      <c r="S37" s="51">
        <f t="shared" si="4"/>
        <v>2</v>
      </c>
      <c r="T37" s="52">
        <f t="shared" si="5"/>
        <v>1</v>
      </c>
      <c r="U37" s="52"/>
      <c r="V37" s="51">
        <f t="shared" si="6"/>
        <v>0</v>
      </c>
      <c r="W37" s="52">
        <f t="shared" si="7"/>
        <v>-1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97</v>
      </c>
      <c r="C38" s="37">
        <v>22.0</v>
      </c>
      <c r="D38" s="37">
        <v>2.0</v>
      </c>
      <c r="E38" s="42">
        <f t="shared" si="2"/>
        <v>7.333333333</v>
      </c>
      <c r="F38" s="89">
        <v>1.0</v>
      </c>
      <c r="G38" s="90">
        <v>6.0</v>
      </c>
      <c r="H38" s="91">
        <v>0.0</v>
      </c>
      <c r="I38" s="90">
        <v>3.0</v>
      </c>
      <c r="J38" s="90">
        <v>6.0</v>
      </c>
      <c r="K38" s="90">
        <v>1.0</v>
      </c>
      <c r="L38" s="92">
        <v>10.0</v>
      </c>
      <c r="M38" s="90">
        <v>1.0</v>
      </c>
      <c r="N38" s="37">
        <f t="shared" ref="N38:O38" si="43">C38+L38</f>
        <v>32</v>
      </c>
      <c r="O38" s="37">
        <f t="shared" si="43"/>
        <v>3</v>
      </c>
      <c r="P38" s="50" t="s">
        <v>60</v>
      </c>
      <c r="Q38" s="50" t="s">
        <v>60</v>
      </c>
      <c r="R38" s="50" t="s">
        <v>60</v>
      </c>
      <c r="S38" s="51">
        <f t="shared" si="4"/>
        <v>3</v>
      </c>
      <c r="T38" s="52">
        <f t="shared" si="5"/>
        <v>0</v>
      </c>
      <c r="U38" s="52"/>
      <c r="V38" s="51">
        <f t="shared" si="6"/>
        <v>0</v>
      </c>
      <c r="W38" s="52">
        <f t="shared" si="7"/>
        <v>-17</v>
      </c>
      <c r="X38" s="35">
        <f t="shared" si="12"/>
        <v>34</v>
      </c>
      <c r="Y38" s="35" t="str">
        <f t="shared" si="8"/>
        <v>Y</v>
      </c>
      <c r="Z38" s="22" t="str">
        <f t="shared" si="9"/>
        <v/>
      </c>
    </row>
    <row r="39">
      <c r="A39" s="35">
        <f t="shared" si="10"/>
        <v>35</v>
      </c>
      <c r="B39" s="36" t="s">
        <v>85</v>
      </c>
      <c r="C39" s="37">
        <v>22.0</v>
      </c>
      <c r="D39" s="37">
        <v>2.0</v>
      </c>
      <c r="E39" s="42">
        <f t="shared" si="2"/>
        <v>6.5</v>
      </c>
      <c r="F39" s="89">
        <v>1.0</v>
      </c>
      <c r="G39" s="90">
        <v>6.0</v>
      </c>
      <c r="H39" s="91">
        <v>0.0</v>
      </c>
      <c r="I39" s="90">
        <v>6.0</v>
      </c>
      <c r="J39" s="90">
        <v>6.0</v>
      </c>
      <c r="K39" s="90">
        <v>6.0</v>
      </c>
      <c r="L39" s="92">
        <v>18.0</v>
      </c>
      <c r="M39" s="90">
        <v>3.0</v>
      </c>
      <c r="N39" s="37">
        <f t="shared" ref="N39:O39" si="44">C39+L39</f>
        <v>40</v>
      </c>
      <c r="O39" s="37">
        <f t="shared" si="44"/>
        <v>5</v>
      </c>
      <c r="P39" s="50" t="s">
        <v>60</v>
      </c>
      <c r="Q39" s="50" t="s">
        <v>60</v>
      </c>
      <c r="R39" s="50" t="s">
        <v>60</v>
      </c>
      <c r="S39" s="51">
        <f t="shared" si="4"/>
        <v>2</v>
      </c>
      <c r="T39" s="52">
        <f t="shared" si="5"/>
        <v>0</v>
      </c>
      <c r="U39" s="52"/>
      <c r="V39" s="51">
        <f t="shared" si="6"/>
        <v>1</v>
      </c>
      <c r="W39" s="52">
        <f t="shared" si="7"/>
        <v>3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122</v>
      </c>
      <c r="C40" s="37">
        <v>22.0</v>
      </c>
      <c r="D40" s="37">
        <v>2.0</v>
      </c>
      <c r="E40" s="42">
        <f t="shared" si="2"/>
        <v>6.5</v>
      </c>
      <c r="F40" s="89">
        <v>1.0</v>
      </c>
      <c r="G40" s="90">
        <v>7.0</v>
      </c>
      <c r="H40" s="91">
        <v>0.0</v>
      </c>
      <c r="I40" s="90">
        <v>6.0</v>
      </c>
      <c r="J40" s="90">
        <v>6.0</v>
      </c>
      <c r="K40" s="90">
        <v>6.0</v>
      </c>
      <c r="L40" s="92">
        <v>18.0</v>
      </c>
      <c r="M40" s="90">
        <v>3.0</v>
      </c>
      <c r="N40" s="37">
        <f t="shared" ref="N40:O40" si="45">C40+L40</f>
        <v>40</v>
      </c>
      <c r="O40" s="37">
        <f t="shared" si="45"/>
        <v>5</v>
      </c>
      <c r="P40" s="50" t="s">
        <v>60</v>
      </c>
      <c r="Q40" s="50" t="s">
        <v>60</v>
      </c>
      <c r="R40" s="50" t="s">
        <v>60</v>
      </c>
      <c r="S40" s="51">
        <f t="shared" si="4"/>
        <v>2</v>
      </c>
      <c r="T40" s="52">
        <f t="shared" si="5"/>
        <v>0</v>
      </c>
      <c r="U40" s="52"/>
      <c r="V40" s="51">
        <f t="shared" si="6"/>
        <v>1</v>
      </c>
      <c r="W40" s="52">
        <f t="shared" si="7"/>
        <v>4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129</v>
      </c>
      <c r="C41" s="37">
        <v>22.0</v>
      </c>
      <c r="D41" s="37">
        <v>1.0</v>
      </c>
      <c r="E41" s="42">
        <f t="shared" si="2"/>
        <v>7.333333333</v>
      </c>
      <c r="F41" s="89">
        <v>1.0</v>
      </c>
      <c r="G41" s="90">
        <v>7.0</v>
      </c>
      <c r="H41" s="91">
        <v>0.0</v>
      </c>
      <c r="I41" s="90">
        <v>6.0</v>
      </c>
      <c r="J41" s="90">
        <v>1.0</v>
      </c>
      <c r="K41" s="90">
        <v>0.0</v>
      </c>
      <c r="L41" s="92">
        <v>7.0</v>
      </c>
      <c r="M41" s="90">
        <v>1.0</v>
      </c>
      <c r="N41" s="37">
        <f t="shared" ref="N41:O41" si="46">C41+L41</f>
        <v>29</v>
      </c>
      <c r="O41" s="37">
        <f t="shared" si="46"/>
        <v>2</v>
      </c>
      <c r="P41" s="50" t="s">
        <v>60</v>
      </c>
      <c r="Q41" s="50" t="s">
        <v>60</v>
      </c>
      <c r="R41" s="50" t="s">
        <v>60</v>
      </c>
      <c r="S41" s="51">
        <f t="shared" si="4"/>
        <v>3</v>
      </c>
      <c r="T41" s="52">
        <f t="shared" si="5"/>
        <v>0</v>
      </c>
      <c r="U41" s="52"/>
      <c r="V41" s="51">
        <f t="shared" si="6"/>
        <v>0</v>
      </c>
      <c r="W41" s="52">
        <f t="shared" si="7"/>
        <v>-4</v>
      </c>
      <c r="X41" s="35">
        <f t="shared" si="12"/>
        <v>37</v>
      </c>
      <c r="Y41" s="35" t="str">
        <f t="shared" si="8"/>
        <v>Y</v>
      </c>
      <c r="Z41" s="22" t="str">
        <f t="shared" si="9"/>
        <v/>
      </c>
    </row>
    <row r="42">
      <c r="A42" s="35">
        <f t="shared" si="10"/>
        <v>38</v>
      </c>
      <c r="B42" s="36" t="s">
        <v>133</v>
      </c>
      <c r="C42" s="37">
        <v>22.0</v>
      </c>
      <c r="D42" s="37">
        <v>0.0</v>
      </c>
      <c r="E42" s="42">
        <f t="shared" si="2"/>
        <v>0</v>
      </c>
      <c r="F42" s="89">
        <v>3.0</v>
      </c>
      <c r="G42" s="90">
        <v>0.0</v>
      </c>
      <c r="H42" s="91">
        <v>9.0</v>
      </c>
      <c r="I42" s="90">
        <v>0.0</v>
      </c>
      <c r="J42" s="90">
        <v>0.0</v>
      </c>
      <c r="K42" s="90">
        <v>0.0</v>
      </c>
      <c r="L42" s="92">
        <v>9.0</v>
      </c>
      <c r="M42" s="90">
        <v>0.0</v>
      </c>
      <c r="N42" s="37">
        <f t="shared" ref="N42:O42" si="47">C42+L42</f>
        <v>31</v>
      </c>
      <c r="O42" s="37">
        <f t="shared" si="47"/>
        <v>0</v>
      </c>
      <c r="P42" s="50" t="s">
        <v>60</v>
      </c>
      <c r="Q42" s="50" t="s">
        <v>60</v>
      </c>
      <c r="R42" s="50" t="s">
        <v>60</v>
      </c>
      <c r="S42" s="51">
        <f t="shared" si="4"/>
        <v>0</v>
      </c>
      <c r="T42" s="52">
        <f t="shared" si="5"/>
        <v>1</v>
      </c>
      <c r="U42" s="52"/>
      <c r="V42" s="51">
        <f t="shared" si="6"/>
        <v>2</v>
      </c>
      <c r="W42" s="52">
        <f t="shared" si="7"/>
        <v>-16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104</v>
      </c>
      <c r="C43" s="37">
        <v>22.0</v>
      </c>
      <c r="D43" s="37">
        <v>0.0</v>
      </c>
      <c r="E43" s="42">
        <f t="shared" si="2"/>
        <v>0</v>
      </c>
      <c r="F43" s="89">
        <v>5.0</v>
      </c>
      <c r="G43" s="90">
        <v>0.0</v>
      </c>
      <c r="H43" s="91">
        <v>13.0</v>
      </c>
      <c r="I43" s="90">
        <v>0.0</v>
      </c>
      <c r="J43" s="90">
        <v>0.0</v>
      </c>
      <c r="K43" s="90">
        <v>0.0</v>
      </c>
      <c r="L43" s="92">
        <v>13.0</v>
      </c>
      <c r="M43" s="90">
        <v>0.0</v>
      </c>
      <c r="N43" s="37">
        <f t="shared" ref="N43:O43" si="48">C43+L43</f>
        <v>35</v>
      </c>
      <c r="O43" s="37">
        <f t="shared" si="48"/>
        <v>0</v>
      </c>
      <c r="P43" s="50" t="s">
        <v>60</v>
      </c>
      <c r="Q43" s="50" t="s">
        <v>60</v>
      </c>
      <c r="R43" s="50" t="s">
        <v>60</v>
      </c>
      <c r="S43" s="51">
        <f t="shared" si="4"/>
        <v>0</v>
      </c>
      <c r="T43" s="52">
        <f t="shared" si="5"/>
        <v>2</v>
      </c>
      <c r="U43" s="52"/>
      <c r="V43" s="51">
        <f t="shared" si="6"/>
        <v>1</v>
      </c>
      <c r="W43" s="52">
        <f t="shared" si="7"/>
        <v>-16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84</v>
      </c>
      <c r="C44" s="37">
        <v>22.0</v>
      </c>
      <c r="D44" s="37">
        <v>0.0</v>
      </c>
      <c r="E44" s="42">
        <f t="shared" si="2"/>
        <v>0</v>
      </c>
      <c r="F44" s="89">
        <v>5.0</v>
      </c>
      <c r="G44" s="90">
        <v>0.0</v>
      </c>
      <c r="H44" s="91">
        <v>13.0</v>
      </c>
      <c r="I44" s="90">
        <v>0.0</v>
      </c>
      <c r="J44" s="90">
        <v>0.0</v>
      </c>
      <c r="K44" s="90">
        <v>0.0</v>
      </c>
      <c r="L44" s="92">
        <v>13.0</v>
      </c>
      <c r="M44" s="90">
        <v>0.0</v>
      </c>
      <c r="N44" s="37">
        <f t="shared" ref="N44:O44" si="49">C44+L44</f>
        <v>35</v>
      </c>
      <c r="O44" s="37">
        <f t="shared" si="49"/>
        <v>0</v>
      </c>
      <c r="P44" s="50" t="s">
        <v>60</v>
      </c>
      <c r="Q44" s="50" t="s">
        <v>60</v>
      </c>
      <c r="R44" s="50" t="s">
        <v>60</v>
      </c>
      <c r="S44" s="51">
        <f t="shared" si="4"/>
        <v>0</v>
      </c>
      <c r="T44" s="52">
        <f t="shared" si="5"/>
        <v>2</v>
      </c>
      <c r="U44" s="52"/>
      <c r="V44" s="51">
        <f t="shared" si="6"/>
        <v>1</v>
      </c>
      <c r="W44" s="52">
        <f t="shared" si="7"/>
        <v>-3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109</v>
      </c>
      <c r="C45" s="37">
        <v>22.0</v>
      </c>
      <c r="D45" s="37">
        <v>0.0</v>
      </c>
      <c r="E45" s="42">
        <f t="shared" si="2"/>
        <v>0</v>
      </c>
      <c r="F45" s="89">
        <v>5.0</v>
      </c>
      <c r="G45" s="90">
        <v>0.0</v>
      </c>
      <c r="H45" s="91">
        <v>13.0</v>
      </c>
      <c r="I45" s="90">
        <v>0.0</v>
      </c>
      <c r="J45" s="90">
        <v>0.0</v>
      </c>
      <c r="K45" s="90">
        <v>0.0</v>
      </c>
      <c r="L45" s="92">
        <v>13.0</v>
      </c>
      <c r="M45" s="90">
        <v>0.0</v>
      </c>
      <c r="N45" s="37">
        <f t="shared" ref="N45:O45" si="50">C45+L45</f>
        <v>35</v>
      </c>
      <c r="O45" s="37">
        <f t="shared" si="50"/>
        <v>0</v>
      </c>
      <c r="P45" s="50" t="s">
        <v>60</v>
      </c>
      <c r="Q45" s="50" t="s">
        <v>60</v>
      </c>
      <c r="R45" s="50" t="s">
        <v>60</v>
      </c>
      <c r="S45" s="51">
        <f t="shared" si="4"/>
        <v>0</v>
      </c>
      <c r="T45" s="52">
        <f t="shared" si="5"/>
        <v>2</v>
      </c>
      <c r="U45" s="52"/>
      <c r="V45" s="51">
        <f t="shared" si="6"/>
        <v>1</v>
      </c>
      <c r="W45" s="52">
        <f t="shared" si="7"/>
        <v>3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116</v>
      </c>
      <c r="C46" s="37">
        <v>22.0</v>
      </c>
      <c r="D46" s="37">
        <v>0.0</v>
      </c>
      <c r="E46" s="42">
        <f t="shared" si="2"/>
        <v>0</v>
      </c>
      <c r="F46" s="89">
        <v>1.0</v>
      </c>
      <c r="G46" s="90">
        <v>7.0</v>
      </c>
      <c r="H46" s="91">
        <v>0.0</v>
      </c>
      <c r="I46" s="90">
        <v>1.0</v>
      </c>
      <c r="J46" s="90">
        <v>6.0</v>
      </c>
      <c r="K46" s="90">
        <v>0.0</v>
      </c>
      <c r="L46" s="92">
        <v>7.0</v>
      </c>
      <c r="M46" s="90">
        <v>1.0</v>
      </c>
      <c r="N46" s="37">
        <f t="shared" ref="N46:O46" si="51">C46+L46</f>
        <v>29</v>
      </c>
      <c r="O46" s="37">
        <f t="shared" si="51"/>
        <v>1</v>
      </c>
      <c r="P46" s="50" t="s">
        <v>60</v>
      </c>
      <c r="Q46" s="50" t="s">
        <v>60</v>
      </c>
      <c r="R46" s="50" t="s">
        <v>60</v>
      </c>
      <c r="S46" s="51">
        <f t="shared" si="4"/>
        <v>1</v>
      </c>
      <c r="T46" s="52">
        <f t="shared" si="5"/>
        <v>1</v>
      </c>
      <c r="U46" s="52"/>
      <c r="V46" s="51">
        <f t="shared" si="6"/>
        <v>1</v>
      </c>
      <c r="W46" s="52">
        <f t="shared" si="7"/>
        <v>12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93</v>
      </c>
      <c r="C47" s="37">
        <v>22.0</v>
      </c>
      <c r="D47" s="37">
        <v>0.0</v>
      </c>
      <c r="E47" s="42">
        <f t="shared" si="2"/>
        <v>0</v>
      </c>
      <c r="F47" s="89">
        <v>5.0</v>
      </c>
      <c r="G47" s="90">
        <v>0.0</v>
      </c>
      <c r="H47" s="91">
        <v>13.0</v>
      </c>
      <c r="I47" s="90">
        <v>0.0</v>
      </c>
      <c r="J47" s="90">
        <v>0.0</v>
      </c>
      <c r="K47" s="90">
        <v>0.0</v>
      </c>
      <c r="L47" s="92">
        <v>13.0</v>
      </c>
      <c r="M47" s="90">
        <v>0.0</v>
      </c>
      <c r="N47" s="37">
        <f t="shared" ref="N47:O47" si="52">C47+L47</f>
        <v>35</v>
      </c>
      <c r="O47" s="37">
        <f t="shared" si="52"/>
        <v>0</v>
      </c>
      <c r="P47" s="50" t="s">
        <v>60</v>
      </c>
      <c r="Q47" s="50" t="s">
        <v>60</v>
      </c>
      <c r="R47" s="50" t="s">
        <v>60</v>
      </c>
      <c r="S47" s="51">
        <f t="shared" si="4"/>
        <v>0</v>
      </c>
      <c r="T47" s="52">
        <f t="shared" si="5"/>
        <v>2</v>
      </c>
      <c r="U47" s="52"/>
      <c r="V47" s="51">
        <f t="shared" si="6"/>
        <v>1</v>
      </c>
      <c r="W47" s="52">
        <f t="shared" si="7"/>
        <v>17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74</v>
      </c>
      <c r="C48" s="37">
        <v>21.0</v>
      </c>
      <c r="D48" s="37">
        <v>2.0</v>
      </c>
      <c r="E48" s="42">
        <f t="shared" si="2"/>
        <v>-1</v>
      </c>
      <c r="F48" s="89">
        <v>5.0</v>
      </c>
      <c r="G48" s="90">
        <v>0.0</v>
      </c>
      <c r="H48" s="91">
        <v>13.0</v>
      </c>
      <c r="I48" s="90">
        <v>0.0</v>
      </c>
      <c r="J48" s="90">
        <v>0.0</v>
      </c>
      <c r="K48" s="90">
        <v>0.0</v>
      </c>
      <c r="L48" s="92">
        <v>13.0</v>
      </c>
      <c r="M48" s="90">
        <v>0.0</v>
      </c>
      <c r="N48" s="37">
        <f t="shared" ref="N48:O48" si="53">C48+L48</f>
        <v>34</v>
      </c>
      <c r="O48" s="37">
        <f t="shared" si="53"/>
        <v>2</v>
      </c>
      <c r="P48" s="50" t="s">
        <v>60</v>
      </c>
      <c r="Q48" s="50" t="s">
        <v>60</v>
      </c>
      <c r="R48" s="50" t="s">
        <v>60</v>
      </c>
      <c r="S48" s="51">
        <f t="shared" si="4"/>
        <v>1</v>
      </c>
      <c r="T48" s="52">
        <f t="shared" si="5"/>
        <v>1</v>
      </c>
      <c r="U48" s="52"/>
      <c r="V48" s="51">
        <f t="shared" si="6"/>
        <v>1</v>
      </c>
      <c r="W48" s="52">
        <f t="shared" si="7"/>
        <v>-5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61</v>
      </c>
      <c r="C49" s="37">
        <v>21.0</v>
      </c>
      <c r="D49" s="37">
        <v>1.0</v>
      </c>
      <c r="E49" s="42">
        <f t="shared" si="2"/>
        <v>6</v>
      </c>
      <c r="F49" s="89">
        <v>1.0</v>
      </c>
      <c r="G49" s="90">
        <v>7.0</v>
      </c>
      <c r="H49" s="91">
        <v>0.0</v>
      </c>
      <c r="I49" s="90">
        <v>1.0</v>
      </c>
      <c r="J49" s="90">
        <v>1.0</v>
      </c>
      <c r="K49" s="90">
        <v>6.0</v>
      </c>
      <c r="L49" s="92">
        <v>8.0</v>
      </c>
      <c r="M49" s="90">
        <v>1.0</v>
      </c>
      <c r="N49" s="37">
        <f t="shared" ref="N49:O49" si="54">C49+L49</f>
        <v>29</v>
      </c>
      <c r="O49" s="37">
        <f t="shared" si="54"/>
        <v>2</v>
      </c>
      <c r="P49" s="50" t="s">
        <v>60</v>
      </c>
      <c r="Q49" s="50" t="s">
        <v>60</v>
      </c>
      <c r="R49" s="50" t="s">
        <v>60</v>
      </c>
      <c r="S49" s="51">
        <f t="shared" si="4"/>
        <v>2</v>
      </c>
      <c r="T49" s="52">
        <f t="shared" si="5"/>
        <v>0</v>
      </c>
      <c r="U49" s="52"/>
      <c r="V49" s="51">
        <f t="shared" si="6"/>
        <v>1</v>
      </c>
      <c r="W49" s="52">
        <f t="shared" si="7"/>
        <v>-10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134</v>
      </c>
      <c r="C50" s="37">
        <v>21.0</v>
      </c>
      <c r="D50" s="37">
        <v>0.0</v>
      </c>
      <c r="E50" s="42">
        <f t="shared" si="2"/>
        <v>-5</v>
      </c>
      <c r="F50" s="89">
        <v>5.0</v>
      </c>
      <c r="G50" s="90">
        <v>0.0</v>
      </c>
      <c r="H50" s="91">
        <v>13.0</v>
      </c>
      <c r="I50" s="90">
        <v>0.0</v>
      </c>
      <c r="J50" s="90">
        <v>0.0</v>
      </c>
      <c r="K50" s="90">
        <v>0.0</v>
      </c>
      <c r="L50" s="92">
        <v>13.0</v>
      </c>
      <c r="M50" s="90">
        <v>0.0</v>
      </c>
      <c r="N50" s="37">
        <f t="shared" ref="N50:O50" si="55">C50+L50</f>
        <v>34</v>
      </c>
      <c r="O50" s="37">
        <f t="shared" si="55"/>
        <v>0</v>
      </c>
      <c r="P50" s="50" t="s">
        <v>60</v>
      </c>
      <c r="Q50" s="50" t="s">
        <v>60</v>
      </c>
      <c r="R50" s="50" t="s">
        <v>60</v>
      </c>
      <c r="S50" s="51">
        <f t="shared" si="4"/>
        <v>1</v>
      </c>
      <c r="T50" s="52">
        <f t="shared" si="5"/>
        <v>2</v>
      </c>
      <c r="U50" s="52"/>
      <c r="V50" s="51">
        <f t="shared" si="6"/>
        <v>0</v>
      </c>
      <c r="W50" s="52">
        <f t="shared" si="7"/>
        <v>-21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72</v>
      </c>
      <c r="C51" s="37">
        <v>21.0</v>
      </c>
      <c r="D51" s="37">
        <v>0.0</v>
      </c>
      <c r="E51" s="42">
        <f t="shared" si="2"/>
        <v>-5</v>
      </c>
      <c r="F51" s="89">
        <v>5.0</v>
      </c>
      <c r="G51" s="90">
        <v>0.0</v>
      </c>
      <c r="H51" s="91">
        <v>13.0</v>
      </c>
      <c r="I51" s="90">
        <v>0.0</v>
      </c>
      <c r="J51" s="90">
        <v>0.0</v>
      </c>
      <c r="K51" s="90">
        <v>0.0</v>
      </c>
      <c r="L51" s="92">
        <v>13.0</v>
      </c>
      <c r="M51" s="90">
        <v>0.0</v>
      </c>
      <c r="N51" s="37">
        <f t="shared" ref="N51:O51" si="56">C51+L51</f>
        <v>34</v>
      </c>
      <c r="O51" s="37">
        <f t="shared" si="56"/>
        <v>0</v>
      </c>
      <c r="P51" s="50" t="s">
        <v>60</v>
      </c>
      <c r="Q51" s="50" t="s">
        <v>60</v>
      </c>
      <c r="R51" s="50" t="s">
        <v>60</v>
      </c>
      <c r="S51" s="51">
        <f t="shared" si="4"/>
        <v>1</v>
      </c>
      <c r="T51" s="52">
        <f t="shared" si="5"/>
        <v>2</v>
      </c>
      <c r="U51" s="52"/>
      <c r="V51" s="51">
        <f t="shared" si="6"/>
        <v>0</v>
      </c>
      <c r="W51" s="52">
        <f t="shared" si="7"/>
        <v>19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146</v>
      </c>
      <c r="C52" s="37">
        <v>20.0</v>
      </c>
      <c r="D52" s="37">
        <v>3.0</v>
      </c>
      <c r="E52" s="42">
        <f t="shared" si="2"/>
        <v>3.5</v>
      </c>
      <c r="F52" s="89">
        <v>5.0</v>
      </c>
      <c r="G52" s="90">
        <v>0.0</v>
      </c>
      <c r="H52" s="91">
        <v>13.0</v>
      </c>
      <c r="I52" s="90">
        <v>0.0</v>
      </c>
      <c r="J52" s="90">
        <v>0.0</v>
      </c>
      <c r="K52" s="90">
        <v>0.0</v>
      </c>
      <c r="L52" s="92">
        <v>13.0</v>
      </c>
      <c r="M52" s="90">
        <v>0.0</v>
      </c>
      <c r="N52" s="37">
        <f t="shared" ref="N52:O52" si="57">C52+L52</f>
        <v>33</v>
      </c>
      <c r="O52" s="37">
        <f t="shared" si="57"/>
        <v>3</v>
      </c>
      <c r="P52" s="50" t="s">
        <v>60</v>
      </c>
      <c r="Q52" s="50" t="s">
        <v>60</v>
      </c>
      <c r="R52" s="50" t="s">
        <v>60</v>
      </c>
      <c r="S52" s="51">
        <f t="shared" si="4"/>
        <v>2</v>
      </c>
      <c r="T52" s="52">
        <f t="shared" si="5"/>
        <v>1</v>
      </c>
      <c r="U52" s="52"/>
      <c r="V52" s="51">
        <f t="shared" si="6"/>
        <v>0</v>
      </c>
      <c r="W52" s="52">
        <f t="shared" si="7"/>
        <v>17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106</v>
      </c>
      <c r="C53" s="37">
        <v>20.0</v>
      </c>
      <c r="D53" s="37">
        <v>1.0</v>
      </c>
      <c r="E53" s="42">
        <f t="shared" si="2"/>
        <v>2</v>
      </c>
      <c r="F53" s="89">
        <v>3.0</v>
      </c>
      <c r="G53" s="90">
        <v>0.0</v>
      </c>
      <c r="H53" s="91">
        <v>9.0</v>
      </c>
      <c r="I53" s="90">
        <v>0.0</v>
      </c>
      <c r="J53" s="90">
        <v>0.0</v>
      </c>
      <c r="K53" s="90">
        <v>0.0</v>
      </c>
      <c r="L53" s="92">
        <v>9.0</v>
      </c>
      <c r="M53" s="90">
        <v>0.0</v>
      </c>
      <c r="N53" s="37">
        <f t="shared" ref="N53:O53" si="58">C53+L53</f>
        <v>29</v>
      </c>
      <c r="O53" s="37">
        <f t="shared" si="58"/>
        <v>1</v>
      </c>
      <c r="P53" s="50" t="s">
        <v>60</v>
      </c>
      <c r="Q53" s="50" t="s">
        <v>60</v>
      </c>
      <c r="R53" s="50" t="s">
        <v>60</v>
      </c>
      <c r="S53" s="51">
        <f t="shared" si="4"/>
        <v>1</v>
      </c>
      <c r="T53" s="52">
        <f t="shared" si="5"/>
        <v>0</v>
      </c>
      <c r="U53" s="52"/>
      <c r="V53" s="51">
        <f t="shared" si="6"/>
        <v>2</v>
      </c>
      <c r="W53" s="52">
        <f t="shared" si="7"/>
        <v>-20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117</v>
      </c>
      <c r="C54" s="37">
        <v>20.0</v>
      </c>
      <c r="D54" s="37">
        <v>1.0</v>
      </c>
      <c r="E54" s="42">
        <f t="shared" si="2"/>
        <v>2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29</v>
      </c>
      <c r="O54" s="37">
        <f t="shared" si="59"/>
        <v>1</v>
      </c>
      <c r="P54" s="50" t="s">
        <v>60</v>
      </c>
      <c r="Q54" s="50" t="s">
        <v>60</v>
      </c>
      <c r="R54" s="50" t="s">
        <v>60</v>
      </c>
      <c r="S54" s="51">
        <f t="shared" si="4"/>
        <v>1</v>
      </c>
      <c r="T54" s="52">
        <f t="shared" si="5"/>
        <v>0</v>
      </c>
      <c r="U54" s="52"/>
      <c r="V54" s="51">
        <f t="shared" si="6"/>
        <v>2</v>
      </c>
      <c r="W54" s="52">
        <f t="shared" si="7"/>
        <v>-16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100</v>
      </c>
      <c r="C55" s="37">
        <v>20.0</v>
      </c>
      <c r="D55" s="37">
        <v>0.0</v>
      </c>
      <c r="E55" s="42">
        <f t="shared" si="2"/>
        <v>5.5</v>
      </c>
      <c r="F55" s="89">
        <v>1.0</v>
      </c>
      <c r="G55" s="90">
        <v>8.0</v>
      </c>
      <c r="H55" s="91">
        <v>0.0</v>
      </c>
      <c r="I55" s="90">
        <v>6.0</v>
      </c>
      <c r="J55" s="90">
        <v>6.0</v>
      </c>
      <c r="K55" s="90">
        <v>3.0</v>
      </c>
      <c r="L55" s="92">
        <v>15.0</v>
      </c>
      <c r="M55" s="90">
        <v>2.0</v>
      </c>
      <c r="N55" s="37">
        <f t="shared" ref="N55:O55" si="60">C55+L55</f>
        <v>35</v>
      </c>
      <c r="O55" s="37">
        <f t="shared" si="60"/>
        <v>2</v>
      </c>
      <c r="P55" s="50" t="s">
        <v>60</v>
      </c>
      <c r="Q55" s="50" t="s">
        <v>60</v>
      </c>
      <c r="R55" s="50" t="s">
        <v>60</v>
      </c>
      <c r="S55" s="51">
        <f t="shared" si="4"/>
        <v>2</v>
      </c>
      <c r="T55" s="52">
        <f t="shared" si="5"/>
        <v>0</v>
      </c>
      <c r="U55" s="52"/>
      <c r="V55" s="51">
        <f t="shared" si="6"/>
        <v>1</v>
      </c>
      <c r="W55" s="52">
        <f t="shared" si="7"/>
        <v>0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143</v>
      </c>
      <c r="C56" s="37">
        <v>18.0</v>
      </c>
      <c r="D56" s="37">
        <v>0.0</v>
      </c>
      <c r="E56" s="42">
        <f t="shared" si="2"/>
        <v>0</v>
      </c>
      <c r="F56" s="89">
        <v>1.0</v>
      </c>
      <c r="G56" s="90">
        <v>8.0</v>
      </c>
      <c r="H56" s="91">
        <v>0.0</v>
      </c>
      <c r="I56" s="90">
        <v>2.0</v>
      </c>
      <c r="J56" s="90">
        <v>0.0</v>
      </c>
      <c r="K56" s="90">
        <v>3.0</v>
      </c>
      <c r="L56" s="92">
        <v>5.0</v>
      </c>
      <c r="M56" s="90">
        <v>0.0</v>
      </c>
      <c r="N56" s="37">
        <f t="shared" ref="N56:O56" si="61">C56+L56</f>
        <v>23</v>
      </c>
      <c r="O56" s="37">
        <f t="shared" si="61"/>
        <v>0</v>
      </c>
      <c r="P56" s="50" t="s">
        <v>60</v>
      </c>
      <c r="Q56" s="50" t="s">
        <v>60</v>
      </c>
      <c r="R56" s="50" t="s">
        <v>60</v>
      </c>
      <c r="S56" s="51">
        <f t="shared" si="4"/>
        <v>1</v>
      </c>
      <c r="T56" s="52">
        <f t="shared" si="5"/>
        <v>0</v>
      </c>
      <c r="U56" s="52"/>
      <c r="V56" s="51">
        <f t="shared" si="6"/>
        <v>2</v>
      </c>
      <c r="W56" s="52">
        <f t="shared" si="7"/>
        <v>-11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95</v>
      </c>
      <c r="C57" s="37">
        <v>18.0</v>
      </c>
      <c r="D57" s="37">
        <v>0.0</v>
      </c>
      <c r="E57" s="42">
        <f t="shared" si="2"/>
        <v>0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27</v>
      </c>
      <c r="O57" s="37">
        <f t="shared" si="62"/>
        <v>0</v>
      </c>
      <c r="P57" s="50" t="s">
        <v>60</v>
      </c>
      <c r="Q57" s="50" t="s">
        <v>60</v>
      </c>
      <c r="R57" s="50" t="s">
        <v>60</v>
      </c>
      <c r="S57" s="51">
        <f t="shared" si="4"/>
        <v>0</v>
      </c>
      <c r="T57" s="52">
        <f t="shared" si="5"/>
        <v>0</v>
      </c>
      <c r="U57" s="52"/>
      <c r="V57" s="51">
        <f t="shared" si="6"/>
        <v>3</v>
      </c>
      <c r="W57" s="52">
        <f t="shared" si="7"/>
        <v>-10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77</v>
      </c>
      <c r="C58" s="37">
        <v>18.0</v>
      </c>
      <c r="D58" s="37">
        <v>0.0</v>
      </c>
      <c r="E58" s="42">
        <f t="shared" si="2"/>
        <v>0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27</v>
      </c>
      <c r="O58" s="37">
        <f t="shared" si="63"/>
        <v>0</v>
      </c>
      <c r="P58" s="50" t="s">
        <v>60</v>
      </c>
      <c r="Q58" s="50" t="s">
        <v>60</v>
      </c>
      <c r="R58" s="50" t="s">
        <v>60</v>
      </c>
      <c r="S58" s="51">
        <f t="shared" si="4"/>
        <v>0</v>
      </c>
      <c r="T58" s="52">
        <f t="shared" si="5"/>
        <v>0</v>
      </c>
      <c r="U58" s="52"/>
      <c r="V58" s="51">
        <f t="shared" si="6"/>
        <v>3</v>
      </c>
      <c r="W58" s="52">
        <f t="shared" si="7"/>
        <v>-9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56</v>
      </c>
      <c r="C59" s="37">
        <v>18.0</v>
      </c>
      <c r="D59" s="37">
        <v>0.0</v>
      </c>
      <c r="E59" s="42">
        <f t="shared" si="2"/>
        <v>0</v>
      </c>
      <c r="F59" s="89">
        <v>1.0</v>
      </c>
      <c r="G59" s="90">
        <v>8.0</v>
      </c>
      <c r="H59" s="91">
        <v>0.0</v>
      </c>
      <c r="I59" s="90">
        <v>2.0</v>
      </c>
      <c r="J59" s="90">
        <v>6.0</v>
      </c>
      <c r="K59" s="90">
        <v>6.0</v>
      </c>
      <c r="L59" s="92">
        <v>14.0</v>
      </c>
      <c r="M59" s="90">
        <v>2.0</v>
      </c>
      <c r="N59" s="37">
        <f t="shared" ref="N59:O59" si="64">C59+L59</f>
        <v>32</v>
      </c>
      <c r="O59" s="37">
        <f t="shared" si="64"/>
        <v>2</v>
      </c>
      <c r="P59" s="50" t="s">
        <v>60</v>
      </c>
      <c r="Q59" s="50" t="s">
        <v>60</v>
      </c>
      <c r="R59" s="50" t="s">
        <v>60</v>
      </c>
      <c r="S59" s="51">
        <f t="shared" si="4"/>
        <v>1</v>
      </c>
      <c r="T59" s="52">
        <f t="shared" si="5"/>
        <v>0</v>
      </c>
      <c r="U59" s="52"/>
      <c r="V59" s="51">
        <f t="shared" si="6"/>
        <v>2</v>
      </c>
      <c r="W59" s="52">
        <f t="shared" si="7"/>
        <v>-9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137</v>
      </c>
      <c r="C60" s="37">
        <v>18.0</v>
      </c>
      <c r="D60" s="37">
        <v>0.0</v>
      </c>
      <c r="E60" s="42">
        <f t="shared" si="2"/>
        <v>0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27</v>
      </c>
      <c r="O60" s="37">
        <f t="shared" si="65"/>
        <v>0</v>
      </c>
      <c r="P60" s="50" t="s">
        <v>60</v>
      </c>
      <c r="Q60" s="50" t="s">
        <v>60</v>
      </c>
      <c r="R60" s="50" t="s">
        <v>60</v>
      </c>
      <c r="S60" s="51">
        <f t="shared" si="4"/>
        <v>0</v>
      </c>
      <c r="T60" s="52">
        <f t="shared" si="5"/>
        <v>0</v>
      </c>
      <c r="U60" s="52"/>
      <c r="V60" s="51">
        <f t="shared" si="6"/>
        <v>3</v>
      </c>
      <c r="W60" s="52">
        <f t="shared" si="7"/>
        <v>-8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132</v>
      </c>
      <c r="C61" s="37">
        <v>18.0</v>
      </c>
      <c r="D61" s="37">
        <v>0.0</v>
      </c>
      <c r="E61" s="42">
        <f t="shared" si="2"/>
        <v>0</v>
      </c>
      <c r="F61" s="89">
        <v>3.0</v>
      </c>
      <c r="G61" s="90">
        <v>0.0</v>
      </c>
      <c r="H61" s="91">
        <v>9.0</v>
      </c>
      <c r="I61" s="90">
        <v>0.0</v>
      </c>
      <c r="J61" s="90">
        <v>0.0</v>
      </c>
      <c r="K61" s="90">
        <v>0.0</v>
      </c>
      <c r="L61" s="92">
        <v>9.0</v>
      </c>
      <c r="M61" s="90">
        <v>0.0</v>
      </c>
      <c r="N61" s="37">
        <f t="shared" ref="N61:O61" si="66">C61+L61</f>
        <v>27</v>
      </c>
      <c r="O61" s="37">
        <f t="shared" si="66"/>
        <v>0</v>
      </c>
      <c r="P61" s="50" t="s">
        <v>60</v>
      </c>
      <c r="Q61" s="50" t="s">
        <v>60</v>
      </c>
      <c r="R61" s="50" t="s">
        <v>60</v>
      </c>
      <c r="S61" s="51">
        <f t="shared" si="4"/>
        <v>0</v>
      </c>
      <c r="T61" s="52">
        <f t="shared" si="5"/>
        <v>0</v>
      </c>
      <c r="U61" s="52"/>
      <c r="V61" s="51">
        <f t="shared" si="6"/>
        <v>3</v>
      </c>
      <c r="W61" s="52">
        <f t="shared" si="7"/>
        <v>-7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53</v>
      </c>
      <c r="C62" s="37">
        <v>18.0</v>
      </c>
      <c r="D62" s="37">
        <v>0.0</v>
      </c>
      <c r="E62" s="42">
        <f t="shared" si="2"/>
        <v>0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27</v>
      </c>
      <c r="O62" s="37">
        <f t="shared" si="67"/>
        <v>0</v>
      </c>
      <c r="P62" s="50" t="s">
        <v>60</v>
      </c>
      <c r="Q62" s="50" t="s">
        <v>60</v>
      </c>
      <c r="R62" s="50" t="s">
        <v>60</v>
      </c>
      <c r="S62" s="51">
        <f t="shared" si="4"/>
        <v>0</v>
      </c>
      <c r="T62" s="52">
        <f t="shared" si="5"/>
        <v>0</v>
      </c>
      <c r="U62" s="52"/>
      <c r="V62" s="51">
        <f t="shared" si="6"/>
        <v>3</v>
      </c>
      <c r="W62" s="52">
        <f t="shared" si="7"/>
        <v>-6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119</v>
      </c>
      <c r="C63" s="37">
        <v>18.0</v>
      </c>
      <c r="D63" s="37">
        <v>0.0</v>
      </c>
      <c r="E63" s="42">
        <f t="shared" si="2"/>
        <v>0</v>
      </c>
      <c r="F63" s="89">
        <v>3.0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27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3</v>
      </c>
      <c r="W63" s="52">
        <f t="shared" si="7"/>
        <v>-6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145</v>
      </c>
      <c r="C64" s="37">
        <v>18.0</v>
      </c>
      <c r="D64" s="37">
        <v>0.0</v>
      </c>
      <c r="E64" s="42">
        <f t="shared" si="2"/>
        <v>0</v>
      </c>
      <c r="F64" s="89">
        <v>4.0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27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3</v>
      </c>
      <c r="W64" s="52">
        <f t="shared" si="7"/>
        <v>-5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120</v>
      </c>
      <c r="C65" s="37">
        <v>18.0</v>
      </c>
      <c r="D65" s="37">
        <v>0.0</v>
      </c>
      <c r="E65" s="42">
        <f t="shared" si="2"/>
        <v>0</v>
      </c>
      <c r="F65" s="89">
        <v>3.0</v>
      </c>
      <c r="G65" s="90">
        <v>0.0</v>
      </c>
      <c r="H65" s="91">
        <v>9.0</v>
      </c>
      <c r="I65" s="90">
        <v>0.0</v>
      </c>
      <c r="J65" s="90">
        <v>0.0</v>
      </c>
      <c r="K65" s="90">
        <v>0.0</v>
      </c>
      <c r="L65" s="92">
        <v>9.0</v>
      </c>
      <c r="M65" s="90">
        <v>0.0</v>
      </c>
      <c r="N65" s="37">
        <f t="shared" ref="N65:O65" si="70">C65+L65</f>
        <v>27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0</v>
      </c>
      <c r="T65" s="52">
        <f t="shared" si="5"/>
        <v>0</v>
      </c>
      <c r="U65" s="52"/>
      <c r="V65" s="51">
        <f t="shared" si="6"/>
        <v>3</v>
      </c>
      <c r="W65" s="52">
        <f t="shared" si="7"/>
        <v>-3</v>
      </c>
      <c r="X65" s="35">
        <f t="shared" si="12"/>
        <v>61</v>
      </c>
      <c r="Y65" s="35" t="str">
        <f t="shared" si="8"/>
        <v>N</v>
      </c>
      <c r="Z65" s="22" t="str">
        <f t="shared" si="9"/>
        <v/>
      </c>
    </row>
    <row r="66">
      <c r="A66" s="35">
        <f t="shared" si="10"/>
        <v>62</v>
      </c>
      <c r="B66" s="36" t="s">
        <v>113</v>
      </c>
      <c r="C66" s="37">
        <v>18.0</v>
      </c>
      <c r="D66" s="37">
        <v>0.0</v>
      </c>
      <c r="E66" s="42">
        <f t="shared" si="2"/>
        <v>0</v>
      </c>
      <c r="F66" s="89">
        <v>5.0</v>
      </c>
      <c r="G66" s="90">
        <v>0.0</v>
      </c>
      <c r="H66" s="91">
        <v>13.0</v>
      </c>
      <c r="I66" s="90">
        <v>0.0</v>
      </c>
      <c r="J66" s="90">
        <v>0.0</v>
      </c>
      <c r="K66" s="90">
        <v>0.0</v>
      </c>
      <c r="L66" s="92">
        <v>13.0</v>
      </c>
      <c r="M66" s="90">
        <v>0.0</v>
      </c>
      <c r="N66" s="37">
        <f t="shared" ref="N66:O66" si="71">C66+L66</f>
        <v>31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1</v>
      </c>
      <c r="U66" s="52"/>
      <c r="V66" s="51">
        <f t="shared" si="6"/>
        <v>2</v>
      </c>
      <c r="W66" s="52">
        <f t="shared" si="7"/>
        <v>-3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139</v>
      </c>
      <c r="C67" s="37">
        <v>18.0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27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3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138</v>
      </c>
      <c r="C68" s="37">
        <v>18.0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27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3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128</v>
      </c>
      <c r="C69" s="37">
        <v>18.0</v>
      </c>
      <c r="D69" s="37">
        <v>0.0</v>
      </c>
      <c r="E69" s="42">
        <f t="shared" si="2"/>
        <v>0</v>
      </c>
      <c r="F69" s="89">
        <v>3.0</v>
      </c>
      <c r="G69" s="90">
        <v>0.0</v>
      </c>
      <c r="H69" s="91">
        <v>9.0</v>
      </c>
      <c r="I69" s="90">
        <v>0.0</v>
      </c>
      <c r="J69" s="90">
        <v>0.0</v>
      </c>
      <c r="K69" s="90">
        <v>0.0</v>
      </c>
      <c r="L69" s="92">
        <v>9.0</v>
      </c>
      <c r="M69" s="90">
        <v>0.0</v>
      </c>
      <c r="N69" s="37">
        <f t="shared" ref="N69:O69" si="74">C69+L69</f>
        <v>27</v>
      </c>
      <c r="O69" s="37">
        <f t="shared" si="74"/>
        <v>0</v>
      </c>
      <c r="P69" s="50" t="s">
        <v>60</v>
      </c>
      <c r="Q69" s="50" t="s">
        <v>60</v>
      </c>
      <c r="R69" s="50" t="s">
        <v>60</v>
      </c>
      <c r="S69" s="51">
        <f t="shared" si="4"/>
        <v>0</v>
      </c>
      <c r="T69" s="52">
        <f t="shared" si="5"/>
        <v>0</v>
      </c>
      <c r="U69" s="52"/>
      <c r="V69" s="51">
        <f t="shared" si="6"/>
        <v>3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22" t="str">
        <f t="shared" si="9"/>
        <v/>
      </c>
    </row>
    <row r="70">
      <c r="A70" s="35">
        <f t="shared" si="10"/>
        <v>66</v>
      </c>
      <c r="B70" s="36" t="s">
        <v>96</v>
      </c>
      <c r="C70" s="37">
        <v>11.0</v>
      </c>
      <c r="D70" s="37">
        <v>0.0</v>
      </c>
      <c r="E70" s="42">
        <f t="shared" si="2"/>
        <v>3.666666667</v>
      </c>
      <c r="F70" s="89">
        <v>1.0</v>
      </c>
      <c r="G70" s="90">
        <v>8.0</v>
      </c>
      <c r="H70" s="91">
        <v>0.0</v>
      </c>
      <c r="I70" s="90">
        <v>6.0</v>
      </c>
      <c r="J70" s="90">
        <v>0.0</v>
      </c>
      <c r="K70" s="90">
        <v>6.0</v>
      </c>
      <c r="L70" s="92">
        <v>12.0</v>
      </c>
      <c r="M70" s="90">
        <v>2.0</v>
      </c>
      <c r="N70" s="37">
        <f t="shared" ref="N70:O70" si="75">C70+L70</f>
        <v>23</v>
      </c>
      <c r="O70" s="37">
        <f t="shared" si="75"/>
        <v>2</v>
      </c>
      <c r="P70" s="50" t="s">
        <v>60</v>
      </c>
      <c r="Q70" s="50" t="s">
        <v>60</v>
      </c>
      <c r="R70" s="50" t="s">
        <v>60</v>
      </c>
      <c r="S70" s="51">
        <f t="shared" si="4"/>
        <v>3</v>
      </c>
      <c r="T70" s="52">
        <f t="shared" si="5"/>
        <v>0</v>
      </c>
      <c r="U70" s="52"/>
      <c r="V70" s="51">
        <f t="shared" si="6"/>
        <v>0</v>
      </c>
      <c r="W70" s="52">
        <f t="shared" si="7"/>
        <v>1</v>
      </c>
      <c r="X70" s="35">
        <f t="shared" si="12"/>
        <v>66</v>
      </c>
      <c r="Y70" s="35" t="str">
        <f t="shared" si="8"/>
        <v>Y</v>
      </c>
      <c r="Z70" s="22" t="str">
        <f t="shared" si="9"/>
        <v/>
      </c>
    </row>
    <row r="71">
      <c r="A71" s="35">
        <f t="shared" si="10"/>
        <v>67</v>
      </c>
      <c r="B71" s="36" t="s">
        <v>90</v>
      </c>
      <c r="C71" s="37">
        <v>11.0</v>
      </c>
      <c r="D71" s="37">
        <v>0.0</v>
      </c>
      <c r="E71" s="42">
        <f t="shared" si="2"/>
        <v>-11</v>
      </c>
      <c r="F71" s="89">
        <v>5.0</v>
      </c>
      <c r="G71" s="90">
        <v>0.0</v>
      </c>
      <c r="H71" s="91">
        <v>13.0</v>
      </c>
      <c r="I71" s="90">
        <v>0.0</v>
      </c>
      <c r="J71" s="90">
        <v>0.0</v>
      </c>
      <c r="K71" s="90">
        <v>0.0</v>
      </c>
      <c r="L71" s="92">
        <v>13.0</v>
      </c>
      <c r="M71" s="90">
        <v>0.0</v>
      </c>
      <c r="N71" s="37">
        <f t="shared" ref="N71:O71" si="76">C71+L71</f>
        <v>24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1</v>
      </c>
      <c r="T71" s="52">
        <f t="shared" si="5"/>
        <v>1</v>
      </c>
      <c r="U71" s="52"/>
      <c r="V71" s="51">
        <f t="shared" si="6"/>
        <v>1</v>
      </c>
      <c r="W71" s="52">
        <f t="shared" si="7"/>
        <v>-25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07/11/26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desc"",0)"),"Scott Li")</f>
        <v>Scott Li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IFERROR(__xludf.DUMMYFUNCTION("""COMPUTED_VALUE"""),2.0)</f>
        <v>2</v>
      </c>
      <c r="F83" s="2"/>
    </row>
    <row r="84">
      <c r="A84" s="2"/>
      <c r="B84" s="36" t="str">
        <f>IFERROR(__xludf.DUMMYFUNCTION("""COMPUTED_VALUE"""),"Darren Wong")</f>
        <v>Darren Wong</v>
      </c>
      <c r="C84" s="125">
        <f>IFERROR(__xludf.DUMMYFUNCTION("""COMPUTED_VALUE"""),18.0)</f>
        <v>18</v>
      </c>
      <c r="D84" s="125">
        <f>IFERROR(__xludf.DUMMYFUNCTION("""COMPUTED_VALUE"""),3.0)</f>
        <v>3</v>
      </c>
      <c r="E84" s="125">
        <f>IFERROR(__xludf.DUMMYFUNCTION("""COMPUTED_VALUE"""),1.0)</f>
        <v>1</v>
      </c>
      <c r="F84" s="2"/>
    </row>
    <row r="85">
      <c r="A85" s="2"/>
      <c r="B85" s="36" t="str">
        <f>IFERROR(__xludf.DUMMYFUNCTION("""COMPUTED_VALUE"""),"Luis Hsu")</f>
        <v>Luis Hsu</v>
      </c>
      <c r="C85" s="125">
        <f>IFERROR(__xludf.DUMMYFUNCTION("""COMPUTED_VALUE"""),18.0)</f>
        <v>18</v>
      </c>
      <c r="D85" s="125">
        <f>IFERROR(__xludf.DUMMYFUNCTION("""COMPUTED_VALUE"""),3.0)</f>
        <v>3</v>
      </c>
      <c r="E85" s="125">
        <f>IFERROR(__xludf.DUMMYFUNCTION("""COMPUTED_VALUE"""),5.0)</f>
        <v>5</v>
      </c>
      <c r="F85" s="2"/>
    </row>
    <row r="86">
      <c r="A86" s="2"/>
      <c r="B86" s="36" t="str">
        <f>IFERROR(__xludf.DUMMYFUNCTION("""COMPUTED_VALUE"""),"Rudy Tatang")</f>
        <v>Rudy Tatang</v>
      </c>
      <c r="C86" s="125">
        <f>IFERROR(__xludf.DUMMYFUNCTION("""COMPUTED_VALUE"""),18.0)</f>
        <v>18</v>
      </c>
      <c r="D86" s="125">
        <f>IFERROR(__xludf.DUMMYFUNCTION("""COMPUTED_VALUE"""),2.0)</f>
        <v>2</v>
      </c>
      <c r="E86" s="125">
        <f>IFERROR(__xludf.DUMMYFUNCTION("""COMPUTED_VALUE"""),7.0)</f>
        <v>7</v>
      </c>
      <c r="F86" s="2"/>
    </row>
    <row r="87">
      <c r="A87" s="2"/>
      <c r="B87" s="36" t="str">
        <f>IFERROR(__xludf.DUMMYFUNCTION("""COMPUTED_VALUE"""),"Troy Wong")</f>
        <v>Troy Wong</v>
      </c>
      <c r="C87" s="125">
        <f>IFERROR(__xludf.DUMMYFUNCTION("""COMPUTED_VALUE"""),18.0)</f>
        <v>18</v>
      </c>
      <c r="D87" s="125">
        <f>IFERROR(__xludf.DUMMYFUNCTION("""COMPUTED_VALUE"""),2.0)</f>
        <v>2</v>
      </c>
      <c r="E87" s="125">
        <f>IFERROR(__xludf.DUMMYFUNCTION("""COMPUTED_VALUE"""),7.0)</f>
        <v>7</v>
      </c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10"")"),"Troy Wong")</f>
        <v>Troy Wong</v>
      </c>
      <c r="C102" s="125">
        <f>IFERROR(__xludf.DUMMYFUNCTION("""COMPUTED_VALUE"""),39.0)</f>
        <v>39</v>
      </c>
      <c r="D102" s="125">
        <f t="shared" ref="D102:D111" si="77">VLOOKUP(B102,indirect($AC$2&amp;"!B$5:X$79"),23, false)</f>
        <v>56</v>
      </c>
      <c r="E102" s="125">
        <f t="shared" ref="E102:E111" si="78">VLOOKUP(B102,B$5:X$71,23, false)</f>
        <v>17</v>
      </c>
      <c r="F102" s="125">
        <f t="shared" ref="F102:F111" si="79">VLOOKUP(B102,indirect($AC$2&amp;"!B$5:U$79"),11, false)</f>
        <v>18</v>
      </c>
      <c r="G102" s="125">
        <f t="shared" ref="G102:G111" si="80">VLOOKUP(B102,indirect($AC$2&amp;"!B$5:U$79"),6, false)</f>
        <v>7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IFERROR(__xludf.DUMMYFUNCTION("""COMPUTED_VALUE"""),"Elayaraja Thangaraj")</f>
        <v>Elayaraja Thangaraj</v>
      </c>
      <c r="C103" s="125">
        <f>IFERROR(__xludf.DUMMYFUNCTION("""COMPUTED_VALUE"""),33.0)</f>
        <v>33</v>
      </c>
      <c r="D103" s="125">
        <f t="shared" si="77"/>
        <v>61</v>
      </c>
      <c r="E103" s="125">
        <f t="shared" si="78"/>
        <v>28</v>
      </c>
      <c r="F103" s="125">
        <f t="shared" si="79"/>
        <v>15</v>
      </c>
      <c r="G103" s="125">
        <f t="shared" si="80"/>
        <v>8</v>
      </c>
      <c r="L103" s="125" t="str">
        <f t="shared" si="81"/>
        <v>ok</v>
      </c>
    </row>
    <row r="104">
      <c r="A104" s="2"/>
      <c r="B104" s="36" t="str">
        <f>IFERROR(__xludf.DUMMYFUNCTION("""COMPUTED_VALUE"""),"Rudy Tatang")</f>
        <v>Rudy Tatang</v>
      </c>
      <c r="C104" s="125">
        <f>IFERROR(__xludf.DUMMYFUNCTION("""COMPUTED_VALUE"""),31.0)</f>
        <v>31</v>
      </c>
      <c r="D104" s="125">
        <f t="shared" si="77"/>
        <v>47</v>
      </c>
      <c r="E104" s="125">
        <f t="shared" si="78"/>
        <v>16</v>
      </c>
      <c r="F104" s="125">
        <f t="shared" si="79"/>
        <v>18</v>
      </c>
      <c r="G104" s="125">
        <f t="shared" si="80"/>
        <v>7</v>
      </c>
      <c r="L104" s="125" t="str">
        <f t="shared" si="81"/>
        <v>ok</v>
      </c>
    </row>
    <row r="105">
      <c r="A105" s="2"/>
      <c r="B105" s="36" t="str">
        <f>IFERROR(__xludf.DUMMYFUNCTION("""COMPUTED_VALUE"""),"Jaya Sogata")</f>
        <v>Jaya Sogata</v>
      </c>
      <c r="C105" s="125">
        <f>IFERROR(__xludf.DUMMYFUNCTION("""COMPUTED_VALUE"""),27.0)</f>
        <v>27</v>
      </c>
      <c r="D105" s="125">
        <f t="shared" si="77"/>
        <v>57</v>
      </c>
      <c r="E105" s="125">
        <f t="shared" si="78"/>
        <v>30</v>
      </c>
      <c r="F105" s="125">
        <f t="shared" si="79"/>
        <v>15</v>
      </c>
      <c r="G105" s="125">
        <f t="shared" si="80"/>
        <v>8</v>
      </c>
      <c r="L105" s="125" t="str">
        <f t="shared" si="81"/>
        <v>ok</v>
      </c>
    </row>
    <row r="106">
      <c r="A106" s="2"/>
      <c r="B106" s="36" t="str">
        <f>IFERROR(__xludf.DUMMYFUNCTION("""COMPUTED_VALUE"""),"Luis Hsu")</f>
        <v>Luis Hsu</v>
      </c>
      <c r="C106" s="125">
        <f>IFERROR(__xludf.DUMMYFUNCTION("""COMPUTED_VALUE"""),22.0)</f>
        <v>22</v>
      </c>
      <c r="D106" s="125">
        <f t="shared" si="77"/>
        <v>36</v>
      </c>
      <c r="E106" s="125">
        <f t="shared" si="78"/>
        <v>14</v>
      </c>
      <c r="F106" s="125">
        <f t="shared" si="79"/>
        <v>18</v>
      </c>
      <c r="G106" s="125">
        <f t="shared" si="80"/>
        <v>5</v>
      </c>
      <c r="L106" s="125" t="str">
        <f t="shared" si="81"/>
        <v>ok</v>
      </c>
    </row>
    <row r="107">
      <c r="A107" s="2"/>
      <c r="B107" s="36" t="str">
        <f>IFERROR(__xludf.DUMMYFUNCTION("""COMPUTED_VALUE"""),"Matthew Huang")</f>
        <v>Matthew Huang</v>
      </c>
      <c r="C107" s="125">
        <f>IFERROR(__xludf.DUMMYFUNCTION("""COMPUTED_VALUE"""),21.0)</f>
        <v>21</v>
      </c>
      <c r="D107" s="125">
        <f t="shared" si="77"/>
        <v>30</v>
      </c>
      <c r="E107" s="125">
        <f t="shared" si="78"/>
        <v>9</v>
      </c>
      <c r="F107" s="125">
        <f t="shared" si="79"/>
        <v>17</v>
      </c>
      <c r="G107" s="125">
        <f t="shared" si="80"/>
        <v>4</v>
      </c>
      <c r="L107" s="125" t="str">
        <f t="shared" si="81"/>
        <v>ok</v>
      </c>
    </row>
    <row r="108">
      <c r="A108" s="2"/>
      <c r="B108" s="36" t="str">
        <f>IFERROR(__xludf.DUMMYFUNCTION("""COMPUTED_VALUE"""),"Oscar Bonilla")</f>
        <v>Oscar Bonilla</v>
      </c>
      <c r="C108" s="125">
        <f>IFERROR(__xludf.DUMMYFUNCTION("""COMPUTED_VALUE"""),20.0)</f>
        <v>20</v>
      </c>
      <c r="D108" s="125">
        <f t="shared" si="77"/>
        <v>49</v>
      </c>
      <c r="E108" s="125">
        <f t="shared" si="78"/>
        <v>29</v>
      </c>
      <c r="F108" s="125">
        <f t="shared" si="79"/>
        <v>15</v>
      </c>
      <c r="G108" s="125">
        <f t="shared" si="80"/>
        <v>7</v>
      </c>
      <c r="L108" s="125" t="str">
        <f t="shared" si="81"/>
        <v>ok</v>
      </c>
    </row>
    <row r="109">
      <c r="A109" s="2"/>
      <c r="B109" s="36" t="str">
        <f>IFERROR(__xludf.DUMMYFUNCTION("""COMPUTED_VALUE"""),"Andrew Wen")</f>
        <v>Andrew Wen</v>
      </c>
      <c r="C109" s="125">
        <f>IFERROR(__xludf.DUMMYFUNCTION("""COMPUTED_VALUE"""),19.0)</f>
        <v>19</v>
      </c>
      <c r="D109" s="125">
        <f t="shared" si="77"/>
        <v>66</v>
      </c>
      <c r="E109" s="125">
        <f t="shared" si="78"/>
        <v>47</v>
      </c>
      <c r="F109" s="125">
        <f t="shared" si="79"/>
        <v>13</v>
      </c>
      <c r="G109" s="125">
        <f t="shared" si="80"/>
        <v>0</v>
      </c>
      <c r="L109" s="125" t="str">
        <f t="shared" si="81"/>
        <v>ok</v>
      </c>
    </row>
    <row r="110">
      <c r="A110" s="2"/>
      <c r="B110" s="36" t="str">
        <f>IFERROR(__xludf.DUMMYFUNCTION("""COMPUTED_VALUE"""),"Suleman Alidina")</f>
        <v>Suleman Alidina</v>
      </c>
      <c r="C110" s="125">
        <f>IFERROR(__xludf.DUMMYFUNCTION("""COMPUTED_VALUE"""),17.0)</f>
        <v>17</v>
      </c>
      <c r="D110" s="125">
        <f t="shared" si="77"/>
        <v>60</v>
      </c>
      <c r="E110" s="125">
        <f t="shared" si="78"/>
        <v>43</v>
      </c>
      <c r="F110" s="125">
        <f t="shared" si="79"/>
        <v>13</v>
      </c>
      <c r="G110" s="125">
        <f t="shared" si="80"/>
        <v>0</v>
      </c>
      <c r="L110" s="125" t="str">
        <f t="shared" si="81"/>
        <v>ok</v>
      </c>
    </row>
    <row r="111">
      <c r="A111" s="2"/>
      <c r="B111" s="36" t="str">
        <f>IFERROR(__xludf.DUMMYFUNCTION("""COMPUTED_VALUE"""),"Wayne Liu")</f>
        <v>Wayne Liu</v>
      </c>
      <c r="C111" s="125">
        <f>IFERROR(__xludf.DUMMYFUNCTION("""COMPUTED_VALUE"""),17.0)</f>
        <v>17</v>
      </c>
      <c r="D111" s="125">
        <f t="shared" si="77"/>
        <v>65</v>
      </c>
      <c r="E111" s="125">
        <f t="shared" si="78"/>
        <v>48</v>
      </c>
      <c r="F111" s="125">
        <f t="shared" si="79"/>
        <v>12</v>
      </c>
      <c r="G111" s="125">
        <f t="shared" si="80"/>
        <v>8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3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Darren Wong</v>
      </c>
      <c r="C120" s="125">
        <f t="shared" si="82"/>
        <v>37</v>
      </c>
      <c r="D120" s="125">
        <f t="shared" si="82"/>
        <v>6</v>
      </c>
      <c r="E120" s="125">
        <f t="shared" si="82"/>
        <v>12</v>
      </c>
      <c r="F120" s="2"/>
    </row>
    <row r="121">
      <c r="A121" s="125">
        <f t="shared" ref="A121:E121" si="83">A6</f>
        <v>2</v>
      </c>
      <c r="B121" s="36" t="str">
        <f t="shared" si="83"/>
        <v>Scott Li</v>
      </c>
      <c r="C121" s="125">
        <f t="shared" si="83"/>
        <v>35</v>
      </c>
      <c r="D121" s="125">
        <f t="shared" si="83"/>
        <v>5</v>
      </c>
      <c r="E121" s="125">
        <f t="shared" si="83"/>
        <v>11.66666667</v>
      </c>
      <c r="F121" s="2"/>
    </row>
    <row r="122">
      <c r="A122" s="125">
        <f t="shared" ref="A122:E122" si="84">A7</f>
        <v>3</v>
      </c>
      <c r="B122" s="36" t="str">
        <f t="shared" si="84"/>
        <v>Jim Miao</v>
      </c>
      <c r="C122" s="125">
        <f t="shared" si="84"/>
        <v>32</v>
      </c>
      <c r="D122" s="125">
        <f t="shared" si="84"/>
        <v>3</v>
      </c>
      <c r="E122" s="125">
        <f t="shared" si="84"/>
        <v>11.5</v>
      </c>
      <c r="F122" s="2"/>
    </row>
    <row r="123">
      <c r="A123" s="125">
        <f t="shared" ref="A123:E123" si="85">A8</f>
        <v>4</v>
      </c>
      <c r="B123" s="36" t="str">
        <f t="shared" si="85"/>
        <v>Jonathan Phan</v>
      </c>
      <c r="C123" s="125">
        <f t="shared" si="85"/>
        <v>31</v>
      </c>
      <c r="D123" s="125">
        <f t="shared" si="85"/>
        <v>3</v>
      </c>
      <c r="E123" s="125">
        <f t="shared" si="85"/>
        <v>9</v>
      </c>
      <c r="F123" s="2"/>
    </row>
    <row r="124">
      <c r="A124" s="125">
        <f t="shared" ref="A124:E124" si="86">A9</f>
        <v>5</v>
      </c>
      <c r="B124" s="36" t="str">
        <f t="shared" si="86"/>
        <v>Tom Le</v>
      </c>
      <c r="C124" s="125">
        <f t="shared" si="86"/>
        <v>30</v>
      </c>
      <c r="D124" s="125">
        <f t="shared" si="86"/>
        <v>4</v>
      </c>
      <c r="E124" s="125">
        <f t="shared" si="86"/>
        <v>10</v>
      </c>
      <c r="F124" s="2"/>
    </row>
    <row r="125">
      <c r="A125" s="125">
        <f t="shared" ref="A125:E125" si="87">A10</f>
        <v>6</v>
      </c>
      <c r="B125" s="36" t="str">
        <f t="shared" si="87"/>
        <v>Allen Zhang</v>
      </c>
      <c r="C125" s="125">
        <f t="shared" si="87"/>
        <v>30</v>
      </c>
      <c r="D125" s="125">
        <f t="shared" si="87"/>
        <v>3</v>
      </c>
      <c r="E125" s="125">
        <f t="shared" si="87"/>
        <v>10</v>
      </c>
      <c r="F125" s="2"/>
    </row>
    <row r="126">
      <c r="A126" s="125">
        <f t="shared" ref="A126:E126" si="88">A11</f>
        <v>7</v>
      </c>
      <c r="B126" s="36" t="str">
        <f t="shared" si="88"/>
        <v>Sean Chang</v>
      </c>
      <c r="C126" s="125">
        <f t="shared" si="88"/>
        <v>29</v>
      </c>
      <c r="D126" s="125">
        <f t="shared" si="88"/>
        <v>2</v>
      </c>
      <c r="E126" s="125">
        <f t="shared" si="88"/>
        <v>3</v>
      </c>
      <c r="F126" s="2"/>
    </row>
    <row r="127">
      <c r="A127" s="125">
        <f t="shared" ref="A127:E127" si="89">A12</f>
        <v>8</v>
      </c>
      <c r="B127" s="36" t="str">
        <f t="shared" si="89"/>
        <v>Ted Shen</v>
      </c>
      <c r="C127" s="125">
        <f t="shared" si="89"/>
        <v>28</v>
      </c>
      <c r="D127" s="125">
        <f t="shared" si="89"/>
        <v>4</v>
      </c>
      <c r="E127" s="125">
        <f t="shared" si="89"/>
        <v>9.333333333</v>
      </c>
      <c r="F127" s="2"/>
    </row>
    <row r="128">
      <c r="A128" s="125">
        <f t="shared" ref="A128:E128" si="90">A13</f>
        <v>9</v>
      </c>
      <c r="B128" s="36" t="str">
        <f t="shared" si="90"/>
        <v>Matthew Huang</v>
      </c>
      <c r="C128" s="125">
        <f t="shared" si="90"/>
        <v>28</v>
      </c>
      <c r="D128" s="125">
        <f t="shared" si="90"/>
        <v>2</v>
      </c>
      <c r="E128" s="125">
        <f t="shared" si="90"/>
        <v>9.333333333</v>
      </c>
      <c r="F128" s="2"/>
    </row>
    <row r="129">
      <c r="A129" s="125">
        <f t="shared" ref="A129:E129" si="91">A14</f>
        <v>10</v>
      </c>
      <c r="B129" s="36" t="str">
        <f t="shared" si="91"/>
        <v>Ruben Ron</v>
      </c>
      <c r="C129" s="125">
        <f t="shared" si="91"/>
        <v>28</v>
      </c>
      <c r="D129" s="125">
        <f t="shared" si="91"/>
        <v>2</v>
      </c>
      <c r="E129" s="125">
        <f t="shared" si="91"/>
        <v>2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IFERROR(__xludf.DUMMYFUNCTION("""COMPUTED_VALUE"""),"Eric Tan")</f>
        <v>Eric Tan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IFERROR(__xludf.DUMMYFUNCTION("""COMPUTED_VALUE"""),"Erik Hoeckmann")</f>
        <v>Erik Hoeckmann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IFERROR(__xludf.DUMMYFUNCTION("""COMPUTED_VALUE"""),"Joe Luzzi")</f>
        <v>Joe Luzzi</v>
      </c>
      <c r="C140" s="2"/>
      <c r="D140" s="2"/>
      <c r="E140" s="2"/>
      <c r="F140" s="2"/>
    </row>
    <row r="141">
      <c r="A141" s="125">
        <f t="shared" si="92"/>
        <v>5</v>
      </c>
      <c r="B141" s="36" t="str">
        <f>IFERROR(__xludf.DUMMYFUNCTION("""COMPUTED_VALUE"""),"Matthew Huang")</f>
        <v>Matthew Huang</v>
      </c>
      <c r="C141" s="2"/>
      <c r="D141" s="2"/>
      <c r="E141" s="2"/>
      <c r="F141" s="2"/>
    </row>
    <row r="142">
      <c r="A142" s="125">
        <f t="shared" si="92"/>
        <v>6</v>
      </c>
      <c r="B142" s="36" t="str">
        <f>IFERROR(__xludf.DUMMYFUNCTION("""COMPUTED_VALUE"""),"Nicole Ni")</f>
        <v>Nicole Ni</v>
      </c>
      <c r="C142" s="2"/>
      <c r="D142" s="2"/>
      <c r="E142" s="2"/>
      <c r="F142" s="2"/>
    </row>
    <row r="143">
      <c r="A143" s="125">
        <f t="shared" si="92"/>
        <v>7</v>
      </c>
      <c r="B143" s="36" t="str">
        <f>IFERROR(__xludf.DUMMYFUNCTION("""COMPUTED_VALUE"""),"Rajasekar Ramasamy")</f>
        <v>Rajasekar Ramasamy</v>
      </c>
      <c r="C143" s="2"/>
      <c r="D143" s="2"/>
      <c r="E143" s="2"/>
      <c r="F143" s="2"/>
    </row>
    <row r="144">
      <c r="A144" s="125">
        <f t="shared" si="92"/>
        <v>8</v>
      </c>
      <c r="B144" s="36" t="str">
        <f>IFERROR(__xludf.DUMMYFUNCTION("""COMPUTED_VALUE"""),"Scott Li")</f>
        <v>Scott Li</v>
      </c>
      <c r="C144" s="2"/>
      <c r="D144" s="2"/>
      <c r="E144" s="2"/>
      <c r="F144" s="2"/>
    </row>
    <row r="145">
      <c r="A145" s="125">
        <f t="shared" si="92"/>
        <v>9</v>
      </c>
      <c r="B145" s="36" t="str">
        <f>IFERROR(__xludf.DUMMYFUNCTION("""COMPUTED_VALUE"""),"Ted Shen")</f>
        <v>Ted Shen</v>
      </c>
      <c r="C145" s="2"/>
      <c r="D145" s="2"/>
      <c r="E145" s="2"/>
      <c r="F145" s="2"/>
    </row>
    <row r="146">
      <c r="A146" s="125">
        <f t="shared" si="92"/>
        <v>10</v>
      </c>
      <c r="B146" s="36" t="str">
        <f>IFERROR(__xludf.DUMMYFUNCTION("""COMPUTED_VALUE"""),"Tina Hanson")</f>
        <v>Tina Hanson</v>
      </c>
      <c r="C146" s="2"/>
      <c r="D146" s="2"/>
      <c r="E146" s="2"/>
      <c r="F146" s="2"/>
    </row>
    <row r="147">
      <c r="A147" s="125">
        <f t="shared" si="92"/>
        <v>11</v>
      </c>
      <c r="B147" s="36" t="str">
        <f>IFERROR(__xludf.DUMMYFUNCTION("""COMPUTED_VALUE"""),"Tom Le")</f>
        <v>Tom Le</v>
      </c>
      <c r="C147" s="2"/>
      <c r="D147" s="2"/>
      <c r="E147" s="2"/>
      <c r="F147" s="2"/>
    </row>
    <row r="148">
      <c r="A148" s="125">
        <f t="shared" si="92"/>
        <v>12</v>
      </c>
      <c r="B148" s="36" t="str">
        <f>IFERROR(__xludf.DUMMYFUNCTION("""COMPUTED_VALUE"""),"Vinotkumar Nagappan")</f>
        <v>Vinotkumar Nagappan</v>
      </c>
      <c r="C148" s="2"/>
      <c r="D148" s="2"/>
      <c r="E148" s="2"/>
      <c r="F148" s="2"/>
    </row>
    <row r="149">
      <c r="A149" s="125">
        <f t="shared" si="92"/>
        <v>0</v>
      </c>
      <c r="B149" s="36"/>
      <c r="C149" s="2"/>
      <c r="D149" s="2"/>
      <c r="E149" s="2"/>
      <c r="F149" s="2"/>
    </row>
    <row r="150">
      <c r="A150" s="125">
        <f t="shared" si="92"/>
        <v>0</v>
      </c>
      <c r="B150" s="36"/>
      <c r="C150" s="2"/>
      <c r="D150" s="2"/>
      <c r="E150" s="2"/>
      <c r="F150" s="2"/>
    </row>
    <row r="151">
      <c r="A151" s="125">
        <f t="shared" si="92"/>
        <v>0</v>
      </c>
      <c r="B151" s="36"/>
      <c r="C151" s="2"/>
      <c r="D151" s="2"/>
      <c r="E151" s="2"/>
      <c r="F151" s="2"/>
    </row>
    <row r="152">
      <c r="A152" s="125">
        <f t="shared" si="92"/>
        <v>0</v>
      </c>
      <c r="B152" s="36"/>
      <c r="C152" s="2"/>
      <c r="D152" s="2"/>
      <c r="E152" s="2"/>
      <c r="F152" s="2"/>
    </row>
    <row r="153">
      <c r="A153" s="125">
        <f t="shared" si="92"/>
        <v>0</v>
      </c>
      <c r="B153" s="36"/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07/11/26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IFERROR(__xludf.DUMMYFUNCTION("""COMPUTED_VALUE"""),"Darren Wong")</f>
        <v>Darren Wong</v>
      </c>
      <c r="C239" s="131">
        <f>IFERROR(__xludf.DUMMYFUNCTION("""COMPUTED_VALUE"""),6.0)</f>
        <v>6</v>
      </c>
      <c r="D239" s="131">
        <f>IFERROR(__xludf.DUMMYFUNCTION("""COMPUTED_VALUE"""),6.0)</f>
        <v>6</v>
      </c>
      <c r="E239" s="131">
        <f>IFERROR(__xludf.DUMMYFUNCTION("""COMPUTED_VALUE"""),6.0)</f>
        <v>6</v>
      </c>
      <c r="F239" s="131">
        <f>IFERROR(__xludf.DUMMYFUNCTION("""COMPUTED_VALUE"""),18.0)</f>
        <v>18</v>
      </c>
      <c r="G239" s="131">
        <f>IFERROR(__xludf.DUMMYFUNCTION("""COMPUTED_VALUE"""),3.0)</f>
        <v>3</v>
      </c>
    </row>
    <row r="240">
      <c r="A240" s="125">
        <f>IFERROR(__xludf.DUMMYFUNCTION("""COMPUTED_VALUE"""),1.0)</f>
        <v>1</v>
      </c>
      <c r="B240" s="36" t="str">
        <f>IFERROR(__xludf.DUMMYFUNCTION("""COMPUTED_VALUE"""),"Rajasekar Ramasamy")</f>
        <v>Rajasekar Ramasamy</v>
      </c>
      <c r="C240" s="131">
        <f>IFERROR(__xludf.DUMMYFUNCTION("""COMPUTED_VALUE"""),6.0)</f>
        <v>6</v>
      </c>
      <c r="D240" s="131">
        <f>IFERROR(__xludf.DUMMYFUNCTION("""COMPUTED_VALUE"""),2.0)</f>
        <v>2</v>
      </c>
      <c r="E240" s="131">
        <f>IFERROR(__xludf.DUMMYFUNCTION("""COMPUTED_VALUE"""),0.0)</f>
        <v>0</v>
      </c>
      <c r="F240" s="131">
        <f>IFERROR(__xludf.DUMMYFUNCTION("""COMPUTED_VALUE"""),8.0)</f>
        <v>8</v>
      </c>
      <c r="G240" s="131">
        <f>IFERROR(__xludf.DUMMYFUNCTION("""COMPUTED_VALUE"""),1.0)</f>
        <v>1</v>
      </c>
    </row>
    <row r="241">
      <c r="A241" s="125">
        <f>IFERROR(__xludf.DUMMYFUNCTION("""COMPUTED_VALUE"""),1.0)</f>
        <v>1</v>
      </c>
      <c r="B241" s="36" t="str">
        <f>IFERROR(__xludf.DUMMYFUNCTION("""COMPUTED_VALUE"""),"Joe Luzzi")</f>
        <v>Joe Luzzi</v>
      </c>
      <c r="C241" s="131">
        <f>IFERROR(__xludf.DUMMYFUNCTION("""COMPUTED_VALUE"""),0.0)</f>
        <v>0</v>
      </c>
      <c r="D241" s="131">
        <f>IFERROR(__xludf.DUMMYFUNCTION("""COMPUTED_VALUE"""),6.0)</f>
        <v>6</v>
      </c>
      <c r="E241" s="131">
        <f>IFERROR(__xludf.DUMMYFUNCTION("""COMPUTED_VALUE"""),0.0)</f>
        <v>0</v>
      </c>
      <c r="F241" s="131">
        <f>IFERROR(__xludf.DUMMYFUNCTION("""COMPUTED_VALUE"""),6.0)</f>
        <v>6</v>
      </c>
      <c r="G241" s="131">
        <f>IFERROR(__xludf.DUMMYFUNCTION("""COMPUTED_VALUE"""),1.0)</f>
        <v>1</v>
      </c>
    </row>
    <row r="242">
      <c r="A242" s="125">
        <f>IFERROR(__xludf.DUMMYFUNCTION("""COMPUTED_VALUE"""),1.0)</f>
        <v>1</v>
      </c>
      <c r="B242" s="36" t="str">
        <f>IFERROR(__xludf.DUMMYFUNCTION("""COMPUTED_VALUE"""),"Erik Hoeckmann")</f>
        <v>Erik Hoeckmann</v>
      </c>
      <c r="C242" s="131">
        <f>IFERROR(__xludf.DUMMYFUNCTION("""COMPUTED_VALUE"""),0.0)</f>
        <v>0</v>
      </c>
      <c r="D242" s="131">
        <f>IFERROR(__xludf.DUMMYFUNCTION("""COMPUTED_VALUE"""),2.0)</f>
        <v>2</v>
      </c>
      <c r="E242" s="131">
        <f>IFERROR(__xludf.DUMMYFUNCTION("""COMPUTED_VALUE"""),6.0)</f>
        <v>6</v>
      </c>
      <c r="F242" s="131">
        <f>IFERROR(__xludf.DUMMYFUNCTION("""COMPUTED_VALUE"""),8.0)</f>
        <v>8</v>
      </c>
      <c r="G242" s="131">
        <f>IFERROR(__xludf.DUMMYFUNCTION("""COMPUTED_VALUE"""),1.0)</f>
        <v>1</v>
      </c>
    </row>
    <row r="243">
      <c r="A243" s="132">
        <f>IFERROR(__xludf.DUMMYFUNCTION("""COMPUTED_VALUE"""),2.0)</f>
        <v>2</v>
      </c>
      <c r="B243" s="133" t="str">
        <f>IFERROR(__xludf.DUMMYFUNCTION("""COMPUTED_VALUE"""),"Allen Zhang")</f>
        <v>Allen Zhang</v>
      </c>
      <c r="C243" s="134">
        <f>IFERROR(__xludf.DUMMYFUNCTION("""COMPUTED_VALUE"""),6.0)</f>
        <v>6</v>
      </c>
      <c r="D243" s="134">
        <f>IFERROR(__xludf.DUMMYFUNCTION("""COMPUTED_VALUE"""),2.0)</f>
        <v>2</v>
      </c>
      <c r="E243" s="134">
        <f>IFERROR(__xludf.DUMMYFUNCTION("""COMPUTED_VALUE"""),6.0)</f>
        <v>6</v>
      </c>
      <c r="F243" s="134">
        <f>IFERROR(__xludf.DUMMYFUNCTION("""COMPUTED_VALUE"""),14.0)</f>
        <v>14</v>
      </c>
      <c r="G243" s="134">
        <f>IFERROR(__xludf.DUMMYFUNCTION("""COMPUTED_VALUE"""),1.0)</f>
        <v>1</v>
      </c>
    </row>
    <row r="244">
      <c r="A244" s="132">
        <f>IFERROR(__xludf.DUMMYFUNCTION("""COMPUTED_VALUE"""),2.0)</f>
        <v>2</v>
      </c>
      <c r="B244" s="133" t="str">
        <f>IFERROR(__xludf.DUMMYFUNCTION("""COMPUTED_VALUE"""),"Jim Miao")</f>
        <v>Jim Miao</v>
      </c>
      <c r="C244" s="134">
        <f>IFERROR(__xludf.DUMMYFUNCTION("""COMPUTED_VALUE"""),6.0)</f>
        <v>6</v>
      </c>
      <c r="D244" s="134">
        <f>IFERROR(__xludf.DUMMYFUNCTION("""COMPUTED_VALUE"""),6.0)</f>
        <v>6</v>
      </c>
      <c r="E244" s="134">
        <f>IFERROR(__xludf.DUMMYFUNCTION("""COMPUTED_VALUE"""),4.0)</f>
        <v>4</v>
      </c>
      <c r="F244" s="134">
        <f>IFERROR(__xludf.DUMMYFUNCTION("""COMPUTED_VALUE"""),16.0)</f>
        <v>16</v>
      </c>
      <c r="G244" s="134">
        <f>IFERROR(__xludf.DUMMYFUNCTION("""COMPUTED_VALUE"""),1.0)</f>
        <v>1</v>
      </c>
    </row>
    <row r="245">
      <c r="A245" s="132">
        <f>IFERROR(__xludf.DUMMYFUNCTION("""COMPUTED_VALUE"""),2.0)</f>
        <v>2</v>
      </c>
      <c r="B245" s="133" t="str">
        <f>IFERROR(__xludf.DUMMYFUNCTION("""COMPUTED_VALUE"""),"Scott Li")</f>
        <v>Scott Li</v>
      </c>
      <c r="C245" s="134">
        <f>IFERROR(__xludf.DUMMYFUNCTION("""COMPUTED_VALUE"""),7.0)</f>
        <v>7</v>
      </c>
      <c r="D245" s="134">
        <f>IFERROR(__xludf.DUMMYFUNCTION("""COMPUTED_VALUE"""),6.0)</f>
        <v>6</v>
      </c>
      <c r="E245" s="134">
        <f>IFERROR(__xludf.DUMMYFUNCTION("""COMPUTED_VALUE"""),6.0)</f>
        <v>6</v>
      </c>
      <c r="F245" s="134">
        <f>IFERROR(__xludf.DUMMYFUNCTION("""COMPUTED_VALUE"""),19.0)</f>
        <v>19</v>
      </c>
      <c r="G245" s="134">
        <f>IFERROR(__xludf.DUMMYFUNCTION("""COMPUTED_VALUE"""),3.0)</f>
        <v>3</v>
      </c>
    </row>
    <row r="246">
      <c r="A246" s="132">
        <f>IFERROR(__xludf.DUMMYFUNCTION("""COMPUTED_VALUE"""),2.0)</f>
        <v>2</v>
      </c>
      <c r="B246" s="133" t="str">
        <f>IFERROR(__xludf.DUMMYFUNCTION("""COMPUTED_VALUE"""),"Jimmy Awolesi")</f>
        <v>Jimmy Awolesi</v>
      </c>
      <c r="C246" s="134">
        <f>IFERROR(__xludf.DUMMYFUNCTION("""COMPUTED_VALUE"""),7.0)</f>
        <v>7</v>
      </c>
      <c r="D246" s="134">
        <f>IFERROR(__xludf.DUMMYFUNCTION("""COMPUTED_VALUE"""),2.0)</f>
        <v>2</v>
      </c>
      <c r="E246" s="134">
        <f>IFERROR(__xludf.DUMMYFUNCTION("""COMPUTED_VALUE"""),4.0)</f>
        <v>4</v>
      </c>
      <c r="F246" s="134">
        <f>IFERROR(__xludf.DUMMYFUNCTION("""COMPUTED_VALUE"""),13.0)</f>
        <v>13</v>
      </c>
      <c r="G246" s="134">
        <f>IFERROR(__xludf.DUMMYFUNCTION("""COMPUTED_VALUE"""),1.0)</f>
        <v>1</v>
      </c>
    </row>
    <row r="247">
      <c r="A247" s="125">
        <f>IFERROR(__xludf.DUMMYFUNCTION("""COMPUTED_VALUE"""),3.0)</f>
        <v>3</v>
      </c>
      <c r="B247" s="36" t="str">
        <f>IFERROR(__xludf.DUMMYFUNCTION("""COMPUTED_VALUE"""),"Vinotkumar Nagappan")</f>
        <v>Vinotkumar Nagappan</v>
      </c>
      <c r="C247" s="131">
        <f>IFERROR(__xludf.DUMMYFUNCTION("""COMPUTED_VALUE"""),1.0)</f>
        <v>1</v>
      </c>
      <c r="D247" s="131">
        <f>IFERROR(__xludf.DUMMYFUNCTION("""COMPUTED_VALUE"""),2.0)</f>
        <v>2</v>
      </c>
      <c r="E247" s="131">
        <f>IFERROR(__xludf.DUMMYFUNCTION("""COMPUTED_VALUE"""),5.0)</f>
        <v>5</v>
      </c>
      <c r="F247" s="131">
        <f>IFERROR(__xludf.DUMMYFUNCTION("""COMPUTED_VALUE"""),8.0)</f>
        <v>8</v>
      </c>
      <c r="G247" s="131">
        <f>IFERROR(__xludf.DUMMYFUNCTION("""COMPUTED_VALUE"""),0.0)</f>
        <v>0</v>
      </c>
    </row>
    <row r="248">
      <c r="A248" s="125">
        <f>IFERROR(__xludf.DUMMYFUNCTION("""COMPUTED_VALUE"""),3.0)</f>
        <v>3</v>
      </c>
      <c r="B248" s="36" t="str">
        <f>IFERROR(__xludf.DUMMYFUNCTION("""COMPUTED_VALUE"""),"Ted Shen")</f>
        <v>Ted Shen</v>
      </c>
      <c r="C248" s="131">
        <f>IFERROR(__xludf.DUMMYFUNCTION("""COMPUTED_VALUE"""),6.0)</f>
        <v>6</v>
      </c>
      <c r="D248" s="131">
        <f>IFERROR(__xludf.DUMMYFUNCTION("""COMPUTED_VALUE"""),2.0)</f>
        <v>2</v>
      </c>
      <c r="E248" s="131">
        <f>IFERROR(__xludf.DUMMYFUNCTION("""COMPUTED_VALUE"""),7.0)</f>
        <v>7</v>
      </c>
      <c r="F248" s="131">
        <f>IFERROR(__xludf.DUMMYFUNCTION("""COMPUTED_VALUE"""),15.0)</f>
        <v>15</v>
      </c>
      <c r="G248" s="131">
        <f>IFERROR(__xludf.DUMMYFUNCTION("""COMPUTED_VALUE"""),2.0)</f>
        <v>2</v>
      </c>
    </row>
    <row r="249">
      <c r="A249" s="125">
        <f>IFERROR(__xludf.DUMMYFUNCTION("""COMPUTED_VALUE"""),3.0)</f>
        <v>3</v>
      </c>
      <c r="B249" s="36" t="str">
        <f>IFERROR(__xludf.DUMMYFUNCTION("""COMPUTED_VALUE"""),"Tom Le")</f>
        <v>Tom Le</v>
      </c>
      <c r="C249" s="131">
        <f>IFERROR(__xludf.DUMMYFUNCTION("""COMPUTED_VALUE"""),6.0)</f>
        <v>6</v>
      </c>
      <c r="D249" s="131">
        <f>IFERROR(__xludf.DUMMYFUNCTION("""COMPUTED_VALUE"""),6.0)</f>
        <v>6</v>
      </c>
      <c r="E249" s="131">
        <f>IFERROR(__xludf.DUMMYFUNCTION("""COMPUTED_VALUE"""),5.0)</f>
        <v>5</v>
      </c>
      <c r="F249" s="131">
        <f>IFERROR(__xludf.DUMMYFUNCTION("""COMPUTED_VALUE"""),17.0)</f>
        <v>17</v>
      </c>
      <c r="G249" s="131">
        <f>IFERROR(__xludf.DUMMYFUNCTION("""COMPUTED_VALUE"""),2.0)</f>
        <v>2</v>
      </c>
    </row>
    <row r="250">
      <c r="A250" s="125">
        <f>IFERROR(__xludf.DUMMYFUNCTION("""COMPUTED_VALUE"""),3.0)</f>
        <v>3</v>
      </c>
      <c r="B250" s="36" t="str">
        <f>IFERROR(__xludf.DUMMYFUNCTION("""COMPUTED_VALUE"""),"Lam Bui")</f>
        <v>Lam Bui</v>
      </c>
      <c r="C250" s="131">
        <f>IFERROR(__xludf.DUMMYFUNCTION("""COMPUTED_VALUE"""),1.0)</f>
        <v>1</v>
      </c>
      <c r="D250" s="131">
        <f>IFERROR(__xludf.DUMMYFUNCTION("""COMPUTED_VALUE"""),6.0)</f>
        <v>6</v>
      </c>
      <c r="E250" s="131">
        <f>IFERROR(__xludf.DUMMYFUNCTION("""COMPUTED_VALUE"""),7.0)</f>
        <v>7</v>
      </c>
      <c r="F250" s="131">
        <f>IFERROR(__xludf.DUMMYFUNCTION("""COMPUTED_VALUE"""),14.0)</f>
        <v>14</v>
      </c>
      <c r="G250" s="131">
        <f>IFERROR(__xludf.DUMMYFUNCTION("""COMPUTED_VALUE"""),2.0)</f>
        <v>2</v>
      </c>
    </row>
    <row r="251">
      <c r="A251" s="132">
        <f>IFERROR(__xludf.DUMMYFUNCTION("""COMPUTED_VALUE"""),4.0)</f>
        <v>4</v>
      </c>
      <c r="B251" s="133" t="str">
        <f>IFERROR(__xludf.DUMMYFUNCTION("""COMPUTED_VALUE"""),"Ruben Ron")</f>
        <v>Ruben Ron</v>
      </c>
      <c r="C251" s="134">
        <f>IFERROR(__xludf.DUMMYFUNCTION("""COMPUTED_VALUE"""),6.0)</f>
        <v>6</v>
      </c>
      <c r="D251" s="134">
        <f>IFERROR(__xludf.DUMMYFUNCTION("""COMPUTED_VALUE"""),2.0)</f>
        <v>2</v>
      </c>
      <c r="E251" s="134">
        <f>IFERROR(__xludf.DUMMYFUNCTION("""COMPUTED_VALUE"""),7.0)</f>
        <v>7</v>
      </c>
      <c r="F251" s="134">
        <f>IFERROR(__xludf.DUMMYFUNCTION("""COMPUTED_VALUE"""),15.0)</f>
        <v>15</v>
      </c>
      <c r="G251" s="134">
        <f>IFERROR(__xludf.DUMMYFUNCTION("""COMPUTED_VALUE"""),2.0)</f>
        <v>2</v>
      </c>
    </row>
    <row r="252">
      <c r="A252" s="132">
        <f>IFERROR(__xludf.DUMMYFUNCTION("""COMPUTED_VALUE"""),4.0)</f>
        <v>4</v>
      </c>
      <c r="B252" s="133" t="str">
        <f>IFERROR(__xludf.DUMMYFUNCTION("""COMPUTED_VALUE"""),"Ranjith Doraiswamy")</f>
        <v>Ranjith Doraiswamy</v>
      </c>
      <c r="C252" s="134">
        <f>IFERROR(__xludf.DUMMYFUNCTION("""COMPUTED_VALUE"""),1.0)</f>
        <v>1</v>
      </c>
      <c r="D252" s="134">
        <f>IFERROR(__xludf.DUMMYFUNCTION("""COMPUTED_VALUE"""),2.0)</f>
        <v>2</v>
      </c>
      <c r="E252" s="134">
        <f>IFERROR(__xludf.DUMMYFUNCTION("""COMPUTED_VALUE"""),5.0)</f>
        <v>5</v>
      </c>
      <c r="F252" s="134">
        <f>IFERROR(__xludf.DUMMYFUNCTION("""COMPUTED_VALUE"""),8.0)</f>
        <v>8</v>
      </c>
      <c r="G252" s="134">
        <f>IFERROR(__xludf.DUMMYFUNCTION("""COMPUTED_VALUE"""),0.0)</f>
        <v>0</v>
      </c>
    </row>
    <row r="253">
      <c r="A253" s="132">
        <f>IFERROR(__xludf.DUMMYFUNCTION("""COMPUTED_VALUE"""),4.0)</f>
        <v>4</v>
      </c>
      <c r="B253" s="133" t="str">
        <f>IFERROR(__xludf.DUMMYFUNCTION("""COMPUTED_VALUE"""),"Matthew Huang")</f>
        <v>Matthew Huang</v>
      </c>
      <c r="C253" s="134">
        <f>IFERROR(__xludf.DUMMYFUNCTION("""COMPUTED_VALUE"""),6.0)</f>
        <v>6</v>
      </c>
      <c r="D253" s="134">
        <f>IFERROR(__xludf.DUMMYFUNCTION("""COMPUTED_VALUE"""),6.0)</f>
        <v>6</v>
      </c>
      <c r="E253" s="134">
        <f>IFERROR(__xludf.DUMMYFUNCTION("""COMPUTED_VALUE"""),5.0)</f>
        <v>5</v>
      </c>
      <c r="F253" s="134">
        <f>IFERROR(__xludf.DUMMYFUNCTION("""COMPUTED_VALUE"""),17.0)</f>
        <v>17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IFERROR(__xludf.DUMMYFUNCTION("""COMPUTED_VALUE"""),"Tina Hanson")</f>
        <v>Tina Hanson</v>
      </c>
      <c r="C254" s="134">
        <f>IFERROR(__xludf.DUMMYFUNCTION("""COMPUTED_VALUE"""),1.0)</f>
        <v>1</v>
      </c>
      <c r="D254" s="134">
        <f>IFERROR(__xludf.DUMMYFUNCTION("""COMPUTED_VALUE"""),6.0)</f>
        <v>6</v>
      </c>
      <c r="E254" s="134">
        <f>IFERROR(__xludf.DUMMYFUNCTION("""COMPUTED_VALUE"""),7.0)</f>
        <v>7</v>
      </c>
      <c r="F254" s="134">
        <f>IFERROR(__xludf.DUMMYFUNCTION("""COMPUTED_VALUE"""),14.0)</f>
        <v>14</v>
      </c>
      <c r="G254" s="134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IFERROR(__xludf.DUMMYFUNCTION("""COMPUTED_VALUE"""),"Nicole Ni")</f>
        <v>Nicole Ni</v>
      </c>
      <c r="C255" s="131">
        <f>IFERROR(__xludf.DUMMYFUNCTION("""COMPUTED_VALUE"""),6.0)</f>
        <v>6</v>
      </c>
      <c r="D255" s="131">
        <f>IFERROR(__xludf.DUMMYFUNCTION("""COMPUTED_VALUE"""),4.0)</f>
        <v>4</v>
      </c>
      <c r="E255" s="131">
        <f>IFERROR(__xludf.DUMMYFUNCTION("""COMPUTED_VALUE"""),3.0)</f>
        <v>3</v>
      </c>
      <c r="F255" s="131">
        <f>IFERROR(__xludf.DUMMYFUNCTION("""COMPUTED_VALUE"""),13.0)</f>
        <v>13</v>
      </c>
      <c r="G255" s="131">
        <f>IFERROR(__xludf.DUMMYFUNCTION("""COMPUTED_VALUE"""),1.0)</f>
        <v>1</v>
      </c>
    </row>
    <row r="256">
      <c r="A256" s="125">
        <f>IFERROR(__xludf.DUMMYFUNCTION("""COMPUTED_VALUE"""),5.0)</f>
        <v>5</v>
      </c>
      <c r="B256" s="36" t="str">
        <f>IFERROR(__xludf.DUMMYFUNCTION("""COMPUTED_VALUE"""),"Kumar Palakeel")</f>
        <v>Kumar Palakeel</v>
      </c>
      <c r="C256" s="131">
        <f>IFERROR(__xludf.DUMMYFUNCTION("""COMPUTED_VALUE"""),2.0)</f>
        <v>2</v>
      </c>
      <c r="D256" s="131">
        <f>IFERROR(__xludf.DUMMYFUNCTION("""COMPUTED_VALUE"""),6.0)</f>
        <v>6</v>
      </c>
      <c r="E256" s="131">
        <f>IFERROR(__xludf.DUMMYFUNCTION("""COMPUTED_VALUE"""),3.0)</f>
        <v>3</v>
      </c>
      <c r="F256" s="131">
        <f>IFERROR(__xludf.DUMMYFUNCTION("""COMPUTED_VALUE"""),11.0)</f>
        <v>11</v>
      </c>
      <c r="G256" s="131">
        <f>IFERROR(__xludf.DUMMYFUNCTION("""COMPUTED_VALUE"""),1.0)</f>
        <v>1</v>
      </c>
    </row>
    <row r="257">
      <c r="A257" s="125">
        <f>IFERROR(__xludf.DUMMYFUNCTION("""COMPUTED_VALUE"""),5.0)</f>
        <v>5</v>
      </c>
      <c r="B257" s="36" t="str">
        <f>IFERROR(__xludf.DUMMYFUNCTION("""COMPUTED_VALUE"""),"Alex Hou")</f>
        <v>Alex Hou</v>
      </c>
      <c r="C257" s="131">
        <f>IFERROR(__xludf.DUMMYFUNCTION("""COMPUTED_VALUE"""),2.0)</f>
        <v>2</v>
      </c>
      <c r="D257" s="131">
        <f>IFERROR(__xludf.DUMMYFUNCTION("""COMPUTED_VALUE"""),4.0)</f>
        <v>4</v>
      </c>
      <c r="E257" s="131">
        <f>IFERROR(__xludf.DUMMYFUNCTION("""COMPUTED_VALUE"""),6.0)</f>
        <v>6</v>
      </c>
      <c r="F257" s="131">
        <f>IFERROR(__xludf.DUMMYFUNCTION("""COMPUTED_VALUE"""),12.0)</f>
        <v>12</v>
      </c>
      <c r="G257" s="131">
        <f>IFERROR(__xludf.DUMMYFUNCTION("""COMPUTED_VALUE"""),1.0)</f>
        <v>1</v>
      </c>
    </row>
    <row r="258">
      <c r="A258" s="125">
        <f>IFERROR(__xludf.DUMMYFUNCTION("""COMPUTED_VALUE"""),5.0)</f>
        <v>5</v>
      </c>
      <c r="B258" s="36" t="str">
        <f>IFERROR(__xludf.DUMMYFUNCTION("""COMPUTED_VALUE"""),"Luis Hsu")</f>
        <v>Luis Hsu</v>
      </c>
      <c r="C258" s="131">
        <f>IFERROR(__xludf.DUMMYFUNCTION("""COMPUTED_VALUE"""),6.0)</f>
        <v>6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IFERROR(__xludf.DUMMYFUNCTION("""COMPUTED_VALUE"""),18.0)</f>
        <v>18</v>
      </c>
      <c r="G258" s="131">
        <f>IFERROR(__xludf.DUMMYFUNCTION("""COMPUTED_VALUE"""),3.0)</f>
        <v>3</v>
      </c>
    </row>
    <row r="259">
      <c r="A259" s="132">
        <f>IFERROR(__xludf.DUMMYFUNCTION("""COMPUTED_VALUE"""),6.0)</f>
        <v>6</v>
      </c>
      <c r="B259" s="133" t="str">
        <f>IFERROR(__xludf.DUMMYFUNCTION("""COMPUTED_VALUE"""),"Pulkit Mathur")</f>
        <v>Pulkit Mathur</v>
      </c>
      <c r="C259" s="134">
        <f>IFERROR(__xludf.DUMMYFUNCTION("""COMPUTED_VALUE"""),1.0)</f>
        <v>1</v>
      </c>
      <c r="D259" s="134">
        <f>IFERROR(__xludf.DUMMYFUNCTION("""COMPUTED_VALUE"""),6.0)</f>
        <v>6</v>
      </c>
      <c r="E259" s="134">
        <f>IFERROR(__xludf.DUMMYFUNCTION("""COMPUTED_VALUE"""),6.0)</f>
        <v>6</v>
      </c>
      <c r="F259" s="134">
        <f>IFERROR(__xludf.DUMMYFUNCTION("""COMPUTED_VALUE"""),13.0)</f>
        <v>13</v>
      </c>
      <c r="G259" s="134">
        <f>IFERROR(__xludf.DUMMYFUNCTION("""COMPUTED_VALUE"""),2.0)</f>
        <v>2</v>
      </c>
    </row>
    <row r="260">
      <c r="A260" s="132">
        <f>IFERROR(__xludf.DUMMYFUNCTION("""COMPUTED_VALUE"""),6.0)</f>
        <v>6</v>
      </c>
      <c r="B260" s="133" t="str">
        <f>IFERROR(__xludf.DUMMYFUNCTION("""COMPUTED_VALUE"""),"Pavan Akkimsetty")</f>
        <v>Pavan Akkimsetty</v>
      </c>
      <c r="C260" s="134">
        <f>IFERROR(__xludf.DUMMYFUNCTION("""COMPUTED_VALUE"""),6.0)</f>
        <v>6</v>
      </c>
      <c r="D260" s="134">
        <f>IFERROR(__xludf.DUMMYFUNCTION("""COMPUTED_VALUE"""),0.0)</f>
        <v>0</v>
      </c>
      <c r="E260" s="134">
        <f>IFERROR(__xludf.DUMMYFUNCTION("""COMPUTED_VALUE"""),6.0)</f>
        <v>6</v>
      </c>
      <c r="F260" s="134">
        <f>IFERROR(__xludf.DUMMYFUNCTION("""COMPUTED_VALUE"""),12.0)</f>
        <v>12</v>
      </c>
      <c r="G260" s="134">
        <f>IFERROR(__xludf.DUMMYFUNCTION("""COMPUTED_VALUE"""),2.0)</f>
        <v>2</v>
      </c>
    </row>
    <row r="261">
      <c r="A261" s="132">
        <f>IFERROR(__xludf.DUMMYFUNCTION("""COMPUTED_VALUE"""),6.0)</f>
        <v>6</v>
      </c>
      <c r="B261" s="133" t="str">
        <f>IFERROR(__xludf.DUMMYFUNCTION("""COMPUTED_VALUE"""),"Sandeep Kamalon")</f>
        <v>Sandeep Kamalon</v>
      </c>
      <c r="C261" s="134">
        <f>IFERROR(__xludf.DUMMYFUNCTION("""COMPUTED_VALUE"""),6.0)</f>
        <v>6</v>
      </c>
      <c r="D261" s="134">
        <f>IFERROR(__xludf.DUMMYFUNCTION("""COMPUTED_VALUE"""),6.0)</f>
        <v>6</v>
      </c>
      <c r="E261" s="134">
        <f>IFERROR(__xludf.DUMMYFUNCTION("""COMPUTED_VALUE"""),1.0)</f>
        <v>1</v>
      </c>
      <c r="F261" s="134">
        <f>IFERROR(__xludf.DUMMYFUNCTION("""COMPUTED_VALUE"""),13.0)</f>
        <v>13</v>
      </c>
      <c r="G261" s="134">
        <f>IFERROR(__xludf.DUMMYFUNCTION("""COMPUTED_VALUE"""),2.0)</f>
        <v>2</v>
      </c>
    </row>
    <row r="262">
      <c r="A262" s="132">
        <f>IFERROR(__xludf.DUMMYFUNCTION("""COMPUTED_VALUE"""),6.0)</f>
        <v>6</v>
      </c>
      <c r="B262" s="133" t="str">
        <f>IFERROR(__xludf.DUMMYFUNCTION("""COMPUTED_VALUE"""),"Coco Yan")</f>
        <v>Coco Yan</v>
      </c>
      <c r="C262" s="134">
        <f>IFERROR(__xludf.DUMMYFUNCTION("""COMPUTED_VALUE"""),1.0)</f>
        <v>1</v>
      </c>
      <c r="D262" s="134">
        <f>IFERROR(__xludf.DUMMYFUNCTION("""COMPUTED_VALUE"""),0.0)</f>
        <v>0</v>
      </c>
      <c r="E262" s="134">
        <f>IFERROR(__xludf.DUMMYFUNCTION("""COMPUTED_VALUE"""),1.0)</f>
        <v>1</v>
      </c>
      <c r="F262" s="134">
        <f>IFERROR(__xludf.DUMMYFUNCTION("""COMPUTED_VALUE"""),2.0)</f>
        <v>2</v>
      </c>
      <c r="G262" s="134">
        <f>IFERROR(__xludf.DUMMYFUNCTION("""COMPUTED_VALUE"""),0.0)</f>
        <v>0</v>
      </c>
    </row>
    <row r="263">
      <c r="A263" s="125">
        <f>IFERROR(__xludf.DUMMYFUNCTION("""COMPUTED_VALUE"""),7.0)</f>
        <v>7</v>
      </c>
      <c r="B263" s="36" t="str">
        <f>IFERROR(__xludf.DUMMYFUNCTION("""COMPUTED_VALUE"""),"Rudy Tatang")</f>
        <v>Rudy Tatang</v>
      </c>
      <c r="C263" s="131">
        <f>IFERROR(__xludf.DUMMYFUNCTION("""COMPUTED_VALUE"""),7.0)</f>
        <v>7</v>
      </c>
      <c r="D263" s="131">
        <f>IFERROR(__xludf.DUMMYFUNCTION("""COMPUTED_VALUE"""),5.0)</f>
        <v>5</v>
      </c>
      <c r="E263" s="131">
        <f>IFERROR(__xludf.DUMMYFUNCTION("""COMPUTED_VALUE"""),6.0)</f>
        <v>6</v>
      </c>
      <c r="F263" s="131">
        <f>IFERROR(__xludf.DUMMYFUNCTION("""COMPUTED_VALUE"""),18.0)</f>
        <v>18</v>
      </c>
      <c r="G263" s="131">
        <f>IFERROR(__xludf.DUMMYFUNCTION("""COMPUTED_VALUE"""),2.0)</f>
        <v>2</v>
      </c>
    </row>
    <row r="264">
      <c r="A264" s="125">
        <f>IFERROR(__xludf.DUMMYFUNCTION("""COMPUTED_VALUE"""),7.0)</f>
        <v>7</v>
      </c>
      <c r="B264" s="36" t="str">
        <f>IFERROR(__xludf.DUMMYFUNCTION("""COMPUTED_VALUE"""),"Oscar Bonilla")</f>
        <v>Oscar Bonilla</v>
      </c>
      <c r="C264" s="131">
        <f>IFERROR(__xludf.DUMMYFUNCTION("""COMPUTED_VALUE"""),7.0)</f>
        <v>7</v>
      </c>
      <c r="D264" s="131">
        <f>IFERROR(__xludf.DUMMYFUNCTION("""COMPUTED_VALUE"""),7.0)</f>
        <v>7</v>
      </c>
      <c r="E264" s="131">
        <f>IFERROR(__xludf.DUMMYFUNCTION("""COMPUTED_VALUE"""),1.0)</f>
        <v>1</v>
      </c>
      <c r="F264" s="131">
        <f>IFERROR(__xludf.DUMMYFUNCTION("""COMPUTED_VALUE"""),15.0)</f>
        <v>15</v>
      </c>
      <c r="G264" s="131">
        <f>IFERROR(__xludf.DUMMYFUNCTION("""COMPUTED_VALUE"""),2.0)</f>
        <v>2</v>
      </c>
    </row>
    <row r="265">
      <c r="A265" s="125">
        <f>IFERROR(__xludf.DUMMYFUNCTION("""COMPUTED_VALUE"""),7.0)</f>
        <v>7</v>
      </c>
      <c r="B265" s="36" t="str">
        <f>IFERROR(__xludf.DUMMYFUNCTION("""COMPUTED_VALUE"""),"Ethan Gu")</f>
        <v>Ethan Gu</v>
      </c>
      <c r="C265" s="131">
        <f>IFERROR(__xludf.DUMMYFUNCTION("""COMPUTED_VALUE"""),5.0)</f>
        <v>5</v>
      </c>
      <c r="D265" s="131">
        <f>IFERROR(__xludf.DUMMYFUNCTION("""COMPUTED_VALUE"""),5.0)</f>
        <v>5</v>
      </c>
      <c r="E265" s="131">
        <f>IFERROR(__xludf.DUMMYFUNCTION("""COMPUTED_VALUE"""),1.0)</f>
        <v>1</v>
      </c>
      <c r="F265" s="131">
        <f>IFERROR(__xludf.DUMMYFUNCTION("""COMPUTED_VALUE"""),11.0)</f>
        <v>11</v>
      </c>
      <c r="G265" s="131">
        <f>IFERROR(__xludf.DUMMYFUNCTION("""COMPUTED_VALUE"""),0.0)</f>
        <v>0</v>
      </c>
    </row>
    <row r="266">
      <c r="A266" s="125">
        <f>IFERROR(__xludf.DUMMYFUNCTION("""COMPUTED_VALUE"""),7.0)</f>
        <v>7</v>
      </c>
      <c r="B266" s="36" t="str">
        <f>IFERROR(__xludf.DUMMYFUNCTION("""COMPUTED_VALUE"""),"Troy Wong")</f>
        <v>Troy Wong</v>
      </c>
      <c r="C266" s="131">
        <f>IFERROR(__xludf.DUMMYFUNCTION("""COMPUTED_VALUE"""),5.0)</f>
        <v>5</v>
      </c>
      <c r="D266" s="131">
        <f>IFERROR(__xludf.DUMMYFUNCTION("""COMPUTED_VALUE"""),7.0)</f>
        <v>7</v>
      </c>
      <c r="E266" s="131">
        <f>IFERROR(__xludf.DUMMYFUNCTION("""COMPUTED_VALUE"""),6.0)</f>
        <v>6</v>
      </c>
      <c r="F266" s="131">
        <f>IFERROR(__xludf.DUMMYFUNCTION("""COMPUTED_VALUE"""),18.0)</f>
        <v>18</v>
      </c>
      <c r="G266" s="131">
        <f>IFERROR(__xludf.DUMMYFUNCTION("""COMPUTED_VALUE"""),2.0)</f>
        <v>2</v>
      </c>
    </row>
    <row r="267">
      <c r="A267" s="132">
        <f>IFERROR(__xludf.DUMMYFUNCTION("""COMPUTED_VALUE"""),8.0)</f>
        <v>8</v>
      </c>
      <c r="B267" s="133" t="str">
        <f>IFERROR(__xludf.DUMMYFUNCTION("""COMPUTED_VALUE"""),"Jaya Sogata")</f>
        <v>Jaya Sogata</v>
      </c>
      <c r="C267" s="134">
        <f>IFERROR(__xludf.DUMMYFUNCTION("""COMPUTED_VALUE"""),6.0)</f>
        <v>6</v>
      </c>
      <c r="D267" s="134">
        <f>IFERROR(__xludf.DUMMYFUNCTION("""COMPUTED_VALUE"""),6.0)</f>
        <v>6</v>
      </c>
      <c r="E267" s="134">
        <f>IFERROR(__xludf.DUMMYFUNCTION("""COMPUTED_VALUE"""),3.0)</f>
        <v>3</v>
      </c>
      <c r="F267" s="134">
        <f>IFERROR(__xludf.DUMMYFUNCTION("""COMPUTED_VALUE"""),15.0)</f>
        <v>15</v>
      </c>
      <c r="G267" s="134">
        <f>IFERROR(__xludf.DUMMYFUNCTION("""COMPUTED_VALUE"""),2.0)</f>
        <v>2</v>
      </c>
    </row>
    <row r="268">
      <c r="A268" s="132">
        <f>IFERROR(__xludf.DUMMYFUNCTION("""COMPUTED_VALUE"""),8.0)</f>
        <v>8</v>
      </c>
      <c r="B268" s="133" t="str">
        <f>IFERROR(__xludf.DUMMYFUNCTION("""COMPUTED_VALUE"""),"Elayaraja Thangaraj")</f>
        <v>Elayaraja Thangaraj</v>
      </c>
      <c r="C268" s="134">
        <f>IFERROR(__xludf.DUMMYFUNCTION("""COMPUTED_VALUE"""),3.0)</f>
        <v>3</v>
      </c>
      <c r="D268" s="134">
        <f>IFERROR(__xludf.DUMMYFUNCTION("""COMPUTED_VALUE"""),6.0)</f>
        <v>6</v>
      </c>
      <c r="E268" s="134">
        <f>IFERROR(__xludf.DUMMYFUNCTION("""COMPUTED_VALUE"""),6.0)</f>
        <v>6</v>
      </c>
      <c r="F268" s="134">
        <f>IFERROR(__xludf.DUMMYFUNCTION("""COMPUTED_VALUE"""),15.0)</f>
        <v>15</v>
      </c>
      <c r="G268" s="134">
        <f>IFERROR(__xludf.DUMMYFUNCTION("""COMPUTED_VALUE"""),2.0)</f>
        <v>2</v>
      </c>
    </row>
    <row r="269">
      <c r="A269" s="132">
        <f>IFERROR(__xludf.DUMMYFUNCTION("""COMPUTED_VALUE"""),8.0)</f>
        <v>8</v>
      </c>
      <c r="B269" s="133" t="str">
        <f>IFERROR(__xludf.DUMMYFUNCTION("""COMPUTED_VALUE"""),"Wayne Liu")</f>
        <v>Wayne Liu</v>
      </c>
      <c r="C269" s="134">
        <f>IFERROR(__xludf.DUMMYFUNCTION("""COMPUTED_VALUE"""),6.0)</f>
        <v>6</v>
      </c>
      <c r="D269" s="134">
        <f>IFERROR(__xludf.DUMMYFUNCTION("""COMPUTED_VALUE"""),0.0)</f>
        <v>0</v>
      </c>
      <c r="E269" s="134">
        <f>IFERROR(__xludf.DUMMYFUNCTION("""COMPUTED_VALUE"""),6.0)</f>
        <v>6</v>
      </c>
      <c r="F269" s="134">
        <f>IFERROR(__xludf.DUMMYFUNCTION("""COMPUTED_VALUE"""),12.0)</f>
        <v>12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IFERROR(__xludf.DUMMYFUNCTION("""COMPUTED_VALUE"""),"Eric Tan")</f>
        <v>Eric Tan</v>
      </c>
      <c r="C270" s="134">
        <f>IFERROR(__xludf.DUMMYFUNCTION("""COMPUTED_VALUE"""),3.0)</f>
        <v>3</v>
      </c>
      <c r="D270" s="134">
        <f>IFERROR(__xludf.DUMMYFUNCTION("""COMPUTED_VALUE"""),0.0)</f>
        <v>0</v>
      </c>
      <c r="E270" s="134">
        <f>IFERROR(__xludf.DUMMYFUNCTION("""COMPUTED_VALUE"""),3.0)</f>
        <v>3</v>
      </c>
      <c r="F270" s="134">
        <f>IFERROR(__xludf.DUMMYFUNCTION("""COMPUTED_VALUE"""),6.0)</f>
        <v>6</v>
      </c>
      <c r="G270" s="134">
        <f>IFERROR(__xludf.DUMMYFUNCTION("""COMPUTED_VALUE"""),0.0)</f>
        <v>0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46214.0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2.0</v>
      </c>
      <c r="E2" s="2"/>
      <c r="F2" s="2"/>
      <c r="R2" s="19"/>
      <c r="AC2" s="23" t="str">
        <f>TEXT(C1-7,"mm/dd/yy")</f>
        <v>07/04/26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92</v>
      </c>
      <c r="C5" s="37">
        <v>19.0</v>
      </c>
      <c r="D5" s="37">
        <v>3.0</v>
      </c>
      <c r="E5" s="42">
        <f t="shared" ref="E5:E71" si="2">if(S5&gt;0,(C5-(V5*9)-(T5*13))/S5,0)</f>
        <v>9.5</v>
      </c>
      <c r="F5" s="89">
        <v>1.0</v>
      </c>
      <c r="G5" s="90">
        <v>1.0</v>
      </c>
      <c r="H5" s="91">
        <v>0.0</v>
      </c>
      <c r="I5" s="90">
        <v>6.0</v>
      </c>
      <c r="J5" s="90">
        <v>6.0</v>
      </c>
      <c r="K5" s="90">
        <v>6.0</v>
      </c>
      <c r="L5" s="92">
        <v>18.0</v>
      </c>
      <c r="M5" s="90">
        <v>3.0</v>
      </c>
      <c r="N5" s="37">
        <f t="shared" ref="N5:O5" si="1">C5+L5</f>
        <v>37</v>
      </c>
      <c r="O5" s="37">
        <f t="shared" si="1"/>
        <v>6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2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0</v>
      </c>
      <c r="W5" s="52">
        <f t="shared" ref="W5:W71" si="7">vlookup(B5,indirect("'" &amp; AC$2 &amp; "'!B5:x71"),23,false)-X5</f>
        <v>21</v>
      </c>
      <c r="X5" s="35">
        <v>1.0</v>
      </c>
      <c r="Y5" s="35" t="str">
        <f t="shared" ref="Y5:Y71" si="8">if(S5=D$2,"Y","N")</f>
        <v>Y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115</v>
      </c>
      <c r="C6" s="37">
        <v>18.0</v>
      </c>
      <c r="D6" s="37">
        <v>3.0</v>
      </c>
      <c r="E6" s="42">
        <f t="shared" si="2"/>
        <v>5</v>
      </c>
      <c r="F6" s="89">
        <v>5.0</v>
      </c>
      <c r="G6" s="90">
        <v>0.0</v>
      </c>
      <c r="H6" s="91">
        <v>13.0</v>
      </c>
      <c r="I6" s="90">
        <v>0.0</v>
      </c>
      <c r="J6" s="90">
        <v>0.0</v>
      </c>
      <c r="K6" s="90">
        <v>0.0</v>
      </c>
      <c r="L6" s="92">
        <v>13.0</v>
      </c>
      <c r="M6" s="90">
        <v>0.0</v>
      </c>
      <c r="N6" s="37">
        <f t="shared" ref="N6:O6" si="3">C6+L6</f>
        <v>31</v>
      </c>
      <c r="O6" s="37">
        <f t="shared" si="3"/>
        <v>3</v>
      </c>
      <c r="P6" s="50" t="s">
        <v>60</v>
      </c>
      <c r="Q6" s="50" t="s">
        <v>60</v>
      </c>
      <c r="R6" s="50" t="s">
        <v>60</v>
      </c>
      <c r="S6" s="51">
        <f t="shared" si="4"/>
        <v>1</v>
      </c>
      <c r="T6" s="52">
        <f t="shared" si="5"/>
        <v>1</v>
      </c>
      <c r="U6" s="52"/>
      <c r="V6" s="51">
        <f t="shared" si="6"/>
        <v>0</v>
      </c>
      <c r="W6" s="52">
        <f t="shared" si="7"/>
        <v>43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118</v>
      </c>
      <c r="C7" s="37">
        <v>18.0</v>
      </c>
      <c r="D7" s="37">
        <v>2.0</v>
      </c>
      <c r="E7" s="42">
        <f t="shared" si="2"/>
        <v>9</v>
      </c>
      <c r="F7" s="89">
        <v>1.0</v>
      </c>
      <c r="G7" s="90">
        <v>1.0</v>
      </c>
      <c r="H7" s="91">
        <v>0.0</v>
      </c>
      <c r="I7" s="90">
        <v>6.0</v>
      </c>
      <c r="J7" s="90">
        <v>2.0</v>
      </c>
      <c r="K7" s="90">
        <v>0.0</v>
      </c>
      <c r="L7" s="92">
        <v>8.0</v>
      </c>
      <c r="M7" s="90">
        <v>1.0</v>
      </c>
      <c r="N7" s="37">
        <f t="shared" ref="N7:O7" si="11">C7+L7</f>
        <v>26</v>
      </c>
      <c r="O7" s="37">
        <f t="shared" si="11"/>
        <v>3</v>
      </c>
      <c r="P7" s="50" t="s">
        <v>60</v>
      </c>
      <c r="Q7" s="50" t="s">
        <v>60</v>
      </c>
      <c r="R7" s="50" t="s">
        <v>60</v>
      </c>
      <c r="S7" s="51">
        <f t="shared" si="4"/>
        <v>2</v>
      </c>
      <c r="T7" s="52">
        <f t="shared" si="5"/>
        <v>0</v>
      </c>
      <c r="U7" s="52"/>
      <c r="V7" s="51">
        <f t="shared" si="6"/>
        <v>0</v>
      </c>
      <c r="W7" s="52">
        <f t="shared" si="7"/>
        <v>28</v>
      </c>
      <c r="X7" s="35">
        <f t="shared" si="12"/>
        <v>3</v>
      </c>
      <c r="Y7" s="35" t="str">
        <f t="shared" si="8"/>
        <v>Y</v>
      </c>
      <c r="Z7" s="22" t="str">
        <f t="shared" si="9"/>
        <v/>
      </c>
    </row>
    <row r="8">
      <c r="A8" s="35">
        <f t="shared" si="10"/>
        <v>4</v>
      </c>
      <c r="B8" s="36" t="s">
        <v>101</v>
      </c>
      <c r="C8" s="37">
        <v>17.0</v>
      </c>
      <c r="D8" s="37">
        <v>2.0</v>
      </c>
      <c r="E8" s="42">
        <f t="shared" si="2"/>
        <v>8.5</v>
      </c>
      <c r="F8" s="89">
        <v>1.0</v>
      </c>
      <c r="G8" s="90">
        <v>1.0</v>
      </c>
      <c r="H8" s="91">
        <v>0.0</v>
      </c>
      <c r="I8" s="90">
        <v>0.0</v>
      </c>
      <c r="J8" s="90">
        <v>6.0</v>
      </c>
      <c r="K8" s="90">
        <v>0.0</v>
      </c>
      <c r="L8" s="92">
        <v>6.0</v>
      </c>
      <c r="M8" s="90">
        <v>1.0</v>
      </c>
      <c r="N8" s="37">
        <f t="shared" ref="N8:O8" si="13">C8+L8</f>
        <v>23</v>
      </c>
      <c r="O8" s="37">
        <f t="shared" si="13"/>
        <v>3</v>
      </c>
      <c r="P8" s="50" t="s">
        <v>60</v>
      </c>
      <c r="Q8" s="50" t="s">
        <v>60</v>
      </c>
      <c r="R8" s="50" t="s">
        <v>60</v>
      </c>
      <c r="S8" s="51">
        <f t="shared" si="4"/>
        <v>2</v>
      </c>
      <c r="T8" s="52">
        <f t="shared" si="5"/>
        <v>0</v>
      </c>
      <c r="U8" s="52"/>
      <c r="V8" s="51">
        <f t="shared" si="6"/>
        <v>0</v>
      </c>
      <c r="W8" s="52">
        <f t="shared" si="7"/>
        <v>31</v>
      </c>
      <c r="X8" s="35">
        <f t="shared" si="12"/>
        <v>4</v>
      </c>
      <c r="Y8" s="35" t="str">
        <f t="shared" si="8"/>
        <v>Y</v>
      </c>
      <c r="Z8" s="22" t="str">
        <f t="shared" si="9"/>
        <v/>
      </c>
    </row>
    <row r="9">
      <c r="A9" s="35">
        <f t="shared" si="10"/>
        <v>5</v>
      </c>
      <c r="B9" s="36" t="s">
        <v>105</v>
      </c>
      <c r="C9" s="37">
        <v>16.0</v>
      </c>
      <c r="D9" s="37">
        <v>2.0</v>
      </c>
      <c r="E9" s="42">
        <f t="shared" si="2"/>
        <v>3</v>
      </c>
      <c r="F9" s="89">
        <v>5.0</v>
      </c>
      <c r="G9" s="90">
        <v>0.0</v>
      </c>
      <c r="H9" s="91">
        <v>13.0</v>
      </c>
      <c r="I9" s="90">
        <v>0.0</v>
      </c>
      <c r="J9" s="90">
        <v>0.0</v>
      </c>
      <c r="K9" s="90">
        <v>0.0</v>
      </c>
      <c r="L9" s="92">
        <v>13.0</v>
      </c>
      <c r="M9" s="90">
        <v>0.0</v>
      </c>
      <c r="N9" s="37">
        <f t="shared" ref="N9:O9" si="14">C9+L9</f>
        <v>29</v>
      </c>
      <c r="O9" s="37">
        <f t="shared" si="14"/>
        <v>2</v>
      </c>
      <c r="P9" s="50" t="s">
        <v>60</v>
      </c>
      <c r="Q9" s="50" t="s">
        <v>60</v>
      </c>
      <c r="R9" s="50" t="s">
        <v>60</v>
      </c>
      <c r="S9" s="51">
        <f t="shared" si="4"/>
        <v>1</v>
      </c>
      <c r="T9" s="52">
        <f t="shared" si="5"/>
        <v>1</v>
      </c>
      <c r="U9" s="52"/>
      <c r="V9" s="51">
        <f t="shared" si="6"/>
        <v>0</v>
      </c>
      <c r="W9" s="52">
        <f t="shared" si="7"/>
        <v>-2</v>
      </c>
      <c r="X9" s="35">
        <f t="shared" si="12"/>
        <v>5</v>
      </c>
      <c r="Y9" s="35" t="str">
        <f t="shared" si="8"/>
        <v>N</v>
      </c>
      <c r="Z9" s="22" t="str">
        <f t="shared" si="9"/>
        <v/>
      </c>
    </row>
    <row r="10">
      <c r="A10" s="35">
        <f t="shared" si="10"/>
        <v>6</v>
      </c>
      <c r="B10" s="36" t="s">
        <v>98</v>
      </c>
      <c r="C10" s="37">
        <v>16.0</v>
      </c>
      <c r="D10" s="37">
        <v>2.0</v>
      </c>
      <c r="E10" s="42">
        <f t="shared" si="2"/>
        <v>8</v>
      </c>
      <c r="F10" s="89">
        <v>1.0</v>
      </c>
      <c r="G10" s="90">
        <v>1.0</v>
      </c>
      <c r="H10" s="91">
        <v>0.0</v>
      </c>
      <c r="I10" s="90">
        <v>0.0</v>
      </c>
      <c r="J10" s="90">
        <v>2.0</v>
      </c>
      <c r="K10" s="90">
        <v>6.0</v>
      </c>
      <c r="L10" s="92">
        <v>8.0</v>
      </c>
      <c r="M10" s="90">
        <v>1.0</v>
      </c>
      <c r="N10" s="37">
        <f t="shared" ref="N10:O10" si="15">C10+L10</f>
        <v>24</v>
      </c>
      <c r="O10" s="37">
        <f t="shared" si="15"/>
        <v>3</v>
      </c>
      <c r="P10" s="50" t="s">
        <v>60</v>
      </c>
      <c r="Q10" s="50" t="s">
        <v>60</v>
      </c>
      <c r="R10" s="50" t="s">
        <v>60</v>
      </c>
      <c r="S10" s="51">
        <f t="shared" si="4"/>
        <v>2</v>
      </c>
      <c r="T10" s="52">
        <f t="shared" si="5"/>
        <v>0</v>
      </c>
      <c r="U10" s="52"/>
      <c r="V10" s="51">
        <f t="shared" si="6"/>
        <v>0</v>
      </c>
      <c r="W10" s="52">
        <f t="shared" si="7"/>
        <v>0</v>
      </c>
      <c r="X10" s="35">
        <f t="shared" si="12"/>
        <v>6</v>
      </c>
      <c r="Y10" s="35" t="str">
        <f t="shared" si="8"/>
        <v>Y</v>
      </c>
      <c r="Z10" s="22" t="str">
        <f t="shared" si="9"/>
        <v/>
      </c>
    </row>
    <row r="11">
      <c r="A11" s="35">
        <f t="shared" si="10"/>
        <v>7</v>
      </c>
      <c r="B11" s="36" t="s">
        <v>67</v>
      </c>
      <c r="C11" s="37">
        <v>16.0</v>
      </c>
      <c r="D11" s="37">
        <v>2.0</v>
      </c>
      <c r="E11" s="42">
        <f t="shared" si="2"/>
        <v>8</v>
      </c>
      <c r="F11" s="89">
        <v>1.0</v>
      </c>
      <c r="G11" s="90">
        <v>2.0</v>
      </c>
      <c r="H11" s="91">
        <v>0.0</v>
      </c>
      <c r="I11" s="90">
        <v>6.0</v>
      </c>
      <c r="J11" s="90">
        <v>2.0</v>
      </c>
      <c r="K11" s="90">
        <v>6.0</v>
      </c>
      <c r="L11" s="92">
        <v>14.0</v>
      </c>
      <c r="M11" s="90">
        <v>1.0</v>
      </c>
      <c r="N11" s="37">
        <f t="shared" ref="N11:O11" si="16">C11+L11</f>
        <v>30</v>
      </c>
      <c r="O11" s="37">
        <f t="shared" si="16"/>
        <v>3</v>
      </c>
      <c r="P11" s="50" t="s">
        <v>60</v>
      </c>
      <c r="Q11" s="50" t="s">
        <v>60</v>
      </c>
      <c r="R11" s="50" t="s">
        <v>60</v>
      </c>
      <c r="S11" s="51">
        <f t="shared" si="4"/>
        <v>2</v>
      </c>
      <c r="T11" s="52">
        <f t="shared" si="5"/>
        <v>0</v>
      </c>
      <c r="U11" s="52"/>
      <c r="V11" s="51">
        <f t="shared" si="6"/>
        <v>0</v>
      </c>
      <c r="W11" s="52">
        <f t="shared" si="7"/>
        <v>1</v>
      </c>
      <c r="X11" s="35">
        <f t="shared" si="12"/>
        <v>7</v>
      </c>
      <c r="Y11" s="35" t="str">
        <f t="shared" si="8"/>
        <v>Y</v>
      </c>
      <c r="Z11" s="22" t="str">
        <f t="shared" si="9"/>
        <v/>
      </c>
    </row>
    <row r="12">
      <c r="A12" s="35">
        <f t="shared" si="10"/>
        <v>8</v>
      </c>
      <c r="B12" s="36" t="s">
        <v>111</v>
      </c>
      <c r="C12" s="37">
        <v>16.0</v>
      </c>
      <c r="D12" s="37">
        <v>2.0</v>
      </c>
      <c r="E12" s="42">
        <f t="shared" si="2"/>
        <v>8</v>
      </c>
      <c r="F12" s="89">
        <v>1.0</v>
      </c>
      <c r="G12" s="90">
        <v>2.0</v>
      </c>
      <c r="H12" s="91">
        <v>0.0</v>
      </c>
      <c r="I12" s="90">
        <v>6.0</v>
      </c>
      <c r="J12" s="90">
        <v>6.0</v>
      </c>
      <c r="K12" s="90">
        <v>4.0</v>
      </c>
      <c r="L12" s="92">
        <v>16.0</v>
      </c>
      <c r="M12" s="90">
        <v>1.0</v>
      </c>
      <c r="N12" s="37">
        <f t="shared" ref="N12:O12" si="17">C12+L12</f>
        <v>32</v>
      </c>
      <c r="O12" s="37">
        <f t="shared" si="17"/>
        <v>3</v>
      </c>
      <c r="P12" s="50" t="s">
        <v>60</v>
      </c>
      <c r="Q12" s="50" t="s">
        <v>60</v>
      </c>
      <c r="R12" s="50" t="s">
        <v>60</v>
      </c>
      <c r="S12" s="51">
        <f t="shared" si="4"/>
        <v>2</v>
      </c>
      <c r="T12" s="52">
        <f t="shared" si="5"/>
        <v>0</v>
      </c>
      <c r="U12" s="52"/>
      <c r="V12" s="51">
        <f t="shared" si="6"/>
        <v>0</v>
      </c>
      <c r="W12" s="52">
        <f t="shared" si="7"/>
        <v>30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131</v>
      </c>
      <c r="C13" s="37">
        <v>16.0</v>
      </c>
      <c r="D13" s="37">
        <v>2.0</v>
      </c>
      <c r="E13" s="42">
        <f t="shared" si="2"/>
        <v>8</v>
      </c>
      <c r="F13" s="89">
        <v>1.0</v>
      </c>
      <c r="G13" s="90">
        <v>2.0</v>
      </c>
      <c r="H13" s="91">
        <v>0.0</v>
      </c>
      <c r="I13" s="90">
        <v>7.0</v>
      </c>
      <c r="J13" s="90">
        <v>6.0</v>
      </c>
      <c r="K13" s="90">
        <v>6.0</v>
      </c>
      <c r="L13" s="92">
        <v>19.0</v>
      </c>
      <c r="M13" s="90">
        <v>3.0</v>
      </c>
      <c r="N13" s="37">
        <f t="shared" ref="N13:O13" si="18">C13+L13</f>
        <v>35</v>
      </c>
      <c r="O13" s="37">
        <f t="shared" si="18"/>
        <v>5</v>
      </c>
      <c r="P13" s="50" t="s">
        <v>60</v>
      </c>
      <c r="Q13" s="50" t="s">
        <v>60</v>
      </c>
      <c r="R13" s="50" t="s">
        <v>60</v>
      </c>
      <c r="S13" s="51">
        <f t="shared" si="4"/>
        <v>2</v>
      </c>
      <c r="T13" s="52">
        <f t="shared" si="5"/>
        <v>0</v>
      </c>
      <c r="U13" s="52"/>
      <c r="V13" s="51">
        <f t="shared" si="6"/>
        <v>0</v>
      </c>
      <c r="W13" s="52">
        <f t="shared" si="7"/>
        <v>32</v>
      </c>
      <c r="X13" s="35">
        <f t="shared" si="12"/>
        <v>9</v>
      </c>
      <c r="Y13" s="35" t="str">
        <f t="shared" si="8"/>
        <v>Y</v>
      </c>
      <c r="Z13" s="22" t="str">
        <f t="shared" si="9"/>
        <v/>
      </c>
    </row>
    <row r="14">
      <c r="A14" s="35">
        <f t="shared" si="10"/>
        <v>10</v>
      </c>
      <c r="B14" s="36" t="s">
        <v>81</v>
      </c>
      <c r="C14" s="37">
        <v>16.0</v>
      </c>
      <c r="D14" s="37">
        <v>2.0</v>
      </c>
      <c r="E14" s="42">
        <f t="shared" si="2"/>
        <v>7</v>
      </c>
      <c r="F14" s="89">
        <v>3.0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25</v>
      </c>
      <c r="O14" s="37">
        <f t="shared" si="19"/>
        <v>2</v>
      </c>
      <c r="P14" s="50" t="s">
        <v>60</v>
      </c>
      <c r="Q14" s="50" t="s">
        <v>60</v>
      </c>
      <c r="R14" s="50" t="s">
        <v>60</v>
      </c>
      <c r="S14" s="51">
        <f t="shared" si="4"/>
        <v>1</v>
      </c>
      <c r="T14" s="52">
        <f t="shared" si="5"/>
        <v>0</v>
      </c>
      <c r="U14" s="52"/>
      <c r="V14" s="51">
        <f t="shared" si="6"/>
        <v>1</v>
      </c>
      <c r="W14" s="52">
        <f t="shared" si="7"/>
        <v>49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144</v>
      </c>
      <c r="C15" s="37">
        <v>15.0</v>
      </c>
      <c r="D15" s="37">
        <v>2.0</v>
      </c>
      <c r="E15" s="42">
        <f t="shared" si="2"/>
        <v>6</v>
      </c>
      <c r="F15" s="89">
        <v>3.0</v>
      </c>
      <c r="G15" s="90">
        <v>0.0</v>
      </c>
      <c r="H15" s="91">
        <v>9.0</v>
      </c>
      <c r="I15" s="90">
        <v>0.0</v>
      </c>
      <c r="J15" s="90">
        <v>0.0</v>
      </c>
      <c r="K15" s="90">
        <v>0.0</v>
      </c>
      <c r="L15" s="92">
        <v>9.0</v>
      </c>
      <c r="M15" s="90">
        <v>0.0</v>
      </c>
      <c r="N15" s="37">
        <f t="shared" ref="N15:O15" si="20">C15+L15</f>
        <v>24</v>
      </c>
      <c r="O15" s="37">
        <f t="shared" si="20"/>
        <v>2</v>
      </c>
      <c r="P15" s="50" t="s">
        <v>60</v>
      </c>
      <c r="Q15" s="50" t="s">
        <v>60</v>
      </c>
      <c r="R15" s="50" t="s">
        <v>60</v>
      </c>
      <c r="S15" s="51">
        <f t="shared" si="4"/>
        <v>1</v>
      </c>
      <c r="T15" s="52">
        <f t="shared" si="5"/>
        <v>0</v>
      </c>
      <c r="U15" s="52"/>
      <c r="V15" s="51">
        <f t="shared" si="6"/>
        <v>1</v>
      </c>
      <c r="W15" s="52">
        <f t="shared" si="7"/>
        <v>14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125</v>
      </c>
      <c r="C16" s="37">
        <v>15.0</v>
      </c>
      <c r="D16" s="37">
        <v>2.0</v>
      </c>
      <c r="E16" s="42">
        <f t="shared" si="2"/>
        <v>2</v>
      </c>
      <c r="F16" s="89">
        <v>5.0</v>
      </c>
      <c r="G16" s="90">
        <v>0.0</v>
      </c>
      <c r="H16" s="91">
        <v>13.0</v>
      </c>
      <c r="I16" s="90">
        <v>0.0</v>
      </c>
      <c r="J16" s="90">
        <v>0.0</v>
      </c>
      <c r="K16" s="90">
        <v>0.0</v>
      </c>
      <c r="L16" s="92">
        <v>13.0</v>
      </c>
      <c r="M16" s="90">
        <v>0.0</v>
      </c>
      <c r="N16" s="37">
        <f t="shared" ref="N16:O16" si="21">C16+L16</f>
        <v>28</v>
      </c>
      <c r="O16" s="37">
        <f t="shared" si="21"/>
        <v>2</v>
      </c>
      <c r="P16" s="50" t="s">
        <v>60</v>
      </c>
      <c r="Q16" s="50" t="s">
        <v>60</v>
      </c>
      <c r="R16" s="50" t="s">
        <v>60</v>
      </c>
      <c r="S16" s="51">
        <f t="shared" si="4"/>
        <v>1</v>
      </c>
      <c r="T16" s="52">
        <f t="shared" si="5"/>
        <v>1</v>
      </c>
      <c r="U16" s="52"/>
      <c r="V16" s="51">
        <f t="shared" si="6"/>
        <v>0</v>
      </c>
      <c r="W16" s="52">
        <f t="shared" si="7"/>
        <v>24</v>
      </c>
      <c r="X16" s="35">
        <f t="shared" si="12"/>
        <v>12</v>
      </c>
      <c r="Y16" s="35" t="str">
        <f t="shared" si="8"/>
        <v>N</v>
      </c>
      <c r="Z16" s="22" t="str">
        <f t="shared" si="9"/>
        <v/>
      </c>
    </row>
    <row r="17">
      <c r="A17" s="35">
        <f t="shared" si="10"/>
        <v>13</v>
      </c>
      <c r="B17" s="36" t="s">
        <v>89</v>
      </c>
      <c r="C17" s="37">
        <v>15.0</v>
      </c>
      <c r="D17" s="37">
        <v>2.0</v>
      </c>
      <c r="E17" s="42">
        <f t="shared" si="2"/>
        <v>6</v>
      </c>
      <c r="F17" s="89">
        <v>3.0</v>
      </c>
      <c r="G17" s="90">
        <v>0.0</v>
      </c>
      <c r="H17" s="91">
        <v>9.0</v>
      </c>
      <c r="I17" s="90">
        <v>0.0</v>
      </c>
      <c r="J17" s="90">
        <v>0.0</v>
      </c>
      <c r="K17" s="90">
        <v>0.0</v>
      </c>
      <c r="L17" s="92">
        <v>9.0</v>
      </c>
      <c r="M17" s="90">
        <v>0.0</v>
      </c>
      <c r="N17" s="37">
        <f t="shared" ref="N17:O17" si="22">C17+L17</f>
        <v>24</v>
      </c>
      <c r="O17" s="37">
        <f t="shared" si="22"/>
        <v>2</v>
      </c>
      <c r="P17" s="50" t="s">
        <v>60</v>
      </c>
      <c r="Q17" s="50" t="s">
        <v>60</v>
      </c>
      <c r="R17" s="50" t="s">
        <v>60</v>
      </c>
      <c r="S17" s="51">
        <f t="shared" si="4"/>
        <v>1</v>
      </c>
      <c r="T17" s="52">
        <f t="shared" si="5"/>
        <v>0</v>
      </c>
      <c r="U17" s="52"/>
      <c r="V17" s="51">
        <f t="shared" si="6"/>
        <v>1</v>
      </c>
      <c r="W17" s="52">
        <f t="shared" si="7"/>
        <v>39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52</v>
      </c>
      <c r="C18" s="37">
        <v>15.0</v>
      </c>
      <c r="D18" s="37">
        <v>2.0</v>
      </c>
      <c r="E18" s="42">
        <f t="shared" si="2"/>
        <v>2</v>
      </c>
      <c r="F18" s="89">
        <v>5.0</v>
      </c>
      <c r="G18" s="90">
        <v>0.0</v>
      </c>
      <c r="H18" s="91">
        <v>13.0</v>
      </c>
      <c r="I18" s="90">
        <v>0.0</v>
      </c>
      <c r="J18" s="90">
        <v>0.0</v>
      </c>
      <c r="K18" s="90">
        <v>0.0</v>
      </c>
      <c r="L18" s="92">
        <v>13.0</v>
      </c>
      <c r="M18" s="90">
        <v>0.0</v>
      </c>
      <c r="N18" s="37">
        <f t="shared" ref="N18:O18" si="23">C18+L18</f>
        <v>28</v>
      </c>
      <c r="O18" s="37">
        <f t="shared" si="23"/>
        <v>2</v>
      </c>
      <c r="P18" s="50" t="s">
        <v>60</v>
      </c>
      <c r="Q18" s="50" t="s">
        <v>60</v>
      </c>
      <c r="R18" s="50" t="s">
        <v>60</v>
      </c>
      <c r="S18" s="51">
        <f t="shared" si="4"/>
        <v>1</v>
      </c>
      <c r="T18" s="52">
        <f t="shared" si="5"/>
        <v>1</v>
      </c>
      <c r="U18" s="52"/>
      <c r="V18" s="51">
        <f t="shared" si="6"/>
        <v>0</v>
      </c>
      <c r="W18" s="52">
        <f t="shared" si="7"/>
        <v>49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114</v>
      </c>
      <c r="C19" s="37">
        <v>14.0</v>
      </c>
      <c r="D19" s="37">
        <v>2.0</v>
      </c>
      <c r="E19" s="42">
        <f t="shared" si="2"/>
        <v>7</v>
      </c>
      <c r="F19" s="89">
        <v>1.0</v>
      </c>
      <c r="G19" s="90">
        <v>2.0</v>
      </c>
      <c r="H19" s="91">
        <v>0.0</v>
      </c>
      <c r="I19" s="90">
        <v>7.0</v>
      </c>
      <c r="J19" s="90">
        <v>2.0</v>
      </c>
      <c r="K19" s="90">
        <v>4.0</v>
      </c>
      <c r="L19" s="92">
        <v>13.0</v>
      </c>
      <c r="M19" s="90">
        <v>1.0</v>
      </c>
      <c r="N19" s="37">
        <f t="shared" ref="N19:O19" si="24">C19+L19</f>
        <v>27</v>
      </c>
      <c r="O19" s="37">
        <f t="shared" si="24"/>
        <v>3</v>
      </c>
      <c r="P19" s="50" t="s">
        <v>60</v>
      </c>
      <c r="Q19" s="50" t="s">
        <v>60</v>
      </c>
      <c r="R19" s="50" t="s">
        <v>60</v>
      </c>
      <c r="S19" s="51">
        <f t="shared" si="4"/>
        <v>2</v>
      </c>
      <c r="T19" s="52">
        <f t="shared" si="5"/>
        <v>0</v>
      </c>
      <c r="U19" s="52"/>
      <c r="V19" s="51">
        <f t="shared" si="6"/>
        <v>0</v>
      </c>
      <c r="W19" s="52">
        <f t="shared" si="7"/>
        <v>-8</v>
      </c>
      <c r="X19" s="35">
        <f t="shared" si="12"/>
        <v>15</v>
      </c>
      <c r="Y19" s="35" t="str">
        <f t="shared" si="8"/>
        <v>Y</v>
      </c>
      <c r="Z19" s="22" t="str">
        <f t="shared" si="9"/>
        <v/>
      </c>
    </row>
    <row r="20">
      <c r="A20" s="35">
        <f t="shared" si="10"/>
        <v>16</v>
      </c>
      <c r="B20" s="36" t="s">
        <v>136</v>
      </c>
      <c r="C20" s="37">
        <v>14.0</v>
      </c>
      <c r="D20" s="37">
        <v>2.0</v>
      </c>
      <c r="E20" s="42">
        <f t="shared" si="2"/>
        <v>5</v>
      </c>
      <c r="F20" s="89">
        <v>3.0</v>
      </c>
      <c r="G20" s="90">
        <v>0.0</v>
      </c>
      <c r="H20" s="91">
        <v>9.0</v>
      </c>
      <c r="I20" s="90">
        <v>0.0</v>
      </c>
      <c r="J20" s="90">
        <v>0.0</v>
      </c>
      <c r="K20" s="90">
        <v>0.0</v>
      </c>
      <c r="L20" s="92">
        <v>9.0</v>
      </c>
      <c r="M20" s="90">
        <v>0.0</v>
      </c>
      <c r="N20" s="37">
        <f t="shared" ref="N20:O20" si="25">C20+L20</f>
        <v>23</v>
      </c>
      <c r="O20" s="37">
        <f t="shared" si="25"/>
        <v>2</v>
      </c>
      <c r="P20" s="50" t="s">
        <v>60</v>
      </c>
      <c r="Q20" s="50" t="s">
        <v>60</v>
      </c>
      <c r="R20" s="50" t="s">
        <v>60</v>
      </c>
      <c r="S20" s="51">
        <f t="shared" si="4"/>
        <v>1</v>
      </c>
      <c r="T20" s="52">
        <f t="shared" si="5"/>
        <v>0</v>
      </c>
      <c r="U20" s="52"/>
      <c r="V20" s="51">
        <f t="shared" si="6"/>
        <v>1</v>
      </c>
      <c r="W20" s="52">
        <f t="shared" si="7"/>
        <v>-4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97</v>
      </c>
      <c r="C21" s="37">
        <v>14.0</v>
      </c>
      <c r="D21" s="37">
        <v>2.0</v>
      </c>
      <c r="E21" s="42">
        <f t="shared" si="2"/>
        <v>7</v>
      </c>
      <c r="F21" s="89">
        <v>1.0</v>
      </c>
      <c r="G21" s="90">
        <v>3.0</v>
      </c>
      <c r="H21" s="91">
        <v>0.0</v>
      </c>
      <c r="I21" s="90">
        <v>1.0</v>
      </c>
      <c r="J21" s="90">
        <v>2.0</v>
      </c>
      <c r="K21" s="90">
        <v>5.0</v>
      </c>
      <c r="L21" s="92">
        <v>8.0</v>
      </c>
      <c r="M21" s="90">
        <v>0.0</v>
      </c>
      <c r="N21" s="37">
        <f t="shared" ref="N21:O21" si="26">C21+L21</f>
        <v>22</v>
      </c>
      <c r="O21" s="37">
        <f t="shared" si="26"/>
        <v>2</v>
      </c>
      <c r="P21" s="50" t="s">
        <v>60</v>
      </c>
      <c r="Q21" s="50" t="s">
        <v>60</v>
      </c>
      <c r="R21" s="50" t="s">
        <v>60</v>
      </c>
      <c r="S21" s="51">
        <f t="shared" si="4"/>
        <v>2</v>
      </c>
      <c r="T21" s="52">
        <f t="shared" si="5"/>
        <v>0</v>
      </c>
      <c r="U21" s="52"/>
      <c r="V21" s="51">
        <f t="shared" si="6"/>
        <v>0</v>
      </c>
      <c r="W21" s="52">
        <f t="shared" si="7"/>
        <v>41</v>
      </c>
      <c r="X21" s="35">
        <f t="shared" si="12"/>
        <v>17</v>
      </c>
      <c r="Y21" s="35" t="str">
        <f t="shared" si="8"/>
        <v>Y</v>
      </c>
      <c r="Z21" s="22" t="str">
        <f t="shared" si="9"/>
        <v/>
      </c>
    </row>
    <row r="22">
      <c r="A22" s="35">
        <f t="shared" si="10"/>
        <v>18</v>
      </c>
      <c r="B22" s="36" t="s">
        <v>140</v>
      </c>
      <c r="C22" s="37">
        <v>13.0</v>
      </c>
      <c r="D22" s="37">
        <v>2.0</v>
      </c>
      <c r="E22" s="42">
        <f t="shared" si="2"/>
        <v>6.5</v>
      </c>
      <c r="F22" s="89">
        <v>1.0</v>
      </c>
      <c r="G22" s="90">
        <v>3.0</v>
      </c>
      <c r="H22" s="91">
        <v>0.0</v>
      </c>
      <c r="I22" s="90">
        <v>6.0</v>
      </c>
      <c r="J22" s="90">
        <v>2.0</v>
      </c>
      <c r="K22" s="90">
        <v>7.0</v>
      </c>
      <c r="L22" s="92">
        <v>15.0</v>
      </c>
      <c r="M22" s="90">
        <v>2.0</v>
      </c>
      <c r="N22" s="37">
        <f t="shared" ref="N22:O22" si="27">C22+L22</f>
        <v>28</v>
      </c>
      <c r="O22" s="37">
        <f t="shared" si="27"/>
        <v>4</v>
      </c>
      <c r="P22" s="50" t="s">
        <v>60</v>
      </c>
      <c r="Q22" s="50" t="s">
        <v>60</v>
      </c>
      <c r="R22" s="50" t="s">
        <v>60</v>
      </c>
      <c r="S22" s="51">
        <f t="shared" si="4"/>
        <v>2</v>
      </c>
      <c r="T22" s="52">
        <f t="shared" si="5"/>
        <v>0</v>
      </c>
      <c r="U22" s="52"/>
      <c r="V22" s="51">
        <f t="shared" si="6"/>
        <v>0</v>
      </c>
      <c r="W22" s="52">
        <f t="shared" si="7"/>
        <v>-13</v>
      </c>
      <c r="X22" s="35">
        <f t="shared" si="12"/>
        <v>18</v>
      </c>
      <c r="Y22" s="35" t="str">
        <f t="shared" si="8"/>
        <v>Y</v>
      </c>
      <c r="Z22" s="22" t="str">
        <f t="shared" si="9"/>
        <v/>
      </c>
    </row>
    <row r="23">
      <c r="A23" s="35">
        <f t="shared" si="10"/>
        <v>19</v>
      </c>
      <c r="B23" s="36" t="s">
        <v>68</v>
      </c>
      <c r="C23" s="37">
        <v>13.0</v>
      </c>
      <c r="D23" s="37">
        <v>2.0</v>
      </c>
      <c r="E23" s="42">
        <f t="shared" si="2"/>
        <v>6.5</v>
      </c>
      <c r="F23" s="89">
        <v>1.0</v>
      </c>
      <c r="G23" s="90">
        <v>3.0</v>
      </c>
      <c r="H23" s="91">
        <v>0.0</v>
      </c>
      <c r="I23" s="90">
        <v>6.0</v>
      </c>
      <c r="J23" s="90">
        <v>6.0</v>
      </c>
      <c r="K23" s="90">
        <v>5.0</v>
      </c>
      <c r="L23" s="92">
        <v>17.0</v>
      </c>
      <c r="M23" s="90">
        <v>2.0</v>
      </c>
      <c r="N23" s="37">
        <f t="shared" ref="N23:O23" si="28">C23+L23</f>
        <v>30</v>
      </c>
      <c r="O23" s="37">
        <f t="shared" si="28"/>
        <v>4</v>
      </c>
      <c r="P23" s="50" t="s">
        <v>60</v>
      </c>
      <c r="Q23" s="50" t="s">
        <v>60</v>
      </c>
      <c r="R23" s="50" t="s">
        <v>60</v>
      </c>
      <c r="S23" s="51">
        <f t="shared" si="4"/>
        <v>2</v>
      </c>
      <c r="T23" s="52">
        <f t="shared" si="5"/>
        <v>0</v>
      </c>
      <c r="U23" s="52"/>
      <c r="V23" s="51">
        <f t="shared" si="6"/>
        <v>0</v>
      </c>
      <c r="W23" s="52">
        <f t="shared" si="7"/>
        <v>45</v>
      </c>
      <c r="X23" s="35">
        <f t="shared" si="12"/>
        <v>19</v>
      </c>
      <c r="Y23" s="35" t="str">
        <f t="shared" si="8"/>
        <v>Y</v>
      </c>
      <c r="Z23" s="22" t="str">
        <f t="shared" si="9"/>
        <v/>
      </c>
    </row>
    <row r="24">
      <c r="A24" s="35">
        <f t="shared" si="10"/>
        <v>20</v>
      </c>
      <c r="B24" s="36" t="s">
        <v>141</v>
      </c>
      <c r="C24" s="37">
        <v>13.0</v>
      </c>
      <c r="D24" s="37">
        <v>2.0</v>
      </c>
      <c r="E24" s="42">
        <f t="shared" si="2"/>
        <v>0</v>
      </c>
      <c r="F24" s="89">
        <v>5.0</v>
      </c>
      <c r="G24" s="90">
        <v>0.0</v>
      </c>
      <c r="H24" s="91">
        <v>13.0</v>
      </c>
      <c r="I24" s="90">
        <v>0.0</v>
      </c>
      <c r="J24" s="90">
        <v>0.0</v>
      </c>
      <c r="K24" s="90">
        <v>0.0</v>
      </c>
      <c r="L24" s="92">
        <v>13.0</v>
      </c>
      <c r="M24" s="90">
        <v>0.0</v>
      </c>
      <c r="N24" s="37">
        <f t="shared" ref="N24:O24" si="29">C24+L24</f>
        <v>26</v>
      </c>
      <c r="O24" s="37">
        <f t="shared" si="29"/>
        <v>2</v>
      </c>
      <c r="P24" s="50" t="s">
        <v>60</v>
      </c>
      <c r="Q24" s="50" t="s">
        <v>60</v>
      </c>
      <c r="R24" s="50" t="s">
        <v>60</v>
      </c>
      <c r="S24" s="51">
        <f t="shared" si="4"/>
        <v>1</v>
      </c>
      <c r="T24" s="52">
        <f t="shared" si="5"/>
        <v>1</v>
      </c>
      <c r="U24" s="52"/>
      <c r="V24" s="51">
        <f t="shared" si="6"/>
        <v>0</v>
      </c>
      <c r="W24" s="52">
        <f t="shared" si="7"/>
        <v>45</v>
      </c>
      <c r="X24" s="35">
        <f t="shared" si="12"/>
        <v>20</v>
      </c>
      <c r="Y24" s="35" t="str">
        <f t="shared" si="8"/>
        <v>N</v>
      </c>
      <c r="Z24" s="22" t="str">
        <f t="shared" si="9"/>
        <v/>
      </c>
    </row>
    <row r="25">
      <c r="A25" s="35">
        <f t="shared" si="10"/>
        <v>21</v>
      </c>
      <c r="B25" s="36" t="s">
        <v>102</v>
      </c>
      <c r="C25" s="37">
        <v>13.0</v>
      </c>
      <c r="D25" s="37">
        <v>0.0</v>
      </c>
      <c r="E25" s="42">
        <f t="shared" si="2"/>
        <v>0</v>
      </c>
      <c r="F25" s="89">
        <v>1.0</v>
      </c>
      <c r="G25" s="90">
        <v>3.0</v>
      </c>
      <c r="H25" s="91">
        <v>0.0</v>
      </c>
      <c r="I25" s="90">
        <v>1.0</v>
      </c>
      <c r="J25" s="90">
        <v>6.0</v>
      </c>
      <c r="K25" s="90">
        <v>7.0</v>
      </c>
      <c r="L25" s="92">
        <v>14.0</v>
      </c>
      <c r="M25" s="90">
        <v>2.0</v>
      </c>
      <c r="N25" s="37">
        <f t="shared" ref="N25:O25" si="30">C25+L25</f>
        <v>27</v>
      </c>
      <c r="O25" s="37">
        <f t="shared" si="30"/>
        <v>2</v>
      </c>
      <c r="P25" s="50" t="s">
        <v>60</v>
      </c>
      <c r="Q25" s="50" t="s">
        <v>60</v>
      </c>
      <c r="R25" s="50" t="s">
        <v>60</v>
      </c>
      <c r="S25" s="51">
        <f t="shared" si="4"/>
        <v>1</v>
      </c>
      <c r="T25" s="52">
        <f t="shared" si="5"/>
        <v>1</v>
      </c>
      <c r="U25" s="52"/>
      <c r="V25" s="51">
        <f t="shared" si="6"/>
        <v>0</v>
      </c>
      <c r="W25" s="52">
        <f t="shared" si="7"/>
        <v>6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133</v>
      </c>
      <c r="C26" s="37">
        <v>13.0</v>
      </c>
      <c r="D26" s="37">
        <v>0.0</v>
      </c>
      <c r="E26" s="42">
        <f t="shared" si="2"/>
        <v>0</v>
      </c>
      <c r="F26" s="89">
        <v>3.0</v>
      </c>
      <c r="G26" s="90">
        <v>0.0</v>
      </c>
      <c r="H26" s="91">
        <v>9.0</v>
      </c>
      <c r="I26" s="90">
        <v>0.0</v>
      </c>
      <c r="J26" s="90">
        <v>0.0</v>
      </c>
      <c r="K26" s="90">
        <v>0.0</v>
      </c>
      <c r="L26" s="92">
        <v>9.0</v>
      </c>
      <c r="M26" s="90">
        <v>0.0</v>
      </c>
      <c r="N26" s="37">
        <f t="shared" ref="N26:O26" si="31">C26+L26</f>
        <v>22</v>
      </c>
      <c r="O26" s="37">
        <f t="shared" si="31"/>
        <v>0</v>
      </c>
      <c r="P26" s="50" t="s">
        <v>60</v>
      </c>
      <c r="Q26" s="50" t="s">
        <v>60</v>
      </c>
      <c r="R26" s="50" t="s">
        <v>60</v>
      </c>
      <c r="S26" s="51">
        <f t="shared" si="4"/>
        <v>0</v>
      </c>
      <c r="T26" s="52">
        <f t="shared" si="5"/>
        <v>1</v>
      </c>
      <c r="U26" s="52"/>
      <c r="V26" s="51">
        <f t="shared" si="6"/>
        <v>1</v>
      </c>
      <c r="W26" s="52">
        <f t="shared" si="7"/>
        <v>8</v>
      </c>
      <c r="X26" s="35">
        <f t="shared" si="12"/>
        <v>22</v>
      </c>
      <c r="Y26" s="35" t="str">
        <f t="shared" si="8"/>
        <v>N</v>
      </c>
      <c r="Z26" s="22" t="str">
        <f t="shared" si="9"/>
        <v/>
      </c>
    </row>
    <row r="27">
      <c r="A27" s="35">
        <f t="shared" si="10"/>
        <v>23</v>
      </c>
      <c r="B27" s="36" t="s">
        <v>104</v>
      </c>
      <c r="C27" s="37">
        <v>13.0</v>
      </c>
      <c r="D27" s="37">
        <v>0.0</v>
      </c>
      <c r="E27" s="42">
        <f t="shared" si="2"/>
        <v>0</v>
      </c>
      <c r="F27" s="89">
        <v>3.0</v>
      </c>
      <c r="G27" s="90">
        <v>0.0</v>
      </c>
      <c r="H27" s="91">
        <v>9.0</v>
      </c>
      <c r="I27" s="90">
        <v>0.0</v>
      </c>
      <c r="J27" s="90">
        <v>0.0</v>
      </c>
      <c r="K27" s="90">
        <v>0.0</v>
      </c>
      <c r="L27" s="92">
        <v>9.0</v>
      </c>
      <c r="M27" s="90">
        <v>0.0</v>
      </c>
      <c r="N27" s="37">
        <f t="shared" ref="N27:O27" si="32">C27+L27</f>
        <v>22</v>
      </c>
      <c r="O27" s="37">
        <f t="shared" si="32"/>
        <v>0</v>
      </c>
      <c r="P27" s="50" t="s">
        <v>60</v>
      </c>
      <c r="Q27" s="50" t="s">
        <v>60</v>
      </c>
      <c r="R27" s="50" t="s">
        <v>60</v>
      </c>
      <c r="S27" s="51">
        <f t="shared" si="4"/>
        <v>0</v>
      </c>
      <c r="T27" s="52">
        <f t="shared" si="5"/>
        <v>1</v>
      </c>
      <c r="U27" s="52"/>
      <c r="V27" s="51">
        <f t="shared" si="6"/>
        <v>1</v>
      </c>
      <c r="W27" s="52">
        <f t="shared" si="7"/>
        <v>26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107</v>
      </c>
      <c r="C28" s="37">
        <v>13.0</v>
      </c>
      <c r="D28" s="37">
        <v>0.0</v>
      </c>
      <c r="E28" s="42">
        <f t="shared" si="2"/>
        <v>0</v>
      </c>
      <c r="F28" s="89">
        <v>1.0</v>
      </c>
      <c r="G28" s="90">
        <v>4.0</v>
      </c>
      <c r="H28" s="91">
        <v>0.0</v>
      </c>
      <c r="I28" s="90">
        <v>6.0</v>
      </c>
      <c r="J28" s="90">
        <v>2.0</v>
      </c>
      <c r="K28" s="90">
        <v>7.0</v>
      </c>
      <c r="L28" s="92">
        <v>15.0</v>
      </c>
      <c r="M28" s="90">
        <v>2.0</v>
      </c>
      <c r="N28" s="37">
        <f t="shared" ref="N28:O28" si="33">C28+L28</f>
        <v>28</v>
      </c>
      <c r="O28" s="37">
        <f t="shared" si="33"/>
        <v>2</v>
      </c>
      <c r="P28" s="50" t="s">
        <v>60</v>
      </c>
      <c r="Q28" s="50" t="s">
        <v>60</v>
      </c>
      <c r="R28" s="50" t="s">
        <v>60</v>
      </c>
      <c r="S28" s="51">
        <f t="shared" si="4"/>
        <v>1</v>
      </c>
      <c r="T28" s="52">
        <f t="shared" si="5"/>
        <v>1</v>
      </c>
      <c r="U28" s="52"/>
      <c r="V28" s="51">
        <f t="shared" si="6"/>
        <v>0</v>
      </c>
      <c r="W28" s="52">
        <f t="shared" si="7"/>
        <v>31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134</v>
      </c>
      <c r="C29" s="37">
        <v>13.0</v>
      </c>
      <c r="D29" s="37">
        <v>0.0</v>
      </c>
      <c r="E29" s="42">
        <f t="shared" si="2"/>
        <v>0</v>
      </c>
      <c r="F29" s="89">
        <v>1.0</v>
      </c>
      <c r="G29" s="90">
        <v>4.0</v>
      </c>
      <c r="H29" s="91">
        <v>0.0</v>
      </c>
      <c r="I29" s="90">
        <v>1.0</v>
      </c>
      <c r="J29" s="90">
        <v>2.0</v>
      </c>
      <c r="K29" s="90">
        <v>5.0</v>
      </c>
      <c r="L29" s="92">
        <v>8.0</v>
      </c>
      <c r="M29" s="90">
        <v>0.0</v>
      </c>
      <c r="N29" s="37">
        <f t="shared" ref="N29:O29" si="34">C29+L29</f>
        <v>21</v>
      </c>
      <c r="O29" s="37">
        <f t="shared" si="34"/>
        <v>0</v>
      </c>
      <c r="P29" s="50" t="s">
        <v>60</v>
      </c>
      <c r="Q29" s="50" t="s">
        <v>60</v>
      </c>
      <c r="R29" s="50" t="s">
        <v>60</v>
      </c>
      <c r="S29" s="51">
        <f t="shared" si="4"/>
        <v>1</v>
      </c>
      <c r="T29" s="52">
        <f t="shared" si="5"/>
        <v>1</v>
      </c>
      <c r="U29" s="52"/>
      <c r="V29" s="51">
        <f t="shared" si="6"/>
        <v>0</v>
      </c>
      <c r="W29" s="52">
        <f t="shared" si="7"/>
        <v>41</v>
      </c>
      <c r="X29" s="35">
        <f t="shared" si="12"/>
        <v>25</v>
      </c>
      <c r="Y29" s="35" t="str">
        <f t="shared" si="8"/>
        <v>N</v>
      </c>
      <c r="Z29" s="22" t="str">
        <f t="shared" si="9"/>
        <v/>
      </c>
    </row>
    <row r="30">
      <c r="A30" s="35">
        <f t="shared" si="10"/>
        <v>26</v>
      </c>
      <c r="B30" s="36" t="s">
        <v>87</v>
      </c>
      <c r="C30" s="37">
        <v>12.0</v>
      </c>
      <c r="D30" s="37">
        <v>1.0</v>
      </c>
      <c r="E30" s="42">
        <f t="shared" si="2"/>
        <v>-1</v>
      </c>
      <c r="F30" s="89">
        <v>5.0</v>
      </c>
      <c r="G30" s="90">
        <v>0.0</v>
      </c>
      <c r="H30" s="91">
        <v>13.0</v>
      </c>
      <c r="I30" s="90">
        <v>0.0</v>
      </c>
      <c r="J30" s="90">
        <v>0.0</v>
      </c>
      <c r="K30" s="90">
        <v>0.0</v>
      </c>
      <c r="L30" s="92">
        <v>13.0</v>
      </c>
      <c r="M30" s="90">
        <v>0.0</v>
      </c>
      <c r="N30" s="37">
        <f t="shared" ref="N30:O30" si="35">C30+L30</f>
        <v>25</v>
      </c>
      <c r="O30" s="37">
        <f t="shared" si="35"/>
        <v>1</v>
      </c>
      <c r="P30" s="50" t="s">
        <v>60</v>
      </c>
      <c r="Q30" s="50" t="s">
        <v>60</v>
      </c>
      <c r="R30" s="50" t="s">
        <v>60</v>
      </c>
      <c r="S30" s="51">
        <f t="shared" si="4"/>
        <v>1</v>
      </c>
      <c r="T30" s="52">
        <f t="shared" si="5"/>
        <v>1</v>
      </c>
      <c r="U30" s="52"/>
      <c r="V30" s="51">
        <f t="shared" si="6"/>
        <v>0</v>
      </c>
      <c r="W30" s="52">
        <f t="shared" si="7"/>
        <v>-6</v>
      </c>
      <c r="X30" s="35">
        <f t="shared" si="12"/>
        <v>26</v>
      </c>
      <c r="Y30" s="35" t="str">
        <f t="shared" si="8"/>
        <v>N</v>
      </c>
      <c r="Z30" s="22" t="str">
        <f t="shared" si="9"/>
        <v/>
      </c>
    </row>
    <row r="31">
      <c r="A31" s="35">
        <f t="shared" si="10"/>
        <v>27</v>
      </c>
      <c r="B31" s="36" t="s">
        <v>88</v>
      </c>
      <c r="C31" s="37">
        <v>12.0</v>
      </c>
      <c r="D31" s="37">
        <v>1.0</v>
      </c>
      <c r="E31" s="42">
        <f t="shared" si="2"/>
        <v>-1</v>
      </c>
      <c r="F31" s="89">
        <v>5.0</v>
      </c>
      <c r="G31" s="90">
        <v>0.0</v>
      </c>
      <c r="H31" s="91">
        <v>13.0</v>
      </c>
      <c r="I31" s="90">
        <v>0.0</v>
      </c>
      <c r="J31" s="90">
        <v>0.0</v>
      </c>
      <c r="K31" s="90">
        <v>0.0</v>
      </c>
      <c r="L31" s="92">
        <v>13.0</v>
      </c>
      <c r="M31" s="90">
        <v>0.0</v>
      </c>
      <c r="N31" s="37">
        <f t="shared" ref="N31:O31" si="36">C31+L31</f>
        <v>25</v>
      </c>
      <c r="O31" s="37">
        <f t="shared" si="36"/>
        <v>1</v>
      </c>
      <c r="P31" s="50" t="s">
        <v>60</v>
      </c>
      <c r="Q31" s="50" t="s">
        <v>60</v>
      </c>
      <c r="R31" s="50" t="s">
        <v>60</v>
      </c>
      <c r="S31" s="51">
        <f t="shared" si="4"/>
        <v>1</v>
      </c>
      <c r="T31" s="52">
        <f t="shared" si="5"/>
        <v>1</v>
      </c>
      <c r="U31" s="52"/>
      <c r="V31" s="51">
        <f t="shared" si="6"/>
        <v>0</v>
      </c>
      <c r="W31" s="52">
        <f t="shared" si="7"/>
        <v>21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108</v>
      </c>
      <c r="C32" s="37">
        <v>12.0</v>
      </c>
      <c r="D32" s="37">
        <v>0.0</v>
      </c>
      <c r="E32" s="42">
        <f t="shared" si="2"/>
        <v>-1</v>
      </c>
      <c r="F32" s="89">
        <v>5.0</v>
      </c>
      <c r="G32" s="90">
        <v>0.0</v>
      </c>
      <c r="H32" s="91">
        <v>13.0</v>
      </c>
      <c r="I32" s="90">
        <v>0.0</v>
      </c>
      <c r="J32" s="90">
        <v>0.0</v>
      </c>
      <c r="K32" s="90">
        <v>0.0</v>
      </c>
      <c r="L32" s="92">
        <v>13.0</v>
      </c>
      <c r="M32" s="90">
        <v>0.0</v>
      </c>
      <c r="N32" s="37">
        <f t="shared" ref="N32:O32" si="37">C32+L32</f>
        <v>25</v>
      </c>
      <c r="O32" s="37">
        <f t="shared" si="37"/>
        <v>0</v>
      </c>
      <c r="P32" s="50" t="s">
        <v>60</v>
      </c>
      <c r="Q32" s="50" t="s">
        <v>60</v>
      </c>
      <c r="R32" s="50" t="s">
        <v>60</v>
      </c>
      <c r="S32" s="51">
        <f t="shared" si="4"/>
        <v>1</v>
      </c>
      <c r="T32" s="52">
        <f t="shared" si="5"/>
        <v>1</v>
      </c>
      <c r="U32" s="52"/>
      <c r="V32" s="51">
        <f t="shared" si="6"/>
        <v>0</v>
      </c>
      <c r="W32" s="52">
        <f t="shared" si="7"/>
        <v>-2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106</v>
      </c>
      <c r="C33" s="37">
        <v>11.0</v>
      </c>
      <c r="D33" s="37">
        <v>1.0</v>
      </c>
      <c r="E33" s="42">
        <f t="shared" si="2"/>
        <v>2</v>
      </c>
      <c r="F33" s="89">
        <v>3.0</v>
      </c>
      <c r="G33" s="90">
        <v>0.0</v>
      </c>
      <c r="H33" s="91">
        <v>9.0</v>
      </c>
      <c r="I33" s="90">
        <v>0.0</v>
      </c>
      <c r="J33" s="90">
        <v>0.0</v>
      </c>
      <c r="K33" s="90">
        <v>0.0</v>
      </c>
      <c r="L33" s="92">
        <v>9.0</v>
      </c>
      <c r="M33" s="90">
        <v>0.0</v>
      </c>
      <c r="N33" s="37">
        <f t="shared" ref="N33:O33" si="38">C33+L33</f>
        <v>20</v>
      </c>
      <c r="O33" s="37">
        <f t="shared" si="38"/>
        <v>1</v>
      </c>
      <c r="P33" s="50" t="s">
        <v>60</v>
      </c>
      <c r="Q33" s="50" t="s">
        <v>60</v>
      </c>
      <c r="R33" s="50" t="s">
        <v>60</v>
      </c>
      <c r="S33" s="51">
        <f t="shared" si="4"/>
        <v>1</v>
      </c>
      <c r="T33" s="52">
        <f t="shared" si="5"/>
        <v>0</v>
      </c>
      <c r="U33" s="52"/>
      <c r="V33" s="51">
        <f t="shared" si="6"/>
        <v>1</v>
      </c>
      <c r="W33" s="52">
        <f t="shared" si="7"/>
        <v>-10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126</v>
      </c>
      <c r="C34" s="37">
        <v>11.0</v>
      </c>
      <c r="D34" s="37">
        <v>0.0</v>
      </c>
      <c r="E34" s="42">
        <f t="shared" si="2"/>
        <v>5.5</v>
      </c>
      <c r="F34" s="89">
        <v>1.0</v>
      </c>
      <c r="G34" s="90">
        <v>4.0</v>
      </c>
      <c r="H34" s="91">
        <v>0.0</v>
      </c>
      <c r="I34" s="90">
        <v>6.0</v>
      </c>
      <c r="J34" s="90">
        <v>6.0</v>
      </c>
      <c r="K34" s="90">
        <v>5.0</v>
      </c>
      <c r="L34" s="92">
        <v>17.0</v>
      </c>
      <c r="M34" s="90">
        <v>2.0</v>
      </c>
      <c r="N34" s="37">
        <f t="shared" ref="N34:O34" si="39">C34+L34</f>
        <v>28</v>
      </c>
      <c r="O34" s="37">
        <f t="shared" si="39"/>
        <v>2</v>
      </c>
      <c r="P34" s="50" t="s">
        <v>60</v>
      </c>
      <c r="Q34" s="50" t="s">
        <v>60</v>
      </c>
      <c r="R34" s="50" t="s">
        <v>60</v>
      </c>
      <c r="S34" s="51">
        <f t="shared" si="4"/>
        <v>2</v>
      </c>
      <c r="T34" s="52">
        <f t="shared" si="5"/>
        <v>0</v>
      </c>
      <c r="U34" s="52"/>
      <c r="V34" s="51">
        <f t="shared" si="6"/>
        <v>0</v>
      </c>
      <c r="W34" s="52">
        <f t="shared" si="7"/>
        <v>7</v>
      </c>
      <c r="X34" s="35">
        <f t="shared" si="12"/>
        <v>30</v>
      </c>
      <c r="Y34" s="35" t="str">
        <f t="shared" si="8"/>
        <v>Y</v>
      </c>
      <c r="Z34" s="22" t="str">
        <f t="shared" si="9"/>
        <v/>
      </c>
    </row>
    <row r="35">
      <c r="A35" s="35">
        <f t="shared" si="10"/>
        <v>31</v>
      </c>
      <c r="B35" s="36" t="s">
        <v>135</v>
      </c>
      <c r="C35" s="37">
        <v>10.0</v>
      </c>
      <c r="D35" s="37">
        <v>1.0</v>
      </c>
      <c r="E35" s="42">
        <f t="shared" si="2"/>
        <v>5</v>
      </c>
      <c r="F35" s="89">
        <v>1.0</v>
      </c>
      <c r="G35" s="90">
        <v>4.0</v>
      </c>
      <c r="H35" s="91">
        <v>0.0</v>
      </c>
      <c r="I35" s="90">
        <v>1.0</v>
      </c>
      <c r="J35" s="90">
        <v>6.0</v>
      </c>
      <c r="K35" s="90">
        <v>7.0</v>
      </c>
      <c r="L35" s="92">
        <v>14.0</v>
      </c>
      <c r="M35" s="90">
        <v>2.0</v>
      </c>
      <c r="N35" s="37">
        <f t="shared" ref="N35:O35" si="40">C35+L35</f>
        <v>24</v>
      </c>
      <c r="O35" s="37">
        <f t="shared" si="40"/>
        <v>3</v>
      </c>
      <c r="P35" s="50" t="s">
        <v>60</v>
      </c>
      <c r="Q35" s="50" t="s">
        <v>60</v>
      </c>
      <c r="R35" s="50" t="s">
        <v>60</v>
      </c>
      <c r="S35" s="51">
        <f t="shared" si="4"/>
        <v>2</v>
      </c>
      <c r="T35" s="52">
        <f t="shared" si="5"/>
        <v>0</v>
      </c>
      <c r="U35" s="52"/>
      <c r="V35" s="51">
        <f t="shared" si="6"/>
        <v>0</v>
      </c>
      <c r="W35" s="52">
        <f t="shared" si="7"/>
        <v>11</v>
      </c>
      <c r="X35" s="35">
        <f t="shared" si="12"/>
        <v>31</v>
      </c>
      <c r="Y35" s="35" t="str">
        <f t="shared" si="8"/>
        <v>Y</v>
      </c>
      <c r="Z35" s="22" t="str">
        <f t="shared" si="9"/>
        <v/>
      </c>
    </row>
    <row r="36">
      <c r="A36" s="35">
        <f t="shared" si="10"/>
        <v>32</v>
      </c>
      <c r="B36" s="36" t="s">
        <v>127</v>
      </c>
      <c r="C36" s="37">
        <v>10.0</v>
      </c>
      <c r="D36" s="37">
        <v>1.0</v>
      </c>
      <c r="E36" s="42">
        <f t="shared" si="2"/>
        <v>-3</v>
      </c>
      <c r="F36" s="89">
        <v>5.0</v>
      </c>
      <c r="G36" s="90">
        <v>0.0</v>
      </c>
      <c r="H36" s="91">
        <v>13.0</v>
      </c>
      <c r="I36" s="90">
        <v>0.0</v>
      </c>
      <c r="J36" s="90">
        <v>0.0</v>
      </c>
      <c r="K36" s="90">
        <v>0.0</v>
      </c>
      <c r="L36" s="92">
        <v>13.0</v>
      </c>
      <c r="M36" s="90">
        <v>0.0</v>
      </c>
      <c r="N36" s="37">
        <f t="shared" ref="N36:O36" si="41">C36+L36</f>
        <v>23</v>
      </c>
      <c r="O36" s="37">
        <f t="shared" si="41"/>
        <v>1</v>
      </c>
      <c r="P36" s="50" t="s">
        <v>60</v>
      </c>
      <c r="Q36" s="50" t="s">
        <v>60</v>
      </c>
      <c r="R36" s="50" t="s">
        <v>60</v>
      </c>
      <c r="S36" s="51">
        <f t="shared" si="4"/>
        <v>1</v>
      </c>
      <c r="T36" s="52">
        <f t="shared" si="5"/>
        <v>1</v>
      </c>
      <c r="U36" s="52"/>
      <c r="V36" s="51">
        <f t="shared" si="6"/>
        <v>0</v>
      </c>
      <c r="W36" s="52">
        <f t="shared" si="7"/>
        <v>19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129</v>
      </c>
      <c r="C37" s="37">
        <v>9.0</v>
      </c>
      <c r="D37" s="37">
        <v>0.0</v>
      </c>
      <c r="E37" s="42">
        <f t="shared" si="2"/>
        <v>4.5</v>
      </c>
      <c r="F37" s="89">
        <v>1.0</v>
      </c>
      <c r="G37" s="90">
        <v>5.0</v>
      </c>
      <c r="H37" s="91">
        <v>0.0</v>
      </c>
      <c r="I37" s="90">
        <v>6.0</v>
      </c>
      <c r="J37" s="90">
        <v>4.0</v>
      </c>
      <c r="K37" s="90">
        <v>3.0</v>
      </c>
      <c r="L37" s="92">
        <v>13.0</v>
      </c>
      <c r="M37" s="90">
        <v>1.0</v>
      </c>
      <c r="N37" s="37">
        <f t="shared" ref="N37:O37" si="42">C37+L37</f>
        <v>22</v>
      </c>
      <c r="O37" s="37">
        <f t="shared" si="42"/>
        <v>1</v>
      </c>
      <c r="P37" s="50" t="s">
        <v>60</v>
      </c>
      <c r="Q37" s="50" t="s">
        <v>60</v>
      </c>
      <c r="R37" s="50" t="s">
        <v>60</v>
      </c>
      <c r="S37" s="51">
        <f t="shared" si="4"/>
        <v>2</v>
      </c>
      <c r="T37" s="52">
        <f t="shared" si="5"/>
        <v>0</v>
      </c>
      <c r="U37" s="52"/>
      <c r="V37" s="51">
        <f t="shared" si="6"/>
        <v>0</v>
      </c>
      <c r="W37" s="52">
        <f t="shared" si="7"/>
        <v>-32</v>
      </c>
      <c r="X37" s="35">
        <f t="shared" si="12"/>
        <v>33</v>
      </c>
      <c r="Y37" s="35" t="str">
        <f t="shared" si="8"/>
        <v>Y</v>
      </c>
      <c r="Z37" s="22" t="str">
        <f t="shared" si="9"/>
        <v/>
      </c>
    </row>
    <row r="38">
      <c r="A38" s="35">
        <f t="shared" si="10"/>
        <v>34</v>
      </c>
      <c r="B38" s="36" t="s">
        <v>117</v>
      </c>
      <c r="C38" s="37">
        <v>9.0</v>
      </c>
      <c r="D38" s="37">
        <v>0.0</v>
      </c>
      <c r="E38" s="42">
        <f t="shared" si="2"/>
        <v>0</v>
      </c>
      <c r="F38" s="89">
        <v>1.0</v>
      </c>
      <c r="G38" s="90">
        <v>5.0</v>
      </c>
      <c r="H38" s="91">
        <v>0.0</v>
      </c>
      <c r="I38" s="90">
        <v>2.0</v>
      </c>
      <c r="J38" s="90">
        <v>6.0</v>
      </c>
      <c r="K38" s="90">
        <v>3.0</v>
      </c>
      <c r="L38" s="92">
        <v>11.0</v>
      </c>
      <c r="M38" s="90">
        <v>1.0</v>
      </c>
      <c r="N38" s="37">
        <f t="shared" ref="N38:O38" si="43">C38+L38</f>
        <v>20</v>
      </c>
      <c r="O38" s="37">
        <f t="shared" si="43"/>
        <v>1</v>
      </c>
      <c r="P38" s="50" t="s">
        <v>60</v>
      </c>
      <c r="Q38" s="50" t="s">
        <v>60</v>
      </c>
      <c r="R38" s="50" t="s">
        <v>60</v>
      </c>
      <c r="S38" s="51">
        <f t="shared" si="4"/>
        <v>1</v>
      </c>
      <c r="T38" s="52">
        <f t="shared" si="5"/>
        <v>0</v>
      </c>
      <c r="U38" s="52"/>
      <c r="V38" s="51">
        <f t="shared" si="6"/>
        <v>1</v>
      </c>
      <c r="W38" s="52">
        <f t="shared" si="7"/>
        <v>-32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61</v>
      </c>
      <c r="C39" s="37">
        <v>9.0</v>
      </c>
      <c r="D39" s="37">
        <v>0.0</v>
      </c>
      <c r="E39" s="42">
        <f t="shared" si="2"/>
        <v>0</v>
      </c>
      <c r="F39" s="89">
        <v>1.0</v>
      </c>
      <c r="G39" s="90">
        <v>5.0</v>
      </c>
      <c r="H39" s="91">
        <v>0.0</v>
      </c>
      <c r="I39" s="90">
        <v>2.0</v>
      </c>
      <c r="J39" s="90">
        <v>4.0</v>
      </c>
      <c r="K39" s="90">
        <v>6.0</v>
      </c>
      <c r="L39" s="92">
        <v>12.0</v>
      </c>
      <c r="M39" s="90">
        <v>1.0</v>
      </c>
      <c r="N39" s="37">
        <f t="shared" ref="N39:O39" si="44">C39+L39</f>
        <v>21</v>
      </c>
      <c r="O39" s="37">
        <f t="shared" si="44"/>
        <v>1</v>
      </c>
      <c r="P39" s="50" t="s">
        <v>60</v>
      </c>
      <c r="Q39" s="50" t="s">
        <v>60</v>
      </c>
      <c r="R39" s="50" t="s">
        <v>60</v>
      </c>
      <c r="S39" s="51">
        <f t="shared" si="4"/>
        <v>1</v>
      </c>
      <c r="T39" s="52">
        <f t="shared" si="5"/>
        <v>0</v>
      </c>
      <c r="U39" s="52"/>
      <c r="V39" s="51">
        <f t="shared" si="6"/>
        <v>1</v>
      </c>
      <c r="W39" s="52">
        <f t="shared" si="7"/>
        <v>-31</v>
      </c>
      <c r="X39" s="35">
        <f t="shared" si="12"/>
        <v>35</v>
      </c>
      <c r="Y39" s="35" t="str">
        <f t="shared" si="8"/>
        <v>N</v>
      </c>
      <c r="Z39" s="22" t="str">
        <f t="shared" si="9"/>
        <v/>
      </c>
    </row>
    <row r="40">
      <c r="A40" s="35">
        <f t="shared" si="10"/>
        <v>36</v>
      </c>
      <c r="B40" s="36" t="s">
        <v>121</v>
      </c>
      <c r="C40" s="37">
        <v>9.0</v>
      </c>
      <c r="D40" s="37">
        <v>0.0</v>
      </c>
      <c r="E40" s="42">
        <f t="shared" si="2"/>
        <v>0</v>
      </c>
      <c r="F40" s="89">
        <v>1.0</v>
      </c>
      <c r="G40" s="90">
        <v>5.0</v>
      </c>
      <c r="H40" s="91">
        <v>0.0</v>
      </c>
      <c r="I40" s="90">
        <v>6.0</v>
      </c>
      <c r="J40" s="90">
        <v>6.0</v>
      </c>
      <c r="K40" s="90">
        <v>6.0</v>
      </c>
      <c r="L40" s="92">
        <v>18.0</v>
      </c>
      <c r="M40" s="90">
        <v>3.0</v>
      </c>
      <c r="N40" s="37">
        <f t="shared" ref="N40:O40" si="45">C40+L40</f>
        <v>27</v>
      </c>
      <c r="O40" s="37">
        <f t="shared" si="45"/>
        <v>3</v>
      </c>
      <c r="P40" s="50" t="s">
        <v>60</v>
      </c>
      <c r="Q40" s="50" t="s">
        <v>60</v>
      </c>
      <c r="R40" s="50" t="s">
        <v>60</v>
      </c>
      <c r="S40" s="51">
        <f t="shared" si="4"/>
        <v>1</v>
      </c>
      <c r="T40" s="52">
        <f t="shared" si="5"/>
        <v>0</v>
      </c>
      <c r="U40" s="52"/>
      <c r="V40" s="51">
        <f t="shared" si="6"/>
        <v>1</v>
      </c>
      <c r="W40" s="52">
        <f t="shared" si="7"/>
        <v>-26</v>
      </c>
      <c r="X40" s="35">
        <f t="shared" si="12"/>
        <v>36</v>
      </c>
      <c r="Y40" s="35" t="str">
        <f t="shared" si="8"/>
        <v>N</v>
      </c>
      <c r="Z40" s="22" t="str">
        <f t="shared" si="9"/>
        <v/>
      </c>
    </row>
    <row r="41">
      <c r="A41" s="35">
        <f t="shared" si="10"/>
        <v>37</v>
      </c>
      <c r="B41" s="36" t="s">
        <v>84</v>
      </c>
      <c r="C41" s="37">
        <v>9.0</v>
      </c>
      <c r="D41" s="37">
        <v>0.0</v>
      </c>
      <c r="E41" s="42">
        <f t="shared" si="2"/>
        <v>0</v>
      </c>
      <c r="F41" s="89">
        <v>5.0</v>
      </c>
      <c r="G41" s="90">
        <v>0.0</v>
      </c>
      <c r="H41" s="91">
        <v>13.0</v>
      </c>
      <c r="I41" s="90">
        <v>0.0</v>
      </c>
      <c r="J41" s="90">
        <v>0.0</v>
      </c>
      <c r="K41" s="90">
        <v>0.0</v>
      </c>
      <c r="L41" s="92">
        <v>13.0</v>
      </c>
      <c r="M41" s="90">
        <v>0.0</v>
      </c>
      <c r="N41" s="37">
        <f t="shared" ref="N41:O41" si="46">C41+L41</f>
        <v>22</v>
      </c>
      <c r="O41" s="37">
        <f t="shared" si="46"/>
        <v>0</v>
      </c>
      <c r="P41" s="50" t="s">
        <v>60</v>
      </c>
      <c r="Q41" s="50" t="s">
        <v>60</v>
      </c>
      <c r="R41" s="50" t="s">
        <v>60</v>
      </c>
      <c r="S41" s="51">
        <f t="shared" si="4"/>
        <v>0</v>
      </c>
      <c r="T41" s="52">
        <f t="shared" si="5"/>
        <v>1</v>
      </c>
      <c r="U41" s="52"/>
      <c r="V41" s="51">
        <f t="shared" si="6"/>
        <v>1</v>
      </c>
      <c r="W41" s="52">
        <f t="shared" si="7"/>
        <v>-26</v>
      </c>
      <c r="X41" s="35">
        <f t="shared" si="12"/>
        <v>37</v>
      </c>
      <c r="Y41" s="35" t="str">
        <f t="shared" si="8"/>
        <v>N</v>
      </c>
      <c r="Z41" s="22" t="str">
        <f t="shared" si="9"/>
        <v/>
      </c>
    </row>
    <row r="42">
      <c r="A42" s="35">
        <f t="shared" si="10"/>
        <v>38</v>
      </c>
      <c r="B42" s="36" t="s">
        <v>85</v>
      </c>
      <c r="C42" s="37">
        <v>9.0</v>
      </c>
      <c r="D42" s="37">
        <v>0.0</v>
      </c>
      <c r="E42" s="42">
        <f t="shared" si="2"/>
        <v>0</v>
      </c>
      <c r="F42" s="89">
        <v>1.0</v>
      </c>
      <c r="G42" s="90">
        <v>6.0</v>
      </c>
      <c r="H42" s="91">
        <v>0.0</v>
      </c>
      <c r="I42" s="90">
        <v>1.0</v>
      </c>
      <c r="J42" s="90">
        <v>6.0</v>
      </c>
      <c r="K42" s="90">
        <v>6.0</v>
      </c>
      <c r="L42" s="92">
        <v>13.0</v>
      </c>
      <c r="M42" s="90">
        <v>2.0</v>
      </c>
      <c r="N42" s="37">
        <f t="shared" ref="N42:O42" si="47">C42+L42</f>
        <v>22</v>
      </c>
      <c r="O42" s="37">
        <f t="shared" si="47"/>
        <v>2</v>
      </c>
      <c r="P42" s="50" t="s">
        <v>60</v>
      </c>
      <c r="Q42" s="50" t="s">
        <v>60</v>
      </c>
      <c r="R42" s="50" t="s">
        <v>60</v>
      </c>
      <c r="S42" s="51">
        <f t="shared" si="4"/>
        <v>1</v>
      </c>
      <c r="T42" s="52">
        <f t="shared" si="5"/>
        <v>0</v>
      </c>
      <c r="U42" s="52"/>
      <c r="V42" s="51">
        <f t="shared" si="6"/>
        <v>1</v>
      </c>
      <c r="W42" s="52">
        <f t="shared" si="7"/>
        <v>-25</v>
      </c>
      <c r="X42" s="35">
        <f t="shared" si="12"/>
        <v>38</v>
      </c>
      <c r="Y42" s="35" t="str">
        <f t="shared" si="8"/>
        <v>N</v>
      </c>
      <c r="Z42" s="22" t="str">
        <f t="shared" si="9"/>
        <v/>
      </c>
    </row>
    <row r="43">
      <c r="A43" s="35">
        <f t="shared" si="10"/>
        <v>39</v>
      </c>
      <c r="B43" s="36" t="s">
        <v>74</v>
      </c>
      <c r="C43" s="37">
        <v>9.0</v>
      </c>
      <c r="D43" s="37">
        <v>0.0</v>
      </c>
      <c r="E43" s="42">
        <f t="shared" si="2"/>
        <v>0</v>
      </c>
      <c r="F43" s="89">
        <v>1.0</v>
      </c>
      <c r="G43" s="90">
        <v>6.0</v>
      </c>
      <c r="H43" s="91">
        <v>0.0</v>
      </c>
      <c r="I43" s="90">
        <v>6.0</v>
      </c>
      <c r="J43" s="90">
        <v>0.0</v>
      </c>
      <c r="K43" s="90">
        <v>6.0</v>
      </c>
      <c r="L43" s="92">
        <v>12.0</v>
      </c>
      <c r="M43" s="90">
        <v>2.0</v>
      </c>
      <c r="N43" s="37">
        <f t="shared" ref="N43:O43" si="48">C43+L43</f>
        <v>21</v>
      </c>
      <c r="O43" s="37">
        <f t="shared" si="48"/>
        <v>2</v>
      </c>
      <c r="P43" s="50" t="s">
        <v>60</v>
      </c>
      <c r="Q43" s="50" t="s">
        <v>60</v>
      </c>
      <c r="R43" s="50" t="s">
        <v>60</v>
      </c>
      <c r="S43" s="51">
        <f t="shared" si="4"/>
        <v>1</v>
      </c>
      <c r="T43" s="52">
        <f t="shared" si="5"/>
        <v>0</v>
      </c>
      <c r="U43" s="52"/>
      <c r="V43" s="51">
        <f t="shared" si="6"/>
        <v>1</v>
      </c>
      <c r="W43" s="52">
        <f t="shared" si="7"/>
        <v>-25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122</v>
      </c>
      <c r="C44" s="37">
        <v>9.0</v>
      </c>
      <c r="D44" s="37">
        <v>0.0</v>
      </c>
      <c r="E44" s="42">
        <f t="shared" si="2"/>
        <v>0</v>
      </c>
      <c r="F44" s="89">
        <v>1.0</v>
      </c>
      <c r="G44" s="90">
        <v>6.0</v>
      </c>
      <c r="H44" s="91">
        <v>0.0</v>
      </c>
      <c r="I44" s="90">
        <v>6.0</v>
      </c>
      <c r="J44" s="90">
        <v>6.0</v>
      </c>
      <c r="K44" s="90">
        <v>1.0</v>
      </c>
      <c r="L44" s="92">
        <v>13.0</v>
      </c>
      <c r="M44" s="90">
        <v>2.0</v>
      </c>
      <c r="N44" s="37">
        <f t="shared" ref="N44:O44" si="49">C44+L44</f>
        <v>22</v>
      </c>
      <c r="O44" s="37">
        <f t="shared" si="49"/>
        <v>2</v>
      </c>
      <c r="P44" s="50" t="s">
        <v>60</v>
      </c>
      <c r="Q44" s="50" t="s">
        <v>60</v>
      </c>
      <c r="R44" s="50" t="s">
        <v>60</v>
      </c>
      <c r="S44" s="51">
        <f t="shared" si="4"/>
        <v>1</v>
      </c>
      <c r="T44" s="52">
        <f t="shared" si="5"/>
        <v>0</v>
      </c>
      <c r="U44" s="52"/>
      <c r="V44" s="51">
        <f t="shared" si="6"/>
        <v>1</v>
      </c>
      <c r="W44" s="52">
        <f t="shared" si="7"/>
        <v>-25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143</v>
      </c>
      <c r="C45" s="37">
        <v>9.0</v>
      </c>
      <c r="D45" s="37">
        <v>0.0</v>
      </c>
      <c r="E45" s="42">
        <f t="shared" si="2"/>
        <v>0</v>
      </c>
      <c r="F45" s="89">
        <v>3.0</v>
      </c>
      <c r="G45" s="90">
        <v>0.0</v>
      </c>
      <c r="H45" s="91">
        <v>9.0</v>
      </c>
      <c r="I45" s="90">
        <v>0.0</v>
      </c>
      <c r="J45" s="90">
        <v>0.0</v>
      </c>
      <c r="K45" s="90">
        <v>0.0</v>
      </c>
      <c r="L45" s="92">
        <v>9.0</v>
      </c>
      <c r="M45" s="90">
        <v>0.0</v>
      </c>
      <c r="N45" s="37">
        <f t="shared" ref="N45:O45" si="50">C45+L45</f>
        <v>18</v>
      </c>
      <c r="O45" s="37">
        <f t="shared" si="50"/>
        <v>0</v>
      </c>
      <c r="P45" s="50" t="s">
        <v>60</v>
      </c>
      <c r="Q45" s="50" t="s">
        <v>60</v>
      </c>
      <c r="R45" s="50" t="s">
        <v>60</v>
      </c>
      <c r="S45" s="51">
        <f t="shared" si="4"/>
        <v>0</v>
      </c>
      <c r="T45" s="52">
        <f t="shared" si="5"/>
        <v>0</v>
      </c>
      <c r="U45" s="52"/>
      <c r="V45" s="51">
        <f t="shared" si="6"/>
        <v>2</v>
      </c>
      <c r="W45" s="52">
        <f t="shared" si="7"/>
        <v>-25</v>
      </c>
      <c r="X45" s="35">
        <f t="shared" si="12"/>
        <v>41</v>
      </c>
      <c r="Y45" s="35" t="str">
        <f t="shared" si="8"/>
        <v>N</v>
      </c>
      <c r="Z45" s="22" t="str">
        <f t="shared" si="9"/>
        <v/>
      </c>
    </row>
    <row r="46">
      <c r="A46" s="35">
        <f t="shared" si="10"/>
        <v>42</v>
      </c>
      <c r="B46" s="36" t="s">
        <v>90</v>
      </c>
      <c r="C46" s="37">
        <v>9.0</v>
      </c>
      <c r="D46" s="37">
        <v>0.0</v>
      </c>
      <c r="E46" s="42">
        <f t="shared" si="2"/>
        <v>0</v>
      </c>
      <c r="F46" s="89">
        <v>1.0</v>
      </c>
      <c r="G46" s="90">
        <v>6.0</v>
      </c>
      <c r="H46" s="91">
        <v>0.0</v>
      </c>
      <c r="I46" s="90">
        <v>1.0</v>
      </c>
      <c r="J46" s="90">
        <v>0.0</v>
      </c>
      <c r="K46" s="90">
        <v>1.0</v>
      </c>
      <c r="L46" s="92">
        <v>2.0</v>
      </c>
      <c r="M46" s="90">
        <v>0.0</v>
      </c>
      <c r="N46" s="37">
        <f t="shared" ref="N46:O46" si="51">C46+L46</f>
        <v>11</v>
      </c>
      <c r="O46" s="37">
        <f t="shared" si="51"/>
        <v>0</v>
      </c>
      <c r="P46" s="50" t="s">
        <v>60</v>
      </c>
      <c r="Q46" s="50" t="s">
        <v>60</v>
      </c>
      <c r="R46" s="50" t="s">
        <v>60</v>
      </c>
      <c r="S46" s="51">
        <f t="shared" si="4"/>
        <v>1</v>
      </c>
      <c r="T46" s="52">
        <f t="shared" si="5"/>
        <v>0</v>
      </c>
      <c r="U46" s="52"/>
      <c r="V46" s="51">
        <f t="shared" si="6"/>
        <v>1</v>
      </c>
      <c r="W46" s="52">
        <f t="shared" si="7"/>
        <v>-25</v>
      </c>
      <c r="X46" s="35">
        <f t="shared" si="12"/>
        <v>42</v>
      </c>
      <c r="Y46" s="35" t="str">
        <f t="shared" si="8"/>
        <v>N</v>
      </c>
      <c r="Z46" s="22" t="str">
        <f t="shared" si="9"/>
        <v/>
      </c>
    </row>
    <row r="47">
      <c r="A47" s="35">
        <f t="shared" si="10"/>
        <v>43</v>
      </c>
      <c r="B47" s="36" t="s">
        <v>95</v>
      </c>
      <c r="C47" s="37">
        <v>9.0</v>
      </c>
      <c r="D47" s="37">
        <v>0.0</v>
      </c>
      <c r="E47" s="42">
        <f t="shared" si="2"/>
        <v>0</v>
      </c>
      <c r="F47" s="89">
        <v>3.0</v>
      </c>
      <c r="G47" s="90">
        <v>0.0</v>
      </c>
      <c r="H47" s="91">
        <v>9.0</v>
      </c>
      <c r="I47" s="90">
        <v>0.0</v>
      </c>
      <c r="J47" s="90">
        <v>0.0</v>
      </c>
      <c r="K47" s="90">
        <v>0.0</v>
      </c>
      <c r="L47" s="92">
        <v>9.0</v>
      </c>
      <c r="M47" s="90">
        <v>0.0</v>
      </c>
      <c r="N47" s="37">
        <f t="shared" ref="N47:O47" si="52">C47+L47</f>
        <v>18</v>
      </c>
      <c r="O47" s="37">
        <f t="shared" si="52"/>
        <v>0</v>
      </c>
      <c r="P47" s="50" t="s">
        <v>60</v>
      </c>
      <c r="Q47" s="50" t="s">
        <v>60</v>
      </c>
      <c r="R47" s="50" t="s">
        <v>60</v>
      </c>
      <c r="S47" s="51">
        <f t="shared" si="4"/>
        <v>0</v>
      </c>
      <c r="T47" s="52">
        <f t="shared" si="5"/>
        <v>0</v>
      </c>
      <c r="U47" s="52"/>
      <c r="V47" s="51">
        <f t="shared" si="6"/>
        <v>2</v>
      </c>
      <c r="W47" s="52">
        <f t="shared" si="7"/>
        <v>-22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109</v>
      </c>
      <c r="C48" s="37">
        <v>9.0</v>
      </c>
      <c r="D48" s="37">
        <v>0.0</v>
      </c>
      <c r="E48" s="42">
        <f t="shared" si="2"/>
        <v>0</v>
      </c>
      <c r="F48" s="89">
        <v>5.0</v>
      </c>
      <c r="G48" s="90">
        <v>0.0</v>
      </c>
      <c r="H48" s="91">
        <v>13.0</v>
      </c>
      <c r="I48" s="90">
        <v>0.0</v>
      </c>
      <c r="J48" s="90">
        <v>0.0</v>
      </c>
      <c r="K48" s="90">
        <v>0.0</v>
      </c>
      <c r="L48" s="92">
        <v>13.0</v>
      </c>
      <c r="M48" s="90">
        <v>0.0</v>
      </c>
      <c r="N48" s="37">
        <f t="shared" ref="N48:O48" si="53">C48+L48</f>
        <v>22</v>
      </c>
      <c r="O48" s="37">
        <f t="shared" si="53"/>
        <v>0</v>
      </c>
      <c r="P48" s="50" t="s">
        <v>60</v>
      </c>
      <c r="Q48" s="50" t="s">
        <v>60</v>
      </c>
      <c r="R48" s="50" t="s">
        <v>60</v>
      </c>
      <c r="S48" s="51">
        <f t="shared" si="4"/>
        <v>0</v>
      </c>
      <c r="T48" s="52">
        <f t="shared" si="5"/>
        <v>1</v>
      </c>
      <c r="U48" s="52"/>
      <c r="V48" s="51">
        <f t="shared" si="6"/>
        <v>1</v>
      </c>
      <c r="W48" s="52">
        <f t="shared" si="7"/>
        <v>-21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77</v>
      </c>
      <c r="C49" s="37">
        <v>9.0</v>
      </c>
      <c r="D49" s="37">
        <v>0.0</v>
      </c>
      <c r="E49" s="42">
        <f t="shared" si="2"/>
        <v>0</v>
      </c>
      <c r="F49" s="89">
        <v>3.0</v>
      </c>
      <c r="G49" s="90">
        <v>0.0</v>
      </c>
      <c r="H49" s="91">
        <v>9.0</v>
      </c>
      <c r="I49" s="90">
        <v>0.0</v>
      </c>
      <c r="J49" s="90">
        <v>0.0</v>
      </c>
      <c r="K49" s="90">
        <v>0.0</v>
      </c>
      <c r="L49" s="92">
        <v>9.0</v>
      </c>
      <c r="M49" s="90">
        <v>0.0</v>
      </c>
      <c r="N49" s="37">
        <f t="shared" ref="N49:O49" si="54">C49+L49</f>
        <v>18</v>
      </c>
      <c r="O49" s="37">
        <f t="shared" si="54"/>
        <v>0</v>
      </c>
      <c r="P49" s="50" t="s">
        <v>60</v>
      </c>
      <c r="Q49" s="50" t="s">
        <v>60</v>
      </c>
      <c r="R49" s="50" t="s">
        <v>60</v>
      </c>
      <c r="S49" s="51">
        <f t="shared" si="4"/>
        <v>0</v>
      </c>
      <c r="T49" s="52">
        <f t="shared" si="5"/>
        <v>0</v>
      </c>
      <c r="U49" s="52"/>
      <c r="V49" s="51">
        <f t="shared" si="6"/>
        <v>2</v>
      </c>
      <c r="W49" s="52">
        <f t="shared" si="7"/>
        <v>-21</v>
      </c>
      <c r="X49" s="35">
        <f t="shared" si="12"/>
        <v>45</v>
      </c>
      <c r="Y49" s="35" t="str">
        <f t="shared" si="8"/>
        <v>N</v>
      </c>
      <c r="Z49" s="22" t="str">
        <f t="shared" si="9"/>
        <v/>
      </c>
    </row>
    <row r="50">
      <c r="A50" s="35">
        <f t="shared" si="10"/>
        <v>46</v>
      </c>
      <c r="B50" s="36" t="s">
        <v>56</v>
      </c>
      <c r="C50" s="37">
        <v>9.0</v>
      </c>
      <c r="D50" s="37">
        <v>0.0</v>
      </c>
      <c r="E50" s="42">
        <f t="shared" si="2"/>
        <v>0</v>
      </c>
      <c r="F50" s="89">
        <v>3.0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18</v>
      </c>
      <c r="O50" s="37">
        <f t="shared" si="55"/>
        <v>0</v>
      </c>
      <c r="P50" s="50" t="s">
        <v>60</v>
      </c>
      <c r="Q50" s="50" t="s">
        <v>60</v>
      </c>
      <c r="R50" s="50" t="s">
        <v>60</v>
      </c>
      <c r="S50" s="51">
        <f t="shared" si="4"/>
        <v>0</v>
      </c>
      <c r="T50" s="52">
        <f t="shared" si="5"/>
        <v>0</v>
      </c>
      <c r="U50" s="52"/>
      <c r="V50" s="51">
        <f t="shared" si="6"/>
        <v>2</v>
      </c>
      <c r="W50" s="52">
        <f t="shared" si="7"/>
        <v>-18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80</v>
      </c>
      <c r="C51" s="37">
        <v>9.0</v>
      </c>
      <c r="D51" s="37">
        <v>0.0</v>
      </c>
      <c r="E51" s="42">
        <f t="shared" si="2"/>
        <v>0</v>
      </c>
      <c r="F51" s="89">
        <v>1.0</v>
      </c>
      <c r="G51" s="90">
        <v>7.0</v>
      </c>
      <c r="H51" s="91">
        <v>0.0</v>
      </c>
      <c r="I51" s="90">
        <v>7.0</v>
      </c>
      <c r="J51" s="90">
        <v>5.0</v>
      </c>
      <c r="K51" s="90">
        <v>6.0</v>
      </c>
      <c r="L51" s="92">
        <v>18.0</v>
      </c>
      <c r="M51" s="90">
        <v>2.0</v>
      </c>
      <c r="N51" s="37">
        <f t="shared" ref="N51:O51" si="56">C51+L51</f>
        <v>27</v>
      </c>
      <c r="O51" s="37">
        <f t="shared" si="56"/>
        <v>2</v>
      </c>
      <c r="P51" s="50" t="s">
        <v>60</v>
      </c>
      <c r="Q51" s="50" t="s">
        <v>60</v>
      </c>
      <c r="R51" s="50" t="s">
        <v>60</v>
      </c>
      <c r="S51" s="51">
        <f t="shared" si="4"/>
        <v>1</v>
      </c>
      <c r="T51" s="52">
        <f t="shared" si="5"/>
        <v>0</v>
      </c>
      <c r="U51" s="52"/>
      <c r="V51" s="51">
        <f t="shared" si="6"/>
        <v>1</v>
      </c>
      <c r="W51" s="52">
        <f t="shared" si="7"/>
        <v>-18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137</v>
      </c>
      <c r="C52" s="37">
        <v>9.0</v>
      </c>
      <c r="D52" s="37">
        <v>0.0</v>
      </c>
      <c r="E52" s="42">
        <f t="shared" si="2"/>
        <v>0</v>
      </c>
      <c r="F52" s="89">
        <v>3.0</v>
      </c>
      <c r="G52" s="90">
        <v>0.0</v>
      </c>
      <c r="H52" s="91">
        <v>9.0</v>
      </c>
      <c r="I52" s="90">
        <v>0.0</v>
      </c>
      <c r="J52" s="90">
        <v>0.0</v>
      </c>
      <c r="K52" s="90">
        <v>0.0</v>
      </c>
      <c r="L52" s="92">
        <v>9.0</v>
      </c>
      <c r="M52" s="90">
        <v>0.0</v>
      </c>
      <c r="N52" s="37">
        <f t="shared" ref="N52:O52" si="57">C52+L52</f>
        <v>18</v>
      </c>
      <c r="O52" s="37">
        <f t="shared" si="57"/>
        <v>0</v>
      </c>
      <c r="P52" s="50" t="s">
        <v>60</v>
      </c>
      <c r="Q52" s="50" t="s">
        <v>60</v>
      </c>
      <c r="R52" s="50" t="s">
        <v>60</v>
      </c>
      <c r="S52" s="51">
        <f t="shared" si="4"/>
        <v>0</v>
      </c>
      <c r="T52" s="52">
        <f t="shared" si="5"/>
        <v>0</v>
      </c>
      <c r="U52" s="52"/>
      <c r="V52" s="51">
        <f t="shared" si="6"/>
        <v>2</v>
      </c>
      <c r="W52" s="52">
        <f t="shared" si="7"/>
        <v>-16</v>
      </c>
      <c r="X52" s="35">
        <f t="shared" si="12"/>
        <v>48</v>
      </c>
      <c r="Y52" s="35" t="str">
        <f t="shared" si="8"/>
        <v>N</v>
      </c>
      <c r="Z52" s="22" t="str">
        <f t="shared" si="9"/>
        <v/>
      </c>
    </row>
    <row r="53">
      <c r="A53" s="35">
        <f t="shared" si="10"/>
        <v>49</v>
      </c>
      <c r="B53" s="36" t="s">
        <v>130</v>
      </c>
      <c r="C53" s="37">
        <v>9.0</v>
      </c>
      <c r="D53" s="37">
        <v>0.0</v>
      </c>
      <c r="E53" s="42">
        <f t="shared" si="2"/>
        <v>0</v>
      </c>
      <c r="F53" s="89">
        <v>1.0</v>
      </c>
      <c r="G53" s="90">
        <v>7.0</v>
      </c>
      <c r="H53" s="91">
        <v>0.0</v>
      </c>
      <c r="I53" s="90">
        <v>7.0</v>
      </c>
      <c r="J53" s="90">
        <v>7.0</v>
      </c>
      <c r="K53" s="90">
        <v>1.0</v>
      </c>
      <c r="L53" s="92">
        <v>15.0</v>
      </c>
      <c r="M53" s="90">
        <v>2.0</v>
      </c>
      <c r="N53" s="37">
        <f t="shared" ref="N53:O53" si="58">C53+L53</f>
        <v>24</v>
      </c>
      <c r="O53" s="37">
        <f t="shared" si="58"/>
        <v>2</v>
      </c>
      <c r="P53" s="50" t="s">
        <v>60</v>
      </c>
      <c r="Q53" s="50" t="s">
        <v>60</v>
      </c>
      <c r="R53" s="50" t="s">
        <v>60</v>
      </c>
      <c r="S53" s="51">
        <f t="shared" si="4"/>
        <v>1</v>
      </c>
      <c r="T53" s="52">
        <f t="shared" si="5"/>
        <v>0</v>
      </c>
      <c r="U53" s="52"/>
      <c r="V53" s="51">
        <f t="shared" si="6"/>
        <v>1</v>
      </c>
      <c r="W53" s="52">
        <f t="shared" si="7"/>
        <v>-16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132</v>
      </c>
      <c r="C54" s="37">
        <v>9.0</v>
      </c>
      <c r="D54" s="37">
        <v>0.0</v>
      </c>
      <c r="E54" s="42">
        <f t="shared" si="2"/>
        <v>0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18</v>
      </c>
      <c r="O54" s="37">
        <f t="shared" si="59"/>
        <v>0</v>
      </c>
      <c r="P54" s="50" t="s">
        <v>60</v>
      </c>
      <c r="Q54" s="50" t="s">
        <v>60</v>
      </c>
      <c r="R54" s="50" t="s">
        <v>60</v>
      </c>
      <c r="S54" s="51">
        <f t="shared" si="4"/>
        <v>0</v>
      </c>
      <c r="T54" s="52">
        <f t="shared" si="5"/>
        <v>0</v>
      </c>
      <c r="U54" s="52"/>
      <c r="V54" s="51">
        <f t="shared" si="6"/>
        <v>2</v>
      </c>
      <c r="W54" s="52">
        <f t="shared" si="7"/>
        <v>-16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100</v>
      </c>
      <c r="C55" s="37">
        <v>9.0</v>
      </c>
      <c r="D55" s="37">
        <v>0.0</v>
      </c>
      <c r="E55" s="42">
        <f t="shared" si="2"/>
        <v>0</v>
      </c>
      <c r="F55" s="89">
        <v>1.0</v>
      </c>
      <c r="G55" s="90">
        <v>7.0</v>
      </c>
      <c r="H55" s="91">
        <v>0.0</v>
      </c>
      <c r="I55" s="90">
        <v>5.0</v>
      </c>
      <c r="J55" s="90">
        <v>5.0</v>
      </c>
      <c r="K55" s="90">
        <v>1.0</v>
      </c>
      <c r="L55" s="92">
        <v>11.0</v>
      </c>
      <c r="M55" s="90">
        <v>0.0</v>
      </c>
      <c r="N55" s="37">
        <f t="shared" ref="N55:O55" si="60">C55+L55</f>
        <v>20</v>
      </c>
      <c r="O55" s="37">
        <f t="shared" si="60"/>
        <v>0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0</v>
      </c>
      <c r="U55" s="52"/>
      <c r="V55" s="51">
        <f t="shared" si="6"/>
        <v>1</v>
      </c>
      <c r="W55" s="52">
        <f t="shared" si="7"/>
        <v>-12</v>
      </c>
      <c r="X55" s="35">
        <f t="shared" si="12"/>
        <v>51</v>
      </c>
      <c r="Y55" s="35" t="str">
        <f t="shared" si="8"/>
        <v>N</v>
      </c>
      <c r="Z55" s="22" t="str">
        <f t="shared" si="9"/>
        <v/>
      </c>
    </row>
    <row r="56">
      <c r="A56" s="35">
        <f t="shared" si="10"/>
        <v>52</v>
      </c>
      <c r="B56" s="36" t="s">
        <v>53</v>
      </c>
      <c r="C56" s="37">
        <v>9.0</v>
      </c>
      <c r="D56" s="37">
        <v>0.0</v>
      </c>
      <c r="E56" s="42">
        <f t="shared" si="2"/>
        <v>0</v>
      </c>
      <c r="F56" s="89">
        <v>3.0</v>
      </c>
      <c r="G56" s="90">
        <v>0.0</v>
      </c>
      <c r="H56" s="91">
        <v>9.0</v>
      </c>
      <c r="I56" s="90">
        <v>0.0</v>
      </c>
      <c r="J56" s="90">
        <v>0.0</v>
      </c>
      <c r="K56" s="90">
        <v>0.0</v>
      </c>
      <c r="L56" s="92">
        <v>9.0</v>
      </c>
      <c r="M56" s="90">
        <v>0.0</v>
      </c>
      <c r="N56" s="37">
        <f t="shared" ref="N56:O56" si="61">C56+L56</f>
        <v>18</v>
      </c>
      <c r="O56" s="37">
        <f t="shared" si="61"/>
        <v>0</v>
      </c>
      <c r="P56" s="50" t="s">
        <v>60</v>
      </c>
      <c r="Q56" s="50" t="s">
        <v>60</v>
      </c>
      <c r="R56" s="50" t="s">
        <v>60</v>
      </c>
      <c r="S56" s="51">
        <f t="shared" si="4"/>
        <v>0</v>
      </c>
      <c r="T56" s="52">
        <f t="shared" si="5"/>
        <v>0</v>
      </c>
      <c r="U56" s="52"/>
      <c r="V56" s="51">
        <f t="shared" si="6"/>
        <v>2</v>
      </c>
      <c r="W56" s="52">
        <f t="shared" si="7"/>
        <v>-12</v>
      </c>
      <c r="X56" s="35">
        <f t="shared" si="12"/>
        <v>52</v>
      </c>
      <c r="Y56" s="35" t="str">
        <f t="shared" si="8"/>
        <v>N</v>
      </c>
      <c r="Z56" s="22" t="str">
        <f t="shared" si="9"/>
        <v/>
      </c>
    </row>
    <row r="57">
      <c r="A57" s="35">
        <f t="shared" si="10"/>
        <v>53</v>
      </c>
      <c r="B57" s="36" t="s">
        <v>119</v>
      </c>
      <c r="C57" s="37">
        <v>9.0</v>
      </c>
      <c r="D57" s="37">
        <v>0.0</v>
      </c>
      <c r="E57" s="42">
        <f t="shared" si="2"/>
        <v>0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18</v>
      </c>
      <c r="O57" s="37">
        <f t="shared" si="62"/>
        <v>0</v>
      </c>
      <c r="P57" s="50" t="s">
        <v>60</v>
      </c>
      <c r="Q57" s="50" t="s">
        <v>60</v>
      </c>
      <c r="R57" s="50" t="s">
        <v>60</v>
      </c>
      <c r="S57" s="51">
        <f t="shared" si="4"/>
        <v>0</v>
      </c>
      <c r="T57" s="52">
        <f t="shared" si="5"/>
        <v>0</v>
      </c>
      <c r="U57" s="52"/>
      <c r="V57" s="51">
        <f t="shared" si="6"/>
        <v>2</v>
      </c>
      <c r="W57" s="52">
        <f t="shared" si="7"/>
        <v>-10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116</v>
      </c>
      <c r="C58" s="37">
        <v>9.0</v>
      </c>
      <c r="D58" s="37">
        <v>0.0</v>
      </c>
      <c r="E58" s="42">
        <f t="shared" si="2"/>
        <v>0</v>
      </c>
      <c r="F58" s="89">
        <v>5.0</v>
      </c>
      <c r="G58" s="90">
        <v>0.0</v>
      </c>
      <c r="H58" s="91">
        <v>13.0</v>
      </c>
      <c r="I58" s="90">
        <v>0.0</v>
      </c>
      <c r="J58" s="90">
        <v>0.0</v>
      </c>
      <c r="K58" s="90">
        <v>0.0</v>
      </c>
      <c r="L58" s="92">
        <v>13.0</v>
      </c>
      <c r="M58" s="90">
        <v>0.0</v>
      </c>
      <c r="N58" s="37">
        <f t="shared" ref="N58:O58" si="63">C58+L58</f>
        <v>22</v>
      </c>
      <c r="O58" s="37">
        <f t="shared" si="63"/>
        <v>0</v>
      </c>
      <c r="P58" s="50" t="s">
        <v>60</v>
      </c>
      <c r="Q58" s="50" t="s">
        <v>60</v>
      </c>
      <c r="R58" s="50" t="s">
        <v>60</v>
      </c>
      <c r="S58" s="51">
        <f t="shared" si="4"/>
        <v>0</v>
      </c>
      <c r="T58" s="52">
        <f t="shared" si="5"/>
        <v>1</v>
      </c>
      <c r="U58" s="52"/>
      <c r="V58" s="51">
        <f t="shared" si="6"/>
        <v>1</v>
      </c>
      <c r="W58" s="52">
        <f t="shared" si="7"/>
        <v>-10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145</v>
      </c>
      <c r="C59" s="37">
        <v>9.0</v>
      </c>
      <c r="D59" s="37">
        <v>0.0</v>
      </c>
      <c r="E59" s="42">
        <f t="shared" si="2"/>
        <v>0</v>
      </c>
      <c r="F59" s="89">
        <v>4.0</v>
      </c>
      <c r="G59" s="90">
        <v>0.0</v>
      </c>
      <c r="H59" s="91">
        <v>9.0</v>
      </c>
      <c r="I59" s="90">
        <v>0.0</v>
      </c>
      <c r="J59" s="90">
        <v>0.0</v>
      </c>
      <c r="K59" s="90">
        <v>0.0</v>
      </c>
      <c r="L59" s="92">
        <v>9.0</v>
      </c>
      <c r="M59" s="90">
        <v>0.0</v>
      </c>
      <c r="N59" s="37">
        <f t="shared" ref="N59:O59" si="64">C59+L59</f>
        <v>18</v>
      </c>
      <c r="O59" s="37">
        <f t="shared" si="64"/>
        <v>0</v>
      </c>
      <c r="P59" s="50" t="s">
        <v>60</v>
      </c>
      <c r="Q59" s="50" t="s">
        <v>60</v>
      </c>
      <c r="R59" s="50" t="s">
        <v>60</v>
      </c>
      <c r="S59" s="51">
        <f t="shared" si="4"/>
        <v>0</v>
      </c>
      <c r="T59" s="52">
        <f t="shared" si="5"/>
        <v>0</v>
      </c>
      <c r="U59" s="52"/>
      <c r="V59" s="51">
        <f t="shared" si="6"/>
        <v>2</v>
      </c>
      <c r="W59" s="52">
        <f t="shared" si="7"/>
        <v>-9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142</v>
      </c>
      <c r="C60" s="37">
        <v>9.0</v>
      </c>
      <c r="D60" s="37">
        <v>0.0</v>
      </c>
      <c r="E60" s="42">
        <f t="shared" si="2"/>
        <v>0</v>
      </c>
      <c r="F60" s="89">
        <v>1.0</v>
      </c>
      <c r="G60" s="90">
        <v>7.0</v>
      </c>
      <c r="H60" s="91">
        <v>0.0</v>
      </c>
      <c r="I60" s="90">
        <v>5.0</v>
      </c>
      <c r="J60" s="90">
        <v>7.0</v>
      </c>
      <c r="K60" s="90">
        <v>6.0</v>
      </c>
      <c r="L60" s="92">
        <v>18.0</v>
      </c>
      <c r="M60" s="90">
        <v>2.0</v>
      </c>
      <c r="N60" s="37">
        <f t="shared" ref="N60:O60" si="65">C60+L60</f>
        <v>27</v>
      </c>
      <c r="O60" s="37">
        <f t="shared" si="65"/>
        <v>2</v>
      </c>
      <c r="P60" s="50" t="s">
        <v>60</v>
      </c>
      <c r="Q60" s="50" t="s">
        <v>60</v>
      </c>
      <c r="R60" s="50" t="s">
        <v>60</v>
      </c>
      <c r="S60" s="51">
        <f t="shared" si="4"/>
        <v>1</v>
      </c>
      <c r="T60" s="52">
        <f t="shared" si="5"/>
        <v>0</v>
      </c>
      <c r="U60" s="52"/>
      <c r="V60" s="51">
        <f t="shared" si="6"/>
        <v>1</v>
      </c>
      <c r="W60" s="52">
        <f t="shared" si="7"/>
        <v>-9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91</v>
      </c>
      <c r="C61" s="37">
        <v>9.0</v>
      </c>
      <c r="D61" s="37">
        <v>0.0</v>
      </c>
      <c r="E61" s="42">
        <f t="shared" si="2"/>
        <v>0</v>
      </c>
      <c r="F61" s="89">
        <v>1.0</v>
      </c>
      <c r="G61" s="90">
        <v>8.0</v>
      </c>
      <c r="H61" s="91">
        <v>0.0</v>
      </c>
      <c r="I61" s="90">
        <v>6.0</v>
      </c>
      <c r="J61" s="90">
        <v>6.0</v>
      </c>
      <c r="K61" s="90">
        <v>3.0</v>
      </c>
      <c r="L61" s="92">
        <v>15.0</v>
      </c>
      <c r="M61" s="90">
        <v>2.0</v>
      </c>
      <c r="N61" s="37">
        <f t="shared" ref="N61:O61" si="66">C61+L61</f>
        <v>24</v>
      </c>
      <c r="O61" s="37">
        <f t="shared" si="66"/>
        <v>2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1</v>
      </c>
      <c r="W61" s="52">
        <f t="shared" si="7"/>
        <v>-7</v>
      </c>
      <c r="X61" s="35">
        <f t="shared" si="12"/>
        <v>57</v>
      </c>
      <c r="Y61" s="35" t="str">
        <f t="shared" si="8"/>
        <v>N</v>
      </c>
      <c r="Z61" s="22" t="str">
        <f t="shared" si="9"/>
        <v/>
      </c>
    </row>
    <row r="62">
      <c r="A62" s="35">
        <f t="shared" si="10"/>
        <v>58</v>
      </c>
      <c r="B62" s="36" t="s">
        <v>120</v>
      </c>
      <c r="C62" s="37">
        <v>9.0</v>
      </c>
      <c r="D62" s="37">
        <v>0.0</v>
      </c>
      <c r="E62" s="42">
        <f t="shared" si="2"/>
        <v>0</v>
      </c>
      <c r="F62" s="89">
        <v>3.0</v>
      </c>
      <c r="G62" s="90">
        <v>0.0</v>
      </c>
      <c r="H62" s="91">
        <v>9.0</v>
      </c>
      <c r="I62" s="90">
        <v>0.0</v>
      </c>
      <c r="J62" s="90">
        <v>0.0</v>
      </c>
      <c r="K62" s="90">
        <v>0.0</v>
      </c>
      <c r="L62" s="92">
        <v>9.0</v>
      </c>
      <c r="M62" s="90">
        <v>0.0</v>
      </c>
      <c r="N62" s="37">
        <f t="shared" ref="N62:O62" si="67">C62+L62</f>
        <v>18</v>
      </c>
      <c r="O62" s="37">
        <f t="shared" si="67"/>
        <v>0</v>
      </c>
      <c r="P62" s="50" t="s">
        <v>60</v>
      </c>
      <c r="Q62" s="50" t="s">
        <v>60</v>
      </c>
      <c r="R62" s="50" t="s">
        <v>60</v>
      </c>
      <c r="S62" s="51">
        <f t="shared" si="4"/>
        <v>0</v>
      </c>
      <c r="T62" s="52">
        <f t="shared" si="5"/>
        <v>0</v>
      </c>
      <c r="U62" s="52"/>
      <c r="V62" s="51">
        <f t="shared" si="6"/>
        <v>2</v>
      </c>
      <c r="W62" s="52">
        <f t="shared" si="7"/>
        <v>-5</v>
      </c>
      <c r="X62" s="35">
        <f t="shared" si="12"/>
        <v>58</v>
      </c>
      <c r="Y62" s="35" t="str">
        <f t="shared" si="8"/>
        <v>N</v>
      </c>
      <c r="Z62" s="22" t="str">
        <f t="shared" si="9"/>
        <v/>
      </c>
    </row>
    <row r="63">
      <c r="A63" s="35">
        <f t="shared" si="10"/>
        <v>59</v>
      </c>
      <c r="B63" s="36" t="s">
        <v>113</v>
      </c>
      <c r="C63" s="37">
        <v>9.0</v>
      </c>
      <c r="D63" s="37">
        <v>0.0</v>
      </c>
      <c r="E63" s="42">
        <f t="shared" si="2"/>
        <v>0</v>
      </c>
      <c r="F63" s="89">
        <v>4.0</v>
      </c>
      <c r="G63" s="90">
        <v>0.0</v>
      </c>
      <c r="H63" s="91">
        <v>9.0</v>
      </c>
      <c r="I63" s="90">
        <v>0.0</v>
      </c>
      <c r="J63" s="90">
        <v>0.0</v>
      </c>
      <c r="K63" s="90">
        <v>0.0</v>
      </c>
      <c r="L63" s="92">
        <v>9.0</v>
      </c>
      <c r="M63" s="90">
        <v>0.0</v>
      </c>
      <c r="N63" s="37">
        <f t="shared" ref="N63:O63" si="68">C63+L63</f>
        <v>18</v>
      </c>
      <c r="O63" s="37">
        <f t="shared" si="68"/>
        <v>0</v>
      </c>
      <c r="P63" s="50" t="s">
        <v>60</v>
      </c>
      <c r="Q63" s="50" t="s">
        <v>60</v>
      </c>
      <c r="R63" s="50" t="s">
        <v>60</v>
      </c>
      <c r="S63" s="51">
        <f t="shared" si="4"/>
        <v>0</v>
      </c>
      <c r="T63" s="52">
        <f t="shared" si="5"/>
        <v>0</v>
      </c>
      <c r="U63" s="52"/>
      <c r="V63" s="51">
        <f t="shared" si="6"/>
        <v>2</v>
      </c>
      <c r="W63" s="52">
        <f t="shared" si="7"/>
        <v>-5</v>
      </c>
      <c r="X63" s="35">
        <f t="shared" si="12"/>
        <v>59</v>
      </c>
      <c r="Y63" s="35" t="str">
        <f t="shared" si="8"/>
        <v>N</v>
      </c>
      <c r="Z63" s="22" t="str">
        <f t="shared" si="9"/>
        <v/>
      </c>
    </row>
    <row r="64">
      <c r="A64" s="35">
        <f t="shared" si="10"/>
        <v>60</v>
      </c>
      <c r="B64" s="36" t="s">
        <v>93</v>
      </c>
      <c r="C64" s="37">
        <v>9.0</v>
      </c>
      <c r="D64" s="37">
        <v>0.0</v>
      </c>
      <c r="E64" s="42">
        <f t="shared" si="2"/>
        <v>0</v>
      </c>
      <c r="F64" s="89">
        <v>5.0</v>
      </c>
      <c r="G64" s="90">
        <v>0.0</v>
      </c>
      <c r="H64" s="91">
        <v>13.0</v>
      </c>
      <c r="I64" s="90">
        <v>0.0</v>
      </c>
      <c r="J64" s="90">
        <v>0.0</v>
      </c>
      <c r="K64" s="90">
        <v>0.0</v>
      </c>
      <c r="L64" s="92">
        <v>13.0</v>
      </c>
      <c r="M64" s="90">
        <v>0.0</v>
      </c>
      <c r="N64" s="37">
        <f t="shared" ref="N64:O64" si="69">C64+L64</f>
        <v>22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1</v>
      </c>
      <c r="U64" s="52"/>
      <c r="V64" s="51">
        <f t="shared" si="6"/>
        <v>1</v>
      </c>
      <c r="W64" s="52">
        <f t="shared" si="7"/>
        <v>-4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94</v>
      </c>
      <c r="C65" s="37">
        <v>9.0</v>
      </c>
      <c r="D65" s="37">
        <v>0.0</v>
      </c>
      <c r="E65" s="42">
        <f t="shared" si="2"/>
        <v>4.5</v>
      </c>
      <c r="F65" s="89">
        <v>1.0</v>
      </c>
      <c r="G65" s="90">
        <v>8.0</v>
      </c>
      <c r="H65" s="91">
        <v>0.0</v>
      </c>
      <c r="I65" s="90">
        <v>3.0</v>
      </c>
      <c r="J65" s="90">
        <v>6.0</v>
      </c>
      <c r="K65" s="90">
        <v>6.0</v>
      </c>
      <c r="L65" s="92">
        <v>15.0</v>
      </c>
      <c r="M65" s="90">
        <v>2.0</v>
      </c>
      <c r="N65" s="37">
        <f t="shared" ref="N65:O65" si="70">C65+L65</f>
        <v>24</v>
      </c>
      <c r="O65" s="37">
        <f t="shared" si="70"/>
        <v>2</v>
      </c>
      <c r="P65" s="50" t="s">
        <v>60</v>
      </c>
      <c r="Q65" s="50" t="s">
        <v>60</v>
      </c>
      <c r="R65" s="50" t="s">
        <v>60</v>
      </c>
      <c r="S65" s="51">
        <f t="shared" si="4"/>
        <v>2</v>
      </c>
      <c r="T65" s="52">
        <f t="shared" si="5"/>
        <v>0</v>
      </c>
      <c r="U65" s="52"/>
      <c r="V65" s="51">
        <f t="shared" si="6"/>
        <v>0</v>
      </c>
      <c r="W65" s="52">
        <f t="shared" si="7"/>
        <v>-4</v>
      </c>
      <c r="X65" s="35">
        <f t="shared" si="12"/>
        <v>61</v>
      </c>
      <c r="Y65" s="35" t="str">
        <f t="shared" si="8"/>
        <v>Y</v>
      </c>
      <c r="Z65" s="22" t="str">
        <f t="shared" si="9"/>
        <v/>
      </c>
    </row>
    <row r="66">
      <c r="A66" s="35">
        <f t="shared" si="10"/>
        <v>62</v>
      </c>
      <c r="B66" s="36" t="s">
        <v>139</v>
      </c>
      <c r="C66" s="37">
        <v>9.0</v>
      </c>
      <c r="D66" s="37">
        <v>0.0</v>
      </c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18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2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138</v>
      </c>
      <c r="C67" s="37">
        <v>9.0</v>
      </c>
      <c r="D67" s="37">
        <v>0.0</v>
      </c>
      <c r="E67" s="42">
        <f t="shared" si="2"/>
        <v>0</v>
      </c>
      <c r="F67" s="89">
        <v>3.0</v>
      </c>
      <c r="G67" s="90">
        <v>0.0</v>
      </c>
      <c r="H67" s="91">
        <v>9.0</v>
      </c>
      <c r="I67" s="90">
        <v>0.0</v>
      </c>
      <c r="J67" s="90">
        <v>0.0</v>
      </c>
      <c r="K67" s="90">
        <v>0.0</v>
      </c>
      <c r="L67" s="92">
        <v>9.0</v>
      </c>
      <c r="M67" s="90">
        <v>0.0</v>
      </c>
      <c r="N67" s="37">
        <f t="shared" ref="N67:O67" si="72">C67+L67</f>
        <v>18</v>
      </c>
      <c r="O67" s="37">
        <f t="shared" si="72"/>
        <v>0</v>
      </c>
      <c r="P67" s="50" t="s">
        <v>60</v>
      </c>
      <c r="Q67" s="50" t="s">
        <v>60</v>
      </c>
      <c r="R67" s="50" t="s">
        <v>60</v>
      </c>
      <c r="S67" s="51">
        <f t="shared" si="4"/>
        <v>0</v>
      </c>
      <c r="T67" s="52">
        <f t="shared" si="5"/>
        <v>0</v>
      </c>
      <c r="U67" s="52"/>
      <c r="V67" s="51">
        <f t="shared" si="6"/>
        <v>2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22" t="str">
        <f t="shared" si="9"/>
        <v/>
      </c>
    </row>
    <row r="68">
      <c r="A68" s="35">
        <f t="shared" si="10"/>
        <v>64</v>
      </c>
      <c r="B68" s="36" t="s">
        <v>128</v>
      </c>
      <c r="C68" s="37">
        <v>9.0</v>
      </c>
      <c r="D68" s="37">
        <v>0.0</v>
      </c>
      <c r="E68" s="42">
        <f t="shared" si="2"/>
        <v>0</v>
      </c>
      <c r="F68" s="89">
        <v>3.0</v>
      </c>
      <c r="G68" s="90">
        <v>0.0</v>
      </c>
      <c r="H68" s="91">
        <v>9.0</v>
      </c>
      <c r="I68" s="90">
        <v>0.0</v>
      </c>
      <c r="J68" s="90">
        <v>0.0</v>
      </c>
      <c r="K68" s="90">
        <v>0.0</v>
      </c>
      <c r="L68" s="92">
        <v>9.0</v>
      </c>
      <c r="M68" s="90">
        <v>0.0</v>
      </c>
      <c r="N68" s="37">
        <f t="shared" ref="N68:O68" si="73">C68+L68</f>
        <v>18</v>
      </c>
      <c r="O68" s="37">
        <f t="shared" si="73"/>
        <v>0</v>
      </c>
      <c r="P68" s="50" t="s">
        <v>60</v>
      </c>
      <c r="Q68" s="50" t="s">
        <v>60</v>
      </c>
      <c r="R68" s="50" t="s">
        <v>60</v>
      </c>
      <c r="S68" s="51">
        <f t="shared" si="4"/>
        <v>0</v>
      </c>
      <c r="T68" s="52">
        <f t="shared" si="5"/>
        <v>0</v>
      </c>
      <c r="U68" s="52"/>
      <c r="V68" s="51">
        <f t="shared" si="6"/>
        <v>2</v>
      </c>
      <c r="W68" s="52">
        <f t="shared" si="7"/>
        <v>3</v>
      </c>
      <c r="X68" s="35">
        <f t="shared" si="12"/>
        <v>64</v>
      </c>
      <c r="Y68" s="35" t="str">
        <f t="shared" si="8"/>
        <v>N</v>
      </c>
      <c r="Z68" s="22" t="str">
        <f t="shared" si="9"/>
        <v/>
      </c>
    </row>
    <row r="69">
      <c r="A69" s="35">
        <f t="shared" si="10"/>
        <v>65</v>
      </c>
      <c r="B69" s="36" t="s">
        <v>146</v>
      </c>
      <c r="C69" s="37">
        <v>8.0</v>
      </c>
      <c r="D69" s="37">
        <v>1.0</v>
      </c>
      <c r="E69" s="42">
        <f t="shared" si="2"/>
        <v>4</v>
      </c>
      <c r="F69" s="89">
        <v>1.0</v>
      </c>
      <c r="G69" s="90">
        <v>8.0</v>
      </c>
      <c r="H69" s="91">
        <v>0.0</v>
      </c>
      <c r="I69" s="90">
        <v>6.0</v>
      </c>
      <c r="J69" s="90">
        <v>0.0</v>
      </c>
      <c r="K69" s="90">
        <v>6.0</v>
      </c>
      <c r="L69" s="92">
        <v>12.0</v>
      </c>
      <c r="M69" s="90">
        <v>2.0</v>
      </c>
      <c r="N69" s="37">
        <f t="shared" ref="N69:O69" si="74">C69+L69</f>
        <v>20</v>
      </c>
      <c r="O69" s="37">
        <f t="shared" si="74"/>
        <v>3</v>
      </c>
      <c r="P69" s="50" t="s">
        <v>60</v>
      </c>
      <c r="Q69" s="50" t="s">
        <v>60</v>
      </c>
      <c r="R69" s="50" t="s">
        <v>60</v>
      </c>
      <c r="S69" s="51">
        <f t="shared" si="4"/>
        <v>2</v>
      </c>
      <c r="T69" s="52">
        <f t="shared" si="5"/>
        <v>0</v>
      </c>
      <c r="U69" s="52"/>
      <c r="V69" s="51">
        <f t="shared" si="6"/>
        <v>0</v>
      </c>
      <c r="W69" s="52">
        <f t="shared" si="7"/>
        <v>-47</v>
      </c>
      <c r="X69" s="35">
        <f t="shared" si="12"/>
        <v>65</v>
      </c>
      <c r="Y69" s="35" t="str">
        <f t="shared" si="8"/>
        <v>Y</v>
      </c>
      <c r="Z69" s="22" t="str">
        <f t="shared" si="9"/>
        <v/>
      </c>
    </row>
    <row r="70">
      <c r="A70" s="35">
        <f t="shared" si="10"/>
        <v>66</v>
      </c>
      <c r="B70" s="36" t="s">
        <v>72</v>
      </c>
      <c r="C70" s="37">
        <v>8.0</v>
      </c>
      <c r="D70" s="37">
        <v>0.0</v>
      </c>
      <c r="E70" s="42">
        <f t="shared" si="2"/>
        <v>-5</v>
      </c>
      <c r="F70" s="89">
        <v>5.0</v>
      </c>
      <c r="G70" s="90">
        <v>0.0</v>
      </c>
      <c r="H70" s="91">
        <v>13.0</v>
      </c>
      <c r="I70" s="90">
        <v>0.0</v>
      </c>
      <c r="J70" s="90">
        <v>0.0</v>
      </c>
      <c r="K70" s="90">
        <v>0.0</v>
      </c>
      <c r="L70" s="92">
        <v>13.0</v>
      </c>
      <c r="M70" s="90">
        <v>0.0</v>
      </c>
      <c r="N70" s="37">
        <f t="shared" ref="N70:O70" si="75">C70+L70</f>
        <v>21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1</v>
      </c>
      <c r="T70" s="52">
        <f t="shared" si="5"/>
        <v>1</v>
      </c>
      <c r="U70" s="52"/>
      <c r="V70" s="51">
        <f t="shared" si="6"/>
        <v>0</v>
      </c>
      <c r="W70" s="52">
        <f t="shared" si="7"/>
        <v>-57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96</v>
      </c>
      <c r="C71" s="37">
        <v>5.0</v>
      </c>
      <c r="D71" s="37">
        <v>0.0</v>
      </c>
      <c r="E71" s="42">
        <f t="shared" si="2"/>
        <v>2.5</v>
      </c>
      <c r="F71" s="89">
        <v>1.0</v>
      </c>
      <c r="G71" s="90">
        <v>8.0</v>
      </c>
      <c r="H71" s="91">
        <v>0.0</v>
      </c>
      <c r="I71" s="90">
        <v>3.0</v>
      </c>
      <c r="J71" s="90">
        <v>0.0</v>
      </c>
      <c r="K71" s="90">
        <v>3.0</v>
      </c>
      <c r="L71" s="92">
        <v>6.0</v>
      </c>
      <c r="M71" s="90">
        <v>0.0</v>
      </c>
      <c r="N71" s="37">
        <f t="shared" ref="N71:O71" si="76">C71+L71</f>
        <v>11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2</v>
      </c>
      <c r="T71" s="52">
        <f t="shared" si="5"/>
        <v>0</v>
      </c>
      <c r="U71" s="52"/>
      <c r="V71" s="51">
        <f t="shared" si="6"/>
        <v>0</v>
      </c>
      <c r="W71" s="52">
        <f t="shared" si="7"/>
        <v>-6</v>
      </c>
      <c r="X71" s="35">
        <f t="shared" si="12"/>
        <v>67</v>
      </c>
      <c r="Y71" s="35" t="str">
        <f t="shared" si="8"/>
        <v>Y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07/04/26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desc"",0)"),"Darren Wong")</f>
        <v>Darren Wong</v>
      </c>
      <c r="C83" s="125">
        <f>IFERROR(__xludf.DUMMYFUNCTION("""COMPUTED_VALUE"""),19.0)</f>
        <v>19</v>
      </c>
      <c r="D83" s="125">
        <f>IFERROR(__xludf.DUMMYFUNCTION("""COMPUTED_VALUE"""),3.0)</f>
        <v>3</v>
      </c>
      <c r="E83" s="125">
        <f>IFERROR(__xludf.DUMMYFUNCTION("""COMPUTED_VALUE"""),3.0)</f>
        <v>3</v>
      </c>
      <c r="F83" s="2"/>
    </row>
    <row r="84">
      <c r="A84" s="2"/>
      <c r="B84" s="36" t="str">
        <f>IFERROR(__xludf.DUMMYFUNCTION("""COMPUTED_VALUE"""),"Jonathan Phan")</f>
        <v>Jonathan Phan</v>
      </c>
      <c r="C84" s="125">
        <f>IFERROR(__xludf.DUMMYFUNCTION("""COMPUTED_VALUE"""),18.0)</f>
        <v>18</v>
      </c>
      <c r="D84" s="125">
        <f>IFERROR(__xludf.DUMMYFUNCTION("""COMPUTED_VALUE"""),3.0)</f>
        <v>3</v>
      </c>
      <c r="E84" s="125">
        <f>IFERROR(__xludf.DUMMYFUNCTION("""COMPUTED_VALUE"""),6.0)</f>
        <v>6</v>
      </c>
      <c r="F84" s="2"/>
    </row>
    <row r="85">
      <c r="A85" s="2"/>
      <c r="B85" s="36" t="str">
        <f>IFERROR(__xludf.DUMMYFUNCTION("""COMPUTED_VALUE"""),"Rajasekar Ramasamy")</f>
        <v>Rajasekar Ramasamy</v>
      </c>
      <c r="C85" s="125">
        <f>IFERROR(__xludf.DUMMYFUNCTION("""COMPUTED_VALUE"""),18.0)</f>
        <v>18</v>
      </c>
      <c r="D85" s="125">
        <f>IFERROR(__xludf.DUMMYFUNCTION("""COMPUTED_VALUE"""),2.0)</f>
        <v>2</v>
      </c>
      <c r="E85" s="125">
        <f>IFERROR(__xludf.DUMMYFUNCTION("""COMPUTED_VALUE"""),4.0)</f>
        <v>4</v>
      </c>
      <c r="F85" s="2"/>
    </row>
    <row r="86">
      <c r="A86" s="2"/>
      <c r="B86" s="36"/>
      <c r="C86" s="125"/>
      <c r="D86" s="125"/>
      <c r="E86" s="125"/>
      <c r="F86" s="2"/>
    </row>
    <row r="87">
      <c r="A87" s="2"/>
      <c r="B87" s="36"/>
      <c r="C87" s="125"/>
      <c r="D87" s="125"/>
      <c r="E87" s="125"/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10"")"),"Basudev Thoppai Vidyasankar")</f>
        <v>Basudev Thoppai Vidyasankar</v>
      </c>
      <c r="C102" s="125">
        <f>IFERROR(__xludf.DUMMYFUNCTION("""COMPUTED_VALUE"""),49.0)</f>
        <v>49</v>
      </c>
      <c r="D102" s="125">
        <f t="shared" ref="D102:D111" si="77">VLOOKUP(B102,indirect($AC$2&amp;"!B$5:X$79"),23, false)</f>
        <v>59</v>
      </c>
      <c r="E102" s="125">
        <f t="shared" ref="E102:E111" si="78">VLOOKUP(B102,B$5:X$71,23, false)</f>
        <v>10</v>
      </c>
      <c r="F102" s="125">
        <f t="shared" ref="F102:F111" si="79">VLOOKUP(B102,indirect($AC$2&amp;"!B$5:U$79"),11, false)</f>
        <v>16</v>
      </c>
      <c r="G102" s="125">
        <f t="shared" ref="G102:G111" si="80">VLOOKUP(B102,indirect($AC$2&amp;"!B$5:U$79"),6, false)</f>
        <v>7</v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IFERROR(__xludf.DUMMYFUNCTION("""COMPUTED_VALUE"""),"Andrew Yao")</f>
        <v>Andrew Yao</v>
      </c>
      <c r="C103" s="125">
        <f>IFERROR(__xludf.DUMMYFUNCTION("""COMPUTED_VALUE"""),49.0)</f>
        <v>49</v>
      </c>
      <c r="D103" s="125">
        <f t="shared" si="77"/>
        <v>63</v>
      </c>
      <c r="E103" s="125">
        <f t="shared" si="78"/>
        <v>14</v>
      </c>
      <c r="F103" s="125">
        <f t="shared" si="79"/>
        <v>15</v>
      </c>
      <c r="G103" s="125">
        <f t="shared" si="80"/>
        <v>8</v>
      </c>
      <c r="L103" s="125" t="str">
        <f t="shared" si="81"/>
        <v>ok</v>
      </c>
    </row>
    <row r="104">
      <c r="A104" s="2"/>
      <c r="B104" s="36" t="str">
        <f>IFERROR(__xludf.DUMMYFUNCTION("""COMPUTED_VALUE"""),"Tom Le")</f>
        <v>Tom Le</v>
      </c>
      <c r="C104" s="125">
        <f>IFERROR(__xludf.DUMMYFUNCTION("""COMPUTED_VALUE"""),45.0)</f>
        <v>45</v>
      </c>
      <c r="D104" s="125">
        <f t="shared" si="77"/>
        <v>64</v>
      </c>
      <c r="E104" s="125">
        <f t="shared" si="78"/>
        <v>19</v>
      </c>
      <c r="F104" s="125">
        <f t="shared" si="79"/>
        <v>13</v>
      </c>
      <c r="G104" s="125">
        <f t="shared" si="80"/>
        <v>8</v>
      </c>
      <c r="L104" s="125" t="str">
        <f t="shared" si="81"/>
        <v>ok</v>
      </c>
    </row>
    <row r="105">
      <c r="A105" s="2"/>
      <c r="B105" s="36" t="str">
        <f>IFERROR(__xludf.DUMMYFUNCTION("""COMPUTED_VALUE"""),"Trish Newlin")</f>
        <v>Trish Newlin</v>
      </c>
      <c r="C105" s="125">
        <f>IFERROR(__xludf.DUMMYFUNCTION("""COMPUTED_VALUE"""),45.0)</f>
        <v>45</v>
      </c>
      <c r="D105" s="125">
        <f t="shared" si="77"/>
        <v>65</v>
      </c>
      <c r="E105" s="125">
        <f t="shared" si="78"/>
        <v>20</v>
      </c>
      <c r="F105" s="125">
        <f t="shared" si="79"/>
        <v>13</v>
      </c>
      <c r="G105" s="125">
        <f t="shared" si="80"/>
        <v>8</v>
      </c>
      <c r="L105" s="125" t="str">
        <f t="shared" si="81"/>
        <v>ok</v>
      </c>
    </row>
    <row r="106">
      <c r="A106" s="2"/>
      <c r="B106" s="36" t="str">
        <f>IFERROR(__xludf.DUMMYFUNCTION("""COMPUTED_VALUE"""),"Jonathan Phan")</f>
        <v>Jonathan Phan</v>
      </c>
      <c r="C106" s="125">
        <f>IFERROR(__xludf.DUMMYFUNCTION("""COMPUTED_VALUE"""),43.0)</f>
        <v>43</v>
      </c>
      <c r="D106" s="125">
        <f t="shared" si="77"/>
        <v>45</v>
      </c>
      <c r="E106" s="125">
        <f t="shared" si="78"/>
        <v>2</v>
      </c>
      <c r="F106" s="125">
        <f t="shared" si="79"/>
        <v>18</v>
      </c>
      <c r="G106" s="125">
        <f t="shared" si="80"/>
        <v>6</v>
      </c>
      <c r="L106" s="125" t="str">
        <f t="shared" si="81"/>
        <v>ok</v>
      </c>
    </row>
    <row r="107">
      <c r="A107" s="2"/>
      <c r="B107" s="36" t="str">
        <f>IFERROR(__xludf.DUMMYFUNCTION("""COMPUTED_VALUE"""),"Vinotkumar Nagappan")</f>
        <v>Vinotkumar Nagappan</v>
      </c>
      <c r="C107" s="125">
        <f>IFERROR(__xludf.DUMMYFUNCTION("""COMPUTED_VALUE"""),41.0)</f>
        <v>41</v>
      </c>
      <c r="D107" s="125">
        <f t="shared" si="77"/>
        <v>58</v>
      </c>
      <c r="E107" s="125">
        <f t="shared" si="78"/>
        <v>17</v>
      </c>
      <c r="F107" s="125">
        <f t="shared" si="79"/>
        <v>14</v>
      </c>
      <c r="G107" s="125">
        <f t="shared" si="80"/>
        <v>7</v>
      </c>
      <c r="L107" s="125" t="str">
        <f t="shared" si="81"/>
        <v>ok</v>
      </c>
    </row>
    <row r="108">
      <c r="A108" s="2"/>
      <c r="B108" s="36" t="str">
        <f>IFERROR(__xludf.DUMMYFUNCTION("""COMPUTED_VALUE"""),"Ranjith Doraiswamy")</f>
        <v>Ranjith Doraiswamy</v>
      </c>
      <c r="C108" s="125">
        <f>IFERROR(__xludf.DUMMYFUNCTION("""COMPUTED_VALUE"""),41.0)</f>
        <v>41</v>
      </c>
      <c r="D108" s="125">
        <f t="shared" si="77"/>
        <v>66</v>
      </c>
      <c r="E108" s="125">
        <f t="shared" si="78"/>
        <v>25</v>
      </c>
      <c r="F108" s="125">
        <f t="shared" si="79"/>
        <v>13</v>
      </c>
      <c r="G108" s="125">
        <f t="shared" si="80"/>
        <v>0</v>
      </c>
      <c r="L108" s="125" t="str">
        <f t="shared" si="81"/>
        <v>ok</v>
      </c>
    </row>
    <row r="109">
      <c r="A109" s="2"/>
      <c r="B109" s="36" t="str">
        <f>IFERROR(__xludf.DUMMYFUNCTION("""COMPUTED_VALUE"""),"Cid Macaraeg")</f>
        <v>Cid Macaraeg</v>
      </c>
      <c r="C109" s="125">
        <f>IFERROR(__xludf.DUMMYFUNCTION("""COMPUTED_VALUE"""),39.0)</f>
        <v>39</v>
      </c>
      <c r="D109" s="125">
        <f t="shared" si="77"/>
        <v>52</v>
      </c>
      <c r="E109" s="125">
        <f t="shared" si="78"/>
        <v>13</v>
      </c>
      <c r="F109" s="125">
        <f t="shared" si="79"/>
        <v>15</v>
      </c>
      <c r="G109" s="125">
        <f t="shared" si="80"/>
        <v>7</v>
      </c>
      <c r="L109" s="125" t="str">
        <f t="shared" si="81"/>
        <v>ok</v>
      </c>
    </row>
    <row r="110">
      <c r="A110" s="2"/>
      <c r="B110" s="36" t="str">
        <f>IFERROR(__xludf.DUMMYFUNCTION("""COMPUTED_VALUE"""),"Scott Li")</f>
        <v>Scott Li</v>
      </c>
      <c r="C110" s="125">
        <f>IFERROR(__xludf.DUMMYFUNCTION("""COMPUTED_VALUE"""),32.0)</f>
        <v>32</v>
      </c>
      <c r="D110" s="125">
        <f t="shared" si="77"/>
        <v>41</v>
      </c>
      <c r="E110" s="125">
        <f t="shared" si="78"/>
        <v>9</v>
      </c>
      <c r="F110" s="125">
        <f t="shared" si="79"/>
        <v>16</v>
      </c>
      <c r="G110" s="125">
        <f t="shared" si="80"/>
        <v>5</v>
      </c>
      <c r="L110" s="125" t="str">
        <f t="shared" si="81"/>
        <v>ok</v>
      </c>
    </row>
    <row r="111">
      <c r="A111" s="2"/>
      <c r="B111" s="36" t="str">
        <f>IFERROR(__xludf.DUMMYFUNCTION("""COMPUTED_VALUE"""),"Joe Luzzi")</f>
        <v>Joe Luzzi</v>
      </c>
      <c r="C111" s="125">
        <f>IFERROR(__xludf.DUMMYFUNCTION("""COMPUTED_VALUE"""),31.0)</f>
        <v>31</v>
      </c>
      <c r="D111" s="125">
        <f t="shared" si="77"/>
        <v>35</v>
      </c>
      <c r="E111" s="125">
        <f t="shared" si="78"/>
        <v>4</v>
      </c>
      <c r="F111" s="125">
        <f t="shared" si="79"/>
        <v>17</v>
      </c>
      <c r="G111" s="125">
        <f t="shared" si="80"/>
        <v>4</v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2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Darren Wong</v>
      </c>
      <c r="C120" s="125">
        <f t="shared" si="82"/>
        <v>19</v>
      </c>
      <c r="D120" s="125">
        <f t="shared" si="82"/>
        <v>3</v>
      </c>
      <c r="E120" s="125">
        <f t="shared" si="82"/>
        <v>9.5</v>
      </c>
      <c r="F120" s="2"/>
    </row>
    <row r="121">
      <c r="A121" s="125">
        <f t="shared" ref="A121:E121" si="83">A6</f>
        <v>2</v>
      </c>
      <c r="B121" s="36" t="str">
        <f t="shared" si="83"/>
        <v>Jonathan Phan</v>
      </c>
      <c r="C121" s="125">
        <f t="shared" si="83"/>
        <v>18</v>
      </c>
      <c r="D121" s="125">
        <f t="shared" si="83"/>
        <v>3</v>
      </c>
      <c r="E121" s="125">
        <f t="shared" si="83"/>
        <v>5</v>
      </c>
      <c r="F121" s="2"/>
    </row>
    <row r="122">
      <c r="A122" s="125">
        <f t="shared" ref="A122:E122" si="84">A7</f>
        <v>3</v>
      </c>
      <c r="B122" s="36" t="str">
        <f t="shared" si="84"/>
        <v>Rajasekar Ramasamy</v>
      </c>
      <c r="C122" s="125">
        <f t="shared" si="84"/>
        <v>18</v>
      </c>
      <c r="D122" s="125">
        <f t="shared" si="84"/>
        <v>2</v>
      </c>
      <c r="E122" s="125">
        <f t="shared" si="84"/>
        <v>9</v>
      </c>
      <c r="F122" s="2"/>
    </row>
    <row r="123">
      <c r="A123" s="125">
        <f t="shared" ref="A123:E123" si="85">A8</f>
        <v>4</v>
      </c>
      <c r="B123" s="36" t="str">
        <f t="shared" si="85"/>
        <v>Joe Luzzi</v>
      </c>
      <c r="C123" s="125">
        <f t="shared" si="85"/>
        <v>17</v>
      </c>
      <c r="D123" s="125">
        <f t="shared" si="85"/>
        <v>2</v>
      </c>
      <c r="E123" s="125">
        <f t="shared" si="85"/>
        <v>8.5</v>
      </c>
      <c r="F123" s="2"/>
    </row>
    <row r="124">
      <c r="A124" s="125">
        <f t="shared" ref="A124:E124" si="86">A9</f>
        <v>5</v>
      </c>
      <c r="B124" s="36" t="str">
        <f t="shared" si="86"/>
        <v>Sean Chang</v>
      </c>
      <c r="C124" s="125">
        <f t="shared" si="86"/>
        <v>16</v>
      </c>
      <c r="D124" s="125">
        <f t="shared" si="86"/>
        <v>2</v>
      </c>
      <c r="E124" s="125">
        <f t="shared" si="86"/>
        <v>3</v>
      </c>
      <c r="F124" s="2"/>
    </row>
    <row r="125">
      <c r="A125" s="125">
        <f t="shared" ref="A125:E125" si="87">A10</f>
        <v>6</v>
      </c>
      <c r="B125" s="36" t="str">
        <f t="shared" si="87"/>
        <v>Erik Hoeckmann</v>
      </c>
      <c r="C125" s="125">
        <f t="shared" si="87"/>
        <v>16</v>
      </c>
      <c r="D125" s="125">
        <f t="shared" si="87"/>
        <v>2</v>
      </c>
      <c r="E125" s="125">
        <f t="shared" si="87"/>
        <v>8</v>
      </c>
      <c r="F125" s="2"/>
    </row>
    <row r="126">
      <c r="A126" s="125">
        <f t="shared" ref="A126:E126" si="88">A11</f>
        <v>7</v>
      </c>
      <c r="B126" s="36" t="str">
        <f t="shared" si="88"/>
        <v>Allen Zhang</v>
      </c>
      <c r="C126" s="125">
        <f t="shared" si="88"/>
        <v>16</v>
      </c>
      <c r="D126" s="125">
        <f t="shared" si="88"/>
        <v>2</v>
      </c>
      <c r="E126" s="125">
        <f t="shared" si="88"/>
        <v>8</v>
      </c>
      <c r="F126" s="2"/>
    </row>
    <row r="127">
      <c r="A127" s="125">
        <f t="shared" ref="A127:E127" si="89">A12</f>
        <v>8</v>
      </c>
      <c r="B127" s="36" t="str">
        <f t="shared" si="89"/>
        <v>Jim Miao</v>
      </c>
      <c r="C127" s="125">
        <f t="shared" si="89"/>
        <v>16</v>
      </c>
      <c r="D127" s="125">
        <f t="shared" si="89"/>
        <v>2</v>
      </c>
      <c r="E127" s="125">
        <f t="shared" si="89"/>
        <v>8</v>
      </c>
      <c r="F127" s="2"/>
    </row>
    <row r="128">
      <c r="A128" s="125">
        <f t="shared" ref="A128:E128" si="90">A13</f>
        <v>9</v>
      </c>
      <c r="B128" s="36" t="str">
        <f t="shared" si="90"/>
        <v>Scott Li</v>
      </c>
      <c r="C128" s="125">
        <f t="shared" si="90"/>
        <v>16</v>
      </c>
      <c r="D128" s="125">
        <f t="shared" si="90"/>
        <v>2</v>
      </c>
      <c r="E128" s="125">
        <f t="shared" si="90"/>
        <v>8</v>
      </c>
      <c r="F128" s="2"/>
    </row>
    <row r="129">
      <c r="A129" s="125">
        <f t="shared" ref="A129:E129" si="91">A14</f>
        <v>10</v>
      </c>
      <c r="B129" s="36" t="str">
        <f t="shared" si="91"/>
        <v>Basudev Thoppai Vidyasankar</v>
      </c>
      <c r="C129" s="125">
        <f t="shared" si="91"/>
        <v>16</v>
      </c>
      <c r="D129" s="125">
        <f t="shared" si="91"/>
        <v>2</v>
      </c>
      <c r="E129" s="125">
        <f t="shared" si="91"/>
        <v>7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IFERROR(__xludf.DUMMYFUNCTION("""COMPUTED_VALUE"""),"Darren Wong")</f>
        <v>Darren Wong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IFERROR(__xludf.DUMMYFUNCTION("""COMPUTED_VALUE"""),"Elayaraja Thangaraj")</f>
        <v>Elayaraja Thangaraj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IFERROR(__xludf.DUMMYFUNCTION("""COMPUTED_VALUE"""),"Eric Tan")</f>
        <v>Eric Tan</v>
      </c>
      <c r="C140" s="2"/>
      <c r="D140" s="2"/>
      <c r="E140" s="2"/>
      <c r="F140" s="2"/>
    </row>
    <row r="141">
      <c r="A141" s="125">
        <f t="shared" si="92"/>
        <v>5</v>
      </c>
      <c r="B141" s="36" t="str">
        <f>IFERROR(__xludf.DUMMYFUNCTION("""COMPUTED_VALUE"""),"Erik Hoeckmann")</f>
        <v>Erik Hoeckmann</v>
      </c>
      <c r="C141" s="2"/>
      <c r="D141" s="2"/>
      <c r="E141" s="2"/>
      <c r="F141" s="2"/>
    </row>
    <row r="142">
      <c r="A142" s="125">
        <f t="shared" si="92"/>
        <v>6</v>
      </c>
      <c r="B142" s="36" t="str">
        <f>IFERROR(__xludf.DUMMYFUNCTION("""COMPUTED_VALUE"""),"Jim Miao")</f>
        <v>Jim Miao</v>
      </c>
      <c r="C142" s="2"/>
      <c r="D142" s="2"/>
      <c r="E142" s="2"/>
      <c r="F142" s="2"/>
    </row>
    <row r="143">
      <c r="A143" s="125">
        <f t="shared" si="92"/>
        <v>7</v>
      </c>
      <c r="B143" s="36" t="str">
        <f>IFERROR(__xludf.DUMMYFUNCTION("""COMPUTED_VALUE"""),"Jimmy Awolesi")</f>
        <v>Jimmy Awolesi</v>
      </c>
      <c r="C143" s="2"/>
      <c r="D143" s="2"/>
      <c r="E143" s="2"/>
      <c r="F143" s="2"/>
    </row>
    <row r="144">
      <c r="A144" s="125">
        <f t="shared" si="92"/>
        <v>8</v>
      </c>
      <c r="B144" s="36" t="str">
        <f>IFERROR(__xludf.DUMMYFUNCTION("""COMPUTED_VALUE"""),"Joe Luzzi")</f>
        <v>Joe Luzzi</v>
      </c>
      <c r="C144" s="2"/>
      <c r="D144" s="2"/>
      <c r="E144" s="2"/>
      <c r="F144" s="2"/>
    </row>
    <row r="145">
      <c r="A145" s="125">
        <f t="shared" si="92"/>
        <v>9</v>
      </c>
      <c r="B145" s="36" t="str">
        <f>IFERROR(__xludf.DUMMYFUNCTION("""COMPUTED_VALUE"""),"Matthew Huang")</f>
        <v>Matthew Huang</v>
      </c>
      <c r="C145" s="2"/>
      <c r="D145" s="2"/>
      <c r="E145" s="2"/>
      <c r="F145" s="2"/>
    </row>
    <row r="146">
      <c r="A146" s="125">
        <f t="shared" si="92"/>
        <v>10</v>
      </c>
      <c r="B146" s="36" t="str">
        <f>IFERROR(__xludf.DUMMYFUNCTION("""COMPUTED_VALUE"""),"Nicole Ni")</f>
        <v>Nicole Ni</v>
      </c>
      <c r="C146" s="2"/>
      <c r="D146" s="2"/>
      <c r="E146" s="2"/>
      <c r="F146" s="2"/>
    </row>
    <row r="147">
      <c r="A147" s="125">
        <f t="shared" si="92"/>
        <v>11</v>
      </c>
      <c r="B147" s="36" t="str">
        <f>IFERROR(__xludf.DUMMYFUNCTION("""COMPUTED_VALUE"""),"Rajasekar Ramasamy")</f>
        <v>Rajasekar Ramasamy</v>
      </c>
      <c r="C147" s="2"/>
      <c r="D147" s="2"/>
      <c r="E147" s="2"/>
      <c r="F147" s="2"/>
    </row>
    <row r="148">
      <c r="A148" s="125">
        <f t="shared" si="92"/>
        <v>12</v>
      </c>
      <c r="B148" s="36" t="str">
        <f>IFERROR(__xludf.DUMMYFUNCTION("""COMPUTED_VALUE"""),"Scott Li")</f>
        <v>Scott Li</v>
      </c>
      <c r="C148" s="2"/>
      <c r="D148" s="2"/>
      <c r="E148" s="2"/>
      <c r="F148" s="2"/>
    </row>
    <row r="149">
      <c r="A149" s="125">
        <f t="shared" si="92"/>
        <v>13</v>
      </c>
      <c r="B149" s="36" t="str">
        <f>IFERROR(__xludf.DUMMYFUNCTION("""COMPUTED_VALUE"""),"Ted Shen")</f>
        <v>Ted Shen</v>
      </c>
      <c r="C149" s="2"/>
      <c r="D149" s="2"/>
      <c r="E149" s="2"/>
      <c r="F149" s="2"/>
    </row>
    <row r="150">
      <c r="A150" s="125">
        <f t="shared" si="92"/>
        <v>14</v>
      </c>
      <c r="B150" s="36" t="str">
        <f>IFERROR(__xludf.DUMMYFUNCTION("""COMPUTED_VALUE"""),"Tina Hanson")</f>
        <v>Tina Hanson</v>
      </c>
      <c r="C150" s="2"/>
      <c r="D150" s="2"/>
      <c r="E150" s="2"/>
      <c r="F150" s="2"/>
    </row>
    <row r="151">
      <c r="A151" s="125">
        <f t="shared" si="92"/>
        <v>15</v>
      </c>
      <c r="B151" s="36" t="str">
        <f>IFERROR(__xludf.DUMMYFUNCTION("""COMPUTED_VALUE"""),"Tom Le")</f>
        <v>Tom Le</v>
      </c>
      <c r="C151" s="2"/>
      <c r="D151" s="2"/>
      <c r="E151" s="2"/>
      <c r="F151" s="2"/>
    </row>
    <row r="152">
      <c r="A152" s="125">
        <f t="shared" si="92"/>
        <v>16</v>
      </c>
      <c r="B152" s="36" t="str">
        <f>IFERROR(__xludf.DUMMYFUNCTION("""COMPUTED_VALUE"""),"Vinotkumar Nagappan")</f>
        <v>Vinotkumar Nagappan</v>
      </c>
      <c r="C152" s="2"/>
      <c r="D152" s="2"/>
      <c r="E152" s="2"/>
      <c r="F152" s="2"/>
    </row>
    <row r="153">
      <c r="A153" s="125">
        <f t="shared" si="92"/>
        <v>17</v>
      </c>
      <c r="B153" s="36" t="str">
        <f>IFERROR(__xludf.DUMMYFUNCTION("""COMPUTED_VALUE"""),"Wayne Liu")</f>
        <v>Wayne Liu</v>
      </c>
      <c r="C153" s="2"/>
      <c r="D153" s="2"/>
      <c r="E153" s="2"/>
      <c r="F153" s="2"/>
    </row>
    <row r="154">
      <c r="A154" s="125">
        <f t="shared" si="92"/>
        <v>0</v>
      </c>
      <c r="B154" s="36"/>
      <c r="C154" s="2"/>
      <c r="D154" s="2"/>
      <c r="E154" s="2"/>
      <c r="F154" s="2"/>
    </row>
    <row r="155">
      <c r="A155" s="125">
        <f t="shared" si="92"/>
        <v>0</v>
      </c>
      <c r="B155" s="36"/>
      <c r="C155" s="2"/>
      <c r="D155" s="2"/>
      <c r="E155" s="2"/>
      <c r="F155" s="2"/>
    </row>
    <row r="156">
      <c r="A156" s="125">
        <f t="shared" si="92"/>
        <v>0</v>
      </c>
      <c r="B156" s="36"/>
      <c r="C156" s="2"/>
      <c r="D156" s="2"/>
      <c r="E156" s="2"/>
      <c r="F156" s="2"/>
    </row>
    <row r="157">
      <c r="A157" s="125">
        <f t="shared" si="92"/>
        <v>0</v>
      </c>
      <c r="B157" s="36"/>
      <c r="C157" s="2"/>
      <c r="D157" s="2"/>
      <c r="E157" s="2"/>
      <c r="F157" s="2"/>
    </row>
    <row r="158">
      <c r="A158" s="125">
        <f t="shared" si="92"/>
        <v>0</v>
      </c>
      <c r="B158" s="36"/>
      <c r="C158" s="2"/>
      <c r="D158" s="2"/>
      <c r="E158" s="2"/>
      <c r="F158" s="2"/>
    </row>
    <row r="159">
      <c r="A159" s="125">
        <f t="shared" si="92"/>
        <v>0</v>
      </c>
      <c r="B159" s="36"/>
      <c r="C159" s="2"/>
      <c r="D159" s="2"/>
      <c r="E159" s="2"/>
      <c r="F159" s="2"/>
    </row>
    <row r="160">
      <c r="A160" s="125">
        <f t="shared" si="92"/>
        <v>0</v>
      </c>
      <c r="B160" s="36"/>
      <c r="C160" s="2"/>
      <c r="D160" s="2"/>
      <c r="E160" s="2"/>
      <c r="F160" s="2"/>
    </row>
    <row r="161">
      <c r="A161" s="125">
        <f t="shared" si="92"/>
        <v>0</v>
      </c>
      <c r="B161" s="36"/>
      <c r="C161" s="2"/>
      <c r="D161" s="2"/>
      <c r="E161" s="2"/>
      <c r="F161" s="2"/>
    </row>
    <row r="162">
      <c r="A162" s="125">
        <f t="shared" si="92"/>
        <v>0</v>
      </c>
      <c r="B162" s="36"/>
      <c r="C162" s="2"/>
      <c r="D162" s="2"/>
      <c r="E162" s="2"/>
      <c r="F162" s="2"/>
    </row>
    <row r="163">
      <c r="A163" s="125">
        <f t="shared" si="92"/>
        <v>0</v>
      </c>
      <c r="B163" s="36"/>
      <c r="C163" s="2"/>
      <c r="D163" s="2"/>
      <c r="E163" s="2"/>
      <c r="F163" s="2"/>
    </row>
    <row r="164">
      <c r="A164" s="125">
        <f t="shared" si="92"/>
        <v>0</v>
      </c>
      <c r="B164" s="36"/>
      <c r="C164" s="2"/>
      <c r="D164" s="2"/>
      <c r="E164" s="2"/>
      <c r="F164" s="2"/>
    </row>
    <row r="165">
      <c r="A165" s="125">
        <f t="shared" si="92"/>
        <v>0</v>
      </c>
      <c r="B165" s="36"/>
      <c r="C165" s="2"/>
      <c r="D165" s="2"/>
      <c r="E165" s="2"/>
      <c r="F165" s="2"/>
    </row>
    <row r="166">
      <c r="A166" s="125">
        <f t="shared" si="92"/>
        <v>0</v>
      </c>
      <c r="B166" s="36"/>
      <c r="C166" s="2"/>
      <c r="D166" s="2"/>
      <c r="E166" s="2"/>
      <c r="F166" s="2"/>
    </row>
    <row r="167">
      <c r="A167" s="125">
        <f t="shared" si="92"/>
        <v>0</v>
      </c>
      <c r="B167" s="36"/>
      <c r="C167" s="2"/>
      <c r="D167" s="2"/>
      <c r="E167" s="2"/>
      <c r="F167" s="2"/>
    </row>
    <row r="168">
      <c r="A168" s="125">
        <f t="shared" si="92"/>
        <v>0</v>
      </c>
      <c r="B168" s="36"/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07/04/26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>
        <f>IFERROR(__xludf.DUMMYFUNCTION("QUERY(indirect(AC2 &amp; ""!B5:M79""),""Select G, B, I, J, K,L, M where G &gt; 0 order by G asc"",0)"),1.0)</f>
        <v>1</v>
      </c>
      <c r="B239" s="36" t="str">
        <f>IFERROR(__xludf.DUMMYFUNCTION("""COMPUTED_VALUE"""),"Nicole Ni")</f>
        <v>Nicole Ni</v>
      </c>
      <c r="C239" s="131">
        <f>IFERROR(__xludf.DUMMYFUNCTION("""COMPUTED_VALUE"""),4.0)</f>
        <v>4</v>
      </c>
      <c r="D239" s="131">
        <f>IFERROR(__xludf.DUMMYFUNCTION("""COMPUTED_VALUE"""),1.0)</f>
        <v>1</v>
      </c>
      <c r="E239" s="131">
        <f>IFERROR(__xludf.DUMMYFUNCTION("""COMPUTED_VALUE"""),4.0)</f>
        <v>4</v>
      </c>
      <c r="F239" s="131">
        <f>IFERROR(__xludf.DUMMYFUNCTION("""COMPUTED_VALUE"""),9.0)</f>
        <v>9</v>
      </c>
      <c r="G239" s="131">
        <f>IFERROR(__xludf.DUMMYFUNCTION("""COMPUTED_VALUE"""),0.0)</f>
        <v>0</v>
      </c>
    </row>
    <row r="240">
      <c r="A240" s="125">
        <f>IFERROR(__xludf.DUMMYFUNCTION("""COMPUTED_VALUE"""),1.0)</f>
        <v>1</v>
      </c>
      <c r="B240" s="36" t="str">
        <f>IFERROR(__xludf.DUMMYFUNCTION("""COMPUTED_VALUE"""),"Sean Chang")</f>
        <v>Sean Chang</v>
      </c>
      <c r="C240" s="131">
        <f>IFERROR(__xludf.DUMMYFUNCTION("""COMPUTED_VALUE"""),4.0)</f>
        <v>4</v>
      </c>
      <c r="D240" s="131">
        <f>IFERROR(__xludf.DUMMYFUNCTION("""COMPUTED_VALUE"""),6.0)</f>
        <v>6</v>
      </c>
      <c r="E240" s="131">
        <f>IFERROR(__xludf.DUMMYFUNCTION("""COMPUTED_VALUE"""),6.0)</f>
        <v>6</v>
      </c>
      <c r="F240" s="131">
        <f>IFERROR(__xludf.DUMMYFUNCTION("""COMPUTED_VALUE"""),16.0)</f>
        <v>16</v>
      </c>
      <c r="G240" s="131">
        <f>IFERROR(__xludf.DUMMYFUNCTION("""COMPUTED_VALUE"""),2.0)</f>
        <v>2</v>
      </c>
    </row>
    <row r="241">
      <c r="A241" s="125">
        <f>IFERROR(__xludf.DUMMYFUNCTION("""COMPUTED_VALUE"""),1.0)</f>
        <v>1</v>
      </c>
      <c r="B241" s="36" t="str">
        <f>IFERROR(__xludf.DUMMYFUNCTION("""COMPUTED_VALUE"""),"Ted Shen")</f>
        <v>Ted Shen</v>
      </c>
      <c r="C241" s="131">
        <f>IFERROR(__xludf.DUMMYFUNCTION("""COMPUTED_VALUE"""),6.0)</f>
        <v>6</v>
      </c>
      <c r="D241" s="131">
        <f>IFERROR(__xludf.DUMMYFUNCTION("""COMPUTED_VALUE"""),1.0)</f>
        <v>1</v>
      </c>
      <c r="E241" s="131">
        <f>IFERROR(__xludf.DUMMYFUNCTION("""COMPUTED_VALUE"""),6.0)</f>
        <v>6</v>
      </c>
      <c r="F241" s="131">
        <f>IFERROR(__xludf.DUMMYFUNCTION("""COMPUTED_VALUE"""),13.0)</f>
        <v>13</v>
      </c>
      <c r="G241" s="131">
        <f>IFERROR(__xludf.DUMMYFUNCTION("""COMPUTED_VALUE"""),2.0)</f>
        <v>2</v>
      </c>
    </row>
    <row r="242">
      <c r="A242" s="125">
        <f>IFERROR(__xludf.DUMMYFUNCTION("""COMPUTED_VALUE"""),1.0)</f>
        <v>1</v>
      </c>
      <c r="B242" s="36" t="str">
        <f>IFERROR(__xludf.DUMMYFUNCTION("""COMPUTED_VALUE"""),"Erik Hoeckmann")</f>
        <v>Erik Hoeckmann</v>
      </c>
      <c r="C242" s="131">
        <f>IFERROR(__xludf.DUMMYFUNCTION("""COMPUTED_VALUE"""),6.0)</f>
        <v>6</v>
      </c>
      <c r="D242" s="131">
        <f>IFERROR(__xludf.DUMMYFUNCTION("""COMPUTED_VALUE"""),6.0)</f>
        <v>6</v>
      </c>
      <c r="E242" s="131">
        <f>IFERROR(__xludf.DUMMYFUNCTION("""COMPUTED_VALUE"""),4.0)</f>
        <v>4</v>
      </c>
      <c r="F242" s="131">
        <f>IFERROR(__xludf.DUMMYFUNCTION("""COMPUTED_VALUE"""),16.0)</f>
        <v>16</v>
      </c>
      <c r="G242" s="131">
        <f>IFERROR(__xludf.DUMMYFUNCTION("""COMPUTED_VALUE"""),2.0)</f>
        <v>2</v>
      </c>
    </row>
    <row r="243">
      <c r="A243" s="132">
        <f>IFERROR(__xludf.DUMMYFUNCTION("""COMPUTED_VALUE"""),2.0)</f>
        <v>2</v>
      </c>
      <c r="B243" s="133" t="str">
        <f>IFERROR(__xludf.DUMMYFUNCTION("""COMPUTED_VALUE"""),"Jimmy Awolesi")</f>
        <v>Jimmy Awolesi</v>
      </c>
      <c r="C243" s="134">
        <f>IFERROR(__xludf.DUMMYFUNCTION("""COMPUTED_VALUE"""),2.0)</f>
        <v>2</v>
      </c>
      <c r="D243" s="134">
        <f>IFERROR(__xludf.DUMMYFUNCTION("""COMPUTED_VALUE"""),6.0)</f>
        <v>6</v>
      </c>
      <c r="E243" s="134">
        <f>IFERROR(__xludf.DUMMYFUNCTION("""COMPUTED_VALUE"""),6.0)</f>
        <v>6</v>
      </c>
      <c r="F243" s="134">
        <f>IFERROR(__xludf.DUMMYFUNCTION("""COMPUTED_VALUE"""),14.0)</f>
        <v>14</v>
      </c>
      <c r="G243" s="134">
        <f>IFERROR(__xludf.DUMMYFUNCTION("""COMPUTED_VALUE"""),2.0)</f>
        <v>2</v>
      </c>
    </row>
    <row r="244">
      <c r="A244" s="132">
        <f>IFERROR(__xludf.DUMMYFUNCTION("""COMPUTED_VALUE"""),2.0)</f>
        <v>2</v>
      </c>
      <c r="B244" s="133" t="str">
        <f>IFERROR(__xludf.DUMMYFUNCTION("""COMPUTED_VALUE"""),"Allen Zhang")</f>
        <v>Allen Zhang</v>
      </c>
      <c r="C244" s="134">
        <f>IFERROR(__xludf.DUMMYFUNCTION("""COMPUTED_VALUE"""),6.0)</f>
        <v>6</v>
      </c>
      <c r="D244" s="134">
        <f>IFERROR(__xludf.DUMMYFUNCTION("""COMPUTED_VALUE"""),4.0)</f>
        <v>4</v>
      </c>
      <c r="E244" s="134">
        <f>IFERROR(__xludf.DUMMYFUNCTION("""COMPUTED_VALUE"""),6.0)</f>
        <v>6</v>
      </c>
      <c r="F244" s="134">
        <f>IFERROR(__xludf.DUMMYFUNCTION("""COMPUTED_VALUE"""),16.0)</f>
        <v>16</v>
      </c>
      <c r="G244" s="134">
        <f>IFERROR(__xludf.DUMMYFUNCTION("""COMPUTED_VALUE"""),2.0)</f>
        <v>2</v>
      </c>
    </row>
    <row r="245">
      <c r="A245" s="132">
        <f>IFERROR(__xludf.DUMMYFUNCTION("""COMPUTED_VALUE"""),2.0)</f>
        <v>2</v>
      </c>
      <c r="B245" s="133" t="str">
        <f>IFERROR(__xludf.DUMMYFUNCTION("""COMPUTED_VALUE"""),"Andrew Wen")</f>
        <v>Andrew Wen</v>
      </c>
      <c r="C245" s="134">
        <f>IFERROR(__xludf.DUMMYFUNCTION("""COMPUTED_VALUE"""),2.0)</f>
        <v>2</v>
      </c>
      <c r="D245" s="134">
        <f>IFERROR(__xludf.DUMMYFUNCTION("""COMPUTED_VALUE"""),4.0)</f>
        <v>4</v>
      </c>
      <c r="E245" s="134">
        <f>IFERROR(__xludf.DUMMYFUNCTION("""COMPUTED_VALUE"""),2.0)</f>
        <v>2</v>
      </c>
      <c r="F245" s="134">
        <f>IFERROR(__xludf.DUMMYFUNCTION("""COMPUTED_VALUE"""),8.0)</f>
        <v>8</v>
      </c>
      <c r="G245" s="134">
        <f>IFERROR(__xludf.DUMMYFUNCTION("""COMPUTED_VALUE"""),0.0)</f>
        <v>0</v>
      </c>
    </row>
    <row r="246">
      <c r="A246" s="132">
        <f>IFERROR(__xludf.DUMMYFUNCTION("""COMPUTED_VALUE"""),2.0)</f>
        <v>2</v>
      </c>
      <c r="B246" s="133" t="str">
        <f>IFERROR(__xludf.DUMMYFUNCTION("""COMPUTED_VALUE"""),"Sanjaye Elayattu")</f>
        <v>Sanjaye Elayattu</v>
      </c>
      <c r="C246" s="134">
        <f>IFERROR(__xludf.DUMMYFUNCTION("""COMPUTED_VALUE"""),6.0)</f>
        <v>6</v>
      </c>
      <c r="D246" s="134">
        <f>IFERROR(__xludf.DUMMYFUNCTION("""COMPUTED_VALUE"""),6.0)</f>
        <v>6</v>
      </c>
      <c r="E246" s="134">
        <f>IFERROR(__xludf.DUMMYFUNCTION("""COMPUTED_VALUE"""),2.0)</f>
        <v>2</v>
      </c>
      <c r="F246" s="134">
        <f>IFERROR(__xludf.DUMMYFUNCTION("""COMPUTED_VALUE"""),14.0)</f>
        <v>14</v>
      </c>
      <c r="G246" s="134">
        <f>IFERROR(__xludf.DUMMYFUNCTION("""COMPUTED_VALUE"""),2.0)</f>
        <v>2</v>
      </c>
    </row>
    <row r="247">
      <c r="A247" s="125">
        <f>IFERROR(__xludf.DUMMYFUNCTION("""COMPUTED_VALUE"""),3.0)</f>
        <v>3</v>
      </c>
      <c r="B247" s="36" t="str">
        <f>IFERROR(__xludf.DUMMYFUNCTION("""COMPUTED_VALUE"""),"Wayne Liu")</f>
        <v>Wayne Liu</v>
      </c>
      <c r="C247" s="131">
        <f>IFERROR(__xludf.DUMMYFUNCTION("""COMPUTED_VALUE"""),0.0)</f>
        <v>0</v>
      </c>
      <c r="D247" s="131">
        <f>IFERROR(__xludf.DUMMYFUNCTION("""COMPUTED_VALUE"""),7.0)</f>
        <v>7</v>
      </c>
      <c r="E247" s="131">
        <f>IFERROR(__xludf.DUMMYFUNCTION("""COMPUTED_VALUE"""),1.0)</f>
        <v>1</v>
      </c>
      <c r="F247" s="131">
        <f>IFERROR(__xludf.DUMMYFUNCTION("""COMPUTED_VALUE"""),8.0)</f>
        <v>8</v>
      </c>
      <c r="G247" s="131">
        <f>IFERROR(__xludf.DUMMYFUNCTION("""COMPUTED_VALUE"""),1.0)</f>
        <v>1</v>
      </c>
    </row>
    <row r="248">
      <c r="A248" s="125">
        <f>IFERROR(__xludf.DUMMYFUNCTION("""COMPUTED_VALUE"""),3.0)</f>
        <v>3</v>
      </c>
      <c r="B248" s="36" t="str">
        <f>IFERROR(__xludf.DUMMYFUNCTION("""COMPUTED_VALUE"""),"Frank Moon")</f>
        <v>Frank Moon</v>
      </c>
      <c r="C248" s="131">
        <f>IFERROR(__xludf.DUMMYFUNCTION("""COMPUTED_VALUE"""),0.0)</f>
        <v>0</v>
      </c>
      <c r="D248" s="131">
        <f>IFERROR(__xludf.DUMMYFUNCTION("""COMPUTED_VALUE"""),5.0)</f>
        <v>5</v>
      </c>
      <c r="E248" s="131">
        <f>IFERROR(__xludf.DUMMYFUNCTION("""COMPUTED_VALUE"""),6.0)</f>
        <v>6</v>
      </c>
      <c r="F248" s="131">
        <f>IFERROR(__xludf.DUMMYFUNCTION("""COMPUTED_VALUE"""),11.0)</f>
        <v>11</v>
      </c>
      <c r="G248" s="131">
        <f>IFERROR(__xludf.DUMMYFUNCTION("""COMPUTED_VALUE"""),1.0)</f>
        <v>1</v>
      </c>
    </row>
    <row r="249">
      <c r="A249" s="125">
        <f>IFERROR(__xludf.DUMMYFUNCTION("""COMPUTED_VALUE"""),3.0)</f>
        <v>3</v>
      </c>
      <c r="B249" s="36" t="str">
        <f>IFERROR(__xludf.DUMMYFUNCTION("""COMPUTED_VALUE"""),"Chinna Ponnaganti")</f>
        <v>Chinna Ponnaganti</v>
      </c>
      <c r="C249" s="131">
        <f>IFERROR(__xludf.DUMMYFUNCTION("""COMPUTED_VALUE"""),6.0)</f>
        <v>6</v>
      </c>
      <c r="D249" s="131">
        <f>IFERROR(__xludf.DUMMYFUNCTION("""COMPUTED_VALUE"""),5.0)</f>
        <v>5</v>
      </c>
      <c r="E249" s="131">
        <f>IFERROR(__xludf.DUMMYFUNCTION("""COMPUTED_VALUE"""),1.0)</f>
        <v>1</v>
      </c>
      <c r="F249" s="131">
        <f>IFERROR(__xludf.DUMMYFUNCTION("""COMPUTED_VALUE"""),12.0)</f>
        <v>12</v>
      </c>
      <c r="G249" s="131">
        <f>IFERROR(__xludf.DUMMYFUNCTION("""COMPUTED_VALUE"""),1.0)</f>
        <v>1</v>
      </c>
    </row>
    <row r="250">
      <c r="A250" s="125">
        <f>IFERROR(__xludf.DUMMYFUNCTION("""COMPUTED_VALUE"""),3.0)</f>
        <v>3</v>
      </c>
      <c r="B250" s="36" t="str">
        <f>IFERROR(__xludf.DUMMYFUNCTION("""COMPUTED_VALUE"""),"Darren Wong")</f>
        <v>Darren Wong</v>
      </c>
      <c r="C250" s="131">
        <f>IFERROR(__xludf.DUMMYFUNCTION("""COMPUTED_VALUE"""),6.0)</f>
        <v>6</v>
      </c>
      <c r="D250" s="131">
        <f>IFERROR(__xludf.DUMMYFUNCTION("""COMPUTED_VALUE"""),7.0)</f>
        <v>7</v>
      </c>
      <c r="E250" s="131">
        <f>IFERROR(__xludf.DUMMYFUNCTION("""COMPUTED_VALUE"""),6.0)</f>
        <v>6</v>
      </c>
      <c r="F250" s="131">
        <f>IFERROR(__xludf.DUMMYFUNCTION("""COMPUTED_VALUE"""),19.0)</f>
        <v>19</v>
      </c>
      <c r="G250" s="131">
        <f>IFERROR(__xludf.DUMMYFUNCTION("""COMPUTED_VALUE"""),3.0)</f>
        <v>3</v>
      </c>
    </row>
    <row r="251">
      <c r="A251" s="132">
        <f>IFERROR(__xludf.DUMMYFUNCTION("""COMPUTED_VALUE"""),4.0)</f>
        <v>4</v>
      </c>
      <c r="B251" s="133" t="str">
        <f>IFERROR(__xludf.DUMMYFUNCTION("""COMPUTED_VALUE"""),"Vinaya Kajla")</f>
        <v>Vinaya Kajla</v>
      </c>
      <c r="C251" s="134">
        <f>IFERROR(__xludf.DUMMYFUNCTION("""COMPUTED_VALUE"""),6.0)</f>
        <v>6</v>
      </c>
      <c r="D251" s="134">
        <f>IFERROR(__xludf.DUMMYFUNCTION("""COMPUTED_VALUE"""),2.0)</f>
        <v>2</v>
      </c>
      <c r="E251" s="134">
        <f>IFERROR(__xludf.DUMMYFUNCTION("""COMPUTED_VALUE"""),7.0)</f>
        <v>7</v>
      </c>
      <c r="F251" s="134">
        <f>IFERROR(__xludf.DUMMYFUNCTION("""COMPUTED_VALUE"""),15.0)</f>
        <v>15</v>
      </c>
      <c r="G251" s="134">
        <f>IFERROR(__xludf.DUMMYFUNCTION("""COMPUTED_VALUE"""),2.0)</f>
        <v>2</v>
      </c>
    </row>
    <row r="252">
      <c r="A252" s="132">
        <f>IFERROR(__xludf.DUMMYFUNCTION("""COMPUTED_VALUE"""),4.0)</f>
        <v>4</v>
      </c>
      <c r="B252" s="133" t="str">
        <f>IFERROR(__xludf.DUMMYFUNCTION("""COMPUTED_VALUE"""),"Herman Au")</f>
        <v>Herman Au</v>
      </c>
      <c r="C252" s="134">
        <f>IFERROR(__xludf.DUMMYFUNCTION("""COMPUTED_VALUE"""),4.0)</f>
        <v>4</v>
      </c>
      <c r="D252" s="134">
        <f>IFERROR(__xludf.DUMMYFUNCTION("""COMPUTED_VALUE"""),2.0)</f>
        <v>2</v>
      </c>
      <c r="E252" s="134">
        <f>IFERROR(__xludf.DUMMYFUNCTION("""COMPUTED_VALUE"""),6.0)</f>
        <v>6</v>
      </c>
      <c r="F252" s="134">
        <f>IFERROR(__xludf.DUMMYFUNCTION("""COMPUTED_VALUE"""),12.0)</f>
        <v>12</v>
      </c>
      <c r="G252" s="134">
        <f>IFERROR(__xludf.DUMMYFUNCTION("""COMPUTED_VALUE"""),0.0)</f>
        <v>0</v>
      </c>
    </row>
    <row r="253">
      <c r="A253" s="132">
        <f>IFERROR(__xludf.DUMMYFUNCTION("""COMPUTED_VALUE"""),4.0)</f>
        <v>4</v>
      </c>
      <c r="B253" s="133" t="str">
        <f>IFERROR(__xludf.DUMMYFUNCTION("""COMPUTED_VALUE"""),"Rajasekar Ramasamy")</f>
        <v>Rajasekar Ramasamy</v>
      </c>
      <c r="C253" s="134">
        <f>IFERROR(__xludf.DUMMYFUNCTION("""COMPUTED_VALUE"""),6.0)</f>
        <v>6</v>
      </c>
      <c r="D253" s="134">
        <f>IFERROR(__xludf.DUMMYFUNCTION("""COMPUTED_VALUE"""),6.0)</f>
        <v>6</v>
      </c>
      <c r="E253" s="134">
        <f>IFERROR(__xludf.DUMMYFUNCTION("""COMPUTED_VALUE"""),6.0)</f>
        <v>6</v>
      </c>
      <c r="F253" s="134">
        <f>IFERROR(__xludf.DUMMYFUNCTION("""COMPUTED_VALUE"""),18.0)</f>
        <v>18</v>
      </c>
      <c r="G253" s="134">
        <f>IFERROR(__xludf.DUMMYFUNCTION("""COMPUTED_VALUE"""),2.0)</f>
        <v>2</v>
      </c>
    </row>
    <row r="254">
      <c r="A254" s="132">
        <f>IFERROR(__xludf.DUMMYFUNCTION("""COMPUTED_VALUE"""),4.0)</f>
        <v>4</v>
      </c>
      <c r="B254" s="133" t="str">
        <f>IFERROR(__xludf.DUMMYFUNCTION("""COMPUTED_VALUE"""),"Joe Luzzi")</f>
        <v>Joe Luzzi</v>
      </c>
      <c r="C254" s="134">
        <f>IFERROR(__xludf.DUMMYFUNCTION("""COMPUTED_VALUE"""),4.0)</f>
        <v>4</v>
      </c>
      <c r="D254" s="134">
        <f>IFERROR(__xludf.DUMMYFUNCTION("""COMPUTED_VALUE"""),6.0)</f>
        <v>6</v>
      </c>
      <c r="E254" s="134">
        <f>IFERROR(__xludf.DUMMYFUNCTION("""COMPUTED_VALUE"""),7.0)</f>
        <v>7</v>
      </c>
      <c r="F254" s="134">
        <f>IFERROR(__xludf.DUMMYFUNCTION("""COMPUTED_VALUE"""),17.0)</f>
        <v>17</v>
      </c>
      <c r="G254" s="134">
        <f>IFERROR(__xludf.DUMMYFUNCTION("""COMPUTED_VALUE"""),2.0)</f>
        <v>2</v>
      </c>
    </row>
    <row r="255">
      <c r="A255" s="125">
        <f>IFERROR(__xludf.DUMMYFUNCTION("""COMPUTED_VALUE"""),5.0)</f>
        <v>5</v>
      </c>
      <c r="B255" s="36" t="str">
        <f>IFERROR(__xludf.DUMMYFUNCTION("""COMPUTED_VALUE"""),"Manuel Rivera")</f>
        <v>Manuel Rivera</v>
      </c>
      <c r="C255" s="131">
        <f>IFERROR(__xludf.DUMMYFUNCTION("""COMPUTED_VALUE"""),6.0)</f>
        <v>6</v>
      </c>
      <c r="D255" s="131">
        <f>IFERROR(__xludf.DUMMYFUNCTION("""COMPUTED_VALUE"""),6.0)</f>
        <v>6</v>
      </c>
      <c r="E255" s="131">
        <f>IFERROR(__xludf.DUMMYFUNCTION("""COMPUTED_VALUE"""),3.0)</f>
        <v>3</v>
      </c>
      <c r="F255" s="131">
        <f>IFERROR(__xludf.DUMMYFUNCTION("""COMPUTED_VALUE"""),15.0)</f>
        <v>15</v>
      </c>
      <c r="G255" s="131">
        <f>IFERROR(__xludf.DUMMYFUNCTION("""COMPUTED_VALUE"""),2.0)</f>
        <v>2</v>
      </c>
    </row>
    <row r="256">
      <c r="A256" s="125">
        <f>IFERROR(__xludf.DUMMYFUNCTION("""COMPUTED_VALUE"""),5.0)</f>
        <v>5</v>
      </c>
      <c r="B256" s="36" t="str">
        <f>IFERROR(__xludf.DUMMYFUNCTION("""COMPUTED_VALUE"""),"Matthew Huang")</f>
        <v>Matthew Huang</v>
      </c>
      <c r="C256" s="131">
        <f>IFERROR(__xludf.DUMMYFUNCTION("""COMPUTED_VALUE"""),4.0)</f>
        <v>4</v>
      </c>
      <c r="D256" s="131">
        <f>IFERROR(__xludf.DUMMYFUNCTION("""COMPUTED_VALUE"""),4.0)</f>
        <v>4</v>
      </c>
      <c r="E256" s="131">
        <f>IFERROR(__xludf.DUMMYFUNCTION("""COMPUTED_VALUE"""),3.0)</f>
        <v>3</v>
      </c>
      <c r="F256" s="131">
        <f>IFERROR(__xludf.DUMMYFUNCTION("""COMPUTED_VALUE"""),11.0)</f>
        <v>11</v>
      </c>
      <c r="G256" s="131">
        <f>IFERROR(__xludf.DUMMYFUNCTION("""COMPUTED_VALUE"""),0.0)</f>
        <v>0</v>
      </c>
    </row>
    <row r="257">
      <c r="A257" s="125">
        <f>IFERROR(__xludf.DUMMYFUNCTION("""COMPUTED_VALUE"""),5.0)</f>
        <v>5</v>
      </c>
      <c r="B257" s="36" t="str">
        <f>IFERROR(__xludf.DUMMYFUNCTION("""COMPUTED_VALUE"""),"Jim Miao")</f>
        <v>Jim Miao</v>
      </c>
      <c r="C257" s="131">
        <f>IFERROR(__xludf.DUMMYFUNCTION("""COMPUTED_VALUE"""),6.0)</f>
        <v>6</v>
      </c>
      <c r="D257" s="131">
        <f>IFERROR(__xludf.DUMMYFUNCTION("""COMPUTED_VALUE"""),4.0)</f>
        <v>4</v>
      </c>
      <c r="E257" s="131">
        <f>IFERROR(__xludf.DUMMYFUNCTION("""COMPUTED_VALUE"""),6.0)</f>
        <v>6</v>
      </c>
      <c r="F257" s="131">
        <f>IFERROR(__xludf.DUMMYFUNCTION("""COMPUTED_VALUE"""),16.0)</f>
        <v>16</v>
      </c>
      <c r="G257" s="131">
        <f>IFERROR(__xludf.DUMMYFUNCTION("""COMPUTED_VALUE"""),2.0)</f>
        <v>2</v>
      </c>
    </row>
    <row r="258">
      <c r="A258" s="125">
        <f>IFERROR(__xludf.DUMMYFUNCTION("""COMPUTED_VALUE"""),5.0)</f>
        <v>5</v>
      </c>
      <c r="B258" s="36" t="str">
        <f>IFERROR(__xludf.DUMMYFUNCTION("""COMPUTED_VALUE"""),"Scott Li")</f>
        <v>Scott Li</v>
      </c>
      <c r="C258" s="131">
        <f>IFERROR(__xludf.DUMMYFUNCTION("""COMPUTED_VALUE"""),4.0)</f>
        <v>4</v>
      </c>
      <c r="D258" s="131">
        <f>IFERROR(__xludf.DUMMYFUNCTION("""COMPUTED_VALUE"""),6.0)</f>
        <v>6</v>
      </c>
      <c r="E258" s="131">
        <f>IFERROR(__xludf.DUMMYFUNCTION("""COMPUTED_VALUE"""),6.0)</f>
        <v>6</v>
      </c>
      <c r="F258" s="131">
        <f>IFERROR(__xludf.DUMMYFUNCTION("""COMPUTED_VALUE"""),16.0)</f>
        <v>16</v>
      </c>
      <c r="G258" s="131">
        <f>IFERROR(__xludf.DUMMYFUNCTION("""COMPUTED_VALUE"""),2.0)</f>
        <v>2</v>
      </c>
    </row>
    <row r="259">
      <c r="A259" s="132">
        <f>IFERROR(__xludf.DUMMYFUNCTION("""COMPUTED_VALUE"""),6.0)</f>
        <v>6</v>
      </c>
      <c r="B259" s="133" t="str">
        <f>IFERROR(__xludf.DUMMYFUNCTION("""COMPUTED_VALUE"""),"Tina Hanson")</f>
        <v>Tina Hanson</v>
      </c>
      <c r="C259" s="134">
        <f>IFERROR(__xludf.DUMMYFUNCTION("""COMPUTED_VALUE"""),1.0)</f>
        <v>1</v>
      </c>
      <c r="D259" s="134">
        <f>IFERROR(__xludf.DUMMYFUNCTION("""COMPUTED_VALUE"""),3.0)</f>
        <v>3</v>
      </c>
      <c r="E259" s="134">
        <f>IFERROR(__xludf.DUMMYFUNCTION("""COMPUTED_VALUE"""),6.0)</f>
        <v>6</v>
      </c>
      <c r="F259" s="134">
        <f>IFERROR(__xludf.DUMMYFUNCTION("""COMPUTED_VALUE"""),10.0)</f>
        <v>10</v>
      </c>
      <c r="G259" s="134">
        <f>IFERROR(__xludf.DUMMYFUNCTION("""COMPUTED_VALUE"""),1.0)</f>
        <v>1</v>
      </c>
    </row>
    <row r="260">
      <c r="A260" s="132">
        <f>IFERROR(__xludf.DUMMYFUNCTION("""COMPUTED_VALUE"""),6.0)</f>
        <v>6</v>
      </c>
      <c r="B260" s="133" t="str">
        <f>IFERROR(__xludf.DUMMYFUNCTION("""COMPUTED_VALUE"""),"Jonathan Phan")</f>
        <v>Jonathan Phan</v>
      </c>
      <c r="C260" s="134">
        <f>IFERROR(__xludf.DUMMYFUNCTION("""COMPUTED_VALUE"""),6.0)</f>
        <v>6</v>
      </c>
      <c r="D260" s="134">
        <f>IFERROR(__xludf.DUMMYFUNCTION("""COMPUTED_VALUE"""),6.0)</f>
        <v>6</v>
      </c>
      <c r="E260" s="134">
        <f>IFERROR(__xludf.DUMMYFUNCTION("""COMPUTED_VALUE"""),6.0)</f>
        <v>6</v>
      </c>
      <c r="F260" s="134">
        <f>IFERROR(__xludf.DUMMYFUNCTION("""COMPUTED_VALUE"""),18.0)</f>
        <v>18</v>
      </c>
      <c r="G260" s="134">
        <f>IFERROR(__xludf.DUMMYFUNCTION("""COMPUTED_VALUE"""),3.0)</f>
        <v>3</v>
      </c>
    </row>
    <row r="261">
      <c r="A261" s="132">
        <f>IFERROR(__xludf.DUMMYFUNCTION("""COMPUTED_VALUE"""),6.0)</f>
        <v>6</v>
      </c>
      <c r="B261" s="133" t="str">
        <f>IFERROR(__xludf.DUMMYFUNCTION("""COMPUTED_VALUE"""),"David Shin")</f>
        <v>David Shin</v>
      </c>
      <c r="C261" s="134">
        <f>IFERROR(__xludf.DUMMYFUNCTION("""COMPUTED_VALUE"""),6.0)</f>
        <v>6</v>
      </c>
      <c r="D261" s="134">
        <f>IFERROR(__xludf.DUMMYFUNCTION("""COMPUTED_VALUE"""),3.0)</f>
        <v>3</v>
      </c>
      <c r="E261" s="134">
        <f>IFERROR(__xludf.DUMMYFUNCTION("""COMPUTED_VALUE"""),3.0)</f>
        <v>3</v>
      </c>
      <c r="F261" s="134">
        <f>IFERROR(__xludf.DUMMYFUNCTION("""COMPUTED_VALUE"""),12.0)</f>
        <v>12</v>
      </c>
      <c r="G261" s="134">
        <f>IFERROR(__xludf.DUMMYFUNCTION("""COMPUTED_VALUE"""),1.0)</f>
        <v>1</v>
      </c>
    </row>
    <row r="262">
      <c r="A262" s="132">
        <f>IFERROR(__xludf.DUMMYFUNCTION("""COMPUTED_VALUE"""),6.0)</f>
        <v>6</v>
      </c>
      <c r="B262" s="133" t="str">
        <f>IFERROR(__xludf.DUMMYFUNCTION("""COMPUTED_VALUE"""),"Mauricio Palacios")</f>
        <v>Mauricio Palacios</v>
      </c>
      <c r="C262" s="134">
        <f>IFERROR(__xludf.DUMMYFUNCTION("""COMPUTED_VALUE"""),1.0)</f>
        <v>1</v>
      </c>
      <c r="D262" s="134">
        <f>IFERROR(__xludf.DUMMYFUNCTION("""COMPUTED_VALUE"""),6.0)</f>
        <v>6</v>
      </c>
      <c r="E262" s="134">
        <f>IFERROR(__xludf.DUMMYFUNCTION("""COMPUTED_VALUE"""),3.0)</f>
        <v>3</v>
      </c>
      <c r="F262" s="134">
        <f>IFERROR(__xludf.DUMMYFUNCTION("""COMPUTED_VALUE"""),10.0)</f>
        <v>10</v>
      </c>
      <c r="G262" s="134">
        <f>IFERROR(__xludf.DUMMYFUNCTION("""COMPUTED_VALUE"""),1.0)</f>
        <v>1</v>
      </c>
    </row>
    <row r="263">
      <c r="A263" s="125">
        <f>IFERROR(__xludf.DUMMYFUNCTION("""COMPUTED_VALUE"""),7.0)</f>
        <v>7</v>
      </c>
      <c r="B263" s="36" t="str">
        <f>IFERROR(__xludf.DUMMYFUNCTION("""COMPUTED_VALUE"""),"Cid Macaraeg")</f>
        <v>Cid Macaraeg</v>
      </c>
      <c r="C263" s="131">
        <f>IFERROR(__xludf.DUMMYFUNCTION("""COMPUTED_VALUE"""),6.0)</f>
        <v>6</v>
      </c>
      <c r="D263" s="131">
        <f>IFERROR(__xludf.DUMMYFUNCTION("""COMPUTED_VALUE"""),6.0)</f>
        <v>6</v>
      </c>
      <c r="E263" s="131">
        <f>IFERROR(__xludf.DUMMYFUNCTION("""COMPUTED_VALUE"""),3.0)</f>
        <v>3</v>
      </c>
      <c r="F263" s="131">
        <f>IFERROR(__xludf.DUMMYFUNCTION("""COMPUTED_VALUE"""),15.0)</f>
        <v>15</v>
      </c>
      <c r="G263" s="131">
        <f>IFERROR(__xludf.DUMMYFUNCTION("""COMPUTED_VALUE"""),2.0)</f>
        <v>2</v>
      </c>
    </row>
    <row r="264">
      <c r="A264" s="125">
        <f>IFERROR(__xludf.DUMMYFUNCTION("""COMPUTED_VALUE"""),7.0)</f>
        <v>7</v>
      </c>
      <c r="B264" s="36" t="str">
        <f>IFERROR(__xludf.DUMMYFUNCTION("""COMPUTED_VALUE"""),"Elayaraja Thangaraj")</f>
        <v>Elayaraja Thangaraj</v>
      </c>
      <c r="C264" s="131">
        <f>IFERROR(__xludf.DUMMYFUNCTION("""COMPUTED_VALUE"""),2.0)</f>
        <v>2</v>
      </c>
      <c r="D264" s="131">
        <f>IFERROR(__xludf.DUMMYFUNCTION("""COMPUTED_VALUE"""),4.0)</f>
        <v>4</v>
      </c>
      <c r="E264" s="131">
        <f>IFERROR(__xludf.DUMMYFUNCTION("""COMPUTED_VALUE"""),3.0)</f>
        <v>3</v>
      </c>
      <c r="F264" s="131">
        <f>IFERROR(__xludf.DUMMYFUNCTION("""COMPUTED_VALUE"""),9.0)</f>
        <v>9</v>
      </c>
      <c r="G264" s="131">
        <f>IFERROR(__xludf.DUMMYFUNCTION("""COMPUTED_VALUE"""),0.0)</f>
        <v>0</v>
      </c>
    </row>
    <row r="265">
      <c r="A265" s="125">
        <f>IFERROR(__xludf.DUMMYFUNCTION("""COMPUTED_VALUE"""),7.0)</f>
        <v>7</v>
      </c>
      <c r="B265" s="36" t="str">
        <f>IFERROR(__xludf.DUMMYFUNCTION("""COMPUTED_VALUE"""),"Vinotkumar Nagappan")</f>
        <v>Vinotkumar Nagappan</v>
      </c>
      <c r="C265" s="131">
        <f>IFERROR(__xludf.DUMMYFUNCTION("""COMPUTED_VALUE"""),2.0)</f>
        <v>2</v>
      </c>
      <c r="D265" s="131">
        <f>IFERROR(__xludf.DUMMYFUNCTION("""COMPUTED_VALUE"""),6.0)</f>
        <v>6</v>
      </c>
      <c r="E265" s="131">
        <f>IFERROR(__xludf.DUMMYFUNCTION("""COMPUTED_VALUE"""),6.0)</f>
        <v>6</v>
      </c>
      <c r="F265" s="131">
        <f>IFERROR(__xludf.DUMMYFUNCTION("""COMPUTED_VALUE"""),14.0)</f>
        <v>14</v>
      </c>
      <c r="G265" s="131">
        <f>IFERROR(__xludf.DUMMYFUNCTION("""COMPUTED_VALUE"""),2.0)</f>
        <v>2</v>
      </c>
    </row>
    <row r="266">
      <c r="A266" s="125">
        <f>IFERROR(__xludf.DUMMYFUNCTION("""COMPUTED_VALUE"""),7.0)</f>
        <v>7</v>
      </c>
      <c r="B266" s="36" t="str">
        <f>IFERROR(__xludf.DUMMYFUNCTION("""COMPUTED_VALUE"""),"Basudev Thoppai Vidyasankar")</f>
        <v>Basudev Thoppai Vidyasankar</v>
      </c>
      <c r="C266" s="131">
        <f>IFERROR(__xludf.DUMMYFUNCTION("""COMPUTED_VALUE"""),6.0)</f>
        <v>6</v>
      </c>
      <c r="D266" s="131">
        <f>IFERROR(__xludf.DUMMYFUNCTION("""COMPUTED_VALUE"""),4.0)</f>
        <v>4</v>
      </c>
      <c r="E266" s="131">
        <f>IFERROR(__xludf.DUMMYFUNCTION("""COMPUTED_VALUE"""),6.0)</f>
        <v>6</v>
      </c>
      <c r="F266" s="131">
        <f>IFERROR(__xludf.DUMMYFUNCTION("""COMPUTED_VALUE"""),16.0)</f>
        <v>16</v>
      </c>
      <c r="G266" s="131">
        <f>IFERROR(__xludf.DUMMYFUNCTION("""COMPUTED_VALUE"""),2.0)</f>
        <v>2</v>
      </c>
    </row>
    <row r="267">
      <c r="A267" s="132">
        <f>IFERROR(__xludf.DUMMYFUNCTION("""COMPUTED_VALUE"""),8.0)</f>
        <v>8</v>
      </c>
      <c r="B267" s="133" t="str">
        <f>IFERROR(__xludf.DUMMYFUNCTION("""COMPUTED_VALUE"""),"Eric Tan")</f>
        <v>Eric Tan</v>
      </c>
      <c r="C267" s="134">
        <f>IFERROR(__xludf.DUMMYFUNCTION("""COMPUTED_VALUE"""),3.0)</f>
        <v>3</v>
      </c>
      <c r="D267" s="134">
        <f>IFERROR(__xludf.DUMMYFUNCTION("""COMPUTED_VALUE"""),1.0)</f>
        <v>1</v>
      </c>
      <c r="E267" s="134">
        <f>IFERROR(__xludf.DUMMYFUNCTION("""COMPUTED_VALUE"""),1.0)</f>
        <v>1</v>
      </c>
      <c r="F267" s="134">
        <f>IFERROR(__xludf.DUMMYFUNCTION("""COMPUTED_VALUE"""),5.0)</f>
        <v>5</v>
      </c>
      <c r="G267" s="134">
        <f>IFERROR(__xludf.DUMMYFUNCTION("""COMPUTED_VALUE"""),0.0)</f>
        <v>0</v>
      </c>
    </row>
    <row r="268">
      <c r="A268" s="132">
        <f>IFERROR(__xludf.DUMMYFUNCTION("""COMPUTED_VALUE"""),8.0)</f>
        <v>8</v>
      </c>
      <c r="B268" s="133" t="str">
        <f>IFERROR(__xludf.DUMMYFUNCTION("""COMPUTED_VALUE"""),"Andrew Yao")</f>
        <v>Andrew Yao</v>
      </c>
      <c r="C268" s="134">
        <f>IFERROR(__xludf.DUMMYFUNCTION("""COMPUTED_VALUE"""),3.0)</f>
        <v>3</v>
      </c>
      <c r="D268" s="134">
        <f>IFERROR(__xludf.DUMMYFUNCTION("""COMPUTED_VALUE"""),6.0)</f>
        <v>6</v>
      </c>
      <c r="E268" s="134">
        <f>IFERROR(__xludf.DUMMYFUNCTION("""COMPUTED_VALUE"""),6.0)</f>
        <v>6</v>
      </c>
      <c r="F268" s="134">
        <f>IFERROR(__xludf.DUMMYFUNCTION("""COMPUTED_VALUE"""),15.0)</f>
        <v>15</v>
      </c>
      <c r="G268" s="134">
        <f>IFERROR(__xludf.DUMMYFUNCTION("""COMPUTED_VALUE"""),2.0)</f>
        <v>2</v>
      </c>
    </row>
    <row r="269">
      <c r="A269" s="132">
        <f>IFERROR(__xludf.DUMMYFUNCTION("""COMPUTED_VALUE"""),8.0)</f>
        <v>8</v>
      </c>
      <c r="B269" s="133" t="str">
        <f>IFERROR(__xludf.DUMMYFUNCTION("""COMPUTED_VALUE"""),"Tom Le")</f>
        <v>Tom Le</v>
      </c>
      <c r="C269" s="134">
        <f>IFERROR(__xludf.DUMMYFUNCTION("""COMPUTED_VALUE"""),6.0)</f>
        <v>6</v>
      </c>
      <c r="D269" s="134">
        <f>IFERROR(__xludf.DUMMYFUNCTION("""COMPUTED_VALUE"""),1.0)</f>
        <v>1</v>
      </c>
      <c r="E269" s="134">
        <f>IFERROR(__xludf.DUMMYFUNCTION("""COMPUTED_VALUE"""),6.0)</f>
        <v>6</v>
      </c>
      <c r="F269" s="134">
        <f>IFERROR(__xludf.DUMMYFUNCTION("""COMPUTED_VALUE"""),13.0)</f>
        <v>13</v>
      </c>
      <c r="G269" s="134">
        <f>IFERROR(__xludf.DUMMYFUNCTION("""COMPUTED_VALUE"""),2.0)</f>
        <v>2</v>
      </c>
    </row>
    <row r="270">
      <c r="A270" s="132">
        <f>IFERROR(__xludf.DUMMYFUNCTION("""COMPUTED_VALUE"""),8.0)</f>
        <v>8</v>
      </c>
      <c r="B270" s="133" t="str">
        <f>IFERROR(__xludf.DUMMYFUNCTION("""COMPUTED_VALUE"""),"Trish Newlin")</f>
        <v>Trish Newlin</v>
      </c>
      <c r="C270" s="134">
        <f>IFERROR(__xludf.DUMMYFUNCTION("""COMPUTED_VALUE"""),6.0)</f>
        <v>6</v>
      </c>
      <c r="D270" s="134">
        <f>IFERROR(__xludf.DUMMYFUNCTION("""COMPUTED_VALUE"""),6.0)</f>
        <v>6</v>
      </c>
      <c r="E270" s="134">
        <f>IFERROR(__xludf.DUMMYFUNCTION("""COMPUTED_VALUE"""),1.0)</f>
        <v>1</v>
      </c>
      <c r="F270" s="134">
        <f>IFERROR(__xludf.DUMMYFUNCTION("""COMPUTED_VALUE"""),13.0)</f>
        <v>13</v>
      </c>
      <c r="G270" s="134">
        <f>IFERROR(__xludf.DUMMYFUNCTION("""COMPUTED_VALUE"""),2.0)</f>
        <v>2</v>
      </c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25"/>
    <col customWidth="1" min="4" max="4" width="6.0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46207.0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1.0</v>
      </c>
      <c r="E2" s="2"/>
      <c r="F2" s="2"/>
      <c r="R2" s="19"/>
      <c r="AC2" s="23" t="str">
        <f>TEXT(C1-7,"mm/dd/yy")</f>
        <v>06/27/26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129</v>
      </c>
      <c r="C5" s="37"/>
      <c r="D5" s="37"/>
      <c r="E5" s="42">
        <f t="shared" ref="E5:E71" si="2">if(S5&gt;0,(C5-(V5*9)-(T5*13))/S5,0)</f>
        <v>0</v>
      </c>
      <c r="F5" s="89">
        <v>1.0</v>
      </c>
      <c r="G5" s="90">
        <v>1.0</v>
      </c>
      <c r="H5" s="91">
        <v>0.0</v>
      </c>
      <c r="I5" s="90">
        <v>4.0</v>
      </c>
      <c r="J5" s="90">
        <v>1.0</v>
      </c>
      <c r="K5" s="90">
        <v>4.0</v>
      </c>
      <c r="L5" s="92">
        <v>9.0</v>
      </c>
      <c r="M5" s="90">
        <v>0.0</v>
      </c>
      <c r="N5" s="37">
        <f t="shared" ref="N5:O5" si="1">C5+L5</f>
        <v>9</v>
      </c>
      <c r="O5" s="37">
        <f t="shared" si="1"/>
        <v>0</v>
      </c>
      <c r="P5" s="50" t="s">
        <v>60</v>
      </c>
      <c r="Q5" s="50" t="s">
        <v>60</v>
      </c>
      <c r="R5" s="50" t="s">
        <v>60</v>
      </c>
      <c r="S5" s="51">
        <f t="shared" ref="S5:S71" si="4">vlookup(B5,indirect("'" &amp; AC$2 &amp; "'!B5:W71"),18,false)++if(text(C$1,"mm/dd/yy")=$AC$2,0,if(H5&gt;0,0,1))</f>
        <v>1</v>
      </c>
      <c r="T5" s="52">
        <f t="shared" ref="T5:T71" si="5">if(H5=13,1,0)+vlookup(B5,indirect("'" &amp; AC$2 &amp; "'!B5:W71"),19,false)</f>
        <v>0</v>
      </c>
      <c r="U5" s="52"/>
      <c r="V5" s="51">
        <f t="shared" ref="V5:V71" si="6">vlookup(B5,indirect("'" &amp; AC$2 &amp; "'!B5:W71"),21,false)+if(text(C$1,"mm/dd/yy")=$AC$2,0,if(H5=9,1,0))</f>
        <v>0</v>
      </c>
      <c r="W5" s="52">
        <f t="shared" ref="W5:W71" si="7">vlookup(B5,indirect("'" &amp; AC$2 &amp; "'!B5:x71"),23,false)-X5</f>
        <v>0</v>
      </c>
      <c r="X5" s="35">
        <v>1.0</v>
      </c>
      <c r="Y5" s="35" t="str">
        <f t="shared" ref="Y5:Y71" si="8">if(S5=D$2,"Y","N")</f>
        <v>Y</v>
      </c>
      <c r="Z5" s="22" t="str">
        <f t="shared" ref="Z5:Z71" si="9">if($D$2=sum(S5:V5),"","Error")</f>
        <v/>
      </c>
    </row>
    <row r="6">
      <c r="A6" s="35">
        <f t="shared" ref="A6:A71" si="10">A5+1</f>
        <v>2</v>
      </c>
      <c r="B6" s="36" t="s">
        <v>117</v>
      </c>
      <c r="C6" s="37"/>
      <c r="D6" s="37"/>
      <c r="E6" s="42">
        <f t="shared" si="2"/>
        <v>0</v>
      </c>
      <c r="F6" s="89">
        <v>3.0</v>
      </c>
      <c r="G6" s="90">
        <v>0.0</v>
      </c>
      <c r="H6" s="91">
        <v>9.0</v>
      </c>
      <c r="I6" s="90">
        <v>0.0</v>
      </c>
      <c r="J6" s="90">
        <v>0.0</v>
      </c>
      <c r="K6" s="90">
        <v>0.0</v>
      </c>
      <c r="L6" s="92">
        <v>9.0</v>
      </c>
      <c r="M6" s="90">
        <v>0.0</v>
      </c>
      <c r="N6" s="37">
        <f t="shared" ref="N6:O6" si="3">C6+L6</f>
        <v>9</v>
      </c>
      <c r="O6" s="37">
        <f t="shared" si="3"/>
        <v>0</v>
      </c>
      <c r="P6" s="50" t="s">
        <v>60</v>
      </c>
      <c r="Q6" s="50" t="s">
        <v>60</v>
      </c>
      <c r="R6" s="50" t="s">
        <v>60</v>
      </c>
      <c r="S6" s="51">
        <f t="shared" si="4"/>
        <v>0</v>
      </c>
      <c r="T6" s="52">
        <f t="shared" si="5"/>
        <v>0</v>
      </c>
      <c r="U6" s="52"/>
      <c r="V6" s="51">
        <f t="shared" si="6"/>
        <v>1</v>
      </c>
      <c r="W6" s="52">
        <f t="shared" si="7"/>
        <v>0</v>
      </c>
      <c r="X6" s="35">
        <f t="shared" ref="X6:X71" si="12">X5+1</f>
        <v>2</v>
      </c>
      <c r="Y6" s="35" t="str">
        <f t="shared" si="8"/>
        <v>N</v>
      </c>
      <c r="Z6" s="22" t="str">
        <f t="shared" si="9"/>
        <v/>
      </c>
    </row>
    <row r="7">
      <c r="A7" s="35">
        <f t="shared" si="10"/>
        <v>3</v>
      </c>
      <c r="B7" s="36" t="s">
        <v>105</v>
      </c>
      <c r="C7" s="37"/>
      <c r="D7" s="37"/>
      <c r="E7" s="42">
        <f t="shared" si="2"/>
        <v>0</v>
      </c>
      <c r="F7" s="89">
        <v>1.0</v>
      </c>
      <c r="G7" s="90">
        <v>1.0</v>
      </c>
      <c r="H7" s="91">
        <v>0.0</v>
      </c>
      <c r="I7" s="90">
        <v>4.0</v>
      </c>
      <c r="J7" s="90">
        <v>6.0</v>
      </c>
      <c r="K7" s="90">
        <v>6.0</v>
      </c>
      <c r="L7" s="92">
        <v>16.0</v>
      </c>
      <c r="M7" s="90">
        <v>2.0</v>
      </c>
      <c r="N7" s="37">
        <f t="shared" ref="N7:O7" si="11">C7+L7</f>
        <v>16</v>
      </c>
      <c r="O7" s="37">
        <f t="shared" si="11"/>
        <v>2</v>
      </c>
      <c r="P7" s="50" t="s">
        <v>60</v>
      </c>
      <c r="Q7" s="50" t="s">
        <v>60</v>
      </c>
      <c r="R7" s="50" t="s">
        <v>60</v>
      </c>
      <c r="S7" s="51">
        <f t="shared" si="4"/>
        <v>1</v>
      </c>
      <c r="T7" s="52">
        <f t="shared" si="5"/>
        <v>0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Y</v>
      </c>
      <c r="Z7" s="22" t="str">
        <f t="shared" si="9"/>
        <v/>
      </c>
    </row>
    <row r="8">
      <c r="A8" s="35">
        <f t="shared" si="10"/>
        <v>4</v>
      </c>
      <c r="B8" s="36" t="s">
        <v>61</v>
      </c>
      <c r="C8" s="37"/>
      <c r="D8" s="37"/>
      <c r="E8" s="42">
        <f t="shared" si="2"/>
        <v>0</v>
      </c>
      <c r="F8" s="89">
        <v>3.0</v>
      </c>
      <c r="G8" s="90">
        <v>0.0</v>
      </c>
      <c r="H8" s="91">
        <v>9.0</v>
      </c>
      <c r="I8" s="90">
        <v>0.0</v>
      </c>
      <c r="J8" s="90">
        <v>0.0</v>
      </c>
      <c r="K8" s="90">
        <v>0.0</v>
      </c>
      <c r="L8" s="92">
        <v>9.0</v>
      </c>
      <c r="M8" s="90">
        <v>0.0</v>
      </c>
      <c r="N8" s="37">
        <f t="shared" ref="N8:O8" si="13">C8+L8</f>
        <v>9</v>
      </c>
      <c r="O8" s="37">
        <f t="shared" si="13"/>
        <v>0</v>
      </c>
      <c r="P8" s="50" t="s">
        <v>60</v>
      </c>
      <c r="Q8" s="50" t="s">
        <v>60</v>
      </c>
      <c r="R8" s="50" t="s">
        <v>60</v>
      </c>
      <c r="S8" s="51">
        <f t="shared" si="4"/>
        <v>0</v>
      </c>
      <c r="T8" s="52">
        <f t="shared" si="5"/>
        <v>0</v>
      </c>
      <c r="U8" s="52"/>
      <c r="V8" s="51">
        <f t="shared" si="6"/>
        <v>1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22" t="str">
        <f t="shared" si="9"/>
        <v/>
      </c>
    </row>
    <row r="9">
      <c r="A9" s="35">
        <f t="shared" si="10"/>
        <v>5</v>
      </c>
      <c r="B9" s="36" t="s">
        <v>140</v>
      </c>
      <c r="C9" s="37"/>
      <c r="D9" s="37"/>
      <c r="E9" s="42">
        <f t="shared" si="2"/>
        <v>0</v>
      </c>
      <c r="F9" s="89">
        <v>1.0</v>
      </c>
      <c r="G9" s="90">
        <v>1.0</v>
      </c>
      <c r="H9" s="91">
        <v>0.0</v>
      </c>
      <c r="I9" s="90">
        <v>6.0</v>
      </c>
      <c r="J9" s="90">
        <v>1.0</v>
      </c>
      <c r="K9" s="90">
        <v>6.0</v>
      </c>
      <c r="L9" s="92">
        <v>13.0</v>
      </c>
      <c r="M9" s="90">
        <v>2.0</v>
      </c>
      <c r="N9" s="37">
        <f t="shared" ref="N9:O9" si="14">C9+L9</f>
        <v>13</v>
      </c>
      <c r="O9" s="37">
        <f t="shared" si="14"/>
        <v>2</v>
      </c>
      <c r="P9" s="50" t="s">
        <v>60</v>
      </c>
      <c r="Q9" s="50" t="s">
        <v>60</v>
      </c>
      <c r="R9" s="50" t="s">
        <v>60</v>
      </c>
      <c r="S9" s="51">
        <f t="shared" si="4"/>
        <v>1</v>
      </c>
      <c r="T9" s="52">
        <f t="shared" si="5"/>
        <v>0</v>
      </c>
      <c r="U9" s="52"/>
      <c r="V9" s="51">
        <f t="shared" si="6"/>
        <v>0</v>
      </c>
      <c r="W9" s="52">
        <f t="shared" si="7"/>
        <v>0</v>
      </c>
      <c r="X9" s="35">
        <f t="shared" si="12"/>
        <v>5</v>
      </c>
      <c r="Y9" s="35" t="str">
        <f t="shared" si="8"/>
        <v>Y</v>
      </c>
      <c r="Z9" s="22" t="str">
        <f t="shared" si="9"/>
        <v/>
      </c>
    </row>
    <row r="10">
      <c r="A10" s="35">
        <f t="shared" si="10"/>
        <v>6</v>
      </c>
      <c r="B10" s="36" t="s">
        <v>98</v>
      </c>
      <c r="C10" s="37"/>
      <c r="D10" s="37"/>
      <c r="E10" s="42">
        <f t="shared" si="2"/>
        <v>0</v>
      </c>
      <c r="F10" s="89">
        <v>1.0</v>
      </c>
      <c r="G10" s="90">
        <v>1.0</v>
      </c>
      <c r="H10" s="91">
        <v>0.0</v>
      </c>
      <c r="I10" s="90">
        <v>6.0</v>
      </c>
      <c r="J10" s="90">
        <v>6.0</v>
      </c>
      <c r="K10" s="90">
        <v>4.0</v>
      </c>
      <c r="L10" s="92">
        <v>16.0</v>
      </c>
      <c r="M10" s="90">
        <v>2.0</v>
      </c>
      <c r="N10" s="37">
        <f t="shared" ref="N10:O10" si="15">C10+L10</f>
        <v>16</v>
      </c>
      <c r="O10" s="37">
        <f t="shared" si="15"/>
        <v>2</v>
      </c>
      <c r="P10" s="50" t="s">
        <v>60</v>
      </c>
      <c r="Q10" s="50" t="s">
        <v>60</v>
      </c>
      <c r="R10" s="50" t="s">
        <v>60</v>
      </c>
      <c r="S10" s="51">
        <f t="shared" si="4"/>
        <v>1</v>
      </c>
      <c r="T10" s="52">
        <f t="shared" si="5"/>
        <v>0</v>
      </c>
      <c r="U10" s="52"/>
      <c r="V10" s="51">
        <f t="shared" si="6"/>
        <v>0</v>
      </c>
      <c r="W10" s="52">
        <f t="shared" si="7"/>
        <v>0</v>
      </c>
      <c r="X10" s="35">
        <f t="shared" si="12"/>
        <v>6</v>
      </c>
      <c r="Y10" s="35" t="str">
        <f t="shared" si="8"/>
        <v>Y</v>
      </c>
      <c r="Z10" s="22" t="str">
        <f t="shared" si="9"/>
        <v/>
      </c>
    </row>
    <row r="11">
      <c r="A11" s="35">
        <f t="shared" si="10"/>
        <v>7</v>
      </c>
      <c r="B11" s="36" t="s">
        <v>114</v>
      </c>
      <c r="C11" s="37"/>
      <c r="D11" s="37"/>
      <c r="E11" s="42">
        <f t="shared" si="2"/>
        <v>0</v>
      </c>
      <c r="F11" s="89">
        <v>1.0</v>
      </c>
      <c r="G11" s="90">
        <v>2.0</v>
      </c>
      <c r="H11" s="91">
        <v>0.0</v>
      </c>
      <c r="I11" s="90">
        <v>2.0</v>
      </c>
      <c r="J11" s="90">
        <v>6.0</v>
      </c>
      <c r="K11" s="90">
        <v>6.0</v>
      </c>
      <c r="L11" s="92">
        <v>14.0</v>
      </c>
      <c r="M11" s="90">
        <v>2.0</v>
      </c>
      <c r="N11" s="37">
        <f t="shared" ref="N11:O11" si="16">C11+L11</f>
        <v>14</v>
      </c>
      <c r="O11" s="37">
        <f t="shared" si="16"/>
        <v>2</v>
      </c>
      <c r="P11" s="50" t="s">
        <v>60</v>
      </c>
      <c r="Q11" s="50" t="s">
        <v>60</v>
      </c>
      <c r="R11" s="50" t="s">
        <v>60</v>
      </c>
      <c r="S11" s="51">
        <f t="shared" si="4"/>
        <v>1</v>
      </c>
      <c r="T11" s="52">
        <f t="shared" si="5"/>
        <v>0</v>
      </c>
      <c r="U11" s="52"/>
      <c r="V11" s="51">
        <f t="shared" si="6"/>
        <v>0</v>
      </c>
      <c r="W11" s="52">
        <f t="shared" si="7"/>
        <v>0</v>
      </c>
      <c r="X11" s="35">
        <f t="shared" si="12"/>
        <v>7</v>
      </c>
      <c r="Y11" s="35" t="str">
        <f t="shared" si="8"/>
        <v>Y</v>
      </c>
      <c r="Z11" s="22" t="str">
        <f t="shared" si="9"/>
        <v/>
      </c>
    </row>
    <row r="12">
      <c r="A12" s="35">
        <f t="shared" si="10"/>
        <v>8</v>
      </c>
      <c r="B12" s="36" t="s">
        <v>67</v>
      </c>
      <c r="C12" s="37"/>
      <c r="D12" s="37"/>
      <c r="E12" s="42">
        <f t="shared" si="2"/>
        <v>0</v>
      </c>
      <c r="F12" s="89">
        <v>1.0</v>
      </c>
      <c r="G12" s="90">
        <v>2.0</v>
      </c>
      <c r="H12" s="91">
        <v>0.0</v>
      </c>
      <c r="I12" s="90">
        <v>6.0</v>
      </c>
      <c r="J12" s="90">
        <v>4.0</v>
      </c>
      <c r="K12" s="90">
        <v>6.0</v>
      </c>
      <c r="L12" s="92">
        <v>16.0</v>
      </c>
      <c r="M12" s="90">
        <v>2.0</v>
      </c>
      <c r="N12" s="37">
        <f t="shared" ref="N12:O12" si="17">C12+L12</f>
        <v>16</v>
      </c>
      <c r="O12" s="37">
        <f t="shared" si="17"/>
        <v>2</v>
      </c>
      <c r="P12" s="50" t="s">
        <v>60</v>
      </c>
      <c r="Q12" s="50" t="s">
        <v>60</v>
      </c>
      <c r="R12" s="50" t="s">
        <v>60</v>
      </c>
      <c r="S12" s="51">
        <f t="shared" si="4"/>
        <v>1</v>
      </c>
      <c r="T12" s="52">
        <f t="shared" si="5"/>
        <v>0</v>
      </c>
      <c r="U12" s="52"/>
      <c r="V12" s="51">
        <f t="shared" si="6"/>
        <v>0</v>
      </c>
      <c r="W12" s="52">
        <f t="shared" si="7"/>
        <v>0</v>
      </c>
      <c r="X12" s="35">
        <f t="shared" si="12"/>
        <v>8</v>
      </c>
      <c r="Y12" s="35" t="str">
        <f t="shared" si="8"/>
        <v>Y</v>
      </c>
      <c r="Z12" s="22" t="str">
        <f t="shared" si="9"/>
        <v/>
      </c>
    </row>
    <row r="13">
      <c r="A13" s="35">
        <f t="shared" si="10"/>
        <v>9</v>
      </c>
      <c r="B13" s="36" t="s">
        <v>72</v>
      </c>
      <c r="C13" s="37"/>
      <c r="D13" s="37"/>
      <c r="E13" s="42">
        <f t="shared" si="2"/>
        <v>0</v>
      </c>
      <c r="F13" s="89">
        <v>1.0</v>
      </c>
      <c r="G13" s="90">
        <v>2.0</v>
      </c>
      <c r="H13" s="91">
        <v>0.0</v>
      </c>
      <c r="I13" s="90">
        <v>2.0</v>
      </c>
      <c r="J13" s="90">
        <v>4.0</v>
      </c>
      <c r="K13" s="90">
        <v>2.0</v>
      </c>
      <c r="L13" s="92">
        <v>8.0</v>
      </c>
      <c r="M13" s="90">
        <v>0.0</v>
      </c>
      <c r="N13" s="37">
        <f t="shared" ref="N13:O13" si="18">C13+L13</f>
        <v>8</v>
      </c>
      <c r="O13" s="37">
        <f t="shared" si="18"/>
        <v>0</v>
      </c>
      <c r="P13" s="50" t="s">
        <v>60</v>
      </c>
      <c r="Q13" s="50" t="s">
        <v>60</v>
      </c>
      <c r="R13" s="50" t="s">
        <v>60</v>
      </c>
      <c r="S13" s="51">
        <f t="shared" si="4"/>
        <v>1</v>
      </c>
      <c r="T13" s="52">
        <f t="shared" si="5"/>
        <v>0</v>
      </c>
      <c r="U13" s="52"/>
      <c r="V13" s="51">
        <f t="shared" si="6"/>
        <v>0</v>
      </c>
      <c r="W13" s="52">
        <f t="shared" si="7"/>
        <v>0</v>
      </c>
      <c r="X13" s="35">
        <f t="shared" si="12"/>
        <v>9</v>
      </c>
      <c r="Y13" s="35" t="str">
        <f t="shared" si="8"/>
        <v>Y</v>
      </c>
      <c r="Z13" s="22" t="str">
        <f t="shared" si="9"/>
        <v/>
      </c>
    </row>
    <row r="14">
      <c r="A14" s="35">
        <f t="shared" si="10"/>
        <v>10</v>
      </c>
      <c r="B14" s="36" t="s">
        <v>121</v>
      </c>
      <c r="C14" s="37"/>
      <c r="D14" s="37"/>
      <c r="E14" s="42">
        <f t="shared" si="2"/>
        <v>0</v>
      </c>
      <c r="F14" s="89">
        <v>3.0</v>
      </c>
      <c r="G14" s="90">
        <v>0.0</v>
      </c>
      <c r="H14" s="91">
        <v>9.0</v>
      </c>
      <c r="I14" s="90">
        <v>0.0</v>
      </c>
      <c r="J14" s="90">
        <v>0.0</v>
      </c>
      <c r="K14" s="90">
        <v>0.0</v>
      </c>
      <c r="L14" s="92">
        <v>9.0</v>
      </c>
      <c r="M14" s="90">
        <v>0.0</v>
      </c>
      <c r="N14" s="37">
        <f t="shared" ref="N14:O14" si="19">C14+L14</f>
        <v>9</v>
      </c>
      <c r="O14" s="37">
        <f t="shared" si="19"/>
        <v>0</v>
      </c>
      <c r="P14" s="50" t="s">
        <v>60</v>
      </c>
      <c r="Q14" s="50" t="s">
        <v>60</v>
      </c>
      <c r="R14" s="50" t="s">
        <v>60</v>
      </c>
      <c r="S14" s="51">
        <f t="shared" si="4"/>
        <v>0</v>
      </c>
      <c r="T14" s="52">
        <f t="shared" si="5"/>
        <v>0</v>
      </c>
      <c r="U14" s="52"/>
      <c r="V14" s="51">
        <f t="shared" si="6"/>
        <v>1</v>
      </c>
      <c r="W14" s="52">
        <f t="shared" si="7"/>
        <v>0</v>
      </c>
      <c r="X14" s="35">
        <f t="shared" si="12"/>
        <v>10</v>
      </c>
      <c r="Y14" s="35" t="str">
        <f t="shared" si="8"/>
        <v>N</v>
      </c>
      <c r="Z14" s="22" t="str">
        <f t="shared" si="9"/>
        <v/>
      </c>
    </row>
    <row r="15">
      <c r="A15" s="35">
        <f t="shared" si="10"/>
        <v>11</v>
      </c>
      <c r="B15" s="36" t="s">
        <v>84</v>
      </c>
      <c r="C15" s="37"/>
      <c r="D15" s="37"/>
      <c r="E15" s="42">
        <f t="shared" si="2"/>
        <v>0</v>
      </c>
      <c r="F15" s="89">
        <v>3.0</v>
      </c>
      <c r="G15" s="90">
        <v>0.0</v>
      </c>
      <c r="H15" s="91">
        <v>9.0</v>
      </c>
      <c r="I15" s="90">
        <v>0.0</v>
      </c>
      <c r="J15" s="90">
        <v>0.0</v>
      </c>
      <c r="K15" s="90">
        <v>0.0</v>
      </c>
      <c r="L15" s="92">
        <v>9.0</v>
      </c>
      <c r="M15" s="90">
        <v>0.0</v>
      </c>
      <c r="N15" s="37">
        <f t="shared" ref="N15:O15" si="20">C15+L15</f>
        <v>9</v>
      </c>
      <c r="O15" s="37">
        <f t="shared" si="20"/>
        <v>0</v>
      </c>
      <c r="P15" s="50" t="s">
        <v>60</v>
      </c>
      <c r="Q15" s="50" t="s">
        <v>60</v>
      </c>
      <c r="R15" s="50" t="s">
        <v>60</v>
      </c>
      <c r="S15" s="51">
        <f t="shared" si="4"/>
        <v>0</v>
      </c>
      <c r="T15" s="52">
        <f t="shared" si="5"/>
        <v>0</v>
      </c>
      <c r="U15" s="52"/>
      <c r="V15" s="51">
        <f t="shared" si="6"/>
        <v>1</v>
      </c>
      <c r="W15" s="52">
        <f t="shared" si="7"/>
        <v>0</v>
      </c>
      <c r="X15" s="35">
        <f t="shared" si="12"/>
        <v>11</v>
      </c>
      <c r="Y15" s="35" t="str">
        <f t="shared" si="8"/>
        <v>N</v>
      </c>
      <c r="Z15" s="22" t="str">
        <f t="shared" si="9"/>
        <v/>
      </c>
    </row>
    <row r="16">
      <c r="A16" s="35">
        <f t="shared" si="10"/>
        <v>12</v>
      </c>
      <c r="B16" s="36" t="s">
        <v>136</v>
      </c>
      <c r="C16" s="37"/>
      <c r="D16" s="37"/>
      <c r="E16" s="42">
        <f t="shared" si="2"/>
        <v>0</v>
      </c>
      <c r="F16" s="89">
        <v>1.0</v>
      </c>
      <c r="G16" s="90">
        <v>2.0</v>
      </c>
      <c r="H16" s="91">
        <v>0.0</v>
      </c>
      <c r="I16" s="90">
        <v>6.0</v>
      </c>
      <c r="J16" s="90">
        <v>6.0</v>
      </c>
      <c r="K16" s="90">
        <v>2.0</v>
      </c>
      <c r="L16" s="92">
        <v>14.0</v>
      </c>
      <c r="M16" s="90">
        <v>2.0</v>
      </c>
      <c r="N16" s="37">
        <f t="shared" ref="N16:O16" si="21">C16+L16</f>
        <v>14</v>
      </c>
      <c r="O16" s="37">
        <f t="shared" si="21"/>
        <v>2</v>
      </c>
      <c r="P16" s="50" t="s">
        <v>60</v>
      </c>
      <c r="Q16" s="50" t="s">
        <v>60</v>
      </c>
      <c r="R16" s="50" t="s">
        <v>60</v>
      </c>
      <c r="S16" s="51">
        <f t="shared" si="4"/>
        <v>1</v>
      </c>
      <c r="T16" s="52">
        <f t="shared" si="5"/>
        <v>0</v>
      </c>
      <c r="U16" s="52"/>
      <c r="V16" s="51">
        <f t="shared" si="6"/>
        <v>0</v>
      </c>
      <c r="W16" s="52">
        <f t="shared" si="7"/>
        <v>0</v>
      </c>
      <c r="X16" s="35">
        <f t="shared" si="12"/>
        <v>12</v>
      </c>
      <c r="Y16" s="35" t="str">
        <f t="shared" si="8"/>
        <v>Y</v>
      </c>
      <c r="Z16" s="22" t="str">
        <f t="shared" si="9"/>
        <v/>
      </c>
    </row>
    <row r="17">
      <c r="A17" s="35">
        <f t="shared" si="10"/>
        <v>13</v>
      </c>
      <c r="B17" s="36" t="s">
        <v>85</v>
      </c>
      <c r="C17" s="37"/>
      <c r="D17" s="37"/>
      <c r="E17" s="42">
        <f t="shared" si="2"/>
        <v>0</v>
      </c>
      <c r="F17" s="89">
        <v>3.0</v>
      </c>
      <c r="G17" s="90">
        <v>0.0</v>
      </c>
      <c r="H17" s="91">
        <v>9.0</v>
      </c>
      <c r="I17" s="90">
        <v>0.0</v>
      </c>
      <c r="J17" s="90">
        <v>0.0</v>
      </c>
      <c r="K17" s="90">
        <v>0.0</v>
      </c>
      <c r="L17" s="92">
        <v>9.0</v>
      </c>
      <c r="M17" s="90">
        <v>0.0</v>
      </c>
      <c r="N17" s="37">
        <f t="shared" ref="N17:O17" si="22">C17+L17</f>
        <v>9</v>
      </c>
      <c r="O17" s="37">
        <f t="shared" si="22"/>
        <v>0</v>
      </c>
      <c r="P17" s="50" t="s">
        <v>60</v>
      </c>
      <c r="Q17" s="50" t="s">
        <v>60</v>
      </c>
      <c r="R17" s="50" t="s">
        <v>60</v>
      </c>
      <c r="S17" s="51">
        <f t="shared" si="4"/>
        <v>0</v>
      </c>
      <c r="T17" s="52">
        <f t="shared" si="5"/>
        <v>0</v>
      </c>
      <c r="U17" s="52"/>
      <c r="V17" s="51">
        <f t="shared" si="6"/>
        <v>1</v>
      </c>
      <c r="W17" s="52">
        <f t="shared" si="7"/>
        <v>0</v>
      </c>
      <c r="X17" s="35">
        <f t="shared" si="12"/>
        <v>13</v>
      </c>
      <c r="Y17" s="35" t="str">
        <f t="shared" si="8"/>
        <v>N</v>
      </c>
      <c r="Z17" s="22" t="str">
        <f t="shared" si="9"/>
        <v/>
      </c>
    </row>
    <row r="18">
      <c r="A18" s="35">
        <f t="shared" si="10"/>
        <v>14</v>
      </c>
      <c r="B18" s="36" t="s">
        <v>74</v>
      </c>
      <c r="C18" s="37"/>
      <c r="D18" s="37"/>
      <c r="E18" s="42">
        <f t="shared" si="2"/>
        <v>0</v>
      </c>
      <c r="F18" s="89">
        <v>3.0</v>
      </c>
      <c r="G18" s="90">
        <v>0.0</v>
      </c>
      <c r="H18" s="91">
        <v>9.0</v>
      </c>
      <c r="I18" s="90">
        <v>0.0</v>
      </c>
      <c r="J18" s="90">
        <v>0.0</v>
      </c>
      <c r="K18" s="90">
        <v>0.0</v>
      </c>
      <c r="L18" s="92">
        <v>9.0</v>
      </c>
      <c r="M18" s="90">
        <v>0.0</v>
      </c>
      <c r="N18" s="37">
        <f t="shared" ref="N18:O18" si="23">C18+L18</f>
        <v>9</v>
      </c>
      <c r="O18" s="37">
        <f t="shared" si="23"/>
        <v>0</v>
      </c>
      <c r="P18" s="50" t="s">
        <v>60</v>
      </c>
      <c r="Q18" s="50" t="s">
        <v>60</v>
      </c>
      <c r="R18" s="50" t="s">
        <v>60</v>
      </c>
      <c r="S18" s="51">
        <f t="shared" si="4"/>
        <v>0</v>
      </c>
      <c r="T18" s="52">
        <f t="shared" si="5"/>
        <v>0</v>
      </c>
      <c r="U18" s="52"/>
      <c r="V18" s="51">
        <f t="shared" si="6"/>
        <v>1</v>
      </c>
      <c r="W18" s="52">
        <f t="shared" si="7"/>
        <v>0</v>
      </c>
      <c r="X18" s="35">
        <f t="shared" si="12"/>
        <v>14</v>
      </c>
      <c r="Y18" s="35" t="str">
        <f t="shared" si="8"/>
        <v>N</v>
      </c>
      <c r="Z18" s="22" t="str">
        <f t="shared" si="9"/>
        <v/>
      </c>
    </row>
    <row r="19">
      <c r="A19" s="35">
        <f t="shared" si="10"/>
        <v>15</v>
      </c>
      <c r="B19" s="36" t="s">
        <v>122</v>
      </c>
      <c r="C19" s="37"/>
      <c r="D19" s="37"/>
      <c r="E19" s="42">
        <f t="shared" si="2"/>
        <v>0</v>
      </c>
      <c r="F19" s="89">
        <v>3.0</v>
      </c>
      <c r="G19" s="90">
        <v>0.0</v>
      </c>
      <c r="H19" s="91">
        <v>9.0</v>
      </c>
      <c r="I19" s="90">
        <v>0.0</v>
      </c>
      <c r="J19" s="90">
        <v>0.0</v>
      </c>
      <c r="K19" s="90">
        <v>0.0</v>
      </c>
      <c r="L19" s="92">
        <v>9.0</v>
      </c>
      <c r="M19" s="90">
        <v>0.0</v>
      </c>
      <c r="N19" s="37">
        <f t="shared" ref="N19:O19" si="24">C19+L19</f>
        <v>9</v>
      </c>
      <c r="O19" s="37">
        <f t="shared" si="24"/>
        <v>0</v>
      </c>
      <c r="P19" s="50" t="s">
        <v>60</v>
      </c>
      <c r="Q19" s="50" t="s">
        <v>60</v>
      </c>
      <c r="R19" s="50" t="s">
        <v>60</v>
      </c>
      <c r="S19" s="51">
        <f t="shared" si="4"/>
        <v>0</v>
      </c>
      <c r="T19" s="52">
        <f t="shared" si="5"/>
        <v>0</v>
      </c>
      <c r="U19" s="52"/>
      <c r="V19" s="51">
        <f t="shared" si="6"/>
        <v>1</v>
      </c>
      <c r="W19" s="52">
        <f t="shared" si="7"/>
        <v>0</v>
      </c>
      <c r="X19" s="35">
        <f t="shared" si="12"/>
        <v>15</v>
      </c>
      <c r="Y19" s="35" t="str">
        <f t="shared" si="8"/>
        <v>N</v>
      </c>
      <c r="Z19" s="22" t="str">
        <f t="shared" si="9"/>
        <v/>
      </c>
    </row>
    <row r="20">
      <c r="A20" s="35">
        <f t="shared" si="10"/>
        <v>16</v>
      </c>
      <c r="B20" s="36" t="s">
        <v>143</v>
      </c>
      <c r="C20" s="37"/>
      <c r="D20" s="37"/>
      <c r="E20" s="42">
        <f t="shared" si="2"/>
        <v>0</v>
      </c>
      <c r="F20" s="89">
        <v>3.0</v>
      </c>
      <c r="G20" s="90">
        <v>0.0</v>
      </c>
      <c r="H20" s="91">
        <v>9.0</v>
      </c>
      <c r="I20" s="90">
        <v>0.0</v>
      </c>
      <c r="J20" s="90">
        <v>0.0</v>
      </c>
      <c r="K20" s="90">
        <v>0.0</v>
      </c>
      <c r="L20" s="92">
        <v>9.0</v>
      </c>
      <c r="M20" s="90">
        <v>0.0</v>
      </c>
      <c r="N20" s="37">
        <f t="shared" ref="N20:O20" si="25">C20+L20</f>
        <v>9</v>
      </c>
      <c r="O20" s="37">
        <f t="shared" si="25"/>
        <v>0</v>
      </c>
      <c r="P20" s="50" t="s">
        <v>60</v>
      </c>
      <c r="Q20" s="50" t="s">
        <v>60</v>
      </c>
      <c r="R20" s="50" t="s">
        <v>60</v>
      </c>
      <c r="S20" s="51">
        <f t="shared" si="4"/>
        <v>0</v>
      </c>
      <c r="T20" s="52">
        <f t="shared" si="5"/>
        <v>0</v>
      </c>
      <c r="U20" s="52"/>
      <c r="V20" s="51">
        <f t="shared" si="6"/>
        <v>1</v>
      </c>
      <c r="W20" s="52">
        <f t="shared" si="7"/>
        <v>0</v>
      </c>
      <c r="X20" s="35">
        <f t="shared" si="12"/>
        <v>16</v>
      </c>
      <c r="Y20" s="35" t="str">
        <f t="shared" si="8"/>
        <v>N</v>
      </c>
      <c r="Z20" s="22" t="str">
        <f t="shared" si="9"/>
        <v/>
      </c>
    </row>
    <row r="21">
      <c r="A21" s="35">
        <f t="shared" si="10"/>
        <v>17</v>
      </c>
      <c r="B21" s="36" t="s">
        <v>90</v>
      </c>
      <c r="C21" s="37"/>
      <c r="D21" s="37"/>
      <c r="E21" s="42">
        <f t="shared" si="2"/>
        <v>0</v>
      </c>
      <c r="F21" s="89">
        <v>3.0</v>
      </c>
      <c r="G21" s="90">
        <v>0.0</v>
      </c>
      <c r="H21" s="91">
        <v>9.0</v>
      </c>
      <c r="I21" s="90">
        <v>0.0</v>
      </c>
      <c r="J21" s="90">
        <v>0.0</v>
      </c>
      <c r="K21" s="90">
        <v>0.0</v>
      </c>
      <c r="L21" s="92">
        <v>9.0</v>
      </c>
      <c r="M21" s="90">
        <v>0.0</v>
      </c>
      <c r="N21" s="37">
        <f t="shared" ref="N21:O21" si="26">C21+L21</f>
        <v>9</v>
      </c>
      <c r="O21" s="37">
        <f t="shared" si="26"/>
        <v>0</v>
      </c>
      <c r="P21" s="50" t="s">
        <v>60</v>
      </c>
      <c r="Q21" s="50" t="s">
        <v>60</v>
      </c>
      <c r="R21" s="50" t="s">
        <v>60</v>
      </c>
      <c r="S21" s="51">
        <f t="shared" si="4"/>
        <v>0</v>
      </c>
      <c r="T21" s="52">
        <f t="shared" si="5"/>
        <v>0</v>
      </c>
      <c r="U21" s="52"/>
      <c r="V21" s="51">
        <f t="shared" si="6"/>
        <v>1</v>
      </c>
      <c r="W21" s="52">
        <f t="shared" si="7"/>
        <v>0</v>
      </c>
      <c r="X21" s="35">
        <f t="shared" si="12"/>
        <v>17</v>
      </c>
      <c r="Y21" s="35" t="str">
        <f t="shared" si="8"/>
        <v>N</v>
      </c>
      <c r="Z21" s="22" t="str">
        <f t="shared" si="9"/>
        <v/>
      </c>
    </row>
    <row r="22">
      <c r="A22" s="35">
        <f t="shared" si="10"/>
        <v>18</v>
      </c>
      <c r="B22" s="36" t="s">
        <v>146</v>
      </c>
      <c r="C22" s="37"/>
      <c r="D22" s="37"/>
      <c r="E22" s="42">
        <f t="shared" si="2"/>
        <v>0</v>
      </c>
      <c r="F22" s="89">
        <v>1.0</v>
      </c>
      <c r="G22" s="90">
        <v>3.0</v>
      </c>
      <c r="H22" s="91">
        <v>0.0</v>
      </c>
      <c r="I22" s="90">
        <v>0.0</v>
      </c>
      <c r="J22" s="90">
        <v>7.0</v>
      </c>
      <c r="K22" s="90">
        <v>1.0</v>
      </c>
      <c r="L22" s="92">
        <v>8.0</v>
      </c>
      <c r="M22" s="90">
        <v>1.0</v>
      </c>
      <c r="N22" s="37">
        <f t="shared" ref="N22:O22" si="27">C22+L22</f>
        <v>8</v>
      </c>
      <c r="O22" s="37">
        <f t="shared" si="27"/>
        <v>1</v>
      </c>
      <c r="P22" s="50" t="s">
        <v>60</v>
      </c>
      <c r="Q22" s="50" t="s">
        <v>60</v>
      </c>
      <c r="R22" s="50" t="s">
        <v>60</v>
      </c>
      <c r="S22" s="51">
        <f t="shared" si="4"/>
        <v>1</v>
      </c>
      <c r="T22" s="52">
        <f t="shared" si="5"/>
        <v>0</v>
      </c>
      <c r="U22" s="52"/>
      <c r="V22" s="51">
        <f t="shared" si="6"/>
        <v>0</v>
      </c>
      <c r="W22" s="52">
        <f t="shared" si="7"/>
        <v>0</v>
      </c>
      <c r="X22" s="35">
        <f t="shared" si="12"/>
        <v>18</v>
      </c>
      <c r="Y22" s="35" t="str">
        <f t="shared" si="8"/>
        <v>Y</v>
      </c>
      <c r="Z22" s="22" t="str">
        <f t="shared" si="9"/>
        <v/>
      </c>
    </row>
    <row r="23">
      <c r="A23" s="35">
        <f t="shared" si="10"/>
        <v>19</v>
      </c>
      <c r="B23" s="36" t="s">
        <v>106</v>
      </c>
      <c r="C23" s="37"/>
      <c r="D23" s="37"/>
      <c r="E23" s="42">
        <f t="shared" si="2"/>
        <v>0</v>
      </c>
      <c r="F23" s="89">
        <v>1.0</v>
      </c>
      <c r="G23" s="90">
        <v>3.0</v>
      </c>
      <c r="H23" s="91">
        <v>0.0</v>
      </c>
      <c r="I23" s="90">
        <v>0.0</v>
      </c>
      <c r="J23" s="90">
        <v>5.0</v>
      </c>
      <c r="K23" s="90">
        <v>6.0</v>
      </c>
      <c r="L23" s="92">
        <v>11.0</v>
      </c>
      <c r="M23" s="90">
        <v>1.0</v>
      </c>
      <c r="N23" s="37">
        <f t="shared" ref="N23:O23" si="28">C23+L23</f>
        <v>11</v>
      </c>
      <c r="O23" s="37">
        <f t="shared" si="28"/>
        <v>1</v>
      </c>
      <c r="P23" s="50" t="s">
        <v>60</v>
      </c>
      <c r="Q23" s="50" t="s">
        <v>60</v>
      </c>
      <c r="R23" s="50" t="s">
        <v>60</v>
      </c>
      <c r="S23" s="51">
        <f t="shared" si="4"/>
        <v>1</v>
      </c>
      <c r="T23" s="52">
        <f t="shared" si="5"/>
        <v>0</v>
      </c>
      <c r="U23" s="52"/>
      <c r="V23" s="51">
        <f t="shared" si="6"/>
        <v>0</v>
      </c>
      <c r="W23" s="52">
        <f t="shared" si="7"/>
        <v>0</v>
      </c>
      <c r="X23" s="35">
        <f t="shared" si="12"/>
        <v>19</v>
      </c>
      <c r="Y23" s="35" t="str">
        <f t="shared" si="8"/>
        <v>Y</v>
      </c>
      <c r="Z23" s="22" t="str">
        <f t="shared" si="9"/>
        <v/>
      </c>
    </row>
    <row r="24">
      <c r="A24" s="35">
        <f t="shared" si="10"/>
        <v>20</v>
      </c>
      <c r="B24" s="36" t="s">
        <v>87</v>
      </c>
      <c r="C24" s="37"/>
      <c r="D24" s="37"/>
      <c r="E24" s="42">
        <f t="shared" si="2"/>
        <v>0</v>
      </c>
      <c r="F24" s="89">
        <v>1.0</v>
      </c>
      <c r="G24" s="90">
        <v>3.0</v>
      </c>
      <c r="H24" s="91">
        <v>0.0</v>
      </c>
      <c r="I24" s="90">
        <v>6.0</v>
      </c>
      <c r="J24" s="90">
        <v>5.0</v>
      </c>
      <c r="K24" s="90">
        <v>1.0</v>
      </c>
      <c r="L24" s="92">
        <v>12.0</v>
      </c>
      <c r="M24" s="90">
        <v>1.0</v>
      </c>
      <c r="N24" s="37">
        <f t="shared" ref="N24:O24" si="29">C24+L24</f>
        <v>12</v>
      </c>
      <c r="O24" s="37">
        <f t="shared" si="29"/>
        <v>1</v>
      </c>
      <c r="P24" s="50" t="s">
        <v>60</v>
      </c>
      <c r="Q24" s="50" t="s">
        <v>60</v>
      </c>
      <c r="R24" s="50" t="s">
        <v>60</v>
      </c>
      <c r="S24" s="51">
        <f t="shared" si="4"/>
        <v>1</v>
      </c>
      <c r="T24" s="52">
        <f t="shared" si="5"/>
        <v>0</v>
      </c>
      <c r="U24" s="52"/>
      <c r="V24" s="51">
        <f t="shared" si="6"/>
        <v>0</v>
      </c>
      <c r="W24" s="52">
        <f t="shared" si="7"/>
        <v>0</v>
      </c>
      <c r="X24" s="35">
        <f t="shared" si="12"/>
        <v>20</v>
      </c>
      <c r="Y24" s="35" t="str">
        <f t="shared" si="8"/>
        <v>Y</v>
      </c>
      <c r="Z24" s="22" t="str">
        <f t="shared" si="9"/>
        <v/>
      </c>
    </row>
    <row r="25">
      <c r="A25" s="35">
        <f t="shared" si="10"/>
        <v>21</v>
      </c>
      <c r="B25" s="36" t="s">
        <v>95</v>
      </c>
      <c r="C25" s="37"/>
      <c r="D25" s="37"/>
      <c r="E25" s="42">
        <f t="shared" si="2"/>
        <v>0</v>
      </c>
      <c r="F25" s="89">
        <v>3.0</v>
      </c>
      <c r="G25" s="90">
        <v>0.0</v>
      </c>
      <c r="H25" s="91">
        <v>9.0</v>
      </c>
      <c r="I25" s="90">
        <v>0.0</v>
      </c>
      <c r="J25" s="90">
        <v>0.0</v>
      </c>
      <c r="K25" s="90">
        <v>0.0</v>
      </c>
      <c r="L25" s="92">
        <v>9.0</v>
      </c>
      <c r="M25" s="90">
        <v>0.0</v>
      </c>
      <c r="N25" s="37">
        <f t="shared" ref="N25:O25" si="30">C25+L25</f>
        <v>9</v>
      </c>
      <c r="O25" s="37">
        <f t="shared" si="30"/>
        <v>0</v>
      </c>
      <c r="P25" s="50" t="s">
        <v>60</v>
      </c>
      <c r="Q25" s="50" t="s">
        <v>60</v>
      </c>
      <c r="R25" s="50" t="s">
        <v>60</v>
      </c>
      <c r="S25" s="51">
        <f t="shared" si="4"/>
        <v>0</v>
      </c>
      <c r="T25" s="52">
        <f t="shared" si="5"/>
        <v>0</v>
      </c>
      <c r="U25" s="52"/>
      <c r="V25" s="51">
        <f t="shared" si="6"/>
        <v>1</v>
      </c>
      <c r="W25" s="52">
        <f t="shared" si="7"/>
        <v>0</v>
      </c>
      <c r="X25" s="35">
        <f t="shared" si="12"/>
        <v>21</v>
      </c>
      <c r="Y25" s="35" t="str">
        <f t="shared" si="8"/>
        <v>N</v>
      </c>
      <c r="Z25" s="22" t="str">
        <f t="shared" si="9"/>
        <v/>
      </c>
    </row>
    <row r="26">
      <c r="A26" s="35">
        <f t="shared" si="10"/>
        <v>22</v>
      </c>
      <c r="B26" s="36" t="s">
        <v>92</v>
      </c>
      <c r="C26" s="37"/>
      <c r="D26" s="37"/>
      <c r="E26" s="42">
        <f t="shared" si="2"/>
        <v>0</v>
      </c>
      <c r="F26" s="89">
        <v>1.0</v>
      </c>
      <c r="G26" s="90">
        <v>3.0</v>
      </c>
      <c r="H26" s="91">
        <v>0.0</v>
      </c>
      <c r="I26" s="90">
        <v>6.0</v>
      </c>
      <c r="J26" s="90">
        <v>7.0</v>
      </c>
      <c r="K26" s="90">
        <v>6.0</v>
      </c>
      <c r="L26" s="92">
        <v>19.0</v>
      </c>
      <c r="M26" s="90">
        <v>3.0</v>
      </c>
      <c r="N26" s="37">
        <f t="shared" ref="N26:O26" si="31">C26+L26</f>
        <v>19</v>
      </c>
      <c r="O26" s="37">
        <f t="shared" si="31"/>
        <v>3</v>
      </c>
      <c r="P26" s="50" t="s">
        <v>60</v>
      </c>
      <c r="Q26" s="50" t="s">
        <v>60</v>
      </c>
      <c r="R26" s="50" t="s">
        <v>60</v>
      </c>
      <c r="S26" s="51">
        <f t="shared" si="4"/>
        <v>1</v>
      </c>
      <c r="T26" s="52">
        <f t="shared" si="5"/>
        <v>0</v>
      </c>
      <c r="U26" s="52"/>
      <c r="V26" s="51">
        <f t="shared" si="6"/>
        <v>0</v>
      </c>
      <c r="W26" s="52">
        <f t="shared" si="7"/>
        <v>0</v>
      </c>
      <c r="X26" s="35">
        <f t="shared" si="12"/>
        <v>22</v>
      </c>
      <c r="Y26" s="35" t="str">
        <f t="shared" si="8"/>
        <v>Y</v>
      </c>
      <c r="Z26" s="22" t="str">
        <f t="shared" si="9"/>
        <v/>
      </c>
    </row>
    <row r="27">
      <c r="A27" s="35">
        <f t="shared" si="10"/>
        <v>23</v>
      </c>
      <c r="B27" s="36" t="s">
        <v>109</v>
      </c>
      <c r="C27" s="37"/>
      <c r="D27" s="37"/>
      <c r="E27" s="42">
        <f t="shared" si="2"/>
        <v>0</v>
      </c>
      <c r="F27" s="89">
        <v>3.0</v>
      </c>
      <c r="G27" s="90">
        <v>0.0</v>
      </c>
      <c r="H27" s="91">
        <v>9.0</v>
      </c>
      <c r="I27" s="90">
        <v>0.0</v>
      </c>
      <c r="J27" s="90">
        <v>0.0</v>
      </c>
      <c r="K27" s="90">
        <v>0.0</v>
      </c>
      <c r="L27" s="92">
        <v>9.0</v>
      </c>
      <c r="M27" s="90">
        <v>0.0</v>
      </c>
      <c r="N27" s="37">
        <f t="shared" ref="N27:O27" si="32">C27+L27</f>
        <v>9</v>
      </c>
      <c r="O27" s="37">
        <f t="shared" si="32"/>
        <v>0</v>
      </c>
      <c r="P27" s="50" t="s">
        <v>60</v>
      </c>
      <c r="Q27" s="50" t="s">
        <v>60</v>
      </c>
      <c r="R27" s="50" t="s">
        <v>60</v>
      </c>
      <c r="S27" s="51">
        <f t="shared" si="4"/>
        <v>0</v>
      </c>
      <c r="T27" s="52">
        <f t="shared" si="5"/>
        <v>0</v>
      </c>
      <c r="U27" s="52"/>
      <c r="V27" s="51">
        <f t="shared" si="6"/>
        <v>1</v>
      </c>
      <c r="W27" s="52">
        <f t="shared" si="7"/>
        <v>0</v>
      </c>
      <c r="X27" s="35">
        <f t="shared" si="12"/>
        <v>23</v>
      </c>
      <c r="Y27" s="35" t="str">
        <f t="shared" si="8"/>
        <v>N</v>
      </c>
      <c r="Z27" s="22" t="str">
        <f t="shared" si="9"/>
        <v/>
      </c>
    </row>
    <row r="28">
      <c r="A28" s="35">
        <f t="shared" si="10"/>
        <v>24</v>
      </c>
      <c r="B28" s="36" t="s">
        <v>77</v>
      </c>
      <c r="C28" s="37"/>
      <c r="D28" s="37"/>
      <c r="E28" s="42">
        <f t="shared" si="2"/>
        <v>0</v>
      </c>
      <c r="F28" s="89">
        <v>3.0</v>
      </c>
      <c r="G28" s="90">
        <v>0.0</v>
      </c>
      <c r="H28" s="91">
        <v>9.0</v>
      </c>
      <c r="I28" s="90">
        <v>0.0</v>
      </c>
      <c r="J28" s="90">
        <v>0.0</v>
      </c>
      <c r="K28" s="90">
        <v>0.0</v>
      </c>
      <c r="L28" s="92">
        <v>9.0</v>
      </c>
      <c r="M28" s="90">
        <v>0.0</v>
      </c>
      <c r="N28" s="37">
        <f t="shared" ref="N28:O28" si="33">C28+L28</f>
        <v>9</v>
      </c>
      <c r="O28" s="37">
        <f t="shared" si="33"/>
        <v>0</v>
      </c>
      <c r="P28" s="50" t="s">
        <v>60</v>
      </c>
      <c r="Q28" s="50" t="s">
        <v>60</v>
      </c>
      <c r="R28" s="50" t="s">
        <v>60</v>
      </c>
      <c r="S28" s="51">
        <f t="shared" si="4"/>
        <v>0</v>
      </c>
      <c r="T28" s="52">
        <f t="shared" si="5"/>
        <v>0</v>
      </c>
      <c r="U28" s="52"/>
      <c r="V28" s="51">
        <f t="shared" si="6"/>
        <v>1</v>
      </c>
      <c r="W28" s="52">
        <f t="shared" si="7"/>
        <v>0</v>
      </c>
      <c r="X28" s="35">
        <f t="shared" si="12"/>
        <v>24</v>
      </c>
      <c r="Y28" s="35" t="str">
        <f t="shared" si="8"/>
        <v>N</v>
      </c>
      <c r="Z28" s="22" t="str">
        <f t="shared" si="9"/>
        <v/>
      </c>
    </row>
    <row r="29">
      <c r="A29" s="35">
        <f t="shared" si="10"/>
        <v>25</v>
      </c>
      <c r="B29" s="36" t="s">
        <v>144</v>
      </c>
      <c r="C29" s="37"/>
      <c r="D29" s="37"/>
      <c r="E29" s="42">
        <f t="shared" si="2"/>
        <v>0</v>
      </c>
      <c r="F29" s="89">
        <v>1.0</v>
      </c>
      <c r="G29" s="90">
        <v>4.0</v>
      </c>
      <c r="H29" s="91">
        <v>0.0</v>
      </c>
      <c r="I29" s="90">
        <v>6.0</v>
      </c>
      <c r="J29" s="90">
        <v>2.0</v>
      </c>
      <c r="K29" s="90">
        <v>7.0</v>
      </c>
      <c r="L29" s="92">
        <v>15.0</v>
      </c>
      <c r="M29" s="90">
        <v>2.0</v>
      </c>
      <c r="N29" s="37">
        <f t="shared" ref="N29:O29" si="34">C29+L29</f>
        <v>15</v>
      </c>
      <c r="O29" s="37">
        <f t="shared" si="34"/>
        <v>2</v>
      </c>
      <c r="P29" s="50" t="s">
        <v>60</v>
      </c>
      <c r="Q29" s="50" t="s">
        <v>60</v>
      </c>
      <c r="R29" s="50" t="s">
        <v>60</v>
      </c>
      <c r="S29" s="51">
        <f t="shared" si="4"/>
        <v>1</v>
      </c>
      <c r="T29" s="52">
        <f t="shared" si="5"/>
        <v>0</v>
      </c>
      <c r="U29" s="52"/>
      <c r="V29" s="51">
        <f t="shared" si="6"/>
        <v>0</v>
      </c>
      <c r="W29" s="52">
        <f t="shared" si="7"/>
        <v>0</v>
      </c>
      <c r="X29" s="35">
        <f t="shared" si="12"/>
        <v>25</v>
      </c>
      <c r="Y29" s="35" t="str">
        <f t="shared" si="8"/>
        <v>Y</v>
      </c>
      <c r="Z29" s="22" t="str">
        <f t="shared" si="9"/>
        <v/>
      </c>
    </row>
    <row r="30">
      <c r="A30" s="35">
        <f t="shared" si="10"/>
        <v>26</v>
      </c>
      <c r="B30" s="36" t="s">
        <v>108</v>
      </c>
      <c r="C30" s="37"/>
      <c r="D30" s="37"/>
      <c r="E30" s="42">
        <f t="shared" si="2"/>
        <v>0</v>
      </c>
      <c r="F30" s="89">
        <v>1.0</v>
      </c>
      <c r="G30" s="90">
        <v>4.0</v>
      </c>
      <c r="H30" s="91">
        <v>0.0</v>
      </c>
      <c r="I30" s="90">
        <v>4.0</v>
      </c>
      <c r="J30" s="90">
        <v>2.0</v>
      </c>
      <c r="K30" s="90">
        <v>6.0</v>
      </c>
      <c r="L30" s="92">
        <v>12.0</v>
      </c>
      <c r="M30" s="90">
        <v>0.0</v>
      </c>
      <c r="N30" s="37">
        <f t="shared" ref="N30:O30" si="35">C30+L30</f>
        <v>12</v>
      </c>
      <c r="O30" s="37">
        <f t="shared" si="35"/>
        <v>0</v>
      </c>
      <c r="P30" s="50" t="s">
        <v>60</v>
      </c>
      <c r="Q30" s="50" t="s">
        <v>60</v>
      </c>
      <c r="R30" s="50" t="s">
        <v>60</v>
      </c>
      <c r="S30" s="51">
        <f t="shared" si="4"/>
        <v>1</v>
      </c>
      <c r="T30" s="52">
        <f t="shared" si="5"/>
        <v>0</v>
      </c>
      <c r="U30" s="52"/>
      <c r="V30" s="51">
        <f t="shared" si="6"/>
        <v>0</v>
      </c>
      <c r="W30" s="52">
        <f t="shared" si="7"/>
        <v>0</v>
      </c>
      <c r="X30" s="35">
        <f t="shared" si="12"/>
        <v>26</v>
      </c>
      <c r="Y30" s="35" t="str">
        <f t="shared" si="8"/>
        <v>Y</v>
      </c>
      <c r="Z30" s="22" t="str">
        <f t="shared" si="9"/>
        <v/>
      </c>
    </row>
    <row r="31">
      <c r="A31" s="35">
        <f t="shared" si="10"/>
        <v>27</v>
      </c>
      <c r="B31" s="36" t="s">
        <v>102</v>
      </c>
      <c r="C31" s="37"/>
      <c r="D31" s="37"/>
      <c r="E31" s="42">
        <f t="shared" si="2"/>
        <v>0</v>
      </c>
      <c r="F31" s="89">
        <v>5.0</v>
      </c>
      <c r="G31" s="90">
        <v>0.0</v>
      </c>
      <c r="H31" s="91">
        <v>13.0</v>
      </c>
      <c r="I31" s="90">
        <v>0.0</v>
      </c>
      <c r="J31" s="90">
        <v>0.0</v>
      </c>
      <c r="K31" s="90">
        <v>0.0</v>
      </c>
      <c r="L31" s="92">
        <v>13.0</v>
      </c>
      <c r="M31" s="90">
        <v>0.0</v>
      </c>
      <c r="N31" s="37">
        <f t="shared" ref="N31:O31" si="36">C31+L31</f>
        <v>13</v>
      </c>
      <c r="O31" s="37">
        <f t="shared" si="36"/>
        <v>0</v>
      </c>
      <c r="P31" s="50" t="s">
        <v>60</v>
      </c>
      <c r="Q31" s="50" t="s">
        <v>60</v>
      </c>
      <c r="R31" s="50" t="s">
        <v>60</v>
      </c>
      <c r="S31" s="51">
        <f t="shared" si="4"/>
        <v>0</v>
      </c>
      <c r="T31" s="52">
        <f t="shared" si="5"/>
        <v>1</v>
      </c>
      <c r="U31" s="52"/>
      <c r="V31" s="51">
        <f t="shared" si="6"/>
        <v>0</v>
      </c>
      <c r="W31" s="52">
        <f t="shared" si="7"/>
        <v>0</v>
      </c>
      <c r="X31" s="35">
        <f t="shared" si="12"/>
        <v>27</v>
      </c>
      <c r="Y31" s="35" t="str">
        <f t="shared" si="8"/>
        <v>N</v>
      </c>
      <c r="Z31" s="22" t="str">
        <f t="shared" si="9"/>
        <v/>
      </c>
    </row>
    <row r="32">
      <c r="A32" s="35">
        <f t="shared" si="10"/>
        <v>28</v>
      </c>
      <c r="B32" s="36" t="s">
        <v>56</v>
      </c>
      <c r="C32" s="37"/>
      <c r="D32" s="37"/>
      <c r="E32" s="42">
        <f t="shared" si="2"/>
        <v>0</v>
      </c>
      <c r="F32" s="89">
        <v>3.0</v>
      </c>
      <c r="G32" s="90">
        <v>0.0</v>
      </c>
      <c r="H32" s="91">
        <v>9.0</v>
      </c>
      <c r="I32" s="90">
        <v>0.0</v>
      </c>
      <c r="J32" s="90">
        <v>0.0</v>
      </c>
      <c r="K32" s="90">
        <v>0.0</v>
      </c>
      <c r="L32" s="92">
        <v>9.0</v>
      </c>
      <c r="M32" s="90">
        <v>0.0</v>
      </c>
      <c r="N32" s="37">
        <f t="shared" ref="N32:O32" si="37">C32+L32</f>
        <v>9</v>
      </c>
      <c r="O32" s="37">
        <f t="shared" si="37"/>
        <v>0</v>
      </c>
      <c r="P32" s="50" t="s">
        <v>60</v>
      </c>
      <c r="Q32" s="50" t="s">
        <v>60</v>
      </c>
      <c r="R32" s="50" t="s">
        <v>60</v>
      </c>
      <c r="S32" s="51">
        <f t="shared" si="4"/>
        <v>0</v>
      </c>
      <c r="T32" s="52">
        <f t="shared" si="5"/>
        <v>0</v>
      </c>
      <c r="U32" s="52"/>
      <c r="V32" s="51">
        <f t="shared" si="6"/>
        <v>1</v>
      </c>
      <c r="W32" s="52">
        <f t="shared" si="7"/>
        <v>0</v>
      </c>
      <c r="X32" s="35">
        <f t="shared" si="12"/>
        <v>28</v>
      </c>
      <c r="Y32" s="35" t="str">
        <f t="shared" si="8"/>
        <v>N</v>
      </c>
      <c r="Z32" s="22" t="str">
        <f t="shared" si="9"/>
        <v/>
      </c>
    </row>
    <row r="33">
      <c r="A33" s="35">
        <f t="shared" si="10"/>
        <v>29</v>
      </c>
      <c r="B33" s="36" t="s">
        <v>80</v>
      </c>
      <c r="C33" s="37"/>
      <c r="D33" s="37"/>
      <c r="E33" s="42">
        <f t="shared" si="2"/>
        <v>0</v>
      </c>
      <c r="F33" s="89">
        <v>3.0</v>
      </c>
      <c r="G33" s="90">
        <v>0.0</v>
      </c>
      <c r="H33" s="91">
        <v>9.0</v>
      </c>
      <c r="I33" s="90">
        <v>0.0</v>
      </c>
      <c r="J33" s="90">
        <v>0.0</v>
      </c>
      <c r="K33" s="90">
        <v>0.0</v>
      </c>
      <c r="L33" s="92">
        <v>9.0</v>
      </c>
      <c r="M33" s="90">
        <v>0.0</v>
      </c>
      <c r="N33" s="37">
        <f t="shared" ref="N33:O33" si="38">C33+L33</f>
        <v>9</v>
      </c>
      <c r="O33" s="37">
        <f t="shared" si="38"/>
        <v>0</v>
      </c>
      <c r="P33" s="50" t="s">
        <v>60</v>
      </c>
      <c r="Q33" s="50" t="s">
        <v>60</v>
      </c>
      <c r="R33" s="50" t="s">
        <v>60</v>
      </c>
      <c r="S33" s="51">
        <f t="shared" si="4"/>
        <v>0</v>
      </c>
      <c r="T33" s="52">
        <f t="shared" si="5"/>
        <v>0</v>
      </c>
      <c r="U33" s="52"/>
      <c r="V33" s="51">
        <f t="shared" si="6"/>
        <v>1</v>
      </c>
      <c r="W33" s="52">
        <f t="shared" si="7"/>
        <v>0</v>
      </c>
      <c r="X33" s="35">
        <f t="shared" si="12"/>
        <v>29</v>
      </c>
      <c r="Y33" s="35" t="str">
        <f t="shared" si="8"/>
        <v>N</v>
      </c>
      <c r="Z33" s="22" t="str">
        <f t="shared" si="9"/>
        <v/>
      </c>
    </row>
    <row r="34">
      <c r="A34" s="35">
        <f t="shared" si="10"/>
        <v>30</v>
      </c>
      <c r="B34" s="36" t="s">
        <v>133</v>
      </c>
      <c r="C34" s="37"/>
      <c r="D34" s="37"/>
      <c r="E34" s="42">
        <f t="shared" si="2"/>
        <v>0</v>
      </c>
      <c r="F34" s="89">
        <v>5.0</v>
      </c>
      <c r="G34" s="90">
        <v>0.0</v>
      </c>
      <c r="H34" s="91">
        <v>13.0</v>
      </c>
      <c r="I34" s="90">
        <v>0.0</v>
      </c>
      <c r="J34" s="90">
        <v>0.0</v>
      </c>
      <c r="K34" s="90">
        <v>0.0</v>
      </c>
      <c r="L34" s="92">
        <v>13.0</v>
      </c>
      <c r="M34" s="90">
        <v>0.0</v>
      </c>
      <c r="N34" s="37">
        <f t="shared" ref="N34:O34" si="39">C34+L34</f>
        <v>13</v>
      </c>
      <c r="O34" s="37">
        <f t="shared" si="39"/>
        <v>0</v>
      </c>
      <c r="P34" s="50" t="s">
        <v>60</v>
      </c>
      <c r="Q34" s="50" t="s">
        <v>60</v>
      </c>
      <c r="R34" s="50" t="s">
        <v>60</v>
      </c>
      <c r="S34" s="51">
        <f t="shared" si="4"/>
        <v>0</v>
      </c>
      <c r="T34" s="52">
        <f t="shared" si="5"/>
        <v>1</v>
      </c>
      <c r="U34" s="52"/>
      <c r="V34" s="51">
        <f t="shared" si="6"/>
        <v>0</v>
      </c>
      <c r="W34" s="52">
        <f t="shared" si="7"/>
        <v>0</v>
      </c>
      <c r="X34" s="35">
        <f t="shared" si="12"/>
        <v>30</v>
      </c>
      <c r="Y34" s="35" t="str">
        <f t="shared" si="8"/>
        <v>N</v>
      </c>
      <c r="Z34" s="22" t="str">
        <f t="shared" si="9"/>
        <v/>
      </c>
    </row>
    <row r="35">
      <c r="A35" s="35">
        <f t="shared" si="10"/>
        <v>31</v>
      </c>
      <c r="B35" s="36" t="s">
        <v>118</v>
      </c>
      <c r="C35" s="37"/>
      <c r="D35" s="37"/>
      <c r="E35" s="42">
        <f t="shared" si="2"/>
        <v>0</v>
      </c>
      <c r="F35" s="89">
        <v>1.0</v>
      </c>
      <c r="G35" s="90">
        <v>4.0</v>
      </c>
      <c r="H35" s="91">
        <v>0.0</v>
      </c>
      <c r="I35" s="90">
        <v>6.0</v>
      </c>
      <c r="J35" s="90">
        <v>6.0</v>
      </c>
      <c r="K35" s="90">
        <v>6.0</v>
      </c>
      <c r="L35" s="92">
        <v>18.0</v>
      </c>
      <c r="M35" s="90">
        <v>2.0</v>
      </c>
      <c r="N35" s="37">
        <f t="shared" ref="N35:O35" si="40">C35+L35</f>
        <v>18</v>
      </c>
      <c r="O35" s="37">
        <f t="shared" si="40"/>
        <v>2</v>
      </c>
      <c r="P35" s="50" t="s">
        <v>60</v>
      </c>
      <c r="Q35" s="50" t="s">
        <v>60</v>
      </c>
      <c r="R35" s="50" t="s">
        <v>60</v>
      </c>
      <c r="S35" s="51">
        <f t="shared" si="4"/>
        <v>1</v>
      </c>
      <c r="T35" s="52">
        <f t="shared" si="5"/>
        <v>0</v>
      </c>
      <c r="U35" s="52"/>
      <c r="V35" s="51">
        <f t="shared" si="6"/>
        <v>0</v>
      </c>
      <c r="W35" s="52">
        <f t="shared" si="7"/>
        <v>0</v>
      </c>
      <c r="X35" s="35">
        <f t="shared" si="12"/>
        <v>31</v>
      </c>
      <c r="Y35" s="35" t="str">
        <f t="shared" si="8"/>
        <v>Y</v>
      </c>
      <c r="Z35" s="22" t="str">
        <f t="shared" si="9"/>
        <v/>
      </c>
    </row>
    <row r="36">
      <c r="A36" s="35">
        <f t="shared" si="10"/>
        <v>32</v>
      </c>
      <c r="B36" s="36" t="s">
        <v>137</v>
      </c>
      <c r="C36" s="37"/>
      <c r="D36" s="37"/>
      <c r="E36" s="42">
        <f t="shared" si="2"/>
        <v>0</v>
      </c>
      <c r="F36" s="89">
        <v>3.0</v>
      </c>
      <c r="G36" s="90">
        <v>0.0</v>
      </c>
      <c r="H36" s="91">
        <v>9.0</v>
      </c>
      <c r="I36" s="90">
        <v>0.0</v>
      </c>
      <c r="J36" s="90">
        <v>0.0</v>
      </c>
      <c r="K36" s="90">
        <v>0.0</v>
      </c>
      <c r="L36" s="92">
        <v>9.0</v>
      </c>
      <c r="M36" s="90">
        <v>0.0</v>
      </c>
      <c r="N36" s="37">
        <f t="shared" ref="N36:O36" si="41">C36+L36</f>
        <v>9</v>
      </c>
      <c r="O36" s="37">
        <f t="shared" si="41"/>
        <v>0</v>
      </c>
      <c r="P36" s="50" t="s">
        <v>60</v>
      </c>
      <c r="Q36" s="50" t="s">
        <v>60</v>
      </c>
      <c r="R36" s="50" t="s">
        <v>60</v>
      </c>
      <c r="S36" s="51">
        <f t="shared" si="4"/>
        <v>0</v>
      </c>
      <c r="T36" s="52">
        <f t="shared" si="5"/>
        <v>0</v>
      </c>
      <c r="U36" s="52"/>
      <c r="V36" s="51">
        <f t="shared" si="6"/>
        <v>1</v>
      </c>
      <c r="W36" s="52">
        <f t="shared" si="7"/>
        <v>0</v>
      </c>
      <c r="X36" s="35">
        <f t="shared" si="12"/>
        <v>32</v>
      </c>
      <c r="Y36" s="35" t="str">
        <f t="shared" si="8"/>
        <v>N</v>
      </c>
      <c r="Z36" s="22" t="str">
        <f t="shared" si="9"/>
        <v/>
      </c>
    </row>
    <row r="37">
      <c r="A37" s="35">
        <f t="shared" si="10"/>
        <v>33</v>
      </c>
      <c r="B37" s="36" t="s">
        <v>130</v>
      </c>
      <c r="C37" s="37"/>
      <c r="D37" s="37"/>
      <c r="E37" s="42">
        <f t="shared" si="2"/>
        <v>0</v>
      </c>
      <c r="F37" s="89">
        <v>3.0</v>
      </c>
      <c r="G37" s="90">
        <v>0.0</v>
      </c>
      <c r="H37" s="91">
        <v>9.0</v>
      </c>
      <c r="I37" s="90">
        <v>0.0</v>
      </c>
      <c r="J37" s="90">
        <v>0.0</v>
      </c>
      <c r="K37" s="90">
        <v>0.0</v>
      </c>
      <c r="L37" s="92">
        <v>9.0</v>
      </c>
      <c r="M37" s="90">
        <v>0.0</v>
      </c>
      <c r="N37" s="37">
        <f t="shared" ref="N37:O37" si="42">C37+L37</f>
        <v>9</v>
      </c>
      <c r="O37" s="37">
        <f t="shared" si="42"/>
        <v>0</v>
      </c>
      <c r="P37" s="50" t="s">
        <v>60</v>
      </c>
      <c r="Q37" s="50" t="s">
        <v>60</v>
      </c>
      <c r="R37" s="50" t="s">
        <v>60</v>
      </c>
      <c r="S37" s="51">
        <f t="shared" si="4"/>
        <v>0</v>
      </c>
      <c r="T37" s="52">
        <f t="shared" si="5"/>
        <v>0</v>
      </c>
      <c r="U37" s="52"/>
      <c r="V37" s="51">
        <f t="shared" si="6"/>
        <v>1</v>
      </c>
      <c r="W37" s="52">
        <f t="shared" si="7"/>
        <v>0</v>
      </c>
      <c r="X37" s="35">
        <f t="shared" si="12"/>
        <v>33</v>
      </c>
      <c r="Y37" s="35" t="str">
        <f t="shared" si="8"/>
        <v>N</v>
      </c>
      <c r="Z37" s="22" t="str">
        <f t="shared" si="9"/>
        <v/>
      </c>
    </row>
    <row r="38">
      <c r="A38" s="35">
        <f t="shared" si="10"/>
        <v>34</v>
      </c>
      <c r="B38" s="36" t="s">
        <v>132</v>
      </c>
      <c r="C38" s="37"/>
      <c r="D38" s="37"/>
      <c r="E38" s="42">
        <f t="shared" si="2"/>
        <v>0</v>
      </c>
      <c r="F38" s="89">
        <v>3.0</v>
      </c>
      <c r="G38" s="90">
        <v>0.0</v>
      </c>
      <c r="H38" s="91">
        <v>9.0</v>
      </c>
      <c r="I38" s="90">
        <v>0.0</v>
      </c>
      <c r="J38" s="90">
        <v>0.0</v>
      </c>
      <c r="K38" s="90">
        <v>0.0</v>
      </c>
      <c r="L38" s="92">
        <v>9.0</v>
      </c>
      <c r="M38" s="90">
        <v>0.0</v>
      </c>
      <c r="N38" s="37">
        <f t="shared" ref="N38:O38" si="43">C38+L38</f>
        <v>9</v>
      </c>
      <c r="O38" s="37">
        <f t="shared" si="43"/>
        <v>0</v>
      </c>
      <c r="P38" s="50" t="s">
        <v>60</v>
      </c>
      <c r="Q38" s="50" t="s">
        <v>60</v>
      </c>
      <c r="R38" s="50" t="s">
        <v>60</v>
      </c>
      <c r="S38" s="51">
        <f t="shared" si="4"/>
        <v>0</v>
      </c>
      <c r="T38" s="52">
        <f t="shared" si="5"/>
        <v>0</v>
      </c>
      <c r="U38" s="52"/>
      <c r="V38" s="51">
        <f t="shared" si="6"/>
        <v>1</v>
      </c>
      <c r="W38" s="52">
        <f t="shared" si="7"/>
        <v>0</v>
      </c>
      <c r="X38" s="35">
        <f t="shared" si="12"/>
        <v>34</v>
      </c>
      <c r="Y38" s="35" t="str">
        <f t="shared" si="8"/>
        <v>N</v>
      </c>
      <c r="Z38" s="22" t="str">
        <f t="shared" si="9"/>
        <v/>
      </c>
    </row>
    <row r="39">
      <c r="A39" s="35">
        <f t="shared" si="10"/>
        <v>35</v>
      </c>
      <c r="B39" s="36" t="s">
        <v>101</v>
      </c>
      <c r="C39" s="37"/>
      <c r="D39" s="37"/>
      <c r="E39" s="42">
        <f t="shared" si="2"/>
        <v>0</v>
      </c>
      <c r="F39" s="89">
        <v>1.0</v>
      </c>
      <c r="G39" s="90">
        <v>4.0</v>
      </c>
      <c r="H39" s="91">
        <v>0.0</v>
      </c>
      <c r="I39" s="90">
        <v>4.0</v>
      </c>
      <c r="J39" s="90">
        <v>6.0</v>
      </c>
      <c r="K39" s="90">
        <v>7.0</v>
      </c>
      <c r="L39" s="92">
        <v>17.0</v>
      </c>
      <c r="M39" s="90">
        <v>2.0</v>
      </c>
      <c r="N39" s="37">
        <f t="shared" ref="N39:O39" si="44">C39+L39</f>
        <v>17</v>
      </c>
      <c r="O39" s="37">
        <f t="shared" si="44"/>
        <v>2</v>
      </c>
      <c r="P39" s="50" t="s">
        <v>60</v>
      </c>
      <c r="Q39" s="50" t="s">
        <v>60</v>
      </c>
      <c r="R39" s="50" t="s">
        <v>60</v>
      </c>
      <c r="S39" s="51">
        <f t="shared" si="4"/>
        <v>1</v>
      </c>
      <c r="T39" s="52">
        <f t="shared" si="5"/>
        <v>0</v>
      </c>
      <c r="U39" s="52"/>
      <c r="V39" s="51">
        <f t="shared" si="6"/>
        <v>0</v>
      </c>
      <c r="W39" s="52">
        <f t="shared" si="7"/>
        <v>0</v>
      </c>
      <c r="X39" s="35">
        <f t="shared" si="12"/>
        <v>35</v>
      </c>
      <c r="Y39" s="35" t="str">
        <f t="shared" si="8"/>
        <v>Y</v>
      </c>
      <c r="Z39" s="22" t="str">
        <f t="shared" si="9"/>
        <v/>
      </c>
    </row>
    <row r="40">
      <c r="A40" s="35">
        <f t="shared" si="10"/>
        <v>36</v>
      </c>
      <c r="B40" s="36" t="s">
        <v>125</v>
      </c>
      <c r="C40" s="37"/>
      <c r="D40" s="37"/>
      <c r="E40" s="42">
        <f t="shared" si="2"/>
        <v>0</v>
      </c>
      <c r="F40" s="89">
        <v>1.0</v>
      </c>
      <c r="G40" s="90">
        <v>5.0</v>
      </c>
      <c r="H40" s="91">
        <v>0.0</v>
      </c>
      <c r="I40" s="90">
        <v>6.0</v>
      </c>
      <c r="J40" s="90">
        <v>6.0</v>
      </c>
      <c r="K40" s="90">
        <v>3.0</v>
      </c>
      <c r="L40" s="92">
        <v>15.0</v>
      </c>
      <c r="M40" s="90">
        <v>2.0</v>
      </c>
      <c r="N40" s="37">
        <f t="shared" ref="N40:O40" si="45">C40+L40</f>
        <v>15</v>
      </c>
      <c r="O40" s="37">
        <f t="shared" si="45"/>
        <v>2</v>
      </c>
      <c r="P40" s="50" t="s">
        <v>60</v>
      </c>
      <c r="Q40" s="50" t="s">
        <v>60</v>
      </c>
      <c r="R40" s="50" t="s">
        <v>60</v>
      </c>
      <c r="S40" s="51">
        <f t="shared" si="4"/>
        <v>1</v>
      </c>
      <c r="T40" s="52">
        <f t="shared" si="5"/>
        <v>0</v>
      </c>
      <c r="U40" s="52"/>
      <c r="V40" s="51">
        <f t="shared" si="6"/>
        <v>0</v>
      </c>
      <c r="W40" s="52">
        <f t="shared" si="7"/>
        <v>0</v>
      </c>
      <c r="X40" s="35">
        <f t="shared" si="12"/>
        <v>36</v>
      </c>
      <c r="Y40" s="35" t="str">
        <f t="shared" si="8"/>
        <v>Y</v>
      </c>
      <c r="Z40" s="22" t="str">
        <f t="shared" si="9"/>
        <v/>
      </c>
    </row>
    <row r="41">
      <c r="A41" s="35">
        <f t="shared" si="10"/>
        <v>37</v>
      </c>
      <c r="B41" s="36" t="s">
        <v>126</v>
      </c>
      <c r="C41" s="37"/>
      <c r="D41" s="37"/>
      <c r="E41" s="42">
        <f t="shared" si="2"/>
        <v>0</v>
      </c>
      <c r="F41" s="89">
        <v>1.0</v>
      </c>
      <c r="G41" s="90">
        <v>5.0</v>
      </c>
      <c r="H41" s="91">
        <v>0.0</v>
      </c>
      <c r="I41" s="90">
        <v>4.0</v>
      </c>
      <c r="J41" s="90">
        <v>4.0</v>
      </c>
      <c r="K41" s="90">
        <v>3.0</v>
      </c>
      <c r="L41" s="92">
        <v>11.0</v>
      </c>
      <c r="M41" s="90">
        <v>0.0</v>
      </c>
      <c r="N41" s="37">
        <f t="shared" ref="N41:O41" si="46">C41+L41</f>
        <v>11</v>
      </c>
      <c r="O41" s="37">
        <f t="shared" si="46"/>
        <v>0</v>
      </c>
      <c r="P41" s="50" t="s">
        <v>60</v>
      </c>
      <c r="Q41" s="50" t="s">
        <v>60</v>
      </c>
      <c r="R41" s="50" t="s">
        <v>60</v>
      </c>
      <c r="S41" s="51">
        <f t="shared" si="4"/>
        <v>1</v>
      </c>
      <c r="T41" s="52">
        <f t="shared" si="5"/>
        <v>0</v>
      </c>
      <c r="U41" s="52"/>
      <c r="V41" s="51">
        <f t="shared" si="6"/>
        <v>0</v>
      </c>
      <c r="W41" s="52">
        <f t="shared" si="7"/>
        <v>0</v>
      </c>
      <c r="X41" s="35">
        <f t="shared" si="12"/>
        <v>37</v>
      </c>
      <c r="Y41" s="35" t="str">
        <f t="shared" si="8"/>
        <v>Y</v>
      </c>
      <c r="Z41" s="22" t="str">
        <f t="shared" si="9"/>
        <v/>
      </c>
    </row>
    <row r="42">
      <c r="A42" s="35">
        <f t="shared" si="10"/>
        <v>38</v>
      </c>
      <c r="B42" s="36" t="s">
        <v>111</v>
      </c>
      <c r="C42" s="37"/>
      <c r="D42" s="37"/>
      <c r="E42" s="42">
        <f t="shared" si="2"/>
        <v>0</v>
      </c>
      <c r="F42" s="89">
        <v>1.0</v>
      </c>
      <c r="G42" s="90">
        <v>5.0</v>
      </c>
      <c r="H42" s="91">
        <v>0.0</v>
      </c>
      <c r="I42" s="90">
        <v>6.0</v>
      </c>
      <c r="J42" s="90">
        <v>4.0</v>
      </c>
      <c r="K42" s="90">
        <v>6.0</v>
      </c>
      <c r="L42" s="92">
        <v>16.0</v>
      </c>
      <c r="M42" s="90">
        <v>2.0</v>
      </c>
      <c r="N42" s="37">
        <f t="shared" ref="N42:O42" si="47">C42+L42</f>
        <v>16</v>
      </c>
      <c r="O42" s="37">
        <f t="shared" si="47"/>
        <v>2</v>
      </c>
      <c r="P42" s="50" t="s">
        <v>60</v>
      </c>
      <c r="Q42" s="50" t="s">
        <v>60</v>
      </c>
      <c r="R42" s="50" t="s">
        <v>60</v>
      </c>
      <c r="S42" s="51">
        <f t="shared" si="4"/>
        <v>1</v>
      </c>
      <c r="T42" s="52">
        <f t="shared" si="5"/>
        <v>0</v>
      </c>
      <c r="U42" s="52"/>
      <c r="V42" s="51">
        <f t="shared" si="6"/>
        <v>0</v>
      </c>
      <c r="W42" s="52">
        <f t="shared" si="7"/>
        <v>0</v>
      </c>
      <c r="X42" s="35">
        <f t="shared" si="12"/>
        <v>38</v>
      </c>
      <c r="Y42" s="35" t="str">
        <f t="shared" si="8"/>
        <v>Y</v>
      </c>
      <c r="Z42" s="22" t="str">
        <f t="shared" si="9"/>
        <v/>
      </c>
    </row>
    <row r="43">
      <c r="A43" s="35">
        <f t="shared" si="10"/>
        <v>39</v>
      </c>
      <c r="B43" s="36" t="s">
        <v>100</v>
      </c>
      <c r="C43" s="37"/>
      <c r="D43" s="37"/>
      <c r="E43" s="42">
        <f t="shared" si="2"/>
        <v>0</v>
      </c>
      <c r="F43" s="89">
        <v>3.0</v>
      </c>
      <c r="G43" s="90">
        <v>0.0</v>
      </c>
      <c r="H43" s="91">
        <v>9.0</v>
      </c>
      <c r="I43" s="90">
        <v>0.0</v>
      </c>
      <c r="J43" s="90">
        <v>0.0</v>
      </c>
      <c r="K43" s="90">
        <v>0.0</v>
      </c>
      <c r="L43" s="92">
        <v>9.0</v>
      </c>
      <c r="M43" s="90">
        <v>0.0</v>
      </c>
      <c r="N43" s="37">
        <f t="shared" ref="N43:O43" si="48">C43+L43</f>
        <v>9</v>
      </c>
      <c r="O43" s="37">
        <f t="shared" si="48"/>
        <v>0</v>
      </c>
      <c r="P43" s="50" t="s">
        <v>60</v>
      </c>
      <c r="Q43" s="50" t="s">
        <v>60</v>
      </c>
      <c r="R43" s="50" t="s">
        <v>60</v>
      </c>
      <c r="S43" s="51">
        <f t="shared" si="4"/>
        <v>0</v>
      </c>
      <c r="T43" s="52">
        <f t="shared" si="5"/>
        <v>0</v>
      </c>
      <c r="U43" s="52"/>
      <c r="V43" s="51">
        <f t="shared" si="6"/>
        <v>1</v>
      </c>
      <c r="W43" s="52">
        <f t="shared" si="7"/>
        <v>0</v>
      </c>
      <c r="X43" s="35">
        <f t="shared" si="12"/>
        <v>39</v>
      </c>
      <c r="Y43" s="35" t="str">
        <f t="shared" si="8"/>
        <v>N</v>
      </c>
      <c r="Z43" s="22" t="str">
        <f t="shared" si="9"/>
        <v/>
      </c>
    </row>
    <row r="44">
      <c r="A44" s="35">
        <f t="shared" si="10"/>
        <v>40</v>
      </c>
      <c r="B44" s="36" t="s">
        <v>53</v>
      </c>
      <c r="C44" s="37"/>
      <c r="D44" s="37"/>
      <c r="E44" s="42">
        <f t="shared" si="2"/>
        <v>0</v>
      </c>
      <c r="F44" s="89">
        <v>3.0</v>
      </c>
      <c r="G44" s="90">
        <v>0.0</v>
      </c>
      <c r="H44" s="91">
        <v>9.0</v>
      </c>
      <c r="I44" s="90">
        <v>0.0</v>
      </c>
      <c r="J44" s="90">
        <v>0.0</v>
      </c>
      <c r="K44" s="90">
        <v>0.0</v>
      </c>
      <c r="L44" s="92">
        <v>9.0</v>
      </c>
      <c r="M44" s="90">
        <v>0.0</v>
      </c>
      <c r="N44" s="37">
        <f t="shared" ref="N44:O44" si="49">C44+L44</f>
        <v>9</v>
      </c>
      <c r="O44" s="37">
        <f t="shared" si="49"/>
        <v>0</v>
      </c>
      <c r="P44" s="50" t="s">
        <v>60</v>
      </c>
      <c r="Q44" s="50" t="s">
        <v>60</v>
      </c>
      <c r="R44" s="50" t="s">
        <v>60</v>
      </c>
      <c r="S44" s="51">
        <f t="shared" si="4"/>
        <v>0</v>
      </c>
      <c r="T44" s="52">
        <f t="shared" si="5"/>
        <v>0</v>
      </c>
      <c r="U44" s="52"/>
      <c r="V44" s="51">
        <f t="shared" si="6"/>
        <v>1</v>
      </c>
      <c r="W44" s="52">
        <f t="shared" si="7"/>
        <v>0</v>
      </c>
      <c r="X44" s="35">
        <f t="shared" si="12"/>
        <v>40</v>
      </c>
      <c r="Y44" s="35" t="str">
        <f t="shared" si="8"/>
        <v>N</v>
      </c>
      <c r="Z44" s="22" t="str">
        <f t="shared" si="9"/>
        <v/>
      </c>
    </row>
    <row r="45">
      <c r="A45" s="35">
        <f t="shared" si="10"/>
        <v>41</v>
      </c>
      <c r="B45" s="36" t="s">
        <v>131</v>
      </c>
      <c r="C45" s="37"/>
      <c r="D45" s="37"/>
      <c r="E45" s="42">
        <f t="shared" si="2"/>
        <v>0</v>
      </c>
      <c r="F45" s="89">
        <v>1.0</v>
      </c>
      <c r="G45" s="90">
        <v>5.0</v>
      </c>
      <c r="H45" s="91">
        <v>0.0</v>
      </c>
      <c r="I45" s="90">
        <v>4.0</v>
      </c>
      <c r="J45" s="90">
        <v>6.0</v>
      </c>
      <c r="K45" s="90">
        <v>6.0</v>
      </c>
      <c r="L45" s="92">
        <v>16.0</v>
      </c>
      <c r="M45" s="90">
        <v>2.0</v>
      </c>
      <c r="N45" s="37">
        <f t="shared" ref="N45:O45" si="50">C45+L45</f>
        <v>16</v>
      </c>
      <c r="O45" s="37">
        <f t="shared" si="50"/>
        <v>2</v>
      </c>
      <c r="P45" s="50" t="s">
        <v>60</v>
      </c>
      <c r="Q45" s="50" t="s">
        <v>60</v>
      </c>
      <c r="R45" s="50" t="s">
        <v>60</v>
      </c>
      <c r="S45" s="51">
        <f t="shared" si="4"/>
        <v>1</v>
      </c>
      <c r="T45" s="52">
        <f t="shared" si="5"/>
        <v>0</v>
      </c>
      <c r="U45" s="52"/>
      <c r="V45" s="51">
        <f t="shared" si="6"/>
        <v>0</v>
      </c>
      <c r="W45" s="52">
        <f t="shared" si="7"/>
        <v>0</v>
      </c>
      <c r="X45" s="35">
        <f t="shared" si="12"/>
        <v>41</v>
      </c>
      <c r="Y45" s="35" t="str">
        <f t="shared" si="8"/>
        <v>Y</v>
      </c>
      <c r="Z45" s="22" t="str">
        <f t="shared" si="9"/>
        <v/>
      </c>
    </row>
    <row r="46">
      <c r="A46" s="35">
        <f t="shared" si="10"/>
        <v>42</v>
      </c>
      <c r="B46" s="36" t="s">
        <v>135</v>
      </c>
      <c r="C46" s="37"/>
      <c r="D46" s="37"/>
      <c r="E46" s="42">
        <f t="shared" si="2"/>
        <v>0</v>
      </c>
      <c r="F46" s="89">
        <v>1.0</v>
      </c>
      <c r="G46" s="90">
        <v>6.0</v>
      </c>
      <c r="H46" s="91">
        <v>0.0</v>
      </c>
      <c r="I46" s="90">
        <v>1.0</v>
      </c>
      <c r="J46" s="90">
        <v>3.0</v>
      </c>
      <c r="K46" s="90">
        <v>6.0</v>
      </c>
      <c r="L46" s="92">
        <v>10.0</v>
      </c>
      <c r="M46" s="90">
        <v>1.0</v>
      </c>
      <c r="N46" s="37">
        <f t="shared" ref="N46:O46" si="51">C46+L46</f>
        <v>10</v>
      </c>
      <c r="O46" s="37">
        <f t="shared" si="51"/>
        <v>1</v>
      </c>
      <c r="P46" s="50" t="s">
        <v>60</v>
      </c>
      <c r="Q46" s="50" t="s">
        <v>60</v>
      </c>
      <c r="R46" s="50" t="s">
        <v>60</v>
      </c>
      <c r="S46" s="51">
        <f t="shared" si="4"/>
        <v>1</v>
      </c>
      <c r="T46" s="52">
        <f t="shared" si="5"/>
        <v>0</v>
      </c>
      <c r="U46" s="52"/>
      <c r="V46" s="51">
        <f t="shared" si="6"/>
        <v>0</v>
      </c>
      <c r="W46" s="52">
        <f t="shared" si="7"/>
        <v>0</v>
      </c>
      <c r="X46" s="35">
        <f t="shared" si="12"/>
        <v>42</v>
      </c>
      <c r="Y46" s="35" t="str">
        <f t="shared" si="8"/>
        <v>Y</v>
      </c>
      <c r="Z46" s="22" t="str">
        <f t="shared" si="9"/>
        <v/>
      </c>
    </row>
    <row r="47">
      <c r="A47" s="35">
        <f t="shared" si="10"/>
        <v>43</v>
      </c>
      <c r="B47" s="36" t="s">
        <v>119</v>
      </c>
      <c r="C47" s="37"/>
      <c r="D47" s="37"/>
      <c r="E47" s="42">
        <f t="shared" si="2"/>
        <v>0</v>
      </c>
      <c r="F47" s="89">
        <v>3.0</v>
      </c>
      <c r="G47" s="90">
        <v>0.0</v>
      </c>
      <c r="H47" s="91">
        <v>9.0</v>
      </c>
      <c r="I47" s="90">
        <v>0.0</v>
      </c>
      <c r="J47" s="90">
        <v>0.0</v>
      </c>
      <c r="K47" s="90">
        <v>0.0</v>
      </c>
      <c r="L47" s="92">
        <v>9.0</v>
      </c>
      <c r="M47" s="90">
        <v>0.0</v>
      </c>
      <c r="N47" s="37">
        <f t="shared" ref="N47:O47" si="52">C47+L47</f>
        <v>9</v>
      </c>
      <c r="O47" s="37">
        <f t="shared" si="52"/>
        <v>0</v>
      </c>
      <c r="P47" s="50" t="s">
        <v>60</v>
      </c>
      <c r="Q47" s="50" t="s">
        <v>60</v>
      </c>
      <c r="R47" s="50" t="s">
        <v>60</v>
      </c>
      <c r="S47" s="51">
        <f t="shared" si="4"/>
        <v>0</v>
      </c>
      <c r="T47" s="52">
        <f t="shared" si="5"/>
        <v>0</v>
      </c>
      <c r="U47" s="52"/>
      <c r="V47" s="51">
        <f t="shared" si="6"/>
        <v>1</v>
      </c>
      <c r="W47" s="52">
        <f t="shared" si="7"/>
        <v>0</v>
      </c>
      <c r="X47" s="35">
        <f t="shared" si="12"/>
        <v>43</v>
      </c>
      <c r="Y47" s="35" t="str">
        <f t="shared" si="8"/>
        <v>N</v>
      </c>
      <c r="Z47" s="22" t="str">
        <f t="shared" si="9"/>
        <v/>
      </c>
    </row>
    <row r="48">
      <c r="A48" s="35">
        <f t="shared" si="10"/>
        <v>44</v>
      </c>
      <c r="B48" s="36" t="s">
        <v>116</v>
      </c>
      <c r="C48" s="37"/>
      <c r="D48" s="37"/>
      <c r="E48" s="42">
        <f t="shared" si="2"/>
        <v>0</v>
      </c>
      <c r="F48" s="89">
        <v>3.0</v>
      </c>
      <c r="G48" s="90">
        <v>0.0</v>
      </c>
      <c r="H48" s="91">
        <v>9.0</v>
      </c>
      <c r="I48" s="90">
        <v>0.0</v>
      </c>
      <c r="J48" s="90">
        <v>0.0</v>
      </c>
      <c r="K48" s="90">
        <v>0.0</v>
      </c>
      <c r="L48" s="92">
        <v>9.0</v>
      </c>
      <c r="M48" s="90">
        <v>0.0</v>
      </c>
      <c r="N48" s="37">
        <f t="shared" ref="N48:O48" si="53">C48+L48</f>
        <v>9</v>
      </c>
      <c r="O48" s="37">
        <f t="shared" si="53"/>
        <v>0</v>
      </c>
      <c r="P48" s="50" t="s">
        <v>60</v>
      </c>
      <c r="Q48" s="50" t="s">
        <v>60</v>
      </c>
      <c r="R48" s="50" t="s">
        <v>60</v>
      </c>
      <c r="S48" s="51">
        <f t="shared" si="4"/>
        <v>0</v>
      </c>
      <c r="T48" s="52">
        <f t="shared" si="5"/>
        <v>0</v>
      </c>
      <c r="U48" s="52"/>
      <c r="V48" s="51">
        <f t="shared" si="6"/>
        <v>1</v>
      </c>
      <c r="W48" s="52">
        <f t="shared" si="7"/>
        <v>0</v>
      </c>
      <c r="X48" s="35">
        <f t="shared" si="12"/>
        <v>44</v>
      </c>
      <c r="Y48" s="35" t="str">
        <f t="shared" si="8"/>
        <v>N</v>
      </c>
      <c r="Z48" s="22" t="str">
        <f t="shared" si="9"/>
        <v/>
      </c>
    </row>
    <row r="49">
      <c r="A49" s="35">
        <f t="shared" si="10"/>
        <v>45</v>
      </c>
      <c r="B49" s="36" t="s">
        <v>115</v>
      </c>
      <c r="C49" s="37"/>
      <c r="D49" s="37"/>
      <c r="E49" s="42">
        <f t="shared" si="2"/>
        <v>0</v>
      </c>
      <c r="F49" s="89">
        <v>2.0</v>
      </c>
      <c r="G49" s="90">
        <v>6.0</v>
      </c>
      <c r="H49" s="91">
        <v>0.0</v>
      </c>
      <c r="I49" s="90">
        <v>6.0</v>
      </c>
      <c r="J49" s="90">
        <v>6.0</v>
      </c>
      <c r="K49" s="90">
        <v>6.0</v>
      </c>
      <c r="L49" s="92">
        <v>18.0</v>
      </c>
      <c r="M49" s="90">
        <v>3.0</v>
      </c>
      <c r="N49" s="37">
        <f t="shared" ref="N49:O49" si="54">C49+L49</f>
        <v>18</v>
      </c>
      <c r="O49" s="37">
        <f t="shared" si="54"/>
        <v>3</v>
      </c>
      <c r="P49" s="50" t="s">
        <v>60</v>
      </c>
      <c r="Q49" s="50" t="s">
        <v>60</v>
      </c>
      <c r="R49" s="50" t="s">
        <v>60</v>
      </c>
      <c r="S49" s="51">
        <f t="shared" si="4"/>
        <v>1</v>
      </c>
      <c r="T49" s="52">
        <f t="shared" si="5"/>
        <v>0</v>
      </c>
      <c r="U49" s="52"/>
      <c r="V49" s="51">
        <f t="shared" si="6"/>
        <v>0</v>
      </c>
      <c r="W49" s="52">
        <f t="shared" si="7"/>
        <v>0</v>
      </c>
      <c r="X49" s="35">
        <f t="shared" si="12"/>
        <v>45</v>
      </c>
      <c r="Y49" s="35" t="str">
        <f t="shared" si="8"/>
        <v>Y</v>
      </c>
      <c r="Z49" s="22" t="str">
        <f t="shared" si="9"/>
        <v/>
      </c>
    </row>
    <row r="50">
      <c r="A50" s="35">
        <f t="shared" si="10"/>
        <v>46</v>
      </c>
      <c r="B50" s="36" t="s">
        <v>145</v>
      </c>
      <c r="C50" s="37"/>
      <c r="D50" s="37"/>
      <c r="E50" s="42">
        <f t="shared" si="2"/>
        <v>0</v>
      </c>
      <c r="F50" s="89">
        <v>4.0</v>
      </c>
      <c r="G50" s="90">
        <v>0.0</v>
      </c>
      <c r="H50" s="91">
        <v>9.0</v>
      </c>
      <c r="I50" s="90">
        <v>0.0</v>
      </c>
      <c r="J50" s="90">
        <v>0.0</v>
      </c>
      <c r="K50" s="90">
        <v>0.0</v>
      </c>
      <c r="L50" s="92">
        <v>9.0</v>
      </c>
      <c r="M50" s="90">
        <v>0.0</v>
      </c>
      <c r="N50" s="37">
        <f t="shared" ref="N50:O50" si="55">C50+L50</f>
        <v>9</v>
      </c>
      <c r="O50" s="37">
        <f t="shared" si="55"/>
        <v>0</v>
      </c>
      <c r="P50" s="50" t="s">
        <v>60</v>
      </c>
      <c r="Q50" s="50" t="s">
        <v>60</v>
      </c>
      <c r="R50" s="50" t="s">
        <v>60</v>
      </c>
      <c r="S50" s="51">
        <f t="shared" si="4"/>
        <v>0</v>
      </c>
      <c r="T50" s="52">
        <f t="shared" si="5"/>
        <v>0</v>
      </c>
      <c r="U50" s="52"/>
      <c r="V50" s="51">
        <f t="shared" si="6"/>
        <v>1</v>
      </c>
      <c r="W50" s="52">
        <f t="shared" si="7"/>
        <v>0</v>
      </c>
      <c r="X50" s="35">
        <f t="shared" si="12"/>
        <v>46</v>
      </c>
      <c r="Y50" s="35" t="str">
        <f t="shared" si="8"/>
        <v>N</v>
      </c>
      <c r="Z50" s="22" t="str">
        <f t="shared" si="9"/>
        <v/>
      </c>
    </row>
    <row r="51">
      <c r="A51" s="35">
        <f t="shared" si="10"/>
        <v>47</v>
      </c>
      <c r="B51" s="36" t="s">
        <v>142</v>
      </c>
      <c r="C51" s="37"/>
      <c r="D51" s="37"/>
      <c r="E51" s="42">
        <f t="shared" si="2"/>
        <v>0</v>
      </c>
      <c r="F51" s="89">
        <v>3.0</v>
      </c>
      <c r="G51" s="90">
        <v>0.0</v>
      </c>
      <c r="H51" s="91">
        <v>9.0</v>
      </c>
      <c r="I51" s="90">
        <v>0.0</v>
      </c>
      <c r="J51" s="90">
        <v>0.0</v>
      </c>
      <c r="K51" s="90">
        <v>0.0</v>
      </c>
      <c r="L51" s="92">
        <v>9.0</v>
      </c>
      <c r="M51" s="90">
        <v>0.0</v>
      </c>
      <c r="N51" s="37">
        <f t="shared" ref="N51:O51" si="56">C51+L51</f>
        <v>9</v>
      </c>
      <c r="O51" s="37">
        <f t="shared" si="56"/>
        <v>0</v>
      </c>
      <c r="P51" s="50" t="s">
        <v>60</v>
      </c>
      <c r="Q51" s="50" t="s">
        <v>60</v>
      </c>
      <c r="R51" s="50" t="s">
        <v>60</v>
      </c>
      <c r="S51" s="51">
        <f t="shared" si="4"/>
        <v>0</v>
      </c>
      <c r="T51" s="52">
        <f t="shared" si="5"/>
        <v>0</v>
      </c>
      <c r="U51" s="52"/>
      <c r="V51" s="51">
        <f t="shared" si="6"/>
        <v>1</v>
      </c>
      <c r="W51" s="52">
        <f t="shared" si="7"/>
        <v>0</v>
      </c>
      <c r="X51" s="35">
        <f t="shared" si="12"/>
        <v>47</v>
      </c>
      <c r="Y51" s="35" t="str">
        <f t="shared" si="8"/>
        <v>N</v>
      </c>
      <c r="Z51" s="22" t="str">
        <f t="shared" si="9"/>
        <v/>
      </c>
    </row>
    <row r="52">
      <c r="A52" s="35">
        <f t="shared" si="10"/>
        <v>48</v>
      </c>
      <c r="B52" s="36" t="s">
        <v>88</v>
      </c>
      <c r="C52" s="37"/>
      <c r="D52" s="37"/>
      <c r="E52" s="42">
        <f t="shared" si="2"/>
        <v>0</v>
      </c>
      <c r="F52" s="89">
        <v>1.0</v>
      </c>
      <c r="G52" s="90">
        <v>6.0</v>
      </c>
      <c r="H52" s="91">
        <v>0.0</v>
      </c>
      <c r="I52" s="90">
        <v>6.0</v>
      </c>
      <c r="J52" s="90">
        <v>3.0</v>
      </c>
      <c r="K52" s="90">
        <v>3.0</v>
      </c>
      <c r="L52" s="92">
        <v>12.0</v>
      </c>
      <c r="M52" s="90">
        <v>1.0</v>
      </c>
      <c r="N52" s="37">
        <f t="shared" ref="N52:O52" si="57">C52+L52</f>
        <v>12</v>
      </c>
      <c r="O52" s="37">
        <f t="shared" si="57"/>
        <v>1</v>
      </c>
      <c r="P52" s="50" t="s">
        <v>60</v>
      </c>
      <c r="Q52" s="50" t="s">
        <v>60</v>
      </c>
      <c r="R52" s="50" t="s">
        <v>60</v>
      </c>
      <c r="S52" s="51">
        <f t="shared" si="4"/>
        <v>1</v>
      </c>
      <c r="T52" s="52">
        <f t="shared" si="5"/>
        <v>0</v>
      </c>
      <c r="U52" s="52"/>
      <c r="V52" s="51">
        <f t="shared" si="6"/>
        <v>0</v>
      </c>
      <c r="W52" s="52">
        <f t="shared" si="7"/>
        <v>0</v>
      </c>
      <c r="X52" s="35">
        <f t="shared" si="12"/>
        <v>48</v>
      </c>
      <c r="Y52" s="35" t="str">
        <f t="shared" si="8"/>
        <v>Y</v>
      </c>
      <c r="Z52" s="22" t="str">
        <f t="shared" si="9"/>
        <v/>
      </c>
    </row>
    <row r="53">
      <c r="A53" s="35">
        <f t="shared" si="10"/>
        <v>49</v>
      </c>
      <c r="B53" s="36" t="s">
        <v>104</v>
      </c>
      <c r="C53" s="37"/>
      <c r="D53" s="37"/>
      <c r="E53" s="42">
        <f t="shared" si="2"/>
        <v>0</v>
      </c>
      <c r="F53" s="89">
        <v>5.0</v>
      </c>
      <c r="G53" s="90">
        <v>0.0</v>
      </c>
      <c r="H53" s="91">
        <v>13.0</v>
      </c>
      <c r="I53" s="90">
        <v>0.0</v>
      </c>
      <c r="J53" s="90">
        <v>0.0</v>
      </c>
      <c r="K53" s="90">
        <v>0.0</v>
      </c>
      <c r="L53" s="92">
        <v>13.0</v>
      </c>
      <c r="M53" s="90">
        <v>0.0</v>
      </c>
      <c r="N53" s="37">
        <f t="shared" ref="N53:O53" si="58">C53+L53</f>
        <v>13</v>
      </c>
      <c r="O53" s="37">
        <f t="shared" si="58"/>
        <v>0</v>
      </c>
      <c r="P53" s="50" t="s">
        <v>60</v>
      </c>
      <c r="Q53" s="50" t="s">
        <v>60</v>
      </c>
      <c r="R53" s="50" t="s">
        <v>60</v>
      </c>
      <c r="S53" s="51">
        <f t="shared" si="4"/>
        <v>0</v>
      </c>
      <c r="T53" s="52">
        <f t="shared" si="5"/>
        <v>1</v>
      </c>
      <c r="U53" s="52"/>
      <c r="V53" s="51">
        <f t="shared" si="6"/>
        <v>0</v>
      </c>
      <c r="W53" s="52">
        <f t="shared" si="7"/>
        <v>0</v>
      </c>
      <c r="X53" s="35">
        <f t="shared" si="12"/>
        <v>49</v>
      </c>
      <c r="Y53" s="35" t="str">
        <f t="shared" si="8"/>
        <v>N</v>
      </c>
      <c r="Z53" s="22" t="str">
        <f t="shared" si="9"/>
        <v/>
      </c>
    </row>
    <row r="54">
      <c r="A54" s="35">
        <f t="shared" si="10"/>
        <v>50</v>
      </c>
      <c r="B54" s="36" t="s">
        <v>91</v>
      </c>
      <c r="C54" s="37"/>
      <c r="D54" s="37"/>
      <c r="E54" s="42">
        <f t="shared" si="2"/>
        <v>0</v>
      </c>
      <c r="F54" s="89">
        <v>3.0</v>
      </c>
      <c r="G54" s="90">
        <v>0.0</v>
      </c>
      <c r="H54" s="91">
        <v>9.0</v>
      </c>
      <c r="I54" s="90">
        <v>0.0</v>
      </c>
      <c r="J54" s="90">
        <v>0.0</v>
      </c>
      <c r="K54" s="90">
        <v>0.0</v>
      </c>
      <c r="L54" s="92">
        <v>9.0</v>
      </c>
      <c r="M54" s="90">
        <v>0.0</v>
      </c>
      <c r="N54" s="37">
        <f t="shared" ref="N54:O54" si="59">C54+L54</f>
        <v>9</v>
      </c>
      <c r="O54" s="37">
        <f t="shared" si="59"/>
        <v>0</v>
      </c>
      <c r="P54" s="50" t="s">
        <v>60</v>
      </c>
      <c r="Q54" s="50" t="s">
        <v>60</v>
      </c>
      <c r="R54" s="50" t="s">
        <v>60</v>
      </c>
      <c r="S54" s="51">
        <f t="shared" si="4"/>
        <v>0</v>
      </c>
      <c r="T54" s="52">
        <f t="shared" si="5"/>
        <v>0</v>
      </c>
      <c r="U54" s="52"/>
      <c r="V54" s="51">
        <f t="shared" si="6"/>
        <v>1</v>
      </c>
      <c r="W54" s="52">
        <f t="shared" si="7"/>
        <v>0</v>
      </c>
      <c r="X54" s="35">
        <f t="shared" si="12"/>
        <v>50</v>
      </c>
      <c r="Y54" s="35" t="str">
        <f t="shared" si="8"/>
        <v>N</v>
      </c>
      <c r="Z54" s="22" t="str">
        <f t="shared" si="9"/>
        <v/>
      </c>
    </row>
    <row r="55">
      <c r="A55" s="35">
        <f t="shared" si="10"/>
        <v>51</v>
      </c>
      <c r="B55" s="36" t="s">
        <v>127</v>
      </c>
      <c r="C55" s="37"/>
      <c r="D55" s="37"/>
      <c r="E55" s="42">
        <f t="shared" si="2"/>
        <v>0</v>
      </c>
      <c r="F55" s="89">
        <v>1.0</v>
      </c>
      <c r="G55" s="90">
        <v>6.0</v>
      </c>
      <c r="H55" s="91">
        <v>0.0</v>
      </c>
      <c r="I55" s="90">
        <v>1.0</v>
      </c>
      <c r="J55" s="90">
        <v>6.0</v>
      </c>
      <c r="K55" s="90">
        <v>3.0</v>
      </c>
      <c r="L55" s="92">
        <v>10.0</v>
      </c>
      <c r="M55" s="90">
        <v>1.0</v>
      </c>
      <c r="N55" s="37">
        <f t="shared" ref="N55:O55" si="60">C55+L55</f>
        <v>10</v>
      </c>
      <c r="O55" s="37">
        <f t="shared" si="60"/>
        <v>1</v>
      </c>
      <c r="P55" s="50" t="s">
        <v>60</v>
      </c>
      <c r="Q55" s="50" t="s">
        <v>60</v>
      </c>
      <c r="R55" s="50" t="s">
        <v>60</v>
      </c>
      <c r="S55" s="51">
        <f t="shared" si="4"/>
        <v>1</v>
      </c>
      <c r="T55" s="52">
        <f t="shared" si="5"/>
        <v>0</v>
      </c>
      <c r="U55" s="52"/>
      <c r="V55" s="51">
        <f t="shared" si="6"/>
        <v>0</v>
      </c>
      <c r="W55" s="52">
        <f t="shared" si="7"/>
        <v>0</v>
      </c>
      <c r="X55" s="35">
        <f t="shared" si="12"/>
        <v>51</v>
      </c>
      <c r="Y55" s="35" t="str">
        <f t="shared" si="8"/>
        <v>Y</v>
      </c>
      <c r="Z55" s="22" t="str">
        <f t="shared" si="9"/>
        <v/>
      </c>
    </row>
    <row r="56">
      <c r="A56" s="35">
        <f t="shared" si="10"/>
        <v>52</v>
      </c>
      <c r="B56" s="36" t="s">
        <v>89</v>
      </c>
      <c r="C56" s="37"/>
      <c r="D56" s="37"/>
      <c r="E56" s="42">
        <f t="shared" si="2"/>
        <v>0</v>
      </c>
      <c r="F56" s="89">
        <v>1.0</v>
      </c>
      <c r="G56" s="90">
        <v>7.0</v>
      </c>
      <c r="H56" s="91">
        <v>0.0</v>
      </c>
      <c r="I56" s="90">
        <v>6.0</v>
      </c>
      <c r="J56" s="90">
        <v>6.0</v>
      </c>
      <c r="K56" s="90">
        <v>3.0</v>
      </c>
      <c r="L56" s="92">
        <v>15.0</v>
      </c>
      <c r="M56" s="90">
        <v>2.0</v>
      </c>
      <c r="N56" s="37">
        <f t="shared" ref="N56:O56" si="61">C56+L56</f>
        <v>15</v>
      </c>
      <c r="O56" s="37">
        <f t="shared" si="61"/>
        <v>2</v>
      </c>
      <c r="P56" s="50" t="s">
        <v>60</v>
      </c>
      <c r="Q56" s="50" t="s">
        <v>60</v>
      </c>
      <c r="R56" s="50" t="s">
        <v>60</v>
      </c>
      <c r="S56" s="51">
        <f t="shared" si="4"/>
        <v>1</v>
      </c>
      <c r="T56" s="52">
        <f t="shared" si="5"/>
        <v>0</v>
      </c>
      <c r="U56" s="52"/>
      <c r="V56" s="51">
        <f t="shared" si="6"/>
        <v>0</v>
      </c>
      <c r="W56" s="52">
        <f t="shared" si="7"/>
        <v>0</v>
      </c>
      <c r="X56" s="35">
        <f t="shared" si="12"/>
        <v>52</v>
      </c>
      <c r="Y56" s="35" t="str">
        <f t="shared" si="8"/>
        <v>Y</v>
      </c>
      <c r="Z56" s="22" t="str">
        <f t="shared" si="9"/>
        <v/>
      </c>
    </row>
    <row r="57">
      <c r="A57" s="35">
        <f t="shared" si="10"/>
        <v>53</v>
      </c>
      <c r="B57" s="36" t="s">
        <v>120</v>
      </c>
      <c r="C57" s="37"/>
      <c r="D57" s="37"/>
      <c r="E57" s="42">
        <f t="shared" si="2"/>
        <v>0</v>
      </c>
      <c r="F57" s="89">
        <v>3.0</v>
      </c>
      <c r="G57" s="90">
        <v>0.0</v>
      </c>
      <c r="H57" s="91">
        <v>9.0</v>
      </c>
      <c r="I57" s="90">
        <v>0.0</v>
      </c>
      <c r="J57" s="90">
        <v>0.0</v>
      </c>
      <c r="K57" s="90">
        <v>0.0</v>
      </c>
      <c r="L57" s="92">
        <v>9.0</v>
      </c>
      <c r="M57" s="90">
        <v>0.0</v>
      </c>
      <c r="N57" s="37">
        <f t="shared" ref="N57:O57" si="62">C57+L57</f>
        <v>9</v>
      </c>
      <c r="O57" s="37">
        <f t="shared" si="62"/>
        <v>0</v>
      </c>
      <c r="P57" s="50" t="s">
        <v>60</v>
      </c>
      <c r="Q57" s="50" t="s">
        <v>60</v>
      </c>
      <c r="R57" s="50" t="s">
        <v>60</v>
      </c>
      <c r="S57" s="51">
        <f t="shared" si="4"/>
        <v>0</v>
      </c>
      <c r="T57" s="52">
        <f t="shared" si="5"/>
        <v>0</v>
      </c>
      <c r="U57" s="52"/>
      <c r="V57" s="51">
        <f t="shared" si="6"/>
        <v>1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22" t="str">
        <f t="shared" si="9"/>
        <v/>
      </c>
    </row>
    <row r="58">
      <c r="A58" s="35">
        <f t="shared" si="10"/>
        <v>54</v>
      </c>
      <c r="B58" s="36" t="s">
        <v>113</v>
      </c>
      <c r="C58" s="37"/>
      <c r="D58" s="37"/>
      <c r="E58" s="42">
        <f t="shared" si="2"/>
        <v>0</v>
      </c>
      <c r="F58" s="89">
        <v>3.0</v>
      </c>
      <c r="G58" s="90">
        <v>0.0</v>
      </c>
      <c r="H58" s="91">
        <v>9.0</v>
      </c>
      <c r="I58" s="90">
        <v>0.0</v>
      </c>
      <c r="J58" s="90">
        <v>0.0</v>
      </c>
      <c r="K58" s="90">
        <v>0.0</v>
      </c>
      <c r="L58" s="92">
        <v>9.0</v>
      </c>
      <c r="M58" s="90">
        <v>0.0</v>
      </c>
      <c r="N58" s="37">
        <f t="shared" ref="N58:O58" si="63">C58+L58</f>
        <v>9</v>
      </c>
      <c r="O58" s="37">
        <f t="shared" si="63"/>
        <v>0</v>
      </c>
      <c r="P58" s="50" t="s">
        <v>60</v>
      </c>
      <c r="Q58" s="50" t="s">
        <v>60</v>
      </c>
      <c r="R58" s="50" t="s">
        <v>60</v>
      </c>
      <c r="S58" s="51">
        <f t="shared" si="4"/>
        <v>0</v>
      </c>
      <c r="T58" s="52">
        <f t="shared" si="5"/>
        <v>0</v>
      </c>
      <c r="U58" s="52"/>
      <c r="V58" s="51">
        <f t="shared" si="6"/>
        <v>1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22" t="str">
        <f t="shared" si="9"/>
        <v/>
      </c>
    </row>
    <row r="59">
      <c r="A59" s="35">
        <f t="shared" si="10"/>
        <v>55</v>
      </c>
      <c r="B59" s="36" t="s">
        <v>107</v>
      </c>
      <c r="C59" s="37"/>
      <c r="D59" s="37"/>
      <c r="E59" s="42">
        <f t="shared" si="2"/>
        <v>0</v>
      </c>
      <c r="F59" s="89">
        <v>5.0</v>
      </c>
      <c r="G59" s="90">
        <v>0.0</v>
      </c>
      <c r="H59" s="91">
        <v>13.0</v>
      </c>
      <c r="I59" s="90">
        <v>0.0</v>
      </c>
      <c r="J59" s="90">
        <v>0.0</v>
      </c>
      <c r="K59" s="90">
        <v>0.0</v>
      </c>
      <c r="L59" s="92">
        <v>13.0</v>
      </c>
      <c r="M59" s="90">
        <v>0.0</v>
      </c>
      <c r="N59" s="37">
        <f t="shared" ref="N59:O59" si="64">C59+L59</f>
        <v>13</v>
      </c>
      <c r="O59" s="37">
        <f t="shared" si="64"/>
        <v>0</v>
      </c>
      <c r="P59" s="50" t="s">
        <v>60</v>
      </c>
      <c r="Q59" s="50" t="s">
        <v>60</v>
      </c>
      <c r="R59" s="50" t="s">
        <v>60</v>
      </c>
      <c r="S59" s="51">
        <f t="shared" si="4"/>
        <v>0</v>
      </c>
      <c r="T59" s="52">
        <f t="shared" si="5"/>
        <v>1</v>
      </c>
      <c r="U59" s="52"/>
      <c r="V59" s="51">
        <f t="shared" si="6"/>
        <v>0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22" t="str">
        <f t="shared" si="9"/>
        <v/>
      </c>
    </row>
    <row r="60">
      <c r="A60" s="35">
        <f t="shared" si="10"/>
        <v>56</v>
      </c>
      <c r="B60" s="36" t="s">
        <v>93</v>
      </c>
      <c r="C60" s="37"/>
      <c r="D60" s="37"/>
      <c r="E60" s="42">
        <f t="shared" si="2"/>
        <v>0</v>
      </c>
      <c r="F60" s="89">
        <v>3.0</v>
      </c>
      <c r="G60" s="90">
        <v>0.0</v>
      </c>
      <c r="H60" s="91">
        <v>9.0</v>
      </c>
      <c r="I60" s="90">
        <v>0.0</v>
      </c>
      <c r="J60" s="90">
        <v>0.0</v>
      </c>
      <c r="K60" s="90">
        <v>0.0</v>
      </c>
      <c r="L60" s="92">
        <v>9.0</v>
      </c>
      <c r="M60" s="90">
        <v>0.0</v>
      </c>
      <c r="N60" s="37">
        <f t="shared" ref="N60:O60" si="65">C60+L60</f>
        <v>9</v>
      </c>
      <c r="O60" s="37">
        <f t="shared" si="65"/>
        <v>0</v>
      </c>
      <c r="P60" s="50" t="s">
        <v>60</v>
      </c>
      <c r="Q60" s="50" t="s">
        <v>60</v>
      </c>
      <c r="R60" s="50" t="s">
        <v>60</v>
      </c>
      <c r="S60" s="51">
        <f t="shared" si="4"/>
        <v>0</v>
      </c>
      <c r="T60" s="52">
        <f t="shared" si="5"/>
        <v>0</v>
      </c>
      <c r="U60" s="52"/>
      <c r="V60" s="51">
        <f t="shared" si="6"/>
        <v>1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22" t="str">
        <f t="shared" si="9"/>
        <v/>
      </c>
    </row>
    <row r="61">
      <c r="A61" s="35">
        <f t="shared" si="10"/>
        <v>57</v>
      </c>
      <c r="B61" s="36" t="s">
        <v>94</v>
      </c>
      <c r="C61" s="37"/>
      <c r="D61" s="37"/>
      <c r="E61" s="42">
        <f t="shared" si="2"/>
        <v>0</v>
      </c>
      <c r="F61" s="89">
        <v>1.0</v>
      </c>
      <c r="G61" s="90">
        <v>7.0</v>
      </c>
      <c r="H61" s="91">
        <v>0.0</v>
      </c>
      <c r="I61" s="90">
        <v>2.0</v>
      </c>
      <c r="J61" s="90">
        <v>4.0</v>
      </c>
      <c r="K61" s="90">
        <v>3.0</v>
      </c>
      <c r="L61" s="92">
        <v>9.0</v>
      </c>
      <c r="M61" s="90">
        <v>0.0</v>
      </c>
      <c r="N61" s="37">
        <f t="shared" ref="N61:O61" si="66">C61+L61</f>
        <v>9</v>
      </c>
      <c r="O61" s="37">
        <f t="shared" si="66"/>
        <v>0</v>
      </c>
      <c r="P61" s="50" t="s">
        <v>60</v>
      </c>
      <c r="Q61" s="50" t="s">
        <v>60</v>
      </c>
      <c r="R61" s="50" t="s">
        <v>60</v>
      </c>
      <c r="S61" s="51">
        <f t="shared" si="4"/>
        <v>1</v>
      </c>
      <c r="T61" s="52">
        <f t="shared" si="5"/>
        <v>0</v>
      </c>
      <c r="U61" s="52"/>
      <c r="V61" s="51">
        <f t="shared" si="6"/>
        <v>0</v>
      </c>
      <c r="W61" s="52">
        <f t="shared" si="7"/>
        <v>0</v>
      </c>
      <c r="X61" s="35">
        <f t="shared" si="12"/>
        <v>57</v>
      </c>
      <c r="Y61" s="35" t="str">
        <f t="shared" si="8"/>
        <v>Y</v>
      </c>
      <c r="Z61" s="22" t="str">
        <f t="shared" si="9"/>
        <v/>
      </c>
    </row>
    <row r="62">
      <c r="A62" s="35">
        <f t="shared" si="10"/>
        <v>58</v>
      </c>
      <c r="B62" s="36" t="s">
        <v>97</v>
      </c>
      <c r="C62" s="37"/>
      <c r="D62" s="37"/>
      <c r="E62" s="42">
        <f t="shared" si="2"/>
        <v>0</v>
      </c>
      <c r="F62" s="89">
        <v>1.0</v>
      </c>
      <c r="G62" s="90">
        <v>7.0</v>
      </c>
      <c r="H62" s="91">
        <v>0.0</v>
      </c>
      <c r="I62" s="90">
        <v>2.0</v>
      </c>
      <c r="J62" s="90">
        <v>6.0</v>
      </c>
      <c r="K62" s="90">
        <v>6.0</v>
      </c>
      <c r="L62" s="92">
        <v>14.0</v>
      </c>
      <c r="M62" s="90">
        <v>2.0</v>
      </c>
      <c r="N62" s="37">
        <f t="shared" ref="N62:O62" si="67">C62+L62</f>
        <v>14</v>
      </c>
      <c r="O62" s="37">
        <f t="shared" si="67"/>
        <v>2</v>
      </c>
      <c r="P62" s="50" t="s">
        <v>60</v>
      </c>
      <c r="Q62" s="50" t="s">
        <v>60</v>
      </c>
      <c r="R62" s="50" t="s">
        <v>60</v>
      </c>
      <c r="S62" s="51">
        <f t="shared" si="4"/>
        <v>1</v>
      </c>
      <c r="T62" s="52">
        <f t="shared" si="5"/>
        <v>0</v>
      </c>
      <c r="U62" s="52"/>
      <c r="V62" s="51">
        <f t="shared" si="6"/>
        <v>0</v>
      </c>
      <c r="W62" s="52">
        <f t="shared" si="7"/>
        <v>0</v>
      </c>
      <c r="X62" s="35">
        <f t="shared" si="12"/>
        <v>58</v>
      </c>
      <c r="Y62" s="35" t="str">
        <f t="shared" si="8"/>
        <v>Y</v>
      </c>
      <c r="Z62" s="22" t="str">
        <f t="shared" si="9"/>
        <v/>
      </c>
    </row>
    <row r="63">
      <c r="A63" s="35">
        <f t="shared" si="10"/>
        <v>59</v>
      </c>
      <c r="B63" s="36" t="s">
        <v>81</v>
      </c>
      <c r="C63" s="37"/>
      <c r="D63" s="37"/>
      <c r="E63" s="42">
        <f t="shared" si="2"/>
        <v>0</v>
      </c>
      <c r="F63" s="89">
        <v>1.0</v>
      </c>
      <c r="G63" s="90">
        <v>7.0</v>
      </c>
      <c r="H63" s="91">
        <v>0.0</v>
      </c>
      <c r="I63" s="90">
        <v>6.0</v>
      </c>
      <c r="J63" s="90">
        <v>4.0</v>
      </c>
      <c r="K63" s="90">
        <v>6.0</v>
      </c>
      <c r="L63" s="92">
        <v>16.0</v>
      </c>
      <c r="M63" s="90">
        <v>2.0</v>
      </c>
      <c r="N63" s="37">
        <f t="shared" ref="N63:O63" si="68">C63+L63</f>
        <v>16</v>
      </c>
      <c r="O63" s="37">
        <f t="shared" si="68"/>
        <v>2</v>
      </c>
      <c r="P63" s="50" t="s">
        <v>60</v>
      </c>
      <c r="Q63" s="50" t="s">
        <v>60</v>
      </c>
      <c r="R63" s="50" t="s">
        <v>60</v>
      </c>
      <c r="S63" s="51">
        <f t="shared" si="4"/>
        <v>1</v>
      </c>
      <c r="T63" s="52">
        <f t="shared" si="5"/>
        <v>0</v>
      </c>
      <c r="U63" s="52"/>
      <c r="V63" s="51">
        <f t="shared" si="6"/>
        <v>0</v>
      </c>
      <c r="W63" s="52">
        <f t="shared" si="7"/>
        <v>0</v>
      </c>
      <c r="X63" s="35">
        <f t="shared" si="12"/>
        <v>59</v>
      </c>
      <c r="Y63" s="35" t="str">
        <f t="shared" si="8"/>
        <v>Y</v>
      </c>
      <c r="Z63" s="22" t="str">
        <f t="shared" si="9"/>
        <v/>
      </c>
    </row>
    <row r="64">
      <c r="A64" s="35">
        <f t="shared" si="10"/>
        <v>60</v>
      </c>
      <c r="B64" s="36" t="s">
        <v>139</v>
      </c>
      <c r="C64" s="37"/>
      <c r="D64" s="37"/>
      <c r="E64" s="42">
        <f t="shared" si="2"/>
        <v>0</v>
      </c>
      <c r="F64" s="89">
        <v>3.0</v>
      </c>
      <c r="G64" s="90">
        <v>0.0</v>
      </c>
      <c r="H64" s="91">
        <v>9.0</v>
      </c>
      <c r="I64" s="90">
        <v>0.0</v>
      </c>
      <c r="J64" s="90">
        <v>0.0</v>
      </c>
      <c r="K64" s="90">
        <v>0.0</v>
      </c>
      <c r="L64" s="92">
        <v>9.0</v>
      </c>
      <c r="M64" s="90">
        <v>0.0</v>
      </c>
      <c r="N64" s="37">
        <f t="shared" ref="N64:O64" si="69">C64+L64</f>
        <v>9</v>
      </c>
      <c r="O64" s="37">
        <f t="shared" si="69"/>
        <v>0</v>
      </c>
      <c r="P64" s="50" t="s">
        <v>60</v>
      </c>
      <c r="Q64" s="50" t="s">
        <v>60</v>
      </c>
      <c r="R64" s="50" t="s">
        <v>60</v>
      </c>
      <c r="S64" s="51">
        <f t="shared" si="4"/>
        <v>0</v>
      </c>
      <c r="T64" s="52">
        <f t="shared" si="5"/>
        <v>0</v>
      </c>
      <c r="U64" s="52"/>
      <c r="V64" s="51">
        <f t="shared" si="6"/>
        <v>1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22" t="str">
        <f t="shared" si="9"/>
        <v/>
      </c>
    </row>
    <row r="65">
      <c r="A65" s="35">
        <f t="shared" si="10"/>
        <v>61</v>
      </c>
      <c r="B65" s="36" t="s">
        <v>96</v>
      </c>
      <c r="C65" s="37"/>
      <c r="D65" s="37"/>
      <c r="E65" s="42">
        <f t="shared" si="2"/>
        <v>0</v>
      </c>
      <c r="F65" s="89">
        <v>1.0</v>
      </c>
      <c r="G65" s="90">
        <v>8.0</v>
      </c>
      <c r="H65" s="91">
        <v>0.0</v>
      </c>
      <c r="I65" s="90">
        <v>3.0</v>
      </c>
      <c r="J65" s="90">
        <v>1.0</v>
      </c>
      <c r="K65" s="90">
        <v>1.0</v>
      </c>
      <c r="L65" s="92">
        <v>5.0</v>
      </c>
      <c r="M65" s="90">
        <v>0.0</v>
      </c>
      <c r="N65" s="37">
        <f t="shared" ref="N65:O65" si="70">C65+L65</f>
        <v>5</v>
      </c>
      <c r="O65" s="37">
        <f t="shared" si="70"/>
        <v>0</v>
      </c>
      <c r="P65" s="50" t="s">
        <v>60</v>
      </c>
      <c r="Q65" s="50" t="s">
        <v>60</v>
      </c>
      <c r="R65" s="50" t="s">
        <v>60</v>
      </c>
      <c r="S65" s="51">
        <f t="shared" si="4"/>
        <v>1</v>
      </c>
      <c r="T65" s="52">
        <f t="shared" si="5"/>
        <v>0</v>
      </c>
      <c r="U65" s="52"/>
      <c r="V65" s="51">
        <f t="shared" si="6"/>
        <v>0</v>
      </c>
      <c r="W65" s="52">
        <f t="shared" si="7"/>
        <v>0</v>
      </c>
      <c r="X65" s="35">
        <f t="shared" si="12"/>
        <v>61</v>
      </c>
      <c r="Y65" s="35" t="str">
        <f t="shared" si="8"/>
        <v>Y</v>
      </c>
      <c r="Z65" s="22" t="str">
        <f t="shared" si="9"/>
        <v/>
      </c>
    </row>
    <row r="66">
      <c r="A66" s="35">
        <f t="shared" si="10"/>
        <v>62</v>
      </c>
      <c r="B66" s="36" t="s">
        <v>138</v>
      </c>
      <c r="C66" s="37"/>
      <c r="D66" s="37"/>
      <c r="E66" s="42">
        <f t="shared" si="2"/>
        <v>0</v>
      </c>
      <c r="F66" s="89">
        <v>3.0</v>
      </c>
      <c r="G66" s="90">
        <v>0.0</v>
      </c>
      <c r="H66" s="91">
        <v>9.0</v>
      </c>
      <c r="I66" s="90">
        <v>0.0</v>
      </c>
      <c r="J66" s="90">
        <v>0.0</v>
      </c>
      <c r="K66" s="90">
        <v>0.0</v>
      </c>
      <c r="L66" s="92">
        <v>9.0</v>
      </c>
      <c r="M66" s="90">
        <v>0.0</v>
      </c>
      <c r="N66" s="37">
        <f t="shared" ref="N66:O66" si="71">C66+L66</f>
        <v>9</v>
      </c>
      <c r="O66" s="37">
        <f t="shared" si="71"/>
        <v>0</v>
      </c>
      <c r="P66" s="50" t="s">
        <v>60</v>
      </c>
      <c r="Q66" s="50" t="s">
        <v>60</v>
      </c>
      <c r="R66" s="50" t="s">
        <v>60</v>
      </c>
      <c r="S66" s="51">
        <f t="shared" si="4"/>
        <v>0</v>
      </c>
      <c r="T66" s="52">
        <f t="shared" si="5"/>
        <v>0</v>
      </c>
      <c r="U66" s="52"/>
      <c r="V66" s="51">
        <f t="shared" si="6"/>
        <v>1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22" t="str">
        <f t="shared" si="9"/>
        <v/>
      </c>
    </row>
    <row r="67">
      <c r="A67" s="35">
        <f t="shared" si="10"/>
        <v>63</v>
      </c>
      <c r="B67" s="36" t="s">
        <v>52</v>
      </c>
      <c r="C67" s="37"/>
      <c r="D67" s="37"/>
      <c r="E67" s="42">
        <f t="shared" si="2"/>
        <v>0</v>
      </c>
      <c r="F67" s="89">
        <v>1.0</v>
      </c>
      <c r="G67" s="90">
        <v>8.0</v>
      </c>
      <c r="H67" s="91">
        <v>0.0</v>
      </c>
      <c r="I67" s="90">
        <v>3.0</v>
      </c>
      <c r="J67" s="90">
        <v>6.0</v>
      </c>
      <c r="K67" s="90">
        <v>6.0</v>
      </c>
      <c r="L67" s="92">
        <v>15.0</v>
      </c>
      <c r="M67" s="90">
        <v>2.0</v>
      </c>
      <c r="N67" s="37">
        <f t="shared" ref="N67:O67" si="72">C67+L67</f>
        <v>15</v>
      </c>
      <c r="O67" s="37">
        <f t="shared" si="72"/>
        <v>2</v>
      </c>
      <c r="P67" s="50" t="s">
        <v>60</v>
      </c>
      <c r="Q67" s="50" t="s">
        <v>60</v>
      </c>
      <c r="R67" s="50" t="s">
        <v>60</v>
      </c>
      <c r="S67" s="51">
        <f t="shared" si="4"/>
        <v>1</v>
      </c>
      <c r="T67" s="52">
        <f t="shared" si="5"/>
        <v>0</v>
      </c>
      <c r="U67" s="52"/>
      <c r="V67" s="51">
        <f t="shared" si="6"/>
        <v>0</v>
      </c>
      <c r="W67" s="52">
        <f t="shared" si="7"/>
        <v>0</v>
      </c>
      <c r="X67" s="35">
        <f t="shared" si="12"/>
        <v>63</v>
      </c>
      <c r="Y67" s="35" t="str">
        <f t="shared" si="8"/>
        <v>Y</v>
      </c>
      <c r="Z67" s="22" t="str">
        <f t="shared" si="9"/>
        <v/>
      </c>
    </row>
    <row r="68">
      <c r="A68" s="35">
        <f t="shared" si="10"/>
        <v>64</v>
      </c>
      <c r="B68" s="36" t="s">
        <v>68</v>
      </c>
      <c r="C68" s="37"/>
      <c r="D68" s="37"/>
      <c r="E68" s="42">
        <f t="shared" si="2"/>
        <v>0</v>
      </c>
      <c r="F68" s="89">
        <v>1.0</v>
      </c>
      <c r="G68" s="90">
        <v>8.0</v>
      </c>
      <c r="H68" s="91">
        <v>0.0</v>
      </c>
      <c r="I68" s="90">
        <v>6.0</v>
      </c>
      <c r="J68" s="90">
        <v>1.0</v>
      </c>
      <c r="K68" s="90">
        <v>6.0</v>
      </c>
      <c r="L68" s="92">
        <v>13.0</v>
      </c>
      <c r="M68" s="90">
        <v>2.0</v>
      </c>
      <c r="N68" s="37">
        <f t="shared" ref="N68:O68" si="73">C68+L68</f>
        <v>13</v>
      </c>
      <c r="O68" s="37">
        <f t="shared" si="73"/>
        <v>2</v>
      </c>
      <c r="P68" s="50" t="s">
        <v>60</v>
      </c>
      <c r="Q68" s="50" t="s">
        <v>60</v>
      </c>
      <c r="R68" s="50" t="s">
        <v>60</v>
      </c>
      <c r="S68" s="51">
        <f t="shared" si="4"/>
        <v>1</v>
      </c>
      <c r="T68" s="52">
        <f t="shared" si="5"/>
        <v>0</v>
      </c>
      <c r="U68" s="52"/>
      <c r="V68" s="51">
        <f t="shared" si="6"/>
        <v>0</v>
      </c>
      <c r="W68" s="52">
        <f t="shared" si="7"/>
        <v>0</v>
      </c>
      <c r="X68" s="35">
        <f t="shared" si="12"/>
        <v>64</v>
      </c>
      <c r="Y68" s="35" t="str">
        <f t="shared" si="8"/>
        <v>Y</v>
      </c>
      <c r="Z68" s="22" t="str">
        <f t="shared" si="9"/>
        <v/>
      </c>
    </row>
    <row r="69">
      <c r="A69" s="35">
        <f t="shared" si="10"/>
        <v>65</v>
      </c>
      <c r="B69" s="36" t="s">
        <v>141</v>
      </c>
      <c r="C69" s="37"/>
      <c r="D69" s="37"/>
      <c r="E69" s="42">
        <f t="shared" si="2"/>
        <v>0</v>
      </c>
      <c r="F69" s="89">
        <v>1.0</v>
      </c>
      <c r="G69" s="90">
        <v>8.0</v>
      </c>
      <c r="H69" s="91">
        <v>0.0</v>
      </c>
      <c r="I69" s="90">
        <v>6.0</v>
      </c>
      <c r="J69" s="90">
        <v>6.0</v>
      </c>
      <c r="K69" s="90">
        <v>1.0</v>
      </c>
      <c r="L69" s="92">
        <v>13.0</v>
      </c>
      <c r="M69" s="90">
        <v>2.0</v>
      </c>
      <c r="N69" s="37">
        <f t="shared" ref="N69:O69" si="74">C69+L69</f>
        <v>13</v>
      </c>
      <c r="O69" s="37">
        <f t="shared" si="74"/>
        <v>2</v>
      </c>
      <c r="P69" s="50" t="s">
        <v>60</v>
      </c>
      <c r="Q69" s="50" t="s">
        <v>60</v>
      </c>
      <c r="R69" s="50" t="s">
        <v>60</v>
      </c>
      <c r="S69" s="51">
        <f t="shared" si="4"/>
        <v>1</v>
      </c>
      <c r="T69" s="52">
        <f t="shared" si="5"/>
        <v>0</v>
      </c>
      <c r="U69" s="52"/>
      <c r="V69" s="51">
        <f t="shared" si="6"/>
        <v>0</v>
      </c>
      <c r="W69" s="52">
        <f t="shared" si="7"/>
        <v>0</v>
      </c>
      <c r="X69" s="35">
        <f t="shared" si="12"/>
        <v>65</v>
      </c>
      <c r="Y69" s="35" t="str">
        <f t="shared" si="8"/>
        <v>Y</v>
      </c>
      <c r="Z69" s="22" t="str">
        <f t="shared" si="9"/>
        <v/>
      </c>
    </row>
    <row r="70">
      <c r="A70" s="35">
        <f t="shared" si="10"/>
        <v>66</v>
      </c>
      <c r="B70" s="36" t="s">
        <v>134</v>
      </c>
      <c r="C70" s="37"/>
      <c r="D70" s="37"/>
      <c r="E70" s="42">
        <f t="shared" si="2"/>
        <v>0</v>
      </c>
      <c r="F70" s="89">
        <v>5.0</v>
      </c>
      <c r="G70" s="90">
        <v>0.0</v>
      </c>
      <c r="H70" s="91">
        <v>13.0</v>
      </c>
      <c r="I70" s="90">
        <v>0.0</v>
      </c>
      <c r="J70" s="90">
        <v>0.0</v>
      </c>
      <c r="K70" s="90">
        <v>0.0</v>
      </c>
      <c r="L70" s="92">
        <v>13.0</v>
      </c>
      <c r="M70" s="90">
        <v>0.0</v>
      </c>
      <c r="N70" s="37">
        <f t="shared" ref="N70:O70" si="75">C70+L70</f>
        <v>13</v>
      </c>
      <c r="O70" s="37">
        <f t="shared" si="75"/>
        <v>0</v>
      </c>
      <c r="P70" s="50" t="s">
        <v>60</v>
      </c>
      <c r="Q70" s="50" t="s">
        <v>60</v>
      </c>
      <c r="R70" s="50" t="s">
        <v>60</v>
      </c>
      <c r="S70" s="51">
        <f t="shared" si="4"/>
        <v>0</v>
      </c>
      <c r="T70" s="52">
        <f t="shared" si="5"/>
        <v>1</v>
      </c>
      <c r="U70" s="52"/>
      <c r="V70" s="51">
        <f t="shared" si="6"/>
        <v>0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22" t="str">
        <f t="shared" si="9"/>
        <v/>
      </c>
    </row>
    <row r="71">
      <c r="A71" s="35">
        <f t="shared" si="10"/>
        <v>67</v>
      </c>
      <c r="B71" s="36" t="s">
        <v>128</v>
      </c>
      <c r="C71" s="37"/>
      <c r="D71" s="37"/>
      <c r="E71" s="42">
        <f t="shared" si="2"/>
        <v>0</v>
      </c>
      <c r="F71" s="89">
        <v>3.0</v>
      </c>
      <c r="G71" s="90">
        <v>0.0</v>
      </c>
      <c r="H71" s="91">
        <v>9.0</v>
      </c>
      <c r="I71" s="90">
        <v>0.0</v>
      </c>
      <c r="J71" s="90">
        <v>0.0</v>
      </c>
      <c r="K71" s="90">
        <v>0.0</v>
      </c>
      <c r="L71" s="92">
        <v>9.0</v>
      </c>
      <c r="M71" s="90">
        <v>0.0</v>
      </c>
      <c r="N71" s="37">
        <f t="shared" ref="N71:O71" si="76">C71+L71</f>
        <v>9</v>
      </c>
      <c r="O71" s="37">
        <f t="shared" si="76"/>
        <v>0</v>
      </c>
      <c r="P71" s="50" t="s">
        <v>60</v>
      </c>
      <c r="Q71" s="50" t="s">
        <v>60</v>
      </c>
      <c r="R71" s="50" t="s">
        <v>60</v>
      </c>
      <c r="S71" s="51">
        <f t="shared" si="4"/>
        <v>0</v>
      </c>
      <c r="T71" s="52">
        <f t="shared" si="5"/>
        <v>0</v>
      </c>
      <c r="U71" s="52"/>
      <c r="V71" s="51">
        <f t="shared" si="6"/>
        <v>1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22" t="str">
        <f t="shared" si="9"/>
        <v/>
      </c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67</v>
      </c>
      <c r="S76" s="118">
        <f>R76/R79</f>
        <v>1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0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0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06/27/26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desc"",0)"),"#N/A")</f>
        <v>#N/A</v>
      </c>
      <c r="C83" s="125"/>
      <c r="D83" s="125"/>
      <c r="E83" s="125"/>
      <c r="F83" s="2"/>
    </row>
    <row r="84">
      <c r="A84" s="2"/>
      <c r="B84" s="36"/>
      <c r="C84" s="125"/>
      <c r="D84" s="125"/>
      <c r="E84" s="125"/>
      <c r="F84" s="2"/>
    </row>
    <row r="85">
      <c r="A85" s="2"/>
      <c r="B85" s="36"/>
      <c r="C85" s="125"/>
      <c r="D85" s="125"/>
      <c r="E85" s="125"/>
      <c r="F85" s="2"/>
    </row>
    <row r="86">
      <c r="A86" s="2"/>
      <c r="B86" s="36"/>
      <c r="C86" s="125"/>
      <c r="D86" s="125"/>
      <c r="E86" s="125"/>
      <c r="F86" s="2"/>
    </row>
    <row r="87">
      <c r="A87" s="2"/>
      <c r="B87" s="36"/>
      <c r="C87" s="125"/>
      <c r="D87" s="125"/>
      <c r="E87" s="125"/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10"")"),"Nicole Ni")</f>
        <v>Nicole Ni</v>
      </c>
      <c r="C102" s="125">
        <f>IFERROR(__xludf.DUMMYFUNCTION("""COMPUTED_VALUE"""),0.0)</f>
        <v>0</v>
      </c>
      <c r="D102" s="125">
        <f t="shared" ref="D102:D111" si="77">VLOOKUP(B102,indirect($AC$2&amp;"!B$5:X$79"),23, false)</f>
        <v>1</v>
      </c>
      <c r="E102" s="125">
        <f t="shared" ref="E102:E111" si="78">VLOOKUP(B102,B$5:X$71,23, false)</f>
        <v>1</v>
      </c>
      <c r="F102" s="125" t="str">
        <f t="shared" ref="F102:F111" si="79">VLOOKUP(B102,indirect($AC$2&amp;"!B$5:U$79"),11, false)</f>
        <v/>
      </c>
      <c r="G102" s="125" t="str">
        <f t="shared" ref="G102:G111" si="80">VLOOKUP(B102,indirect($AC$2&amp;"!B$5:U$79"),6, false)</f>
        <v/>
      </c>
      <c r="L102" s="125" t="str">
        <f t="shared" ref="L102:L111" si="81">if(D102-E102=C102,"ok","Error")</f>
        <v>ok</v>
      </c>
    </row>
    <row r="103">
      <c r="A103" s="2"/>
      <c r="B103" s="36" t="str">
        <f>IFERROR(__xludf.DUMMYFUNCTION("""COMPUTED_VALUE"""),"Kumar Palakeel")</f>
        <v>Kumar Palakeel</v>
      </c>
      <c r="C103" s="125">
        <f>IFERROR(__xludf.DUMMYFUNCTION("""COMPUTED_VALUE"""),0.0)</f>
        <v>0</v>
      </c>
      <c r="D103" s="125">
        <f t="shared" si="77"/>
        <v>2</v>
      </c>
      <c r="E103" s="125">
        <f t="shared" si="78"/>
        <v>2</v>
      </c>
      <c r="F103" s="125" t="str">
        <f t="shared" si="79"/>
        <v/>
      </c>
      <c r="G103" s="125" t="str">
        <f t="shared" si="80"/>
        <v/>
      </c>
      <c r="L103" s="125" t="str">
        <f t="shared" si="81"/>
        <v>ok</v>
      </c>
    </row>
    <row r="104">
      <c r="A104" s="2"/>
      <c r="B104" s="36" t="str">
        <f>IFERROR(__xludf.DUMMYFUNCTION("""COMPUTED_VALUE"""),"Sean Chang")</f>
        <v>Sean Chang</v>
      </c>
      <c r="C104" s="125">
        <f>IFERROR(__xludf.DUMMYFUNCTION("""COMPUTED_VALUE"""),0.0)</f>
        <v>0</v>
      </c>
      <c r="D104" s="125">
        <f t="shared" si="77"/>
        <v>3</v>
      </c>
      <c r="E104" s="125">
        <f t="shared" si="78"/>
        <v>3</v>
      </c>
      <c r="F104" s="125" t="str">
        <f t="shared" si="79"/>
        <v/>
      </c>
      <c r="G104" s="125" t="str">
        <f t="shared" si="80"/>
        <v/>
      </c>
      <c r="L104" s="125" t="str">
        <f t="shared" si="81"/>
        <v>ok</v>
      </c>
    </row>
    <row r="105">
      <c r="A105" s="2"/>
      <c r="B105" s="36" t="str">
        <f>IFERROR(__xludf.DUMMYFUNCTION("""COMPUTED_VALUE"""),"Alex Hou")</f>
        <v>Alex Hou</v>
      </c>
      <c r="C105" s="125">
        <f>IFERROR(__xludf.DUMMYFUNCTION("""COMPUTED_VALUE"""),0.0)</f>
        <v>0</v>
      </c>
      <c r="D105" s="125">
        <f t="shared" si="77"/>
        <v>4</v>
      </c>
      <c r="E105" s="125">
        <f t="shared" si="78"/>
        <v>4</v>
      </c>
      <c r="F105" s="125" t="str">
        <f t="shared" si="79"/>
        <v/>
      </c>
      <c r="G105" s="125" t="str">
        <f t="shared" si="80"/>
        <v/>
      </c>
      <c r="L105" s="125" t="str">
        <f t="shared" si="81"/>
        <v>ok</v>
      </c>
    </row>
    <row r="106">
      <c r="A106" s="2"/>
      <c r="B106" s="36" t="str">
        <f>IFERROR(__xludf.DUMMYFUNCTION("""COMPUTED_VALUE"""),"Ted Shen")</f>
        <v>Ted Shen</v>
      </c>
      <c r="C106" s="125">
        <f>IFERROR(__xludf.DUMMYFUNCTION("""COMPUTED_VALUE"""),0.0)</f>
        <v>0</v>
      </c>
      <c r="D106" s="125">
        <f t="shared" si="77"/>
        <v>5</v>
      </c>
      <c r="E106" s="125">
        <f t="shared" si="78"/>
        <v>5</v>
      </c>
      <c r="F106" s="125" t="str">
        <f t="shared" si="79"/>
        <v/>
      </c>
      <c r="G106" s="125" t="str">
        <f t="shared" si="80"/>
        <v/>
      </c>
      <c r="L106" s="125" t="str">
        <f t="shared" si="81"/>
        <v>ok</v>
      </c>
    </row>
    <row r="107">
      <c r="A107" s="2"/>
      <c r="B107" s="36" t="str">
        <f>IFERROR(__xludf.DUMMYFUNCTION("""COMPUTED_VALUE"""),"Erik Hoeckmann")</f>
        <v>Erik Hoeckmann</v>
      </c>
      <c r="C107" s="125">
        <f>IFERROR(__xludf.DUMMYFUNCTION("""COMPUTED_VALUE"""),0.0)</f>
        <v>0</v>
      </c>
      <c r="D107" s="125">
        <f t="shared" si="77"/>
        <v>6</v>
      </c>
      <c r="E107" s="125">
        <f t="shared" si="78"/>
        <v>6</v>
      </c>
      <c r="F107" s="125" t="str">
        <f t="shared" si="79"/>
        <v/>
      </c>
      <c r="G107" s="125" t="str">
        <f t="shared" si="80"/>
        <v/>
      </c>
      <c r="L107" s="125" t="str">
        <f t="shared" si="81"/>
        <v>ok</v>
      </c>
    </row>
    <row r="108">
      <c r="A108" s="2"/>
      <c r="B108" s="36" t="str">
        <f>IFERROR(__xludf.DUMMYFUNCTION("""COMPUTED_VALUE"""),"Jimmy Awolesi")</f>
        <v>Jimmy Awolesi</v>
      </c>
      <c r="C108" s="125">
        <f>IFERROR(__xludf.DUMMYFUNCTION("""COMPUTED_VALUE"""),0.0)</f>
        <v>0</v>
      </c>
      <c r="D108" s="125">
        <f t="shared" si="77"/>
        <v>7</v>
      </c>
      <c r="E108" s="125">
        <f t="shared" si="78"/>
        <v>7</v>
      </c>
      <c r="F108" s="125" t="str">
        <f t="shared" si="79"/>
        <v/>
      </c>
      <c r="G108" s="125" t="str">
        <f t="shared" si="80"/>
        <v/>
      </c>
      <c r="L108" s="125" t="str">
        <f t="shared" si="81"/>
        <v>ok</v>
      </c>
    </row>
    <row r="109">
      <c r="A109" s="2"/>
      <c r="B109" s="36" t="str">
        <f>IFERROR(__xludf.DUMMYFUNCTION("""COMPUTED_VALUE"""),"Allen Zhang")</f>
        <v>Allen Zhang</v>
      </c>
      <c r="C109" s="125">
        <f>IFERROR(__xludf.DUMMYFUNCTION("""COMPUTED_VALUE"""),0.0)</f>
        <v>0</v>
      </c>
      <c r="D109" s="125">
        <f t="shared" si="77"/>
        <v>8</v>
      </c>
      <c r="E109" s="125">
        <f t="shared" si="78"/>
        <v>8</v>
      </c>
      <c r="F109" s="125" t="str">
        <f t="shared" si="79"/>
        <v/>
      </c>
      <c r="G109" s="125" t="str">
        <f t="shared" si="80"/>
        <v/>
      </c>
      <c r="L109" s="125" t="str">
        <f t="shared" si="81"/>
        <v>ok</v>
      </c>
    </row>
    <row r="110">
      <c r="A110" s="2"/>
      <c r="B110" s="36" t="str">
        <f>IFERROR(__xludf.DUMMYFUNCTION("""COMPUTED_VALUE"""),"Andrew Wen")</f>
        <v>Andrew Wen</v>
      </c>
      <c r="C110" s="125">
        <f>IFERROR(__xludf.DUMMYFUNCTION("""COMPUTED_VALUE"""),0.0)</f>
        <v>0</v>
      </c>
      <c r="D110" s="125">
        <f t="shared" si="77"/>
        <v>9</v>
      </c>
      <c r="E110" s="125">
        <f t="shared" si="78"/>
        <v>9</v>
      </c>
      <c r="F110" s="125" t="str">
        <f t="shared" si="79"/>
        <v/>
      </c>
      <c r="G110" s="125" t="str">
        <f t="shared" si="80"/>
        <v/>
      </c>
      <c r="L110" s="125" t="str">
        <f t="shared" si="81"/>
        <v>ok</v>
      </c>
    </row>
    <row r="111">
      <c r="A111" s="2"/>
      <c r="B111" s="36" t="str">
        <f>IFERROR(__xludf.DUMMYFUNCTION("""COMPUTED_VALUE"""),"Luis Hsu")</f>
        <v>Luis Hsu</v>
      </c>
      <c r="C111" s="125">
        <f>IFERROR(__xludf.DUMMYFUNCTION("""COMPUTED_VALUE"""),0.0)</f>
        <v>0</v>
      </c>
      <c r="D111" s="125">
        <f t="shared" si="77"/>
        <v>10</v>
      </c>
      <c r="E111" s="125">
        <f t="shared" si="78"/>
        <v>10</v>
      </c>
      <c r="F111" s="125" t="str">
        <f t="shared" si="79"/>
        <v/>
      </c>
      <c r="G111" s="125" t="str">
        <f t="shared" si="80"/>
        <v/>
      </c>
      <c r="L111" s="125" t="str">
        <f t="shared" si="81"/>
        <v>ok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1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82">A5</f>
        <v>1</v>
      </c>
      <c r="B120" s="36" t="str">
        <f t="shared" si="82"/>
        <v>Nicole Ni</v>
      </c>
      <c r="C120" s="125" t="str">
        <f t="shared" si="82"/>
        <v/>
      </c>
      <c r="D120" s="125" t="str">
        <f t="shared" si="82"/>
        <v/>
      </c>
      <c r="E120" s="125">
        <f t="shared" si="82"/>
        <v>0</v>
      </c>
      <c r="F120" s="2"/>
    </row>
    <row r="121">
      <c r="A121" s="125">
        <f t="shared" ref="A121:E121" si="83">A6</f>
        <v>2</v>
      </c>
      <c r="B121" s="36" t="str">
        <f t="shared" si="83"/>
        <v>Kumar Palakeel</v>
      </c>
      <c r="C121" s="125" t="str">
        <f t="shared" si="83"/>
        <v/>
      </c>
      <c r="D121" s="125" t="str">
        <f t="shared" si="83"/>
        <v/>
      </c>
      <c r="E121" s="125">
        <f t="shared" si="83"/>
        <v>0</v>
      </c>
      <c r="F121" s="2"/>
    </row>
    <row r="122">
      <c r="A122" s="125">
        <f t="shared" ref="A122:E122" si="84">A7</f>
        <v>3</v>
      </c>
      <c r="B122" s="36" t="str">
        <f t="shared" si="84"/>
        <v>Sean Chang</v>
      </c>
      <c r="C122" s="125" t="str">
        <f t="shared" si="84"/>
        <v/>
      </c>
      <c r="D122" s="125" t="str">
        <f t="shared" si="84"/>
        <v/>
      </c>
      <c r="E122" s="125">
        <f t="shared" si="84"/>
        <v>0</v>
      </c>
      <c r="F122" s="2"/>
    </row>
    <row r="123">
      <c r="A123" s="125">
        <f t="shared" ref="A123:E123" si="85">A8</f>
        <v>4</v>
      </c>
      <c r="B123" s="36" t="str">
        <f t="shared" si="85"/>
        <v>Alex Hou</v>
      </c>
      <c r="C123" s="125" t="str">
        <f t="shared" si="85"/>
        <v/>
      </c>
      <c r="D123" s="125" t="str">
        <f t="shared" si="85"/>
        <v/>
      </c>
      <c r="E123" s="125">
        <f t="shared" si="85"/>
        <v>0</v>
      </c>
      <c r="F123" s="2"/>
    </row>
    <row r="124">
      <c r="A124" s="125">
        <f t="shared" ref="A124:E124" si="86">A9</f>
        <v>5</v>
      </c>
      <c r="B124" s="36" t="str">
        <f t="shared" si="86"/>
        <v>Ted Shen</v>
      </c>
      <c r="C124" s="125" t="str">
        <f t="shared" si="86"/>
        <v/>
      </c>
      <c r="D124" s="125" t="str">
        <f t="shared" si="86"/>
        <v/>
      </c>
      <c r="E124" s="125">
        <f t="shared" si="86"/>
        <v>0</v>
      </c>
      <c r="F124" s="2"/>
    </row>
    <row r="125">
      <c r="A125" s="125">
        <f t="shared" ref="A125:E125" si="87">A10</f>
        <v>6</v>
      </c>
      <c r="B125" s="36" t="str">
        <f t="shared" si="87"/>
        <v>Erik Hoeckmann</v>
      </c>
      <c r="C125" s="125" t="str">
        <f t="shared" si="87"/>
        <v/>
      </c>
      <c r="D125" s="125" t="str">
        <f t="shared" si="87"/>
        <v/>
      </c>
      <c r="E125" s="125">
        <f t="shared" si="87"/>
        <v>0</v>
      </c>
      <c r="F125" s="2"/>
    </row>
    <row r="126">
      <c r="A126" s="125">
        <f t="shared" ref="A126:E126" si="88">A11</f>
        <v>7</v>
      </c>
      <c r="B126" s="36" t="str">
        <f t="shared" si="88"/>
        <v>Jimmy Awolesi</v>
      </c>
      <c r="C126" s="125" t="str">
        <f t="shared" si="88"/>
        <v/>
      </c>
      <c r="D126" s="125" t="str">
        <f t="shared" si="88"/>
        <v/>
      </c>
      <c r="E126" s="125">
        <f t="shared" si="88"/>
        <v>0</v>
      </c>
      <c r="F126" s="2"/>
    </row>
    <row r="127">
      <c r="A127" s="125">
        <f t="shared" ref="A127:E127" si="89">A12</f>
        <v>8</v>
      </c>
      <c r="B127" s="36" t="str">
        <f t="shared" si="89"/>
        <v>Allen Zhang</v>
      </c>
      <c r="C127" s="125" t="str">
        <f t="shared" si="89"/>
        <v/>
      </c>
      <c r="D127" s="125" t="str">
        <f t="shared" si="89"/>
        <v/>
      </c>
      <c r="E127" s="125">
        <f t="shared" si="89"/>
        <v>0</v>
      </c>
      <c r="F127" s="2"/>
    </row>
    <row r="128">
      <c r="A128" s="125">
        <f t="shared" ref="A128:E128" si="90">A13</f>
        <v>9</v>
      </c>
      <c r="B128" s="36" t="str">
        <f t="shared" si="90"/>
        <v>Andrew Wen</v>
      </c>
      <c r="C128" s="125" t="str">
        <f t="shared" si="90"/>
        <v/>
      </c>
      <c r="D128" s="125" t="str">
        <f t="shared" si="90"/>
        <v/>
      </c>
      <c r="E128" s="125">
        <f t="shared" si="90"/>
        <v>0</v>
      </c>
      <c r="F128" s="2"/>
    </row>
    <row r="129">
      <c r="A129" s="125">
        <f t="shared" ref="A129:E129" si="91">A14</f>
        <v>10</v>
      </c>
      <c r="B129" s="36" t="str">
        <f t="shared" si="91"/>
        <v>Luis Hsu</v>
      </c>
      <c r="C129" s="125" t="str">
        <f t="shared" si="91"/>
        <v/>
      </c>
      <c r="D129" s="125" t="str">
        <f t="shared" si="91"/>
        <v/>
      </c>
      <c r="E129" s="125">
        <f t="shared" si="91"/>
        <v>0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>
        <f>if(B137&lt;&gt;"",1,0)</f>
        <v>1</v>
      </c>
      <c r="B137" s="36" t="str">
        <f>IFERROR(__xludf.DUMMYFUNCTION("query(B5:Y71,""select B where Y = 'Y' order by B ASC"")"),"Allen Zhang")</f>
        <v>Allen Zhang</v>
      </c>
      <c r="C137" s="2"/>
      <c r="D137" s="2"/>
      <c r="E137" s="2"/>
      <c r="F137" s="2"/>
    </row>
    <row r="138">
      <c r="A138" s="125">
        <f t="shared" ref="A138:A212" si="92">if(B138&lt;&gt;"",A137+1,0)</f>
        <v>2</v>
      </c>
      <c r="B138" s="36" t="str">
        <f>IFERROR(__xludf.DUMMYFUNCTION("""COMPUTED_VALUE"""),"Andrew Wen")</f>
        <v>Andrew Wen</v>
      </c>
      <c r="C138" s="2"/>
      <c r="D138" s="2"/>
      <c r="E138" s="2"/>
      <c r="F138" s="2"/>
    </row>
    <row r="139">
      <c r="A139" s="125">
        <f t="shared" si="92"/>
        <v>3</v>
      </c>
      <c r="B139" s="36" t="str">
        <f>IFERROR(__xludf.DUMMYFUNCTION("""COMPUTED_VALUE"""),"Andrew Yao")</f>
        <v>Andrew Yao</v>
      </c>
      <c r="C139" s="2"/>
      <c r="D139" s="2"/>
      <c r="E139" s="2"/>
      <c r="F139" s="2"/>
      <c r="P139" s="36"/>
    </row>
    <row r="140">
      <c r="A140" s="125">
        <f t="shared" si="92"/>
        <v>4</v>
      </c>
      <c r="B140" s="36" t="str">
        <f>IFERROR(__xludf.DUMMYFUNCTION("""COMPUTED_VALUE"""),"Basudev Thoppai Vidyasankar")</f>
        <v>Basudev Thoppai Vidyasankar</v>
      </c>
      <c r="C140" s="2"/>
      <c r="D140" s="2"/>
      <c r="E140" s="2"/>
      <c r="F140" s="2"/>
    </row>
    <row r="141">
      <c r="A141" s="125">
        <f t="shared" si="92"/>
        <v>5</v>
      </c>
      <c r="B141" s="36" t="str">
        <f>IFERROR(__xludf.DUMMYFUNCTION("""COMPUTED_VALUE"""),"Chinna Ponnaganti")</f>
        <v>Chinna Ponnaganti</v>
      </c>
      <c r="C141" s="2"/>
      <c r="D141" s="2"/>
      <c r="E141" s="2"/>
      <c r="F141" s="2"/>
    </row>
    <row r="142">
      <c r="A142" s="125">
        <f t="shared" si="92"/>
        <v>6</v>
      </c>
      <c r="B142" s="36" t="str">
        <f>IFERROR(__xludf.DUMMYFUNCTION("""COMPUTED_VALUE"""),"Cid Macaraeg")</f>
        <v>Cid Macaraeg</v>
      </c>
      <c r="C142" s="2"/>
      <c r="D142" s="2"/>
      <c r="E142" s="2"/>
      <c r="F142" s="2"/>
    </row>
    <row r="143">
      <c r="A143" s="125">
        <f t="shared" si="92"/>
        <v>7</v>
      </c>
      <c r="B143" s="36" t="str">
        <f>IFERROR(__xludf.DUMMYFUNCTION("""COMPUTED_VALUE"""),"Darren Wong")</f>
        <v>Darren Wong</v>
      </c>
      <c r="C143" s="2"/>
      <c r="D143" s="2"/>
      <c r="E143" s="2"/>
      <c r="F143" s="2"/>
    </row>
    <row r="144">
      <c r="A144" s="125">
        <f t="shared" si="92"/>
        <v>8</v>
      </c>
      <c r="B144" s="36" t="str">
        <f>IFERROR(__xludf.DUMMYFUNCTION("""COMPUTED_VALUE"""),"David Shin")</f>
        <v>David Shin</v>
      </c>
      <c r="C144" s="2"/>
      <c r="D144" s="2"/>
      <c r="E144" s="2"/>
      <c r="F144" s="2"/>
    </row>
    <row r="145">
      <c r="A145" s="125">
        <f t="shared" si="92"/>
        <v>9</v>
      </c>
      <c r="B145" s="36" t="str">
        <f>IFERROR(__xludf.DUMMYFUNCTION("""COMPUTED_VALUE"""),"Elayaraja Thangaraj")</f>
        <v>Elayaraja Thangaraj</v>
      </c>
      <c r="C145" s="2"/>
      <c r="D145" s="2"/>
      <c r="E145" s="2"/>
      <c r="F145" s="2"/>
    </row>
    <row r="146">
      <c r="A146" s="125">
        <f t="shared" si="92"/>
        <v>10</v>
      </c>
      <c r="B146" s="36" t="str">
        <f>IFERROR(__xludf.DUMMYFUNCTION("""COMPUTED_VALUE"""),"Eric Tan")</f>
        <v>Eric Tan</v>
      </c>
      <c r="C146" s="2"/>
      <c r="D146" s="2"/>
      <c r="E146" s="2"/>
      <c r="F146" s="2"/>
    </row>
    <row r="147">
      <c r="A147" s="125">
        <f t="shared" si="92"/>
        <v>11</v>
      </c>
      <c r="B147" s="36" t="str">
        <f>IFERROR(__xludf.DUMMYFUNCTION("""COMPUTED_VALUE"""),"Erik Hoeckmann")</f>
        <v>Erik Hoeckmann</v>
      </c>
      <c r="C147" s="2"/>
      <c r="D147" s="2"/>
      <c r="E147" s="2"/>
      <c r="F147" s="2"/>
    </row>
    <row r="148">
      <c r="A148" s="125">
        <f t="shared" si="92"/>
        <v>12</v>
      </c>
      <c r="B148" s="36" t="str">
        <f>IFERROR(__xludf.DUMMYFUNCTION("""COMPUTED_VALUE"""),"Frank Moon")</f>
        <v>Frank Moon</v>
      </c>
      <c r="C148" s="2"/>
      <c r="D148" s="2"/>
      <c r="E148" s="2"/>
      <c r="F148" s="2"/>
    </row>
    <row r="149">
      <c r="A149" s="125">
        <f t="shared" si="92"/>
        <v>13</v>
      </c>
      <c r="B149" s="36" t="str">
        <f>IFERROR(__xludf.DUMMYFUNCTION("""COMPUTED_VALUE"""),"Herman Au")</f>
        <v>Herman Au</v>
      </c>
      <c r="C149" s="2"/>
      <c r="D149" s="2"/>
      <c r="E149" s="2"/>
      <c r="F149" s="2"/>
    </row>
    <row r="150">
      <c r="A150" s="125">
        <f t="shared" si="92"/>
        <v>14</v>
      </c>
      <c r="B150" s="36" t="str">
        <f>IFERROR(__xludf.DUMMYFUNCTION("""COMPUTED_VALUE"""),"Jim Miao")</f>
        <v>Jim Miao</v>
      </c>
      <c r="C150" s="2"/>
      <c r="D150" s="2"/>
      <c r="E150" s="2"/>
      <c r="F150" s="2"/>
    </row>
    <row r="151">
      <c r="A151" s="125">
        <f t="shared" si="92"/>
        <v>15</v>
      </c>
      <c r="B151" s="36" t="str">
        <f>IFERROR(__xludf.DUMMYFUNCTION("""COMPUTED_VALUE"""),"Jimmy Awolesi")</f>
        <v>Jimmy Awolesi</v>
      </c>
      <c r="C151" s="2"/>
      <c r="D151" s="2"/>
      <c r="E151" s="2"/>
      <c r="F151" s="2"/>
    </row>
    <row r="152">
      <c r="A152" s="125">
        <f t="shared" si="92"/>
        <v>16</v>
      </c>
      <c r="B152" s="36" t="str">
        <f>IFERROR(__xludf.DUMMYFUNCTION("""COMPUTED_VALUE"""),"Joe Luzzi")</f>
        <v>Joe Luzzi</v>
      </c>
      <c r="C152" s="2"/>
      <c r="D152" s="2"/>
      <c r="E152" s="2"/>
      <c r="F152" s="2"/>
    </row>
    <row r="153">
      <c r="A153" s="125">
        <f t="shared" si="92"/>
        <v>17</v>
      </c>
      <c r="B153" s="36" t="str">
        <f>IFERROR(__xludf.DUMMYFUNCTION("""COMPUTED_VALUE"""),"Jonathan Phan")</f>
        <v>Jonathan Phan</v>
      </c>
      <c r="C153" s="2"/>
      <c r="D153" s="2"/>
      <c r="E153" s="2"/>
      <c r="F153" s="2"/>
    </row>
    <row r="154">
      <c r="A154" s="125">
        <f t="shared" si="92"/>
        <v>18</v>
      </c>
      <c r="B154" s="36" t="str">
        <f>IFERROR(__xludf.DUMMYFUNCTION("""COMPUTED_VALUE"""),"Manuel Rivera")</f>
        <v>Manuel Rivera</v>
      </c>
      <c r="C154" s="2"/>
      <c r="D154" s="2"/>
      <c r="E154" s="2"/>
      <c r="F154" s="2"/>
    </row>
    <row r="155">
      <c r="A155" s="125">
        <f t="shared" si="92"/>
        <v>19</v>
      </c>
      <c r="B155" s="36" t="str">
        <f>IFERROR(__xludf.DUMMYFUNCTION("""COMPUTED_VALUE"""),"Matthew Huang")</f>
        <v>Matthew Huang</v>
      </c>
      <c r="C155" s="2"/>
      <c r="D155" s="2"/>
      <c r="E155" s="2"/>
      <c r="F155" s="2"/>
    </row>
    <row r="156">
      <c r="A156" s="125">
        <f t="shared" si="92"/>
        <v>20</v>
      </c>
      <c r="B156" s="36" t="str">
        <f>IFERROR(__xludf.DUMMYFUNCTION("""COMPUTED_VALUE"""),"Mauricio Palacios")</f>
        <v>Mauricio Palacios</v>
      </c>
      <c r="C156" s="2"/>
      <c r="D156" s="2"/>
      <c r="E156" s="2"/>
      <c r="F156" s="2"/>
    </row>
    <row r="157">
      <c r="A157" s="125">
        <f t="shared" si="92"/>
        <v>21</v>
      </c>
      <c r="B157" s="36" t="str">
        <f>IFERROR(__xludf.DUMMYFUNCTION("""COMPUTED_VALUE"""),"Nicole Ni")</f>
        <v>Nicole Ni</v>
      </c>
      <c r="C157" s="2"/>
      <c r="D157" s="2"/>
      <c r="E157" s="2"/>
      <c r="F157" s="2"/>
    </row>
    <row r="158">
      <c r="A158" s="125">
        <f t="shared" si="92"/>
        <v>22</v>
      </c>
      <c r="B158" s="36" t="str">
        <f>IFERROR(__xludf.DUMMYFUNCTION("""COMPUTED_VALUE"""),"Rajasekar Ramasamy")</f>
        <v>Rajasekar Ramasamy</v>
      </c>
      <c r="C158" s="2"/>
      <c r="D158" s="2"/>
      <c r="E158" s="2"/>
      <c r="F158" s="2"/>
    </row>
    <row r="159">
      <c r="A159" s="125">
        <f t="shared" si="92"/>
        <v>23</v>
      </c>
      <c r="B159" s="36" t="str">
        <f>IFERROR(__xludf.DUMMYFUNCTION("""COMPUTED_VALUE"""),"Sanjaye Elayattu")</f>
        <v>Sanjaye Elayattu</v>
      </c>
      <c r="C159" s="2"/>
      <c r="D159" s="2"/>
      <c r="E159" s="2"/>
      <c r="F159" s="2"/>
    </row>
    <row r="160">
      <c r="A160" s="125">
        <f t="shared" si="92"/>
        <v>24</v>
      </c>
      <c r="B160" s="36" t="str">
        <f>IFERROR(__xludf.DUMMYFUNCTION("""COMPUTED_VALUE"""),"Scott Li")</f>
        <v>Scott Li</v>
      </c>
      <c r="C160" s="2"/>
      <c r="D160" s="2"/>
      <c r="E160" s="2"/>
      <c r="F160" s="2"/>
    </row>
    <row r="161">
      <c r="A161" s="125">
        <f t="shared" si="92"/>
        <v>25</v>
      </c>
      <c r="B161" s="36" t="str">
        <f>IFERROR(__xludf.DUMMYFUNCTION("""COMPUTED_VALUE"""),"Sean Chang")</f>
        <v>Sean Chang</v>
      </c>
      <c r="C161" s="2"/>
      <c r="D161" s="2"/>
      <c r="E161" s="2"/>
      <c r="F161" s="2"/>
    </row>
    <row r="162">
      <c r="A162" s="125">
        <f t="shared" si="92"/>
        <v>26</v>
      </c>
      <c r="B162" s="36" t="str">
        <f>IFERROR(__xludf.DUMMYFUNCTION("""COMPUTED_VALUE"""),"Ted Shen")</f>
        <v>Ted Shen</v>
      </c>
      <c r="C162" s="2"/>
      <c r="D162" s="2"/>
      <c r="E162" s="2"/>
      <c r="F162" s="2"/>
    </row>
    <row r="163">
      <c r="A163" s="125">
        <f t="shared" si="92"/>
        <v>27</v>
      </c>
      <c r="B163" s="36" t="str">
        <f>IFERROR(__xludf.DUMMYFUNCTION("""COMPUTED_VALUE"""),"Tina Hanson")</f>
        <v>Tina Hanson</v>
      </c>
      <c r="C163" s="2"/>
      <c r="D163" s="2"/>
      <c r="E163" s="2"/>
      <c r="F163" s="2"/>
    </row>
    <row r="164">
      <c r="A164" s="125">
        <f t="shared" si="92"/>
        <v>28</v>
      </c>
      <c r="B164" s="36" t="str">
        <f>IFERROR(__xludf.DUMMYFUNCTION("""COMPUTED_VALUE"""),"Tom Le")</f>
        <v>Tom Le</v>
      </c>
      <c r="C164" s="2"/>
      <c r="D164" s="2"/>
      <c r="E164" s="2"/>
      <c r="F164" s="2"/>
    </row>
    <row r="165">
      <c r="A165" s="125">
        <f t="shared" si="92"/>
        <v>29</v>
      </c>
      <c r="B165" s="36" t="str">
        <f>IFERROR(__xludf.DUMMYFUNCTION("""COMPUTED_VALUE"""),"Trish Newlin")</f>
        <v>Trish Newlin</v>
      </c>
      <c r="C165" s="2"/>
      <c r="D165" s="2"/>
      <c r="E165" s="2"/>
      <c r="F165" s="2"/>
    </row>
    <row r="166">
      <c r="A166" s="125">
        <f t="shared" si="92"/>
        <v>30</v>
      </c>
      <c r="B166" s="36" t="str">
        <f>IFERROR(__xludf.DUMMYFUNCTION("""COMPUTED_VALUE"""),"Vinaya Kajla")</f>
        <v>Vinaya Kajla</v>
      </c>
      <c r="C166" s="2"/>
      <c r="D166" s="2"/>
      <c r="E166" s="2"/>
      <c r="F166" s="2"/>
    </row>
    <row r="167">
      <c r="A167" s="125">
        <f t="shared" si="92"/>
        <v>31</v>
      </c>
      <c r="B167" s="36" t="str">
        <f>IFERROR(__xludf.DUMMYFUNCTION("""COMPUTED_VALUE"""),"Vinotkumar Nagappan")</f>
        <v>Vinotkumar Nagappan</v>
      </c>
      <c r="C167" s="2"/>
      <c r="D167" s="2"/>
      <c r="E167" s="2"/>
      <c r="F167" s="2"/>
    </row>
    <row r="168">
      <c r="A168" s="125">
        <f t="shared" si="92"/>
        <v>32</v>
      </c>
      <c r="B168" s="36" t="str">
        <f>IFERROR(__xludf.DUMMYFUNCTION("""COMPUTED_VALUE"""),"Wayne Liu")</f>
        <v>Wayne Liu</v>
      </c>
      <c r="C168" s="2"/>
      <c r="D168" s="2"/>
      <c r="E168" s="2"/>
      <c r="F168" s="2"/>
    </row>
    <row r="169">
      <c r="A169" s="125">
        <f t="shared" si="92"/>
        <v>0</v>
      </c>
      <c r="B169" s="36"/>
      <c r="C169" s="2"/>
      <c r="D169" s="2"/>
      <c r="E169" s="2"/>
      <c r="F169" s="2"/>
    </row>
    <row r="170">
      <c r="A170" s="125">
        <f t="shared" si="92"/>
        <v>0</v>
      </c>
      <c r="B170" s="36"/>
      <c r="C170" s="2"/>
      <c r="D170" s="2"/>
      <c r="E170" s="2"/>
      <c r="F170" s="2"/>
    </row>
    <row r="171">
      <c r="A171" s="125">
        <f t="shared" si="92"/>
        <v>0</v>
      </c>
      <c r="B171" s="36"/>
      <c r="C171" s="2"/>
      <c r="D171" s="2"/>
      <c r="E171" s="2"/>
      <c r="F171" s="2"/>
    </row>
    <row r="172">
      <c r="A172" s="125">
        <f t="shared" si="92"/>
        <v>0</v>
      </c>
      <c r="B172" s="36"/>
      <c r="C172" s="2"/>
      <c r="D172" s="2"/>
      <c r="E172" s="2"/>
      <c r="F172" s="2"/>
    </row>
    <row r="173">
      <c r="A173" s="125">
        <f t="shared" si="92"/>
        <v>0</v>
      </c>
      <c r="B173" s="36"/>
      <c r="C173" s="2"/>
      <c r="D173" s="2"/>
      <c r="E173" s="2"/>
      <c r="F173" s="2"/>
    </row>
    <row r="174">
      <c r="A174" s="125">
        <f t="shared" si="92"/>
        <v>0</v>
      </c>
      <c r="B174" s="36"/>
      <c r="C174" s="2"/>
      <c r="D174" s="2"/>
      <c r="E174" s="2"/>
      <c r="F174" s="2"/>
    </row>
    <row r="175">
      <c r="A175" s="125">
        <f t="shared" si="92"/>
        <v>0</v>
      </c>
      <c r="B175" s="36"/>
      <c r="C175" s="2"/>
      <c r="D175" s="2"/>
      <c r="E175" s="2"/>
      <c r="F175" s="2"/>
    </row>
    <row r="176">
      <c r="A176" s="125">
        <f t="shared" si="92"/>
        <v>0</v>
      </c>
      <c r="B176" s="36"/>
      <c r="C176" s="2"/>
      <c r="D176" s="2"/>
      <c r="E176" s="2"/>
      <c r="F176" s="2"/>
    </row>
    <row r="177">
      <c r="A177" s="125">
        <f t="shared" si="92"/>
        <v>0</v>
      </c>
      <c r="B177" s="36"/>
      <c r="C177" s="2"/>
      <c r="D177" s="2"/>
      <c r="E177" s="2"/>
      <c r="F177" s="2"/>
    </row>
    <row r="178">
      <c r="A178" s="125">
        <f t="shared" si="92"/>
        <v>0</v>
      </c>
      <c r="B178" s="36"/>
      <c r="C178" s="2"/>
      <c r="D178" s="2"/>
      <c r="E178" s="2"/>
      <c r="F178" s="2"/>
    </row>
    <row r="179">
      <c r="A179" s="125">
        <f t="shared" si="92"/>
        <v>0</v>
      </c>
      <c r="B179" s="36"/>
      <c r="C179" s="2"/>
      <c r="D179" s="2"/>
      <c r="E179" s="2"/>
      <c r="F179" s="2"/>
    </row>
    <row r="180">
      <c r="A180" s="125">
        <f t="shared" si="92"/>
        <v>0</v>
      </c>
      <c r="B180" s="36"/>
      <c r="C180" s="2"/>
      <c r="D180" s="2"/>
      <c r="E180" s="2"/>
      <c r="F180" s="2"/>
    </row>
    <row r="181">
      <c r="A181" s="125">
        <f t="shared" si="92"/>
        <v>0</v>
      </c>
      <c r="B181" s="36"/>
      <c r="C181" s="2"/>
      <c r="D181" s="2"/>
      <c r="E181" s="2"/>
      <c r="F181" s="2"/>
    </row>
    <row r="182">
      <c r="A182" s="125">
        <f t="shared" si="92"/>
        <v>0</v>
      </c>
      <c r="B182" s="36"/>
      <c r="C182" s="2"/>
      <c r="D182" s="2"/>
      <c r="E182" s="2"/>
      <c r="F182" s="2"/>
    </row>
    <row r="183">
      <c r="A183" s="125">
        <f t="shared" si="92"/>
        <v>0</v>
      </c>
      <c r="B183" s="36"/>
      <c r="C183" s="2"/>
      <c r="D183" s="2"/>
      <c r="E183" s="2"/>
      <c r="F183" s="2"/>
    </row>
    <row r="184">
      <c r="A184" s="125">
        <f t="shared" si="92"/>
        <v>0</v>
      </c>
      <c r="B184" s="36"/>
      <c r="C184" s="2"/>
      <c r="D184" s="2"/>
      <c r="E184" s="2"/>
      <c r="F184" s="2"/>
    </row>
    <row r="185">
      <c r="A185" s="125">
        <f t="shared" si="92"/>
        <v>0</v>
      </c>
      <c r="B185" s="36"/>
      <c r="C185" s="2"/>
      <c r="D185" s="2"/>
      <c r="E185" s="2"/>
      <c r="F185" s="2"/>
    </row>
    <row r="186">
      <c r="A186" s="125">
        <f t="shared" si="92"/>
        <v>0</v>
      </c>
      <c r="B186" s="36"/>
      <c r="C186" s="2"/>
      <c r="D186" s="2"/>
      <c r="E186" s="2"/>
      <c r="F186" s="2"/>
    </row>
    <row r="187">
      <c r="A187" s="125">
        <f t="shared" si="92"/>
        <v>0</v>
      </c>
      <c r="B187" s="36"/>
      <c r="C187" s="2"/>
      <c r="D187" s="2"/>
      <c r="E187" s="2"/>
      <c r="F187" s="2"/>
    </row>
    <row r="188">
      <c r="A188" s="125">
        <f t="shared" si="92"/>
        <v>0</v>
      </c>
      <c r="B188" s="36"/>
      <c r="C188" s="2"/>
      <c r="D188" s="2"/>
      <c r="E188" s="2"/>
      <c r="F188" s="2"/>
    </row>
    <row r="189">
      <c r="A189" s="125">
        <f t="shared" si="92"/>
        <v>0</v>
      </c>
      <c r="B189" s="36"/>
      <c r="C189" s="2"/>
      <c r="D189" s="2"/>
      <c r="E189" s="2"/>
      <c r="F189" s="2"/>
    </row>
    <row r="190">
      <c r="A190" s="125">
        <f t="shared" si="92"/>
        <v>0</v>
      </c>
      <c r="B190" s="36"/>
      <c r="C190" s="2"/>
      <c r="D190" s="2"/>
      <c r="E190" s="2"/>
      <c r="F190" s="2"/>
    </row>
    <row r="191">
      <c r="A191" s="125">
        <f t="shared" si="92"/>
        <v>0</v>
      </c>
      <c r="B191" s="36"/>
      <c r="C191" s="2"/>
      <c r="D191" s="2"/>
      <c r="E191" s="2"/>
      <c r="F191" s="2"/>
    </row>
    <row r="192">
      <c r="A192" s="125">
        <f t="shared" si="92"/>
        <v>0</v>
      </c>
      <c r="B192" s="36"/>
      <c r="C192" s="2"/>
      <c r="D192" s="2"/>
      <c r="E192" s="2"/>
      <c r="F192" s="2"/>
    </row>
    <row r="193">
      <c r="A193" s="125">
        <f t="shared" si="92"/>
        <v>0</v>
      </c>
      <c r="B193" s="36"/>
      <c r="C193" s="2"/>
      <c r="D193" s="2"/>
      <c r="E193" s="2"/>
      <c r="F193" s="2"/>
    </row>
    <row r="194">
      <c r="A194" s="125">
        <f t="shared" si="92"/>
        <v>0</v>
      </c>
      <c r="B194" s="36"/>
      <c r="C194" s="2"/>
      <c r="D194" s="2"/>
      <c r="E194" s="2"/>
      <c r="F194" s="2"/>
    </row>
    <row r="195">
      <c r="A195" s="125">
        <f t="shared" si="92"/>
        <v>0</v>
      </c>
      <c r="B195" s="36"/>
      <c r="C195" s="2"/>
      <c r="D195" s="2"/>
      <c r="E195" s="2"/>
      <c r="F195" s="2"/>
    </row>
    <row r="196">
      <c r="A196" s="125">
        <f t="shared" si="92"/>
        <v>0</v>
      </c>
      <c r="B196" s="36"/>
      <c r="C196" s="2"/>
      <c r="D196" s="2"/>
      <c r="E196" s="2"/>
      <c r="F196" s="2"/>
    </row>
    <row r="197">
      <c r="A197" s="125">
        <f t="shared" si="92"/>
        <v>0</v>
      </c>
      <c r="B197" s="36"/>
      <c r="C197" s="2"/>
      <c r="D197" s="2"/>
      <c r="E197" s="2"/>
      <c r="F197" s="2"/>
    </row>
    <row r="198">
      <c r="A198" s="125">
        <f t="shared" si="92"/>
        <v>0</v>
      </c>
      <c r="B198" s="36"/>
      <c r="C198" s="2"/>
      <c r="D198" s="2"/>
      <c r="E198" s="2"/>
      <c r="F198" s="2"/>
    </row>
    <row r="199">
      <c r="A199" s="125">
        <f t="shared" si="92"/>
        <v>0</v>
      </c>
      <c r="B199" s="36"/>
      <c r="C199" s="2"/>
      <c r="D199" s="2"/>
      <c r="E199" s="2"/>
      <c r="F199" s="2"/>
    </row>
    <row r="200">
      <c r="A200" s="125">
        <f t="shared" si="92"/>
        <v>0</v>
      </c>
      <c r="B200" s="36"/>
      <c r="C200" s="2"/>
      <c r="D200" s="2"/>
      <c r="E200" s="2"/>
      <c r="F200" s="2"/>
    </row>
    <row r="201">
      <c r="A201" s="125">
        <f t="shared" si="92"/>
        <v>0</v>
      </c>
      <c r="B201" s="36"/>
      <c r="C201" s="2"/>
      <c r="D201" s="2"/>
      <c r="E201" s="2"/>
      <c r="F201" s="2"/>
    </row>
    <row r="202">
      <c r="A202" s="125">
        <f t="shared" si="92"/>
        <v>0</v>
      </c>
      <c r="B202" s="36"/>
      <c r="C202" s="2"/>
      <c r="D202" s="2"/>
      <c r="E202" s="2"/>
      <c r="F202" s="2"/>
    </row>
    <row r="203">
      <c r="A203" s="125">
        <f t="shared" si="92"/>
        <v>0</v>
      </c>
      <c r="B203" s="36"/>
      <c r="C203" s="2"/>
      <c r="D203" s="2"/>
      <c r="E203" s="2"/>
      <c r="F203" s="2"/>
    </row>
    <row r="204">
      <c r="A204" s="125">
        <f t="shared" si="92"/>
        <v>0</v>
      </c>
      <c r="B204" s="36"/>
      <c r="C204" s="2"/>
      <c r="D204" s="2"/>
      <c r="E204" s="2"/>
      <c r="F204" s="2"/>
    </row>
    <row r="205">
      <c r="A205" s="125">
        <f t="shared" si="92"/>
        <v>0</v>
      </c>
      <c r="B205" s="36"/>
      <c r="C205" s="2"/>
      <c r="D205" s="2"/>
      <c r="E205" s="2"/>
      <c r="F205" s="2"/>
    </row>
    <row r="206">
      <c r="A206" s="125">
        <f t="shared" si="92"/>
        <v>0</v>
      </c>
      <c r="B206" s="36"/>
      <c r="C206" s="2"/>
      <c r="D206" s="2"/>
      <c r="E206" s="2"/>
      <c r="F206" s="2"/>
    </row>
    <row r="207">
      <c r="A207" s="125">
        <f t="shared" si="92"/>
        <v>0</v>
      </c>
      <c r="B207" s="36"/>
      <c r="C207" s="2"/>
      <c r="D207" s="2"/>
      <c r="E207" s="2"/>
      <c r="F207" s="2"/>
    </row>
    <row r="208">
      <c r="A208" s="125">
        <f t="shared" si="92"/>
        <v>0</v>
      </c>
      <c r="B208" s="36"/>
      <c r="C208" s="2"/>
      <c r="D208" s="2"/>
      <c r="E208" s="2"/>
      <c r="F208" s="2"/>
    </row>
    <row r="209">
      <c r="A209" s="125">
        <f t="shared" si="92"/>
        <v>0</v>
      </c>
      <c r="B209" s="36"/>
      <c r="C209" s="2"/>
      <c r="D209" s="2"/>
      <c r="E209" s="2"/>
      <c r="F209" s="2"/>
    </row>
    <row r="210">
      <c r="A210" s="125">
        <f t="shared" si="92"/>
        <v>0</v>
      </c>
      <c r="B210" s="36"/>
      <c r="C210" s="2"/>
      <c r="D210" s="2"/>
      <c r="E210" s="2"/>
      <c r="F210" s="2"/>
    </row>
    <row r="211">
      <c r="A211" s="125">
        <f t="shared" si="92"/>
        <v>0</v>
      </c>
      <c r="B211" s="36"/>
      <c r="C211" s="2"/>
      <c r="D211" s="2"/>
      <c r="E211" s="2"/>
      <c r="F211" s="2"/>
    </row>
    <row r="212">
      <c r="A212" s="125">
        <f t="shared" si="92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93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93"/>
        <v>#REF!</v>
      </c>
      <c r="D223" s="2"/>
      <c r="E223" s="2"/>
      <c r="F223" s="2"/>
    </row>
    <row r="224">
      <c r="A224" s="2"/>
      <c r="B224" s="36" t="str">
        <f t="shared" ref="B224:C224" si="94">#REF!</f>
        <v>#REF!</v>
      </c>
      <c r="C224" s="125" t="str">
        <f t="shared" si="94"/>
        <v>#REF!</v>
      </c>
      <c r="D224" s="2"/>
      <c r="E224" s="2"/>
      <c r="F224" s="2"/>
    </row>
    <row r="225">
      <c r="A225" s="2"/>
      <c r="B225" s="36" t="str">
        <f t="shared" ref="B225:C225" si="95">#REF!</f>
        <v>#REF!</v>
      </c>
      <c r="C225" s="125" t="str">
        <f t="shared" si="95"/>
        <v>#REF!</v>
      </c>
      <c r="D225" s="2"/>
      <c r="E225" s="2"/>
      <c r="F225" s="2"/>
    </row>
    <row r="226">
      <c r="A226" s="2"/>
      <c r="B226" s="36" t="str">
        <f t="shared" ref="B226:C226" si="96">#REF!</f>
        <v>#REF!</v>
      </c>
      <c r="C226" s="125" t="str">
        <f t="shared" si="96"/>
        <v>#REF!</v>
      </c>
      <c r="D226" s="2"/>
      <c r="E226" s="2"/>
      <c r="F226" s="2"/>
    </row>
    <row r="227">
      <c r="A227" s="2"/>
      <c r="B227" s="36" t="str">
        <f t="shared" ref="B227:C227" si="97">#REF!</f>
        <v>#REF!</v>
      </c>
      <c r="C227" s="125" t="str">
        <f t="shared" si="97"/>
        <v>#REF!</v>
      </c>
      <c r="D227" s="2"/>
      <c r="E227" s="2"/>
      <c r="F227" s="2"/>
    </row>
    <row r="228">
      <c r="A228" s="2"/>
      <c r="B228" s="36" t="str">
        <f t="shared" ref="B228:C228" si="98">#REF!</f>
        <v>#REF!</v>
      </c>
      <c r="C228" s="125" t="str">
        <f t="shared" si="98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06/27/26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 t="str">
        <f>IFERROR(__xludf.DUMMYFUNCTION("QUERY(indirect(AC2 &amp; ""!B5:M79""),""Select G, B, I, J, K,L, M where G &gt; 0 order by G asc"",0)"),"#N/A")</f>
        <v>#N/A</v>
      </c>
      <c r="B239" s="36"/>
      <c r="C239" s="131"/>
      <c r="D239" s="131"/>
      <c r="E239" s="131"/>
      <c r="F239" s="131"/>
      <c r="G239" s="131"/>
    </row>
    <row r="240">
      <c r="A240" s="125"/>
      <c r="B240" s="36"/>
      <c r="C240" s="131"/>
      <c r="D240" s="131"/>
      <c r="E240" s="131"/>
      <c r="F240" s="131"/>
      <c r="G240" s="131"/>
    </row>
    <row r="241">
      <c r="A241" s="125"/>
      <c r="B241" s="36"/>
      <c r="C241" s="131"/>
      <c r="D241" s="131"/>
      <c r="E241" s="131"/>
      <c r="F241" s="131"/>
      <c r="G241" s="131"/>
    </row>
    <row r="242">
      <c r="A242" s="125"/>
      <c r="B242" s="36"/>
      <c r="C242" s="131"/>
      <c r="D242" s="131"/>
      <c r="E242" s="131"/>
      <c r="F242" s="131"/>
      <c r="G242" s="131"/>
    </row>
    <row r="243">
      <c r="A243" s="132"/>
      <c r="B243" s="133"/>
      <c r="C243" s="134"/>
      <c r="D243" s="134"/>
      <c r="E243" s="134"/>
      <c r="F243" s="134"/>
      <c r="G243" s="134"/>
    </row>
    <row r="244">
      <c r="A244" s="132"/>
      <c r="B244" s="133"/>
      <c r="C244" s="134"/>
      <c r="D244" s="134"/>
      <c r="E244" s="134"/>
      <c r="F244" s="134"/>
      <c r="G244" s="134"/>
    </row>
    <row r="245">
      <c r="A245" s="132"/>
      <c r="B245" s="133"/>
      <c r="C245" s="134"/>
      <c r="D245" s="134"/>
      <c r="E245" s="134"/>
      <c r="F245" s="134"/>
      <c r="G245" s="134"/>
    </row>
    <row r="246">
      <c r="A246" s="132"/>
      <c r="B246" s="133"/>
      <c r="C246" s="134"/>
      <c r="D246" s="134"/>
      <c r="E246" s="134"/>
      <c r="F246" s="134"/>
      <c r="G246" s="134"/>
    </row>
    <row r="247">
      <c r="A247" s="125"/>
      <c r="B247" s="36"/>
      <c r="C247" s="131"/>
      <c r="D247" s="131"/>
      <c r="E247" s="131"/>
      <c r="F247" s="131"/>
      <c r="G247" s="131"/>
    </row>
    <row r="248">
      <c r="A248" s="125"/>
      <c r="B248" s="36"/>
      <c r="C248" s="131"/>
      <c r="D248" s="131"/>
      <c r="E248" s="131"/>
      <c r="F248" s="131"/>
      <c r="G248" s="131"/>
    </row>
    <row r="249">
      <c r="A249" s="125"/>
      <c r="B249" s="36"/>
      <c r="C249" s="131"/>
      <c r="D249" s="131"/>
      <c r="E249" s="131"/>
      <c r="F249" s="131"/>
      <c r="G249" s="131"/>
    </row>
    <row r="250">
      <c r="A250" s="125"/>
      <c r="B250" s="36"/>
      <c r="C250" s="131"/>
      <c r="D250" s="131"/>
      <c r="E250" s="131"/>
      <c r="F250" s="131"/>
      <c r="G250" s="131"/>
    </row>
    <row r="251">
      <c r="A251" s="132"/>
      <c r="B251" s="133"/>
      <c r="C251" s="134"/>
      <c r="D251" s="134"/>
      <c r="E251" s="134"/>
      <c r="F251" s="134"/>
      <c r="G251" s="134"/>
    </row>
    <row r="252">
      <c r="A252" s="132"/>
      <c r="B252" s="133"/>
      <c r="C252" s="134"/>
      <c r="D252" s="134"/>
      <c r="E252" s="134"/>
      <c r="F252" s="134"/>
      <c r="G252" s="134"/>
    </row>
    <row r="253">
      <c r="A253" s="132"/>
      <c r="B253" s="133"/>
      <c r="C253" s="134"/>
      <c r="D253" s="134"/>
      <c r="E253" s="134"/>
      <c r="F253" s="134"/>
      <c r="G253" s="134"/>
    </row>
    <row r="254">
      <c r="A254" s="132"/>
      <c r="B254" s="133"/>
      <c r="C254" s="134"/>
      <c r="D254" s="134"/>
      <c r="E254" s="134"/>
      <c r="F254" s="134"/>
      <c r="G254" s="134"/>
    </row>
    <row r="255">
      <c r="A255" s="125"/>
      <c r="B255" s="36"/>
      <c r="C255" s="131"/>
      <c r="D255" s="131"/>
      <c r="E255" s="131"/>
      <c r="F255" s="131"/>
      <c r="G255" s="131"/>
    </row>
    <row r="256">
      <c r="A256" s="125"/>
      <c r="B256" s="36"/>
      <c r="C256" s="131"/>
      <c r="D256" s="131"/>
      <c r="E256" s="131"/>
      <c r="F256" s="131"/>
      <c r="G256" s="131"/>
    </row>
    <row r="257">
      <c r="A257" s="125"/>
      <c r="B257" s="36"/>
      <c r="C257" s="131"/>
      <c r="D257" s="131"/>
      <c r="E257" s="131"/>
      <c r="F257" s="131"/>
      <c r="G257" s="131"/>
    </row>
    <row r="258">
      <c r="A258" s="125"/>
      <c r="B258" s="36"/>
      <c r="C258" s="131"/>
      <c r="D258" s="131"/>
      <c r="E258" s="131"/>
      <c r="F258" s="131"/>
      <c r="G258" s="131"/>
    </row>
    <row r="259">
      <c r="A259" s="132"/>
      <c r="B259" s="133"/>
      <c r="C259" s="134"/>
      <c r="D259" s="134"/>
      <c r="E259" s="134"/>
      <c r="F259" s="134"/>
      <c r="G259" s="134"/>
    </row>
    <row r="260">
      <c r="A260" s="132"/>
      <c r="B260" s="133"/>
      <c r="C260" s="134"/>
      <c r="D260" s="134"/>
      <c r="E260" s="134"/>
      <c r="F260" s="134"/>
      <c r="G260" s="134"/>
    </row>
    <row r="261">
      <c r="A261" s="132"/>
      <c r="B261" s="133"/>
      <c r="C261" s="134"/>
      <c r="D261" s="134"/>
      <c r="E261" s="134"/>
      <c r="F261" s="134"/>
      <c r="G261" s="134"/>
    </row>
    <row r="262">
      <c r="A262" s="132"/>
      <c r="B262" s="133"/>
      <c r="C262" s="134"/>
      <c r="D262" s="134"/>
      <c r="E262" s="134"/>
      <c r="F262" s="134"/>
      <c r="G262" s="134"/>
    </row>
    <row r="263">
      <c r="A263" s="125"/>
      <c r="B263" s="36"/>
      <c r="C263" s="131"/>
      <c r="D263" s="131"/>
      <c r="E263" s="131"/>
      <c r="F263" s="131"/>
      <c r="G263" s="131"/>
    </row>
    <row r="264">
      <c r="A264" s="125"/>
      <c r="B264" s="36"/>
      <c r="C264" s="131"/>
      <c r="D264" s="131"/>
      <c r="E264" s="131"/>
      <c r="F264" s="131"/>
      <c r="G264" s="131"/>
    </row>
    <row r="265">
      <c r="A265" s="125"/>
      <c r="B265" s="36"/>
      <c r="C265" s="131"/>
      <c r="D265" s="131"/>
      <c r="E265" s="131"/>
      <c r="F265" s="131"/>
      <c r="G265" s="131"/>
    </row>
    <row r="266">
      <c r="A266" s="125"/>
      <c r="B266" s="36"/>
      <c r="C266" s="131"/>
      <c r="D266" s="131"/>
      <c r="E266" s="131"/>
      <c r="F266" s="131"/>
      <c r="G266" s="131"/>
    </row>
    <row r="267">
      <c r="A267" s="132"/>
      <c r="B267" s="133"/>
      <c r="C267" s="134"/>
      <c r="D267" s="134"/>
      <c r="E267" s="134"/>
      <c r="F267" s="134"/>
      <c r="G267" s="134"/>
    </row>
    <row r="268">
      <c r="A268" s="132"/>
      <c r="B268" s="133"/>
      <c r="C268" s="134"/>
      <c r="D268" s="134"/>
      <c r="E268" s="134"/>
      <c r="F268" s="134"/>
      <c r="G268" s="134"/>
    </row>
    <row r="269">
      <c r="A269" s="132"/>
      <c r="B269" s="133"/>
      <c r="C269" s="134"/>
      <c r="D269" s="134"/>
      <c r="E269" s="134"/>
      <c r="F269" s="134"/>
      <c r="G269" s="134"/>
    </row>
    <row r="270">
      <c r="A270" s="132"/>
      <c r="B270" s="133"/>
      <c r="C270" s="134"/>
      <c r="D270" s="134"/>
      <c r="E270" s="134"/>
      <c r="F270" s="134"/>
      <c r="G270" s="134"/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9">A287</f>
        <v>1</v>
      </c>
      <c r="D287" s="138" t="str">
        <f>IFERROR(__xludf.DUMMYFUNCTION("QUERY(B5:R71,""Select B where R = '' order by B asc"",0)"),"#N/A")</f>
        <v>#N/A</v>
      </c>
      <c r="E287" s="26"/>
      <c r="F287" s="27"/>
      <c r="G287" s="137">
        <f t="shared" ref="G287:G361" si="100">C287</f>
        <v>1</v>
      </c>
      <c r="H287" s="138" t="str">
        <f>IFERROR(__xludf.DUMMYFUNCTION("QUERY(B5:R71,""Select B where R = 'N' order by B asc"",0)"),"#N/A")</f>
        <v>#N/A</v>
      </c>
      <c r="I287" s="26"/>
      <c r="J287" s="27"/>
    </row>
    <row r="288">
      <c r="A288" s="135">
        <f t="shared" ref="A288:A361" si="101">A287+1</f>
        <v>2</v>
      </c>
      <c r="B288" s="136" t="str">
        <f>IFERROR(__xludf.DUMMYFUNCTION("""COMPUTED_VALUE"""),"Alejandro Mejia")</f>
        <v>Alejandro Mejia</v>
      </c>
      <c r="C288" s="137">
        <f t="shared" si="99"/>
        <v>2</v>
      </c>
      <c r="D288" s="138"/>
      <c r="E288" s="26"/>
      <c r="F288" s="27"/>
      <c r="G288" s="137">
        <f t="shared" si="100"/>
        <v>2</v>
      </c>
      <c r="H288" s="138"/>
      <c r="I288" s="26"/>
      <c r="J288" s="27"/>
    </row>
    <row r="289">
      <c r="A289" s="135">
        <f t="shared" si="101"/>
        <v>3</v>
      </c>
      <c r="B289" s="136" t="str">
        <f>IFERROR(__xludf.DUMMYFUNCTION("""COMPUTED_VALUE"""),"Alex Hou")</f>
        <v>Alex Hou</v>
      </c>
      <c r="C289" s="137">
        <f t="shared" si="99"/>
        <v>3</v>
      </c>
      <c r="D289" s="138"/>
      <c r="E289" s="26"/>
      <c r="F289" s="27"/>
      <c r="G289" s="137">
        <f t="shared" si="100"/>
        <v>3</v>
      </c>
      <c r="H289" s="138"/>
      <c r="I289" s="26"/>
      <c r="J289" s="27"/>
    </row>
    <row r="290">
      <c r="A290" s="135">
        <f t="shared" si="101"/>
        <v>4</v>
      </c>
      <c r="B290" s="136" t="str">
        <f>IFERROR(__xludf.DUMMYFUNCTION("""COMPUTED_VALUE"""),"Allen Zhang")</f>
        <v>Allen Zhang</v>
      </c>
      <c r="C290" s="137">
        <f t="shared" si="99"/>
        <v>4</v>
      </c>
      <c r="D290" s="138"/>
      <c r="E290" s="26"/>
      <c r="F290" s="27"/>
      <c r="G290" s="137">
        <f t="shared" si="100"/>
        <v>4</v>
      </c>
      <c r="H290" s="138"/>
      <c r="I290" s="26"/>
      <c r="J290" s="27"/>
    </row>
    <row r="291">
      <c r="A291" s="135">
        <f t="shared" si="101"/>
        <v>5</v>
      </c>
      <c r="B291" s="136" t="str">
        <f>IFERROR(__xludf.DUMMYFUNCTION("""COMPUTED_VALUE"""),"Andrew Wen")</f>
        <v>Andrew Wen</v>
      </c>
      <c r="C291" s="137">
        <f t="shared" si="99"/>
        <v>5</v>
      </c>
      <c r="D291" s="138"/>
      <c r="E291" s="26"/>
      <c r="F291" s="27"/>
      <c r="G291" s="137">
        <f t="shared" si="100"/>
        <v>5</v>
      </c>
      <c r="H291" s="138"/>
      <c r="I291" s="26"/>
      <c r="J291" s="27"/>
    </row>
    <row r="292">
      <c r="A292" s="135">
        <f t="shared" si="101"/>
        <v>6</v>
      </c>
      <c r="B292" s="136" t="str">
        <f>IFERROR(__xludf.DUMMYFUNCTION("""COMPUTED_VALUE"""),"Andrew Yao")</f>
        <v>Andrew Yao</v>
      </c>
      <c r="C292" s="137">
        <f t="shared" si="99"/>
        <v>6</v>
      </c>
      <c r="D292" s="138"/>
      <c r="E292" s="26"/>
      <c r="F292" s="27"/>
      <c r="G292" s="137">
        <f t="shared" si="100"/>
        <v>6</v>
      </c>
      <c r="H292" s="138"/>
      <c r="I292" s="26"/>
      <c r="J292" s="27"/>
    </row>
    <row r="293">
      <c r="A293" s="135">
        <f t="shared" si="101"/>
        <v>7</v>
      </c>
      <c r="B293" s="136" t="str">
        <f>IFERROR(__xludf.DUMMYFUNCTION("""COMPUTED_VALUE"""),"Art Hui")</f>
        <v>Art Hui</v>
      </c>
      <c r="C293" s="137">
        <f t="shared" si="99"/>
        <v>7</v>
      </c>
      <c r="D293" s="138"/>
      <c r="E293" s="26"/>
      <c r="F293" s="27"/>
      <c r="G293" s="137">
        <f t="shared" si="100"/>
        <v>7</v>
      </c>
      <c r="H293" s="138"/>
      <c r="I293" s="26"/>
      <c r="J293" s="27"/>
    </row>
    <row r="294">
      <c r="A294" s="135">
        <f t="shared" si="101"/>
        <v>8</v>
      </c>
      <c r="B294" s="136" t="str">
        <f>IFERROR(__xludf.DUMMYFUNCTION("""COMPUTED_VALUE"""),"Basudev Thoppai Vidyasankar")</f>
        <v>Basudev Thoppai Vidyasankar</v>
      </c>
      <c r="C294" s="137">
        <f t="shared" si="99"/>
        <v>8</v>
      </c>
      <c r="D294" s="138"/>
      <c r="E294" s="26"/>
      <c r="F294" s="27"/>
      <c r="G294" s="137">
        <f t="shared" si="100"/>
        <v>8</v>
      </c>
      <c r="H294" s="138"/>
      <c r="I294" s="26"/>
      <c r="J294" s="27"/>
    </row>
    <row r="295">
      <c r="A295" s="135">
        <f t="shared" si="101"/>
        <v>9</v>
      </c>
      <c r="B295" s="136" t="str">
        <f>IFERROR(__xludf.DUMMYFUNCTION("""COMPUTED_VALUE"""),"Camille Jung")</f>
        <v>Camille Jung</v>
      </c>
      <c r="C295" s="137">
        <f t="shared" si="99"/>
        <v>9</v>
      </c>
      <c r="D295" s="138"/>
      <c r="E295" s="26"/>
      <c r="F295" s="27"/>
      <c r="G295" s="137">
        <f t="shared" si="100"/>
        <v>9</v>
      </c>
      <c r="H295" s="138"/>
      <c r="I295" s="26"/>
      <c r="J295" s="27"/>
    </row>
    <row r="296">
      <c r="A296" s="135">
        <f t="shared" si="101"/>
        <v>10</v>
      </c>
      <c r="B296" s="136" t="str">
        <f>IFERROR(__xludf.DUMMYFUNCTION("""COMPUTED_VALUE"""),"Chinna Ponnaganti")</f>
        <v>Chinna Ponnaganti</v>
      </c>
      <c r="C296" s="137">
        <f t="shared" si="99"/>
        <v>10</v>
      </c>
      <c r="D296" s="138"/>
      <c r="E296" s="26"/>
      <c r="F296" s="27"/>
      <c r="G296" s="137">
        <f t="shared" si="100"/>
        <v>10</v>
      </c>
      <c r="H296" s="138"/>
      <c r="I296" s="26"/>
      <c r="J296" s="27"/>
    </row>
    <row r="297">
      <c r="A297" s="135">
        <f t="shared" si="101"/>
        <v>11</v>
      </c>
      <c r="B297" s="136" t="str">
        <f>IFERROR(__xludf.DUMMYFUNCTION("""COMPUTED_VALUE"""),"Cid Macaraeg")</f>
        <v>Cid Macaraeg</v>
      </c>
      <c r="C297" s="137">
        <f t="shared" si="99"/>
        <v>11</v>
      </c>
      <c r="D297" s="138"/>
      <c r="E297" s="26"/>
      <c r="F297" s="27"/>
      <c r="G297" s="137">
        <f t="shared" si="100"/>
        <v>11</v>
      </c>
      <c r="H297" s="138"/>
      <c r="I297" s="26"/>
      <c r="J297" s="27"/>
    </row>
    <row r="298">
      <c r="A298" s="135">
        <f t="shared" si="101"/>
        <v>12</v>
      </c>
      <c r="B298" s="136" t="str">
        <f>IFERROR(__xludf.DUMMYFUNCTION("""COMPUTED_VALUE"""),"Coco Yan")</f>
        <v>Coco Yan</v>
      </c>
      <c r="C298" s="137">
        <f t="shared" si="99"/>
        <v>12</v>
      </c>
      <c r="D298" s="138"/>
      <c r="E298" s="26"/>
      <c r="F298" s="27"/>
      <c r="G298" s="137">
        <f t="shared" si="100"/>
        <v>12</v>
      </c>
      <c r="H298" s="138"/>
      <c r="I298" s="26"/>
      <c r="J298" s="27"/>
    </row>
    <row r="299">
      <c r="A299" s="135">
        <f t="shared" si="101"/>
        <v>13</v>
      </c>
      <c r="B299" s="136" t="str">
        <f>IFERROR(__xludf.DUMMYFUNCTION("""COMPUTED_VALUE"""),"Darren Wong")</f>
        <v>Darren Wong</v>
      </c>
      <c r="C299" s="137">
        <f t="shared" si="99"/>
        <v>13</v>
      </c>
      <c r="D299" s="138"/>
      <c r="E299" s="26"/>
      <c r="F299" s="27"/>
      <c r="G299" s="137">
        <f t="shared" si="100"/>
        <v>13</v>
      </c>
      <c r="H299" s="138"/>
      <c r="I299" s="26"/>
      <c r="J299" s="27"/>
    </row>
    <row r="300">
      <c r="A300" s="135">
        <f t="shared" si="101"/>
        <v>14</v>
      </c>
      <c r="B300" s="136" t="str">
        <f>IFERROR(__xludf.DUMMYFUNCTION("""COMPUTED_VALUE"""),"David Shin")</f>
        <v>David Shin</v>
      </c>
      <c r="C300" s="137">
        <f t="shared" si="99"/>
        <v>14</v>
      </c>
      <c r="D300" s="138"/>
      <c r="E300" s="26"/>
      <c r="F300" s="27"/>
      <c r="G300" s="137">
        <f t="shared" si="100"/>
        <v>14</v>
      </c>
      <c r="H300" s="138"/>
      <c r="I300" s="26"/>
      <c r="J300" s="27"/>
    </row>
    <row r="301">
      <c r="A301" s="135">
        <f t="shared" si="101"/>
        <v>15</v>
      </c>
      <c r="B301" s="136" t="str">
        <f>IFERROR(__xludf.DUMMYFUNCTION("""COMPUTED_VALUE"""),"Elayaraja Thangaraj")</f>
        <v>Elayaraja Thangaraj</v>
      </c>
      <c r="C301" s="137">
        <f t="shared" si="99"/>
        <v>15</v>
      </c>
      <c r="D301" s="138"/>
      <c r="E301" s="26"/>
      <c r="F301" s="27"/>
      <c r="G301" s="137">
        <f t="shared" si="100"/>
        <v>15</v>
      </c>
      <c r="H301" s="138"/>
      <c r="I301" s="26"/>
      <c r="J301" s="27"/>
    </row>
    <row r="302">
      <c r="A302" s="135">
        <f t="shared" si="101"/>
        <v>16</v>
      </c>
      <c r="B302" s="136" t="str">
        <f>IFERROR(__xludf.DUMMYFUNCTION("""COMPUTED_VALUE"""),"Eric Pan")</f>
        <v>Eric Pan</v>
      </c>
      <c r="C302" s="137">
        <f t="shared" si="99"/>
        <v>16</v>
      </c>
      <c r="D302" s="138"/>
      <c r="E302" s="26"/>
      <c r="F302" s="27"/>
      <c r="G302" s="137">
        <f t="shared" si="100"/>
        <v>16</v>
      </c>
      <c r="H302" s="138"/>
      <c r="I302" s="26"/>
      <c r="J302" s="27"/>
    </row>
    <row r="303">
      <c r="A303" s="135">
        <f t="shared" si="101"/>
        <v>17</v>
      </c>
      <c r="B303" s="136" t="str">
        <f>IFERROR(__xludf.DUMMYFUNCTION("""COMPUTED_VALUE"""),"Eric Tan")</f>
        <v>Eric Tan</v>
      </c>
      <c r="C303" s="137">
        <f t="shared" si="99"/>
        <v>17</v>
      </c>
      <c r="D303" s="138"/>
      <c r="E303" s="26"/>
      <c r="F303" s="27"/>
      <c r="G303" s="137">
        <f t="shared" si="100"/>
        <v>17</v>
      </c>
      <c r="H303" s="138"/>
      <c r="I303" s="26"/>
      <c r="J303" s="27"/>
    </row>
    <row r="304">
      <c r="A304" s="135">
        <f t="shared" si="101"/>
        <v>18</v>
      </c>
      <c r="B304" s="136" t="str">
        <f>IFERROR(__xludf.DUMMYFUNCTION("""COMPUTED_VALUE"""),"Erik Hoeckmann")</f>
        <v>Erik Hoeckmann</v>
      </c>
      <c r="C304" s="137">
        <f t="shared" si="99"/>
        <v>18</v>
      </c>
      <c r="D304" s="138"/>
      <c r="E304" s="26"/>
      <c r="F304" s="27"/>
      <c r="G304" s="137">
        <f t="shared" si="100"/>
        <v>18</v>
      </c>
      <c r="H304" s="138"/>
      <c r="I304" s="26"/>
      <c r="J304" s="27"/>
    </row>
    <row r="305">
      <c r="A305" s="135">
        <f t="shared" si="101"/>
        <v>19</v>
      </c>
      <c r="B305" s="136" t="str">
        <f>IFERROR(__xludf.DUMMYFUNCTION("""COMPUTED_VALUE"""),"Ethan Gu")</f>
        <v>Ethan Gu</v>
      </c>
      <c r="C305" s="137">
        <f t="shared" si="99"/>
        <v>19</v>
      </c>
      <c r="D305" s="138"/>
      <c r="E305" s="26"/>
      <c r="F305" s="27"/>
      <c r="G305" s="137">
        <f t="shared" si="100"/>
        <v>19</v>
      </c>
      <c r="H305" s="138"/>
      <c r="I305" s="26"/>
      <c r="J305" s="27"/>
    </row>
    <row r="306">
      <c r="A306" s="135">
        <f t="shared" si="101"/>
        <v>20</v>
      </c>
      <c r="B306" s="136" t="str">
        <f>IFERROR(__xludf.DUMMYFUNCTION("""COMPUTED_VALUE"""),"Frank Moon")</f>
        <v>Frank Moon</v>
      </c>
      <c r="C306" s="137">
        <f t="shared" si="99"/>
        <v>20</v>
      </c>
      <c r="D306" s="138"/>
      <c r="E306" s="26"/>
      <c r="F306" s="27"/>
      <c r="G306" s="137">
        <f t="shared" si="100"/>
        <v>20</v>
      </c>
      <c r="H306" s="138"/>
      <c r="I306" s="26"/>
      <c r="J306" s="27"/>
    </row>
    <row r="307">
      <c r="A307" s="135">
        <f t="shared" si="101"/>
        <v>21</v>
      </c>
      <c r="B307" s="136" t="str">
        <f>IFERROR(__xludf.DUMMYFUNCTION("""COMPUTED_VALUE"""),"Herman Au")</f>
        <v>Herman Au</v>
      </c>
      <c r="C307" s="137">
        <f t="shared" si="99"/>
        <v>21</v>
      </c>
      <c r="D307" s="138"/>
      <c r="E307" s="26"/>
      <c r="F307" s="27"/>
      <c r="G307" s="137">
        <f t="shared" si="100"/>
        <v>21</v>
      </c>
      <c r="H307" s="138"/>
      <c r="I307" s="26"/>
      <c r="J307" s="27"/>
    </row>
    <row r="308">
      <c r="A308" s="135">
        <f t="shared" si="101"/>
        <v>22</v>
      </c>
      <c r="B308" s="136" t="str">
        <f>IFERROR(__xludf.DUMMYFUNCTION("""COMPUTED_VALUE"""),"Hongyuan Wen")</f>
        <v>Hongyuan Wen</v>
      </c>
      <c r="C308" s="137">
        <f t="shared" si="99"/>
        <v>22</v>
      </c>
      <c r="D308" s="138"/>
      <c r="E308" s="26"/>
      <c r="F308" s="27"/>
      <c r="G308" s="137">
        <f t="shared" si="100"/>
        <v>22</v>
      </c>
      <c r="H308" s="138"/>
      <c r="I308" s="26"/>
      <c r="J308" s="27"/>
    </row>
    <row r="309">
      <c r="A309" s="135">
        <f t="shared" si="101"/>
        <v>23</v>
      </c>
      <c r="B309" s="136" t="str">
        <f>IFERROR(__xludf.DUMMYFUNCTION("""COMPUTED_VALUE"""),"Jaya Sogata")</f>
        <v>Jaya Sogata</v>
      </c>
      <c r="C309" s="137">
        <f t="shared" si="99"/>
        <v>23</v>
      </c>
      <c r="D309" s="138"/>
      <c r="E309" s="26"/>
      <c r="F309" s="27"/>
      <c r="G309" s="137">
        <f t="shared" si="100"/>
        <v>23</v>
      </c>
      <c r="H309" s="138"/>
      <c r="I309" s="26"/>
      <c r="J309" s="27"/>
    </row>
    <row r="310">
      <c r="A310" s="135">
        <f t="shared" si="101"/>
        <v>24</v>
      </c>
      <c r="B310" s="136" t="str">
        <f>IFERROR(__xludf.DUMMYFUNCTION("""COMPUTED_VALUE"""),"Jim Miao")</f>
        <v>Jim Miao</v>
      </c>
      <c r="C310" s="137">
        <f t="shared" si="99"/>
        <v>24</v>
      </c>
      <c r="D310" s="138"/>
      <c r="E310" s="26"/>
      <c r="F310" s="27"/>
      <c r="G310" s="137">
        <f t="shared" si="100"/>
        <v>24</v>
      </c>
      <c r="H310" s="138"/>
      <c r="I310" s="26"/>
      <c r="J310" s="27"/>
    </row>
    <row r="311">
      <c r="A311" s="135">
        <f t="shared" si="101"/>
        <v>25</v>
      </c>
      <c r="B311" s="136" t="str">
        <f>IFERROR(__xludf.DUMMYFUNCTION("""COMPUTED_VALUE"""),"Jimmy Awolesi")</f>
        <v>Jimmy Awolesi</v>
      </c>
      <c r="C311" s="137">
        <f t="shared" si="99"/>
        <v>25</v>
      </c>
      <c r="D311" s="138"/>
      <c r="E311" s="26"/>
      <c r="F311" s="27"/>
      <c r="G311" s="137">
        <f t="shared" si="100"/>
        <v>25</v>
      </c>
      <c r="H311" s="138"/>
      <c r="I311" s="26"/>
      <c r="J311" s="27"/>
    </row>
    <row r="312">
      <c r="A312" s="135">
        <f t="shared" si="101"/>
        <v>26</v>
      </c>
      <c r="B312" s="136" t="str">
        <f>IFERROR(__xludf.DUMMYFUNCTION("""COMPUTED_VALUE"""),"Joe Luzzi")</f>
        <v>Joe Luzzi</v>
      </c>
      <c r="C312" s="137">
        <f t="shared" si="99"/>
        <v>26</v>
      </c>
      <c r="D312" s="138"/>
      <c r="E312" s="26"/>
      <c r="F312" s="27"/>
      <c r="G312" s="137">
        <f t="shared" si="100"/>
        <v>26</v>
      </c>
      <c r="H312" s="138"/>
      <c r="I312" s="26"/>
      <c r="J312" s="27"/>
    </row>
    <row r="313">
      <c r="A313" s="135">
        <f t="shared" si="101"/>
        <v>27</v>
      </c>
      <c r="B313" s="136" t="str">
        <f>IFERROR(__xludf.DUMMYFUNCTION("""COMPUTED_VALUE"""),"Jonathan Phan")</f>
        <v>Jonathan Phan</v>
      </c>
      <c r="C313" s="137">
        <f t="shared" si="99"/>
        <v>27</v>
      </c>
      <c r="D313" s="138"/>
      <c r="E313" s="26"/>
      <c r="F313" s="27"/>
      <c r="G313" s="137">
        <f t="shared" si="100"/>
        <v>27</v>
      </c>
      <c r="H313" s="138"/>
      <c r="I313" s="26"/>
      <c r="J313" s="27"/>
    </row>
    <row r="314">
      <c r="A314" s="135">
        <f t="shared" si="101"/>
        <v>28</v>
      </c>
      <c r="B314" s="136" t="str">
        <f>IFERROR(__xludf.DUMMYFUNCTION("""COMPUTED_VALUE"""),"Joyce Zhu")</f>
        <v>Joyce Zhu</v>
      </c>
      <c r="C314" s="137">
        <f t="shared" si="99"/>
        <v>28</v>
      </c>
      <c r="D314" s="138"/>
      <c r="E314" s="26"/>
      <c r="F314" s="27"/>
      <c r="G314" s="137">
        <f t="shared" si="100"/>
        <v>28</v>
      </c>
      <c r="H314" s="138"/>
      <c r="I314" s="26"/>
      <c r="J314" s="27"/>
    </row>
    <row r="315">
      <c r="A315" s="135">
        <f t="shared" si="101"/>
        <v>29</v>
      </c>
      <c r="B315" s="136" t="str">
        <f>IFERROR(__xludf.DUMMYFUNCTION("""COMPUTED_VALUE"""),"Kumar Palakeel")</f>
        <v>Kumar Palakeel</v>
      </c>
      <c r="C315" s="137">
        <f t="shared" si="99"/>
        <v>29</v>
      </c>
      <c r="D315" s="138"/>
      <c r="E315" s="26"/>
      <c r="F315" s="27"/>
      <c r="G315" s="137">
        <f t="shared" si="100"/>
        <v>29</v>
      </c>
      <c r="H315" s="138"/>
      <c r="I315" s="26"/>
      <c r="J315" s="27"/>
    </row>
    <row r="316">
      <c r="A316" s="135">
        <f t="shared" si="101"/>
        <v>30</v>
      </c>
      <c r="B316" s="136" t="str">
        <f>IFERROR(__xludf.DUMMYFUNCTION("""COMPUTED_VALUE"""),"Lam Bui")</f>
        <v>Lam Bui</v>
      </c>
      <c r="C316" s="137">
        <f t="shared" si="99"/>
        <v>30</v>
      </c>
      <c r="D316" s="138"/>
      <c r="E316" s="26"/>
      <c r="F316" s="27"/>
      <c r="G316" s="137">
        <f t="shared" si="100"/>
        <v>30</v>
      </c>
      <c r="H316" s="138"/>
      <c r="I316" s="26"/>
      <c r="J316" s="27"/>
    </row>
    <row r="317">
      <c r="A317" s="135">
        <f t="shared" si="101"/>
        <v>31</v>
      </c>
      <c r="B317" s="136" t="str">
        <f>IFERROR(__xludf.DUMMYFUNCTION("""COMPUTED_VALUE"""),"Lenin Belangonda")</f>
        <v>Lenin Belangonda</v>
      </c>
      <c r="C317" s="137">
        <f t="shared" si="99"/>
        <v>31</v>
      </c>
      <c r="D317" s="138"/>
      <c r="E317" s="26"/>
      <c r="F317" s="27"/>
      <c r="G317" s="137">
        <f t="shared" si="100"/>
        <v>31</v>
      </c>
      <c r="H317" s="138"/>
      <c r="I317" s="26"/>
      <c r="J317" s="27"/>
    </row>
    <row r="318">
      <c r="A318" s="135">
        <f t="shared" si="101"/>
        <v>32</v>
      </c>
      <c r="B318" s="136" t="str">
        <f>IFERROR(__xludf.DUMMYFUNCTION("""COMPUTED_VALUE"""),"Lloyd Sagar")</f>
        <v>Lloyd Sagar</v>
      </c>
      <c r="C318" s="137">
        <f t="shared" si="99"/>
        <v>32</v>
      </c>
      <c r="D318" s="138"/>
      <c r="E318" s="26"/>
      <c r="F318" s="27"/>
      <c r="G318" s="137">
        <f t="shared" si="100"/>
        <v>32</v>
      </c>
      <c r="H318" s="138"/>
      <c r="I318" s="26"/>
      <c r="J318" s="27"/>
    </row>
    <row r="319">
      <c r="A319" s="135">
        <f t="shared" si="101"/>
        <v>33</v>
      </c>
      <c r="B319" s="136" t="str">
        <f>IFERROR(__xludf.DUMMYFUNCTION("""COMPUTED_VALUE"""),"Luis Hsu")</f>
        <v>Luis Hsu</v>
      </c>
      <c r="C319" s="137">
        <f t="shared" si="99"/>
        <v>33</v>
      </c>
      <c r="D319" s="138"/>
      <c r="E319" s="26"/>
      <c r="F319" s="27"/>
      <c r="G319" s="137">
        <f t="shared" si="100"/>
        <v>33</v>
      </c>
      <c r="H319" s="138"/>
      <c r="I319" s="26"/>
      <c r="J319" s="27"/>
    </row>
    <row r="320">
      <c r="A320" s="135">
        <f t="shared" si="101"/>
        <v>34</v>
      </c>
      <c r="B320" s="136" t="str">
        <f>IFERROR(__xludf.DUMMYFUNCTION("""COMPUTED_VALUE"""),"Manish Anand")</f>
        <v>Manish Anand</v>
      </c>
      <c r="C320" s="137">
        <f t="shared" si="99"/>
        <v>34</v>
      </c>
      <c r="D320" s="138"/>
      <c r="E320" s="26"/>
      <c r="F320" s="27"/>
      <c r="G320" s="137">
        <f t="shared" si="100"/>
        <v>34</v>
      </c>
      <c r="H320" s="138"/>
      <c r="I320" s="26"/>
      <c r="J320" s="27"/>
    </row>
    <row r="321">
      <c r="A321" s="135">
        <f t="shared" si="101"/>
        <v>35</v>
      </c>
      <c r="B321" s="136" t="str">
        <f>IFERROR(__xludf.DUMMYFUNCTION("""COMPUTED_VALUE"""),"Manuel Rivera")</f>
        <v>Manuel Rivera</v>
      </c>
      <c r="C321" s="137">
        <f t="shared" si="99"/>
        <v>35</v>
      </c>
      <c r="D321" s="138"/>
      <c r="E321" s="26"/>
      <c r="F321" s="27"/>
      <c r="G321" s="137">
        <f t="shared" si="100"/>
        <v>35</v>
      </c>
      <c r="H321" s="138"/>
      <c r="I321" s="26"/>
      <c r="J321" s="27"/>
    </row>
    <row r="322">
      <c r="A322" s="135">
        <f t="shared" si="101"/>
        <v>36</v>
      </c>
      <c r="B322" s="136" t="str">
        <f>IFERROR(__xludf.DUMMYFUNCTION("""COMPUTED_VALUE"""),"Matthew Huang")</f>
        <v>Matthew Huang</v>
      </c>
      <c r="C322" s="137">
        <f t="shared" si="99"/>
        <v>36</v>
      </c>
      <c r="D322" s="138"/>
      <c r="E322" s="26"/>
      <c r="F322" s="27"/>
      <c r="G322" s="137">
        <f t="shared" si="100"/>
        <v>36</v>
      </c>
      <c r="H322" s="138"/>
      <c r="I322" s="26"/>
      <c r="J322" s="27"/>
    </row>
    <row r="323">
      <c r="A323" s="135">
        <f t="shared" si="101"/>
        <v>37</v>
      </c>
      <c r="B323" s="136" t="str">
        <f>IFERROR(__xludf.DUMMYFUNCTION("""COMPUTED_VALUE"""),"Mauricio Palacios")</f>
        <v>Mauricio Palacios</v>
      </c>
      <c r="C323" s="137">
        <f t="shared" si="99"/>
        <v>37</v>
      </c>
      <c r="D323" s="138"/>
      <c r="E323" s="26"/>
      <c r="F323" s="27"/>
      <c r="G323" s="137">
        <f t="shared" si="100"/>
        <v>37</v>
      </c>
      <c r="H323" s="138"/>
      <c r="I323" s="26"/>
      <c r="J323" s="27"/>
    </row>
    <row r="324">
      <c r="A324" s="135">
        <f t="shared" si="101"/>
        <v>38</v>
      </c>
      <c r="B324" s="136" t="str">
        <f>IFERROR(__xludf.DUMMYFUNCTION("""COMPUTED_VALUE"""),"Naveen Raj")</f>
        <v>Naveen Raj</v>
      </c>
      <c r="C324" s="137">
        <f t="shared" si="99"/>
        <v>38</v>
      </c>
      <c r="D324" s="138"/>
      <c r="E324" s="26"/>
      <c r="F324" s="27"/>
      <c r="G324" s="137">
        <f t="shared" si="100"/>
        <v>38</v>
      </c>
      <c r="H324" s="138"/>
      <c r="I324" s="26"/>
      <c r="J324" s="27"/>
    </row>
    <row r="325">
      <c r="A325" s="135">
        <f t="shared" si="101"/>
        <v>39</v>
      </c>
      <c r="B325" s="136" t="str">
        <f>IFERROR(__xludf.DUMMYFUNCTION("""COMPUTED_VALUE"""),"Nicole Ni")</f>
        <v>Nicole Ni</v>
      </c>
      <c r="C325" s="137">
        <f t="shared" si="99"/>
        <v>39</v>
      </c>
      <c r="D325" s="138"/>
      <c r="E325" s="26"/>
      <c r="F325" s="27"/>
      <c r="G325" s="137">
        <f t="shared" si="100"/>
        <v>39</v>
      </c>
      <c r="H325" s="138"/>
      <c r="I325" s="26"/>
      <c r="J325" s="27"/>
    </row>
    <row r="326">
      <c r="A326" s="135">
        <f t="shared" si="101"/>
        <v>40</v>
      </c>
      <c r="B326" s="136" t="str">
        <f>IFERROR(__xludf.DUMMYFUNCTION("""COMPUTED_VALUE"""),"Oscar Bonilla")</f>
        <v>Oscar Bonilla</v>
      </c>
      <c r="C326" s="137">
        <f t="shared" si="99"/>
        <v>40</v>
      </c>
      <c r="D326" s="138"/>
      <c r="E326" s="26"/>
      <c r="F326" s="27"/>
      <c r="G326" s="137">
        <f t="shared" si="100"/>
        <v>40</v>
      </c>
      <c r="H326" s="138"/>
      <c r="I326" s="26"/>
      <c r="J326" s="27"/>
    </row>
    <row r="327">
      <c r="A327" s="135">
        <f t="shared" si="101"/>
        <v>41</v>
      </c>
      <c r="B327" s="136" t="str">
        <f>IFERROR(__xludf.DUMMYFUNCTION("""COMPUTED_VALUE"""),"Pavan Akkimsetty")</f>
        <v>Pavan Akkimsetty</v>
      </c>
      <c r="C327" s="137">
        <f t="shared" si="99"/>
        <v>41</v>
      </c>
      <c r="D327" s="138"/>
      <c r="E327" s="26"/>
      <c r="F327" s="27"/>
      <c r="G327" s="137">
        <f t="shared" si="100"/>
        <v>41</v>
      </c>
      <c r="H327" s="138"/>
      <c r="I327" s="26"/>
      <c r="J327" s="27"/>
    </row>
    <row r="328">
      <c r="A328" s="135">
        <f t="shared" si="101"/>
        <v>42</v>
      </c>
      <c r="B328" s="136" t="str">
        <f>IFERROR(__xludf.DUMMYFUNCTION("""COMPUTED_VALUE"""),"Pulkit Mathur")</f>
        <v>Pulkit Mathur</v>
      </c>
      <c r="C328" s="137">
        <f t="shared" si="99"/>
        <v>42</v>
      </c>
      <c r="D328" s="138"/>
      <c r="E328" s="26"/>
      <c r="F328" s="27"/>
      <c r="G328" s="137">
        <f t="shared" si="100"/>
        <v>42</v>
      </c>
      <c r="H328" s="138"/>
      <c r="I328" s="26"/>
      <c r="J328" s="27"/>
    </row>
    <row r="329">
      <c r="A329" s="135">
        <f t="shared" si="101"/>
        <v>43</v>
      </c>
      <c r="B329" s="136" t="str">
        <f>IFERROR(__xludf.DUMMYFUNCTION("""COMPUTED_VALUE"""),"Rajasekar Ramasamy")</f>
        <v>Rajasekar Ramasamy</v>
      </c>
      <c r="C329" s="137">
        <f t="shared" si="99"/>
        <v>43</v>
      </c>
      <c r="D329" s="138"/>
      <c r="E329" s="26"/>
      <c r="F329" s="27"/>
      <c r="G329" s="137">
        <f t="shared" si="100"/>
        <v>43</v>
      </c>
      <c r="H329" s="138"/>
      <c r="I329" s="26"/>
      <c r="J329" s="27"/>
    </row>
    <row r="330">
      <c r="A330" s="135">
        <f t="shared" si="101"/>
        <v>44</v>
      </c>
      <c r="B330" s="136" t="str">
        <f>IFERROR(__xludf.DUMMYFUNCTION("""COMPUTED_VALUE"""),"Rajesh Dorairaj")</f>
        <v>Rajesh Dorairaj</v>
      </c>
      <c r="C330" s="137">
        <f t="shared" si="99"/>
        <v>44</v>
      </c>
      <c r="D330" s="138"/>
      <c r="E330" s="26"/>
      <c r="F330" s="27"/>
      <c r="G330" s="137">
        <f t="shared" si="100"/>
        <v>44</v>
      </c>
      <c r="H330" s="138"/>
      <c r="I330" s="26"/>
      <c r="J330" s="27"/>
    </row>
    <row r="331">
      <c r="A331" s="135">
        <f t="shared" si="101"/>
        <v>45</v>
      </c>
      <c r="B331" s="136" t="str">
        <f>IFERROR(__xludf.DUMMYFUNCTION("""COMPUTED_VALUE"""),"Ramesh Bandaru")</f>
        <v>Ramesh Bandaru</v>
      </c>
      <c r="C331" s="137">
        <f t="shared" si="99"/>
        <v>45</v>
      </c>
      <c r="D331" s="138"/>
      <c r="E331" s="26"/>
      <c r="F331" s="27"/>
      <c r="G331" s="137">
        <f t="shared" si="100"/>
        <v>45</v>
      </c>
      <c r="H331" s="138"/>
      <c r="I331" s="26"/>
      <c r="J331" s="27"/>
    </row>
    <row r="332">
      <c r="A332" s="135">
        <f t="shared" si="101"/>
        <v>46</v>
      </c>
      <c r="B332" s="136" t="str">
        <f>IFERROR(__xludf.DUMMYFUNCTION("""COMPUTED_VALUE"""),"Ranjith Doraiswamy")</f>
        <v>Ranjith Doraiswamy</v>
      </c>
      <c r="C332" s="137">
        <f t="shared" si="99"/>
        <v>46</v>
      </c>
      <c r="D332" s="138"/>
      <c r="E332" s="26"/>
      <c r="F332" s="27"/>
      <c r="G332" s="137">
        <f t="shared" si="100"/>
        <v>46</v>
      </c>
      <c r="H332" s="138"/>
      <c r="I332" s="26"/>
      <c r="J332" s="27"/>
    </row>
    <row r="333">
      <c r="A333" s="135">
        <f t="shared" si="101"/>
        <v>47</v>
      </c>
      <c r="B333" s="136" t="str">
        <f>IFERROR(__xludf.DUMMYFUNCTION("""COMPUTED_VALUE"""),"Robert Chang")</f>
        <v>Robert Chang</v>
      </c>
      <c r="C333" s="137">
        <f t="shared" si="99"/>
        <v>47</v>
      </c>
      <c r="D333" s="138"/>
      <c r="E333" s="26"/>
      <c r="F333" s="27"/>
      <c r="G333" s="137">
        <f t="shared" si="100"/>
        <v>47</v>
      </c>
      <c r="H333" s="138"/>
      <c r="I333" s="26"/>
      <c r="J333" s="27"/>
    </row>
    <row r="334">
      <c r="A334" s="135">
        <f t="shared" si="101"/>
        <v>48</v>
      </c>
      <c r="B334" s="136" t="str">
        <f>IFERROR(__xludf.DUMMYFUNCTION("""COMPUTED_VALUE"""),"Ruben Ron")</f>
        <v>Ruben Ron</v>
      </c>
      <c r="C334" s="137">
        <f t="shared" si="99"/>
        <v>48</v>
      </c>
      <c r="D334" s="138"/>
      <c r="E334" s="26"/>
      <c r="F334" s="27"/>
      <c r="G334" s="137">
        <f t="shared" si="100"/>
        <v>48</v>
      </c>
      <c r="H334" s="138"/>
      <c r="I334" s="26"/>
      <c r="J334" s="27"/>
    </row>
    <row r="335">
      <c r="A335" s="135">
        <f t="shared" si="101"/>
        <v>49</v>
      </c>
      <c r="B335" s="136" t="str">
        <f>IFERROR(__xludf.DUMMYFUNCTION("""COMPUTED_VALUE"""),"Rudy Tatang")</f>
        <v>Rudy Tatang</v>
      </c>
      <c r="C335" s="137">
        <f t="shared" si="99"/>
        <v>49</v>
      </c>
      <c r="D335" s="138"/>
      <c r="E335" s="26"/>
      <c r="F335" s="27"/>
      <c r="G335" s="137">
        <f t="shared" si="100"/>
        <v>49</v>
      </c>
      <c r="H335" s="138"/>
      <c r="I335" s="26"/>
      <c r="J335" s="27"/>
    </row>
    <row r="336">
      <c r="A336" s="135">
        <f t="shared" si="101"/>
        <v>50</v>
      </c>
      <c r="B336" s="136" t="str">
        <f>IFERROR(__xludf.DUMMYFUNCTION("""COMPUTED_VALUE"""),"Sandeep Kamalon")</f>
        <v>Sandeep Kamalon</v>
      </c>
      <c r="C336" s="137">
        <f t="shared" si="99"/>
        <v>50</v>
      </c>
      <c r="D336" s="138"/>
      <c r="E336" s="26"/>
      <c r="F336" s="27"/>
      <c r="G336" s="137">
        <f t="shared" si="100"/>
        <v>50</v>
      </c>
      <c r="H336" s="138"/>
      <c r="I336" s="26"/>
      <c r="J336" s="27"/>
    </row>
    <row r="337">
      <c r="A337" s="135">
        <f t="shared" si="101"/>
        <v>51</v>
      </c>
      <c r="B337" s="136" t="str">
        <f>IFERROR(__xludf.DUMMYFUNCTION("""COMPUTED_VALUE"""),"Sanjaye Elayattu")</f>
        <v>Sanjaye Elayattu</v>
      </c>
      <c r="C337" s="137">
        <f t="shared" si="99"/>
        <v>51</v>
      </c>
      <c r="D337" s="138"/>
      <c r="E337" s="26"/>
      <c r="F337" s="27"/>
      <c r="G337" s="137">
        <f t="shared" si="100"/>
        <v>51</v>
      </c>
      <c r="H337" s="138"/>
      <c r="I337" s="26"/>
      <c r="J337" s="27"/>
    </row>
    <row r="338">
      <c r="A338" s="135">
        <f t="shared" si="101"/>
        <v>52</v>
      </c>
      <c r="B338" s="136" t="str">
        <f>IFERROR(__xludf.DUMMYFUNCTION("""COMPUTED_VALUE"""),"Santosh Sundaresan")</f>
        <v>Santosh Sundaresan</v>
      </c>
      <c r="C338" s="137">
        <f t="shared" si="99"/>
        <v>52</v>
      </c>
      <c r="D338" s="138"/>
      <c r="E338" s="26"/>
      <c r="F338" s="27"/>
      <c r="G338" s="137">
        <f t="shared" si="100"/>
        <v>52</v>
      </c>
      <c r="H338" s="138"/>
      <c r="I338" s="26"/>
      <c r="J338" s="27"/>
    </row>
    <row r="339">
      <c r="A339" s="135">
        <f t="shared" si="101"/>
        <v>53</v>
      </c>
      <c r="B339" s="136" t="str">
        <f>IFERROR(__xludf.DUMMYFUNCTION("""COMPUTED_VALUE"""),"Saravanan Veerapandian")</f>
        <v>Saravanan Veerapandian</v>
      </c>
      <c r="C339" s="137">
        <f t="shared" si="99"/>
        <v>53</v>
      </c>
      <c r="D339" s="138"/>
      <c r="E339" s="26"/>
      <c r="F339" s="27"/>
      <c r="G339" s="137">
        <f t="shared" si="100"/>
        <v>53</v>
      </c>
      <c r="H339" s="138"/>
      <c r="I339" s="26"/>
      <c r="J339" s="27"/>
    </row>
    <row r="340">
      <c r="A340" s="135">
        <f t="shared" si="101"/>
        <v>54</v>
      </c>
      <c r="B340" s="136" t="str">
        <f>IFERROR(__xludf.DUMMYFUNCTION("""COMPUTED_VALUE"""),"Scott Li")</f>
        <v>Scott Li</v>
      </c>
      <c r="C340" s="137">
        <f t="shared" si="99"/>
        <v>54</v>
      </c>
      <c r="D340" s="138"/>
      <c r="E340" s="26"/>
      <c r="F340" s="27"/>
      <c r="G340" s="137">
        <f t="shared" si="100"/>
        <v>54</v>
      </c>
      <c r="H340" s="138"/>
      <c r="I340" s="26"/>
      <c r="J340" s="27"/>
    </row>
    <row r="341">
      <c r="A341" s="135">
        <f t="shared" si="101"/>
        <v>55</v>
      </c>
      <c r="B341" s="136" t="str">
        <f>IFERROR(__xludf.DUMMYFUNCTION("""COMPUTED_VALUE"""),"Sean Chang")</f>
        <v>Sean Chang</v>
      </c>
      <c r="C341" s="137">
        <f t="shared" si="99"/>
        <v>55</v>
      </c>
      <c r="D341" s="138"/>
      <c r="E341" s="26"/>
      <c r="F341" s="27"/>
      <c r="G341" s="137">
        <f t="shared" si="100"/>
        <v>55</v>
      </c>
      <c r="H341" s="138"/>
      <c r="I341" s="26"/>
      <c r="J341" s="27"/>
    </row>
    <row r="342">
      <c r="A342" s="135">
        <f t="shared" si="101"/>
        <v>56</v>
      </c>
      <c r="B342" s="136" t="str">
        <f>IFERROR(__xludf.DUMMYFUNCTION("""COMPUTED_VALUE"""),"Suleman Alidina")</f>
        <v>Suleman Alidina</v>
      </c>
      <c r="C342" s="137">
        <f t="shared" si="99"/>
        <v>56</v>
      </c>
      <c r="D342" s="138"/>
      <c r="E342" s="26"/>
      <c r="F342" s="27"/>
      <c r="G342" s="137">
        <f t="shared" si="100"/>
        <v>56</v>
      </c>
      <c r="H342" s="138"/>
      <c r="I342" s="26"/>
      <c r="J342" s="27"/>
    </row>
    <row r="343">
      <c r="A343" s="135">
        <f t="shared" si="101"/>
        <v>57</v>
      </c>
      <c r="B343" s="136" t="str">
        <f>IFERROR(__xludf.DUMMYFUNCTION("""COMPUTED_VALUE"""),"Susanta Mishra")</f>
        <v>Susanta Mishra</v>
      </c>
      <c r="C343" s="137">
        <f t="shared" si="99"/>
        <v>57</v>
      </c>
      <c r="D343" s="138"/>
      <c r="E343" s="26"/>
      <c r="F343" s="27"/>
      <c r="G343" s="137">
        <f t="shared" si="100"/>
        <v>57</v>
      </c>
      <c r="H343" s="138"/>
      <c r="I343" s="26"/>
      <c r="J343" s="27"/>
    </row>
    <row r="344">
      <c r="A344" s="135">
        <f t="shared" si="101"/>
        <v>58</v>
      </c>
      <c r="B344" s="136" t="str">
        <f>IFERROR(__xludf.DUMMYFUNCTION("""COMPUTED_VALUE"""),"Ted Shen")</f>
        <v>Ted Shen</v>
      </c>
      <c r="C344" s="137">
        <f t="shared" si="99"/>
        <v>58</v>
      </c>
      <c r="D344" s="138"/>
      <c r="E344" s="26"/>
      <c r="F344" s="27"/>
      <c r="G344" s="137">
        <f t="shared" si="100"/>
        <v>58</v>
      </c>
      <c r="H344" s="138"/>
      <c r="I344" s="26"/>
      <c r="J344" s="27"/>
    </row>
    <row r="345">
      <c r="A345" s="135">
        <f t="shared" si="101"/>
        <v>59</v>
      </c>
      <c r="B345" s="136" t="str">
        <f>IFERROR(__xludf.DUMMYFUNCTION("""COMPUTED_VALUE"""),"Tina Hanson")</f>
        <v>Tina Hanson</v>
      </c>
      <c r="C345" s="137">
        <f t="shared" si="99"/>
        <v>59</v>
      </c>
      <c r="D345" s="138"/>
      <c r="E345" s="26"/>
      <c r="F345" s="27"/>
      <c r="G345" s="137">
        <f t="shared" si="100"/>
        <v>59</v>
      </c>
      <c r="H345" s="138"/>
      <c r="I345" s="26"/>
      <c r="J345" s="27"/>
    </row>
    <row r="346">
      <c r="A346" s="135">
        <f t="shared" si="101"/>
        <v>60</v>
      </c>
      <c r="B346" s="136" t="str">
        <f>IFERROR(__xludf.DUMMYFUNCTION("""COMPUTED_VALUE"""),"Tom Le")</f>
        <v>Tom Le</v>
      </c>
      <c r="C346" s="137">
        <f t="shared" si="99"/>
        <v>60</v>
      </c>
      <c r="D346" s="138"/>
      <c r="E346" s="26"/>
      <c r="F346" s="27"/>
      <c r="G346" s="137">
        <f t="shared" si="100"/>
        <v>60</v>
      </c>
      <c r="H346" s="138"/>
      <c r="I346" s="26"/>
      <c r="J346" s="27"/>
    </row>
    <row r="347">
      <c r="A347" s="135">
        <f t="shared" si="101"/>
        <v>61</v>
      </c>
      <c r="B347" s="136" t="str">
        <f>IFERROR(__xludf.DUMMYFUNCTION("""COMPUTED_VALUE"""),"Trish Newlin")</f>
        <v>Trish Newlin</v>
      </c>
      <c r="C347" s="137">
        <f t="shared" si="99"/>
        <v>61</v>
      </c>
      <c r="D347" s="138"/>
      <c r="E347" s="26"/>
      <c r="F347" s="27"/>
      <c r="G347" s="137">
        <f t="shared" si="100"/>
        <v>61</v>
      </c>
      <c r="H347" s="138"/>
      <c r="I347" s="26"/>
      <c r="J347" s="27"/>
    </row>
    <row r="348">
      <c r="A348" s="135">
        <f t="shared" si="101"/>
        <v>62</v>
      </c>
      <c r="B348" s="136" t="str">
        <f>IFERROR(__xludf.DUMMYFUNCTION("""COMPUTED_VALUE"""),"Troy Wong")</f>
        <v>Troy Wong</v>
      </c>
      <c r="C348" s="137">
        <f t="shared" si="99"/>
        <v>62</v>
      </c>
      <c r="D348" s="138"/>
      <c r="E348" s="26"/>
      <c r="F348" s="27"/>
      <c r="G348" s="137">
        <f t="shared" si="100"/>
        <v>62</v>
      </c>
      <c r="H348" s="138"/>
      <c r="I348" s="26"/>
      <c r="J348" s="27"/>
    </row>
    <row r="349">
      <c r="A349" s="135">
        <f t="shared" si="101"/>
        <v>63</v>
      </c>
      <c r="B349" s="136" t="str">
        <f>IFERROR(__xludf.DUMMYFUNCTION("""COMPUTED_VALUE"""),"Vicki Martinet")</f>
        <v>Vicki Martinet</v>
      </c>
      <c r="C349" s="137">
        <f t="shared" si="99"/>
        <v>63</v>
      </c>
      <c r="D349" s="138"/>
      <c r="E349" s="26"/>
      <c r="F349" s="27"/>
      <c r="G349" s="137">
        <f t="shared" si="100"/>
        <v>63</v>
      </c>
      <c r="H349" s="138"/>
      <c r="I349" s="26"/>
      <c r="J349" s="27"/>
    </row>
    <row r="350">
      <c r="A350" s="135">
        <f t="shared" si="101"/>
        <v>64</v>
      </c>
      <c r="B350" s="136" t="str">
        <f>IFERROR(__xludf.DUMMYFUNCTION("""COMPUTED_VALUE"""),"Vinaya Kajla")</f>
        <v>Vinaya Kajla</v>
      </c>
      <c r="C350" s="137">
        <f t="shared" si="99"/>
        <v>64</v>
      </c>
      <c r="D350" s="138"/>
      <c r="E350" s="26"/>
      <c r="F350" s="27"/>
      <c r="G350" s="137">
        <f t="shared" si="100"/>
        <v>64</v>
      </c>
      <c r="H350" s="138"/>
      <c r="I350" s="26"/>
      <c r="J350" s="27"/>
    </row>
    <row r="351">
      <c r="A351" s="135">
        <f t="shared" si="101"/>
        <v>65</v>
      </c>
      <c r="B351" s="136" t="str">
        <f>IFERROR(__xludf.DUMMYFUNCTION("""COMPUTED_VALUE"""),"Vinotkumar Nagappan")</f>
        <v>Vinotkumar Nagappan</v>
      </c>
      <c r="C351" s="137">
        <f t="shared" si="99"/>
        <v>65</v>
      </c>
      <c r="D351" s="138"/>
      <c r="E351" s="26"/>
      <c r="F351" s="27"/>
      <c r="G351" s="137">
        <f t="shared" si="100"/>
        <v>65</v>
      </c>
      <c r="H351" s="138"/>
      <c r="I351" s="26"/>
      <c r="J351" s="27"/>
    </row>
    <row r="352">
      <c r="A352" s="135">
        <f t="shared" si="101"/>
        <v>66</v>
      </c>
      <c r="B352" s="136" t="str">
        <f>IFERROR(__xludf.DUMMYFUNCTION("""COMPUTED_VALUE"""),"Vishnu Amarnath")</f>
        <v>Vishnu Amarnath</v>
      </c>
      <c r="C352" s="137">
        <f t="shared" si="99"/>
        <v>66</v>
      </c>
      <c r="D352" s="138"/>
      <c r="E352" s="26"/>
      <c r="F352" s="27"/>
      <c r="G352" s="137">
        <f t="shared" si="100"/>
        <v>66</v>
      </c>
      <c r="H352" s="138"/>
      <c r="I352" s="26"/>
      <c r="J352" s="27"/>
    </row>
    <row r="353">
      <c r="A353" s="135">
        <f t="shared" si="101"/>
        <v>67</v>
      </c>
      <c r="B353" s="136" t="str">
        <f>IFERROR(__xludf.DUMMYFUNCTION("""COMPUTED_VALUE"""),"Wayne Liu")</f>
        <v>Wayne Liu</v>
      </c>
      <c r="C353" s="137">
        <f t="shared" si="99"/>
        <v>67</v>
      </c>
      <c r="D353" s="138"/>
      <c r="E353" s="26"/>
      <c r="F353" s="27"/>
      <c r="G353" s="137">
        <f t="shared" si="100"/>
        <v>67</v>
      </c>
      <c r="H353" s="138"/>
      <c r="I353" s="26"/>
      <c r="J353" s="27"/>
    </row>
    <row r="354">
      <c r="A354" s="135">
        <f t="shared" si="101"/>
        <v>68</v>
      </c>
      <c r="B354" s="136"/>
      <c r="C354" s="137">
        <f t="shared" si="99"/>
        <v>68</v>
      </c>
      <c r="D354" s="138"/>
      <c r="E354" s="26"/>
      <c r="F354" s="27"/>
      <c r="G354" s="137">
        <f t="shared" si="100"/>
        <v>68</v>
      </c>
      <c r="H354" s="138"/>
      <c r="I354" s="26"/>
      <c r="J354" s="27"/>
    </row>
    <row r="355">
      <c r="A355" s="135">
        <f t="shared" si="101"/>
        <v>69</v>
      </c>
      <c r="B355" s="136"/>
      <c r="C355" s="137">
        <f t="shared" si="99"/>
        <v>69</v>
      </c>
      <c r="D355" s="138"/>
      <c r="E355" s="26"/>
      <c r="F355" s="27"/>
      <c r="G355" s="137">
        <f t="shared" si="100"/>
        <v>69</v>
      </c>
      <c r="H355" s="138"/>
      <c r="I355" s="26"/>
      <c r="J355" s="27"/>
    </row>
    <row r="356">
      <c r="A356" s="135">
        <f t="shared" si="101"/>
        <v>70</v>
      </c>
      <c r="B356" s="136"/>
      <c r="C356" s="137">
        <f t="shared" si="99"/>
        <v>70</v>
      </c>
      <c r="D356" s="138"/>
      <c r="E356" s="26"/>
      <c r="F356" s="27"/>
      <c r="G356" s="137">
        <f t="shared" si="100"/>
        <v>70</v>
      </c>
      <c r="H356" s="138"/>
      <c r="I356" s="26"/>
      <c r="J356" s="27"/>
    </row>
    <row r="357">
      <c r="A357" s="135">
        <f t="shared" si="101"/>
        <v>71</v>
      </c>
      <c r="B357" s="136"/>
      <c r="C357" s="137">
        <f t="shared" si="99"/>
        <v>71</v>
      </c>
      <c r="D357" s="138"/>
      <c r="E357" s="26"/>
      <c r="F357" s="27"/>
      <c r="G357" s="137">
        <f t="shared" si="100"/>
        <v>71</v>
      </c>
      <c r="H357" s="138"/>
      <c r="I357" s="26"/>
      <c r="J357" s="27"/>
    </row>
    <row r="358">
      <c r="A358" s="135">
        <f t="shared" si="101"/>
        <v>72</v>
      </c>
      <c r="B358" s="136"/>
      <c r="C358" s="137">
        <f t="shared" si="99"/>
        <v>72</v>
      </c>
      <c r="D358" s="138"/>
      <c r="E358" s="26"/>
      <c r="F358" s="27"/>
      <c r="G358" s="137">
        <f t="shared" si="100"/>
        <v>72</v>
      </c>
      <c r="H358" s="138"/>
      <c r="I358" s="26"/>
      <c r="J358" s="27"/>
    </row>
    <row r="359">
      <c r="A359" s="135">
        <f t="shared" si="101"/>
        <v>73</v>
      </c>
      <c r="B359" s="136"/>
      <c r="C359" s="137">
        <f t="shared" si="99"/>
        <v>73</v>
      </c>
      <c r="D359" s="138"/>
      <c r="E359" s="26"/>
      <c r="F359" s="27"/>
      <c r="G359" s="137">
        <f t="shared" si="100"/>
        <v>73</v>
      </c>
      <c r="H359" s="138"/>
      <c r="I359" s="26"/>
      <c r="J359" s="27"/>
    </row>
    <row r="360">
      <c r="A360" s="135">
        <f t="shared" si="101"/>
        <v>74</v>
      </c>
      <c r="B360" s="136"/>
      <c r="C360" s="137">
        <f t="shared" si="99"/>
        <v>74</v>
      </c>
      <c r="D360" s="138"/>
      <c r="E360" s="26"/>
      <c r="F360" s="27"/>
      <c r="G360" s="137">
        <f t="shared" si="100"/>
        <v>74</v>
      </c>
      <c r="H360" s="138"/>
      <c r="I360" s="26"/>
      <c r="J360" s="27"/>
    </row>
    <row r="361">
      <c r="A361" s="135">
        <f t="shared" si="101"/>
        <v>75</v>
      </c>
      <c r="B361" s="136"/>
      <c r="C361" s="137">
        <f t="shared" si="99"/>
        <v>75</v>
      </c>
      <c r="D361" s="138"/>
      <c r="E361" s="26"/>
      <c r="F361" s="27"/>
      <c r="G361" s="137">
        <f t="shared" si="100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2"/>
      <c r="B1" s="5" t="s">
        <v>3</v>
      </c>
      <c r="C1" s="111">
        <v>46200.0</v>
      </c>
      <c r="G1" s="10"/>
      <c r="H1" s="10"/>
      <c r="I1" s="10"/>
      <c r="L1" s="10"/>
      <c r="N1" s="10"/>
      <c r="W1" s="14"/>
    </row>
    <row r="2">
      <c r="A2" s="2"/>
      <c r="B2" s="15" t="s">
        <v>18</v>
      </c>
      <c r="D2" s="17">
        <v>25.0</v>
      </c>
      <c r="E2" s="2"/>
      <c r="F2" s="2"/>
      <c r="R2" s="19"/>
      <c r="AC2" s="23" t="str">
        <f>TEXT(C1-7,"mm/dd/yy")</f>
        <v>06/20/26</v>
      </c>
    </row>
    <row r="3" ht="27.75" customHeight="1">
      <c r="A3" s="2"/>
      <c r="C3" s="25" t="s">
        <v>34</v>
      </c>
      <c r="D3" s="26"/>
      <c r="E3" s="27"/>
      <c r="F3" s="29" t="s">
        <v>35</v>
      </c>
      <c r="G3" s="26"/>
      <c r="H3" s="26"/>
      <c r="I3" s="26"/>
      <c r="J3" s="26"/>
      <c r="K3" s="26"/>
      <c r="L3" s="26"/>
      <c r="M3" s="27"/>
      <c r="N3" s="29" t="s">
        <v>36</v>
      </c>
      <c r="O3" s="27"/>
      <c r="Q3" s="19" t="s">
        <v>37</v>
      </c>
      <c r="R3" s="19" t="s">
        <v>38</v>
      </c>
      <c r="S3" s="19"/>
    </row>
    <row r="4">
      <c r="A4" s="32" t="s">
        <v>39</v>
      </c>
      <c r="B4" s="7" t="s">
        <v>7</v>
      </c>
      <c r="C4" s="33" t="s">
        <v>4</v>
      </c>
      <c r="D4" s="33" t="s">
        <v>6</v>
      </c>
      <c r="E4" s="33" t="s">
        <v>40</v>
      </c>
      <c r="F4" s="34" t="s">
        <v>41</v>
      </c>
      <c r="G4" s="34" t="s">
        <v>31</v>
      </c>
      <c r="H4" s="34" t="s">
        <v>42</v>
      </c>
      <c r="I4" s="34" t="s">
        <v>10</v>
      </c>
      <c r="J4" s="34" t="s">
        <v>11</v>
      </c>
      <c r="K4" s="34" t="s">
        <v>12</v>
      </c>
      <c r="L4" s="34" t="s">
        <v>4</v>
      </c>
      <c r="M4" s="34" t="s">
        <v>6</v>
      </c>
      <c r="N4" s="33" t="s">
        <v>4</v>
      </c>
      <c r="O4" s="33" t="s">
        <v>6</v>
      </c>
      <c r="P4" s="34" t="s">
        <v>43</v>
      </c>
      <c r="Q4" s="34" t="s">
        <v>44</v>
      </c>
      <c r="R4" s="34" t="s">
        <v>44</v>
      </c>
      <c r="S4" s="34" t="s">
        <v>45</v>
      </c>
      <c r="T4" s="34" t="s">
        <v>46</v>
      </c>
      <c r="U4" s="34" t="s">
        <v>47</v>
      </c>
      <c r="V4" s="34" t="s">
        <v>48</v>
      </c>
      <c r="W4" s="34" t="s">
        <v>49</v>
      </c>
      <c r="X4" s="32" t="s">
        <v>39</v>
      </c>
      <c r="Y4" s="34" t="s">
        <v>50</v>
      </c>
      <c r="Z4" s="32" t="s">
        <v>51</v>
      </c>
    </row>
    <row r="5">
      <c r="A5" s="35">
        <v>1.0</v>
      </c>
      <c r="B5" s="36" t="s">
        <v>129</v>
      </c>
      <c r="C5" s="37"/>
      <c r="D5" s="37"/>
      <c r="E5" s="42">
        <f t="shared" ref="E5:E71" si="2">if(S5&gt;0,(C5-(V5*9)-(T5*13))/S5,0)</f>
        <v>0</v>
      </c>
      <c r="F5" s="89"/>
      <c r="G5" s="90"/>
      <c r="H5" s="91"/>
      <c r="I5" s="90"/>
      <c r="J5" s="90"/>
      <c r="K5" s="90"/>
      <c r="L5" s="92"/>
      <c r="M5" s="90"/>
      <c r="N5" s="37">
        <f t="shared" ref="N5:O5" si="1">C5+L5</f>
        <v>0</v>
      </c>
      <c r="O5" s="37">
        <f t="shared" si="1"/>
        <v>0</v>
      </c>
      <c r="P5" s="50" t="s">
        <v>60</v>
      </c>
      <c r="Q5" s="50" t="s">
        <v>60</v>
      </c>
      <c r="R5" s="50" t="s">
        <v>60</v>
      </c>
      <c r="S5" s="51"/>
      <c r="T5" s="52"/>
      <c r="U5" s="52"/>
      <c r="V5" s="51"/>
      <c r="W5" s="52"/>
      <c r="X5" s="35">
        <v>1.0</v>
      </c>
      <c r="Y5" s="35" t="str">
        <f t="shared" ref="Y5:Y71" si="4">if(S5=D$2,"Y","N")</f>
        <v>N</v>
      </c>
      <c r="Z5" s="22"/>
    </row>
    <row r="6">
      <c r="A6" s="35">
        <f t="shared" ref="A6:A71" si="5">A5+1</f>
        <v>2</v>
      </c>
      <c r="B6" s="36" t="s">
        <v>117</v>
      </c>
      <c r="C6" s="37"/>
      <c r="D6" s="37"/>
      <c r="E6" s="42">
        <f t="shared" si="2"/>
        <v>0</v>
      </c>
      <c r="F6" s="89"/>
      <c r="G6" s="90"/>
      <c r="H6" s="91"/>
      <c r="I6" s="90"/>
      <c r="J6" s="90"/>
      <c r="K6" s="90"/>
      <c r="L6" s="92"/>
      <c r="M6" s="90"/>
      <c r="N6" s="37">
        <f t="shared" ref="N6:O6" si="3">C6+L6</f>
        <v>0</v>
      </c>
      <c r="O6" s="37">
        <f t="shared" si="3"/>
        <v>0</v>
      </c>
      <c r="P6" s="50" t="s">
        <v>60</v>
      </c>
      <c r="Q6" s="50" t="s">
        <v>60</v>
      </c>
      <c r="R6" s="50" t="s">
        <v>60</v>
      </c>
      <c r="S6" s="51"/>
      <c r="T6" s="52"/>
      <c r="U6" s="52"/>
      <c r="V6" s="51"/>
      <c r="W6" s="52"/>
      <c r="X6" s="35">
        <f t="shared" ref="X6:X71" si="7">X5+1</f>
        <v>2</v>
      </c>
      <c r="Y6" s="35" t="str">
        <f t="shared" si="4"/>
        <v>N</v>
      </c>
      <c r="Z6" s="22"/>
    </row>
    <row r="7">
      <c r="A7" s="35">
        <f t="shared" si="5"/>
        <v>3</v>
      </c>
      <c r="B7" s="36" t="s">
        <v>105</v>
      </c>
      <c r="C7" s="37"/>
      <c r="D7" s="37"/>
      <c r="E7" s="42">
        <f t="shared" si="2"/>
        <v>0</v>
      </c>
      <c r="F7" s="89"/>
      <c r="G7" s="90"/>
      <c r="H7" s="91"/>
      <c r="I7" s="90"/>
      <c r="J7" s="90"/>
      <c r="K7" s="90"/>
      <c r="L7" s="92"/>
      <c r="M7" s="90"/>
      <c r="N7" s="37">
        <f t="shared" ref="N7:O7" si="6">C7+L7</f>
        <v>0</v>
      </c>
      <c r="O7" s="37">
        <f t="shared" si="6"/>
        <v>0</v>
      </c>
      <c r="P7" s="50" t="s">
        <v>60</v>
      </c>
      <c r="Q7" s="50" t="s">
        <v>60</v>
      </c>
      <c r="R7" s="50" t="s">
        <v>60</v>
      </c>
      <c r="S7" s="51"/>
      <c r="T7" s="52"/>
      <c r="U7" s="52"/>
      <c r="V7" s="51"/>
      <c r="W7" s="52"/>
      <c r="X7" s="35">
        <f t="shared" si="7"/>
        <v>3</v>
      </c>
      <c r="Y7" s="35" t="str">
        <f t="shared" si="4"/>
        <v>N</v>
      </c>
      <c r="Z7" s="22"/>
    </row>
    <row r="8">
      <c r="A8" s="35">
        <f t="shared" si="5"/>
        <v>4</v>
      </c>
      <c r="B8" s="36" t="s">
        <v>61</v>
      </c>
      <c r="C8" s="37"/>
      <c r="D8" s="37"/>
      <c r="E8" s="42">
        <f t="shared" si="2"/>
        <v>0</v>
      </c>
      <c r="F8" s="89"/>
      <c r="G8" s="90"/>
      <c r="H8" s="91"/>
      <c r="I8" s="90"/>
      <c r="J8" s="90"/>
      <c r="K8" s="90"/>
      <c r="L8" s="92"/>
      <c r="M8" s="90"/>
      <c r="N8" s="37">
        <f t="shared" ref="N8:O8" si="8">C8+L8</f>
        <v>0</v>
      </c>
      <c r="O8" s="37">
        <f t="shared" si="8"/>
        <v>0</v>
      </c>
      <c r="P8" s="50" t="s">
        <v>60</v>
      </c>
      <c r="Q8" s="50" t="s">
        <v>60</v>
      </c>
      <c r="R8" s="50" t="s">
        <v>60</v>
      </c>
      <c r="S8" s="51"/>
      <c r="T8" s="52"/>
      <c r="U8" s="52"/>
      <c r="V8" s="51"/>
      <c r="W8" s="52"/>
      <c r="X8" s="35">
        <f t="shared" si="7"/>
        <v>4</v>
      </c>
      <c r="Y8" s="35" t="str">
        <f t="shared" si="4"/>
        <v>N</v>
      </c>
      <c r="Z8" s="22"/>
    </row>
    <row r="9">
      <c r="A9" s="35">
        <f t="shared" si="5"/>
        <v>5</v>
      </c>
      <c r="B9" s="36" t="s">
        <v>140</v>
      </c>
      <c r="C9" s="37"/>
      <c r="D9" s="37"/>
      <c r="E9" s="42">
        <f t="shared" si="2"/>
        <v>0</v>
      </c>
      <c r="F9" s="89"/>
      <c r="G9" s="90"/>
      <c r="H9" s="91"/>
      <c r="I9" s="90"/>
      <c r="J9" s="90"/>
      <c r="K9" s="90"/>
      <c r="L9" s="92"/>
      <c r="M9" s="90"/>
      <c r="N9" s="37">
        <f t="shared" ref="N9:O9" si="9">C9+L9</f>
        <v>0</v>
      </c>
      <c r="O9" s="37">
        <f t="shared" si="9"/>
        <v>0</v>
      </c>
      <c r="P9" s="50" t="s">
        <v>60</v>
      </c>
      <c r="Q9" s="50" t="s">
        <v>60</v>
      </c>
      <c r="R9" s="50" t="s">
        <v>60</v>
      </c>
      <c r="S9" s="51"/>
      <c r="T9" s="52"/>
      <c r="U9" s="52"/>
      <c r="V9" s="51"/>
      <c r="W9" s="52"/>
      <c r="X9" s="35">
        <f t="shared" si="7"/>
        <v>5</v>
      </c>
      <c r="Y9" s="35" t="str">
        <f t="shared" si="4"/>
        <v>N</v>
      </c>
      <c r="Z9" s="22"/>
    </row>
    <row r="10">
      <c r="A10" s="35">
        <f t="shared" si="5"/>
        <v>6</v>
      </c>
      <c r="B10" s="36" t="s">
        <v>98</v>
      </c>
      <c r="C10" s="37"/>
      <c r="D10" s="37"/>
      <c r="E10" s="42">
        <f t="shared" si="2"/>
        <v>0</v>
      </c>
      <c r="F10" s="89"/>
      <c r="G10" s="90"/>
      <c r="H10" s="91"/>
      <c r="I10" s="90"/>
      <c r="J10" s="90"/>
      <c r="K10" s="90"/>
      <c r="L10" s="92"/>
      <c r="M10" s="90"/>
      <c r="N10" s="37">
        <f t="shared" ref="N10:O10" si="10">C10+L10</f>
        <v>0</v>
      </c>
      <c r="O10" s="37">
        <f t="shared" si="10"/>
        <v>0</v>
      </c>
      <c r="P10" s="50" t="s">
        <v>60</v>
      </c>
      <c r="Q10" s="50" t="s">
        <v>60</v>
      </c>
      <c r="R10" s="50" t="s">
        <v>60</v>
      </c>
      <c r="S10" s="51"/>
      <c r="T10" s="52"/>
      <c r="U10" s="52"/>
      <c r="V10" s="51"/>
      <c r="W10" s="52"/>
      <c r="X10" s="35">
        <f t="shared" si="7"/>
        <v>6</v>
      </c>
      <c r="Y10" s="35" t="str">
        <f t="shared" si="4"/>
        <v>N</v>
      </c>
      <c r="Z10" s="22"/>
    </row>
    <row r="11">
      <c r="A11" s="35">
        <f t="shared" si="5"/>
        <v>7</v>
      </c>
      <c r="B11" s="36" t="s">
        <v>114</v>
      </c>
      <c r="C11" s="37"/>
      <c r="D11" s="37"/>
      <c r="E11" s="42">
        <f t="shared" si="2"/>
        <v>0</v>
      </c>
      <c r="F11" s="89"/>
      <c r="G11" s="90"/>
      <c r="H11" s="91"/>
      <c r="I11" s="90"/>
      <c r="J11" s="90"/>
      <c r="K11" s="90"/>
      <c r="L11" s="92"/>
      <c r="M11" s="90"/>
      <c r="N11" s="37">
        <f t="shared" ref="N11:O11" si="11">C11+L11</f>
        <v>0</v>
      </c>
      <c r="O11" s="37">
        <f t="shared" si="11"/>
        <v>0</v>
      </c>
      <c r="P11" s="50" t="s">
        <v>60</v>
      </c>
      <c r="Q11" s="50" t="s">
        <v>60</v>
      </c>
      <c r="R11" s="50" t="s">
        <v>60</v>
      </c>
      <c r="S11" s="51"/>
      <c r="T11" s="52"/>
      <c r="U11" s="52"/>
      <c r="V11" s="51"/>
      <c r="W11" s="52"/>
      <c r="X11" s="35">
        <f t="shared" si="7"/>
        <v>7</v>
      </c>
      <c r="Y11" s="35" t="str">
        <f t="shared" si="4"/>
        <v>N</v>
      </c>
      <c r="Z11" s="22"/>
    </row>
    <row r="12">
      <c r="A12" s="35">
        <f t="shared" si="5"/>
        <v>8</v>
      </c>
      <c r="B12" s="36" t="s">
        <v>67</v>
      </c>
      <c r="C12" s="37"/>
      <c r="D12" s="37"/>
      <c r="E12" s="42">
        <f t="shared" si="2"/>
        <v>0</v>
      </c>
      <c r="F12" s="89"/>
      <c r="G12" s="90"/>
      <c r="H12" s="91"/>
      <c r="I12" s="90"/>
      <c r="J12" s="90"/>
      <c r="K12" s="90"/>
      <c r="L12" s="92"/>
      <c r="M12" s="90"/>
      <c r="N12" s="37">
        <f t="shared" ref="N12:O12" si="12">C12+L12</f>
        <v>0</v>
      </c>
      <c r="O12" s="37">
        <f t="shared" si="12"/>
        <v>0</v>
      </c>
      <c r="P12" s="50" t="s">
        <v>60</v>
      </c>
      <c r="Q12" s="50" t="s">
        <v>60</v>
      </c>
      <c r="R12" s="50" t="s">
        <v>60</v>
      </c>
      <c r="S12" s="51"/>
      <c r="T12" s="52"/>
      <c r="U12" s="52"/>
      <c r="V12" s="51"/>
      <c r="W12" s="52"/>
      <c r="X12" s="35">
        <f t="shared" si="7"/>
        <v>8</v>
      </c>
      <c r="Y12" s="35" t="str">
        <f t="shared" si="4"/>
        <v>N</v>
      </c>
      <c r="Z12" s="22"/>
    </row>
    <row r="13">
      <c r="A13" s="35">
        <f t="shared" si="5"/>
        <v>9</v>
      </c>
      <c r="B13" s="36" t="s">
        <v>72</v>
      </c>
      <c r="C13" s="37"/>
      <c r="D13" s="37"/>
      <c r="E13" s="42">
        <f t="shared" si="2"/>
        <v>0</v>
      </c>
      <c r="F13" s="89"/>
      <c r="G13" s="90"/>
      <c r="H13" s="91"/>
      <c r="I13" s="90"/>
      <c r="J13" s="90"/>
      <c r="K13" s="90"/>
      <c r="L13" s="92"/>
      <c r="M13" s="90"/>
      <c r="N13" s="37">
        <f t="shared" ref="N13:O13" si="13">C13+L13</f>
        <v>0</v>
      </c>
      <c r="O13" s="37">
        <f t="shared" si="13"/>
        <v>0</v>
      </c>
      <c r="P13" s="50" t="s">
        <v>60</v>
      </c>
      <c r="Q13" s="50" t="s">
        <v>60</v>
      </c>
      <c r="R13" s="50" t="s">
        <v>60</v>
      </c>
      <c r="S13" s="51"/>
      <c r="T13" s="52"/>
      <c r="U13" s="52"/>
      <c r="V13" s="51"/>
      <c r="W13" s="52"/>
      <c r="X13" s="35">
        <f t="shared" si="7"/>
        <v>9</v>
      </c>
      <c r="Y13" s="35" t="str">
        <f t="shared" si="4"/>
        <v>N</v>
      </c>
      <c r="Z13" s="22"/>
    </row>
    <row r="14">
      <c r="A14" s="35">
        <f t="shared" si="5"/>
        <v>10</v>
      </c>
      <c r="B14" s="36" t="s">
        <v>121</v>
      </c>
      <c r="C14" s="37"/>
      <c r="D14" s="37"/>
      <c r="E14" s="42">
        <f t="shared" si="2"/>
        <v>0</v>
      </c>
      <c r="F14" s="89"/>
      <c r="G14" s="90"/>
      <c r="H14" s="91"/>
      <c r="I14" s="90"/>
      <c r="J14" s="90"/>
      <c r="K14" s="90"/>
      <c r="L14" s="92"/>
      <c r="M14" s="90"/>
      <c r="N14" s="37">
        <f t="shared" ref="N14:O14" si="14">C14+L14</f>
        <v>0</v>
      </c>
      <c r="O14" s="37">
        <f t="shared" si="14"/>
        <v>0</v>
      </c>
      <c r="P14" s="50" t="s">
        <v>60</v>
      </c>
      <c r="Q14" s="50" t="s">
        <v>60</v>
      </c>
      <c r="R14" s="50" t="s">
        <v>60</v>
      </c>
      <c r="S14" s="51"/>
      <c r="T14" s="52"/>
      <c r="U14" s="52"/>
      <c r="V14" s="51"/>
      <c r="W14" s="52"/>
      <c r="X14" s="35">
        <f t="shared" si="7"/>
        <v>10</v>
      </c>
      <c r="Y14" s="35" t="str">
        <f t="shared" si="4"/>
        <v>N</v>
      </c>
      <c r="Z14" s="22"/>
    </row>
    <row r="15">
      <c r="A15" s="35">
        <f t="shared" si="5"/>
        <v>11</v>
      </c>
      <c r="B15" s="36" t="s">
        <v>84</v>
      </c>
      <c r="C15" s="37"/>
      <c r="D15" s="37"/>
      <c r="E15" s="42">
        <f t="shared" si="2"/>
        <v>0</v>
      </c>
      <c r="F15" s="89"/>
      <c r="G15" s="90"/>
      <c r="H15" s="91"/>
      <c r="I15" s="90"/>
      <c r="J15" s="90"/>
      <c r="K15" s="90"/>
      <c r="L15" s="92"/>
      <c r="M15" s="90"/>
      <c r="N15" s="37">
        <f t="shared" ref="N15:O15" si="15">C15+L15</f>
        <v>0</v>
      </c>
      <c r="O15" s="37">
        <f t="shared" si="15"/>
        <v>0</v>
      </c>
      <c r="P15" s="50" t="s">
        <v>60</v>
      </c>
      <c r="Q15" s="50" t="s">
        <v>60</v>
      </c>
      <c r="R15" s="50" t="s">
        <v>60</v>
      </c>
      <c r="S15" s="51"/>
      <c r="T15" s="52"/>
      <c r="U15" s="52"/>
      <c r="V15" s="51"/>
      <c r="W15" s="52"/>
      <c r="X15" s="35">
        <f t="shared" si="7"/>
        <v>11</v>
      </c>
      <c r="Y15" s="35" t="str">
        <f t="shared" si="4"/>
        <v>N</v>
      </c>
      <c r="Z15" s="22"/>
    </row>
    <row r="16">
      <c r="A16" s="35">
        <f t="shared" si="5"/>
        <v>12</v>
      </c>
      <c r="B16" s="36" t="s">
        <v>136</v>
      </c>
      <c r="C16" s="37"/>
      <c r="D16" s="37"/>
      <c r="E16" s="42">
        <f t="shared" si="2"/>
        <v>0</v>
      </c>
      <c r="F16" s="89"/>
      <c r="G16" s="90"/>
      <c r="H16" s="91"/>
      <c r="I16" s="90"/>
      <c r="J16" s="90"/>
      <c r="K16" s="90"/>
      <c r="L16" s="92"/>
      <c r="M16" s="90"/>
      <c r="N16" s="37">
        <f t="shared" ref="N16:O16" si="16">C16+L16</f>
        <v>0</v>
      </c>
      <c r="O16" s="37">
        <f t="shared" si="16"/>
        <v>0</v>
      </c>
      <c r="P16" s="50" t="s">
        <v>60</v>
      </c>
      <c r="Q16" s="50" t="s">
        <v>60</v>
      </c>
      <c r="R16" s="50" t="s">
        <v>60</v>
      </c>
      <c r="S16" s="51"/>
      <c r="T16" s="52"/>
      <c r="U16" s="52"/>
      <c r="V16" s="51"/>
      <c r="W16" s="52"/>
      <c r="X16" s="35">
        <f t="shared" si="7"/>
        <v>12</v>
      </c>
      <c r="Y16" s="35" t="str">
        <f t="shared" si="4"/>
        <v>N</v>
      </c>
      <c r="Z16" s="22"/>
    </row>
    <row r="17">
      <c r="A17" s="35">
        <f t="shared" si="5"/>
        <v>13</v>
      </c>
      <c r="B17" s="36" t="s">
        <v>85</v>
      </c>
      <c r="C17" s="37"/>
      <c r="D17" s="37"/>
      <c r="E17" s="42">
        <f t="shared" si="2"/>
        <v>0</v>
      </c>
      <c r="F17" s="89"/>
      <c r="G17" s="90"/>
      <c r="H17" s="91"/>
      <c r="I17" s="90"/>
      <c r="J17" s="90"/>
      <c r="K17" s="90"/>
      <c r="L17" s="92"/>
      <c r="M17" s="90"/>
      <c r="N17" s="37">
        <f t="shared" ref="N17:O17" si="17">C17+L17</f>
        <v>0</v>
      </c>
      <c r="O17" s="37">
        <f t="shared" si="17"/>
        <v>0</v>
      </c>
      <c r="P17" s="50" t="s">
        <v>60</v>
      </c>
      <c r="Q17" s="50" t="s">
        <v>60</v>
      </c>
      <c r="R17" s="50"/>
      <c r="S17" s="51"/>
      <c r="T17" s="52"/>
      <c r="U17" s="52"/>
      <c r="V17" s="51"/>
      <c r="W17" s="52"/>
      <c r="X17" s="35">
        <f t="shared" si="7"/>
        <v>13</v>
      </c>
      <c r="Y17" s="35" t="str">
        <f t="shared" si="4"/>
        <v>N</v>
      </c>
      <c r="Z17" s="22"/>
    </row>
    <row r="18">
      <c r="A18" s="35">
        <f t="shared" si="5"/>
        <v>14</v>
      </c>
      <c r="B18" s="36" t="s">
        <v>74</v>
      </c>
      <c r="C18" s="37"/>
      <c r="D18" s="37"/>
      <c r="E18" s="42">
        <f t="shared" si="2"/>
        <v>0</v>
      </c>
      <c r="F18" s="89"/>
      <c r="G18" s="90"/>
      <c r="H18" s="91"/>
      <c r="I18" s="90"/>
      <c r="J18" s="90"/>
      <c r="K18" s="90"/>
      <c r="L18" s="92"/>
      <c r="M18" s="90"/>
      <c r="N18" s="37">
        <f t="shared" ref="N18:O18" si="18">C18+L18</f>
        <v>0</v>
      </c>
      <c r="O18" s="37">
        <f t="shared" si="18"/>
        <v>0</v>
      </c>
      <c r="P18" s="50" t="s">
        <v>60</v>
      </c>
      <c r="Q18" s="50" t="s">
        <v>60</v>
      </c>
      <c r="R18" s="50" t="s">
        <v>60</v>
      </c>
      <c r="S18" s="51"/>
      <c r="T18" s="52"/>
      <c r="U18" s="52"/>
      <c r="V18" s="51"/>
      <c r="W18" s="52"/>
      <c r="X18" s="35">
        <f t="shared" si="7"/>
        <v>14</v>
      </c>
      <c r="Y18" s="35" t="str">
        <f t="shared" si="4"/>
        <v>N</v>
      </c>
      <c r="Z18" s="22"/>
    </row>
    <row r="19">
      <c r="A19" s="35">
        <f t="shared" si="5"/>
        <v>15</v>
      </c>
      <c r="B19" s="36" t="s">
        <v>122</v>
      </c>
      <c r="C19" s="37"/>
      <c r="D19" s="37"/>
      <c r="E19" s="42">
        <f t="shared" si="2"/>
        <v>0</v>
      </c>
      <c r="F19" s="89"/>
      <c r="G19" s="90"/>
      <c r="H19" s="91"/>
      <c r="I19" s="90"/>
      <c r="J19" s="90"/>
      <c r="K19" s="90"/>
      <c r="L19" s="92"/>
      <c r="M19" s="90"/>
      <c r="N19" s="37">
        <f t="shared" ref="N19:O19" si="19">C19+L19</f>
        <v>0</v>
      </c>
      <c r="O19" s="37">
        <f t="shared" si="19"/>
        <v>0</v>
      </c>
      <c r="P19" s="50" t="s">
        <v>60</v>
      </c>
      <c r="Q19" s="50" t="s">
        <v>60</v>
      </c>
      <c r="R19" s="50" t="s">
        <v>60</v>
      </c>
      <c r="S19" s="51"/>
      <c r="T19" s="52"/>
      <c r="U19" s="52"/>
      <c r="V19" s="51"/>
      <c r="W19" s="52"/>
      <c r="X19" s="35">
        <f t="shared" si="7"/>
        <v>15</v>
      </c>
      <c r="Y19" s="35" t="str">
        <f t="shared" si="4"/>
        <v>N</v>
      </c>
      <c r="Z19" s="22"/>
    </row>
    <row r="20">
      <c r="A20" s="35">
        <f t="shared" si="5"/>
        <v>16</v>
      </c>
      <c r="B20" s="36" t="s">
        <v>143</v>
      </c>
      <c r="C20" s="37"/>
      <c r="D20" s="37"/>
      <c r="E20" s="42">
        <f t="shared" si="2"/>
        <v>0</v>
      </c>
      <c r="F20" s="89"/>
      <c r="G20" s="90"/>
      <c r="H20" s="91"/>
      <c r="I20" s="90"/>
      <c r="J20" s="90"/>
      <c r="K20" s="90"/>
      <c r="L20" s="92"/>
      <c r="M20" s="90"/>
      <c r="N20" s="37">
        <f t="shared" ref="N20:O20" si="20">C20+L20</f>
        <v>0</v>
      </c>
      <c r="O20" s="37">
        <f t="shared" si="20"/>
        <v>0</v>
      </c>
      <c r="P20" s="50" t="s">
        <v>60</v>
      </c>
      <c r="Q20" s="50" t="s">
        <v>60</v>
      </c>
      <c r="R20" s="50" t="s">
        <v>60</v>
      </c>
      <c r="S20" s="51"/>
      <c r="T20" s="52"/>
      <c r="U20" s="52"/>
      <c r="V20" s="51"/>
      <c r="W20" s="52"/>
      <c r="X20" s="35">
        <f t="shared" si="7"/>
        <v>16</v>
      </c>
      <c r="Y20" s="35" t="str">
        <f t="shared" si="4"/>
        <v>N</v>
      </c>
      <c r="Z20" s="22"/>
    </row>
    <row r="21">
      <c r="A21" s="35">
        <f t="shared" si="5"/>
        <v>17</v>
      </c>
      <c r="B21" s="36" t="s">
        <v>90</v>
      </c>
      <c r="C21" s="37"/>
      <c r="D21" s="37"/>
      <c r="E21" s="42">
        <f t="shared" si="2"/>
        <v>0</v>
      </c>
      <c r="F21" s="89"/>
      <c r="G21" s="90"/>
      <c r="H21" s="91"/>
      <c r="I21" s="90"/>
      <c r="J21" s="90"/>
      <c r="K21" s="90"/>
      <c r="L21" s="92"/>
      <c r="M21" s="90"/>
      <c r="N21" s="37">
        <f t="shared" ref="N21:O21" si="21">C21+L21</f>
        <v>0</v>
      </c>
      <c r="O21" s="37">
        <f t="shared" si="21"/>
        <v>0</v>
      </c>
      <c r="P21" s="50" t="s">
        <v>60</v>
      </c>
      <c r="Q21" s="50" t="s">
        <v>60</v>
      </c>
      <c r="R21" s="50" t="s">
        <v>60</v>
      </c>
      <c r="S21" s="51"/>
      <c r="T21" s="52"/>
      <c r="U21" s="52"/>
      <c r="V21" s="51"/>
      <c r="W21" s="52"/>
      <c r="X21" s="35">
        <f t="shared" si="7"/>
        <v>17</v>
      </c>
      <c r="Y21" s="35" t="str">
        <f t="shared" si="4"/>
        <v>N</v>
      </c>
      <c r="Z21" s="22"/>
    </row>
    <row r="22">
      <c r="A22" s="35">
        <f t="shared" si="5"/>
        <v>18</v>
      </c>
      <c r="B22" s="36" t="s">
        <v>146</v>
      </c>
      <c r="C22" s="37"/>
      <c r="D22" s="37"/>
      <c r="E22" s="42">
        <f t="shared" si="2"/>
        <v>0</v>
      </c>
      <c r="F22" s="89"/>
      <c r="G22" s="90"/>
      <c r="H22" s="91"/>
      <c r="I22" s="90"/>
      <c r="J22" s="90"/>
      <c r="K22" s="90"/>
      <c r="L22" s="92"/>
      <c r="M22" s="90"/>
      <c r="N22" s="37">
        <f t="shared" ref="N22:O22" si="22">C22+L22</f>
        <v>0</v>
      </c>
      <c r="O22" s="37">
        <f t="shared" si="22"/>
        <v>0</v>
      </c>
      <c r="P22" s="50" t="s">
        <v>60</v>
      </c>
      <c r="Q22" s="50" t="s">
        <v>60</v>
      </c>
      <c r="R22" s="50" t="s">
        <v>60</v>
      </c>
      <c r="S22" s="51"/>
      <c r="T22" s="52"/>
      <c r="U22" s="52"/>
      <c r="V22" s="51"/>
      <c r="W22" s="52"/>
      <c r="X22" s="35">
        <f t="shared" si="7"/>
        <v>18</v>
      </c>
      <c r="Y22" s="35" t="str">
        <f t="shared" si="4"/>
        <v>N</v>
      </c>
      <c r="Z22" s="22"/>
    </row>
    <row r="23">
      <c r="A23" s="35">
        <f t="shared" si="5"/>
        <v>19</v>
      </c>
      <c r="B23" s="36" t="s">
        <v>106</v>
      </c>
      <c r="C23" s="37"/>
      <c r="D23" s="37"/>
      <c r="E23" s="42">
        <f t="shared" si="2"/>
        <v>0</v>
      </c>
      <c r="F23" s="89"/>
      <c r="G23" s="90"/>
      <c r="H23" s="91"/>
      <c r="I23" s="90"/>
      <c r="J23" s="90"/>
      <c r="K23" s="90"/>
      <c r="L23" s="92"/>
      <c r="M23" s="90"/>
      <c r="N23" s="37">
        <f t="shared" ref="N23:O23" si="23">C23+L23</f>
        <v>0</v>
      </c>
      <c r="O23" s="37">
        <f t="shared" si="23"/>
        <v>0</v>
      </c>
      <c r="P23" s="50" t="s">
        <v>60</v>
      </c>
      <c r="Q23" s="50" t="s">
        <v>60</v>
      </c>
      <c r="R23" s="50" t="s">
        <v>60</v>
      </c>
      <c r="S23" s="51"/>
      <c r="T23" s="52"/>
      <c r="U23" s="52"/>
      <c r="V23" s="51"/>
      <c r="W23" s="52"/>
      <c r="X23" s="35">
        <f t="shared" si="7"/>
        <v>19</v>
      </c>
      <c r="Y23" s="35" t="str">
        <f t="shared" si="4"/>
        <v>N</v>
      </c>
      <c r="Z23" s="22"/>
    </row>
    <row r="24">
      <c r="A24" s="35">
        <f t="shared" si="5"/>
        <v>20</v>
      </c>
      <c r="B24" s="36" t="s">
        <v>87</v>
      </c>
      <c r="C24" s="37"/>
      <c r="D24" s="37"/>
      <c r="E24" s="42">
        <f t="shared" si="2"/>
        <v>0</v>
      </c>
      <c r="F24" s="89"/>
      <c r="G24" s="90"/>
      <c r="H24" s="91"/>
      <c r="I24" s="90"/>
      <c r="J24" s="90"/>
      <c r="K24" s="90"/>
      <c r="L24" s="92"/>
      <c r="M24" s="90"/>
      <c r="N24" s="37">
        <f t="shared" ref="N24:O24" si="24">C24+L24</f>
        <v>0</v>
      </c>
      <c r="O24" s="37">
        <f t="shared" si="24"/>
        <v>0</v>
      </c>
      <c r="P24" s="50" t="s">
        <v>60</v>
      </c>
      <c r="Q24" s="50" t="s">
        <v>60</v>
      </c>
      <c r="R24" s="50" t="s">
        <v>60</v>
      </c>
      <c r="S24" s="51"/>
      <c r="T24" s="52"/>
      <c r="U24" s="52"/>
      <c r="V24" s="51"/>
      <c r="W24" s="52"/>
      <c r="X24" s="35">
        <f t="shared" si="7"/>
        <v>20</v>
      </c>
      <c r="Y24" s="35" t="str">
        <f t="shared" si="4"/>
        <v>N</v>
      </c>
      <c r="Z24" s="22"/>
    </row>
    <row r="25">
      <c r="A25" s="35">
        <f t="shared" si="5"/>
        <v>21</v>
      </c>
      <c r="B25" s="36" t="s">
        <v>95</v>
      </c>
      <c r="C25" s="37"/>
      <c r="D25" s="37"/>
      <c r="E25" s="42">
        <f t="shared" si="2"/>
        <v>0</v>
      </c>
      <c r="F25" s="89"/>
      <c r="G25" s="90"/>
      <c r="H25" s="91"/>
      <c r="I25" s="90"/>
      <c r="J25" s="90"/>
      <c r="K25" s="90"/>
      <c r="L25" s="92"/>
      <c r="M25" s="90"/>
      <c r="N25" s="37">
        <f t="shared" ref="N25:O25" si="25">C25+L25</f>
        <v>0</v>
      </c>
      <c r="O25" s="37">
        <f t="shared" si="25"/>
        <v>0</v>
      </c>
      <c r="P25" s="50" t="s">
        <v>60</v>
      </c>
      <c r="Q25" s="50" t="s">
        <v>60</v>
      </c>
      <c r="R25" s="50" t="s">
        <v>60</v>
      </c>
      <c r="S25" s="51"/>
      <c r="T25" s="52"/>
      <c r="U25" s="52"/>
      <c r="V25" s="51"/>
      <c r="W25" s="52"/>
      <c r="X25" s="35">
        <f t="shared" si="7"/>
        <v>21</v>
      </c>
      <c r="Y25" s="35" t="str">
        <f t="shared" si="4"/>
        <v>N</v>
      </c>
      <c r="Z25" s="22"/>
    </row>
    <row r="26">
      <c r="A26" s="35">
        <f t="shared" si="5"/>
        <v>22</v>
      </c>
      <c r="B26" s="36" t="s">
        <v>92</v>
      </c>
      <c r="C26" s="37"/>
      <c r="D26" s="37"/>
      <c r="E26" s="42">
        <f t="shared" si="2"/>
        <v>0</v>
      </c>
      <c r="F26" s="89"/>
      <c r="G26" s="90"/>
      <c r="H26" s="91"/>
      <c r="I26" s="90"/>
      <c r="J26" s="90"/>
      <c r="K26" s="90"/>
      <c r="L26" s="92"/>
      <c r="M26" s="90"/>
      <c r="N26" s="37">
        <f t="shared" ref="N26:O26" si="26">C26+L26</f>
        <v>0</v>
      </c>
      <c r="O26" s="37">
        <f t="shared" si="26"/>
        <v>0</v>
      </c>
      <c r="P26" s="50" t="s">
        <v>60</v>
      </c>
      <c r="Q26" s="50" t="s">
        <v>60</v>
      </c>
      <c r="R26" s="50" t="s">
        <v>60</v>
      </c>
      <c r="S26" s="51"/>
      <c r="T26" s="52"/>
      <c r="U26" s="52"/>
      <c r="V26" s="51"/>
      <c r="W26" s="52"/>
      <c r="X26" s="35">
        <f t="shared" si="7"/>
        <v>22</v>
      </c>
      <c r="Y26" s="35" t="str">
        <f t="shared" si="4"/>
        <v>N</v>
      </c>
      <c r="Z26" s="22"/>
    </row>
    <row r="27">
      <c r="A27" s="35">
        <f t="shared" si="5"/>
        <v>23</v>
      </c>
      <c r="B27" s="36" t="s">
        <v>109</v>
      </c>
      <c r="C27" s="37"/>
      <c r="D27" s="37"/>
      <c r="E27" s="42">
        <f t="shared" si="2"/>
        <v>0</v>
      </c>
      <c r="F27" s="89"/>
      <c r="G27" s="90"/>
      <c r="H27" s="91"/>
      <c r="I27" s="90"/>
      <c r="J27" s="90"/>
      <c r="K27" s="90"/>
      <c r="L27" s="92"/>
      <c r="M27" s="90"/>
      <c r="N27" s="37">
        <f t="shared" ref="N27:O27" si="27">C27+L27</f>
        <v>0</v>
      </c>
      <c r="O27" s="37">
        <f t="shared" si="27"/>
        <v>0</v>
      </c>
      <c r="P27" s="50" t="s">
        <v>60</v>
      </c>
      <c r="Q27" s="50" t="s">
        <v>60</v>
      </c>
      <c r="R27" s="50" t="s">
        <v>60</v>
      </c>
      <c r="S27" s="51"/>
      <c r="T27" s="52"/>
      <c r="U27" s="52"/>
      <c r="V27" s="51"/>
      <c r="W27" s="52"/>
      <c r="X27" s="35">
        <f t="shared" si="7"/>
        <v>23</v>
      </c>
      <c r="Y27" s="35" t="str">
        <f t="shared" si="4"/>
        <v>N</v>
      </c>
      <c r="Z27" s="22"/>
    </row>
    <row r="28">
      <c r="A28" s="35">
        <f t="shared" si="5"/>
        <v>24</v>
      </c>
      <c r="B28" s="36" t="s">
        <v>77</v>
      </c>
      <c r="C28" s="37"/>
      <c r="D28" s="37"/>
      <c r="E28" s="42">
        <f t="shared" si="2"/>
        <v>0</v>
      </c>
      <c r="F28" s="89"/>
      <c r="G28" s="90"/>
      <c r="H28" s="91"/>
      <c r="I28" s="90"/>
      <c r="J28" s="90"/>
      <c r="K28" s="90"/>
      <c r="L28" s="92"/>
      <c r="M28" s="90"/>
      <c r="N28" s="37">
        <f t="shared" ref="N28:O28" si="28">C28+L28</f>
        <v>0</v>
      </c>
      <c r="O28" s="37">
        <f t="shared" si="28"/>
        <v>0</v>
      </c>
      <c r="P28" s="50" t="s">
        <v>60</v>
      </c>
      <c r="Q28" s="50" t="s">
        <v>60</v>
      </c>
      <c r="R28" s="50" t="s">
        <v>60</v>
      </c>
      <c r="S28" s="51"/>
      <c r="T28" s="52"/>
      <c r="U28" s="52"/>
      <c r="V28" s="51"/>
      <c r="W28" s="52"/>
      <c r="X28" s="35">
        <f t="shared" si="7"/>
        <v>24</v>
      </c>
      <c r="Y28" s="35" t="str">
        <f t="shared" si="4"/>
        <v>N</v>
      </c>
      <c r="Z28" s="22"/>
    </row>
    <row r="29">
      <c r="A29" s="35">
        <f t="shared" si="5"/>
        <v>25</v>
      </c>
      <c r="B29" s="36" t="s">
        <v>144</v>
      </c>
      <c r="C29" s="37"/>
      <c r="D29" s="37"/>
      <c r="E29" s="42">
        <f t="shared" si="2"/>
        <v>0</v>
      </c>
      <c r="F29" s="89"/>
      <c r="G29" s="90"/>
      <c r="H29" s="91"/>
      <c r="I29" s="90"/>
      <c r="J29" s="90"/>
      <c r="K29" s="90"/>
      <c r="L29" s="92"/>
      <c r="M29" s="90"/>
      <c r="N29" s="37">
        <f t="shared" ref="N29:O29" si="29">C29+L29</f>
        <v>0</v>
      </c>
      <c r="O29" s="37">
        <f t="shared" si="29"/>
        <v>0</v>
      </c>
      <c r="P29" s="50" t="s">
        <v>60</v>
      </c>
      <c r="Q29" s="50" t="s">
        <v>60</v>
      </c>
      <c r="R29" s="50" t="s">
        <v>60</v>
      </c>
      <c r="S29" s="51"/>
      <c r="T29" s="52"/>
      <c r="U29" s="52"/>
      <c r="V29" s="51"/>
      <c r="W29" s="52"/>
      <c r="X29" s="35">
        <f t="shared" si="7"/>
        <v>25</v>
      </c>
      <c r="Y29" s="35" t="str">
        <f t="shared" si="4"/>
        <v>N</v>
      </c>
      <c r="Z29" s="22"/>
    </row>
    <row r="30">
      <c r="A30" s="35">
        <f t="shared" si="5"/>
        <v>26</v>
      </c>
      <c r="B30" s="36" t="s">
        <v>108</v>
      </c>
      <c r="C30" s="37"/>
      <c r="D30" s="37"/>
      <c r="E30" s="42">
        <f t="shared" si="2"/>
        <v>0</v>
      </c>
      <c r="F30" s="89"/>
      <c r="G30" s="90"/>
      <c r="H30" s="91"/>
      <c r="I30" s="90"/>
      <c r="J30" s="90"/>
      <c r="K30" s="90"/>
      <c r="L30" s="92"/>
      <c r="M30" s="90"/>
      <c r="N30" s="37">
        <f t="shared" ref="N30:O30" si="30">C30+L30</f>
        <v>0</v>
      </c>
      <c r="O30" s="37">
        <f t="shared" si="30"/>
        <v>0</v>
      </c>
      <c r="P30" s="50" t="s">
        <v>60</v>
      </c>
      <c r="Q30" s="50" t="s">
        <v>60</v>
      </c>
      <c r="R30" s="50" t="s">
        <v>60</v>
      </c>
      <c r="S30" s="51"/>
      <c r="T30" s="52"/>
      <c r="U30" s="52"/>
      <c r="V30" s="51"/>
      <c r="W30" s="52"/>
      <c r="X30" s="35">
        <f t="shared" si="7"/>
        <v>26</v>
      </c>
      <c r="Y30" s="35" t="str">
        <f t="shared" si="4"/>
        <v>N</v>
      </c>
      <c r="Z30" s="22"/>
    </row>
    <row r="31">
      <c r="A31" s="35">
        <f t="shared" si="5"/>
        <v>27</v>
      </c>
      <c r="B31" s="36" t="s">
        <v>102</v>
      </c>
      <c r="C31" s="37"/>
      <c r="D31" s="37"/>
      <c r="E31" s="42">
        <f t="shared" si="2"/>
        <v>0</v>
      </c>
      <c r="F31" s="89"/>
      <c r="G31" s="90"/>
      <c r="H31" s="91"/>
      <c r="I31" s="90"/>
      <c r="J31" s="90"/>
      <c r="K31" s="90"/>
      <c r="L31" s="92"/>
      <c r="M31" s="90"/>
      <c r="N31" s="37">
        <f t="shared" ref="N31:O31" si="31">C31+L31</f>
        <v>0</v>
      </c>
      <c r="O31" s="37">
        <f t="shared" si="31"/>
        <v>0</v>
      </c>
      <c r="P31" s="50" t="s">
        <v>60</v>
      </c>
      <c r="Q31" s="50" t="s">
        <v>60</v>
      </c>
      <c r="R31" s="50" t="s">
        <v>60</v>
      </c>
      <c r="S31" s="51"/>
      <c r="T31" s="52"/>
      <c r="U31" s="52"/>
      <c r="V31" s="51"/>
      <c r="W31" s="52"/>
      <c r="X31" s="35">
        <f t="shared" si="7"/>
        <v>27</v>
      </c>
      <c r="Y31" s="35" t="str">
        <f t="shared" si="4"/>
        <v>N</v>
      </c>
      <c r="Z31" s="22"/>
    </row>
    <row r="32">
      <c r="A32" s="35">
        <f t="shared" si="5"/>
        <v>28</v>
      </c>
      <c r="B32" s="36" t="s">
        <v>56</v>
      </c>
      <c r="C32" s="37"/>
      <c r="D32" s="37"/>
      <c r="E32" s="42">
        <f t="shared" si="2"/>
        <v>0</v>
      </c>
      <c r="F32" s="89"/>
      <c r="G32" s="90"/>
      <c r="H32" s="91"/>
      <c r="I32" s="90"/>
      <c r="J32" s="90"/>
      <c r="K32" s="90"/>
      <c r="L32" s="92"/>
      <c r="M32" s="90"/>
      <c r="N32" s="37">
        <f t="shared" ref="N32:O32" si="32">C32+L32</f>
        <v>0</v>
      </c>
      <c r="O32" s="37">
        <f t="shared" si="32"/>
        <v>0</v>
      </c>
      <c r="P32" s="50" t="s">
        <v>60</v>
      </c>
      <c r="Q32" s="50" t="s">
        <v>60</v>
      </c>
      <c r="R32" s="50" t="s">
        <v>60</v>
      </c>
      <c r="S32" s="51"/>
      <c r="T32" s="52"/>
      <c r="U32" s="52"/>
      <c r="V32" s="51"/>
      <c r="W32" s="52"/>
      <c r="X32" s="35">
        <f t="shared" si="7"/>
        <v>28</v>
      </c>
      <c r="Y32" s="35" t="str">
        <f t="shared" si="4"/>
        <v>N</v>
      </c>
      <c r="Z32" s="22"/>
    </row>
    <row r="33">
      <c r="A33" s="35">
        <f t="shared" si="5"/>
        <v>29</v>
      </c>
      <c r="B33" s="36" t="s">
        <v>80</v>
      </c>
      <c r="C33" s="37"/>
      <c r="D33" s="37"/>
      <c r="E33" s="42">
        <f t="shared" si="2"/>
        <v>0</v>
      </c>
      <c r="F33" s="89"/>
      <c r="G33" s="90"/>
      <c r="H33" s="91"/>
      <c r="I33" s="90"/>
      <c r="J33" s="90"/>
      <c r="K33" s="90"/>
      <c r="L33" s="92"/>
      <c r="M33" s="90"/>
      <c r="N33" s="37">
        <f t="shared" ref="N33:O33" si="33">C33+L33</f>
        <v>0</v>
      </c>
      <c r="O33" s="37">
        <f t="shared" si="33"/>
        <v>0</v>
      </c>
      <c r="P33" s="50" t="s">
        <v>60</v>
      </c>
      <c r="Q33" s="50" t="s">
        <v>60</v>
      </c>
      <c r="R33" s="50" t="s">
        <v>60</v>
      </c>
      <c r="S33" s="51"/>
      <c r="T33" s="52"/>
      <c r="U33" s="52"/>
      <c r="V33" s="51"/>
      <c r="W33" s="52"/>
      <c r="X33" s="35">
        <f t="shared" si="7"/>
        <v>29</v>
      </c>
      <c r="Y33" s="35" t="str">
        <f t="shared" si="4"/>
        <v>N</v>
      </c>
      <c r="Z33" s="22"/>
    </row>
    <row r="34">
      <c r="A34" s="35">
        <f t="shared" si="5"/>
        <v>30</v>
      </c>
      <c r="B34" s="36" t="s">
        <v>133</v>
      </c>
      <c r="C34" s="37"/>
      <c r="D34" s="37"/>
      <c r="E34" s="42">
        <f t="shared" si="2"/>
        <v>0</v>
      </c>
      <c r="F34" s="89"/>
      <c r="G34" s="90"/>
      <c r="H34" s="91"/>
      <c r="I34" s="90"/>
      <c r="J34" s="90"/>
      <c r="K34" s="90"/>
      <c r="L34" s="92"/>
      <c r="M34" s="90"/>
      <c r="N34" s="37">
        <f t="shared" ref="N34:O34" si="34">C34+L34</f>
        <v>0</v>
      </c>
      <c r="O34" s="37">
        <f t="shared" si="34"/>
        <v>0</v>
      </c>
      <c r="P34" s="50" t="s">
        <v>60</v>
      </c>
      <c r="Q34" s="50" t="s">
        <v>60</v>
      </c>
      <c r="R34" s="50" t="s">
        <v>60</v>
      </c>
      <c r="S34" s="51"/>
      <c r="T34" s="52"/>
      <c r="U34" s="52"/>
      <c r="V34" s="51"/>
      <c r="W34" s="52"/>
      <c r="X34" s="35">
        <f t="shared" si="7"/>
        <v>30</v>
      </c>
      <c r="Y34" s="35" t="str">
        <f t="shared" si="4"/>
        <v>N</v>
      </c>
      <c r="Z34" s="22"/>
    </row>
    <row r="35">
      <c r="A35" s="35">
        <f t="shared" si="5"/>
        <v>31</v>
      </c>
      <c r="B35" s="36" t="s">
        <v>118</v>
      </c>
      <c r="C35" s="37"/>
      <c r="D35" s="37"/>
      <c r="E35" s="42">
        <f t="shared" si="2"/>
        <v>0</v>
      </c>
      <c r="F35" s="89"/>
      <c r="G35" s="90"/>
      <c r="H35" s="91"/>
      <c r="I35" s="90"/>
      <c r="J35" s="90"/>
      <c r="K35" s="90"/>
      <c r="L35" s="92"/>
      <c r="M35" s="90"/>
      <c r="N35" s="37">
        <f t="shared" ref="N35:O35" si="35">C35+L35</f>
        <v>0</v>
      </c>
      <c r="O35" s="37">
        <f t="shared" si="35"/>
        <v>0</v>
      </c>
      <c r="P35" s="50" t="s">
        <v>60</v>
      </c>
      <c r="Q35" s="50" t="s">
        <v>60</v>
      </c>
      <c r="R35" s="50" t="s">
        <v>60</v>
      </c>
      <c r="S35" s="51"/>
      <c r="T35" s="52"/>
      <c r="U35" s="52"/>
      <c r="V35" s="51"/>
      <c r="W35" s="52"/>
      <c r="X35" s="35">
        <f t="shared" si="7"/>
        <v>31</v>
      </c>
      <c r="Y35" s="35" t="str">
        <f t="shared" si="4"/>
        <v>N</v>
      </c>
      <c r="Z35" s="22"/>
    </row>
    <row r="36">
      <c r="A36" s="35">
        <f t="shared" si="5"/>
        <v>32</v>
      </c>
      <c r="B36" s="36" t="s">
        <v>137</v>
      </c>
      <c r="C36" s="37"/>
      <c r="D36" s="37"/>
      <c r="E36" s="42">
        <f t="shared" si="2"/>
        <v>0</v>
      </c>
      <c r="F36" s="89"/>
      <c r="G36" s="90"/>
      <c r="H36" s="91"/>
      <c r="I36" s="90"/>
      <c r="J36" s="90"/>
      <c r="K36" s="90"/>
      <c r="L36" s="92"/>
      <c r="M36" s="90"/>
      <c r="N36" s="37">
        <f t="shared" ref="N36:O36" si="36">C36+L36</f>
        <v>0</v>
      </c>
      <c r="O36" s="37">
        <f t="shared" si="36"/>
        <v>0</v>
      </c>
      <c r="P36" s="50" t="s">
        <v>60</v>
      </c>
      <c r="Q36" s="50" t="s">
        <v>60</v>
      </c>
      <c r="R36" s="50" t="s">
        <v>60</v>
      </c>
      <c r="S36" s="51"/>
      <c r="T36" s="52"/>
      <c r="U36" s="52"/>
      <c r="V36" s="51"/>
      <c r="W36" s="52"/>
      <c r="X36" s="35">
        <f t="shared" si="7"/>
        <v>32</v>
      </c>
      <c r="Y36" s="35" t="str">
        <f t="shared" si="4"/>
        <v>N</v>
      </c>
      <c r="Z36" s="22"/>
    </row>
    <row r="37">
      <c r="A37" s="35">
        <f t="shared" si="5"/>
        <v>33</v>
      </c>
      <c r="B37" s="36" t="s">
        <v>130</v>
      </c>
      <c r="C37" s="37"/>
      <c r="D37" s="37"/>
      <c r="E37" s="42">
        <f t="shared" si="2"/>
        <v>0</v>
      </c>
      <c r="F37" s="89"/>
      <c r="G37" s="90"/>
      <c r="H37" s="91"/>
      <c r="I37" s="90"/>
      <c r="J37" s="90"/>
      <c r="K37" s="90"/>
      <c r="L37" s="92"/>
      <c r="M37" s="90"/>
      <c r="N37" s="37">
        <f t="shared" ref="N37:O37" si="37">C37+L37</f>
        <v>0</v>
      </c>
      <c r="O37" s="37">
        <f t="shared" si="37"/>
        <v>0</v>
      </c>
      <c r="P37" s="50" t="s">
        <v>60</v>
      </c>
      <c r="Q37" s="50" t="s">
        <v>60</v>
      </c>
      <c r="R37" s="50" t="s">
        <v>60</v>
      </c>
      <c r="S37" s="51"/>
      <c r="T37" s="52"/>
      <c r="U37" s="52"/>
      <c r="V37" s="51"/>
      <c r="W37" s="52"/>
      <c r="X37" s="35">
        <f t="shared" si="7"/>
        <v>33</v>
      </c>
      <c r="Y37" s="35" t="str">
        <f t="shared" si="4"/>
        <v>N</v>
      </c>
      <c r="Z37" s="22"/>
    </row>
    <row r="38">
      <c r="A38" s="35">
        <f t="shared" si="5"/>
        <v>34</v>
      </c>
      <c r="B38" s="36" t="s">
        <v>132</v>
      </c>
      <c r="C38" s="37"/>
      <c r="D38" s="37"/>
      <c r="E38" s="42">
        <f t="shared" si="2"/>
        <v>0</v>
      </c>
      <c r="F38" s="89"/>
      <c r="G38" s="90"/>
      <c r="H38" s="91"/>
      <c r="I38" s="90"/>
      <c r="J38" s="90"/>
      <c r="K38" s="90"/>
      <c r="L38" s="92"/>
      <c r="M38" s="90"/>
      <c r="N38" s="37">
        <f t="shared" ref="N38:O38" si="38">C38+L38</f>
        <v>0</v>
      </c>
      <c r="O38" s="37">
        <f t="shared" si="38"/>
        <v>0</v>
      </c>
      <c r="P38" s="50" t="s">
        <v>60</v>
      </c>
      <c r="Q38" s="50" t="s">
        <v>60</v>
      </c>
      <c r="R38" s="50" t="s">
        <v>60</v>
      </c>
      <c r="S38" s="51"/>
      <c r="T38" s="52"/>
      <c r="U38" s="52"/>
      <c r="V38" s="51"/>
      <c r="W38" s="52"/>
      <c r="X38" s="35">
        <f t="shared" si="7"/>
        <v>34</v>
      </c>
      <c r="Y38" s="35" t="str">
        <f t="shared" si="4"/>
        <v>N</v>
      </c>
      <c r="Z38" s="22"/>
    </row>
    <row r="39">
      <c r="A39" s="35">
        <f t="shared" si="5"/>
        <v>35</v>
      </c>
      <c r="B39" s="36" t="s">
        <v>101</v>
      </c>
      <c r="C39" s="37"/>
      <c r="D39" s="37"/>
      <c r="E39" s="42">
        <f t="shared" si="2"/>
        <v>0</v>
      </c>
      <c r="F39" s="89"/>
      <c r="G39" s="90"/>
      <c r="H39" s="91"/>
      <c r="I39" s="90"/>
      <c r="J39" s="90"/>
      <c r="K39" s="90"/>
      <c r="L39" s="92"/>
      <c r="M39" s="90"/>
      <c r="N39" s="37">
        <f t="shared" ref="N39:O39" si="39">C39+L39</f>
        <v>0</v>
      </c>
      <c r="O39" s="37">
        <f t="shared" si="39"/>
        <v>0</v>
      </c>
      <c r="P39" s="50" t="s">
        <v>60</v>
      </c>
      <c r="Q39" s="50" t="s">
        <v>60</v>
      </c>
      <c r="R39" s="50" t="s">
        <v>60</v>
      </c>
      <c r="S39" s="51"/>
      <c r="T39" s="52"/>
      <c r="U39" s="52"/>
      <c r="V39" s="51"/>
      <c r="W39" s="52"/>
      <c r="X39" s="35">
        <f t="shared" si="7"/>
        <v>35</v>
      </c>
      <c r="Y39" s="35" t="str">
        <f t="shared" si="4"/>
        <v>N</v>
      </c>
      <c r="Z39" s="22"/>
    </row>
    <row r="40">
      <c r="A40" s="35">
        <f t="shared" si="5"/>
        <v>36</v>
      </c>
      <c r="B40" s="36" t="s">
        <v>125</v>
      </c>
      <c r="C40" s="37"/>
      <c r="D40" s="37"/>
      <c r="E40" s="42">
        <f t="shared" si="2"/>
        <v>0</v>
      </c>
      <c r="F40" s="89"/>
      <c r="G40" s="90"/>
      <c r="H40" s="91"/>
      <c r="I40" s="90"/>
      <c r="J40" s="90"/>
      <c r="K40" s="90"/>
      <c r="L40" s="92"/>
      <c r="M40" s="90"/>
      <c r="N40" s="37">
        <f t="shared" ref="N40:O40" si="40">C40+L40</f>
        <v>0</v>
      </c>
      <c r="O40" s="37">
        <f t="shared" si="40"/>
        <v>0</v>
      </c>
      <c r="P40" s="50" t="s">
        <v>60</v>
      </c>
      <c r="Q40" s="50" t="s">
        <v>60</v>
      </c>
      <c r="R40" s="50" t="s">
        <v>60</v>
      </c>
      <c r="S40" s="51"/>
      <c r="T40" s="52"/>
      <c r="U40" s="52"/>
      <c r="V40" s="51"/>
      <c r="W40" s="52"/>
      <c r="X40" s="35">
        <f t="shared" si="7"/>
        <v>36</v>
      </c>
      <c r="Y40" s="35" t="str">
        <f t="shared" si="4"/>
        <v>N</v>
      </c>
      <c r="Z40" s="22"/>
    </row>
    <row r="41">
      <c r="A41" s="35">
        <f t="shared" si="5"/>
        <v>37</v>
      </c>
      <c r="B41" s="36" t="s">
        <v>126</v>
      </c>
      <c r="C41" s="37"/>
      <c r="D41" s="37"/>
      <c r="E41" s="42">
        <f t="shared" si="2"/>
        <v>0</v>
      </c>
      <c r="F41" s="89"/>
      <c r="G41" s="90"/>
      <c r="H41" s="91"/>
      <c r="I41" s="90"/>
      <c r="J41" s="90"/>
      <c r="K41" s="90"/>
      <c r="L41" s="92"/>
      <c r="M41" s="90"/>
      <c r="N41" s="37">
        <f t="shared" ref="N41:O41" si="41">C41+L41</f>
        <v>0</v>
      </c>
      <c r="O41" s="37">
        <f t="shared" si="41"/>
        <v>0</v>
      </c>
      <c r="P41" s="50" t="s">
        <v>60</v>
      </c>
      <c r="Q41" s="50" t="s">
        <v>60</v>
      </c>
      <c r="R41" s="50" t="s">
        <v>60</v>
      </c>
      <c r="S41" s="51"/>
      <c r="T41" s="52"/>
      <c r="U41" s="52"/>
      <c r="V41" s="51"/>
      <c r="W41" s="52"/>
      <c r="X41" s="35">
        <f t="shared" si="7"/>
        <v>37</v>
      </c>
      <c r="Y41" s="35" t="str">
        <f t="shared" si="4"/>
        <v>N</v>
      </c>
      <c r="Z41" s="22"/>
    </row>
    <row r="42">
      <c r="A42" s="35">
        <f t="shared" si="5"/>
        <v>38</v>
      </c>
      <c r="B42" s="36" t="s">
        <v>111</v>
      </c>
      <c r="C42" s="37"/>
      <c r="D42" s="37"/>
      <c r="E42" s="42">
        <f t="shared" si="2"/>
        <v>0</v>
      </c>
      <c r="F42" s="89"/>
      <c r="G42" s="90"/>
      <c r="H42" s="91"/>
      <c r="I42" s="90"/>
      <c r="J42" s="90"/>
      <c r="K42" s="90"/>
      <c r="L42" s="92"/>
      <c r="M42" s="90"/>
      <c r="N42" s="37">
        <f t="shared" ref="N42:O42" si="42">C42+L42</f>
        <v>0</v>
      </c>
      <c r="O42" s="37">
        <f t="shared" si="42"/>
        <v>0</v>
      </c>
      <c r="P42" s="50" t="s">
        <v>60</v>
      </c>
      <c r="Q42" s="50" t="s">
        <v>60</v>
      </c>
      <c r="R42" s="50" t="s">
        <v>60</v>
      </c>
      <c r="S42" s="51"/>
      <c r="T42" s="52"/>
      <c r="U42" s="52"/>
      <c r="V42" s="51"/>
      <c r="W42" s="52"/>
      <c r="X42" s="35">
        <f t="shared" si="7"/>
        <v>38</v>
      </c>
      <c r="Y42" s="35" t="str">
        <f t="shared" si="4"/>
        <v>N</v>
      </c>
      <c r="Z42" s="22"/>
    </row>
    <row r="43">
      <c r="A43" s="35">
        <f t="shared" si="5"/>
        <v>39</v>
      </c>
      <c r="B43" s="36" t="s">
        <v>100</v>
      </c>
      <c r="C43" s="37"/>
      <c r="D43" s="37"/>
      <c r="E43" s="42">
        <f t="shared" si="2"/>
        <v>0</v>
      </c>
      <c r="F43" s="89"/>
      <c r="G43" s="90"/>
      <c r="H43" s="91"/>
      <c r="I43" s="90"/>
      <c r="J43" s="90"/>
      <c r="K43" s="90"/>
      <c r="L43" s="92"/>
      <c r="M43" s="90"/>
      <c r="N43" s="37">
        <f t="shared" ref="N43:O43" si="43">C43+L43</f>
        <v>0</v>
      </c>
      <c r="O43" s="37">
        <f t="shared" si="43"/>
        <v>0</v>
      </c>
      <c r="P43" s="50" t="s">
        <v>60</v>
      </c>
      <c r="Q43" s="50" t="s">
        <v>60</v>
      </c>
      <c r="R43" s="50" t="s">
        <v>60</v>
      </c>
      <c r="S43" s="51"/>
      <c r="T43" s="52"/>
      <c r="U43" s="52"/>
      <c r="V43" s="51"/>
      <c r="W43" s="52"/>
      <c r="X43" s="35">
        <f t="shared" si="7"/>
        <v>39</v>
      </c>
      <c r="Y43" s="35" t="str">
        <f t="shared" si="4"/>
        <v>N</v>
      </c>
      <c r="Z43" s="22"/>
    </row>
    <row r="44">
      <c r="A44" s="35">
        <f t="shared" si="5"/>
        <v>40</v>
      </c>
      <c r="B44" s="36" t="s">
        <v>53</v>
      </c>
      <c r="C44" s="37"/>
      <c r="D44" s="37"/>
      <c r="E44" s="42">
        <f t="shared" si="2"/>
        <v>0</v>
      </c>
      <c r="F44" s="89"/>
      <c r="G44" s="90"/>
      <c r="H44" s="91"/>
      <c r="I44" s="90"/>
      <c r="J44" s="90"/>
      <c r="K44" s="90"/>
      <c r="L44" s="92"/>
      <c r="M44" s="90"/>
      <c r="N44" s="37">
        <f t="shared" ref="N44:O44" si="44">C44+L44</f>
        <v>0</v>
      </c>
      <c r="O44" s="37">
        <f t="shared" si="44"/>
        <v>0</v>
      </c>
      <c r="P44" s="50" t="s">
        <v>60</v>
      </c>
      <c r="Q44" s="50" t="s">
        <v>60</v>
      </c>
      <c r="R44" s="50" t="s">
        <v>60</v>
      </c>
      <c r="S44" s="51"/>
      <c r="T44" s="52"/>
      <c r="U44" s="52"/>
      <c r="V44" s="51"/>
      <c r="W44" s="52"/>
      <c r="X44" s="35">
        <f t="shared" si="7"/>
        <v>40</v>
      </c>
      <c r="Y44" s="35" t="str">
        <f t="shared" si="4"/>
        <v>N</v>
      </c>
      <c r="Z44" s="22"/>
    </row>
    <row r="45">
      <c r="A45" s="35">
        <f t="shared" si="5"/>
        <v>41</v>
      </c>
      <c r="B45" s="36" t="s">
        <v>131</v>
      </c>
      <c r="C45" s="37"/>
      <c r="D45" s="37"/>
      <c r="E45" s="42">
        <f t="shared" si="2"/>
        <v>0</v>
      </c>
      <c r="F45" s="89"/>
      <c r="G45" s="90"/>
      <c r="H45" s="91"/>
      <c r="I45" s="90"/>
      <c r="J45" s="90"/>
      <c r="K45" s="90"/>
      <c r="L45" s="92"/>
      <c r="M45" s="90"/>
      <c r="N45" s="37">
        <f t="shared" ref="N45:O45" si="45">C45+L45</f>
        <v>0</v>
      </c>
      <c r="O45" s="37">
        <f t="shared" si="45"/>
        <v>0</v>
      </c>
      <c r="P45" s="50" t="s">
        <v>60</v>
      </c>
      <c r="Q45" s="50" t="s">
        <v>60</v>
      </c>
      <c r="R45" s="50" t="s">
        <v>60</v>
      </c>
      <c r="S45" s="51"/>
      <c r="T45" s="52"/>
      <c r="U45" s="52"/>
      <c r="V45" s="51"/>
      <c r="W45" s="52"/>
      <c r="X45" s="35">
        <f t="shared" si="7"/>
        <v>41</v>
      </c>
      <c r="Y45" s="35" t="str">
        <f t="shared" si="4"/>
        <v>N</v>
      </c>
      <c r="Z45" s="22"/>
    </row>
    <row r="46">
      <c r="A46" s="35">
        <f t="shared" si="5"/>
        <v>42</v>
      </c>
      <c r="B46" s="36" t="s">
        <v>135</v>
      </c>
      <c r="C46" s="37"/>
      <c r="D46" s="37"/>
      <c r="E46" s="42">
        <f t="shared" si="2"/>
        <v>0</v>
      </c>
      <c r="F46" s="89"/>
      <c r="G46" s="90"/>
      <c r="H46" s="91"/>
      <c r="I46" s="90"/>
      <c r="J46" s="90"/>
      <c r="K46" s="90"/>
      <c r="L46" s="92"/>
      <c r="M46" s="90"/>
      <c r="N46" s="37">
        <f t="shared" ref="N46:O46" si="46">C46+L46</f>
        <v>0</v>
      </c>
      <c r="O46" s="37">
        <f t="shared" si="46"/>
        <v>0</v>
      </c>
      <c r="P46" s="50" t="s">
        <v>60</v>
      </c>
      <c r="Q46" s="50" t="s">
        <v>60</v>
      </c>
      <c r="R46" s="50" t="s">
        <v>60</v>
      </c>
      <c r="S46" s="51"/>
      <c r="T46" s="52"/>
      <c r="U46" s="52"/>
      <c r="V46" s="51"/>
      <c r="W46" s="52"/>
      <c r="X46" s="35">
        <f t="shared" si="7"/>
        <v>42</v>
      </c>
      <c r="Y46" s="35" t="str">
        <f t="shared" si="4"/>
        <v>N</v>
      </c>
      <c r="Z46" s="22"/>
    </row>
    <row r="47">
      <c r="A47" s="35">
        <f t="shared" si="5"/>
        <v>43</v>
      </c>
      <c r="B47" s="36" t="s">
        <v>119</v>
      </c>
      <c r="C47" s="37"/>
      <c r="D47" s="37"/>
      <c r="E47" s="42">
        <f t="shared" si="2"/>
        <v>0</v>
      </c>
      <c r="F47" s="89"/>
      <c r="G47" s="90"/>
      <c r="H47" s="91"/>
      <c r="I47" s="90"/>
      <c r="J47" s="90"/>
      <c r="K47" s="90"/>
      <c r="L47" s="92"/>
      <c r="M47" s="90"/>
      <c r="N47" s="37">
        <f t="shared" ref="N47:O47" si="47">C47+L47</f>
        <v>0</v>
      </c>
      <c r="O47" s="37">
        <f t="shared" si="47"/>
        <v>0</v>
      </c>
      <c r="P47" s="50" t="s">
        <v>60</v>
      </c>
      <c r="Q47" s="50" t="s">
        <v>60</v>
      </c>
      <c r="R47" s="50"/>
      <c r="S47" s="51"/>
      <c r="T47" s="52"/>
      <c r="U47" s="52"/>
      <c r="V47" s="51"/>
      <c r="W47" s="52"/>
      <c r="X47" s="35">
        <f t="shared" si="7"/>
        <v>43</v>
      </c>
      <c r="Y47" s="35" t="str">
        <f t="shared" si="4"/>
        <v>N</v>
      </c>
      <c r="Z47" s="22"/>
    </row>
    <row r="48">
      <c r="A48" s="35">
        <f t="shared" si="5"/>
        <v>44</v>
      </c>
      <c r="B48" s="36" t="s">
        <v>116</v>
      </c>
      <c r="C48" s="37"/>
      <c r="D48" s="37"/>
      <c r="E48" s="42">
        <f t="shared" si="2"/>
        <v>0</v>
      </c>
      <c r="F48" s="89"/>
      <c r="G48" s="90"/>
      <c r="H48" s="91"/>
      <c r="I48" s="90"/>
      <c r="J48" s="90"/>
      <c r="K48" s="90"/>
      <c r="L48" s="92"/>
      <c r="M48" s="90"/>
      <c r="N48" s="37">
        <f t="shared" ref="N48:O48" si="48">C48+L48</f>
        <v>0</v>
      </c>
      <c r="O48" s="37">
        <f t="shared" si="48"/>
        <v>0</v>
      </c>
      <c r="P48" s="50" t="s">
        <v>60</v>
      </c>
      <c r="Q48" s="50" t="s">
        <v>60</v>
      </c>
      <c r="R48" s="50" t="s">
        <v>60</v>
      </c>
      <c r="S48" s="51"/>
      <c r="T48" s="52"/>
      <c r="U48" s="52"/>
      <c r="V48" s="51"/>
      <c r="W48" s="52"/>
      <c r="X48" s="35">
        <f t="shared" si="7"/>
        <v>44</v>
      </c>
      <c r="Y48" s="35" t="str">
        <f t="shared" si="4"/>
        <v>N</v>
      </c>
      <c r="Z48" s="22"/>
    </row>
    <row r="49">
      <c r="A49" s="35">
        <f t="shared" si="5"/>
        <v>45</v>
      </c>
      <c r="B49" s="36" t="s">
        <v>115</v>
      </c>
      <c r="C49" s="37"/>
      <c r="D49" s="37"/>
      <c r="E49" s="42">
        <f t="shared" si="2"/>
        <v>0</v>
      </c>
      <c r="F49" s="89"/>
      <c r="G49" s="90"/>
      <c r="H49" s="91"/>
      <c r="I49" s="90"/>
      <c r="J49" s="90"/>
      <c r="K49" s="90"/>
      <c r="L49" s="92"/>
      <c r="M49" s="90"/>
      <c r="N49" s="37">
        <f t="shared" ref="N49:O49" si="49">C49+L49</f>
        <v>0</v>
      </c>
      <c r="O49" s="37">
        <f t="shared" si="49"/>
        <v>0</v>
      </c>
      <c r="P49" s="50" t="s">
        <v>60</v>
      </c>
      <c r="Q49" s="50" t="s">
        <v>60</v>
      </c>
      <c r="R49" s="50" t="s">
        <v>60</v>
      </c>
      <c r="S49" s="51"/>
      <c r="T49" s="52"/>
      <c r="U49" s="52"/>
      <c r="V49" s="51"/>
      <c r="W49" s="52"/>
      <c r="X49" s="35">
        <f t="shared" si="7"/>
        <v>45</v>
      </c>
      <c r="Y49" s="35" t="str">
        <f t="shared" si="4"/>
        <v>N</v>
      </c>
      <c r="Z49" s="22"/>
    </row>
    <row r="50">
      <c r="A50" s="35">
        <f t="shared" si="5"/>
        <v>46</v>
      </c>
      <c r="B50" s="36" t="s">
        <v>145</v>
      </c>
      <c r="C50" s="37"/>
      <c r="D50" s="37"/>
      <c r="E50" s="42">
        <f t="shared" si="2"/>
        <v>0</v>
      </c>
      <c r="F50" s="89"/>
      <c r="G50" s="90"/>
      <c r="H50" s="91"/>
      <c r="I50" s="90"/>
      <c r="J50" s="90"/>
      <c r="K50" s="90"/>
      <c r="L50" s="92"/>
      <c r="M50" s="90"/>
      <c r="N50" s="37">
        <f t="shared" ref="N50:O50" si="50">C50+L50</f>
        <v>0</v>
      </c>
      <c r="O50" s="37">
        <f t="shared" si="50"/>
        <v>0</v>
      </c>
      <c r="P50" s="50" t="s">
        <v>60</v>
      </c>
      <c r="Q50" s="50" t="s">
        <v>60</v>
      </c>
      <c r="R50" s="50" t="s">
        <v>60</v>
      </c>
      <c r="S50" s="51"/>
      <c r="T50" s="52"/>
      <c r="U50" s="52"/>
      <c r="V50" s="51"/>
      <c r="W50" s="52"/>
      <c r="X50" s="35">
        <f t="shared" si="7"/>
        <v>46</v>
      </c>
      <c r="Y50" s="35" t="str">
        <f t="shared" si="4"/>
        <v>N</v>
      </c>
      <c r="Z50" s="22"/>
    </row>
    <row r="51">
      <c r="A51" s="35">
        <f t="shared" si="5"/>
        <v>47</v>
      </c>
      <c r="B51" s="36" t="s">
        <v>142</v>
      </c>
      <c r="C51" s="37"/>
      <c r="D51" s="37"/>
      <c r="E51" s="42">
        <f t="shared" si="2"/>
        <v>0</v>
      </c>
      <c r="F51" s="89"/>
      <c r="G51" s="90"/>
      <c r="H51" s="91"/>
      <c r="I51" s="90"/>
      <c r="J51" s="90"/>
      <c r="K51" s="90"/>
      <c r="L51" s="92"/>
      <c r="M51" s="90"/>
      <c r="N51" s="37">
        <f t="shared" ref="N51:O51" si="51">C51+L51</f>
        <v>0</v>
      </c>
      <c r="O51" s="37">
        <f t="shared" si="51"/>
        <v>0</v>
      </c>
      <c r="P51" s="50" t="s">
        <v>60</v>
      </c>
      <c r="Q51" s="50" t="s">
        <v>60</v>
      </c>
      <c r="R51" s="50" t="s">
        <v>60</v>
      </c>
      <c r="S51" s="51"/>
      <c r="T51" s="52"/>
      <c r="U51" s="52"/>
      <c r="V51" s="51"/>
      <c r="W51" s="52"/>
      <c r="X51" s="35">
        <f t="shared" si="7"/>
        <v>47</v>
      </c>
      <c r="Y51" s="35" t="str">
        <f t="shared" si="4"/>
        <v>N</v>
      </c>
      <c r="Z51" s="22"/>
    </row>
    <row r="52">
      <c r="A52" s="35">
        <f t="shared" si="5"/>
        <v>48</v>
      </c>
      <c r="B52" s="36" t="s">
        <v>88</v>
      </c>
      <c r="C52" s="37"/>
      <c r="D52" s="37"/>
      <c r="E52" s="42">
        <f t="shared" si="2"/>
        <v>0</v>
      </c>
      <c r="F52" s="89"/>
      <c r="G52" s="90"/>
      <c r="H52" s="91"/>
      <c r="I52" s="90"/>
      <c r="J52" s="90"/>
      <c r="K52" s="90"/>
      <c r="L52" s="92"/>
      <c r="M52" s="90"/>
      <c r="N52" s="37">
        <f t="shared" ref="N52:O52" si="52">C52+L52</f>
        <v>0</v>
      </c>
      <c r="O52" s="37">
        <f t="shared" si="52"/>
        <v>0</v>
      </c>
      <c r="P52" s="50" t="s">
        <v>60</v>
      </c>
      <c r="Q52" s="50" t="s">
        <v>60</v>
      </c>
      <c r="R52" s="50" t="s">
        <v>60</v>
      </c>
      <c r="S52" s="51"/>
      <c r="T52" s="52"/>
      <c r="U52" s="52"/>
      <c r="V52" s="51"/>
      <c r="W52" s="52"/>
      <c r="X52" s="35">
        <f t="shared" si="7"/>
        <v>48</v>
      </c>
      <c r="Y52" s="35" t="str">
        <f t="shared" si="4"/>
        <v>N</v>
      </c>
      <c r="Z52" s="22"/>
    </row>
    <row r="53">
      <c r="A53" s="35">
        <f t="shared" si="5"/>
        <v>49</v>
      </c>
      <c r="B53" s="36" t="s">
        <v>104</v>
      </c>
      <c r="C53" s="37"/>
      <c r="D53" s="37"/>
      <c r="E53" s="42">
        <f t="shared" si="2"/>
        <v>0</v>
      </c>
      <c r="F53" s="89"/>
      <c r="G53" s="90"/>
      <c r="H53" s="91"/>
      <c r="I53" s="90"/>
      <c r="J53" s="90"/>
      <c r="K53" s="90"/>
      <c r="L53" s="92"/>
      <c r="M53" s="90"/>
      <c r="N53" s="37">
        <f t="shared" ref="N53:O53" si="53">C53+L53</f>
        <v>0</v>
      </c>
      <c r="O53" s="37">
        <f t="shared" si="53"/>
        <v>0</v>
      </c>
      <c r="P53" s="50" t="s">
        <v>60</v>
      </c>
      <c r="Q53" s="50" t="s">
        <v>60</v>
      </c>
      <c r="R53" s="50" t="s">
        <v>60</v>
      </c>
      <c r="S53" s="51"/>
      <c r="T53" s="52"/>
      <c r="U53" s="52"/>
      <c r="V53" s="51"/>
      <c r="W53" s="52"/>
      <c r="X53" s="35">
        <f t="shared" si="7"/>
        <v>49</v>
      </c>
      <c r="Y53" s="35" t="str">
        <f t="shared" si="4"/>
        <v>N</v>
      </c>
      <c r="Z53" s="22"/>
    </row>
    <row r="54">
      <c r="A54" s="35">
        <f t="shared" si="5"/>
        <v>50</v>
      </c>
      <c r="B54" s="36" t="s">
        <v>91</v>
      </c>
      <c r="C54" s="37"/>
      <c r="D54" s="37"/>
      <c r="E54" s="42">
        <f t="shared" si="2"/>
        <v>0</v>
      </c>
      <c r="F54" s="89"/>
      <c r="G54" s="90"/>
      <c r="H54" s="91"/>
      <c r="I54" s="90"/>
      <c r="J54" s="90"/>
      <c r="K54" s="90"/>
      <c r="L54" s="92"/>
      <c r="M54" s="90"/>
      <c r="N54" s="37">
        <f t="shared" ref="N54:O54" si="54">C54+L54</f>
        <v>0</v>
      </c>
      <c r="O54" s="37">
        <f t="shared" si="54"/>
        <v>0</v>
      </c>
      <c r="P54" s="50" t="s">
        <v>60</v>
      </c>
      <c r="Q54" s="50" t="s">
        <v>60</v>
      </c>
      <c r="R54" s="50" t="s">
        <v>60</v>
      </c>
      <c r="S54" s="51"/>
      <c r="T54" s="52"/>
      <c r="U54" s="52"/>
      <c r="V54" s="51"/>
      <c r="W54" s="52"/>
      <c r="X54" s="35">
        <f t="shared" si="7"/>
        <v>50</v>
      </c>
      <c r="Y54" s="35" t="str">
        <f t="shared" si="4"/>
        <v>N</v>
      </c>
      <c r="Z54" s="22"/>
    </row>
    <row r="55">
      <c r="A55" s="35">
        <f t="shared" si="5"/>
        <v>51</v>
      </c>
      <c r="B55" s="36" t="s">
        <v>127</v>
      </c>
      <c r="C55" s="37"/>
      <c r="D55" s="37"/>
      <c r="E55" s="42">
        <f t="shared" si="2"/>
        <v>0</v>
      </c>
      <c r="F55" s="89"/>
      <c r="G55" s="90"/>
      <c r="H55" s="91"/>
      <c r="I55" s="90"/>
      <c r="J55" s="90"/>
      <c r="K55" s="90"/>
      <c r="L55" s="92"/>
      <c r="M55" s="90"/>
      <c r="N55" s="37">
        <f t="shared" ref="N55:O55" si="55">C55+L55</f>
        <v>0</v>
      </c>
      <c r="O55" s="37">
        <f t="shared" si="55"/>
        <v>0</v>
      </c>
      <c r="P55" s="50" t="s">
        <v>60</v>
      </c>
      <c r="Q55" s="50" t="s">
        <v>60</v>
      </c>
      <c r="R55" s="50" t="s">
        <v>60</v>
      </c>
      <c r="S55" s="51"/>
      <c r="T55" s="52"/>
      <c r="U55" s="52"/>
      <c r="V55" s="51"/>
      <c r="W55" s="52"/>
      <c r="X55" s="35">
        <f t="shared" si="7"/>
        <v>51</v>
      </c>
      <c r="Y55" s="35" t="str">
        <f t="shared" si="4"/>
        <v>N</v>
      </c>
      <c r="Z55" s="22"/>
    </row>
    <row r="56">
      <c r="A56" s="35">
        <f t="shared" si="5"/>
        <v>52</v>
      </c>
      <c r="B56" s="36" t="s">
        <v>89</v>
      </c>
      <c r="C56" s="37"/>
      <c r="D56" s="37"/>
      <c r="E56" s="42">
        <f t="shared" si="2"/>
        <v>0</v>
      </c>
      <c r="F56" s="89"/>
      <c r="G56" s="90"/>
      <c r="H56" s="91"/>
      <c r="I56" s="90"/>
      <c r="J56" s="90"/>
      <c r="K56" s="90"/>
      <c r="L56" s="92"/>
      <c r="M56" s="90"/>
      <c r="N56" s="37">
        <f t="shared" ref="N56:O56" si="56">C56+L56</f>
        <v>0</v>
      </c>
      <c r="O56" s="37">
        <f t="shared" si="56"/>
        <v>0</v>
      </c>
      <c r="P56" s="50" t="s">
        <v>60</v>
      </c>
      <c r="Q56" s="50" t="s">
        <v>60</v>
      </c>
      <c r="R56" s="50" t="s">
        <v>60</v>
      </c>
      <c r="S56" s="51"/>
      <c r="T56" s="52"/>
      <c r="U56" s="52"/>
      <c r="V56" s="51"/>
      <c r="W56" s="52"/>
      <c r="X56" s="35">
        <f t="shared" si="7"/>
        <v>52</v>
      </c>
      <c r="Y56" s="35" t="str">
        <f t="shared" si="4"/>
        <v>N</v>
      </c>
      <c r="Z56" s="22"/>
    </row>
    <row r="57">
      <c r="A57" s="35">
        <f t="shared" si="5"/>
        <v>53</v>
      </c>
      <c r="B57" s="36" t="s">
        <v>120</v>
      </c>
      <c r="C57" s="37"/>
      <c r="D57" s="37"/>
      <c r="E57" s="42">
        <f t="shared" si="2"/>
        <v>0</v>
      </c>
      <c r="F57" s="89"/>
      <c r="G57" s="90"/>
      <c r="H57" s="91"/>
      <c r="I57" s="90"/>
      <c r="J57" s="90"/>
      <c r="K57" s="90"/>
      <c r="L57" s="92"/>
      <c r="M57" s="90"/>
      <c r="N57" s="37">
        <f t="shared" ref="N57:O57" si="57">C57+L57</f>
        <v>0</v>
      </c>
      <c r="O57" s="37">
        <f t="shared" si="57"/>
        <v>0</v>
      </c>
      <c r="P57" s="50" t="s">
        <v>60</v>
      </c>
      <c r="Q57" s="50" t="s">
        <v>60</v>
      </c>
      <c r="R57" s="50"/>
      <c r="S57" s="51"/>
      <c r="T57" s="52"/>
      <c r="U57" s="52"/>
      <c r="V57" s="51"/>
      <c r="W57" s="52"/>
      <c r="X57" s="35">
        <f t="shared" si="7"/>
        <v>53</v>
      </c>
      <c r="Y57" s="35" t="str">
        <f t="shared" si="4"/>
        <v>N</v>
      </c>
      <c r="Z57" s="22"/>
    </row>
    <row r="58">
      <c r="A58" s="35">
        <f t="shared" si="5"/>
        <v>54</v>
      </c>
      <c r="B58" s="36" t="s">
        <v>113</v>
      </c>
      <c r="C58" s="37"/>
      <c r="D58" s="37"/>
      <c r="E58" s="42">
        <f t="shared" si="2"/>
        <v>0</v>
      </c>
      <c r="F58" s="89"/>
      <c r="G58" s="90"/>
      <c r="H58" s="91"/>
      <c r="I58" s="90"/>
      <c r="J58" s="90"/>
      <c r="K58" s="90"/>
      <c r="L58" s="92"/>
      <c r="M58" s="90"/>
      <c r="N58" s="37">
        <f t="shared" ref="N58:O58" si="58">C58+L58</f>
        <v>0</v>
      </c>
      <c r="O58" s="37">
        <f t="shared" si="58"/>
        <v>0</v>
      </c>
      <c r="P58" s="50" t="s">
        <v>60</v>
      </c>
      <c r="Q58" s="50" t="s">
        <v>60</v>
      </c>
      <c r="R58" s="50" t="s">
        <v>60</v>
      </c>
      <c r="S58" s="51"/>
      <c r="T58" s="52"/>
      <c r="U58" s="52"/>
      <c r="V58" s="51"/>
      <c r="W58" s="52"/>
      <c r="X58" s="35">
        <f t="shared" si="7"/>
        <v>54</v>
      </c>
      <c r="Y58" s="35" t="str">
        <f t="shared" si="4"/>
        <v>N</v>
      </c>
      <c r="Z58" s="22"/>
    </row>
    <row r="59">
      <c r="A59" s="35">
        <f t="shared" si="5"/>
        <v>55</v>
      </c>
      <c r="B59" s="36" t="s">
        <v>107</v>
      </c>
      <c r="C59" s="37"/>
      <c r="D59" s="37"/>
      <c r="E59" s="42">
        <f t="shared" si="2"/>
        <v>0</v>
      </c>
      <c r="F59" s="89"/>
      <c r="G59" s="90"/>
      <c r="H59" s="91"/>
      <c r="I59" s="90"/>
      <c r="J59" s="90"/>
      <c r="K59" s="90"/>
      <c r="L59" s="92"/>
      <c r="M59" s="90"/>
      <c r="N59" s="37">
        <f t="shared" ref="N59:O59" si="59">C59+L59</f>
        <v>0</v>
      </c>
      <c r="O59" s="37">
        <f t="shared" si="59"/>
        <v>0</v>
      </c>
      <c r="P59" s="50" t="s">
        <v>60</v>
      </c>
      <c r="Q59" s="50" t="s">
        <v>60</v>
      </c>
      <c r="R59" s="50" t="s">
        <v>60</v>
      </c>
      <c r="S59" s="51"/>
      <c r="T59" s="52"/>
      <c r="U59" s="52"/>
      <c r="V59" s="51"/>
      <c r="W59" s="52"/>
      <c r="X59" s="35">
        <f t="shared" si="7"/>
        <v>55</v>
      </c>
      <c r="Y59" s="35" t="str">
        <f t="shared" si="4"/>
        <v>N</v>
      </c>
      <c r="Z59" s="22"/>
    </row>
    <row r="60">
      <c r="A60" s="35">
        <f t="shared" si="5"/>
        <v>56</v>
      </c>
      <c r="B60" s="36" t="s">
        <v>93</v>
      </c>
      <c r="C60" s="37"/>
      <c r="D60" s="37"/>
      <c r="E60" s="42">
        <f t="shared" si="2"/>
        <v>0</v>
      </c>
      <c r="F60" s="89"/>
      <c r="G60" s="90"/>
      <c r="H60" s="91"/>
      <c r="I60" s="90"/>
      <c r="J60" s="90"/>
      <c r="K60" s="90"/>
      <c r="L60" s="92"/>
      <c r="M60" s="90"/>
      <c r="N60" s="37">
        <f t="shared" ref="N60:O60" si="60">C60+L60</f>
        <v>0</v>
      </c>
      <c r="O60" s="37">
        <f t="shared" si="60"/>
        <v>0</v>
      </c>
      <c r="P60" s="50" t="s">
        <v>60</v>
      </c>
      <c r="Q60" s="50" t="s">
        <v>60</v>
      </c>
      <c r="R60" s="50" t="s">
        <v>60</v>
      </c>
      <c r="S60" s="51"/>
      <c r="T60" s="52"/>
      <c r="U60" s="52"/>
      <c r="V60" s="51"/>
      <c r="W60" s="52"/>
      <c r="X60" s="35">
        <f t="shared" si="7"/>
        <v>56</v>
      </c>
      <c r="Y60" s="35" t="str">
        <f t="shared" si="4"/>
        <v>N</v>
      </c>
      <c r="Z60" s="22"/>
    </row>
    <row r="61">
      <c r="A61" s="35">
        <f t="shared" si="5"/>
        <v>57</v>
      </c>
      <c r="B61" s="36" t="s">
        <v>94</v>
      </c>
      <c r="C61" s="37"/>
      <c r="D61" s="37"/>
      <c r="E61" s="42">
        <f t="shared" si="2"/>
        <v>0</v>
      </c>
      <c r="F61" s="89"/>
      <c r="G61" s="90"/>
      <c r="H61" s="91"/>
      <c r="I61" s="90"/>
      <c r="J61" s="90"/>
      <c r="K61" s="90"/>
      <c r="L61" s="92"/>
      <c r="M61" s="90"/>
      <c r="N61" s="37">
        <f t="shared" ref="N61:O61" si="61">C61+L61</f>
        <v>0</v>
      </c>
      <c r="O61" s="37">
        <f t="shared" si="61"/>
        <v>0</v>
      </c>
      <c r="P61" s="50" t="s">
        <v>60</v>
      </c>
      <c r="Q61" s="50" t="s">
        <v>60</v>
      </c>
      <c r="R61" s="50" t="s">
        <v>60</v>
      </c>
      <c r="S61" s="51"/>
      <c r="T61" s="52"/>
      <c r="U61" s="52"/>
      <c r="V61" s="51"/>
      <c r="W61" s="52"/>
      <c r="X61" s="35">
        <f t="shared" si="7"/>
        <v>57</v>
      </c>
      <c r="Y61" s="35" t="str">
        <f t="shared" si="4"/>
        <v>N</v>
      </c>
      <c r="Z61" s="22"/>
    </row>
    <row r="62">
      <c r="A62" s="35">
        <f t="shared" si="5"/>
        <v>58</v>
      </c>
      <c r="B62" s="36" t="s">
        <v>97</v>
      </c>
      <c r="C62" s="37"/>
      <c r="D62" s="37"/>
      <c r="E62" s="42">
        <f t="shared" si="2"/>
        <v>0</v>
      </c>
      <c r="F62" s="89"/>
      <c r="G62" s="90"/>
      <c r="H62" s="91"/>
      <c r="I62" s="90"/>
      <c r="J62" s="90"/>
      <c r="K62" s="90"/>
      <c r="L62" s="92"/>
      <c r="M62" s="90"/>
      <c r="N62" s="37">
        <f t="shared" ref="N62:O62" si="62">C62+L62</f>
        <v>0</v>
      </c>
      <c r="O62" s="37">
        <f t="shared" si="62"/>
        <v>0</v>
      </c>
      <c r="P62" s="50" t="s">
        <v>60</v>
      </c>
      <c r="Q62" s="50" t="s">
        <v>60</v>
      </c>
      <c r="R62" s="50" t="s">
        <v>60</v>
      </c>
      <c r="S62" s="51"/>
      <c r="T62" s="52"/>
      <c r="U62" s="52"/>
      <c r="V62" s="51"/>
      <c r="W62" s="52"/>
      <c r="X62" s="35">
        <f t="shared" si="7"/>
        <v>58</v>
      </c>
      <c r="Y62" s="35" t="str">
        <f t="shared" si="4"/>
        <v>N</v>
      </c>
      <c r="Z62" s="22"/>
    </row>
    <row r="63">
      <c r="A63" s="35">
        <f t="shared" si="5"/>
        <v>59</v>
      </c>
      <c r="B63" s="36" t="s">
        <v>81</v>
      </c>
      <c r="C63" s="37"/>
      <c r="D63" s="37"/>
      <c r="E63" s="42">
        <f t="shared" si="2"/>
        <v>0</v>
      </c>
      <c r="F63" s="89"/>
      <c r="G63" s="90"/>
      <c r="H63" s="91"/>
      <c r="I63" s="90"/>
      <c r="J63" s="90"/>
      <c r="K63" s="90"/>
      <c r="L63" s="92"/>
      <c r="M63" s="90"/>
      <c r="N63" s="37">
        <f t="shared" ref="N63:O63" si="63">C63+L63</f>
        <v>0</v>
      </c>
      <c r="O63" s="37">
        <f t="shared" si="63"/>
        <v>0</v>
      </c>
      <c r="P63" s="50" t="s">
        <v>60</v>
      </c>
      <c r="Q63" s="50" t="s">
        <v>60</v>
      </c>
      <c r="R63" s="50" t="s">
        <v>60</v>
      </c>
      <c r="S63" s="51"/>
      <c r="T63" s="52"/>
      <c r="U63" s="52"/>
      <c r="V63" s="51"/>
      <c r="W63" s="52"/>
      <c r="X63" s="35">
        <f t="shared" si="7"/>
        <v>59</v>
      </c>
      <c r="Y63" s="35" t="str">
        <f t="shared" si="4"/>
        <v>N</v>
      </c>
      <c r="Z63" s="22"/>
    </row>
    <row r="64">
      <c r="A64" s="35">
        <f t="shared" si="5"/>
        <v>60</v>
      </c>
      <c r="B64" s="36" t="s">
        <v>139</v>
      </c>
      <c r="C64" s="37"/>
      <c r="D64" s="37"/>
      <c r="E64" s="42">
        <f t="shared" si="2"/>
        <v>0</v>
      </c>
      <c r="F64" s="89"/>
      <c r="G64" s="90"/>
      <c r="H64" s="91"/>
      <c r="I64" s="90"/>
      <c r="J64" s="90"/>
      <c r="K64" s="90"/>
      <c r="L64" s="92"/>
      <c r="M64" s="90"/>
      <c r="N64" s="37">
        <f t="shared" ref="N64:O64" si="64">C64+L64</f>
        <v>0</v>
      </c>
      <c r="O64" s="37">
        <f t="shared" si="64"/>
        <v>0</v>
      </c>
      <c r="P64" s="50" t="s">
        <v>60</v>
      </c>
      <c r="Q64" s="50" t="s">
        <v>60</v>
      </c>
      <c r="R64" s="50" t="s">
        <v>60</v>
      </c>
      <c r="S64" s="51"/>
      <c r="T64" s="52"/>
      <c r="U64" s="52"/>
      <c r="V64" s="51"/>
      <c r="W64" s="52"/>
      <c r="X64" s="35">
        <f t="shared" si="7"/>
        <v>60</v>
      </c>
      <c r="Y64" s="35" t="str">
        <f t="shared" si="4"/>
        <v>N</v>
      </c>
      <c r="Z64" s="22"/>
    </row>
    <row r="65">
      <c r="A65" s="35">
        <f t="shared" si="5"/>
        <v>61</v>
      </c>
      <c r="B65" s="36" t="s">
        <v>96</v>
      </c>
      <c r="C65" s="37"/>
      <c r="D65" s="37"/>
      <c r="E65" s="42">
        <f t="shared" si="2"/>
        <v>0</v>
      </c>
      <c r="F65" s="89"/>
      <c r="G65" s="90"/>
      <c r="H65" s="91"/>
      <c r="I65" s="90"/>
      <c r="J65" s="90"/>
      <c r="K65" s="90"/>
      <c r="L65" s="92"/>
      <c r="M65" s="90"/>
      <c r="N65" s="37">
        <f t="shared" ref="N65:O65" si="65">C65+L65</f>
        <v>0</v>
      </c>
      <c r="O65" s="37">
        <f t="shared" si="65"/>
        <v>0</v>
      </c>
      <c r="P65" s="50" t="s">
        <v>60</v>
      </c>
      <c r="Q65" s="50" t="s">
        <v>60</v>
      </c>
      <c r="R65" s="50" t="s">
        <v>60</v>
      </c>
      <c r="S65" s="51"/>
      <c r="T65" s="52"/>
      <c r="U65" s="52"/>
      <c r="V65" s="51"/>
      <c r="W65" s="52"/>
      <c r="X65" s="35">
        <f t="shared" si="7"/>
        <v>61</v>
      </c>
      <c r="Y65" s="35" t="str">
        <f t="shared" si="4"/>
        <v>N</v>
      </c>
      <c r="Z65" s="22"/>
    </row>
    <row r="66">
      <c r="A66" s="35">
        <f t="shared" si="5"/>
        <v>62</v>
      </c>
      <c r="B66" s="36" t="s">
        <v>138</v>
      </c>
      <c r="C66" s="37"/>
      <c r="D66" s="37"/>
      <c r="E66" s="42">
        <f t="shared" si="2"/>
        <v>0</v>
      </c>
      <c r="F66" s="89"/>
      <c r="G66" s="90"/>
      <c r="H66" s="91"/>
      <c r="I66" s="90"/>
      <c r="J66" s="90"/>
      <c r="K66" s="90"/>
      <c r="L66" s="92"/>
      <c r="M66" s="90"/>
      <c r="N66" s="37">
        <f t="shared" ref="N66:O66" si="66">C66+L66</f>
        <v>0</v>
      </c>
      <c r="O66" s="37">
        <f t="shared" si="66"/>
        <v>0</v>
      </c>
      <c r="P66" s="50" t="s">
        <v>60</v>
      </c>
      <c r="Q66" s="50" t="s">
        <v>60</v>
      </c>
      <c r="R66" s="50" t="s">
        <v>205</v>
      </c>
      <c r="S66" s="51"/>
      <c r="T66" s="52"/>
      <c r="U66" s="52"/>
      <c r="V66" s="51"/>
      <c r="W66" s="52"/>
      <c r="X66" s="35">
        <f t="shared" si="7"/>
        <v>62</v>
      </c>
      <c r="Y66" s="35" t="str">
        <f t="shared" si="4"/>
        <v>N</v>
      </c>
      <c r="Z66" s="22"/>
    </row>
    <row r="67">
      <c r="A67" s="35">
        <f t="shared" si="5"/>
        <v>63</v>
      </c>
      <c r="B67" s="36" t="s">
        <v>52</v>
      </c>
      <c r="C67" s="37"/>
      <c r="D67" s="37"/>
      <c r="E67" s="42">
        <f t="shared" si="2"/>
        <v>0</v>
      </c>
      <c r="F67" s="89"/>
      <c r="G67" s="90"/>
      <c r="H67" s="91"/>
      <c r="I67" s="90"/>
      <c r="J67" s="90"/>
      <c r="K67" s="90"/>
      <c r="L67" s="92"/>
      <c r="M67" s="90"/>
      <c r="N67" s="37">
        <f t="shared" ref="N67:O67" si="67">C67+L67</f>
        <v>0</v>
      </c>
      <c r="O67" s="37">
        <f t="shared" si="67"/>
        <v>0</v>
      </c>
      <c r="P67" s="50" t="s">
        <v>60</v>
      </c>
      <c r="Q67" s="50" t="s">
        <v>60</v>
      </c>
      <c r="R67" s="50" t="s">
        <v>60</v>
      </c>
      <c r="S67" s="51"/>
      <c r="T67" s="52"/>
      <c r="U67" s="52"/>
      <c r="V67" s="51"/>
      <c r="W67" s="52"/>
      <c r="X67" s="35">
        <f t="shared" si="7"/>
        <v>63</v>
      </c>
      <c r="Y67" s="35" t="str">
        <f t="shared" si="4"/>
        <v>N</v>
      </c>
      <c r="Z67" s="22"/>
    </row>
    <row r="68">
      <c r="A68" s="35">
        <f t="shared" si="5"/>
        <v>64</v>
      </c>
      <c r="B68" s="36" t="s">
        <v>68</v>
      </c>
      <c r="C68" s="37"/>
      <c r="D68" s="37"/>
      <c r="E68" s="42">
        <f t="shared" si="2"/>
        <v>0</v>
      </c>
      <c r="F68" s="89"/>
      <c r="G68" s="90"/>
      <c r="H68" s="91"/>
      <c r="I68" s="90"/>
      <c r="J68" s="90"/>
      <c r="K68" s="90"/>
      <c r="L68" s="92"/>
      <c r="M68" s="90"/>
      <c r="N68" s="37">
        <f t="shared" ref="N68:O68" si="68">C68+L68</f>
        <v>0</v>
      </c>
      <c r="O68" s="37">
        <f t="shared" si="68"/>
        <v>0</v>
      </c>
      <c r="P68" s="50" t="s">
        <v>60</v>
      </c>
      <c r="Q68" s="50" t="s">
        <v>60</v>
      </c>
      <c r="R68" s="50" t="s">
        <v>205</v>
      </c>
      <c r="S68" s="51"/>
      <c r="T68" s="52"/>
      <c r="U68" s="52"/>
      <c r="V68" s="51"/>
      <c r="W68" s="52"/>
      <c r="X68" s="35">
        <f t="shared" si="7"/>
        <v>64</v>
      </c>
      <c r="Y68" s="35" t="str">
        <f t="shared" si="4"/>
        <v>N</v>
      </c>
      <c r="Z68" s="22"/>
    </row>
    <row r="69">
      <c r="A69" s="35">
        <f t="shared" si="5"/>
        <v>65</v>
      </c>
      <c r="B69" s="36" t="s">
        <v>141</v>
      </c>
      <c r="C69" s="37"/>
      <c r="D69" s="37"/>
      <c r="E69" s="42">
        <f t="shared" si="2"/>
        <v>0</v>
      </c>
      <c r="F69" s="89"/>
      <c r="G69" s="90"/>
      <c r="H69" s="91"/>
      <c r="I69" s="90"/>
      <c r="J69" s="90"/>
      <c r="K69" s="90"/>
      <c r="L69" s="92"/>
      <c r="M69" s="90"/>
      <c r="N69" s="37">
        <f t="shared" ref="N69:O69" si="69">C69+L69</f>
        <v>0</v>
      </c>
      <c r="O69" s="37">
        <f t="shared" si="69"/>
        <v>0</v>
      </c>
      <c r="P69" s="50" t="s">
        <v>60</v>
      </c>
      <c r="Q69" s="50" t="s">
        <v>60</v>
      </c>
      <c r="R69" s="50" t="s">
        <v>60</v>
      </c>
      <c r="S69" s="51"/>
      <c r="T69" s="52"/>
      <c r="U69" s="52"/>
      <c r="V69" s="51"/>
      <c r="W69" s="52"/>
      <c r="X69" s="35">
        <f t="shared" si="7"/>
        <v>65</v>
      </c>
      <c r="Y69" s="35" t="str">
        <f t="shared" si="4"/>
        <v>N</v>
      </c>
      <c r="Z69" s="22"/>
    </row>
    <row r="70">
      <c r="A70" s="35">
        <f t="shared" si="5"/>
        <v>66</v>
      </c>
      <c r="B70" s="36" t="s">
        <v>134</v>
      </c>
      <c r="C70" s="37"/>
      <c r="D70" s="37"/>
      <c r="E70" s="42">
        <f t="shared" si="2"/>
        <v>0</v>
      </c>
      <c r="F70" s="89"/>
      <c r="G70" s="90"/>
      <c r="H70" s="91"/>
      <c r="I70" s="90"/>
      <c r="J70" s="90"/>
      <c r="K70" s="90"/>
      <c r="L70" s="92"/>
      <c r="M70" s="90"/>
      <c r="N70" s="37">
        <f t="shared" ref="N70:O70" si="70">C70+L70</f>
        <v>0</v>
      </c>
      <c r="O70" s="37">
        <f t="shared" si="70"/>
        <v>0</v>
      </c>
      <c r="P70" s="50" t="s">
        <v>60</v>
      </c>
      <c r="Q70" s="50" t="s">
        <v>60</v>
      </c>
      <c r="R70" s="50" t="s">
        <v>60</v>
      </c>
      <c r="S70" s="51"/>
      <c r="T70" s="52"/>
      <c r="U70" s="52"/>
      <c r="V70" s="51"/>
      <c r="W70" s="52"/>
      <c r="X70" s="35">
        <f t="shared" si="7"/>
        <v>66</v>
      </c>
      <c r="Y70" s="35" t="str">
        <f t="shared" si="4"/>
        <v>N</v>
      </c>
      <c r="Z70" s="22"/>
    </row>
    <row r="71">
      <c r="A71" s="35">
        <f t="shared" si="5"/>
        <v>67</v>
      </c>
      <c r="B71" s="36" t="s">
        <v>128</v>
      </c>
      <c r="C71" s="37"/>
      <c r="D71" s="37"/>
      <c r="E71" s="42">
        <f t="shared" si="2"/>
        <v>0</v>
      </c>
      <c r="F71" s="89"/>
      <c r="G71" s="90"/>
      <c r="H71" s="91"/>
      <c r="I71" s="90"/>
      <c r="J71" s="90"/>
      <c r="K71" s="90"/>
      <c r="L71" s="92"/>
      <c r="M71" s="90"/>
      <c r="N71" s="37">
        <f t="shared" ref="N71:O71" si="71">C71+L71</f>
        <v>0</v>
      </c>
      <c r="O71" s="37">
        <f t="shared" si="71"/>
        <v>0</v>
      </c>
      <c r="P71" s="50" t="s">
        <v>60</v>
      </c>
      <c r="Q71" s="50" t="s">
        <v>60</v>
      </c>
      <c r="R71" s="50" t="s">
        <v>60</v>
      </c>
      <c r="S71" s="51"/>
      <c r="T71" s="52"/>
      <c r="U71" s="52"/>
      <c r="V71" s="51"/>
      <c r="W71" s="52"/>
      <c r="X71" s="35">
        <f t="shared" si="7"/>
        <v>67</v>
      </c>
      <c r="Y71" s="35" t="str">
        <f t="shared" si="4"/>
        <v>N</v>
      </c>
      <c r="Z71" s="22"/>
    </row>
    <row r="72">
      <c r="A72" s="2"/>
      <c r="C72" s="2"/>
      <c r="D72" s="2"/>
      <c r="E72" s="2"/>
      <c r="F72" s="2"/>
      <c r="P72" s="20"/>
    </row>
    <row r="73">
      <c r="A73" s="2"/>
      <c r="C73" s="2"/>
      <c r="D73" s="2"/>
      <c r="K73" s="71"/>
      <c r="L73" s="113"/>
      <c r="M73" s="114"/>
      <c r="P73" s="20"/>
    </row>
    <row r="74">
      <c r="A74" s="2"/>
      <c r="C74" s="2"/>
      <c r="D74" s="2"/>
      <c r="E74" s="20"/>
      <c r="F74" s="20" t="s">
        <v>187</v>
      </c>
      <c r="K74" s="71"/>
      <c r="L74" s="113"/>
      <c r="M74" s="114"/>
    </row>
    <row r="75">
      <c r="A75" s="2"/>
      <c r="C75" s="2"/>
      <c r="D75" s="2"/>
      <c r="E75" s="2"/>
      <c r="F75" s="2"/>
      <c r="P75" s="115" t="s">
        <v>188</v>
      </c>
      <c r="Q75" s="26"/>
      <c r="R75" s="27"/>
    </row>
    <row r="76">
      <c r="A76" s="2"/>
      <c r="C76" s="2"/>
      <c r="D76" s="2"/>
      <c r="E76" s="2"/>
      <c r="F76" s="2"/>
      <c r="P76" s="116" t="s">
        <v>189</v>
      </c>
      <c r="Q76" s="27"/>
      <c r="R76" s="117">
        <f>countif(R5:R71,"X")</f>
        <v>62</v>
      </c>
      <c r="S76" s="118">
        <f>R76/R79</f>
        <v>0.9253731343</v>
      </c>
    </row>
    <row r="77">
      <c r="A77" s="2"/>
      <c r="B77" s="119" t="s">
        <v>190</v>
      </c>
      <c r="C77" s="26"/>
      <c r="D77" s="26"/>
      <c r="E77" s="26"/>
      <c r="F77" s="26"/>
      <c r="G77" s="26"/>
      <c r="H77" s="26"/>
      <c r="I77" s="26"/>
      <c r="J77" s="27"/>
      <c r="P77" s="116" t="s">
        <v>191</v>
      </c>
      <c r="Q77" s="27"/>
      <c r="R77" s="117">
        <f>countif(R5:R71,"N")</f>
        <v>2</v>
      </c>
    </row>
    <row r="78">
      <c r="A78" s="2"/>
      <c r="C78" s="2"/>
      <c r="D78" s="2"/>
      <c r="E78" s="2"/>
      <c r="F78" s="2"/>
      <c r="P78" s="116" t="s">
        <v>192</v>
      </c>
      <c r="Q78" s="27"/>
      <c r="R78" s="117">
        <f>countif(R5:R71,"")</f>
        <v>3</v>
      </c>
    </row>
    <row r="79">
      <c r="A79" s="71"/>
      <c r="C79" s="2"/>
      <c r="D79" s="2"/>
      <c r="E79" s="2"/>
      <c r="F79" s="2"/>
      <c r="P79" s="120" t="s">
        <v>73</v>
      </c>
      <c r="Q79" s="27"/>
      <c r="R79" s="121">
        <f>sum(R76:R78)</f>
        <v>67</v>
      </c>
    </row>
    <row r="80">
      <c r="A80" s="2"/>
      <c r="B80" s="122" t="str">
        <f>concatenate("Top Scores : " &amp;AC2)</f>
        <v>Top Scores : 06/20/26</v>
      </c>
      <c r="C80" s="26"/>
      <c r="D80" s="26"/>
      <c r="E80" s="27"/>
      <c r="F80" s="2"/>
    </row>
    <row r="81">
      <c r="A81" s="2"/>
      <c r="C81" s="2"/>
      <c r="D81" s="2"/>
      <c r="E81" s="2"/>
      <c r="F81" s="2"/>
    </row>
    <row r="82">
      <c r="A82" s="2"/>
      <c r="B82" s="123" t="s">
        <v>7</v>
      </c>
      <c r="C82" s="124" t="s">
        <v>193</v>
      </c>
      <c r="D82" s="124" t="s">
        <v>194</v>
      </c>
      <c r="E82" s="124" t="s">
        <v>0</v>
      </c>
      <c r="F82" s="2"/>
    </row>
    <row r="83">
      <c r="A83" s="2"/>
      <c r="B83" s="36" t="str">
        <f>IFERROR(__xludf.DUMMYFUNCTION("QUERY(indirect(AC2 &amp; ""!B5:M79""),""Select B, L, M, G where L &gt;= 18 order by L desc,M desc"",0)"),"#REF!")</f>
        <v>#REF!</v>
      </c>
      <c r="C83" s="125"/>
      <c r="D83" s="125"/>
      <c r="E83" s="125"/>
      <c r="F83" s="2"/>
    </row>
    <row r="84">
      <c r="A84" s="2"/>
      <c r="B84" s="36"/>
      <c r="C84" s="125"/>
      <c r="D84" s="125"/>
      <c r="E84" s="125"/>
      <c r="F84" s="2"/>
    </row>
    <row r="85">
      <c r="A85" s="2"/>
      <c r="B85" s="36"/>
      <c r="C85" s="125"/>
      <c r="D85" s="125"/>
      <c r="E85" s="125"/>
      <c r="F85" s="2"/>
    </row>
    <row r="86">
      <c r="A86" s="2"/>
      <c r="B86" s="36"/>
      <c r="C86" s="125"/>
      <c r="D86" s="125"/>
      <c r="E86" s="125"/>
      <c r="F86" s="2"/>
    </row>
    <row r="87">
      <c r="A87" s="2"/>
      <c r="B87" s="36"/>
      <c r="C87" s="125"/>
      <c r="D87" s="125"/>
      <c r="E87" s="125"/>
      <c r="F87" s="2"/>
    </row>
    <row r="88">
      <c r="A88" s="2"/>
      <c r="B88" s="36"/>
      <c r="C88" s="125"/>
      <c r="D88" s="125"/>
      <c r="E88" s="125"/>
      <c r="F88" s="2"/>
    </row>
    <row r="89">
      <c r="A89" s="2"/>
      <c r="B89" s="36"/>
      <c r="C89" s="125"/>
      <c r="D89" s="125"/>
      <c r="E89" s="125"/>
      <c r="F89" s="2"/>
    </row>
    <row r="90">
      <c r="A90" s="2"/>
      <c r="B90" s="36"/>
      <c r="C90" s="125"/>
      <c r="D90" s="125"/>
      <c r="E90" s="125"/>
      <c r="F90" s="2"/>
    </row>
    <row r="91">
      <c r="A91" s="2"/>
      <c r="B91" s="36"/>
      <c r="C91" s="125"/>
      <c r="D91" s="125"/>
      <c r="E91" s="125"/>
      <c r="F91" s="2"/>
    </row>
    <row r="92">
      <c r="A92" s="2"/>
      <c r="B92" s="36"/>
      <c r="C92" s="125"/>
      <c r="D92" s="125"/>
      <c r="E92" s="125"/>
      <c r="F92" s="2"/>
    </row>
    <row r="93">
      <c r="A93" s="2"/>
      <c r="B93" s="36"/>
      <c r="C93" s="125"/>
      <c r="D93" s="125"/>
      <c r="E93" s="125"/>
      <c r="F93" s="2"/>
    </row>
    <row r="94">
      <c r="A94" s="2"/>
      <c r="B94" s="126"/>
      <c r="C94" s="127"/>
      <c r="D94" s="127"/>
      <c r="E94" s="127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B99" s="128" t="s">
        <v>195</v>
      </c>
      <c r="C99" s="26"/>
      <c r="D99" s="26"/>
      <c r="E99" s="26"/>
      <c r="F99" s="26"/>
      <c r="G99" s="27"/>
    </row>
    <row r="100">
      <c r="A100" s="2"/>
      <c r="C100" s="2"/>
      <c r="D100" s="2"/>
      <c r="E100" s="2"/>
      <c r="F100" s="2"/>
    </row>
    <row r="101" ht="54.0" customHeight="1">
      <c r="A101" s="2"/>
      <c r="B101" s="123" t="s">
        <v>7</v>
      </c>
      <c r="C101" s="129" t="s">
        <v>196</v>
      </c>
      <c r="D101" s="129" t="s">
        <v>197</v>
      </c>
      <c r="E101" s="129" t="s">
        <v>198</v>
      </c>
      <c r="F101" s="129" t="s">
        <v>199</v>
      </c>
      <c r="G101" s="129" t="s">
        <v>200</v>
      </c>
      <c r="L101" s="129" t="s">
        <v>201</v>
      </c>
    </row>
    <row r="102">
      <c r="A102" s="2"/>
      <c r="B102" s="36" t="str">
        <f>IFERROR(__xludf.DUMMYFUNCTION("query(B5:W71,""select B, W order by W Desc Limit 10"")"),"Nicole Ni")</f>
        <v>Nicole Ni</v>
      </c>
      <c r="C102" s="142"/>
      <c r="D102" s="125" t="str">
        <f t="shared" ref="D102:D111" si="72">VLOOKUP(B102,indirect($AC$2&amp;"!B$5:X$79"),23, false)</f>
        <v>#REF!</v>
      </c>
      <c r="E102" s="125">
        <f t="shared" ref="E102:E111" si="73">VLOOKUP(B102,B$5:X$71,23, false)</f>
        <v>1</v>
      </c>
      <c r="F102" s="125" t="str">
        <f t="shared" ref="F102:F111" si="74">VLOOKUP(B102,indirect($AC$2&amp;"!B$5:U$79"),11, false)</f>
        <v>#REF!</v>
      </c>
      <c r="G102" s="125" t="str">
        <f t="shared" ref="G102:G111" si="75">VLOOKUP(B102,indirect($AC$2&amp;"!B$5:U$79"),6, false)</f>
        <v>#REF!</v>
      </c>
      <c r="L102" s="125" t="str">
        <f t="shared" ref="L102:L111" si="76">if(D102-E102=C102,"ok","Error")</f>
        <v>#REF!</v>
      </c>
    </row>
    <row r="103">
      <c r="A103" s="2"/>
      <c r="B103" s="36" t="str">
        <f>IFERROR(__xludf.DUMMYFUNCTION("""COMPUTED_VALUE"""),"Kumar Palakeel")</f>
        <v>Kumar Palakeel</v>
      </c>
      <c r="C103" s="142"/>
      <c r="D103" s="125" t="str">
        <f t="shared" si="72"/>
        <v>#REF!</v>
      </c>
      <c r="E103" s="125">
        <f t="shared" si="73"/>
        <v>2</v>
      </c>
      <c r="F103" s="125" t="str">
        <f t="shared" si="74"/>
        <v>#REF!</v>
      </c>
      <c r="G103" s="125" t="str">
        <f t="shared" si="75"/>
        <v>#REF!</v>
      </c>
      <c r="L103" s="125" t="str">
        <f t="shared" si="76"/>
        <v>#REF!</v>
      </c>
    </row>
    <row r="104">
      <c r="A104" s="2"/>
      <c r="B104" s="36" t="str">
        <f>IFERROR(__xludf.DUMMYFUNCTION("""COMPUTED_VALUE"""),"Sean Chang")</f>
        <v>Sean Chang</v>
      </c>
      <c r="C104" s="142"/>
      <c r="D104" s="125" t="str">
        <f t="shared" si="72"/>
        <v>#REF!</v>
      </c>
      <c r="E104" s="125">
        <f t="shared" si="73"/>
        <v>3</v>
      </c>
      <c r="F104" s="125" t="str">
        <f t="shared" si="74"/>
        <v>#REF!</v>
      </c>
      <c r="G104" s="125" t="str">
        <f t="shared" si="75"/>
        <v>#REF!</v>
      </c>
      <c r="L104" s="125" t="str">
        <f t="shared" si="76"/>
        <v>#REF!</v>
      </c>
    </row>
    <row r="105">
      <c r="A105" s="2"/>
      <c r="B105" s="36" t="str">
        <f>IFERROR(__xludf.DUMMYFUNCTION("""COMPUTED_VALUE"""),"Alex Hou")</f>
        <v>Alex Hou</v>
      </c>
      <c r="C105" s="142"/>
      <c r="D105" s="125" t="str">
        <f t="shared" si="72"/>
        <v>#REF!</v>
      </c>
      <c r="E105" s="125">
        <f t="shared" si="73"/>
        <v>4</v>
      </c>
      <c r="F105" s="125" t="str">
        <f t="shared" si="74"/>
        <v>#REF!</v>
      </c>
      <c r="G105" s="125" t="str">
        <f t="shared" si="75"/>
        <v>#REF!</v>
      </c>
      <c r="L105" s="125" t="str">
        <f t="shared" si="76"/>
        <v>#REF!</v>
      </c>
    </row>
    <row r="106">
      <c r="A106" s="2"/>
      <c r="B106" s="36" t="str">
        <f>IFERROR(__xludf.DUMMYFUNCTION("""COMPUTED_VALUE"""),"Ted Shen")</f>
        <v>Ted Shen</v>
      </c>
      <c r="C106" s="125"/>
      <c r="D106" s="125" t="str">
        <f t="shared" si="72"/>
        <v>#REF!</v>
      </c>
      <c r="E106" s="125">
        <f t="shared" si="73"/>
        <v>5</v>
      </c>
      <c r="F106" s="125" t="str">
        <f t="shared" si="74"/>
        <v>#REF!</v>
      </c>
      <c r="G106" s="125" t="str">
        <f t="shared" si="75"/>
        <v>#REF!</v>
      </c>
      <c r="L106" s="125" t="str">
        <f t="shared" si="76"/>
        <v>#REF!</v>
      </c>
    </row>
    <row r="107">
      <c r="A107" s="2"/>
      <c r="B107" s="36" t="str">
        <f>IFERROR(__xludf.DUMMYFUNCTION("""COMPUTED_VALUE"""),"Erik Hoeckmann")</f>
        <v>Erik Hoeckmann</v>
      </c>
      <c r="C107" s="125"/>
      <c r="D107" s="125" t="str">
        <f t="shared" si="72"/>
        <v>#REF!</v>
      </c>
      <c r="E107" s="125">
        <f t="shared" si="73"/>
        <v>6</v>
      </c>
      <c r="F107" s="125" t="str">
        <f t="shared" si="74"/>
        <v>#REF!</v>
      </c>
      <c r="G107" s="125" t="str">
        <f t="shared" si="75"/>
        <v>#REF!</v>
      </c>
      <c r="L107" s="125" t="str">
        <f t="shared" si="76"/>
        <v>#REF!</v>
      </c>
    </row>
    <row r="108">
      <c r="A108" s="2"/>
      <c r="B108" s="36" t="str">
        <f>IFERROR(__xludf.DUMMYFUNCTION("""COMPUTED_VALUE"""),"Jimmy Awolesi")</f>
        <v>Jimmy Awolesi</v>
      </c>
      <c r="C108" s="125"/>
      <c r="D108" s="125" t="str">
        <f t="shared" si="72"/>
        <v>#REF!</v>
      </c>
      <c r="E108" s="125">
        <f t="shared" si="73"/>
        <v>7</v>
      </c>
      <c r="F108" s="125" t="str">
        <f t="shared" si="74"/>
        <v>#REF!</v>
      </c>
      <c r="G108" s="125" t="str">
        <f t="shared" si="75"/>
        <v>#REF!</v>
      </c>
      <c r="L108" s="125" t="str">
        <f t="shared" si="76"/>
        <v>#REF!</v>
      </c>
    </row>
    <row r="109">
      <c r="A109" s="2"/>
      <c r="B109" s="36" t="str">
        <f>IFERROR(__xludf.DUMMYFUNCTION("""COMPUTED_VALUE"""),"Allen Zhang")</f>
        <v>Allen Zhang</v>
      </c>
      <c r="C109" s="125"/>
      <c r="D109" s="125" t="str">
        <f t="shared" si="72"/>
        <v>#REF!</v>
      </c>
      <c r="E109" s="125">
        <f t="shared" si="73"/>
        <v>8</v>
      </c>
      <c r="F109" s="125" t="str">
        <f t="shared" si="74"/>
        <v>#REF!</v>
      </c>
      <c r="G109" s="125" t="str">
        <f t="shared" si="75"/>
        <v>#REF!</v>
      </c>
      <c r="L109" s="125" t="str">
        <f t="shared" si="76"/>
        <v>#REF!</v>
      </c>
    </row>
    <row r="110">
      <c r="A110" s="2"/>
      <c r="B110" s="36" t="str">
        <f>IFERROR(__xludf.DUMMYFUNCTION("""COMPUTED_VALUE"""),"Andrew Wen")</f>
        <v>Andrew Wen</v>
      </c>
      <c r="C110" s="125"/>
      <c r="D110" s="125" t="str">
        <f t="shared" si="72"/>
        <v>#REF!</v>
      </c>
      <c r="E110" s="125">
        <f t="shared" si="73"/>
        <v>9</v>
      </c>
      <c r="F110" s="125" t="str">
        <f t="shared" si="74"/>
        <v>#REF!</v>
      </c>
      <c r="G110" s="125" t="str">
        <f t="shared" si="75"/>
        <v>#REF!</v>
      </c>
      <c r="L110" s="125" t="str">
        <f t="shared" si="76"/>
        <v>#REF!</v>
      </c>
    </row>
    <row r="111">
      <c r="A111" s="2"/>
      <c r="B111" s="36" t="str">
        <f>IFERROR(__xludf.DUMMYFUNCTION("""COMPUTED_VALUE"""),"Luis Hsu")</f>
        <v>Luis Hsu</v>
      </c>
      <c r="C111" s="125"/>
      <c r="D111" s="125" t="str">
        <f t="shared" si="72"/>
        <v>#REF!</v>
      </c>
      <c r="E111" s="125">
        <f t="shared" si="73"/>
        <v>10</v>
      </c>
      <c r="F111" s="125" t="str">
        <f t="shared" si="74"/>
        <v>#REF!</v>
      </c>
      <c r="G111" s="125" t="str">
        <f t="shared" si="75"/>
        <v>#REF!</v>
      </c>
      <c r="L111" s="125" t="str">
        <f t="shared" si="76"/>
        <v>#REF!</v>
      </c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128" t="str">
        <f> CONCATENATE("TOP 10 Players after " &amp;D2 &amp; " Weeks")</f>
        <v>TOP 10 Players after 25 Weeks</v>
      </c>
      <c r="B117" s="26"/>
      <c r="C117" s="26"/>
      <c r="D117" s="26"/>
      <c r="E117" s="27"/>
      <c r="F117" s="2"/>
    </row>
    <row r="118">
      <c r="A118" s="2"/>
      <c r="C118" s="2"/>
      <c r="D118" s="2"/>
      <c r="E118" s="2"/>
      <c r="F118" s="2"/>
    </row>
    <row r="119">
      <c r="A119" s="123" t="s">
        <v>39</v>
      </c>
      <c r="B119" s="123" t="s">
        <v>7</v>
      </c>
      <c r="C119" s="123" t="s">
        <v>4</v>
      </c>
      <c r="D119" s="123" t="s">
        <v>6</v>
      </c>
      <c r="E119" s="123" t="s">
        <v>40</v>
      </c>
      <c r="F119" s="2"/>
    </row>
    <row r="120">
      <c r="A120" s="125">
        <f t="shared" ref="A120:E120" si="77">A5</f>
        <v>1</v>
      </c>
      <c r="B120" s="36" t="str">
        <f t="shared" si="77"/>
        <v>Nicole Ni</v>
      </c>
      <c r="C120" s="125" t="str">
        <f t="shared" si="77"/>
        <v/>
      </c>
      <c r="D120" s="125" t="str">
        <f t="shared" si="77"/>
        <v/>
      </c>
      <c r="E120" s="125">
        <f t="shared" si="77"/>
        <v>0</v>
      </c>
      <c r="F120" s="2"/>
    </row>
    <row r="121">
      <c r="A121" s="125">
        <f t="shared" ref="A121:E121" si="78">A6</f>
        <v>2</v>
      </c>
      <c r="B121" s="36" t="str">
        <f t="shared" si="78"/>
        <v>Kumar Palakeel</v>
      </c>
      <c r="C121" s="125" t="str">
        <f t="shared" si="78"/>
        <v/>
      </c>
      <c r="D121" s="125" t="str">
        <f t="shared" si="78"/>
        <v/>
      </c>
      <c r="E121" s="125">
        <f t="shared" si="78"/>
        <v>0</v>
      </c>
      <c r="F121" s="2"/>
    </row>
    <row r="122">
      <c r="A122" s="125">
        <f t="shared" ref="A122:E122" si="79">A7</f>
        <v>3</v>
      </c>
      <c r="B122" s="36" t="str">
        <f t="shared" si="79"/>
        <v>Sean Chang</v>
      </c>
      <c r="C122" s="125" t="str">
        <f t="shared" si="79"/>
        <v/>
      </c>
      <c r="D122" s="125" t="str">
        <f t="shared" si="79"/>
        <v/>
      </c>
      <c r="E122" s="125">
        <f t="shared" si="79"/>
        <v>0</v>
      </c>
      <c r="F122" s="2"/>
    </row>
    <row r="123">
      <c r="A123" s="125">
        <f t="shared" ref="A123:E123" si="80">A8</f>
        <v>4</v>
      </c>
      <c r="B123" s="36" t="str">
        <f t="shared" si="80"/>
        <v>Alex Hou</v>
      </c>
      <c r="C123" s="125" t="str">
        <f t="shared" si="80"/>
        <v/>
      </c>
      <c r="D123" s="125" t="str">
        <f t="shared" si="80"/>
        <v/>
      </c>
      <c r="E123" s="125">
        <f t="shared" si="80"/>
        <v>0</v>
      </c>
      <c r="F123" s="2"/>
    </row>
    <row r="124">
      <c r="A124" s="125">
        <f t="shared" ref="A124:E124" si="81">A9</f>
        <v>5</v>
      </c>
      <c r="B124" s="36" t="str">
        <f t="shared" si="81"/>
        <v>Ted Shen</v>
      </c>
      <c r="C124" s="125" t="str">
        <f t="shared" si="81"/>
        <v/>
      </c>
      <c r="D124" s="125" t="str">
        <f t="shared" si="81"/>
        <v/>
      </c>
      <c r="E124" s="125">
        <f t="shared" si="81"/>
        <v>0</v>
      </c>
      <c r="F124" s="2"/>
    </row>
    <row r="125">
      <c r="A125" s="125">
        <f t="shared" ref="A125:E125" si="82">A10</f>
        <v>6</v>
      </c>
      <c r="B125" s="36" t="str">
        <f t="shared" si="82"/>
        <v>Erik Hoeckmann</v>
      </c>
      <c r="C125" s="125" t="str">
        <f t="shared" si="82"/>
        <v/>
      </c>
      <c r="D125" s="125" t="str">
        <f t="shared" si="82"/>
        <v/>
      </c>
      <c r="E125" s="125">
        <f t="shared" si="82"/>
        <v>0</v>
      </c>
      <c r="F125" s="2"/>
    </row>
    <row r="126">
      <c r="A126" s="125">
        <f t="shared" ref="A126:E126" si="83">A11</f>
        <v>7</v>
      </c>
      <c r="B126" s="36" t="str">
        <f t="shared" si="83"/>
        <v>Jimmy Awolesi</v>
      </c>
      <c r="C126" s="125" t="str">
        <f t="shared" si="83"/>
        <v/>
      </c>
      <c r="D126" s="125" t="str">
        <f t="shared" si="83"/>
        <v/>
      </c>
      <c r="E126" s="125">
        <f t="shared" si="83"/>
        <v>0</v>
      </c>
      <c r="F126" s="2"/>
    </row>
    <row r="127">
      <c r="A127" s="125">
        <f t="shared" ref="A127:E127" si="84">A12</f>
        <v>8</v>
      </c>
      <c r="B127" s="36" t="str">
        <f t="shared" si="84"/>
        <v>Allen Zhang</v>
      </c>
      <c r="C127" s="125" t="str">
        <f t="shared" si="84"/>
        <v/>
      </c>
      <c r="D127" s="125" t="str">
        <f t="shared" si="84"/>
        <v/>
      </c>
      <c r="E127" s="125">
        <f t="shared" si="84"/>
        <v>0</v>
      </c>
      <c r="F127" s="2"/>
    </row>
    <row r="128">
      <c r="A128" s="125">
        <f t="shared" ref="A128:E128" si="85">A13</f>
        <v>9</v>
      </c>
      <c r="B128" s="36" t="str">
        <f t="shared" si="85"/>
        <v>Andrew Wen</v>
      </c>
      <c r="C128" s="125" t="str">
        <f t="shared" si="85"/>
        <v/>
      </c>
      <c r="D128" s="125" t="str">
        <f t="shared" si="85"/>
        <v/>
      </c>
      <c r="E128" s="125">
        <f t="shared" si="85"/>
        <v>0</v>
      </c>
      <c r="F128" s="2"/>
    </row>
    <row r="129">
      <c r="A129" s="125">
        <f t="shared" ref="A129:E129" si="86">A14</f>
        <v>10</v>
      </c>
      <c r="B129" s="36" t="str">
        <f t="shared" si="86"/>
        <v>Luis Hsu</v>
      </c>
      <c r="C129" s="125" t="str">
        <f t="shared" si="86"/>
        <v/>
      </c>
      <c r="D129" s="125" t="str">
        <f t="shared" si="86"/>
        <v/>
      </c>
      <c r="E129" s="125">
        <f t="shared" si="86"/>
        <v>0</v>
      </c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130" t="s">
        <v>202</v>
      </c>
      <c r="B134" s="27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123" t="s">
        <v>2</v>
      </c>
      <c r="B136" s="123" t="s">
        <v>1</v>
      </c>
      <c r="C136" s="2"/>
      <c r="D136" s="2"/>
      <c r="E136" s="2"/>
      <c r="F136" s="2"/>
    </row>
    <row r="137">
      <c r="A137" s="125" t="str">
        <f>if(B137&lt;&gt;"",1,0)</f>
        <v>#N/A</v>
      </c>
      <c r="B137" s="36" t="str">
        <f>IFERROR(__xludf.DUMMYFUNCTION("query(B5:Y71,""select B where Y = 'Y' order by B ASC"")"),"#N/A")</f>
        <v>#N/A</v>
      </c>
      <c r="C137" s="2"/>
      <c r="D137" s="2"/>
      <c r="E137" s="2"/>
      <c r="F137" s="2"/>
    </row>
    <row r="138">
      <c r="A138" s="125">
        <f t="shared" ref="A138:A212" si="87">if(B138&lt;&gt;"",A137+1,0)</f>
        <v>0</v>
      </c>
      <c r="B138" s="36"/>
      <c r="C138" s="2"/>
      <c r="D138" s="2"/>
      <c r="E138" s="2"/>
      <c r="F138" s="2"/>
    </row>
    <row r="139">
      <c r="A139" s="125">
        <f t="shared" si="87"/>
        <v>0</v>
      </c>
      <c r="B139" s="36"/>
      <c r="C139" s="2"/>
      <c r="D139" s="2"/>
      <c r="E139" s="2"/>
      <c r="F139" s="2"/>
      <c r="P139" s="36"/>
    </row>
    <row r="140">
      <c r="A140" s="125">
        <f t="shared" si="87"/>
        <v>0</v>
      </c>
      <c r="B140" s="36"/>
      <c r="C140" s="2"/>
      <c r="D140" s="2"/>
      <c r="E140" s="2"/>
      <c r="F140" s="2"/>
    </row>
    <row r="141">
      <c r="A141" s="125">
        <f t="shared" si="87"/>
        <v>0</v>
      </c>
      <c r="B141" s="36"/>
      <c r="C141" s="2"/>
      <c r="D141" s="2"/>
      <c r="E141" s="2"/>
      <c r="F141" s="2"/>
    </row>
    <row r="142">
      <c r="A142" s="125">
        <f t="shared" si="87"/>
        <v>0</v>
      </c>
      <c r="B142" s="36"/>
      <c r="C142" s="2"/>
      <c r="D142" s="2"/>
      <c r="E142" s="2"/>
      <c r="F142" s="2"/>
    </row>
    <row r="143">
      <c r="A143" s="125">
        <f t="shared" si="87"/>
        <v>0</v>
      </c>
      <c r="B143" s="36"/>
      <c r="C143" s="2"/>
      <c r="D143" s="2"/>
      <c r="E143" s="2"/>
      <c r="F143" s="2"/>
    </row>
    <row r="144">
      <c r="A144" s="125">
        <f t="shared" si="87"/>
        <v>0</v>
      </c>
      <c r="B144" s="36"/>
      <c r="C144" s="2"/>
      <c r="D144" s="2"/>
      <c r="E144" s="2"/>
      <c r="F144" s="2"/>
    </row>
    <row r="145">
      <c r="A145" s="125">
        <f t="shared" si="87"/>
        <v>0</v>
      </c>
      <c r="B145" s="36"/>
      <c r="C145" s="2"/>
      <c r="D145" s="2"/>
      <c r="E145" s="2"/>
      <c r="F145" s="2"/>
    </row>
    <row r="146">
      <c r="A146" s="125">
        <f t="shared" si="87"/>
        <v>0</v>
      </c>
      <c r="B146" s="36"/>
      <c r="C146" s="2"/>
      <c r="D146" s="2"/>
      <c r="E146" s="2"/>
      <c r="F146" s="2"/>
    </row>
    <row r="147">
      <c r="A147" s="125">
        <f t="shared" si="87"/>
        <v>0</v>
      </c>
      <c r="B147" s="36"/>
      <c r="C147" s="2"/>
      <c r="D147" s="2"/>
      <c r="E147" s="2"/>
      <c r="F147" s="2"/>
    </row>
    <row r="148">
      <c r="A148" s="125">
        <f t="shared" si="87"/>
        <v>0</v>
      </c>
      <c r="B148" s="36"/>
      <c r="C148" s="2"/>
      <c r="D148" s="2"/>
      <c r="E148" s="2"/>
      <c r="F148" s="2"/>
    </row>
    <row r="149">
      <c r="A149" s="125">
        <f t="shared" si="87"/>
        <v>0</v>
      </c>
      <c r="B149" s="36"/>
      <c r="C149" s="2"/>
      <c r="D149" s="2"/>
      <c r="E149" s="2"/>
      <c r="F149" s="2"/>
    </row>
    <row r="150">
      <c r="A150" s="125">
        <f t="shared" si="87"/>
        <v>0</v>
      </c>
      <c r="B150" s="36"/>
      <c r="C150" s="2"/>
      <c r="D150" s="2"/>
      <c r="E150" s="2"/>
      <c r="F150" s="2"/>
    </row>
    <row r="151">
      <c r="A151" s="125">
        <f t="shared" si="87"/>
        <v>0</v>
      </c>
      <c r="B151" s="36"/>
      <c r="C151" s="2"/>
      <c r="D151" s="2"/>
      <c r="E151" s="2"/>
      <c r="F151" s="2"/>
    </row>
    <row r="152">
      <c r="A152" s="125">
        <f t="shared" si="87"/>
        <v>0</v>
      </c>
      <c r="B152" s="36"/>
      <c r="C152" s="2"/>
      <c r="D152" s="2"/>
      <c r="E152" s="2"/>
      <c r="F152" s="2"/>
    </row>
    <row r="153">
      <c r="A153" s="125">
        <f t="shared" si="87"/>
        <v>0</v>
      </c>
      <c r="B153" s="36"/>
      <c r="C153" s="2"/>
      <c r="D153" s="2"/>
      <c r="E153" s="2"/>
      <c r="F153" s="2"/>
    </row>
    <row r="154">
      <c r="A154" s="125">
        <f t="shared" si="87"/>
        <v>0</v>
      </c>
      <c r="B154" s="36"/>
      <c r="C154" s="2"/>
      <c r="D154" s="2"/>
      <c r="E154" s="2"/>
      <c r="F154" s="2"/>
    </row>
    <row r="155">
      <c r="A155" s="125">
        <f t="shared" si="87"/>
        <v>0</v>
      </c>
      <c r="B155" s="36"/>
      <c r="C155" s="2"/>
      <c r="D155" s="2"/>
      <c r="E155" s="2"/>
      <c r="F155" s="2"/>
    </row>
    <row r="156">
      <c r="A156" s="125">
        <f t="shared" si="87"/>
        <v>0</v>
      </c>
      <c r="B156" s="36"/>
      <c r="C156" s="2"/>
      <c r="D156" s="2"/>
      <c r="E156" s="2"/>
      <c r="F156" s="2"/>
    </row>
    <row r="157">
      <c r="A157" s="125">
        <f t="shared" si="87"/>
        <v>0</v>
      </c>
      <c r="B157" s="36"/>
      <c r="C157" s="2"/>
      <c r="D157" s="2"/>
      <c r="E157" s="2"/>
      <c r="F157" s="2"/>
    </row>
    <row r="158">
      <c r="A158" s="125">
        <f t="shared" si="87"/>
        <v>0</v>
      </c>
      <c r="B158" s="36"/>
      <c r="C158" s="2"/>
      <c r="D158" s="2"/>
      <c r="E158" s="2"/>
      <c r="F158" s="2"/>
    </row>
    <row r="159">
      <c r="A159" s="125">
        <f t="shared" si="87"/>
        <v>0</v>
      </c>
      <c r="B159" s="36"/>
      <c r="C159" s="2"/>
      <c r="D159" s="2"/>
      <c r="E159" s="2"/>
      <c r="F159" s="2"/>
    </row>
    <row r="160">
      <c r="A160" s="125">
        <f t="shared" si="87"/>
        <v>0</v>
      </c>
      <c r="B160" s="36"/>
      <c r="C160" s="2"/>
      <c r="D160" s="2"/>
      <c r="E160" s="2"/>
      <c r="F160" s="2"/>
    </row>
    <row r="161">
      <c r="A161" s="125">
        <f t="shared" si="87"/>
        <v>0</v>
      </c>
      <c r="B161" s="36"/>
      <c r="C161" s="2"/>
      <c r="D161" s="2"/>
      <c r="E161" s="2"/>
      <c r="F161" s="2"/>
    </row>
    <row r="162">
      <c r="A162" s="125">
        <f t="shared" si="87"/>
        <v>0</v>
      </c>
      <c r="B162" s="36"/>
      <c r="C162" s="2"/>
      <c r="D162" s="2"/>
      <c r="E162" s="2"/>
      <c r="F162" s="2"/>
    </row>
    <row r="163">
      <c r="A163" s="125">
        <f t="shared" si="87"/>
        <v>0</v>
      </c>
      <c r="B163" s="36"/>
      <c r="C163" s="2"/>
      <c r="D163" s="2"/>
      <c r="E163" s="2"/>
      <c r="F163" s="2"/>
    </row>
    <row r="164">
      <c r="A164" s="125">
        <f t="shared" si="87"/>
        <v>0</v>
      </c>
      <c r="B164" s="36"/>
      <c r="C164" s="2"/>
      <c r="D164" s="2"/>
      <c r="E164" s="2"/>
      <c r="F164" s="2"/>
    </row>
    <row r="165">
      <c r="A165" s="125">
        <f t="shared" si="87"/>
        <v>0</v>
      </c>
      <c r="B165" s="36"/>
      <c r="C165" s="2"/>
      <c r="D165" s="2"/>
      <c r="E165" s="2"/>
      <c r="F165" s="2"/>
    </row>
    <row r="166">
      <c r="A166" s="125">
        <f t="shared" si="87"/>
        <v>0</v>
      </c>
      <c r="B166" s="36"/>
      <c r="C166" s="2"/>
      <c r="D166" s="2"/>
      <c r="E166" s="2"/>
      <c r="F166" s="2"/>
    </row>
    <row r="167">
      <c r="A167" s="125">
        <f t="shared" si="87"/>
        <v>0</v>
      </c>
      <c r="B167" s="36"/>
      <c r="C167" s="2"/>
      <c r="D167" s="2"/>
      <c r="E167" s="2"/>
      <c r="F167" s="2"/>
    </row>
    <row r="168">
      <c r="A168" s="125">
        <f t="shared" si="87"/>
        <v>0</v>
      </c>
      <c r="B168" s="36"/>
      <c r="C168" s="2"/>
      <c r="D168" s="2"/>
      <c r="E168" s="2"/>
      <c r="F168" s="2"/>
    </row>
    <row r="169">
      <c r="A169" s="125">
        <f t="shared" si="87"/>
        <v>0</v>
      </c>
      <c r="B169" s="36"/>
      <c r="C169" s="2"/>
      <c r="D169" s="2"/>
      <c r="E169" s="2"/>
      <c r="F169" s="2"/>
    </row>
    <row r="170">
      <c r="A170" s="125">
        <f t="shared" si="87"/>
        <v>0</v>
      </c>
      <c r="B170" s="36"/>
      <c r="C170" s="2"/>
      <c r="D170" s="2"/>
      <c r="E170" s="2"/>
      <c r="F170" s="2"/>
    </row>
    <row r="171">
      <c r="A171" s="125">
        <f t="shared" si="87"/>
        <v>0</v>
      </c>
      <c r="B171" s="36"/>
      <c r="C171" s="2"/>
      <c r="D171" s="2"/>
      <c r="E171" s="2"/>
      <c r="F171" s="2"/>
    </row>
    <row r="172">
      <c r="A172" s="125">
        <f t="shared" si="87"/>
        <v>0</v>
      </c>
      <c r="B172" s="36"/>
      <c r="C172" s="2"/>
      <c r="D172" s="2"/>
      <c r="E172" s="2"/>
      <c r="F172" s="2"/>
    </row>
    <row r="173">
      <c r="A173" s="125">
        <f t="shared" si="87"/>
        <v>0</v>
      </c>
      <c r="B173" s="36"/>
      <c r="C173" s="2"/>
      <c r="D173" s="2"/>
      <c r="E173" s="2"/>
      <c r="F173" s="2"/>
    </row>
    <row r="174">
      <c r="A174" s="125">
        <f t="shared" si="87"/>
        <v>0</v>
      </c>
      <c r="B174" s="36"/>
      <c r="C174" s="2"/>
      <c r="D174" s="2"/>
      <c r="E174" s="2"/>
      <c r="F174" s="2"/>
    </row>
    <row r="175">
      <c r="A175" s="125">
        <f t="shared" si="87"/>
        <v>0</v>
      </c>
      <c r="B175" s="36"/>
      <c r="C175" s="2"/>
      <c r="D175" s="2"/>
      <c r="E175" s="2"/>
      <c r="F175" s="2"/>
    </row>
    <row r="176">
      <c r="A176" s="125">
        <f t="shared" si="87"/>
        <v>0</v>
      </c>
      <c r="B176" s="36"/>
      <c r="C176" s="2"/>
      <c r="D176" s="2"/>
      <c r="E176" s="2"/>
      <c r="F176" s="2"/>
    </row>
    <row r="177">
      <c r="A177" s="125">
        <f t="shared" si="87"/>
        <v>0</v>
      </c>
      <c r="B177" s="36"/>
      <c r="C177" s="2"/>
      <c r="D177" s="2"/>
      <c r="E177" s="2"/>
      <c r="F177" s="2"/>
    </row>
    <row r="178">
      <c r="A178" s="125">
        <f t="shared" si="87"/>
        <v>0</v>
      </c>
      <c r="B178" s="36"/>
      <c r="C178" s="2"/>
      <c r="D178" s="2"/>
      <c r="E178" s="2"/>
      <c r="F178" s="2"/>
    </row>
    <row r="179">
      <c r="A179" s="125">
        <f t="shared" si="87"/>
        <v>0</v>
      </c>
      <c r="B179" s="36"/>
      <c r="C179" s="2"/>
      <c r="D179" s="2"/>
      <c r="E179" s="2"/>
      <c r="F179" s="2"/>
    </row>
    <row r="180">
      <c r="A180" s="125">
        <f t="shared" si="87"/>
        <v>0</v>
      </c>
      <c r="B180" s="36"/>
      <c r="C180" s="2"/>
      <c r="D180" s="2"/>
      <c r="E180" s="2"/>
      <c r="F180" s="2"/>
    </row>
    <row r="181">
      <c r="A181" s="125">
        <f t="shared" si="87"/>
        <v>0</v>
      </c>
      <c r="B181" s="36"/>
      <c r="C181" s="2"/>
      <c r="D181" s="2"/>
      <c r="E181" s="2"/>
      <c r="F181" s="2"/>
    </row>
    <row r="182">
      <c r="A182" s="125">
        <f t="shared" si="87"/>
        <v>0</v>
      </c>
      <c r="B182" s="36"/>
      <c r="C182" s="2"/>
      <c r="D182" s="2"/>
      <c r="E182" s="2"/>
      <c r="F182" s="2"/>
    </row>
    <row r="183">
      <c r="A183" s="125">
        <f t="shared" si="87"/>
        <v>0</v>
      </c>
      <c r="B183" s="36"/>
      <c r="C183" s="2"/>
      <c r="D183" s="2"/>
      <c r="E183" s="2"/>
      <c r="F183" s="2"/>
    </row>
    <row r="184">
      <c r="A184" s="125">
        <f t="shared" si="87"/>
        <v>0</v>
      </c>
      <c r="B184" s="36"/>
      <c r="C184" s="2"/>
      <c r="D184" s="2"/>
      <c r="E184" s="2"/>
      <c r="F184" s="2"/>
    </row>
    <row r="185">
      <c r="A185" s="125">
        <f t="shared" si="87"/>
        <v>0</v>
      </c>
      <c r="B185" s="36"/>
      <c r="C185" s="2"/>
      <c r="D185" s="2"/>
      <c r="E185" s="2"/>
      <c r="F185" s="2"/>
    </row>
    <row r="186">
      <c r="A186" s="125">
        <f t="shared" si="87"/>
        <v>0</v>
      </c>
      <c r="B186" s="36"/>
      <c r="C186" s="2"/>
      <c r="D186" s="2"/>
      <c r="E186" s="2"/>
      <c r="F186" s="2"/>
    </row>
    <row r="187">
      <c r="A187" s="125">
        <f t="shared" si="87"/>
        <v>0</v>
      </c>
      <c r="B187" s="36"/>
      <c r="C187" s="2"/>
      <c r="D187" s="2"/>
      <c r="E187" s="2"/>
      <c r="F187" s="2"/>
    </row>
    <row r="188">
      <c r="A188" s="125">
        <f t="shared" si="87"/>
        <v>0</v>
      </c>
      <c r="B188" s="36"/>
      <c r="C188" s="2"/>
      <c r="D188" s="2"/>
      <c r="E188" s="2"/>
      <c r="F188" s="2"/>
    </row>
    <row r="189">
      <c r="A189" s="125">
        <f t="shared" si="87"/>
        <v>0</v>
      </c>
      <c r="B189" s="36"/>
      <c r="C189" s="2"/>
      <c r="D189" s="2"/>
      <c r="E189" s="2"/>
      <c r="F189" s="2"/>
    </row>
    <row r="190">
      <c r="A190" s="125">
        <f t="shared" si="87"/>
        <v>0</v>
      </c>
      <c r="B190" s="36"/>
      <c r="C190" s="2"/>
      <c r="D190" s="2"/>
      <c r="E190" s="2"/>
      <c r="F190" s="2"/>
    </row>
    <row r="191">
      <c r="A191" s="125">
        <f t="shared" si="87"/>
        <v>0</v>
      </c>
      <c r="B191" s="36"/>
      <c r="C191" s="2"/>
      <c r="D191" s="2"/>
      <c r="E191" s="2"/>
      <c r="F191" s="2"/>
    </row>
    <row r="192">
      <c r="A192" s="125">
        <f t="shared" si="87"/>
        <v>0</v>
      </c>
      <c r="B192" s="36"/>
      <c r="C192" s="2"/>
      <c r="D192" s="2"/>
      <c r="E192" s="2"/>
      <c r="F192" s="2"/>
    </row>
    <row r="193">
      <c r="A193" s="125">
        <f t="shared" si="87"/>
        <v>0</v>
      </c>
      <c r="B193" s="36"/>
      <c r="C193" s="2"/>
      <c r="D193" s="2"/>
      <c r="E193" s="2"/>
      <c r="F193" s="2"/>
    </row>
    <row r="194">
      <c r="A194" s="125">
        <f t="shared" si="87"/>
        <v>0</v>
      </c>
      <c r="B194" s="36"/>
      <c r="C194" s="2"/>
      <c r="D194" s="2"/>
      <c r="E194" s="2"/>
      <c r="F194" s="2"/>
    </row>
    <row r="195">
      <c r="A195" s="125">
        <f t="shared" si="87"/>
        <v>0</v>
      </c>
      <c r="B195" s="36"/>
      <c r="C195" s="2"/>
      <c r="D195" s="2"/>
      <c r="E195" s="2"/>
      <c r="F195" s="2"/>
    </row>
    <row r="196">
      <c r="A196" s="125">
        <f t="shared" si="87"/>
        <v>0</v>
      </c>
      <c r="B196" s="36"/>
      <c r="C196" s="2"/>
      <c r="D196" s="2"/>
      <c r="E196" s="2"/>
      <c r="F196" s="2"/>
    </row>
    <row r="197">
      <c r="A197" s="125">
        <f t="shared" si="87"/>
        <v>0</v>
      </c>
      <c r="B197" s="36"/>
      <c r="C197" s="2"/>
      <c r="D197" s="2"/>
      <c r="E197" s="2"/>
      <c r="F197" s="2"/>
    </row>
    <row r="198">
      <c r="A198" s="125">
        <f t="shared" si="87"/>
        <v>0</v>
      </c>
      <c r="B198" s="36"/>
      <c r="C198" s="2"/>
      <c r="D198" s="2"/>
      <c r="E198" s="2"/>
      <c r="F198" s="2"/>
    </row>
    <row r="199">
      <c r="A199" s="125">
        <f t="shared" si="87"/>
        <v>0</v>
      </c>
      <c r="B199" s="36"/>
      <c r="C199" s="2"/>
      <c r="D199" s="2"/>
      <c r="E199" s="2"/>
      <c r="F199" s="2"/>
    </row>
    <row r="200">
      <c r="A200" s="125">
        <f t="shared" si="87"/>
        <v>0</v>
      </c>
      <c r="B200" s="36"/>
      <c r="C200" s="2"/>
      <c r="D200" s="2"/>
      <c r="E200" s="2"/>
      <c r="F200" s="2"/>
    </row>
    <row r="201">
      <c r="A201" s="125">
        <f t="shared" si="87"/>
        <v>0</v>
      </c>
      <c r="B201" s="36"/>
      <c r="C201" s="2"/>
      <c r="D201" s="2"/>
      <c r="E201" s="2"/>
      <c r="F201" s="2"/>
    </row>
    <row r="202">
      <c r="A202" s="125">
        <f t="shared" si="87"/>
        <v>0</v>
      </c>
      <c r="B202" s="36"/>
      <c r="C202" s="2"/>
      <c r="D202" s="2"/>
      <c r="E202" s="2"/>
      <c r="F202" s="2"/>
    </row>
    <row r="203">
      <c r="A203" s="125">
        <f t="shared" si="87"/>
        <v>0</v>
      </c>
      <c r="B203" s="36"/>
      <c r="C203" s="2"/>
      <c r="D203" s="2"/>
      <c r="E203" s="2"/>
      <c r="F203" s="2"/>
    </row>
    <row r="204">
      <c r="A204" s="125">
        <f t="shared" si="87"/>
        <v>0</v>
      </c>
      <c r="B204" s="36"/>
      <c r="C204" s="2"/>
      <c r="D204" s="2"/>
      <c r="E204" s="2"/>
      <c r="F204" s="2"/>
    </row>
    <row r="205">
      <c r="A205" s="125">
        <f t="shared" si="87"/>
        <v>0</v>
      </c>
      <c r="B205" s="36"/>
      <c r="C205" s="2"/>
      <c r="D205" s="2"/>
      <c r="E205" s="2"/>
      <c r="F205" s="2"/>
    </row>
    <row r="206">
      <c r="A206" s="125">
        <f t="shared" si="87"/>
        <v>0</v>
      </c>
      <c r="B206" s="36"/>
      <c r="C206" s="2"/>
      <c r="D206" s="2"/>
      <c r="E206" s="2"/>
      <c r="F206" s="2"/>
    </row>
    <row r="207">
      <c r="A207" s="125">
        <f t="shared" si="87"/>
        <v>0</v>
      </c>
      <c r="B207" s="36"/>
      <c r="C207" s="2"/>
      <c r="D207" s="2"/>
      <c r="E207" s="2"/>
      <c r="F207" s="2"/>
    </row>
    <row r="208">
      <c r="A208" s="125">
        <f t="shared" si="87"/>
        <v>0</v>
      </c>
      <c r="B208" s="36"/>
      <c r="C208" s="2"/>
      <c r="D208" s="2"/>
      <c r="E208" s="2"/>
      <c r="F208" s="2"/>
    </row>
    <row r="209">
      <c r="A209" s="125">
        <f t="shared" si="87"/>
        <v>0</v>
      </c>
      <c r="B209" s="36"/>
      <c r="C209" s="2"/>
      <c r="D209" s="2"/>
      <c r="E209" s="2"/>
      <c r="F209" s="2"/>
    </row>
    <row r="210">
      <c r="A210" s="125">
        <f t="shared" si="87"/>
        <v>0</v>
      </c>
      <c r="B210" s="36"/>
      <c r="C210" s="2"/>
      <c r="D210" s="2"/>
      <c r="E210" s="2"/>
      <c r="F210" s="2"/>
    </row>
    <row r="211">
      <c r="A211" s="125">
        <f t="shared" si="87"/>
        <v>0</v>
      </c>
      <c r="B211" s="36"/>
      <c r="C211" s="2"/>
      <c r="D211" s="2"/>
      <c r="E211" s="2"/>
      <c r="F211" s="2"/>
    </row>
    <row r="212">
      <c r="A212" s="125">
        <f t="shared" si="87"/>
        <v>0</v>
      </c>
      <c r="B212" s="36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B215" s="130" t="s">
        <v>203</v>
      </c>
      <c r="C215" s="27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B217" s="123" t="s">
        <v>1</v>
      </c>
      <c r="C217" s="123" t="s">
        <v>204</v>
      </c>
      <c r="D217" s="2"/>
      <c r="E217" s="2"/>
      <c r="F217" s="2"/>
    </row>
    <row r="218">
      <c r="A218" s="2"/>
      <c r="B218" s="36" t="str">
        <f>Data!F109</f>
        <v/>
      </c>
      <c r="C218" s="125" t="str">
        <f>Data!G109</f>
        <v/>
      </c>
      <c r="D218" s="2"/>
      <c r="E218" s="2"/>
      <c r="F218" s="2"/>
    </row>
    <row r="219">
      <c r="A219" s="2"/>
      <c r="B219" s="36" t="str">
        <f>Data!F110</f>
        <v/>
      </c>
      <c r="C219" s="125" t="str">
        <f>Data!G110</f>
        <v/>
      </c>
      <c r="D219" s="2"/>
      <c r="E219" s="2"/>
      <c r="F219" s="2"/>
    </row>
    <row r="220">
      <c r="A220" s="2"/>
      <c r="B220" s="36" t="str">
        <f>Data!F111</f>
        <v/>
      </c>
      <c r="C220" s="125" t="str">
        <f>Data!G111</f>
        <v/>
      </c>
      <c r="D220" s="2"/>
      <c r="E220" s="2"/>
      <c r="F220" s="2"/>
    </row>
    <row r="221">
      <c r="A221" s="2"/>
      <c r="B221" s="36" t="str">
        <f>Data!F112</f>
        <v/>
      </c>
      <c r="C221" s="125" t="str">
        <f>Data!G112</f>
        <v/>
      </c>
      <c r="D221" s="2"/>
      <c r="E221" s="2"/>
      <c r="F221" s="2"/>
    </row>
    <row r="222">
      <c r="A222" s="2"/>
      <c r="B222" s="36" t="str">
        <f>Data!F113</f>
        <v/>
      </c>
      <c r="C222" s="125" t="str">
        <f t="shared" ref="C222:C223" si="88">#REF!</f>
        <v>#REF!</v>
      </c>
      <c r="D222" s="2"/>
      <c r="E222" s="2"/>
      <c r="F222" s="2"/>
    </row>
    <row r="223">
      <c r="A223" s="2"/>
      <c r="B223" s="36" t="str">
        <f>Data!F114</f>
        <v/>
      </c>
      <c r="C223" s="125" t="str">
        <f t="shared" si="88"/>
        <v>#REF!</v>
      </c>
      <c r="D223" s="2"/>
      <c r="E223" s="2"/>
      <c r="F223" s="2"/>
    </row>
    <row r="224">
      <c r="A224" s="2"/>
      <c r="B224" s="36" t="str">
        <f t="shared" ref="B224:C224" si="89">#REF!</f>
        <v>#REF!</v>
      </c>
      <c r="C224" s="125" t="str">
        <f t="shared" si="89"/>
        <v>#REF!</v>
      </c>
      <c r="D224" s="2"/>
      <c r="E224" s="2"/>
      <c r="F224" s="2"/>
    </row>
    <row r="225">
      <c r="A225" s="2"/>
      <c r="B225" s="36" t="str">
        <f t="shared" ref="B225:C225" si="90">#REF!</f>
        <v>#REF!</v>
      </c>
      <c r="C225" s="125" t="str">
        <f t="shared" si="90"/>
        <v>#REF!</v>
      </c>
      <c r="D225" s="2"/>
      <c r="E225" s="2"/>
      <c r="F225" s="2"/>
    </row>
    <row r="226">
      <c r="A226" s="2"/>
      <c r="B226" s="36" t="str">
        <f t="shared" ref="B226:C226" si="91">#REF!</f>
        <v>#REF!</v>
      </c>
      <c r="C226" s="125" t="str">
        <f t="shared" si="91"/>
        <v>#REF!</v>
      </c>
      <c r="D226" s="2"/>
      <c r="E226" s="2"/>
      <c r="F226" s="2"/>
    </row>
    <row r="227">
      <c r="A227" s="2"/>
      <c r="B227" s="36" t="str">
        <f t="shared" ref="B227:C227" si="92">#REF!</f>
        <v>#REF!</v>
      </c>
      <c r="C227" s="125" t="str">
        <f t="shared" si="92"/>
        <v>#REF!</v>
      </c>
      <c r="D227" s="2"/>
      <c r="E227" s="2"/>
      <c r="F227" s="2"/>
    </row>
    <row r="228">
      <c r="A228" s="2"/>
      <c r="B228" s="36" t="str">
        <f t="shared" ref="B228:C228" si="93">#REF!</f>
        <v>#REF!</v>
      </c>
      <c r="C228" s="125" t="str">
        <f t="shared" si="93"/>
        <v>#REF!</v>
      </c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B236" s="129" t="str">
        <f>concatenate("Scores for : " &amp; AC2)</f>
        <v>Scores for : 06/20/26</v>
      </c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123" t="s">
        <v>0</v>
      </c>
      <c r="B238" s="123" t="s">
        <v>1</v>
      </c>
      <c r="C238" s="123" t="s">
        <v>10</v>
      </c>
      <c r="D238" s="123" t="s">
        <v>11</v>
      </c>
      <c r="E238" s="123" t="s">
        <v>12</v>
      </c>
      <c r="F238" s="123" t="s">
        <v>13</v>
      </c>
      <c r="G238" s="123" t="s">
        <v>6</v>
      </c>
    </row>
    <row r="239">
      <c r="A239" s="125" t="str">
        <f>IFERROR(__xludf.DUMMYFUNCTION("QUERY(indirect(AC2 &amp; ""!B5:M79""),""Select G, B, I, J, K,L, M where G &gt; 0 order by G asc"",0)"),"#REF!")</f>
        <v>#REF!</v>
      </c>
      <c r="B239" s="36"/>
      <c r="C239" s="131"/>
      <c r="D239" s="131"/>
      <c r="E239" s="131"/>
      <c r="F239" s="131"/>
      <c r="G239" s="131"/>
    </row>
    <row r="240">
      <c r="A240" s="125"/>
      <c r="B240" s="36"/>
      <c r="C240" s="131"/>
      <c r="D240" s="131"/>
      <c r="E240" s="131"/>
      <c r="F240" s="131"/>
      <c r="G240" s="131"/>
    </row>
    <row r="241">
      <c r="A241" s="125"/>
      <c r="B241" s="36"/>
      <c r="C241" s="131"/>
      <c r="D241" s="131"/>
      <c r="E241" s="131"/>
      <c r="F241" s="131"/>
      <c r="G241" s="131"/>
    </row>
    <row r="242">
      <c r="A242" s="125"/>
      <c r="B242" s="36"/>
      <c r="C242" s="131"/>
      <c r="D242" s="131"/>
      <c r="E242" s="131"/>
      <c r="F242" s="131"/>
      <c r="G242" s="131"/>
    </row>
    <row r="243">
      <c r="A243" s="132"/>
      <c r="B243" s="133"/>
      <c r="C243" s="134"/>
      <c r="D243" s="134"/>
      <c r="E243" s="134"/>
      <c r="F243" s="134"/>
      <c r="G243" s="134"/>
    </row>
    <row r="244">
      <c r="A244" s="132"/>
      <c r="B244" s="133"/>
      <c r="C244" s="134"/>
      <c r="D244" s="134"/>
      <c r="E244" s="134"/>
      <c r="F244" s="134"/>
      <c r="G244" s="134"/>
    </row>
    <row r="245">
      <c r="A245" s="132"/>
      <c r="B245" s="133"/>
      <c r="C245" s="134"/>
      <c r="D245" s="134"/>
      <c r="E245" s="134"/>
      <c r="F245" s="134"/>
      <c r="G245" s="134"/>
    </row>
    <row r="246">
      <c r="A246" s="132"/>
      <c r="B246" s="133"/>
      <c r="C246" s="134"/>
      <c r="D246" s="134"/>
      <c r="E246" s="134"/>
      <c r="F246" s="134"/>
      <c r="G246" s="134"/>
    </row>
    <row r="247">
      <c r="A247" s="125"/>
      <c r="B247" s="36"/>
      <c r="C247" s="131"/>
      <c r="D247" s="131"/>
      <c r="E247" s="131"/>
      <c r="F247" s="131"/>
      <c r="G247" s="131"/>
    </row>
    <row r="248">
      <c r="A248" s="125"/>
      <c r="B248" s="36"/>
      <c r="C248" s="131"/>
      <c r="D248" s="131"/>
      <c r="E248" s="131"/>
      <c r="F248" s="131"/>
      <c r="G248" s="131"/>
    </row>
    <row r="249">
      <c r="A249" s="125"/>
      <c r="B249" s="36"/>
      <c r="C249" s="131"/>
      <c r="D249" s="131"/>
      <c r="E249" s="131"/>
      <c r="F249" s="131"/>
      <c r="G249" s="131"/>
    </row>
    <row r="250">
      <c r="A250" s="125"/>
      <c r="B250" s="36"/>
      <c r="C250" s="131"/>
      <c r="D250" s="131"/>
      <c r="E250" s="131"/>
      <c r="F250" s="131"/>
      <c r="G250" s="131"/>
    </row>
    <row r="251">
      <c r="A251" s="132"/>
      <c r="B251" s="133"/>
      <c r="C251" s="134"/>
      <c r="D251" s="134"/>
      <c r="E251" s="134"/>
      <c r="F251" s="134"/>
      <c r="G251" s="134"/>
    </row>
    <row r="252">
      <c r="A252" s="132"/>
      <c r="B252" s="133"/>
      <c r="C252" s="134"/>
      <c r="D252" s="134"/>
      <c r="E252" s="134"/>
      <c r="F252" s="134"/>
      <c r="G252" s="134"/>
    </row>
    <row r="253">
      <c r="A253" s="132"/>
      <c r="B253" s="133"/>
      <c r="C253" s="134"/>
      <c r="D253" s="134"/>
      <c r="E253" s="134"/>
      <c r="F253" s="134"/>
      <c r="G253" s="134"/>
    </row>
    <row r="254">
      <c r="A254" s="132"/>
      <c r="B254" s="133"/>
      <c r="C254" s="134"/>
      <c r="D254" s="134"/>
      <c r="E254" s="134"/>
      <c r="F254" s="134"/>
      <c r="G254" s="134"/>
    </row>
    <row r="255">
      <c r="A255" s="125"/>
      <c r="B255" s="36"/>
      <c r="C255" s="131"/>
      <c r="D255" s="131"/>
      <c r="E255" s="131"/>
      <c r="F255" s="131"/>
      <c r="G255" s="131"/>
    </row>
    <row r="256">
      <c r="A256" s="125"/>
      <c r="B256" s="36"/>
      <c r="C256" s="131"/>
      <c r="D256" s="131"/>
      <c r="E256" s="131"/>
      <c r="F256" s="131"/>
      <c r="G256" s="131"/>
    </row>
    <row r="257">
      <c r="A257" s="125"/>
      <c r="B257" s="36"/>
      <c r="C257" s="131"/>
      <c r="D257" s="131"/>
      <c r="E257" s="131"/>
      <c r="F257" s="131"/>
      <c r="G257" s="131"/>
    </row>
    <row r="258">
      <c r="A258" s="125"/>
      <c r="B258" s="36"/>
      <c r="C258" s="131"/>
      <c r="D258" s="131"/>
      <c r="E258" s="131"/>
      <c r="F258" s="131"/>
      <c r="G258" s="131"/>
    </row>
    <row r="259">
      <c r="A259" s="132"/>
      <c r="B259" s="133"/>
      <c r="C259" s="134"/>
      <c r="D259" s="134"/>
      <c r="E259" s="134"/>
      <c r="F259" s="134"/>
      <c r="G259" s="134"/>
    </row>
    <row r="260">
      <c r="A260" s="132"/>
      <c r="B260" s="133"/>
      <c r="C260" s="134"/>
      <c r="D260" s="134"/>
      <c r="E260" s="134"/>
      <c r="F260" s="134"/>
      <c r="G260" s="134"/>
    </row>
    <row r="261">
      <c r="A261" s="132"/>
      <c r="B261" s="133"/>
      <c r="C261" s="134"/>
      <c r="D261" s="134"/>
      <c r="E261" s="134"/>
      <c r="F261" s="134"/>
      <c r="G261" s="134"/>
    </row>
    <row r="262">
      <c r="A262" s="132"/>
      <c r="B262" s="133"/>
      <c r="C262" s="134"/>
      <c r="D262" s="134"/>
      <c r="E262" s="134"/>
      <c r="F262" s="134"/>
      <c r="G262" s="134"/>
    </row>
    <row r="263">
      <c r="A263" s="125"/>
      <c r="B263" s="36"/>
      <c r="C263" s="131"/>
      <c r="D263" s="131"/>
      <c r="E263" s="131"/>
      <c r="F263" s="131"/>
      <c r="G263" s="131"/>
    </row>
    <row r="264">
      <c r="A264" s="125"/>
      <c r="B264" s="36"/>
      <c r="C264" s="131"/>
      <c r="D264" s="131"/>
      <c r="E264" s="131"/>
      <c r="F264" s="131"/>
      <c r="G264" s="131"/>
    </row>
    <row r="265">
      <c r="A265" s="125"/>
      <c r="B265" s="36"/>
      <c r="C265" s="131"/>
      <c r="D265" s="131"/>
      <c r="E265" s="131"/>
      <c r="F265" s="131"/>
      <c r="G265" s="131"/>
    </row>
    <row r="266">
      <c r="A266" s="125"/>
      <c r="B266" s="36"/>
      <c r="C266" s="131"/>
      <c r="D266" s="131"/>
      <c r="E266" s="131"/>
      <c r="F266" s="131"/>
      <c r="G266" s="131"/>
    </row>
    <row r="267">
      <c r="A267" s="132"/>
      <c r="B267" s="133"/>
      <c r="C267" s="134"/>
      <c r="D267" s="134"/>
      <c r="E267" s="134"/>
      <c r="F267" s="134"/>
      <c r="G267" s="134"/>
    </row>
    <row r="268">
      <c r="A268" s="132"/>
      <c r="B268" s="133"/>
      <c r="C268" s="134"/>
      <c r="D268" s="134"/>
      <c r="E268" s="134"/>
      <c r="F268" s="134"/>
      <c r="G268" s="134"/>
    </row>
    <row r="269">
      <c r="A269" s="132"/>
      <c r="B269" s="133"/>
      <c r="C269" s="134"/>
      <c r="D269" s="134"/>
      <c r="E269" s="134"/>
      <c r="F269" s="134"/>
      <c r="G269" s="134"/>
    </row>
    <row r="270">
      <c r="A270" s="132"/>
      <c r="B270" s="133"/>
      <c r="C270" s="134"/>
      <c r="D270" s="134"/>
      <c r="E270" s="134"/>
      <c r="F270" s="134"/>
      <c r="G270" s="134"/>
    </row>
    <row r="271">
      <c r="A271" s="125"/>
      <c r="B271" s="36"/>
      <c r="C271" s="131"/>
      <c r="D271" s="131"/>
      <c r="E271" s="131"/>
      <c r="F271" s="131"/>
      <c r="G271" s="131"/>
    </row>
    <row r="272">
      <c r="A272" s="125"/>
      <c r="B272" s="36"/>
      <c r="C272" s="131"/>
      <c r="D272" s="131"/>
      <c r="E272" s="131"/>
      <c r="F272" s="131"/>
      <c r="G272" s="131"/>
    </row>
    <row r="273">
      <c r="A273" s="125"/>
      <c r="B273" s="36"/>
      <c r="C273" s="131"/>
      <c r="D273" s="131"/>
      <c r="E273" s="131"/>
      <c r="F273" s="131"/>
      <c r="G273" s="131"/>
    </row>
    <row r="274">
      <c r="A274" s="125"/>
      <c r="B274" s="36"/>
      <c r="C274" s="131"/>
      <c r="D274" s="131"/>
      <c r="E274" s="131"/>
      <c r="F274" s="131"/>
      <c r="G274" s="131"/>
    </row>
    <row r="275">
      <c r="A275" s="132"/>
      <c r="B275" s="133"/>
      <c r="C275" s="134"/>
      <c r="D275" s="134"/>
      <c r="E275" s="134"/>
      <c r="F275" s="134"/>
      <c r="G275" s="134"/>
    </row>
    <row r="276">
      <c r="A276" s="132"/>
      <c r="B276" s="133"/>
      <c r="C276" s="134"/>
      <c r="D276" s="134"/>
      <c r="E276" s="134"/>
      <c r="F276" s="134"/>
      <c r="G276" s="134"/>
    </row>
    <row r="277">
      <c r="A277" s="132"/>
      <c r="B277" s="133"/>
      <c r="C277" s="134"/>
      <c r="D277" s="134"/>
      <c r="E277" s="134"/>
      <c r="F277" s="134"/>
      <c r="G277" s="134"/>
    </row>
    <row r="278">
      <c r="A278" s="132"/>
      <c r="B278" s="133"/>
      <c r="C278" s="134"/>
      <c r="D278" s="134"/>
      <c r="E278" s="134"/>
      <c r="F278" s="134"/>
      <c r="G278" s="134"/>
    </row>
    <row r="279">
      <c r="A279" s="125"/>
      <c r="B279" s="36"/>
      <c r="C279" s="131"/>
      <c r="D279" s="131"/>
      <c r="E279" s="131"/>
      <c r="F279" s="131"/>
      <c r="G279" s="131"/>
    </row>
    <row r="280">
      <c r="A280" s="125"/>
      <c r="B280" s="36"/>
      <c r="C280" s="131"/>
      <c r="D280" s="131"/>
      <c r="E280" s="131"/>
      <c r="F280" s="131"/>
      <c r="G280" s="131"/>
    </row>
    <row r="281">
      <c r="A281" s="125"/>
      <c r="B281" s="36"/>
      <c r="C281" s="131"/>
      <c r="D281" s="131"/>
      <c r="E281" s="131"/>
      <c r="F281" s="131"/>
      <c r="G281" s="131"/>
    </row>
    <row r="282">
      <c r="A282" s="125"/>
      <c r="B282" s="36"/>
      <c r="C282" s="131"/>
      <c r="D282" s="131"/>
      <c r="E282" s="131"/>
      <c r="F282" s="131"/>
      <c r="G282" s="131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40"/>
      <c r="B286" s="133" t="s">
        <v>189</v>
      </c>
      <c r="C286" s="2"/>
      <c r="D286" s="119" t="s">
        <v>192</v>
      </c>
      <c r="E286" s="26"/>
      <c r="F286" s="27"/>
      <c r="H286" s="119" t="s">
        <v>191</v>
      </c>
      <c r="I286" s="26"/>
      <c r="J286" s="27"/>
    </row>
    <row r="287">
      <c r="A287" s="135">
        <v>1.0</v>
      </c>
      <c r="B287" s="136" t="str">
        <f>IFERROR(__xludf.DUMMYFUNCTION("QUERY(B5:R71,""Select B where R = 'X' order by B asc"",0)"),"Adrian Tay")</f>
        <v>Adrian Tay</v>
      </c>
      <c r="C287" s="137">
        <f t="shared" ref="C287:C361" si="94">A287</f>
        <v>1</v>
      </c>
      <c r="D287" s="138" t="str">
        <f>IFERROR(__xludf.DUMMYFUNCTION("QUERY(B5:R71,""Select B where R = '' order by B asc"",0)"),"Lenin Belangonda")</f>
        <v>Lenin Belangonda</v>
      </c>
      <c r="E287" s="26"/>
      <c r="F287" s="27"/>
      <c r="G287" s="137">
        <f t="shared" ref="G287:G361" si="95">C287</f>
        <v>1</v>
      </c>
      <c r="H287" s="138" t="str">
        <f>IFERROR(__xludf.DUMMYFUNCTION("QUERY(B5:R71,""Select B where R = 'N' order by B asc"",0)"),"Saravanan Veerapandian")</f>
        <v>Saravanan Veerapandian</v>
      </c>
      <c r="I287" s="26"/>
      <c r="J287" s="27"/>
    </row>
    <row r="288">
      <c r="A288" s="135">
        <f t="shared" ref="A288:A361" si="96">A287+1</f>
        <v>2</v>
      </c>
      <c r="B288" s="136" t="str">
        <f>IFERROR(__xludf.DUMMYFUNCTION("""COMPUTED_VALUE"""),"Alejandro Mejia")</f>
        <v>Alejandro Mejia</v>
      </c>
      <c r="C288" s="137">
        <f t="shared" si="94"/>
        <v>2</v>
      </c>
      <c r="D288" s="138" t="str">
        <f>IFERROR(__xludf.DUMMYFUNCTION("""COMPUTED_VALUE"""),"Lloyd Sagar")</f>
        <v>Lloyd Sagar</v>
      </c>
      <c r="E288" s="26"/>
      <c r="F288" s="27"/>
      <c r="G288" s="137">
        <f t="shared" si="95"/>
        <v>2</v>
      </c>
      <c r="H288" s="138" t="str">
        <f>IFERROR(__xludf.DUMMYFUNCTION("""COMPUTED_VALUE"""),"Tom Le")</f>
        <v>Tom Le</v>
      </c>
      <c r="I288" s="26"/>
      <c r="J288" s="27"/>
    </row>
    <row r="289">
      <c r="A289" s="135">
        <f t="shared" si="96"/>
        <v>3</v>
      </c>
      <c r="B289" s="136" t="str">
        <f>IFERROR(__xludf.DUMMYFUNCTION("""COMPUTED_VALUE"""),"Alex Hou")</f>
        <v>Alex Hou</v>
      </c>
      <c r="C289" s="137">
        <f t="shared" si="94"/>
        <v>3</v>
      </c>
      <c r="D289" s="138" t="str">
        <f>IFERROR(__xludf.DUMMYFUNCTION("""COMPUTED_VALUE"""),"Pulkit Mathur")</f>
        <v>Pulkit Mathur</v>
      </c>
      <c r="E289" s="26"/>
      <c r="F289" s="27"/>
      <c r="G289" s="137">
        <f t="shared" si="95"/>
        <v>3</v>
      </c>
      <c r="H289" s="138"/>
      <c r="I289" s="26"/>
      <c r="J289" s="27"/>
    </row>
    <row r="290">
      <c r="A290" s="135">
        <f t="shared" si="96"/>
        <v>4</v>
      </c>
      <c r="B290" s="136" t="str">
        <f>IFERROR(__xludf.DUMMYFUNCTION("""COMPUTED_VALUE"""),"Allen Zhang")</f>
        <v>Allen Zhang</v>
      </c>
      <c r="C290" s="137">
        <f t="shared" si="94"/>
        <v>4</v>
      </c>
      <c r="D290" s="138"/>
      <c r="E290" s="26"/>
      <c r="F290" s="27"/>
      <c r="G290" s="137">
        <f t="shared" si="95"/>
        <v>4</v>
      </c>
      <c r="H290" s="138"/>
      <c r="I290" s="26"/>
      <c r="J290" s="27"/>
    </row>
    <row r="291">
      <c r="A291" s="135">
        <f t="shared" si="96"/>
        <v>5</v>
      </c>
      <c r="B291" s="136" t="str">
        <f>IFERROR(__xludf.DUMMYFUNCTION("""COMPUTED_VALUE"""),"Andrew Wen")</f>
        <v>Andrew Wen</v>
      </c>
      <c r="C291" s="137">
        <f t="shared" si="94"/>
        <v>5</v>
      </c>
      <c r="D291" s="138"/>
      <c r="E291" s="26"/>
      <c r="F291" s="27"/>
      <c r="G291" s="137">
        <f t="shared" si="95"/>
        <v>5</v>
      </c>
      <c r="H291" s="138"/>
      <c r="I291" s="26"/>
      <c r="J291" s="27"/>
    </row>
    <row r="292">
      <c r="A292" s="135">
        <f t="shared" si="96"/>
        <v>6</v>
      </c>
      <c r="B292" s="136" t="str">
        <f>IFERROR(__xludf.DUMMYFUNCTION("""COMPUTED_VALUE"""),"Andrew Yao")</f>
        <v>Andrew Yao</v>
      </c>
      <c r="C292" s="137">
        <f t="shared" si="94"/>
        <v>6</v>
      </c>
      <c r="D292" s="138"/>
      <c r="E292" s="26"/>
      <c r="F292" s="27"/>
      <c r="G292" s="137">
        <f t="shared" si="95"/>
        <v>6</v>
      </c>
      <c r="H292" s="138"/>
      <c r="I292" s="26"/>
      <c r="J292" s="27"/>
    </row>
    <row r="293">
      <c r="A293" s="135">
        <f t="shared" si="96"/>
        <v>7</v>
      </c>
      <c r="B293" s="136" t="str">
        <f>IFERROR(__xludf.DUMMYFUNCTION("""COMPUTED_VALUE"""),"Art Hui")</f>
        <v>Art Hui</v>
      </c>
      <c r="C293" s="137">
        <f t="shared" si="94"/>
        <v>7</v>
      </c>
      <c r="D293" s="138"/>
      <c r="E293" s="26"/>
      <c r="F293" s="27"/>
      <c r="G293" s="137">
        <f t="shared" si="95"/>
        <v>7</v>
      </c>
      <c r="H293" s="138"/>
      <c r="I293" s="26"/>
      <c r="J293" s="27"/>
    </row>
    <row r="294">
      <c r="A294" s="135">
        <f t="shared" si="96"/>
        <v>8</v>
      </c>
      <c r="B294" s="136" t="str">
        <f>IFERROR(__xludf.DUMMYFUNCTION("""COMPUTED_VALUE"""),"Basudev Thoppai Vidyasankar")</f>
        <v>Basudev Thoppai Vidyasankar</v>
      </c>
      <c r="C294" s="137">
        <f t="shared" si="94"/>
        <v>8</v>
      </c>
      <c r="D294" s="138"/>
      <c r="E294" s="26"/>
      <c r="F294" s="27"/>
      <c r="G294" s="137">
        <f t="shared" si="95"/>
        <v>8</v>
      </c>
      <c r="H294" s="138"/>
      <c r="I294" s="26"/>
      <c r="J294" s="27"/>
    </row>
    <row r="295">
      <c r="A295" s="135">
        <f t="shared" si="96"/>
        <v>9</v>
      </c>
      <c r="B295" s="136" t="str">
        <f>IFERROR(__xludf.DUMMYFUNCTION("""COMPUTED_VALUE"""),"Camille Jung")</f>
        <v>Camille Jung</v>
      </c>
      <c r="C295" s="137">
        <f t="shared" si="94"/>
        <v>9</v>
      </c>
      <c r="D295" s="138"/>
      <c r="E295" s="26"/>
      <c r="F295" s="27"/>
      <c r="G295" s="137">
        <f t="shared" si="95"/>
        <v>9</v>
      </c>
      <c r="H295" s="138"/>
      <c r="I295" s="26"/>
      <c r="J295" s="27"/>
    </row>
    <row r="296">
      <c r="A296" s="135">
        <f t="shared" si="96"/>
        <v>10</v>
      </c>
      <c r="B296" s="136" t="str">
        <f>IFERROR(__xludf.DUMMYFUNCTION("""COMPUTED_VALUE"""),"Chinna Ponnaganti")</f>
        <v>Chinna Ponnaganti</v>
      </c>
      <c r="C296" s="137">
        <f t="shared" si="94"/>
        <v>10</v>
      </c>
      <c r="D296" s="138"/>
      <c r="E296" s="26"/>
      <c r="F296" s="27"/>
      <c r="G296" s="137">
        <f t="shared" si="95"/>
        <v>10</v>
      </c>
      <c r="H296" s="138"/>
      <c r="I296" s="26"/>
      <c r="J296" s="27"/>
    </row>
    <row r="297">
      <c r="A297" s="135">
        <f t="shared" si="96"/>
        <v>11</v>
      </c>
      <c r="B297" s="136" t="str">
        <f>IFERROR(__xludf.DUMMYFUNCTION("""COMPUTED_VALUE"""),"Cid Macaraeg")</f>
        <v>Cid Macaraeg</v>
      </c>
      <c r="C297" s="137">
        <f t="shared" si="94"/>
        <v>11</v>
      </c>
      <c r="D297" s="138"/>
      <c r="E297" s="26"/>
      <c r="F297" s="27"/>
      <c r="G297" s="137">
        <f t="shared" si="95"/>
        <v>11</v>
      </c>
      <c r="H297" s="138"/>
      <c r="I297" s="26"/>
      <c r="J297" s="27"/>
    </row>
    <row r="298">
      <c r="A298" s="135">
        <f t="shared" si="96"/>
        <v>12</v>
      </c>
      <c r="B298" s="136" t="str">
        <f>IFERROR(__xludf.DUMMYFUNCTION("""COMPUTED_VALUE"""),"Coco Yan")</f>
        <v>Coco Yan</v>
      </c>
      <c r="C298" s="137">
        <f t="shared" si="94"/>
        <v>12</v>
      </c>
      <c r="D298" s="138"/>
      <c r="E298" s="26"/>
      <c r="F298" s="27"/>
      <c r="G298" s="137">
        <f t="shared" si="95"/>
        <v>12</v>
      </c>
      <c r="H298" s="138"/>
      <c r="I298" s="26"/>
      <c r="J298" s="27"/>
    </row>
    <row r="299">
      <c r="A299" s="135">
        <f t="shared" si="96"/>
        <v>13</v>
      </c>
      <c r="B299" s="136" t="str">
        <f>IFERROR(__xludf.DUMMYFUNCTION("""COMPUTED_VALUE"""),"Darren Wong")</f>
        <v>Darren Wong</v>
      </c>
      <c r="C299" s="137">
        <f t="shared" si="94"/>
        <v>13</v>
      </c>
      <c r="D299" s="138"/>
      <c r="E299" s="26"/>
      <c r="F299" s="27"/>
      <c r="G299" s="137">
        <f t="shared" si="95"/>
        <v>13</v>
      </c>
      <c r="H299" s="138"/>
      <c r="I299" s="26"/>
      <c r="J299" s="27"/>
    </row>
    <row r="300">
      <c r="A300" s="135">
        <f t="shared" si="96"/>
        <v>14</v>
      </c>
      <c r="B300" s="136" t="str">
        <f>IFERROR(__xludf.DUMMYFUNCTION("""COMPUTED_VALUE"""),"David Shin")</f>
        <v>David Shin</v>
      </c>
      <c r="C300" s="137">
        <f t="shared" si="94"/>
        <v>14</v>
      </c>
      <c r="D300" s="138"/>
      <c r="E300" s="26"/>
      <c r="F300" s="27"/>
      <c r="G300" s="137">
        <f t="shared" si="95"/>
        <v>14</v>
      </c>
      <c r="H300" s="138"/>
      <c r="I300" s="26"/>
      <c r="J300" s="27"/>
    </row>
    <row r="301">
      <c r="A301" s="135">
        <f t="shared" si="96"/>
        <v>15</v>
      </c>
      <c r="B301" s="136" t="str">
        <f>IFERROR(__xludf.DUMMYFUNCTION("""COMPUTED_VALUE"""),"Elayaraja Thangaraj")</f>
        <v>Elayaraja Thangaraj</v>
      </c>
      <c r="C301" s="137">
        <f t="shared" si="94"/>
        <v>15</v>
      </c>
      <c r="D301" s="138"/>
      <c r="E301" s="26"/>
      <c r="F301" s="27"/>
      <c r="G301" s="137">
        <f t="shared" si="95"/>
        <v>15</v>
      </c>
      <c r="H301" s="138"/>
      <c r="I301" s="26"/>
      <c r="J301" s="27"/>
    </row>
    <row r="302">
      <c r="A302" s="135">
        <f t="shared" si="96"/>
        <v>16</v>
      </c>
      <c r="B302" s="136" t="str">
        <f>IFERROR(__xludf.DUMMYFUNCTION("""COMPUTED_VALUE"""),"Eric Pan")</f>
        <v>Eric Pan</v>
      </c>
      <c r="C302" s="137">
        <f t="shared" si="94"/>
        <v>16</v>
      </c>
      <c r="D302" s="138"/>
      <c r="E302" s="26"/>
      <c r="F302" s="27"/>
      <c r="G302" s="137">
        <f t="shared" si="95"/>
        <v>16</v>
      </c>
      <c r="H302" s="138"/>
      <c r="I302" s="26"/>
      <c r="J302" s="27"/>
    </row>
    <row r="303">
      <c r="A303" s="135">
        <f t="shared" si="96"/>
        <v>17</v>
      </c>
      <c r="B303" s="136" t="str">
        <f>IFERROR(__xludf.DUMMYFUNCTION("""COMPUTED_VALUE"""),"Eric Tan")</f>
        <v>Eric Tan</v>
      </c>
      <c r="C303" s="137">
        <f t="shared" si="94"/>
        <v>17</v>
      </c>
      <c r="D303" s="138"/>
      <c r="E303" s="26"/>
      <c r="F303" s="27"/>
      <c r="G303" s="137">
        <f t="shared" si="95"/>
        <v>17</v>
      </c>
      <c r="H303" s="138"/>
      <c r="I303" s="26"/>
      <c r="J303" s="27"/>
    </row>
    <row r="304">
      <c r="A304" s="135">
        <f t="shared" si="96"/>
        <v>18</v>
      </c>
      <c r="B304" s="136" t="str">
        <f>IFERROR(__xludf.DUMMYFUNCTION("""COMPUTED_VALUE"""),"Erik Hoeckmann")</f>
        <v>Erik Hoeckmann</v>
      </c>
      <c r="C304" s="137">
        <f t="shared" si="94"/>
        <v>18</v>
      </c>
      <c r="D304" s="138"/>
      <c r="E304" s="26"/>
      <c r="F304" s="27"/>
      <c r="G304" s="137">
        <f t="shared" si="95"/>
        <v>18</v>
      </c>
      <c r="H304" s="138"/>
      <c r="I304" s="26"/>
      <c r="J304" s="27"/>
    </row>
    <row r="305">
      <c r="A305" s="135">
        <f t="shared" si="96"/>
        <v>19</v>
      </c>
      <c r="B305" s="136" t="str">
        <f>IFERROR(__xludf.DUMMYFUNCTION("""COMPUTED_VALUE"""),"Ethan Gu")</f>
        <v>Ethan Gu</v>
      </c>
      <c r="C305" s="137">
        <f t="shared" si="94"/>
        <v>19</v>
      </c>
      <c r="D305" s="138"/>
      <c r="E305" s="26"/>
      <c r="F305" s="27"/>
      <c r="G305" s="137">
        <f t="shared" si="95"/>
        <v>19</v>
      </c>
      <c r="H305" s="138"/>
      <c r="I305" s="26"/>
      <c r="J305" s="27"/>
    </row>
    <row r="306">
      <c r="A306" s="135">
        <f t="shared" si="96"/>
        <v>20</v>
      </c>
      <c r="B306" s="136" t="str">
        <f>IFERROR(__xludf.DUMMYFUNCTION("""COMPUTED_VALUE"""),"Frank Moon")</f>
        <v>Frank Moon</v>
      </c>
      <c r="C306" s="137">
        <f t="shared" si="94"/>
        <v>20</v>
      </c>
      <c r="D306" s="138"/>
      <c r="E306" s="26"/>
      <c r="F306" s="27"/>
      <c r="G306" s="137">
        <f t="shared" si="95"/>
        <v>20</v>
      </c>
      <c r="H306" s="138"/>
      <c r="I306" s="26"/>
      <c r="J306" s="27"/>
    </row>
    <row r="307">
      <c r="A307" s="135">
        <f t="shared" si="96"/>
        <v>21</v>
      </c>
      <c r="B307" s="136" t="str">
        <f>IFERROR(__xludf.DUMMYFUNCTION("""COMPUTED_VALUE"""),"Herman Au")</f>
        <v>Herman Au</v>
      </c>
      <c r="C307" s="137">
        <f t="shared" si="94"/>
        <v>21</v>
      </c>
      <c r="D307" s="138"/>
      <c r="E307" s="26"/>
      <c r="F307" s="27"/>
      <c r="G307" s="137">
        <f t="shared" si="95"/>
        <v>21</v>
      </c>
      <c r="H307" s="138"/>
      <c r="I307" s="26"/>
      <c r="J307" s="27"/>
    </row>
    <row r="308">
      <c r="A308" s="135">
        <f t="shared" si="96"/>
        <v>22</v>
      </c>
      <c r="B308" s="136" t="str">
        <f>IFERROR(__xludf.DUMMYFUNCTION("""COMPUTED_VALUE"""),"Hongyuan Wen")</f>
        <v>Hongyuan Wen</v>
      </c>
      <c r="C308" s="137">
        <f t="shared" si="94"/>
        <v>22</v>
      </c>
      <c r="D308" s="138"/>
      <c r="E308" s="26"/>
      <c r="F308" s="27"/>
      <c r="G308" s="137">
        <f t="shared" si="95"/>
        <v>22</v>
      </c>
      <c r="H308" s="138"/>
      <c r="I308" s="26"/>
      <c r="J308" s="27"/>
    </row>
    <row r="309">
      <c r="A309" s="135">
        <f t="shared" si="96"/>
        <v>23</v>
      </c>
      <c r="B309" s="136" t="str">
        <f>IFERROR(__xludf.DUMMYFUNCTION("""COMPUTED_VALUE"""),"Jaya Sogata")</f>
        <v>Jaya Sogata</v>
      </c>
      <c r="C309" s="137">
        <f t="shared" si="94"/>
        <v>23</v>
      </c>
      <c r="D309" s="138"/>
      <c r="E309" s="26"/>
      <c r="F309" s="27"/>
      <c r="G309" s="137">
        <f t="shared" si="95"/>
        <v>23</v>
      </c>
      <c r="H309" s="138"/>
      <c r="I309" s="26"/>
      <c r="J309" s="27"/>
    </row>
    <row r="310">
      <c r="A310" s="135">
        <f t="shared" si="96"/>
        <v>24</v>
      </c>
      <c r="B310" s="136" t="str">
        <f>IFERROR(__xludf.DUMMYFUNCTION("""COMPUTED_VALUE"""),"Jim Miao")</f>
        <v>Jim Miao</v>
      </c>
      <c r="C310" s="137">
        <f t="shared" si="94"/>
        <v>24</v>
      </c>
      <c r="D310" s="138"/>
      <c r="E310" s="26"/>
      <c r="F310" s="27"/>
      <c r="G310" s="137">
        <f t="shared" si="95"/>
        <v>24</v>
      </c>
      <c r="H310" s="138"/>
      <c r="I310" s="26"/>
      <c r="J310" s="27"/>
    </row>
    <row r="311">
      <c r="A311" s="135">
        <f t="shared" si="96"/>
        <v>25</v>
      </c>
      <c r="B311" s="136" t="str">
        <f>IFERROR(__xludf.DUMMYFUNCTION("""COMPUTED_VALUE"""),"Jimmy Awolesi")</f>
        <v>Jimmy Awolesi</v>
      </c>
      <c r="C311" s="137">
        <f t="shared" si="94"/>
        <v>25</v>
      </c>
      <c r="D311" s="138"/>
      <c r="E311" s="26"/>
      <c r="F311" s="27"/>
      <c r="G311" s="137">
        <f t="shared" si="95"/>
        <v>25</v>
      </c>
      <c r="H311" s="138"/>
      <c r="I311" s="26"/>
      <c r="J311" s="27"/>
    </row>
    <row r="312">
      <c r="A312" s="135">
        <f t="shared" si="96"/>
        <v>26</v>
      </c>
      <c r="B312" s="136" t="str">
        <f>IFERROR(__xludf.DUMMYFUNCTION("""COMPUTED_VALUE"""),"Joe Luzzi")</f>
        <v>Joe Luzzi</v>
      </c>
      <c r="C312" s="137">
        <f t="shared" si="94"/>
        <v>26</v>
      </c>
      <c r="D312" s="138"/>
      <c r="E312" s="26"/>
      <c r="F312" s="27"/>
      <c r="G312" s="137">
        <f t="shared" si="95"/>
        <v>26</v>
      </c>
      <c r="H312" s="138"/>
      <c r="I312" s="26"/>
      <c r="J312" s="27"/>
    </row>
    <row r="313">
      <c r="A313" s="135">
        <f t="shared" si="96"/>
        <v>27</v>
      </c>
      <c r="B313" s="136" t="str">
        <f>IFERROR(__xludf.DUMMYFUNCTION("""COMPUTED_VALUE"""),"Jonathan Phan")</f>
        <v>Jonathan Phan</v>
      </c>
      <c r="C313" s="137">
        <f t="shared" si="94"/>
        <v>27</v>
      </c>
      <c r="D313" s="138"/>
      <c r="E313" s="26"/>
      <c r="F313" s="27"/>
      <c r="G313" s="137">
        <f t="shared" si="95"/>
        <v>27</v>
      </c>
      <c r="H313" s="138"/>
      <c r="I313" s="26"/>
      <c r="J313" s="27"/>
    </row>
    <row r="314">
      <c r="A314" s="135">
        <f t="shared" si="96"/>
        <v>28</v>
      </c>
      <c r="B314" s="136" t="str">
        <f>IFERROR(__xludf.DUMMYFUNCTION("""COMPUTED_VALUE"""),"Joyce Zhu")</f>
        <v>Joyce Zhu</v>
      </c>
      <c r="C314" s="137">
        <f t="shared" si="94"/>
        <v>28</v>
      </c>
      <c r="D314" s="138"/>
      <c r="E314" s="26"/>
      <c r="F314" s="27"/>
      <c r="G314" s="137">
        <f t="shared" si="95"/>
        <v>28</v>
      </c>
      <c r="H314" s="138"/>
      <c r="I314" s="26"/>
      <c r="J314" s="27"/>
    </row>
    <row r="315">
      <c r="A315" s="135">
        <f t="shared" si="96"/>
        <v>29</v>
      </c>
      <c r="B315" s="136" t="str">
        <f>IFERROR(__xludf.DUMMYFUNCTION("""COMPUTED_VALUE"""),"Kumar Palakeel")</f>
        <v>Kumar Palakeel</v>
      </c>
      <c r="C315" s="137">
        <f t="shared" si="94"/>
        <v>29</v>
      </c>
      <c r="D315" s="138"/>
      <c r="E315" s="26"/>
      <c r="F315" s="27"/>
      <c r="G315" s="137">
        <f t="shared" si="95"/>
        <v>29</v>
      </c>
      <c r="H315" s="138"/>
      <c r="I315" s="26"/>
      <c r="J315" s="27"/>
    </row>
    <row r="316">
      <c r="A316" s="135">
        <f t="shared" si="96"/>
        <v>30</v>
      </c>
      <c r="B316" s="136" t="str">
        <f>IFERROR(__xludf.DUMMYFUNCTION("""COMPUTED_VALUE"""),"Lam Bui")</f>
        <v>Lam Bui</v>
      </c>
      <c r="C316" s="137">
        <f t="shared" si="94"/>
        <v>30</v>
      </c>
      <c r="D316" s="138"/>
      <c r="E316" s="26"/>
      <c r="F316" s="27"/>
      <c r="G316" s="137">
        <f t="shared" si="95"/>
        <v>30</v>
      </c>
      <c r="H316" s="138"/>
      <c r="I316" s="26"/>
      <c r="J316" s="27"/>
    </row>
    <row r="317">
      <c r="A317" s="135">
        <f t="shared" si="96"/>
        <v>31</v>
      </c>
      <c r="B317" s="136" t="str">
        <f>IFERROR(__xludf.DUMMYFUNCTION("""COMPUTED_VALUE"""),"Luis Hsu")</f>
        <v>Luis Hsu</v>
      </c>
      <c r="C317" s="137">
        <f t="shared" si="94"/>
        <v>31</v>
      </c>
      <c r="D317" s="138"/>
      <c r="E317" s="26"/>
      <c r="F317" s="27"/>
      <c r="G317" s="137">
        <f t="shared" si="95"/>
        <v>31</v>
      </c>
      <c r="H317" s="138"/>
      <c r="I317" s="26"/>
      <c r="J317" s="27"/>
    </row>
    <row r="318">
      <c r="A318" s="135">
        <f t="shared" si="96"/>
        <v>32</v>
      </c>
      <c r="B318" s="136" t="str">
        <f>IFERROR(__xludf.DUMMYFUNCTION("""COMPUTED_VALUE"""),"Manish Anand")</f>
        <v>Manish Anand</v>
      </c>
      <c r="C318" s="137">
        <f t="shared" si="94"/>
        <v>32</v>
      </c>
      <c r="D318" s="138"/>
      <c r="E318" s="26"/>
      <c r="F318" s="27"/>
      <c r="G318" s="137">
        <f t="shared" si="95"/>
        <v>32</v>
      </c>
      <c r="H318" s="138"/>
      <c r="I318" s="26"/>
      <c r="J318" s="27"/>
    </row>
    <row r="319">
      <c r="A319" s="135">
        <f t="shared" si="96"/>
        <v>33</v>
      </c>
      <c r="B319" s="136" t="str">
        <f>IFERROR(__xludf.DUMMYFUNCTION("""COMPUTED_VALUE"""),"Manuel Rivera")</f>
        <v>Manuel Rivera</v>
      </c>
      <c r="C319" s="137">
        <f t="shared" si="94"/>
        <v>33</v>
      </c>
      <c r="D319" s="138"/>
      <c r="E319" s="26"/>
      <c r="F319" s="27"/>
      <c r="G319" s="137">
        <f t="shared" si="95"/>
        <v>33</v>
      </c>
      <c r="H319" s="138"/>
      <c r="I319" s="26"/>
      <c r="J319" s="27"/>
    </row>
    <row r="320">
      <c r="A320" s="135">
        <f t="shared" si="96"/>
        <v>34</v>
      </c>
      <c r="B320" s="136" t="str">
        <f>IFERROR(__xludf.DUMMYFUNCTION("""COMPUTED_VALUE"""),"Matthew Huang")</f>
        <v>Matthew Huang</v>
      </c>
      <c r="C320" s="137">
        <f t="shared" si="94"/>
        <v>34</v>
      </c>
      <c r="D320" s="138"/>
      <c r="E320" s="26"/>
      <c r="F320" s="27"/>
      <c r="G320" s="137">
        <f t="shared" si="95"/>
        <v>34</v>
      </c>
      <c r="H320" s="138"/>
      <c r="I320" s="26"/>
      <c r="J320" s="27"/>
    </row>
    <row r="321">
      <c r="A321" s="135">
        <f t="shared" si="96"/>
        <v>35</v>
      </c>
      <c r="B321" s="136" t="str">
        <f>IFERROR(__xludf.DUMMYFUNCTION("""COMPUTED_VALUE"""),"Mauricio Palacios")</f>
        <v>Mauricio Palacios</v>
      </c>
      <c r="C321" s="137">
        <f t="shared" si="94"/>
        <v>35</v>
      </c>
      <c r="D321" s="138"/>
      <c r="E321" s="26"/>
      <c r="F321" s="27"/>
      <c r="G321" s="137">
        <f t="shared" si="95"/>
        <v>35</v>
      </c>
      <c r="H321" s="138"/>
      <c r="I321" s="26"/>
      <c r="J321" s="27"/>
    </row>
    <row r="322">
      <c r="A322" s="135">
        <f t="shared" si="96"/>
        <v>36</v>
      </c>
      <c r="B322" s="136" t="str">
        <f>IFERROR(__xludf.DUMMYFUNCTION("""COMPUTED_VALUE"""),"Naveen Raj")</f>
        <v>Naveen Raj</v>
      </c>
      <c r="C322" s="137">
        <f t="shared" si="94"/>
        <v>36</v>
      </c>
      <c r="D322" s="138"/>
      <c r="E322" s="26"/>
      <c r="F322" s="27"/>
      <c r="G322" s="137">
        <f t="shared" si="95"/>
        <v>36</v>
      </c>
      <c r="H322" s="138"/>
      <c r="I322" s="26"/>
      <c r="J322" s="27"/>
    </row>
    <row r="323">
      <c r="A323" s="135">
        <f t="shared" si="96"/>
        <v>37</v>
      </c>
      <c r="B323" s="136" t="str">
        <f>IFERROR(__xludf.DUMMYFUNCTION("""COMPUTED_VALUE"""),"Nicole Ni")</f>
        <v>Nicole Ni</v>
      </c>
      <c r="C323" s="137">
        <f t="shared" si="94"/>
        <v>37</v>
      </c>
      <c r="D323" s="138"/>
      <c r="E323" s="26"/>
      <c r="F323" s="27"/>
      <c r="G323" s="137">
        <f t="shared" si="95"/>
        <v>37</v>
      </c>
      <c r="H323" s="138"/>
      <c r="I323" s="26"/>
      <c r="J323" s="27"/>
    </row>
    <row r="324">
      <c r="A324" s="135">
        <f t="shared" si="96"/>
        <v>38</v>
      </c>
      <c r="B324" s="136" t="str">
        <f>IFERROR(__xludf.DUMMYFUNCTION("""COMPUTED_VALUE"""),"Oscar Bonilla")</f>
        <v>Oscar Bonilla</v>
      </c>
      <c r="C324" s="137">
        <f t="shared" si="94"/>
        <v>38</v>
      </c>
      <c r="D324" s="138"/>
      <c r="E324" s="26"/>
      <c r="F324" s="27"/>
      <c r="G324" s="137">
        <f t="shared" si="95"/>
        <v>38</v>
      </c>
      <c r="H324" s="138"/>
      <c r="I324" s="26"/>
      <c r="J324" s="27"/>
    </row>
    <row r="325">
      <c r="A325" s="135">
        <f t="shared" si="96"/>
        <v>39</v>
      </c>
      <c r="B325" s="136" t="str">
        <f>IFERROR(__xludf.DUMMYFUNCTION("""COMPUTED_VALUE"""),"Pavan Akkimsetty")</f>
        <v>Pavan Akkimsetty</v>
      </c>
      <c r="C325" s="137">
        <f t="shared" si="94"/>
        <v>39</v>
      </c>
      <c r="D325" s="138"/>
      <c r="E325" s="26"/>
      <c r="F325" s="27"/>
      <c r="G325" s="137">
        <f t="shared" si="95"/>
        <v>39</v>
      </c>
      <c r="H325" s="138"/>
      <c r="I325" s="26"/>
      <c r="J325" s="27"/>
    </row>
    <row r="326">
      <c r="A326" s="135">
        <f t="shared" si="96"/>
        <v>40</v>
      </c>
      <c r="B326" s="136" t="str">
        <f>IFERROR(__xludf.DUMMYFUNCTION("""COMPUTED_VALUE"""),"Rajasekar Ramasamy")</f>
        <v>Rajasekar Ramasamy</v>
      </c>
      <c r="C326" s="137">
        <f t="shared" si="94"/>
        <v>40</v>
      </c>
      <c r="D326" s="138"/>
      <c r="E326" s="26"/>
      <c r="F326" s="27"/>
      <c r="G326" s="137">
        <f t="shared" si="95"/>
        <v>40</v>
      </c>
      <c r="H326" s="138"/>
      <c r="I326" s="26"/>
      <c r="J326" s="27"/>
    </row>
    <row r="327">
      <c r="A327" s="135">
        <f t="shared" si="96"/>
        <v>41</v>
      </c>
      <c r="B327" s="136" t="str">
        <f>IFERROR(__xludf.DUMMYFUNCTION("""COMPUTED_VALUE"""),"Rajesh Dorairaj")</f>
        <v>Rajesh Dorairaj</v>
      </c>
      <c r="C327" s="137">
        <f t="shared" si="94"/>
        <v>41</v>
      </c>
      <c r="D327" s="138"/>
      <c r="E327" s="26"/>
      <c r="F327" s="27"/>
      <c r="G327" s="137">
        <f t="shared" si="95"/>
        <v>41</v>
      </c>
      <c r="H327" s="138"/>
      <c r="I327" s="26"/>
      <c r="J327" s="27"/>
    </row>
    <row r="328">
      <c r="A328" s="135">
        <f t="shared" si="96"/>
        <v>42</v>
      </c>
      <c r="B328" s="136" t="str">
        <f>IFERROR(__xludf.DUMMYFUNCTION("""COMPUTED_VALUE"""),"Ramesh Bandaru")</f>
        <v>Ramesh Bandaru</v>
      </c>
      <c r="C328" s="137">
        <f t="shared" si="94"/>
        <v>42</v>
      </c>
      <c r="D328" s="138"/>
      <c r="E328" s="26"/>
      <c r="F328" s="27"/>
      <c r="G328" s="137">
        <f t="shared" si="95"/>
        <v>42</v>
      </c>
      <c r="H328" s="138"/>
      <c r="I328" s="26"/>
      <c r="J328" s="27"/>
    </row>
    <row r="329">
      <c r="A329" s="135">
        <f t="shared" si="96"/>
        <v>43</v>
      </c>
      <c r="B329" s="136" t="str">
        <f>IFERROR(__xludf.DUMMYFUNCTION("""COMPUTED_VALUE"""),"Ranjith Doraiswamy")</f>
        <v>Ranjith Doraiswamy</v>
      </c>
      <c r="C329" s="137">
        <f t="shared" si="94"/>
        <v>43</v>
      </c>
      <c r="D329" s="138"/>
      <c r="E329" s="26"/>
      <c r="F329" s="27"/>
      <c r="G329" s="137">
        <f t="shared" si="95"/>
        <v>43</v>
      </c>
      <c r="H329" s="138"/>
      <c r="I329" s="26"/>
      <c r="J329" s="27"/>
    </row>
    <row r="330">
      <c r="A330" s="135">
        <f t="shared" si="96"/>
        <v>44</v>
      </c>
      <c r="B330" s="136" t="str">
        <f>IFERROR(__xludf.DUMMYFUNCTION("""COMPUTED_VALUE"""),"Robert Chang")</f>
        <v>Robert Chang</v>
      </c>
      <c r="C330" s="137">
        <f t="shared" si="94"/>
        <v>44</v>
      </c>
      <c r="D330" s="138"/>
      <c r="E330" s="26"/>
      <c r="F330" s="27"/>
      <c r="G330" s="137">
        <f t="shared" si="95"/>
        <v>44</v>
      </c>
      <c r="H330" s="138"/>
      <c r="I330" s="26"/>
      <c r="J330" s="27"/>
    </row>
    <row r="331">
      <c r="A331" s="135">
        <f t="shared" si="96"/>
        <v>45</v>
      </c>
      <c r="B331" s="136" t="str">
        <f>IFERROR(__xludf.DUMMYFUNCTION("""COMPUTED_VALUE"""),"Ruben Ron")</f>
        <v>Ruben Ron</v>
      </c>
      <c r="C331" s="137">
        <f t="shared" si="94"/>
        <v>45</v>
      </c>
      <c r="D331" s="138"/>
      <c r="E331" s="26"/>
      <c r="F331" s="27"/>
      <c r="G331" s="137">
        <f t="shared" si="95"/>
        <v>45</v>
      </c>
      <c r="H331" s="138"/>
      <c r="I331" s="26"/>
      <c r="J331" s="27"/>
    </row>
    <row r="332">
      <c r="A332" s="135">
        <f t="shared" si="96"/>
        <v>46</v>
      </c>
      <c r="B332" s="136" t="str">
        <f>IFERROR(__xludf.DUMMYFUNCTION("""COMPUTED_VALUE"""),"Rudy Tatang")</f>
        <v>Rudy Tatang</v>
      </c>
      <c r="C332" s="137">
        <f t="shared" si="94"/>
        <v>46</v>
      </c>
      <c r="D332" s="138"/>
      <c r="E332" s="26"/>
      <c r="F332" s="27"/>
      <c r="G332" s="137">
        <f t="shared" si="95"/>
        <v>46</v>
      </c>
      <c r="H332" s="138"/>
      <c r="I332" s="26"/>
      <c r="J332" s="27"/>
    </row>
    <row r="333">
      <c r="A333" s="135">
        <f t="shared" si="96"/>
        <v>47</v>
      </c>
      <c r="B333" s="136" t="str">
        <f>IFERROR(__xludf.DUMMYFUNCTION("""COMPUTED_VALUE"""),"Sandeep Kamalon")</f>
        <v>Sandeep Kamalon</v>
      </c>
      <c r="C333" s="137">
        <f t="shared" si="94"/>
        <v>47</v>
      </c>
      <c r="D333" s="138"/>
      <c r="E333" s="26"/>
      <c r="F333" s="27"/>
      <c r="G333" s="137">
        <f t="shared" si="95"/>
        <v>47</v>
      </c>
      <c r="H333" s="138"/>
      <c r="I333" s="26"/>
      <c r="J333" s="27"/>
    </row>
    <row r="334">
      <c r="A334" s="135">
        <f t="shared" si="96"/>
        <v>48</v>
      </c>
      <c r="B334" s="136" t="str">
        <f>IFERROR(__xludf.DUMMYFUNCTION("""COMPUTED_VALUE"""),"Sanjaye Elayattu")</f>
        <v>Sanjaye Elayattu</v>
      </c>
      <c r="C334" s="137">
        <f t="shared" si="94"/>
        <v>48</v>
      </c>
      <c r="D334" s="138"/>
      <c r="E334" s="26"/>
      <c r="F334" s="27"/>
      <c r="G334" s="137">
        <f t="shared" si="95"/>
        <v>48</v>
      </c>
      <c r="H334" s="138"/>
      <c r="I334" s="26"/>
      <c r="J334" s="27"/>
    </row>
    <row r="335">
      <c r="A335" s="135">
        <f t="shared" si="96"/>
        <v>49</v>
      </c>
      <c r="B335" s="136" t="str">
        <f>IFERROR(__xludf.DUMMYFUNCTION("""COMPUTED_VALUE"""),"Santosh Sundaresan")</f>
        <v>Santosh Sundaresan</v>
      </c>
      <c r="C335" s="137">
        <f t="shared" si="94"/>
        <v>49</v>
      </c>
      <c r="D335" s="138"/>
      <c r="E335" s="26"/>
      <c r="F335" s="27"/>
      <c r="G335" s="137">
        <f t="shared" si="95"/>
        <v>49</v>
      </c>
      <c r="H335" s="138"/>
      <c r="I335" s="26"/>
      <c r="J335" s="27"/>
    </row>
    <row r="336">
      <c r="A336" s="135">
        <f t="shared" si="96"/>
        <v>50</v>
      </c>
      <c r="B336" s="136" t="str">
        <f>IFERROR(__xludf.DUMMYFUNCTION("""COMPUTED_VALUE"""),"Scott Li")</f>
        <v>Scott Li</v>
      </c>
      <c r="C336" s="137">
        <f t="shared" si="94"/>
        <v>50</v>
      </c>
      <c r="D336" s="138"/>
      <c r="E336" s="26"/>
      <c r="F336" s="27"/>
      <c r="G336" s="137">
        <f t="shared" si="95"/>
        <v>50</v>
      </c>
      <c r="H336" s="138"/>
      <c r="I336" s="26"/>
      <c r="J336" s="27"/>
    </row>
    <row r="337">
      <c r="A337" s="135">
        <f t="shared" si="96"/>
        <v>51</v>
      </c>
      <c r="B337" s="136" t="str">
        <f>IFERROR(__xludf.DUMMYFUNCTION("""COMPUTED_VALUE"""),"Sean Chang")</f>
        <v>Sean Chang</v>
      </c>
      <c r="C337" s="137">
        <f t="shared" si="94"/>
        <v>51</v>
      </c>
      <c r="D337" s="138"/>
      <c r="E337" s="26"/>
      <c r="F337" s="27"/>
      <c r="G337" s="137">
        <f t="shared" si="95"/>
        <v>51</v>
      </c>
      <c r="H337" s="138"/>
      <c r="I337" s="26"/>
      <c r="J337" s="27"/>
    </row>
    <row r="338">
      <c r="A338" s="135">
        <f t="shared" si="96"/>
        <v>52</v>
      </c>
      <c r="B338" s="136" t="str">
        <f>IFERROR(__xludf.DUMMYFUNCTION("""COMPUTED_VALUE"""),"Suleman Alidina")</f>
        <v>Suleman Alidina</v>
      </c>
      <c r="C338" s="137">
        <f t="shared" si="94"/>
        <v>52</v>
      </c>
      <c r="D338" s="138"/>
      <c r="E338" s="26"/>
      <c r="F338" s="27"/>
      <c r="G338" s="137">
        <f t="shared" si="95"/>
        <v>52</v>
      </c>
      <c r="H338" s="138"/>
      <c r="I338" s="26"/>
      <c r="J338" s="27"/>
    </row>
    <row r="339">
      <c r="A339" s="135">
        <f t="shared" si="96"/>
        <v>53</v>
      </c>
      <c r="B339" s="136" t="str">
        <f>IFERROR(__xludf.DUMMYFUNCTION("""COMPUTED_VALUE"""),"Susanta Mishra")</f>
        <v>Susanta Mishra</v>
      </c>
      <c r="C339" s="137">
        <f t="shared" si="94"/>
        <v>53</v>
      </c>
      <c r="D339" s="138"/>
      <c r="E339" s="26"/>
      <c r="F339" s="27"/>
      <c r="G339" s="137">
        <f t="shared" si="95"/>
        <v>53</v>
      </c>
      <c r="H339" s="138"/>
      <c r="I339" s="26"/>
      <c r="J339" s="27"/>
    </row>
    <row r="340">
      <c r="A340" s="135">
        <f t="shared" si="96"/>
        <v>54</v>
      </c>
      <c r="B340" s="136" t="str">
        <f>IFERROR(__xludf.DUMMYFUNCTION("""COMPUTED_VALUE"""),"Ted Shen")</f>
        <v>Ted Shen</v>
      </c>
      <c r="C340" s="137">
        <f t="shared" si="94"/>
        <v>54</v>
      </c>
      <c r="D340" s="138"/>
      <c r="E340" s="26"/>
      <c r="F340" s="27"/>
      <c r="G340" s="137">
        <f t="shared" si="95"/>
        <v>54</v>
      </c>
      <c r="H340" s="138"/>
      <c r="I340" s="26"/>
      <c r="J340" s="27"/>
    </row>
    <row r="341">
      <c r="A341" s="135">
        <f t="shared" si="96"/>
        <v>55</v>
      </c>
      <c r="B341" s="136" t="str">
        <f>IFERROR(__xludf.DUMMYFUNCTION("""COMPUTED_VALUE"""),"Tina Hanson")</f>
        <v>Tina Hanson</v>
      </c>
      <c r="C341" s="137">
        <f t="shared" si="94"/>
        <v>55</v>
      </c>
      <c r="D341" s="138"/>
      <c r="E341" s="26"/>
      <c r="F341" s="27"/>
      <c r="G341" s="137">
        <f t="shared" si="95"/>
        <v>55</v>
      </c>
      <c r="H341" s="138"/>
      <c r="I341" s="26"/>
      <c r="J341" s="27"/>
    </row>
    <row r="342">
      <c r="A342" s="135">
        <f t="shared" si="96"/>
        <v>56</v>
      </c>
      <c r="B342" s="136" t="str">
        <f>IFERROR(__xludf.DUMMYFUNCTION("""COMPUTED_VALUE"""),"Trish Newlin")</f>
        <v>Trish Newlin</v>
      </c>
      <c r="C342" s="137">
        <f t="shared" si="94"/>
        <v>56</v>
      </c>
      <c r="D342" s="138"/>
      <c r="E342" s="26"/>
      <c r="F342" s="27"/>
      <c r="G342" s="137">
        <f t="shared" si="95"/>
        <v>56</v>
      </c>
      <c r="H342" s="138"/>
      <c r="I342" s="26"/>
      <c r="J342" s="27"/>
    </row>
    <row r="343">
      <c r="A343" s="135">
        <f t="shared" si="96"/>
        <v>57</v>
      </c>
      <c r="B343" s="136" t="str">
        <f>IFERROR(__xludf.DUMMYFUNCTION("""COMPUTED_VALUE"""),"Troy Wong")</f>
        <v>Troy Wong</v>
      </c>
      <c r="C343" s="137">
        <f t="shared" si="94"/>
        <v>57</v>
      </c>
      <c r="D343" s="138"/>
      <c r="E343" s="26"/>
      <c r="F343" s="27"/>
      <c r="G343" s="137">
        <f t="shared" si="95"/>
        <v>57</v>
      </c>
      <c r="H343" s="138"/>
      <c r="I343" s="26"/>
      <c r="J343" s="27"/>
    </row>
    <row r="344">
      <c r="A344" s="135">
        <f t="shared" si="96"/>
        <v>58</v>
      </c>
      <c r="B344" s="136" t="str">
        <f>IFERROR(__xludf.DUMMYFUNCTION("""COMPUTED_VALUE"""),"Vicki Martinet")</f>
        <v>Vicki Martinet</v>
      </c>
      <c r="C344" s="137">
        <f t="shared" si="94"/>
        <v>58</v>
      </c>
      <c r="D344" s="138"/>
      <c r="E344" s="26"/>
      <c r="F344" s="27"/>
      <c r="G344" s="137">
        <f t="shared" si="95"/>
        <v>58</v>
      </c>
      <c r="H344" s="138"/>
      <c r="I344" s="26"/>
      <c r="J344" s="27"/>
    </row>
    <row r="345">
      <c r="A345" s="135">
        <f t="shared" si="96"/>
        <v>59</v>
      </c>
      <c r="B345" s="136" t="str">
        <f>IFERROR(__xludf.DUMMYFUNCTION("""COMPUTED_VALUE"""),"Vinaya Kajla")</f>
        <v>Vinaya Kajla</v>
      </c>
      <c r="C345" s="137">
        <f t="shared" si="94"/>
        <v>59</v>
      </c>
      <c r="D345" s="138"/>
      <c r="E345" s="26"/>
      <c r="F345" s="27"/>
      <c r="G345" s="137">
        <f t="shared" si="95"/>
        <v>59</v>
      </c>
      <c r="H345" s="138"/>
      <c r="I345" s="26"/>
      <c r="J345" s="27"/>
    </row>
    <row r="346">
      <c r="A346" s="135">
        <f t="shared" si="96"/>
        <v>60</v>
      </c>
      <c r="B346" s="136" t="str">
        <f>IFERROR(__xludf.DUMMYFUNCTION("""COMPUTED_VALUE"""),"Vinotkumar Nagappan")</f>
        <v>Vinotkumar Nagappan</v>
      </c>
      <c r="C346" s="137">
        <f t="shared" si="94"/>
        <v>60</v>
      </c>
      <c r="D346" s="138"/>
      <c r="E346" s="26"/>
      <c r="F346" s="27"/>
      <c r="G346" s="137">
        <f t="shared" si="95"/>
        <v>60</v>
      </c>
      <c r="H346" s="138"/>
      <c r="I346" s="26"/>
      <c r="J346" s="27"/>
    </row>
    <row r="347">
      <c r="A347" s="135">
        <f t="shared" si="96"/>
        <v>61</v>
      </c>
      <c r="B347" s="136" t="str">
        <f>IFERROR(__xludf.DUMMYFUNCTION("""COMPUTED_VALUE"""),"Vishnu Amarnath")</f>
        <v>Vishnu Amarnath</v>
      </c>
      <c r="C347" s="137">
        <f t="shared" si="94"/>
        <v>61</v>
      </c>
      <c r="D347" s="138"/>
      <c r="E347" s="26"/>
      <c r="F347" s="27"/>
      <c r="G347" s="137">
        <f t="shared" si="95"/>
        <v>61</v>
      </c>
      <c r="H347" s="138"/>
      <c r="I347" s="26"/>
      <c r="J347" s="27"/>
    </row>
    <row r="348">
      <c r="A348" s="135">
        <f t="shared" si="96"/>
        <v>62</v>
      </c>
      <c r="B348" s="136" t="str">
        <f>IFERROR(__xludf.DUMMYFUNCTION("""COMPUTED_VALUE"""),"Wayne Liu")</f>
        <v>Wayne Liu</v>
      </c>
      <c r="C348" s="137">
        <f t="shared" si="94"/>
        <v>62</v>
      </c>
      <c r="D348" s="138"/>
      <c r="E348" s="26"/>
      <c r="F348" s="27"/>
      <c r="G348" s="137">
        <f t="shared" si="95"/>
        <v>62</v>
      </c>
      <c r="H348" s="138"/>
      <c r="I348" s="26"/>
      <c r="J348" s="27"/>
    </row>
    <row r="349">
      <c r="A349" s="135">
        <f t="shared" si="96"/>
        <v>63</v>
      </c>
      <c r="B349" s="136"/>
      <c r="C349" s="137">
        <f t="shared" si="94"/>
        <v>63</v>
      </c>
      <c r="D349" s="138"/>
      <c r="E349" s="26"/>
      <c r="F349" s="27"/>
      <c r="G349" s="137">
        <f t="shared" si="95"/>
        <v>63</v>
      </c>
      <c r="H349" s="138"/>
      <c r="I349" s="26"/>
      <c r="J349" s="27"/>
    </row>
    <row r="350">
      <c r="A350" s="135">
        <f t="shared" si="96"/>
        <v>64</v>
      </c>
      <c r="B350" s="136"/>
      <c r="C350" s="137">
        <f t="shared" si="94"/>
        <v>64</v>
      </c>
      <c r="D350" s="138"/>
      <c r="E350" s="26"/>
      <c r="F350" s="27"/>
      <c r="G350" s="137">
        <f t="shared" si="95"/>
        <v>64</v>
      </c>
      <c r="H350" s="138"/>
      <c r="I350" s="26"/>
      <c r="J350" s="27"/>
    </row>
    <row r="351">
      <c r="A351" s="135">
        <f t="shared" si="96"/>
        <v>65</v>
      </c>
      <c r="B351" s="136"/>
      <c r="C351" s="137">
        <f t="shared" si="94"/>
        <v>65</v>
      </c>
      <c r="D351" s="138"/>
      <c r="E351" s="26"/>
      <c r="F351" s="27"/>
      <c r="G351" s="137">
        <f t="shared" si="95"/>
        <v>65</v>
      </c>
      <c r="H351" s="138"/>
      <c r="I351" s="26"/>
      <c r="J351" s="27"/>
    </row>
    <row r="352">
      <c r="A352" s="135">
        <f t="shared" si="96"/>
        <v>66</v>
      </c>
      <c r="B352" s="136"/>
      <c r="C352" s="137">
        <f t="shared" si="94"/>
        <v>66</v>
      </c>
      <c r="D352" s="138"/>
      <c r="E352" s="26"/>
      <c r="F352" s="27"/>
      <c r="G352" s="137">
        <f t="shared" si="95"/>
        <v>66</v>
      </c>
      <c r="H352" s="138"/>
      <c r="I352" s="26"/>
      <c r="J352" s="27"/>
    </row>
    <row r="353">
      <c r="A353" s="135">
        <f t="shared" si="96"/>
        <v>67</v>
      </c>
      <c r="B353" s="136"/>
      <c r="C353" s="137">
        <f t="shared" si="94"/>
        <v>67</v>
      </c>
      <c r="D353" s="138"/>
      <c r="E353" s="26"/>
      <c r="F353" s="27"/>
      <c r="G353" s="137">
        <f t="shared" si="95"/>
        <v>67</v>
      </c>
      <c r="H353" s="138"/>
      <c r="I353" s="26"/>
      <c r="J353" s="27"/>
    </row>
    <row r="354">
      <c r="A354" s="135">
        <f t="shared" si="96"/>
        <v>68</v>
      </c>
      <c r="B354" s="136"/>
      <c r="C354" s="137">
        <f t="shared" si="94"/>
        <v>68</v>
      </c>
      <c r="D354" s="138"/>
      <c r="E354" s="26"/>
      <c r="F354" s="27"/>
      <c r="G354" s="137">
        <f t="shared" si="95"/>
        <v>68</v>
      </c>
      <c r="H354" s="138"/>
      <c r="I354" s="26"/>
      <c r="J354" s="27"/>
    </row>
    <row r="355">
      <c r="A355" s="135">
        <f t="shared" si="96"/>
        <v>69</v>
      </c>
      <c r="B355" s="136"/>
      <c r="C355" s="137">
        <f t="shared" si="94"/>
        <v>69</v>
      </c>
      <c r="D355" s="138"/>
      <c r="E355" s="26"/>
      <c r="F355" s="27"/>
      <c r="G355" s="137">
        <f t="shared" si="95"/>
        <v>69</v>
      </c>
      <c r="H355" s="138"/>
      <c r="I355" s="26"/>
      <c r="J355" s="27"/>
    </row>
    <row r="356">
      <c r="A356" s="135">
        <f t="shared" si="96"/>
        <v>70</v>
      </c>
      <c r="B356" s="136"/>
      <c r="C356" s="137">
        <f t="shared" si="94"/>
        <v>70</v>
      </c>
      <c r="D356" s="138"/>
      <c r="E356" s="26"/>
      <c r="F356" s="27"/>
      <c r="G356" s="137">
        <f t="shared" si="95"/>
        <v>70</v>
      </c>
      <c r="H356" s="138"/>
      <c r="I356" s="26"/>
      <c r="J356" s="27"/>
    </row>
    <row r="357">
      <c r="A357" s="135">
        <f t="shared" si="96"/>
        <v>71</v>
      </c>
      <c r="B357" s="136"/>
      <c r="C357" s="137">
        <f t="shared" si="94"/>
        <v>71</v>
      </c>
      <c r="D357" s="138"/>
      <c r="E357" s="26"/>
      <c r="F357" s="27"/>
      <c r="G357" s="137">
        <f t="shared" si="95"/>
        <v>71</v>
      </c>
      <c r="H357" s="138"/>
      <c r="I357" s="26"/>
      <c r="J357" s="27"/>
    </row>
    <row r="358">
      <c r="A358" s="135">
        <f t="shared" si="96"/>
        <v>72</v>
      </c>
      <c r="B358" s="136"/>
      <c r="C358" s="137">
        <f t="shared" si="94"/>
        <v>72</v>
      </c>
      <c r="D358" s="138"/>
      <c r="E358" s="26"/>
      <c r="F358" s="27"/>
      <c r="G358" s="137">
        <f t="shared" si="95"/>
        <v>72</v>
      </c>
      <c r="H358" s="138"/>
      <c r="I358" s="26"/>
      <c r="J358" s="27"/>
    </row>
    <row r="359">
      <c r="A359" s="135">
        <f t="shared" si="96"/>
        <v>73</v>
      </c>
      <c r="B359" s="136"/>
      <c r="C359" s="137">
        <f t="shared" si="94"/>
        <v>73</v>
      </c>
      <c r="D359" s="138"/>
      <c r="E359" s="26"/>
      <c r="F359" s="27"/>
      <c r="G359" s="137">
        <f t="shared" si="95"/>
        <v>73</v>
      </c>
      <c r="H359" s="138"/>
      <c r="I359" s="26"/>
      <c r="J359" s="27"/>
    </row>
    <row r="360">
      <c r="A360" s="135">
        <f t="shared" si="96"/>
        <v>74</v>
      </c>
      <c r="B360" s="136"/>
      <c r="C360" s="137">
        <f t="shared" si="94"/>
        <v>74</v>
      </c>
      <c r="D360" s="138"/>
      <c r="E360" s="26"/>
      <c r="F360" s="27"/>
      <c r="G360" s="137">
        <f t="shared" si="95"/>
        <v>74</v>
      </c>
      <c r="H360" s="138"/>
      <c r="I360" s="26"/>
      <c r="J360" s="27"/>
    </row>
    <row r="361">
      <c r="A361" s="135">
        <f t="shared" si="96"/>
        <v>75</v>
      </c>
      <c r="B361" s="136"/>
      <c r="C361" s="137">
        <f t="shared" si="94"/>
        <v>75</v>
      </c>
      <c r="D361" s="138"/>
      <c r="E361" s="26"/>
      <c r="F361" s="27"/>
      <c r="G361" s="137">
        <f t="shared" si="95"/>
        <v>75</v>
      </c>
      <c r="H361" s="138"/>
      <c r="I361" s="26"/>
      <c r="J361" s="27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75:R75"/>
    <mergeCell ref="P76:Q76"/>
    <mergeCell ref="B77:J77"/>
    <mergeCell ref="P77:Q77"/>
    <mergeCell ref="P78:Q78"/>
    <mergeCell ref="P79:Q79"/>
    <mergeCell ref="B80:E80"/>
    <mergeCell ref="B99:G99"/>
    <mergeCell ref="A117:E117"/>
    <mergeCell ref="A134:B134"/>
    <mergeCell ref="B215:C215"/>
    <mergeCell ref="D286:F286"/>
    <mergeCell ref="H286:J286"/>
    <mergeCell ref="H287:J287"/>
    <mergeCell ref="H290:J290"/>
    <mergeCell ref="H291:J291"/>
    <mergeCell ref="D287:F287"/>
    <mergeCell ref="D288:F288"/>
    <mergeCell ref="H288:J288"/>
    <mergeCell ref="D289:F289"/>
    <mergeCell ref="H289:J289"/>
    <mergeCell ref="D290:F290"/>
    <mergeCell ref="D291:F291"/>
    <mergeCell ref="D292:F292"/>
    <mergeCell ref="H292:J292"/>
    <mergeCell ref="D293:F293"/>
    <mergeCell ref="H293:J293"/>
    <mergeCell ref="D294:F294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D344:F344"/>
    <mergeCell ref="D345:F345"/>
    <mergeCell ref="D346:F346"/>
    <mergeCell ref="D347:F347"/>
    <mergeCell ref="D348:F348"/>
    <mergeCell ref="D349:F349"/>
    <mergeCell ref="D350:F350"/>
    <mergeCell ref="D358:F358"/>
    <mergeCell ref="D359:F359"/>
    <mergeCell ref="D360:F360"/>
    <mergeCell ref="D361:F361"/>
    <mergeCell ref="D351:F351"/>
    <mergeCell ref="D352:F352"/>
    <mergeCell ref="D353:F353"/>
    <mergeCell ref="D354:F354"/>
    <mergeCell ref="D355:F355"/>
    <mergeCell ref="D356:F356"/>
    <mergeCell ref="D357:F357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H359:J359"/>
    <mergeCell ref="H360:J360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</mergeCells>
  <conditionalFormatting sqref="B5:B71">
    <cfRule type="expression" dxfId="0" priority="1">
      <formula>#REF!=1</formula>
    </cfRule>
  </conditionalFormatting>
  <conditionalFormatting sqref="B5:B71">
    <cfRule type="expression" dxfId="4" priority="2">
      <formula>#REF!=2</formula>
    </cfRule>
  </conditionalFormatting>
  <conditionalFormatting sqref="B5:B71">
    <cfRule type="expression" dxfId="7" priority="3">
      <formula>#REF!=3</formula>
    </cfRule>
  </conditionalFormatting>
  <conditionalFormatting sqref="B5:B71">
    <cfRule type="expression" dxfId="3" priority="4">
      <formula>#REF!=4</formula>
    </cfRule>
  </conditionalFormatting>
  <conditionalFormatting sqref="L5:L71">
    <cfRule type="expression" dxfId="0" priority="5">
      <formula> L5&gt;=18</formula>
    </cfRule>
  </conditionalFormatting>
  <conditionalFormatting sqref="C10 L10 N10">
    <cfRule type="expression" dxfId="1" priority="6">
      <formula>iseven</formula>
    </cfRule>
  </conditionalFormatting>
  <conditionalFormatting sqref="B5:B71">
    <cfRule type="expression" dxfId="0" priority="7">
      <formula>F5=1</formula>
    </cfRule>
  </conditionalFormatting>
  <conditionalFormatting sqref="B5:B71">
    <cfRule type="expression" dxfId="4" priority="8">
      <formula>F5=2</formula>
    </cfRule>
  </conditionalFormatting>
  <conditionalFormatting sqref="B5:B71">
    <cfRule type="expression" dxfId="7" priority="9">
      <formula>F5=3</formula>
    </cfRule>
  </conditionalFormatting>
  <conditionalFormatting sqref="B5:B71">
    <cfRule type="expression" dxfId="3" priority="10">
      <formula>F5=4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3" max="3" width="32.63"/>
    <col customWidth="1" min="5" max="5" width="32.63"/>
    <col customWidth="1" min="7" max="7" width="32.63"/>
    <col customWidth="1" min="10" max="10" width="32.63"/>
    <col customWidth="1" min="14" max="14" width="18.13"/>
  </cols>
  <sheetData>
    <row r="1">
      <c r="A1" s="139" t="s">
        <v>206</v>
      </c>
      <c r="C1" s="139" t="s">
        <v>207</v>
      </c>
      <c r="E1" s="139" t="s">
        <v>208</v>
      </c>
      <c r="G1" s="139" t="s">
        <v>209</v>
      </c>
      <c r="H1" s="139" t="s">
        <v>46</v>
      </c>
      <c r="J1" s="139" t="s">
        <v>210</v>
      </c>
    </row>
    <row r="2">
      <c r="A2" s="36" t="str">
        <f>IFERROR(__xludf.DUMMYFUNCTION("IMPORTRANGE(""1fdeFpVHDOuPgHNWdHTESgY-wxwN46tko-eDtfFAsQO8"",""Current!B5:B71"")"),"Andrew Yao")</f>
        <v>Andrew Yao</v>
      </c>
      <c r="C2" s="36" t="str">
        <f>IFERROR(__xludf.DUMMYFUNCTION("QUERY(A2:A68, ""SELECT A ORDER BY A ASC"")"),"Adrian Tay")</f>
        <v>Adrian Tay</v>
      </c>
      <c r="E2" s="36" t="s">
        <v>129</v>
      </c>
      <c r="G2" s="36" t="s">
        <v>129</v>
      </c>
      <c r="H2" s="140">
        <f>VLOOKUP(G2,Current!B$5:T$71,19,false)</f>
        <v>0</v>
      </c>
      <c r="J2" s="36" t="str">
        <f>IFERROR(__xludf.DUMMYFUNCTION("FILTER(G2:G68, LEN(TRIM(H2:H68)) = 0)"),"Nicole Ni")</f>
        <v>Nicole Ni</v>
      </c>
      <c r="N2" s="141" t="s">
        <v>116</v>
      </c>
    </row>
    <row r="3">
      <c r="A3" s="36" t="str">
        <f>IFERROR(__xludf.DUMMYFUNCTION("""COMPUTED_VALUE"""),"Tom Le")</f>
        <v>Tom Le</v>
      </c>
      <c r="C3" s="36" t="str">
        <f>IFERROR(__xludf.DUMMYFUNCTION("""COMPUTED_VALUE"""),"Alejandro Mejia")</f>
        <v>Alejandro Mejia</v>
      </c>
      <c r="E3" s="36" t="s">
        <v>117</v>
      </c>
      <c r="G3" s="36" t="s">
        <v>117</v>
      </c>
      <c r="H3" s="140">
        <f>VLOOKUP(G3,Current!B$5:T$71,19,false)</f>
        <v>0</v>
      </c>
      <c r="J3" s="36" t="str">
        <f>IFERROR(__xludf.DUMMYFUNCTION("""COMPUTED_VALUE"""),"Kumar Palakeel")</f>
        <v>Kumar Palakeel</v>
      </c>
      <c r="N3" s="141" t="s">
        <v>90</v>
      </c>
    </row>
    <row r="4">
      <c r="A4" s="36" t="str">
        <f>IFERROR(__xludf.DUMMYFUNCTION("""COMPUTED_VALUE"""),"Pavan Akkimsetty")</f>
        <v>Pavan Akkimsetty</v>
      </c>
      <c r="C4" s="36" t="str">
        <f>IFERROR(__xludf.DUMMYFUNCTION("""COMPUTED_VALUE"""),"Alex Hou")</f>
        <v>Alex Hou</v>
      </c>
      <c r="E4" s="36" t="s">
        <v>105</v>
      </c>
      <c r="G4" s="36" t="s">
        <v>105</v>
      </c>
      <c r="H4" s="140">
        <f>VLOOKUP(G4,Current!B$5:T$71,19,false)</f>
        <v>2</v>
      </c>
      <c r="J4" s="36" t="str">
        <f>IFERROR(__xludf.DUMMYFUNCTION("""COMPUTED_VALUE"""),"Alex Hou")</f>
        <v>Alex Hou</v>
      </c>
      <c r="N4" s="141" t="s">
        <v>129</v>
      </c>
    </row>
    <row r="5">
      <c r="A5" s="36" t="str">
        <f>IFERROR(__xludf.DUMMYFUNCTION("""COMPUTED_VALUE"""),"Rudy Tatang")</f>
        <v>Rudy Tatang</v>
      </c>
      <c r="C5" s="36" t="str">
        <f>IFERROR(__xludf.DUMMYFUNCTION("""COMPUTED_VALUE"""),"Allen Zhang")</f>
        <v>Allen Zhang</v>
      </c>
      <c r="E5" s="36" t="s">
        <v>61</v>
      </c>
      <c r="G5" s="36" t="s">
        <v>61</v>
      </c>
      <c r="H5" s="140">
        <f>VLOOKUP(G5,Current!B$5:T$71,19,false)</f>
        <v>0</v>
      </c>
      <c r="J5" s="36" t="str">
        <f>IFERROR(__xludf.DUMMYFUNCTION("""COMPUTED_VALUE"""),"Ted Shen")</f>
        <v>Ted Shen</v>
      </c>
      <c r="N5" s="141" t="s">
        <v>141</v>
      </c>
    </row>
    <row r="6">
      <c r="A6" s="36" t="str">
        <f>IFERROR(__xludf.DUMMYFUNCTION("""COMPUTED_VALUE"""),"Pulkit Mathur")</f>
        <v>Pulkit Mathur</v>
      </c>
      <c r="C6" s="36" t="str">
        <f>IFERROR(__xludf.DUMMYFUNCTION("""COMPUTED_VALUE"""),"Andrew Wen")</f>
        <v>Andrew Wen</v>
      </c>
      <c r="E6" s="36" t="s">
        <v>140</v>
      </c>
      <c r="G6" s="36" t="s">
        <v>140</v>
      </c>
      <c r="H6" s="140">
        <f>VLOOKUP(G6,Current!B$5:T$71,19,false)</f>
        <v>0</v>
      </c>
      <c r="J6" s="36" t="str">
        <f>IFERROR(__xludf.DUMMYFUNCTION("""COMPUTED_VALUE"""),"Erik Hoeckmann")</f>
        <v>Erik Hoeckmann</v>
      </c>
      <c r="N6" s="141" t="s">
        <v>211</v>
      </c>
    </row>
    <row r="7">
      <c r="A7" s="36" t="str">
        <f>IFERROR(__xludf.DUMMYFUNCTION("""COMPUTED_VALUE"""),"David Shin")</f>
        <v>David Shin</v>
      </c>
      <c r="C7" s="36" t="str">
        <f>IFERROR(__xludf.DUMMYFUNCTION("""COMPUTED_VALUE"""),"Andrew Yao")</f>
        <v>Andrew Yao</v>
      </c>
      <c r="E7" s="36" t="s">
        <v>98</v>
      </c>
      <c r="G7" s="36" t="s">
        <v>98</v>
      </c>
      <c r="H7" s="140">
        <f>VLOOKUP(G7,Current!B$5:T$71,19,false)</f>
        <v>0</v>
      </c>
      <c r="J7" s="36" t="str">
        <f>IFERROR(__xludf.DUMMYFUNCTION("""COMPUTED_VALUE"""),"Allen Zhang")</f>
        <v>Allen Zhang</v>
      </c>
      <c r="N7" s="141" t="s">
        <v>135</v>
      </c>
    </row>
    <row r="8">
      <c r="A8" s="36" t="str">
        <f>IFERROR(__xludf.DUMMYFUNCTION("""COMPUTED_VALUE"""),"Jaya Sogata")</f>
        <v>Jaya Sogata</v>
      </c>
      <c r="C8" s="36" t="str">
        <f>IFERROR(__xludf.DUMMYFUNCTION("""COMPUTED_VALUE"""),"Art Hui")</f>
        <v>Art Hui</v>
      </c>
      <c r="E8" s="36" t="s">
        <v>114</v>
      </c>
      <c r="G8" s="36" t="s">
        <v>114</v>
      </c>
      <c r="H8" s="140">
        <f>VLOOKUP(G8,Current!B$5:T$71,19,false)</f>
        <v>2</v>
      </c>
      <c r="J8" s="36" t="str">
        <f>IFERROR(__xludf.DUMMYFUNCTION("""COMPUTED_VALUE"""),"Luis Hsu")</f>
        <v>Luis Hsu</v>
      </c>
      <c r="N8" s="141" t="s">
        <v>84</v>
      </c>
    </row>
    <row r="9">
      <c r="A9" s="36" t="str">
        <f>IFERROR(__xludf.DUMMYFUNCTION("""COMPUTED_VALUE"""),"Suleman Alidina")</f>
        <v>Suleman Alidina</v>
      </c>
      <c r="C9" s="36" t="str">
        <f>IFERROR(__xludf.DUMMYFUNCTION("""COMPUTED_VALUE"""),"Basudev Thoppai Vidyasankar")</f>
        <v>Basudev Thoppai Vidyasankar</v>
      </c>
      <c r="E9" s="36" t="s">
        <v>67</v>
      </c>
      <c r="G9" s="36" t="s">
        <v>67</v>
      </c>
      <c r="H9" s="140">
        <f>VLOOKUP(G9,Current!B$5:T$71,19,false)</f>
        <v>0</v>
      </c>
      <c r="J9" s="36" t="str">
        <f>IFERROR(__xludf.DUMMYFUNCTION("""COMPUTED_VALUE"""),"Frank Moon")</f>
        <v>Frank Moon</v>
      </c>
    </row>
    <row r="10">
      <c r="A10" s="36" t="str">
        <f>IFERROR(__xludf.DUMMYFUNCTION("""COMPUTED_VALUE"""),"Vinotkumar Nagappan")</f>
        <v>Vinotkumar Nagappan</v>
      </c>
      <c r="C10" s="36" t="str">
        <f>IFERROR(__xludf.DUMMYFUNCTION("""COMPUTED_VALUE"""),"Camille Jung")</f>
        <v>Camille Jung</v>
      </c>
      <c r="E10" s="36" t="s">
        <v>72</v>
      </c>
      <c r="G10" s="36" t="s">
        <v>72</v>
      </c>
      <c r="H10" s="140">
        <f>VLOOKUP(G10,Current!B$5:T$71,19,false)</f>
        <v>4</v>
      </c>
      <c r="J10" s="36" t="str">
        <f>IFERROR(__xludf.DUMMYFUNCTION("""COMPUTED_VALUE"""),"Eric Pan")</f>
        <v>Eric Pan</v>
      </c>
    </row>
    <row r="11">
      <c r="A11" s="36" t="str">
        <f>IFERROR(__xludf.DUMMYFUNCTION("""COMPUTED_VALUE"""),"Ruben Ron")</f>
        <v>Ruben Ron</v>
      </c>
      <c r="C11" s="36" t="str">
        <f>IFERROR(__xludf.DUMMYFUNCTION("""COMPUTED_VALUE"""),"Chinna Ponnaganti")</f>
        <v>Chinna Ponnaganti</v>
      </c>
      <c r="E11" s="36" t="s">
        <v>121</v>
      </c>
      <c r="G11" s="36" t="s">
        <v>121</v>
      </c>
      <c r="H11" s="140">
        <f>VLOOKUP(G11,Current!B$5:T$71,19,false)</f>
        <v>0</v>
      </c>
      <c r="J11" s="36" t="str">
        <f>IFERROR(__xludf.DUMMYFUNCTION("""COMPUTED_VALUE"""),"Art Hui")</f>
        <v>Art Hui</v>
      </c>
    </row>
    <row r="12">
      <c r="A12" s="36" t="str">
        <f>IFERROR(__xludf.DUMMYFUNCTION("""COMPUTED_VALUE"""),"Manish Anand")</f>
        <v>Manish Anand</v>
      </c>
      <c r="C12" s="36" t="str">
        <f>IFERROR(__xludf.DUMMYFUNCTION("""COMPUTED_VALUE"""),"Cid Macaraeg")</f>
        <v>Cid Macaraeg</v>
      </c>
      <c r="E12" s="36" t="s">
        <v>84</v>
      </c>
      <c r="G12" s="36" t="s">
        <v>84</v>
      </c>
      <c r="H12" s="140">
        <f>VLOOKUP(G12,Current!B$5:T$71,19,false)</f>
        <v>5</v>
      </c>
      <c r="J12" s="36" t="str">
        <f>IFERROR(__xludf.DUMMYFUNCTION("""COMPUTED_VALUE"""),"Alejandro Mejia")</f>
        <v>Alejandro Mejia</v>
      </c>
    </row>
    <row r="13">
      <c r="A13" s="36" t="str">
        <f>IFERROR(__xludf.DUMMYFUNCTION("""COMPUTED_VALUE"""),"Rajasekar Ramasamy")</f>
        <v>Rajasekar Ramasamy</v>
      </c>
      <c r="C13" s="36" t="str">
        <f>IFERROR(__xludf.DUMMYFUNCTION("""COMPUTED_VALUE"""),"Coco Yan")</f>
        <v>Coco Yan</v>
      </c>
      <c r="E13" s="36" t="s">
        <v>136</v>
      </c>
      <c r="G13" s="36" t="s">
        <v>136</v>
      </c>
      <c r="H13" s="140">
        <f>VLOOKUP(G13,Current!B$5:T$71,19,false)</f>
        <v>2</v>
      </c>
      <c r="J13" s="36" t="str">
        <f>IFERROR(__xludf.DUMMYFUNCTION("""COMPUTED_VALUE"""),"Rajesh Dorairaj")</f>
        <v>Rajesh Dorairaj</v>
      </c>
    </row>
    <row r="14">
      <c r="A14" s="36" t="str">
        <f>IFERROR(__xludf.DUMMYFUNCTION("""COMPUTED_VALUE"""),"Sandeep Kamalon")</f>
        <v>Sandeep Kamalon</v>
      </c>
      <c r="C14" s="36" t="str">
        <f>IFERROR(__xludf.DUMMYFUNCTION("""COMPUTED_VALUE"""),"Darren Wong")</f>
        <v>Darren Wong</v>
      </c>
      <c r="E14" s="36" t="s">
        <v>85</v>
      </c>
      <c r="G14" s="36" t="s">
        <v>85</v>
      </c>
      <c r="H14" s="140">
        <f>VLOOKUP(G14,Current!B$5:T$71,19,false)</f>
        <v>2</v>
      </c>
      <c r="J14" s="36" t="str">
        <f>IFERROR(__xludf.DUMMYFUNCTION("""COMPUTED_VALUE"""),"Joe Luzzi")</f>
        <v>Joe Luzzi</v>
      </c>
    </row>
    <row r="15">
      <c r="A15" s="36" t="str">
        <f>IFERROR(__xludf.DUMMYFUNCTION("""COMPUTED_VALUE"""),"Erik Hoeckmann")</f>
        <v>Erik Hoeckmann</v>
      </c>
      <c r="C15" s="36" t="str">
        <f>IFERROR(__xludf.DUMMYFUNCTION("""COMPUTED_VALUE"""),"David Shin")</f>
        <v>David Shin</v>
      </c>
      <c r="E15" s="36" t="s">
        <v>74</v>
      </c>
      <c r="G15" s="36" t="s">
        <v>74</v>
      </c>
      <c r="H15" s="140">
        <f>VLOOKUP(G15,Current!B$5:T$71,19,false)</f>
        <v>1</v>
      </c>
      <c r="J15" s="36" t="str">
        <f>IFERROR(__xludf.DUMMYFUNCTION("""COMPUTED_VALUE"""),"Jim Miao")</f>
        <v>Jim Miao</v>
      </c>
    </row>
    <row r="16">
      <c r="A16" s="36" t="str">
        <f>IFERROR(__xludf.DUMMYFUNCTION("""COMPUTED_VALUE"""),"Scott Li")</f>
        <v>Scott Li</v>
      </c>
      <c r="C16" s="36" t="str">
        <f>IFERROR(__xludf.DUMMYFUNCTION("""COMPUTED_VALUE"""),"Elayaraja Thangaraj")</f>
        <v>Elayaraja Thangaraj</v>
      </c>
      <c r="E16" s="36" t="s">
        <v>122</v>
      </c>
      <c r="G16" s="36" t="s">
        <v>122</v>
      </c>
      <c r="H16" s="140">
        <f>VLOOKUP(G16,Current!B$5:T$71,19,false)</f>
        <v>2</v>
      </c>
      <c r="J16" s="36" t="str">
        <f>IFERROR(__xludf.DUMMYFUNCTION("""COMPUTED_VALUE"""),"Ethan Gu")</f>
        <v>Ethan Gu</v>
      </c>
    </row>
    <row r="17">
      <c r="A17" s="36" t="str">
        <f>IFERROR(__xludf.DUMMYFUNCTION("""COMPUTED_VALUE"""),"Darren Wong")</f>
        <v>Darren Wong</v>
      </c>
      <c r="C17" s="36" t="str">
        <f>IFERROR(__xludf.DUMMYFUNCTION("""COMPUTED_VALUE"""),"Eric Pan")</f>
        <v>Eric Pan</v>
      </c>
      <c r="E17" s="36" t="s">
        <v>143</v>
      </c>
      <c r="G17" s="36" t="s">
        <v>143</v>
      </c>
      <c r="H17" s="140">
        <f>VLOOKUP(G17,Current!B$5:T$71,19,false)</f>
        <v>1</v>
      </c>
      <c r="J17" s="36" t="str">
        <f>IFERROR(__xludf.DUMMYFUNCTION("""COMPUTED_VALUE"""),"Adrian Tay")</f>
        <v>Adrian Tay</v>
      </c>
    </row>
    <row r="18">
      <c r="A18" s="36" t="str">
        <f>IFERROR(__xludf.DUMMYFUNCTION("""COMPUTED_VALUE"""),"Tina Hanson")</f>
        <v>Tina Hanson</v>
      </c>
      <c r="C18" s="36" t="str">
        <f>IFERROR(__xludf.DUMMYFUNCTION("""COMPUTED_VALUE"""),"Eric Tan")</f>
        <v>Eric Tan</v>
      </c>
      <c r="E18" s="36" t="s">
        <v>90</v>
      </c>
      <c r="G18" s="36" t="s">
        <v>90</v>
      </c>
      <c r="H18" s="140">
        <f>VLOOKUP(G18,Current!B$5:T$71,19,false)</f>
        <v>4</v>
      </c>
      <c r="J18" s="36" t="str">
        <f>IFERROR(__xludf.DUMMYFUNCTION("""COMPUTED_VALUE"""),"Tina Hanson")</f>
        <v>Tina Hanson</v>
      </c>
    </row>
    <row r="19">
      <c r="A19" s="36" t="str">
        <f>IFERROR(__xludf.DUMMYFUNCTION("""COMPUTED_VALUE"""),"Basudev Thoppai Vidyasankar")</f>
        <v>Basudev Thoppai Vidyasankar</v>
      </c>
      <c r="C19" s="36" t="str">
        <f>IFERROR(__xludf.DUMMYFUNCTION("""COMPUTED_VALUE"""),"Erik Hoeckmann")</f>
        <v>Erik Hoeckmann</v>
      </c>
      <c r="E19" s="36" t="s">
        <v>146</v>
      </c>
      <c r="G19" s="36" t="s">
        <v>146</v>
      </c>
      <c r="H19" s="140">
        <f>VLOOKUP(G19,Current!B$5:T$71,19,false)</f>
        <v>2</v>
      </c>
      <c r="J19" s="36" t="str">
        <f>IFERROR(__xludf.DUMMYFUNCTION("""COMPUTED_VALUE"""),"Cid Macaraeg")</f>
        <v>Cid Macaraeg</v>
      </c>
    </row>
    <row r="20">
      <c r="A20" s="36" t="str">
        <f>IFERROR(__xludf.DUMMYFUNCTION("""COMPUTED_VALUE"""),"Joe Luzzi")</f>
        <v>Joe Luzzi</v>
      </c>
      <c r="C20" s="36" t="str">
        <f>IFERROR(__xludf.DUMMYFUNCTION("""COMPUTED_VALUE"""),"Ethan Gu")</f>
        <v>Ethan Gu</v>
      </c>
      <c r="E20" s="36" t="s">
        <v>106</v>
      </c>
      <c r="G20" s="36" t="s">
        <v>106</v>
      </c>
      <c r="H20" s="140">
        <f>VLOOKUP(G20,Current!B$5:T$71,19,false)</f>
        <v>0</v>
      </c>
      <c r="J20" s="36" t="str">
        <f>IFERROR(__xludf.DUMMYFUNCTION("""COMPUTED_VALUE"""),"Vinotkumar Nagappan")</f>
        <v>Vinotkumar Nagappan</v>
      </c>
    </row>
    <row r="21">
      <c r="A21" s="36" t="str">
        <f>IFERROR(__xludf.DUMMYFUNCTION("""COMPUTED_VALUE"""),"Herman Au")</f>
        <v>Herman Au</v>
      </c>
      <c r="C21" s="36" t="str">
        <f>IFERROR(__xludf.DUMMYFUNCTION("""COMPUTED_VALUE"""),"Frank Moon")</f>
        <v>Frank Moon</v>
      </c>
      <c r="E21" s="36" t="s">
        <v>87</v>
      </c>
      <c r="G21" s="36" t="s">
        <v>87</v>
      </c>
      <c r="H21" s="140">
        <f>VLOOKUP(G21,Current!B$5:T$71,19,false)</f>
        <v>1</v>
      </c>
      <c r="J21" s="36" t="str">
        <f>IFERROR(__xludf.DUMMYFUNCTION("""COMPUTED_VALUE"""),"Basudev Thoppai Vidyasankar")</f>
        <v>Basudev Thoppai Vidyasankar</v>
      </c>
    </row>
    <row r="22">
      <c r="A22" s="36" t="str">
        <f>IFERROR(__xludf.DUMMYFUNCTION("""COMPUTED_VALUE"""),"Lam Bui")</f>
        <v>Lam Bui</v>
      </c>
      <c r="C22" s="36" t="str">
        <f>IFERROR(__xludf.DUMMYFUNCTION("""COMPUTED_VALUE"""),"Herman Au")</f>
        <v>Herman Au</v>
      </c>
      <c r="E22" s="36" t="s">
        <v>95</v>
      </c>
      <c r="G22" s="36" t="s">
        <v>95</v>
      </c>
      <c r="H22" s="140">
        <f>VLOOKUP(G22,Current!B$5:T$71,19,false)</f>
        <v>0</v>
      </c>
      <c r="J22" s="36" t="str">
        <f>IFERROR(__xludf.DUMMYFUNCTION("""COMPUTED_VALUE"""),"Susanta Mishra")</f>
        <v>Susanta Mishra</v>
      </c>
    </row>
    <row r="23">
      <c r="A23" s="36" t="str">
        <f>IFERROR(__xludf.DUMMYFUNCTION("""COMPUTED_VALUE"""),"Luis Hsu")</f>
        <v>Luis Hsu</v>
      </c>
      <c r="C23" s="36" t="str">
        <f>IFERROR(__xludf.DUMMYFUNCTION("""COMPUTED_VALUE"""),"Hongyuan Wen")</f>
        <v>Hongyuan Wen</v>
      </c>
      <c r="E23" s="36" t="s">
        <v>92</v>
      </c>
      <c r="G23" s="36" t="s">
        <v>92</v>
      </c>
      <c r="H23" s="140">
        <f>VLOOKUP(G23,Current!B$5:T$71,19,false)</f>
        <v>1</v>
      </c>
      <c r="J23" s="36" t="str">
        <f>IFERROR(__xludf.DUMMYFUNCTION("""COMPUTED_VALUE"""),"Eric Tan")</f>
        <v>Eric Tan</v>
      </c>
    </row>
    <row r="24">
      <c r="A24" s="36" t="str">
        <f>IFERROR(__xludf.DUMMYFUNCTION("""COMPUTED_VALUE"""),"Ted Shen")</f>
        <v>Ted Shen</v>
      </c>
      <c r="C24" s="36" t="str">
        <f>IFERROR(__xludf.DUMMYFUNCTION("""COMPUTED_VALUE"""),"Jaya Sogata")</f>
        <v>Jaya Sogata</v>
      </c>
      <c r="E24" s="36" t="s">
        <v>109</v>
      </c>
      <c r="G24" s="36" t="s">
        <v>109</v>
      </c>
      <c r="H24" s="140">
        <f>VLOOKUP(G24,Current!B$5:T$71,19,false)</f>
        <v>4</v>
      </c>
      <c r="J24" s="36" t="str">
        <f>IFERROR(__xludf.DUMMYFUNCTION("""COMPUTED_VALUE"""),"Tom Le")</f>
        <v>Tom Le</v>
      </c>
    </row>
    <row r="25">
      <c r="A25" s="36" t="str">
        <f>IFERROR(__xludf.DUMMYFUNCTION("""COMPUTED_VALUE"""),"Naveen Raj")</f>
        <v>Naveen Raj</v>
      </c>
      <c r="C25" s="36" t="str">
        <f>IFERROR(__xludf.DUMMYFUNCTION("""COMPUTED_VALUE"""),"Jim Miao")</f>
        <v>Jim Miao</v>
      </c>
      <c r="E25" s="36" t="s">
        <v>77</v>
      </c>
      <c r="G25" s="36" t="s">
        <v>77</v>
      </c>
      <c r="H25" s="140">
        <f>VLOOKUP(G25,Current!B$5:T$71,19,false)</f>
        <v>0</v>
      </c>
      <c r="J25" s="36"/>
    </row>
    <row r="26">
      <c r="A26" s="36" t="str">
        <f>IFERROR(__xludf.DUMMYFUNCTION("""COMPUTED_VALUE"""),"Ethan Gu")</f>
        <v>Ethan Gu</v>
      </c>
      <c r="C26" s="36" t="str">
        <f>IFERROR(__xludf.DUMMYFUNCTION("""COMPUTED_VALUE"""),"Jimmy Awolesi")</f>
        <v>Jimmy Awolesi</v>
      </c>
      <c r="E26" s="36" t="s">
        <v>144</v>
      </c>
      <c r="G26" s="36" t="s">
        <v>144</v>
      </c>
      <c r="H26" s="140">
        <f>VLOOKUP(G26,Current!B$5:T$71,19,false)</f>
        <v>3</v>
      </c>
      <c r="J26" s="36"/>
    </row>
    <row r="27">
      <c r="A27" s="36" t="str">
        <f>IFERROR(__xludf.DUMMYFUNCTION("""COMPUTED_VALUE"""),"Elayaraja Thangaraj")</f>
        <v>Elayaraja Thangaraj</v>
      </c>
      <c r="C27" s="36" t="str">
        <f>IFERROR(__xludf.DUMMYFUNCTION("""COMPUTED_VALUE"""),"Joe Luzzi")</f>
        <v>Joe Luzzi</v>
      </c>
      <c r="E27" s="36" t="s">
        <v>108</v>
      </c>
      <c r="G27" s="36" t="s">
        <v>108</v>
      </c>
      <c r="H27" s="140">
        <f>VLOOKUP(G27,Current!B$5:T$71,19,false)</f>
        <v>4</v>
      </c>
      <c r="J27" s="36"/>
    </row>
    <row r="28">
      <c r="A28" s="36" t="str">
        <f>IFERROR(__xludf.DUMMYFUNCTION("""COMPUTED_VALUE"""),"Lloyd Sagar")</f>
        <v>Lloyd Sagar</v>
      </c>
      <c r="C28" s="36" t="str">
        <f>IFERROR(__xludf.DUMMYFUNCTION("""COMPUTED_VALUE"""),"Jonathan Phan")</f>
        <v>Jonathan Phan</v>
      </c>
      <c r="E28" s="36" t="s">
        <v>102</v>
      </c>
      <c r="G28" s="36" t="s">
        <v>102</v>
      </c>
      <c r="H28" s="140">
        <f>VLOOKUP(G28,Current!B$5:T$71,19,false)</f>
        <v>5</v>
      </c>
      <c r="J28" s="36"/>
    </row>
    <row r="29">
      <c r="A29" s="36" t="str">
        <f>IFERROR(__xludf.DUMMYFUNCTION("""COMPUTED_VALUE"""),"Mauricio Palacios")</f>
        <v>Mauricio Palacios</v>
      </c>
      <c r="C29" s="36" t="str">
        <f>IFERROR(__xludf.DUMMYFUNCTION("""COMPUTED_VALUE"""),"Joyce Zhu")</f>
        <v>Joyce Zhu</v>
      </c>
      <c r="E29" s="36" t="s">
        <v>56</v>
      </c>
      <c r="G29" s="36" t="s">
        <v>56</v>
      </c>
      <c r="H29" s="140">
        <f>VLOOKUP(G29,Current!B$5:T$71,19,false)</f>
        <v>0</v>
      </c>
      <c r="J29" s="36"/>
    </row>
    <row r="30">
      <c r="A30" s="36" t="str">
        <f>IFERROR(__xludf.DUMMYFUNCTION("""COMPUTED_VALUE"""),"Matthew Huang")</f>
        <v>Matthew Huang</v>
      </c>
      <c r="C30" s="36" t="str">
        <f>IFERROR(__xludf.DUMMYFUNCTION("""COMPUTED_VALUE"""),"Kumar Palakeel")</f>
        <v>Kumar Palakeel</v>
      </c>
      <c r="E30" s="36" t="s">
        <v>80</v>
      </c>
      <c r="G30" s="36" t="s">
        <v>80</v>
      </c>
      <c r="H30" s="140">
        <f>VLOOKUP(G30,Current!B$5:T$71,19,false)</f>
        <v>2</v>
      </c>
      <c r="J30" s="36"/>
    </row>
    <row r="31">
      <c r="A31" s="36" t="str">
        <f>IFERROR(__xludf.DUMMYFUNCTION("""COMPUTED_VALUE"""),"Oscar Bonilla")</f>
        <v>Oscar Bonilla</v>
      </c>
      <c r="C31" s="36" t="str">
        <f>IFERROR(__xludf.DUMMYFUNCTION("""COMPUTED_VALUE"""),"Lam Bui")</f>
        <v>Lam Bui</v>
      </c>
      <c r="E31" s="36" t="s">
        <v>133</v>
      </c>
      <c r="G31" s="36" t="s">
        <v>133</v>
      </c>
      <c r="H31" s="140">
        <f>VLOOKUP(G31,Current!B$5:T$71,19,false)</f>
        <v>1</v>
      </c>
      <c r="J31" s="36"/>
    </row>
    <row r="32">
      <c r="A32" s="36" t="str">
        <f>IFERROR(__xludf.DUMMYFUNCTION("""COMPUTED_VALUE"""),"Jonathan Phan")</f>
        <v>Jonathan Phan</v>
      </c>
      <c r="C32" s="36" t="str">
        <f>IFERROR(__xludf.DUMMYFUNCTION("""COMPUTED_VALUE"""),"Lenin Belangonda")</f>
        <v>Lenin Belangonda</v>
      </c>
      <c r="E32" s="36" t="s">
        <v>118</v>
      </c>
      <c r="G32" s="36" t="s">
        <v>118</v>
      </c>
      <c r="H32" s="140">
        <f>VLOOKUP(G32,Current!B$5:T$71,19,false)</f>
        <v>2</v>
      </c>
      <c r="J32" s="36"/>
    </row>
    <row r="33">
      <c r="A33" s="36" t="str">
        <f>IFERROR(__xludf.DUMMYFUNCTION("""COMPUTED_VALUE"""),"Coco Yan")</f>
        <v>Coco Yan</v>
      </c>
      <c r="C33" s="36" t="str">
        <f>IFERROR(__xludf.DUMMYFUNCTION("""COMPUTED_VALUE"""),"Lloyd Sagar")</f>
        <v>Lloyd Sagar</v>
      </c>
      <c r="E33" s="36" t="s">
        <v>137</v>
      </c>
      <c r="G33" s="36" t="s">
        <v>137</v>
      </c>
      <c r="H33" s="140">
        <f>VLOOKUP(G33,Current!B$5:T$71,19,false)</f>
        <v>2</v>
      </c>
      <c r="J33" s="36"/>
    </row>
    <row r="34">
      <c r="A34" s="36" t="str">
        <f>IFERROR(__xludf.DUMMYFUNCTION("""COMPUTED_VALUE"""),"Ramesh Bandaru")</f>
        <v>Ramesh Bandaru</v>
      </c>
      <c r="C34" s="36" t="str">
        <f>IFERROR(__xludf.DUMMYFUNCTION("""COMPUTED_VALUE"""),"Luis Hsu")</f>
        <v>Luis Hsu</v>
      </c>
      <c r="E34" s="36" t="s">
        <v>130</v>
      </c>
      <c r="G34" s="36" t="s">
        <v>130</v>
      </c>
      <c r="H34" s="140">
        <f>VLOOKUP(G34,Current!B$5:T$71,19,false)</f>
        <v>2</v>
      </c>
      <c r="J34" s="36"/>
    </row>
    <row r="35">
      <c r="A35" s="36" t="str">
        <f>IFERROR(__xludf.DUMMYFUNCTION("""COMPUTED_VALUE"""),"Troy Wong")</f>
        <v>Troy Wong</v>
      </c>
      <c r="C35" s="36" t="str">
        <f>IFERROR(__xludf.DUMMYFUNCTION("""COMPUTED_VALUE"""),"Manish Anand")</f>
        <v>Manish Anand</v>
      </c>
      <c r="E35" s="36" t="s">
        <v>132</v>
      </c>
      <c r="G35" s="36" t="s">
        <v>132</v>
      </c>
      <c r="H35" s="140">
        <f>VLOOKUP(G35,Current!B$5:T$71,19,false)</f>
        <v>0</v>
      </c>
      <c r="J35" s="36"/>
    </row>
    <row r="36">
      <c r="A36" s="36" t="str">
        <f>IFERROR(__xludf.DUMMYFUNCTION("""COMPUTED_VALUE"""),"Sean Chang")</f>
        <v>Sean Chang</v>
      </c>
      <c r="C36" s="36" t="str">
        <f>IFERROR(__xludf.DUMMYFUNCTION("""COMPUTED_VALUE"""),"Manuel Rivera")</f>
        <v>Manuel Rivera</v>
      </c>
      <c r="E36" s="36" t="s">
        <v>101</v>
      </c>
      <c r="G36" s="36" t="s">
        <v>101</v>
      </c>
      <c r="H36" s="140">
        <f>VLOOKUP(G36,Current!B$5:T$71,19,false)</f>
        <v>0</v>
      </c>
      <c r="J36" s="36"/>
    </row>
    <row r="37">
      <c r="A37" s="36" t="str">
        <f>IFERROR(__xludf.DUMMYFUNCTION("""COMPUTED_VALUE"""),"Chinna Ponnaganti")</f>
        <v>Chinna Ponnaganti</v>
      </c>
      <c r="C37" s="36" t="str">
        <f>IFERROR(__xludf.DUMMYFUNCTION("""COMPUTED_VALUE"""),"Matthew Huang")</f>
        <v>Matthew Huang</v>
      </c>
      <c r="E37" s="36" t="s">
        <v>125</v>
      </c>
      <c r="G37" s="36" t="s">
        <v>125</v>
      </c>
      <c r="H37" s="140">
        <f>VLOOKUP(G37,Current!B$5:T$71,19,false)</f>
        <v>3</v>
      </c>
      <c r="J37" s="36"/>
    </row>
    <row r="38">
      <c r="A38" s="36" t="str">
        <f>IFERROR(__xludf.DUMMYFUNCTION("""COMPUTED_VALUE"""),"Hongyuan Wen")</f>
        <v>Hongyuan Wen</v>
      </c>
      <c r="C38" s="36" t="str">
        <f>IFERROR(__xludf.DUMMYFUNCTION("""COMPUTED_VALUE"""),"Mauricio Palacios")</f>
        <v>Mauricio Palacios</v>
      </c>
      <c r="E38" s="36" t="s">
        <v>126</v>
      </c>
      <c r="G38" s="36" t="s">
        <v>126</v>
      </c>
      <c r="H38" s="140">
        <f>VLOOKUP(G38,Current!B$5:T$71,19,false)</f>
        <v>1</v>
      </c>
      <c r="J38" s="36"/>
    </row>
    <row r="39">
      <c r="A39" s="36" t="str">
        <f>IFERROR(__xludf.DUMMYFUNCTION("""COMPUTED_VALUE"""),"Sanjaye Elayattu")</f>
        <v>Sanjaye Elayattu</v>
      </c>
      <c r="C39" s="36" t="str">
        <f>IFERROR(__xludf.DUMMYFUNCTION("""COMPUTED_VALUE"""),"Naveen Raj")</f>
        <v>Naveen Raj</v>
      </c>
      <c r="E39" s="36" t="s">
        <v>111</v>
      </c>
      <c r="G39" s="36" t="s">
        <v>111</v>
      </c>
      <c r="H39" s="140">
        <f>VLOOKUP(G39,Current!B$5:T$71,19,false)</f>
        <v>0</v>
      </c>
      <c r="J39" s="36"/>
    </row>
    <row r="40">
      <c r="A40" s="36" t="str">
        <f>IFERROR(__xludf.DUMMYFUNCTION("""COMPUTED_VALUE"""),"Jimmy Awolesi")</f>
        <v>Jimmy Awolesi</v>
      </c>
      <c r="C40" s="36" t="str">
        <f>IFERROR(__xludf.DUMMYFUNCTION("""COMPUTED_VALUE"""),"Nicole Ni")</f>
        <v>Nicole Ni</v>
      </c>
      <c r="E40" s="36" t="s">
        <v>100</v>
      </c>
      <c r="G40" s="36" t="s">
        <v>100</v>
      </c>
      <c r="H40" s="140">
        <f>VLOOKUP(G40,Current!B$5:T$71,19,false)</f>
        <v>0</v>
      </c>
      <c r="J40" s="36"/>
    </row>
    <row r="41">
      <c r="A41" s="36" t="str">
        <f>IFERROR(__xludf.DUMMYFUNCTION("""COMPUTED_VALUE"""),"Manuel Rivera")</f>
        <v>Manuel Rivera</v>
      </c>
      <c r="C41" s="36" t="str">
        <f>IFERROR(__xludf.DUMMYFUNCTION("""COMPUTED_VALUE"""),"Oscar Bonilla")</f>
        <v>Oscar Bonilla</v>
      </c>
      <c r="E41" s="36" t="s">
        <v>53</v>
      </c>
      <c r="G41" s="36" t="s">
        <v>53</v>
      </c>
      <c r="H41" s="140">
        <f>VLOOKUP(G41,Current!B$5:T$71,19,false)</f>
        <v>0</v>
      </c>
      <c r="J41" s="36"/>
    </row>
    <row r="42">
      <c r="A42" s="36" t="str">
        <f>IFERROR(__xludf.DUMMYFUNCTION("""COMPUTED_VALUE"""),"Allen Zhang")</f>
        <v>Allen Zhang</v>
      </c>
      <c r="C42" s="36" t="str">
        <f>IFERROR(__xludf.DUMMYFUNCTION("""COMPUTED_VALUE"""),"Pavan Akkimsetty")</f>
        <v>Pavan Akkimsetty</v>
      </c>
      <c r="E42" s="36" t="s">
        <v>131</v>
      </c>
      <c r="G42" s="36" t="s">
        <v>131</v>
      </c>
      <c r="H42" s="140">
        <f>VLOOKUP(G42,Current!B$5:T$71,19,false)</f>
        <v>3</v>
      </c>
      <c r="J42" s="36"/>
    </row>
    <row r="43">
      <c r="A43" s="36" t="str">
        <f>IFERROR(__xludf.DUMMYFUNCTION("""COMPUTED_VALUE"""),"Alex Hou")</f>
        <v>Alex Hou</v>
      </c>
      <c r="C43" s="36" t="str">
        <f>IFERROR(__xludf.DUMMYFUNCTION("""COMPUTED_VALUE"""),"Pulkit Mathur")</f>
        <v>Pulkit Mathur</v>
      </c>
      <c r="E43" s="36" t="s">
        <v>135</v>
      </c>
      <c r="G43" s="36" t="s">
        <v>135</v>
      </c>
      <c r="H43" s="140">
        <f>VLOOKUP(G43,Current!B$5:T$71,19,false)</f>
        <v>0</v>
      </c>
      <c r="J43" s="36"/>
    </row>
    <row r="44">
      <c r="A44" s="36" t="str">
        <f>IFERROR(__xludf.DUMMYFUNCTION("""COMPUTED_VALUE"""),"Frank Moon")</f>
        <v>Frank Moon</v>
      </c>
      <c r="C44" s="36" t="str">
        <f>IFERROR(__xludf.DUMMYFUNCTION("""COMPUTED_VALUE"""),"Rajasekar Ramasamy")</f>
        <v>Rajasekar Ramasamy</v>
      </c>
      <c r="E44" s="36" t="s">
        <v>212</v>
      </c>
      <c r="G44" s="36" t="s">
        <v>119</v>
      </c>
      <c r="H44" s="140">
        <f>VLOOKUP(G44,Current!B$5:T$71,19,false)</f>
        <v>1</v>
      </c>
      <c r="J44" s="36"/>
    </row>
    <row r="45">
      <c r="A45" s="36" t="str">
        <f>IFERROR(__xludf.DUMMYFUNCTION("""COMPUTED_VALUE"""),"Susanta Mishra")</f>
        <v>Susanta Mishra</v>
      </c>
      <c r="C45" s="36" t="str">
        <f>IFERROR(__xludf.DUMMYFUNCTION("""COMPUTED_VALUE"""),"Rajesh Dorairaj")</f>
        <v>Rajesh Dorairaj</v>
      </c>
      <c r="E45" s="36" t="s">
        <v>116</v>
      </c>
      <c r="G45" s="36" t="s">
        <v>116</v>
      </c>
      <c r="H45" s="140">
        <f>VLOOKUP(G45,Current!B$5:T$71,19,false)</f>
        <v>1</v>
      </c>
      <c r="J45" s="36"/>
    </row>
    <row r="46">
      <c r="A46" s="36" t="str">
        <f>IFERROR(__xludf.DUMMYFUNCTION("""COMPUTED_VALUE"""),"Andrew Wen")</f>
        <v>Andrew Wen</v>
      </c>
      <c r="C46" s="36" t="str">
        <f>IFERROR(__xludf.DUMMYFUNCTION("""COMPUTED_VALUE"""),"Ramesh Bandaru")</f>
        <v>Ramesh Bandaru</v>
      </c>
      <c r="E46" s="36" t="s">
        <v>115</v>
      </c>
      <c r="G46" s="36" t="s">
        <v>115</v>
      </c>
      <c r="H46" s="140">
        <f>VLOOKUP(G46,Current!B$5:T$71,19,false)</f>
        <v>1</v>
      </c>
      <c r="J46" s="36"/>
    </row>
    <row r="47">
      <c r="A47" s="36" t="str">
        <f>IFERROR(__xludf.DUMMYFUNCTION("""COMPUTED_VALUE"""),"Wayne Liu")</f>
        <v>Wayne Liu</v>
      </c>
      <c r="C47" s="36" t="str">
        <f>IFERROR(__xludf.DUMMYFUNCTION("""COMPUTED_VALUE"""),"Ranjith Doraiswamy")</f>
        <v>Ranjith Doraiswamy</v>
      </c>
      <c r="E47" s="36" t="s">
        <v>145</v>
      </c>
      <c r="G47" s="36" t="s">
        <v>145</v>
      </c>
      <c r="H47" s="140">
        <f>VLOOKUP(G47,Current!B$5:T$71,19,false)</f>
        <v>1</v>
      </c>
      <c r="J47" s="36"/>
    </row>
    <row r="48">
      <c r="A48" s="36" t="str">
        <f>IFERROR(__xludf.DUMMYFUNCTION("""COMPUTED_VALUE"""),"Kumar Palakeel")</f>
        <v>Kumar Palakeel</v>
      </c>
      <c r="C48" s="36" t="str">
        <f>IFERROR(__xludf.DUMMYFUNCTION("""COMPUTED_VALUE"""),"Robert Chang")</f>
        <v>Robert Chang</v>
      </c>
      <c r="E48" s="36" t="s">
        <v>142</v>
      </c>
      <c r="G48" s="36" t="s">
        <v>142</v>
      </c>
      <c r="H48" s="140">
        <f>VLOOKUP(G48,Current!B$5:T$71,19,false)</f>
        <v>1</v>
      </c>
      <c r="J48" s="36"/>
    </row>
    <row r="49">
      <c r="A49" s="36" t="str">
        <f>IFERROR(__xludf.DUMMYFUNCTION("""COMPUTED_VALUE"""),"Jim Miao")</f>
        <v>Jim Miao</v>
      </c>
      <c r="C49" s="36" t="str">
        <f>IFERROR(__xludf.DUMMYFUNCTION("""COMPUTED_VALUE"""),"Ruben Ron")</f>
        <v>Ruben Ron</v>
      </c>
      <c r="E49" s="36" t="s">
        <v>88</v>
      </c>
      <c r="G49" s="36" t="s">
        <v>88</v>
      </c>
      <c r="H49" s="140">
        <f>VLOOKUP(G49,Current!B$5:T$71,19,false)</f>
        <v>1</v>
      </c>
      <c r="J49" s="36"/>
    </row>
    <row r="50">
      <c r="A50" s="36" t="str">
        <f>IFERROR(__xludf.DUMMYFUNCTION("""COMPUTED_VALUE"""),"Ranjith Doraiswamy")</f>
        <v>Ranjith Doraiswamy</v>
      </c>
      <c r="C50" s="36" t="str">
        <f>IFERROR(__xludf.DUMMYFUNCTION("""COMPUTED_VALUE"""),"Rudy Tatang")</f>
        <v>Rudy Tatang</v>
      </c>
      <c r="E50" s="36" t="s">
        <v>104</v>
      </c>
      <c r="G50" s="36" t="s">
        <v>104</v>
      </c>
      <c r="H50" s="140">
        <f>VLOOKUP(G50,Current!B$5:T$71,19,false)</f>
        <v>2</v>
      </c>
      <c r="J50" s="36"/>
    </row>
    <row r="51">
      <c r="A51" s="36" t="str">
        <f>IFERROR(__xludf.DUMMYFUNCTION("""COMPUTED_VALUE"""),"Camille Jung")</f>
        <v>Camille Jung</v>
      </c>
      <c r="C51" s="36" t="str">
        <f>IFERROR(__xludf.DUMMYFUNCTION("""COMPUTED_VALUE"""),"Sandeep Kamalon")</f>
        <v>Sandeep Kamalon</v>
      </c>
      <c r="E51" s="36" t="s">
        <v>91</v>
      </c>
      <c r="G51" s="36" t="s">
        <v>91</v>
      </c>
      <c r="H51" s="140">
        <f>VLOOKUP(G51,Current!B$5:T$71,19,false)</f>
        <v>4</v>
      </c>
    </row>
    <row r="52">
      <c r="A52" s="36" t="str">
        <f>IFERROR(__xludf.DUMMYFUNCTION("""COMPUTED_VALUE"""),"Nicole Ni")</f>
        <v>Nicole Ni</v>
      </c>
      <c r="C52" s="36" t="str">
        <f>IFERROR(__xludf.DUMMYFUNCTION("""COMPUTED_VALUE"""),"Sanjaye Elayattu")</f>
        <v>Sanjaye Elayattu</v>
      </c>
      <c r="E52" s="36" t="s">
        <v>127</v>
      </c>
      <c r="G52" s="36" t="s">
        <v>127</v>
      </c>
      <c r="H52" s="140">
        <f>VLOOKUP(G52,Current!B$5:T$71,19,false)</f>
        <v>2</v>
      </c>
    </row>
    <row r="53">
      <c r="A53" s="36" t="str">
        <f>IFERROR(__xludf.DUMMYFUNCTION("""COMPUTED_VALUE"""),"Robert Chang")</f>
        <v>Robert Chang</v>
      </c>
      <c r="C53" s="36" t="str">
        <f>IFERROR(__xludf.DUMMYFUNCTION("""COMPUTED_VALUE"""),"Santosh Sundaresan")</f>
        <v>Santosh Sundaresan</v>
      </c>
      <c r="E53" s="36" t="s">
        <v>89</v>
      </c>
      <c r="G53" s="36" t="s">
        <v>89</v>
      </c>
      <c r="H53" s="140">
        <f>VLOOKUP(G53,Current!B$5:T$71,19,false)</f>
        <v>0</v>
      </c>
    </row>
    <row r="54">
      <c r="A54" s="36" t="str">
        <f>IFERROR(__xludf.DUMMYFUNCTION("""COMPUTED_VALUE"""),"Trish Newlin")</f>
        <v>Trish Newlin</v>
      </c>
      <c r="C54" s="36" t="str">
        <f>IFERROR(__xludf.DUMMYFUNCTION("""COMPUTED_VALUE"""),"Saravanan Veerapandian")</f>
        <v>Saravanan Veerapandian</v>
      </c>
      <c r="E54" s="36" t="s">
        <v>120</v>
      </c>
      <c r="G54" s="36" t="s">
        <v>120</v>
      </c>
      <c r="H54" s="140">
        <f>VLOOKUP(G54,Current!B$5:T$71,19,false)</f>
        <v>1</v>
      </c>
    </row>
    <row r="55">
      <c r="A55" s="36" t="str">
        <f>IFERROR(__xludf.DUMMYFUNCTION("""COMPUTED_VALUE"""),"Vinaya Kajla")</f>
        <v>Vinaya Kajla</v>
      </c>
      <c r="C55" s="36" t="str">
        <f>IFERROR(__xludf.DUMMYFUNCTION("""COMPUTED_VALUE"""),"Scott Li")</f>
        <v>Scott Li</v>
      </c>
      <c r="E55" s="36" t="s">
        <v>113</v>
      </c>
      <c r="G55" s="36" t="s">
        <v>113</v>
      </c>
      <c r="H55" s="140">
        <f>VLOOKUP(G55,Current!B$5:T$71,19,false)</f>
        <v>1</v>
      </c>
    </row>
    <row r="56">
      <c r="A56" s="36" t="str">
        <f>IFERROR(__xludf.DUMMYFUNCTION("""COMPUTED_VALUE"""),"Vishnu Amarnath")</f>
        <v>Vishnu Amarnath</v>
      </c>
      <c r="C56" s="36" t="str">
        <f>IFERROR(__xludf.DUMMYFUNCTION("""COMPUTED_VALUE"""),"Sean Chang")</f>
        <v>Sean Chang</v>
      </c>
      <c r="E56" s="36" t="s">
        <v>107</v>
      </c>
      <c r="G56" s="36" t="s">
        <v>107</v>
      </c>
      <c r="H56" s="140">
        <f>VLOOKUP(G56,Current!B$5:T$71,19,false)</f>
        <v>4</v>
      </c>
    </row>
    <row r="57">
      <c r="A57" s="36" t="str">
        <f>IFERROR(__xludf.DUMMYFUNCTION("""COMPUTED_VALUE"""),"Santosh Sundaresan")</f>
        <v>Santosh Sundaresan</v>
      </c>
      <c r="C57" s="36" t="str">
        <f>IFERROR(__xludf.DUMMYFUNCTION("""COMPUTED_VALUE"""),"Suleman Alidina")</f>
        <v>Suleman Alidina</v>
      </c>
      <c r="E57" s="36" t="s">
        <v>93</v>
      </c>
      <c r="G57" s="36" t="s">
        <v>93</v>
      </c>
      <c r="H57" s="140">
        <f>VLOOKUP(G57,Current!B$5:T$71,19,false)</f>
        <v>5</v>
      </c>
    </row>
    <row r="58">
      <c r="A58" s="36" t="str">
        <f>IFERROR(__xludf.DUMMYFUNCTION("""COMPUTED_VALUE"""),"Lenin Belangonda")</f>
        <v>Lenin Belangonda</v>
      </c>
      <c r="C58" s="36" t="str">
        <f>IFERROR(__xludf.DUMMYFUNCTION("""COMPUTED_VALUE"""),"Susanta Mishra")</f>
        <v>Susanta Mishra</v>
      </c>
      <c r="E58" s="36" t="s">
        <v>94</v>
      </c>
      <c r="G58" s="36" t="s">
        <v>94</v>
      </c>
      <c r="H58" s="140">
        <f>VLOOKUP(G58,Current!B$5:T$71,19,false)</f>
        <v>1</v>
      </c>
    </row>
    <row r="59">
      <c r="A59" s="36" t="str">
        <f>IFERROR(__xludf.DUMMYFUNCTION("""COMPUTED_VALUE"""),"Eric Tan")</f>
        <v>Eric Tan</v>
      </c>
      <c r="C59" s="36" t="str">
        <f>IFERROR(__xludf.DUMMYFUNCTION("""COMPUTED_VALUE"""),"Ted Shen")</f>
        <v>Ted Shen</v>
      </c>
      <c r="E59" s="36" t="s">
        <v>97</v>
      </c>
      <c r="G59" s="36" t="s">
        <v>97</v>
      </c>
      <c r="H59" s="140">
        <f>VLOOKUP(G59,Current!B$5:T$71,19,false)</f>
        <v>0</v>
      </c>
    </row>
    <row r="60">
      <c r="A60" s="36" t="str">
        <f>IFERROR(__xludf.DUMMYFUNCTION("""COMPUTED_VALUE"""),"Cid Macaraeg")</f>
        <v>Cid Macaraeg</v>
      </c>
      <c r="C60" s="36" t="str">
        <f>IFERROR(__xludf.DUMMYFUNCTION("""COMPUTED_VALUE"""),"Tina Hanson")</f>
        <v>Tina Hanson</v>
      </c>
      <c r="E60" s="36" t="s">
        <v>81</v>
      </c>
      <c r="G60" s="36" t="s">
        <v>81</v>
      </c>
      <c r="H60" s="140">
        <f>VLOOKUP(G60,Current!B$5:T$71,19,false)</f>
        <v>0</v>
      </c>
    </row>
    <row r="61">
      <c r="A61" s="36" t="str">
        <f>IFERROR(__xludf.DUMMYFUNCTION("""COMPUTED_VALUE"""),"Saravanan Veerapandian")</f>
        <v>Saravanan Veerapandian</v>
      </c>
      <c r="C61" s="36" t="str">
        <f>IFERROR(__xludf.DUMMYFUNCTION("""COMPUTED_VALUE"""),"Tom Le")</f>
        <v>Tom Le</v>
      </c>
      <c r="E61" s="36" t="s">
        <v>139</v>
      </c>
      <c r="G61" s="36" t="s">
        <v>139</v>
      </c>
      <c r="H61" s="140">
        <f>VLOOKUP(G61,Current!B$5:T$71,19,false)</f>
        <v>0</v>
      </c>
    </row>
    <row r="62">
      <c r="A62" s="36" t="str">
        <f>IFERROR(__xludf.DUMMYFUNCTION("""COMPUTED_VALUE"""),"Alejandro Mejia")</f>
        <v>Alejandro Mejia</v>
      </c>
      <c r="C62" s="36" t="str">
        <f>IFERROR(__xludf.DUMMYFUNCTION("""COMPUTED_VALUE"""),"Trish Newlin")</f>
        <v>Trish Newlin</v>
      </c>
      <c r="E62" s="36" t="s">
        <v>96</v>
      </c>
      <c r="G62" s="36" t="s">
        <v>96</v>
      </c>
      <c r="H62" s="140">
        <f>VLOOKUP(G62,Current!B$5:T$71,19,false)</f>
        <v>0</v>
      </c>
    </row>
    <row r="63">
      <c r="A63" s="36" t="str">
        <f>IFERROR(__xludf.DUMMYFUNCTION("""COMPUTED_VALUE"""),"Joyce Zhu")</f>
        <v>Joyce Zhu</v>
      </c>
      <c r="C63" s="36" t="str">
        <f>IFERROR(__xludf.DUMMYFUNCTION("""COMPUTED_VALUE"""),"Troy Wong")</f>
        <v>Troy Wong</v>
      </c>
      <c r="E63" s="36" t="s">
        <v>138</v>
      </c>
      <c r="G63" s="36" t="s">
        <v>138</v>
      </c>
      <c r="H63" s="140">
        <f>VLOOKUP(G63,Current!B$5:T$71,19,false)</f>
        <v>1</v>
      </c>
    </row>
    <row r="64">
      <c r="A64" s="36" t="str">
        <f>IFERROR(__xludf.DUMMYFUNCTION("""COMPUTED_VALUE"""),"Eric Pan")</f>
        <v>Eric Pan</v>
      </c>
      <c r="C64" s="36" t="str">
        <f>IFERROR(__xludf.DUMMYFUNCTION("""COMPUTED_VALUE"""),"Vicki Martinet")</f>
        <v>Vicki Martinet</v>
      </c>
      <c r="E64" s="36" t="s">
        <v>52</v>
      </c>
      <c r="G64" s="36" t="s">
        <v>52</v>
      </c>
      <c r="H64" s="140">
        <f>VLOOKUP(G64,Current!B$5:T$71,19,false)</f>
        <v>2</v>
      </c>
    </row>
    <row r="65">
      <c r="A65" s="36" t="str">
        <f>IFERROR(__xludf.DUMMYFUNCTION("""COMPUTED_VALUE"""),"Art Hui")</f>
        <v>Art Hui</v>
      </c>
      <c r="C65" s="36" t="str">
        <f>IFERROR(__xludf.DUMMYFUNCTION("""COMPUTED_VALUE"""),"Vinaya Kajla")</f>
        <v>Vinaya Kajla</v>
      </c>
      <c r="E65" s="36" t="s">
        <v>68</v>
      </c>
      <c r="G65" s="36" t="s">
        <v>68</v>
      </c>
      <c r="H65" s="140">
        <f>VLOOKUP(G65,Current!B$5:T$71,19,false)</f>
        <v>0</v>
      </c>
    </row>
    <row r="66">
      <c r="A66" s="36" t="str">
        <f>IFERROR(__xludf.DUMMYFUNCTION("""COMPUTED_VALUE"""),"Rajesh Dorairaj")</f>
        <v>Rajesh Dorairaj</v>
      </c>
      <c r="C66" s="36" t="str">
        <f>IFERROR(__xludf.DUMMYFUNCTION("""COMPUTED_VALUE"""),"Vinotkumar Nagappan")</f>
        <v>Vinotkumar Nagappan</v>
      </c>
      <c r="E66" s="36" t="s">
        <v>141</v>
      </c>
      <c r="G66" s="36" t="s">
        <v>141</v>
      </c>
      <c r="H66" s="140">
        <f>VLOOKUP(G66,Current!B$5:T$71,19,false)</f>
        <v>2</v>
      </c>
    </row>
    <row r="67">
      <c r="A67" s="36" t="str">
        <f>IFERROR(__xludf.DUMMYFUNCTION("""COMPUTED_VALUE"""),"Adrian Tay")</f>
        <v>Adrian Tay</v>
      </c>
      <c r="C67" s="36" t="str">
        <f>IFERROR(__xludf.DUMMYFUNCTION("""COMPUTED_VALUE"""),"Vishnu Amarnath")</f>
        <v>Vishnu Amarnath</v>
      </c>
      <c r="E67" s="36" t="s">
        <v>134</v>
      </c>
      <c r="G67" s="36" t="s">
        <v>134</v>
      </c>
      <c r="H67" s="140">
        <f>VLOOKUP(G67,Current!B$5:T$71,19,false)</f>
        <v>4</v>
      </c>
    </row>
    <row r="68">
      <c r="A68" s="36" t="str">
        <f>IFERROR(__xludf.DUMMYFUNCTION("""COMPUTED_VALUE"""),"Vicki Martinet")</f>
        <v>Vicki Martinet</v>
      </c>
      <c r="C68" s="36" t="str">
        <f>IFERROR(__xludf.DUMMYFUNCTION("""COMPUTED_VALUE"""),"Wayne Liu")</f>
        <v>Wayne Liu</v>
      </c>
      <c r="E68" s="36" t="s">
        <v>128</v>
      </c>
      <c r="G68" s="36" t="s">
        <v>128</v>
      </c>
      <c r="H68" s="140">
        <f>VLOOKUP(G68,Current!B$5:T$71,19,false)</f>
        <v>1</v>
      </c>
    </row>
    <row r="69">
      <c r="A69" s="36"/>
      <c r="C69" s="36"/>
      <c r="E69" s="36"/>
    </row>
    <row r="70">
      <c r="A70" s="36"/>
      <c r="C70" s="36"/>
      <c r="E70" s="36"/>
    </row>
    <row r="71">
      <c r="A71" s="36"/>
      <c r="C71" s="36"/>
      <c r="E71" s="36"/>
    </row>
    <row r="72">
      <c r="A72" s="36"/>
      <c r="C72" s="36"/>
      <c r="E72" s="36"/>
    </row>
    <row r="73">
      <c r="A73" s="36"/>
      <c r="C73" s="36"/>
      <c r="E73" s="36"/>
    </row>
    <row r="74">
      <c r="A74" s="36"/>
      <c r="C74" s="36"/>
      <c r="E74" s="36"/>
    </row>
    <row r="75">
      <c r="A75" s="36"/>
      <c r="C75" s="36"/>
      <c r="E75" s="36"/>
    </row>
    <row r="76">
      <c r="A76" s="36"/>
      <c r="C76" s="36"/>
      <c r="E76" s="36"/>
    </row>
    <row r="77">
      <c r="E77" s="36"/>
    </row>
  </sheetData>
  <conditionalFormatting sqref="A1:A76 C1:C76 E1:E77 G1:H68 J1:J50">
    <cfRule type="expression" dxfId="0" priority="1">
      <formula>#REF!=1</formula>
    </cfRule>
  </conditionalFormatting>
  <conditionalFormatting sqref="A1:A76 C1:C76 E1:E77 G1:H68 J1:J50">
    <cfRule type="expression" dxfId="4" priority="2">
      <formula>#REF!=2</formula>
    </cfRule>
  </conditionalFormatting>
  <conditionalFormatting sqref="A1:A76 C1:C76 E1:E77 G1:H68 J1:J50">
    <cfRule type="expression" dxfId="7" priority="3">
      <formula>#REF!=3</formula>
    </cfRule>
  </conditionalFormatting>
  <conditionalFormatting sqref="A1:A76 C1:C76 E1:E77 G1:H68 J1:J50">
    <cfRule type="expression" dxfId="3" priority="4">
      <formula>#REF!=4</formula>
    </cfRule>
  </conditionalFormatting>
  <drawing r:id="rId1"/>
</worksheet>
</file>